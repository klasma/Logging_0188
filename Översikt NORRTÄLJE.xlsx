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46030</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46030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46030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60941-2025</t>
        </is>
      </c>
      <c r="B15" s="1" t="n">
        <v>45999.64359953703</v>
      </c>
      <c r="C15" s="1" t="n">
        <v>46030</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21837-2025</t>
        </is>
      </c>
      <c r="B16" s="1" t="n">
        <v>45784.32179398148</v>
      </c>
      <c r="C16" s="1" t="n">
        <v>46030</v>
      </c>
      <c r="D16" t="inlineStr">
        <is>
          <t>STOCKHOLMS LÄN</t>
        </is>
      </c>
      <c r="E16" t="inlineStr">
        <is>
          <t>NORRTÄLJE</t>
        </is>
      </c>
      <c r="G16" t="n">
        <v>6.4</v>
      </c>
      <c r="H16" t="n">
        <v>4</v>
      </c>
      <c r="I16" t="n">
        <v>10</v>
      </c>
      <c r="J16" t="n">
        <v>4</v>
      </c>
      <c r="K16" t="n">
        <v>4</v>
      </c>
      <c r="L16" t="n">
        <v>0</v>
      </c>
      <c r="M16" t="n">
        <v>0</v>
      </c>
      <c r="N16" t="n">
        <v>0</v>
      </c>
      <c r="O16" t="n">
        <v>8</v>
      </c>
      <c r="P16" t="n">
        <v>4</v>
      </c>
      <c r="Q16" t="n">
        <v>21</v>
      </c>
      <c r="R1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6">
        <f>HYPERLINK("https://klasma.github.io/Logging_0188/artfynd/A 21837-2025 artfynd.xlsx", "A 21837-2025")</f>
        <v/>
      </c>
      <c r="T16">
        <f>HYPERLINK("https://klasma.github.io/Logging_0188/kartor/A 21837-2025 karta.png", "A 21837-2025")</f>
        <v/>
      </c>
      <c r="V16">
        <f>HYPERLINK("https://klasma.github.io/Logging_0188/klagomål/A 21837-2025 FSC-klagomål.docx", "A 21837-2025")</f>
        <v/>
      </c>
      <c r="W16">
        <f>HYPERLINK("https://klasma.github.io/Logging_0188/klagomålsmail/A 21837-2025 FSC-klagomål mail.docx", "A 21837-2025")</f>
        <v/>
      </c>
      <c r="X16">
        <f>HYPERLINK("https://klasma.github.io/Logging_0188/tillsyn/A 21837-2025 tillsynsbegäran.docx", "A 21837-2025")</f>
        <v/>
      </c>
      <c r="Y16">
        <f>HYPERLINK("https://klasma.github.io/Logging_0188/tillsynsmail/A 21837-2025 tillsynsbegäran mail.docx", "A 21837-2025")</f>
        <v/>
      </c>
    </row>
    <row r="17" ht="15" customHeight="1">
      <c r="A17" t="inlineStr">
        <is>
          <t>A 10646-2024</t>
        </is>
      </c>
      <c r="B17" s="1" t="n">
        <v>45367</v>
      </c>
      <c r="C17" s="1" t="n">
        <v>46030</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46030</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46030</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46030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46030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46030</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46030</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46030</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61292-2025</t>
        </is>
      </c>
      <c r="B26" s="1" t="n">
        <v>46000.75015046296</v>
      </c>
      <c r="C26" s="1" t="n">
        <v>46030</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47274-2024</t>
        </is>
      </c>
      <c r="B27" s="1" t="n">
        <v>45586</v>
      </c>
      <c r="C27" s="1" t="n">
        <v>46030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73093-2021</t>
        </is>
      </c>
      <c r="B28" s="1" t="n">
        <v>44550</v>
      </c>
      <c r="C28" s="1" t="n">
        <v>46030</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52815-2021</t>
        </is>
      </c>
      <c r="B29" s="1" t="n">
        <v>44467</v>
      </c>
      <c r="C29" s="1" t="n">
        <v>46030</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25732-2025</t>
        </is>
      </c>
      <c r="B30" s="1" t="n">
        <v>45800</v>
      </c>
      <c r="C30" s="1" t="n">
        <v>46030</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46030</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61099-2025</t>
        </is>
      </c>
      <c r="B32" s="1" t="n">
        <v>46000.44185185185</v>
      </c>
      <c r="C32" s="1" t="n">
        <v>46030</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46030</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45811-2022</t>
        </is>
      </c>
      <c r="B34" s="1" t="n">
        <v>44846</v>
      </c>
      <c r="C34" s="1" t="n">
        <v>46030</v>
      </c>
      <c r="D34" t="inlineStr">
        <is>
          <t>STOCKHOLMS LÄN</t>
        </is>
      </c>
      <c r="E34" t="inlineStr">
        <is>
          <t>NORRTÄLJE</t>
        </is>
      </c>
      <c r="G34" t="n">
        <v>0.8</v>
      </c>
      <c r="H34" t="n">
        <v>0</v>
      </c>
      <c r="I34" t="n">
        <v>5</v>
      </c>
      <c r="J34" t="n">
        <v>0</v>
      </c>
      <c r="K34" t="n">
        <v>0</v>
      </c>
      <c r="L34" t="n">
        <v>1</v>
      </c>
      <c r="M34" t="n">
        <v>1</v>
      </c>
      <c r="N34" t="n">
        <v>0</v>
      </c>
      <c r="O34" t="n">
        <v>2</v>
      </c>
      <c r="P34" t="n">
        <v>2</v>
      </c>
      <c r="Q34" t="n">
        <v>7</v>
      </c>
      <c r="R34" s="2" t="inlineStr">
        <is>
          <t>Skogsalm
Ask
Hässleklocka
Myskmadra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46030</v>
      </c>
      <c r="D35" t="inlineStr">
        <is>
          <t>STOCKHOLMS LÄN</t>
        </is>
      </c>
      <c r="E35" t="inlineStr">
        <is>
          <t>NORRTÄLJE</t>
        </is>
      </c>
      <c r="G35" t="n">
        <v>15.8</v>
      </c>
      <c r="H35" t="n">
        <v>2</v>
      </c>
      <c r="I35" t="n">
        <v>6</v>
      </c>
      <c r="J35" t="n">
        <v>0</v>
      </c>
      <c r="K35" t="n">
        <v>0</v>
      </c>
      <c r="L35" t="n">
        <v>0</v>
      </c>
      <c r="M35" t="n">
        <v>0</v>
      </c>
      <c r="N35" t="n">
        <v>0</v>
      </c>
      <c r="O35" t="n">
        <v>0</v>
      </c>
      <c r="P35" t="n">
        <v>0</v>
      </c>
      <c r="Q35" t="n">
        <v>7</v>
      </c>
      <c r="R35" s="2" t="inlineStr">
        <is>
          <t>Kragjordstjärna
Skogsknipprot
Svart trolldruva
Svavelriska
Tibast
Vårärt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46030</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13933-2022</t>
        </is>
      </c>
      <c r="B37" s="1" t="n">
        <v>44650</v>
      </c>
      <c r="C37" s="1" t="n">
        <v>46030</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15278-2024</t>
        </is>
      </c>
      <c r="B38" s="1" t="n">
        <v>45400.5958912037</v>
      </c>
      <c r="C38" s="1" t="n">
        <v>46030</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34528-2025</t>
        </is>
      </c>
      <c r="B39" s="1" t="n">
        <v>45847.48436342592</v>
      </c>
      <c r="C39" s="1" t="n">
        <v>46030</v>
      </c>
      <c r="D39" t="inlineStr">
        <is>
          <t>STOCKHOLMS LÄN</t>
        </is>
      </c>
      <c r="E39" t="inlineStr">
        <is>
          <t>NORRTÄLJE</t>
        </is>
      </c>
      <c r="G39" t="n">
        <v>1</v>
      </c>
      <c r="H39" t="n">
        <v>1</v>
      </c>
      <c r="I39" t="n">
        <v>2</v>
      </c>
      <c r="J39" t="n">
        <v>3</v>
      </c>
      <c r="K39" t="n">
        <v>1</v>
      </c>
      <c r="L39" t="n">
        <v>0</v>
      </c>
      <c r="M39" t="n">
        <v>0</v>
      </c>
      <c r="N39" t="n">
        <v>0</v>
      </c>
      <c r="O39" t="n">
        <v>4</v>
      </c>
      <c r="P39" t="n">
        <v>1</v>
      </c>
      <c r="Q39" t="n">
        <v>6</v>
      </c>
      <c r="R39" s="2" t="inlineStr">
        <is>
          <t>Gyllenfingersvamp
Gammelgransskål
Motaggsvamp
Spillkråka
Fjällig taggsvamp s.str.
Svavelriska</t>
        </is>
      </c>
      <c r="S39">
        <f>HYPERLINK("https://klasma.github.io/Logging_0188/artfynd/A 34528-2025 artfynd.xlsx", "A 34528-2025")</f>
        <v/>
      </c>
      <c r="T39">
        <f>HYPERLINK("https://klasma.github.io/Logging_0188/kartor/A 34528-2025 karta.png", "A 34528-2025")</f>
        <v/>
      </c>
      <c r="V39">
        <f>HYPERLINK("https://klasma.github.io/Logging_0188/klagomål/A 34528-2025 FSC-klagomål.docx", "A 34528-2025")</f>
        <v/>
      </c>
      <c r="W39">
        <f>HYPERLINK("https://klasma.github.io/Logging_0188/klagomålsmail/A 34528-2025 FSC-klagomål mail.docx", "A 34528-2025")</f>
        <v/>
      </c>
      <c r="X39">
        <f>HYPERLINK("https://klasma.github.io/Logging_0188/tillsyn/A 34528-2025 tillsynsbegäran.docx", "A 34528-2025")</f>
        <v/>
      </c>
      <c r="Y39">
        <f>HYPERLINK("https://klasma.github.io/Logging_0188/tillsynsmail/A 34528-2025 tillsynsbegäran mail.docx", "A 34528-2025")</f>
        <v/>
      </c>
      <c r="Z39">
        <f>HYPERLINK("https://klasma.github.io/Logging_0188/fåglar/A 34528-2025 prioriterade fågelarter.docx", "A 34528-2025")</f>
        <v/>
      </c>
    </row>
    <row r="40" ht="15" customHeight="1">
      <c r="A40" t="inlineStr">
        <is>
          <t>A 1054-2022</t>
        </is>
      </c>
      <c r="B40" s="1" t="n">
        <v>44571</v>
      </c>
      <c r="C40" s="1" t="n">
        <v>46030</v>
      </c>
      <c r="D40" t="inlineStr">
        <is>
          <t>STOCKHOLMS LÄN</t>
        </is>
      </c>
      <c r="E40" t="inlineStr">
        <is>
          <t>NORRTÄLJE</t>
        </is>
      </c>
      <c r="G40" t="n">
        <v>5</v>
      </c>
      <c r="H40" t="n">
        <v>0</v>
      </c>
      <c r="I40" t="n">
        <v>4</v>
      </c>
      <c r="J40" t="n">
        <v>1</v>
      </c>
      <c r="K40" t="n">
        <v>0</v>
      </c>
      <c r="L40" t="n">
        <v>0</v>
      </c>
      <c r="M40" t="n">
        <v>0</v>
      </c>
      <c r="N40" t="n">
        <v>0</v>
      </c>
      <c r="O40" t="n">
        <v>1</v>
      </c>
      <c r="P40" t="n">
        <v>0</v>
      </c>
      <c r="Q40" t="n">
        <v>5</v>
      </c>
      <c r="R40" s="2" t="inlineStr">
        <is>
          <t>Fyrflikig jordstjärna
Fjällig taggsvamp s.str.
Kryddspindling
Olivspindling
Svavelriska</t>
        </is>
      </c>
      <c r="S40">
        <f>HYPERLINK("https://klasma.github.io/Logging_0188/artfynd/A 1054-2022 artfynd.xlsx", "A 1054-2022")</f>
        <v/>
      </c>
      <c r="T40">
        <f>HYPERLINK("https://klasma.github.io/Logging_0188/kartor/A 1054-2022 karta.png", "A 1054-2022")</f>
        <v/>
      </c>
      <c r="V40">
        <f>HYPERLINK("https://klasma.github.io/Logging_0188/klagomål/A 1054-2022 FSC-klagomål.docx", "A 1054-2022")</f>
        <v/>
      </c>
      <c r="W40">
        <f>HYPERLINK("https://klasma.github.io/Logging_0188/klagomålsmail/A 1054-2022 FSC-klagomål mail.docx", "A 1054-2022")</f>
        <v/>
      </c>
      <c r="X40">
        <f>HYPERLINK("https://klasma.github.io/Logging_0188/tillsyn/A 1054-2022 tillsynsbegäran.docx", "A 1054-2022")</f>
        <v/>
      </c>
      <c r="Y40">
        <f>HYPERLINK("https://klasma.github.io/Logging_0188/tillsynsmail/A 1054-2022 tillsynsbegäran mail.docx", "A 1054-2022")</f>
        <v/>
      </c>
    </row>
    <row r="41" ht="15" customHeight="1">
      <c r="A41" t="inlineStr">
        <is>
          <t>A 30687-2025</t>
        </is>
      </c>
      <c r="B41" s="1" t="n">
        <v>45831.53390046296</v>
      </c>
      <c r="C41" s="1" t="n">
        <v>46030</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56791-2025</t>
        </is>
      </c>
      <c r="B42" s="1" t="n">
        <v>45978</v>
      </c>
      <c r="C42" s="1" t="n">
        <v>46030</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3444-2023</t>
        </is>
      </c>
      <c r="B43" s="1" t="n">
        <v>44949</v>
      </c>
      <c r="C43" s="1" t="n">
        <v>46030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46030</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46030</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21922-2023</t>
        </is>
      </c>
      <c r="B46" s="1" t="n">
        <v>45068</v>
      </c>
      <c r="C46" s="1" t="n">
        <v>46030</v>
      </c>
      <c r="D46" t="inlineStr">
        <is>
          <t>STOCKHOLMS LÄN</t>
        </is>
      </c>
      <c r="E46" t="inlineStr">
        <is>
          <t>NORRTÄLJE</t>
        </is>
      </c>
      <c r="G46" t="n">
        <v>4.9</v>
      </c>
      <c r="H46" t="n">
        <v>2</v>
      </c>
      <c r="I46" t="n">
        <v>2</v>
      </c>
      <c r="J46" t="n">
        <v>1</v>
      </c>
      <c r="K46" t="n">
        <v>0</v>
      </c>
      <c r="L46" t="n">
        <v>0</v>
      </c>
      <c r="M46" t="n">
        <v>0</v>
      </c>
      <c r="N46" t="n">
        <v>0</v>
      </c>
      <c r="O46" t="n">
        <v>1</v>
      </c>
      <c r="P46" t="n">
        <v>0</v>
      </c>
      <c r="Q46" t="n">
        <v>5</v>
      </c>
      <c r="R46" s="2" t="inlineStr">
        <is>
          <t>Asppraktbagge
Stor aspticka
Svavelriska
Blåsippa
Gullviva</t>
        </is>
      </c>
      <c r="S46">
        <f>HYPERLINK("https://klasma.github.io/Logging_0188/artfynd/A 21922-2023 artfynd.xlsx", "A 21922-2023")</f>
        <v/>
      </c>
      <c r="T46">
        <f>HYPERLINK("https://klasma.github.io/Logging_0188/kartor/A 21922-2023 karta.png", "A 21922-2023")</f>
        <v/>
      </c>
      <c r="V46">
        <f>HYPERLINK("https://klasma.github.io/Logging_0188/klagomål/A 21922-2023 FSC-klagomål.docx", "A 21922-2023")</f>
        <v/>
      </c>
      <c r="W46">
        <f>HYPERLINK("https://klasma.github.io/Logging_0188/klagomålsmail/A 21922-2023 FSC-klagomål mail.docx", "A 21922-2023")</f>
        <v/>
      </c>
      <c r="X46">
        <f>HYPERLINK("https://klasma.github.io/Logging_0188/tillsyn/A 21922-2023 tillsynsbegäran.docx", "A 21922-2023")</f>
        <v/>
      </c>
      <c r="Y46">
        <f>HYPERLINK("https://klasma.github.io/Logging_0188/tillsynsmail/A 21922-2023 tillsynsbegäran mail.docx", "A 21922-2023")</f>
        <v/>
      </c>
    </row>
    <row r="47" ht="15" customHeight="1">
      <c r="A47" t="inlineStr">
        <is>
          <t>A 22071-2022</t>
        </is>
      </c>
      <c r="B47" s="1" t="n">
        <v>44711</v>
      </c>
      <c r="C47" s="1" t="n">
        <v>46030</v>
      </c>
      <c r="D47" t="inlineStr">
        <is>
          <t>STOCKHOLMS LÄN</t>
        </is>
      </c>
      <c r="E47" t="inlineStr">
        <is>
          <t>NORRTÄLJE</t>
        </is>
      </c>
      <c r="G47" t="n">
        <v>7</v>
      </c>
      <c r="H47" t="n">
        <v>1</v>
      </c>
      <c r="I47" t="n">
        <v>2</v>
      </c>
      <c r="J47" t="n">
        <v>2</v>
      </c>
      <c r="K47" t="n">
        <v>0</v>
      </c>
      <c r="L47" t="n">
        <v>0</v>
      </c>
      <c r="M47" t="n">
        <v>0</v>
      </c>
      <c r="N47" t="n">
        <v>0</v>
      </c>
      <c r="O47" t="n">
        <v>2</v>
      </c>
      <c r="P47" t="n">
        <v>0</v>
      </c>
      <c r="Q47" t="n">
        <v>4</v>
      </c>
      <c r="R47" s="2" t="inlineStr">
        <is>
          <t>Spillkråka
Vedskivlav
Björksplintborre
Kattfotslav</t>
        </is>
      </c>
      <c r="S47">
        <f>HYPERLINK("https://klasma.github.io/Logging_0188/artfynd/A 22071-2022 artfynd.xlsx", "A 22071-2022")</f>
        <v/>
      </c>
      <c r="T47">
        <f>HYPERLINK("https://klasma.github.io/Logging_0188/kartor/A 22071-2022 karta.png", "A 22071-2022")</f>
        <v/>
      </c>
      <c r="V47">
        <f>HYPERLINK("https://klasma.github.io/Logging_0188/klagomål/A 22071-2022 FSC-klagomål.docx", "A 22071-2022")</f>
        <v/>
      </c>
      <c r="W47">
        <f>HYPERLINK("https://klasma.github.io/Logging_0188/klagomålsmail/A 22071-2022 FSC-klagomål mail.docx", "A 22071-2022")</f>
        <v/>
      </c>
      <c r="X47">
        <f>HYPERLINK("https://klasma.github.io/Logging_0188/tillsyn/A 22071-2022 tillsynsbegäran.docx", "A 22071-2022")</f>
        <v/>
      </c>
      <c r="Y47">
        <f>HYPERLINK("https://klasma.github.io/Logging_0188/tillsynsmail/A 22071-2022 tillsynsbegäran mail.docx", "A 22071-2022")</f>
        <v/>
      </c>
      <c r="Z47">
        <f>HYPERLINK("https://klasma.github.io/Logging_0188/fåglar/A 22071-2022 prioriterade fågelarter.docx", "A 22071-2022")</f>
        <v/>
      </c>
    </row>
    <row r="48" ht="15" customHeight="1">
      <c r="A48" t="inlineStr">
        <is>
          <t>A 41276-2025</t>
        </is>
      </c>
      <c r="B48" s="1" t="n">
        <v>45898.62723379629</v>
      </c>
      <c r="C48" s="1" t="n">
        <v>46030</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25687-2025</t>
        </is>
      </c>
      <c r="B49" s="1" t="n">
        <v>45800</v>
      </c>
      <c r="C49" s="1" t="n">
        <v>46030</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10876-2025</t>
        </is>
      </c>
      <c r="B50" s="1" t="n">
        <v>45722</v>
      </c>
      <c r="C50" s="1" t="n">
        <v>46030</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72305-2021</t>
        </is>
      </c>
      <c r="B51" s="1" t="n">
        <v>44545</v>
      </c>
      <c r="C51" s="1" t="n">
        <v>46030</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47212-2025</t>
        </is>
      </c>
      <c r="B52" s="1" t="n">
        <v>45930</v>
      </c>
      <c r="C52" s="1" t="n">
        <v>46030</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46030</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46030</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46030</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46030</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17673-2021</t>
        </is>
      </c>
      <c r="B57" s="1" t="n">
        <v>44300</v>
      </c>
      <c r="C57" s="1" t="n">
        <v>46030</v>
      </c>
      <c r="D57" t="inlineStr">
        <is>
          <t>STOCKHOLMS LÄN</t>
        </is>
      </c>
      <c r="E57" t="inlineStr">
        <is>
          <t>NORRTÄLJE</t>
        </is>
      </c>
      <c r="G57" t="n">
        <v>9.199999999999999</v>
      </c>
      <c r="H57" t="n">
        <v>3</v>
      </c>
      <c r="I57" t="n">
        <v>0</v>
      </c>
      <c r="J57" t="n">
        <v>2</v>
      </c>
      <c r="K57" t="n">
        <v>0</v>
      </c>
      <c r="L57" t="n">
        <v>0</v>
      </c>
      <c r="M57" t="n">
        <v>0</v>
      </c>
      <c r="N57" t="n">
        <v>0</v>
      </c>
      <c r="O57" t="n">
        <v>2</v>
      </c>
      <c r="P57" t="n">
        <v>0</v>
      </c>
      <c r="Q57" t="n">
        <v>3</v>
      </c>
      <c r="R57" s="2" t="inlineStr">
        <is>
          <t>Grönsångare
Havsörn
Blåsippa</t>
        </is>
      </c>
      <c r="S57">
        <f>HYPERLINK("https://klasma.github.io/Logging_0188/artfynd/A 17673-2021 artfynd.xlsx", "A 17673-2021")</f>
        <v/>
      </c>
      <c r="T57">
        <f>HYPERLINK("https://klasma.github.io/Logging_0188/kartor/A 17673-2021 karta.png", "A 17673-2021")</f>
        <v/>
      </c>
      <c r="V57">
        <f>HYPERLINK("https://klasma.github.io/Logging_0188/klagomål/A 17673-2021 FSC-klagomål.docx", "A 17673-2021")</f>
        <v/>
      </c>
      <c r="W57">
        <f>HYPERLINK("https://klasma.github.io/Logging_0188/klagomålsmail/A 17673-2021 FSC-klagomål mail.docx", "A 17673-2021")</f>
        <v/>
      </c>
      <c r="X57">
        <f>HYPERLINK("https://klasma.github.io/Logging_0188/tillsyn/A 17673-2021 tillsynsbegäran.docx", "A 17673-2021")</f>
        <v/>
      </c>
      <c r="Y57">
        <f>HYPERLINK("https://klasma.github.io/Logging_0188/tillsynsmail/A 17673-2021 tillsynsbegäran mail.docx", "A 17673-2021")</f>
        <v/>
      </c>
      <c r="Z57">
        <f>HYPERLINK("https://klasma.github.io/Logging_0188/fåglar/A 17673-2021 prioriterade fågelarter.docx", "A 17673-2021")</f>
        <v/>
      </c>
    </row>
    <row r="58" ht="15" customHeight="1">
      <c r="A58" t="inlineStr">
        <is>
          <t>A 45113-2022</t>
        </is>
      </c>
      <c r="B58" s="1" t="n">
        <v>44843</v>
      </c>
      <c r="C58" s="1" t="n">
        <v>46030</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46030</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14560-2021</t>
        </is>
      </c>
      <c r="B60" s="1" t="n">
        <v>44279</v>
      </c>
      <c r="C60" s="1" t="n">
        <v>46030</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53065-2024</t>
        </is>
      </c>
      <c r="B61" s="1" t="n">
        <v>45611.47233796296</v>
      </c>
      <c r="C61" s="1" t="n">
        <v>46030</v>
      </c>
      <c r="D61" t="inlineStr">
        <is>
          <t>STOCKHOLMS LÄN</t>
        </is>
      </c>
      <c r="E61" t="inlineStr">
        <is>
          <t>NORRTÄLJE</t>
        </is>
      </c>
      <c r="G61" t="n">
        <v>12.3</v>
      </c>
      <c r="H61" t="n">
        <v>0</v>
      </c>
      <c r="I61" t="n">
        <v>1</v>
      </c>
      <c r="J61" t="n">
        <v>1</v>
      </c>
      <c r="K61" t="n">
        <v>1</v>
      </c>
      <c r="L61" t="n">
        <v>0</v>
      </c>
      <c r="M61" t="n">
        <v>0</v>
      </c>
      <c r="N61" t="n">
        <v>0</v>
      </c>
      <c r="O61" t="n">
        <v>2</v>
      </c>
      <c r="P61" t="n">
        <v>1</v>
      </c>
      <c r="Q61" t="n">
        <v>3</v>
      </c>
      <c r="R61" s="2" t="inlineStr">
        <is>
          <t>Aspsplintbock
Grön aspvedbock
Gulröd blankbock</t>
        </is>
      </c>
      <c r="S61">
        <f>HYPERLINK("https://klasma.github.io/Logging_0188/artfynd/A 53065-2024 artfynd.xlsx", "A 53065-2024")</f>
        <v/>
      </c>
      <c r="T61">
        <f>HYPERLINK("https://klasma.github.io/Logging_0188/kartor/A 53065-2024 karta.png", "A 53065-2024")</f>
        <v/>
      </c>
      <c r="V61">
        <f>HYPERLINK("https://klasma.github.io/Logging_0188/klagomål/A 53065-2024 FSC-klagomål.docx", "A 53065-2024")</f>
        <v/>
      </c>
      <c r="W61">
        <f>HYPERLINK("https://klasma.github.io/Logging_0188/klagomålsmail/A 53065-2024 FSC-klagomål mail.docx", "A 53065-2024")</f>
        <v/>
      </c>
      <c r="X61">
        <f>HYPERLINK("https://klasma.github.io/Logging_0188/tillsyn/A 53065-2024 tillsynsbegäran.docx", "A 53065-2024")</f>
        <v/>
      </c>
      <c r="Y61">
        <f>HYPERLINK("https://klasma.github.io/Logging_0188/tillsynsmail/A 53065-2024 tillsynsbegäran mail.docx", "A 53065-2024")</f>
        <v/>
      </c>
    </row>
    <row r="62" ht="15" customHeight="1">
      <c r="A62" t="inlineStr">
        <is>
          <t>A 54110-2024</t>
        </is>
      </c>
      <c r="B62" s="1" t="n">
        <v>45616.54866898148</v>
      </c>
      <c r="C62" s="1" t="n">
        <v>46030</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46030</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29185-2025</t>
        </is>
      </c>
      <c r="B64" s="1" t="n">
        <v>45821</v>
      </c>
      <c r="C64" s="1" t="n">
        <v>46030</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2851-2023</t>
        </is>
      </c>
      <c r="B65" s="1" t="n">
        <v>44945</v>
      </c>
      <c r="C65" s="1" t="n">
        <v>46030</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46030</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52726-2025</t>
        </is>
      </c>
      <c r="B67" s="1" t="n">
        <v>45957.34722222222</v>
      </c>
      <c r="C67" s="1" t="n">
        <v>46030</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61288-2025</t>
        </is>
      </c>
      <c r="B68" s="1" t="n">
        <v>46000.73247685185</v>
      </c>
      <c r="C68" s="1" t="n">
        <v>46030</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27870-2022</t>
        </is>
      </c>
      <c r="B69" s="1" t="n">
        <v>44743.64592592593</v>
      </c>
      <c r="C69" s="1" t="n">
        <v>46030</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46030</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46030</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46030</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46030</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4634-2021</t>
        </is>
      </c>
      <c r="B74" s="1" t="n">
        <v>44224</v>
      </c>
      <c r="C74" s="1" t="n">
        <v>46030</v>
      </c>
      <c r="D74" t="inlineStr">
        <is>
          <t>STOCKHOLMS LÄN</t>
        </is>
      </c>
      <c r="E74" t="inlineStr">
        <is>
          <t>NORRTÄLJE</t>
        </is>
      </c>
      <c r="G74" t="n">
        <v>3.7</v>
      </c>
      <c r="H74" t="n">
        <v>2</v>
      </c>
      <c r="I74" t="n">
        <v>1</v>
      </c>
      <c r="J74" t="n">
        <v>0</v>
      </c>
      <c r="K74" t="n">
        <v>0</v>
      </c>
      <c r="L74" t="n">
        <v>0</v>
      </c>
      <c r="M74" t="n">
        <v>0</v>
      </c>
      <c r="N74" t="n">
        <v>0</v>
      </c>
      <c r="O74" t="n">
        <v>0</v>
      </c>
      <c r="P74" t="n">
        <v>0</v>
      </c>
      <c r="Q74" t="n">
        <v>2</v>
      </c>
      <c r="R74" s="2" t="inlineStr">
        <is>
          <t>Grön sköldmossa
Tjäder</t>
        </is>
      </c>
      <c r="S74">
        <f>HYPERLINK("https://klasma.github.io/Logging_0188/artfynd/A 4634-2021 artfynd.xlsx", "A 4634-2021")</f>
        <v/>
      </c>
      <c r="T74">
        <f>HYPERLINK("https://klasma.github.io/Logging_0188/kartor/A 4634-2021 karta.png", "A 4634-2021")</f>
        <v/>
      </c>
      <c r="V74">
        <f>HYPERLINK("https://klasma.github.io/Logging_0188/klagomål/A 4634-2021 FSC-klagomål.docx", "A 4634-2021")</f>
        <v/>
      </c>
      <c r="W74">
        <f>HYPERLINK("https://klasma.github.io/Logging_0188/klagomålsmail/A 4634-2021 FSC-klagomål mail.docx", "A 4634-2021")</f>
        <v/>
      </c>
      <c r="X74">
        <f>HYPERLINK("https://klasma.github.io/Logging_0188/tillsyn/A 4634-2021 tillsynsbegäran.docx", "A 4634-2021")</f>
        <v/>
      </c>
      <c r="Y74">
        <f>HYPERLINK("https://klasma.github.io/Logging_0188/tillsynsmail/A 4634-2021 tillsynsbegäran mail.docx", "A 4634-2021")</f>
        <v/>
      </c>
      <c r="Z74">
        <f>HYPERLINK("https://klasma.github.io/Logging_0188/fåglar/A 4634-2021 prioriterade fågelarter.docx", "A 4634-2021")</f>
        <v/>
      </c>
    </row>
    <row r="75" ht="15" customHeight="1">
      <c r="A75" t="inlineStr">
        <is>
          <t>A 58676-2021</t>
        </is>
      </c>
      <c r="B75" s="1" t="n">
        <v>44489</v>
      </c>
      <c r="C75" s="1" t="n">
        <v>46030</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46030</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30693-2022</t>
        </is>
      </c>
      <c r="B77" s="1" t="n">
        <v>44763</v>
      </c>
      <c r="C77" s="1" t="n">
        <v>46030</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46030</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50697-2025</t>
        </is>
      </c>
      <c r="B79" s="1" t="n">
        <v>45945.90854166666</v>
      </c>
      <c r="C79" s="1" t="n">
        <v>46030</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22190-2024</t>
        </is>
      </c>
      <c r="B80" s="1" t="n">
        <v>45446.35888888889</v>
      </c>
      <c r="C80" s="1" t="n">
        <v>46030</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53608-2025</t>
        </is>
      </c>
      <c r="B81" s="1" t="n">
        <v>45960</v>
      </c>
      <c r="C81" s="1" t="n">
        <v>46030</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51980-2022</t>
        </is>
      </c>
      <c r="B82" s="1" t="n">
        <v>44872</v>
      </c>
      <c r="C82" s="1" t="n">
        <v>46030</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51220-2023</t>
        </is>
      </c>
      <c r="B83" s="1" t="n">
        <v>45219</v>
      </c>
      <c r="C83" s="1" t="n">
        <v>46030</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52124-2022</t>
        </is>
      </c>
      <c r="B84" s="1" t="n">
        <v>44868</v>
      </c>
      <c r="C84" s="1" t="n">
        <v>46030</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52825-2023</t>
        </is>
      </c>
      <c r="B85" s="1" t="n">
        <v>45226</v>
      </c>
      <c r="C85" s="1" t="n">
        <v>46030</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16260-2022</t>
        </is>
      </c>
      <c r="B86" s="1" t="n">
        <v>44670</v>
      </c>
      <c r="C86" s="1" t="n">
        <v>46030</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46030</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46030</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46030</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46030</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46030</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46030</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46030</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9955-2022</t>
        </is>
      </c>
      <c r="B94" s="1" t="n">
        <v>44620</v>
      </c>
      <c r="C94" s="1" t="n">
        <v>46030</v>
      </c>
      <c r="D94" t="inlineStr">
        <is>
          <t>STOCKHOLMS LÄN</t>
        </is>
      </c>
      <c r="E94" t="inlineStr">
        <is>
          <t>NORRTÄLJE</t>
        </is>
      </c>
      <c r="G94" t="n">
        <v>7.8</v>
      </c>
      <c r="H94" t="n">
        <v>1</v>
      </c>
      <c r="I94" t="n">
        <v>0</v>
      </c>
      <c r="J94" t="n">
        <v>0</v>
      </c>
      <c r="K94" t="n">
        <v>0</v>
      </c>
      <c r="L94" t="n">
        <v>0</v>
      </c>
      <c r="M94" t="n">
        <v>0</v>
      </c>
      <c r="N94" t="n">
        <v>0</v>
      </c>
      <c r="O94" t="n">
        <v>0</v>
      </c>
      <c r="P94" t="n">
        <v>0</v>
      </c>
      <c r="Q94" t="n">
        <v>1</v>
      </c>
      <c r="R94" s="2" t="inlineStr">
        <is>
          <t>Åkergroda</t>
        </is>
      </c>
      <c r="S94">
        <f>HYPERLINK("https://klasma.github.io/Logging_0188/artfynd/A 9955-2022 artfynd.xlsx", "A 9955-2022")</f>
        <v/>
      </c>
      <c r="T94">
        <f>HYPERLINK("https://klasma.github.io/Logging_0188/kartor/A 9955-2022 karta.png", "A 9955-2022")</f>
        <v/>
      </c>
      <c r="V94">
        <f>HYPERLINK("https://klasma.github.io/Logging_0188/klagomål/A 9955-2022 FSC-klagomål.docx", "A 9955-2022")</f>
        <v/>
      </c>
      <c r="W94">
        <f>HYPERLINK("https://klasma.github.io/Logging_0188/klagomålsmail/A 9955-2022 FSC-klagomål mail.docx", "A 9955-2022")</f>
        <v/>
      </c>
      <c r="X94">
        <f>HYPERLINK("https://klasma.github.io/Logging_0188/tillsyn/A 9955-2022 tillsynsbegäran.docx", "A 9955-2022")</f>
        <v/>
      </c>
      <c r="Y94">
        <f>HYPERLINK("https://klasma.github.io/Logging_0188/tillsynsmail/A 9955-2022 tillsynsbegäran mail.docx", "A 9955-2022")</f>
        <v/>
      </c>
    </row>
    <row r="95" ht="15" customHeight="1">
      <c r="A95" t="inlineStr">
        <is>
          <t>A 63292-2025</t>
        </is>
      </c>
      <c r="B95" s="1" t="n">
        <v>46010.59232638889</v>
      </c>
      <c r="C95" s="1" t="n">
        <v>46030</v>
      </c>
      <c r="D95" t="inlineStr">
        <is>
          <t>STOCKHOLMS LÄN</t>
        </is>
      </c>
      <c r="E95" t="inlineStr">
        <is>
          <t>NORRTÄLJE</t>
        </is>
      </c>
      <c r="G95" t="n">
        <v>11.1</v>
      </c>
      <c r="H95" t="n">
        <v>1</v>
      </c>
      <c r="I95" t="n">
        <v>1</v>
      </c>
      <c r="J95" t="n">
        <v>0</v>
      </c>
      <c r="K95" t="n">
        <v>0</v>
      </c>
      <c r="L95" t="n">
        <v>0</v>
      </c>
      <c r="M95" t="n">
        <v>0</v>
      </c>
      <c r="N95" t="n">
        <v>0</v>
      </c>
      <c r="O95" t="n">
        <v>0</v>
      </c>
      <c r="P95" t="n">
        <v>0</v>
      </c>
      <c r="Q95" t="n">
        <v>1</v>
      </c>
      <c r="R95" s="2" t="inlineStr">
        <is>
          <t>Nästrot</t>
        </is>
      </c>
      <c r="S95">
        <f>HYPERLINK("https://klasma.github.io/Logging_0188/artfynd/A 63292-2025 artfynd.xlsx", "A 63292-2025")</f>
        <v/>
      </c>
      <c r="T95">
        <f>HYPERLINK("https://klasma.github.io/Logging_0188/kartor/A 63292-2025 karta.png", "A 63292-2025")</f>
        <v/>
      </c>
      <c r="V95">
        <f>HYPERLINK("https://klasma.github.io/Logging_0188/klagomål/A 63292-2025 FSC-klagomål.docx", "A 63292-2025")</f>
        <v/>
      </c>
      <c r="W95">
        <f>HYPERLINK("https://klasma.github.io/Logging_0188/klagomålsmail/A 63292-2025 FSC-klagomål mail.docx", "A 63292-2025")</f>
        <v/>
      </c>
      <c r="X95">
        <f>HYPERLINK("https://klasma.github.io/Logging_0188/tillsyn/A 63292-2025 tillsynsbegäran.docx", "A 63292-2025")</f>
        <v/>
      </c>
      <c r="Y95">
        <f>HYPERLINK("https://klasma.github.io/Logging_0188/tillsynsmail/A 63292-2025 tillsynsbegäran mail.docx", "A 63292-2025")</f>
        <v/>
      </c>
    </row>
    <row r="96" ht="15" customHeight="1">
      <c r="A96" t="inlineStr">
        <is>
          <t>A 4595-2023</t>
        </is>
      </c>
      <c r="B96" s="1" t="n">
        <v>44956</v>
      </c>
      <c r="C96" s="1" t="n">
        <v>46030</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23905-2025</t>
        </is>
      </c>
      <c r="B97" s="1" t="n">
        <v>45794.63298611111</v>
      </c>
      <c r="C97" s="1" t="n">
        <v>46030</v>
      </c>
      <c r="D97" t="inlineStr">
        <is>
          <t>STOCKHOLMS LÄN</t>
        </is>
      </c>
      <c r="E97" t="inlineStr">
        <is>
          <t>NORRTÄLJE</t>
        </is>
      </c>
      <c r="G97" t="n">
        <v>8.4</v>
      </c>
      <c r="H97" t="n">
        <v>1</v>
      </c>
      <c r="I97" t="n">
        <v>0</v>
      </c>
      <c r="J97" t="n">
        <v>0</v>
      </c>
      <c r="K97" t="n">
        <v>0</v>
      </c>
      <c r="L97" t="n">
        <v>0</v>
      </c>
      <c r="M97" t="n">
        <v>0</v>
      </c>
      <c r="N97" t="n">
        <v>0</v>
      </c>
      <c r="O97" t="n">
        <v>0</v>
      </c>
      <c r="P97" t="n">
        <v>0</v>
      </c>
      <c r="Q97" t="n">
        <v>1</v>
      </c>
      <c r="R97" s="2" t="inlineStr">
        <is>
          <t>Blåsippa</t>
        </is>
      </c>
      <c r="S97">
        <f>HYPERLINK("https://klasma.github.io/Logging_0188/artfynd/A 23905-2025 artfynd.xlsx", "A 23905-2025")</f>
        <v/>
      </c>
      <c r="T97">
        <f>HYPERLINK("https://klasma.github.io/Logging_0188/kartor/A 23905-2025 karta.png", "A 23905-2025")</f>
        <v/>
      </c>
      <c r="V97">
        <f>HYPERLINK("https://klasma.github.io/Logging_0188/klagomål/A 23905-2025 FSC-klagomål.docx", "A 23905-2025")</f>
        <v/>
      </c>
      <c r="W97">
        <f>HYPERLINK("https://klasma.github.io/Logging_0188/klagomålsmail/A 23905-2025 FSC-klagomål mail.docx", "A 23905-2025")</f>
        <v/>
      </c>
      <c r="X97">
        <f>HYPERLINK("https://klasma.github.io/Logging_0188/tillsyn/A 23905-2025 tillsynsbegäran.docx", "A 23905-2025")</f>
        <v/>
      </c>
      <c r="Y97">
        <f>HYPERLINK("https://klasma.github.io/Logging_0188/tillsynsmail/A 23905-2025 tillsynsbegäran mail.docx", "A 23905-2025")</f>
        <v/>
      </c>
    </row>
    <row r="98" ht="15" customHeight="1">
      <c r="A98" t="inlineStr">
        <is>
          <t>A 40861-2025</t>
        </is>
      </c>
      <c r="B98" s="1" t="n">
        <v>45897.56356481482</v>
      </c>
      <c r="C98" s="1" t="n">
        <v>46030</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46030</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25669-2025</t>
        </is>
      </c>
      <c r="B100" s="1" t="n">
        <v>45803.62766203703</v>
      </c>
      <c r="C100" s="1" t="n">
        <v>46030</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24535-2023</t>
        </is>
      </c>
      <c r="B101" s="1" t="n">
        <v>45082</v>
      </c>
      <c r="C101" s="1" t="n">
        <v>46030</v>
      </c>
      <c r="D101" t="inlineStr">
        <is>
          <t>STOCKHOLMS LÄN</t>
        </is>
      </c>
      <c r="E101" t="inlineStr">
        <is>
          <t>NORRTÄLJE</t>
        </is>
      </c>
      <c r="F101" t="inlineStr">
        <is>
          <t>Kommuner</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HYPERLINK("https://klasma.github.io/Logging_0188/artfynd/A 24535-2023 artfynd.xlsx", "A 24535-2023")</f>
        <v/>
      </c>
      <c r="T101">
        <f>HYPERLINK("https://klasma.github.io/Logging_0188/kartor/A 24535-2023 karta.png", "A 24535-2023")</f>
        <v/>
      </c>
      <c r="V101">
        <f>HYPERLINK("https://klasma.github.io/Logging_0188/klagomål/A 24535-2023 FSC-klagomål.docx", "A 24535-2023")</f>
        <v/>
      </c>
      <c r="W101">
        <f>HYPERLINK("https://klasma.github.io/Logging_0188/klagomålsmail/A 24535-2023 FSC-klagomål mail.docx", "A 24535-2023")</f>
        <v/>
      </c>
      <c r="X101">
        <f>HYPERLINK("https://klasma.github.io/Logging_0188/tillsyn/A 24535-2023 tillsynsbegäran.docx", "A 24535-2023")</f>
        <v/>
      </c>
      <c r="Y101">
        <f>HYPERLINK("https://klasma.github.io/Logging_0188/tillsynsmail/A 24535-2023 tillsynsbegäran mail.docx", "A 24535-2023")</f>
        <v/>
      </c>
    </row>
    <row r="102" ht="15" customHeight="1">
      <c r="A102" t="inlineStr">
        <is>
          <t>A 35764-2024</t>
        </is>
      </c>
      <c r="B102" s="1" t="n">
        <v>45532</v>
      </c>
      <c r="C102" s="1" t="n">
        <v>46030</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25725-2025</t>
        </is>
      </c>
      <c r="B103" s="1" t="n">
        <v>45800</v>
      </c>
      <c r="C103" s="1" t="n">
        <v>46030</v>
      </c>
      <c r="D103" t="inlineStr">
        <is>
          <t>STOCKHOLMS LÄN</t>
        </is>
      </c>
      <c r="E103" t="inlineStr">
        <is>
          <t>NORRTÄLJE</t>
        </is>
      </c>
      <c r="G103" t="n">
        <v>5.2</v>
      </c>
      <c r="H103" t="n">
        <v>0</v>
      </c>
      <c r="I103" t="n">
        <v>0</v>
      </c>
      <c r="J103" t="n">
        <v>1</v>
      </c>
      <c r="K103" t="n">
        <v>0</v>
      </c>
      <c r="L103" t="n">
        <v>0</v>
      </c>
      <c r="M103" t="n">
        <v>0</v>
      </c>
      <c r="N103" t="n">
        <v>0</v>
      </c>
      <c r="O103" t="n">
        <v>1</v>
      </c>
      <c r="P103" t="n">
        <v>0</v>
      </c>
      <c r="Q103" t="n">
        <v>1</v>
      </c>
      <c r="R103" s="2" t="inlineStr">
        <is>
          <t>Tallticka</t>
        </is>
      </c>
      <c r="S103">
        <f>HYPERLINK("https://klasma.github.io/Logging_0188/artfynd/A 25725-2025 artfynd.xlsx", "A 25725-2025")</f>
        <v/>
      </c>
      <c r="T103">
        <f>HYPERLINK("https://klasma.github.io/Logging_0188/kartor/A 25725-2025 karta.png", "A 25725-2025")</f>
        <v/>
      </c>
      <c r="V103">
        <f>HYPERLINK("https://klasma.github.io/Logging_0188/klagomål/A 25725-2025 FSC-klagomål.docx", "A 25725-2025")</f>
        <v/>
      </c>
      <c r="W103">
        <f>HYPERLINK("https://klasma.github.io/Logging_0188/klagomålsmail/A 25725-2025 FSC-klagomål mail.docx", "A 25725-2025")</f>
        <v/>
      </c>
      <c r="X103">
        <f>HYPERLINK("https://klasma.github.io/Logging_0188/tillsyn/A 25725-2025 tillsynsbegäran.docx", "A 25725-2025")</f>
        <v/>
      </c>
      <c r="Y103">
        <f>HYPERLINK("https://klasma.github.io/Logging_0188/tillsynsmail/A 25725-2025 tillsynsbegäran mail.docx", "A 25725-2025")</f>
        <v/>
      </c>
    </row>
    <row r="104" ht="15" customHeight="1">
      <c r="A104" t="inlineStr">
        <is>
          <t>A 25709-2025</t>
        </is>
      </c>
      <c r="B104" s="1" t="n">
        <v>45800</v>
      </c>
      <c r="C104" s="1" t="n">
        <v>46030</v>
      </c>
      <c r="D104" t="inlineStr">
        <is>
          <t>STOCKHOLMS LÄN</t>
        </is>
      </c>
      <c r="E104" t="inlineStr">
        <is>
          <t>NORRTÄLJE</t>
        </is>
      </c>
      <c r="G104" t="n">
        <v>4.6</v>
      </c>
      <c r="H104" t="n">
        <v>0</v>
      </c>
      <c r="I104" t="n">
        <v>0</v>
      </c>
      <c r="J104" t="n">
        <v>1</v>
      </c>
      <c r="K104" t="n">
        <v>0</v>
      </c>
      <c r="L104" t="n">
        <v>0</v>
      </c>
      <c r="M104" t="n">
        <v>0</v>
      </c>
      <c r="N104" t="n">
        <v>0</v>
      </c>
      <c r="O104" t="n">
        <v>1</v>
      </c>
      <c r="P104" t="n">
        <v>0</v>
      </c>
      <c r="Q104" t="n">
        <v>1</v>
      </c>
      <c r="R104" s="2" t="inlineStr">
        <is>
          <t>Ullticka</t>
        </is>
      </c>
      <c r="S104">
        <f>HYPERLINK("https://klasma.github.io/Logging_0188/artfynd/A 25709-2025 artfynd.xlsx", "A 25709-2025")</f>
        <v/>
      </c>
      <c r="T104">
        <f>HYPERLINK("https://klasma.github.io/Logging_0188/kartor/A 25709-2025 karta.png", "A 25709-2025")</f>
        <v/>
      </c>
      <c r="V104">
        <f>HYPERLINK("https://klasma.github.io/Logging_0188/klagomål/A 25709-2025 FSC-klagomål.docx", "A 25709-2025")</f>
        <v/>
      </c>
      <c r="W104">
        <f>HYPERLINK("https://klasma.github.io/Logging_0188/klagomålsmail/A 25709-2025 FSC-klagomål mail.docx", "A 25709-2025")</f>
        <v/>
      </c>
      <c r="X104">
        <f>HYPERLINK("https://klasma.github.io/Logging_0188/tillsyn/A 25709-2025 tillsynsbegäran.docx", "A 25709-2025")</f>
        <v/>
      </c>
      <c r="Y104">
        <f>HYPERLINK("https://klasma.github.io/Logging_0188/tillsynsmail/A 25709-2025 tillsynsbegäran mail.docx", "A 25709-2025")</f>
        <v/>
      </c>
    </row>
    <row r="105" ht="15" customHeight="1">
      <c r="A105" t="inlineStr">
        <is>
          <t>A 35649-2023</t>
        </is>
      </c>
      <c r="B105" s="1" t="n">
        <v>45146</v>
      </c>
      <c r="C105" s="1" t="n">
        <v>46030</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42313-2025</t>
        </is>
      </c>
      <c r="B106" s="1" t="n">
        <v>45904.6575</v>
      </c>
      <c r="C106" s="1" t="n">
        <v>46030</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4532-2025</t>
        </is>
      </c>
      <c r="B107" s="1" t="n">
        <v>45687.34177083334</v>
      </c>
      <c r="C107" s="1" t="n">
        <v>46030</v>
      </c>
      <c r="D107" t="inlineStr">
        <is>
          <t>STOCKHOLMS LÄN</t>
        </is>
      </c>
      <c r="E107" t="inlineStr">
        <is>
          <t>NORRTÄLJE</t>
        </is>
      </c>
      <c r="F107" t="inlineStr">
        <is>
          <t>Holmen skog AB</t>
        </is>
      </c>
      <c r="G107" t="n">
        <v>6.4</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4532-2025 artfynd.xlsx", "A 4532-2025")</f>
        <v/>
      </c>
      <c r="T107">
        <f>HYPERLINK("https://klasma.github.io/Logging_0188/kartor/A 4532-2025 karta.png", "A 4532-2025")</f>
        <v/>
      </c>
      <c r="V107">
        <f>HYPERLINK("https://klasma.github.io/Logging_0188/klagomål/A 4532-2025 FSC-klagomål.docx", "A 4532-2025")</f>
        <v/>
      </c>
      <c r="W107">
        <f>HYPERLINK("https://klasma.github.io/Logging_0188/klagomålsmail/A 4532-2025 FSC-klagomål mail.docx", "A 4532-2025")</f>
        <v/>
      </c>
      <c r="X107">
        <f>HYPERLINK("https://klasma.github.io/Logging_0188/tillsyn/A 4532-2025 tillsynsbegäran.docx", "A 4532-2025")</f>
        <v/>
      </c>
      <c r="Y107">
        <f>HYPERLINK("https://klasma.github.io/Logging_0188/tillsynsmail/A 4532-2025 tillsynsbegäran mail.docx", "A 4532-2025")</f>
        <v/>
      </c>
    </row>
    <row r="108" ht="15" customHeight="1">
      <c r="A108" t="inlineStr">
        <is>
          <t>A 35691-2023</t>
        </is>
      </c>
      <c r="B108" s="1" t="n">
        <v>45147.65222222222</v>
      </c>
      <c r="C108" s="1" t="n">
        <v>46030</v>
      </c>
      <c r="D108" t="inlineStr">
        <is>
          <t>STOCKHOLMS LÄN</t>
        </is>
      </c>
      <c r="E108" t="inlineStr">
        <is>
          <t>NORRTÄLJE</t>
        </is>
      </c>
      <c r="G108" t="n">
        <v>2.3</v>
      </c>
      <c r="H108" t="n">
        <v>1</v>
      </c>
      <c r="I108" t="n">
        <v>0</v>
      </c>
      <c r="J108" t="n">
        <v>0</v>
      </c>
      <c r="K108" t="n">
        <v>0</v>
      </c>
      <c r="L108" t="n">
        <v>0</v>
      </c>
      <c r="M108" t="n">
        <v>0</v>
      </c>
      <c r="N108" t="n">
        <v>0</v>
      </c>
      <c r="O108" t="n">
        <v>0</v>
      </c>
      <c r="P108" t="n">
        <v>0</v>
      </c>
      <c r="Q108" t="n">
        <v>1</v>
      </c>
      <c r="R108" s="2" t="inlineStr">
        <is>
          <t>Kungsfågel</t>
        </is>
      </c>
      <c r="S108">
        <f>HYPERLINK("https://klasma.github.io/Logging_0188/artfynd/A 35691-2023 artfynd.xlsx", "A 35691-2023")</f>
        <v/>
      </c>
      <c r="T108">
        <f>HYPERLINK("https://klasma.github.io/Logging_0188/kartor/A 35691-2023 karta.png", "A 35691-2023")</f>
        <v/>
      </c>
      <c r="V108">
        <f>HYPERLINK("https://klasma.github.io/Logging_0188/klagomål/A 35691-2023 FSC-klagomål.docx", "A 35691-2023")</f>
        <v/>
      </c>
      <c r="W108">
        <f>HYPERLINK("https://klasma.github.io/Logging_0188/klagomålsmail/A 35691-2023 FSC-klagomål mail.docx", "A 35691-2023")</f>
        <v/>
      </c>
      <c r="X108">
        <f>HYPERLINK("https://klasma.github.io/Logging_0188/tillsyn/A 35691-2023 tillsynsbegäran.docx", "A 35691-2023")</f>
        <v/>
      </c>
      <c r="Y108">
        <f>HYPERLINK("https://klasma.github.io/Logging_0188/tillsynsmail/A 35691-2023 tillsynsbegäran mail.docx", "A 35691-2023")</f>
        <v/>
      </c>
      <c r="Z108">
        <f>HYPERLINK("https://klasma.github.io/Logging_0188/fåglar/A 35691-2023 prioriterade fågelarter.docx", "A 35691-2023")</f>
        <v/>
      </c>
    </row>
    <row r="109" ht="15" customHeight="1">
      <c r="A109" t="inlineStr">
        <is>
          <t>A 35693-2023</t>
        </is>
      </c>
      <c r="B109" s="1" t="n">
        <v>45147.65311342593</v>
      </c>
      <c r="C109" s="1" t="n">
        <v>46030</v>
      </c>
      <c r="D109" t="inlineStr">
        <is>
          <t>STOCKHOLMS LÄN</t>
        </is>
      </c>
      <c r="E109" t="inlineStr">
        <is>
          <t>NORRTÄLJE</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HYPERLINK("https://klasma.github.io/Logging_0188/artfynd/A 35693-2023 artfynd.xlsx", "A 35693-2023")</f>
        <v/>
      </c>
      <c r="T109">
        <f>HYPERLINK("https://klasma.github.io/Logging_0188/kartor/A 35693-2023 karta.png", "A 35693-2023")</f>
        <v/>
      </c>
      <c r="V109">
        <f>HYPERLINK("https://klasma.github.io/Logging_0188/klagomål/A 35693-2023 FSC-klagomål.docx", "A 35693-2023")</f>
        <v/>
      </c>
      <c r="W109">
        <f>HYPERLINK("https://klasma.github.io/Logging_0188/klagomålsmail/A 35693-2023 FSC-klagomål mail.docx", "A 35693-2023")</f>
        <v/>
      </c>
      <c r="X109">
        <f>HYPERLINK("https://klasma.github.io/Logging_0188/tillsyn/A 35693-2023 tillsynsbegäran.docx", "A 35693-2023")</f>
        <v/>
      </c>
      <c r="Y109">
        <f>HYPERLINK("https://klasma.github.io/Logging_0188/tillsynsmail/A 35693-2023 tillsynsbegäran mail.docx", "A 35693-2023")</f>
        <v/>
      </c>
    </row>
    <row r="110" ht="15" customHeight="1">
      <c r="A110" t="inlineStr">
        <is>
          <t>A 6381-2023</t>
        </is>
      </c>
      <c r="B110" s="1" t="n">
        <v>44965</v>
      </c>
      <c r="C110" s="1" t="n">
        <v>46030</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50854-2022</t>
        </is>
      </c>
      <c r="B111" s="1" t="n">
        <v>44863</v>
      </c>
      <c r="C111" s="1" t="n">
        <v>46030</v>
      </c>
      <c r="D111" t="inlineStr">
        <is>
          <t>STOCKHOLMS LÄN</t>
        </is>
      </c>
      <c r="E111" t="inlineStr">
        <is>
          <t>NORRTÄLJE</t>
        </is>
      </c>
      <c r="G111" t="n">
        <v>2.9</v>
      </c>
      <c r="H111" t="n">
        <v>0</v>
      </c>
      <c r="I111" t="n">
        <v>1</v>
      </c>
      <c r="J111" t="n">
        <v>0</v>
      </c>
      <c r="K111" t="n">
        <v>0</v>
      </c>
      <c r="L111" t="n">
        <v>0</v>
      </c>
      <c r="M111" t="n">
        <v>0</v>
      </c>
      <c r="N111" t="n">
        <v>0</v>
      </c>
      <c r="O111" t="n">
        <v>0</v>
      </c>
      <c r="P111" t="n">
        <v>0</v>
      </c>
      <c r="Q111" t="n">
        <v>1</v>
      </c>
      <c r="R111" s="2" t="inlineStr">
        <is>
          <t>Tibast</t>
        </is>
      </c>
      <c r="S111">
        <f>HYPERLINK("https://klasma.github.io/Logging_0188/artfynd/A 50854-2022 artfynd.xlsx", "A 50854-2022")</f>
        <v/>
      </c>
      <c r="T111">
        <f>HYPERLINK("https://klasma.github.io/Logging_0188/kartor/A 50854-2022 karta.png", "A 50854-2022")</f>
        <v/>
      </c>
      <c r="V111">
        <f>HYPERLINK("https://klasma.github.io/Logging_0188/klagomål/A 50854-2022 FSC-klagomål.docx", "A 50854-2022")</f>
        <v/>
      </c>
      <c r="W111">
        <f>HYPERLINK("https://klasma.github.io/Logging_0188/klagomålsmail/A 50854-2022 FSC-klagomål mail.docx", "A 50854-2022")</f>
        <v/>
      </c>
      <c r="X111">
        <f>HYPERLINK("https://klasma.github.io/Logging_0188/tillsyn/A 50854-2022 tillsynsbegäran.docx", "A 50854-2022")</f>
        <v/>
      </c>
      <c r="Y111">
        <f>HYPERLINK("https://klasma.github.io/Logging_0188/tillsynsmail/A 50854-2022 tillsynsbegäran mail.docx", "A 50854-2022")</f>
        <v/>
      </c>
    </row>
    <row r="112" ht="15" customHeight="1">
      <c r="A112" t="inlineStr">
        <is>
          <t>A 364-2026</t>
        </is>
      </c>
      <c r="B112" s="1" t="n">
        <v>46027.67134259259</v>
      </c>
      <c r="C112" s="1" t="n">
        <v>46030</v>
      </c>
      <c r="D112" t="inlineStr">
        <is>
          <t>STOCKHOLMS LÄN</t>
        </is>
      </c>
      <c r="E112" t="inlineStr">
        <is>
          <t>NORRTÄLJE</t>
        </is>
      </c>
      <c r="F112" t="inlineStr">
        <is>
          <t>Holmen skog AB</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364-2026 artfynd.xlsx", "A 364-2026")</f>
        <v/>
      </c>
      <c r="T112">
        <f>HYPERLINK("https://klasma.github.io/Logging_0188/kartor/A 364-2026 karta.png", "A 364-2026")</f>
        <v/>
      </c>
      <c r="V112">
        <f>HYPERLINK("https://klasma.github.io/Logging_0188/klagomål/A 364-2026 FSC-klagomål.docx", "A 364-2026")</f>
        <v/>
      </c>
      <c r="W112">
        <f>HYPERLINK("https://klasma.github.io/Logging_0188/klagomålsmail/A 364-2026 FSC-klagomål mail.docx", "A 364-2026")</f>
        <v/>
      </c>
      <c r="X112">
        <f>HYPERLINK("https://klasma.github.io/Logging_0188/tillsyn/A 364-2026 tillsynsbegäran.docx", "A 364-2026")</f>
        <v/>
      </c>
      <c r="Y112">
        <f>HYPERLINK("https://klasma.github.io/Logging_0188/tillsynsmail/A 364-2026 tillsynsbegäran mail.docx", "A 364-2026")</f>
        <v/>
      </c>
    </row>
    <row r="113" ht="15" customHeight="1">
      <c r="A113" t="inlineStr">
        <is>
          <t>A 29946-2025</t>
        </is>
      </c>
      <c r="B113" s="1" t="n">
        <v>45826.46392361111</v>
      </c>
      <c r="C113" s="1" t="n">
        <v>46030</v>
      </c>
      <c r="D113" t="inlineStr">
        <is>
          <t>STOCKHOLMS LÄN</t>
        </is>
      </c>
      <c r="E113" t="inlineStr">
        <is>
          <t>NORRTÄLJE</t>
        </is>
      </c>
      <c r="F113" t="inlineStr">
        <is>
          <t>Holmen skog AB</t>
        </is>
      </c>
      <c r="G113" t="n">
        <v>3.6</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29946-2025 artfynd.xlsx", "A 29946-2025")</f>
        <v/>
      </c>
      <c r="T113">
        <f>HYPERLINK("https://klasma.github.io/Logging_0188/kartor/A 29946-2025 karta.png", "A 29946-2025")</f>
        <v/>
      </c>
      <c r="V113">
        <f>HYPERLINK("https://klasma.github.io/Logging_0188/klagomål/A 29946-2025 FSC-klagomål.docx", "A 29946-2025")</f>
        <v/>
      </c>
      <c r="W113">
        <f>HYPERLINK("https://klasma.github.io/Logging_0188/klagomålsmail/A 29946-2025 FSC-klagomål mail.docx", "A 29946-2025")</f>
        <v/>
      </c>
      <c r="X113">
        <f>HYPERLINK("https://klasma.github.io/Logging_0188/tillsyn/A 29946-2025 tillsynsbegäran.docx", "A 29946-2025")</f>
        <v/>
      </c>
      <c r="Y113">
        <f>HYPERLINK("https://klasma.github.io/Logging_0188/tillsynsmail/A 29946-2025 tillsynsbegäran mail.docx", "A 29946-2025")</f>
        <v/>
      </c>
    </row>
    <row r="114" ht="15" customHeight="1">
      <c r="A114" t="inlineStr">
        <is>
          <t>A 39158-2025</t>
        </is>
      </c>
      <c r="B114" s="1" t="n">
        <v>45888</v>
      </c>
      <c r="C114" s="1" t="n">
        <v>46030</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33548-2025</t>
        </is>
      </c>
      <c r="B115" s="1" t="n">
        <v>45841.5721875</v>
      </c>
      <c r="C115" s="1" t="n">
        <v>46030</v>
      </c>
      <c r="D115" t="inlineStr">
        <is>
          <t>STOCKHOLMS LÄN</t>
        </is>
      </c>
      <c r="E115" t="inlineStr">
        <is>
          <t>NORRTÄLJE</t>
        </is>
      </c>
      <c r="G115" t="n">
        <v>12.2</v>
      </c>
      <c r="H115" t="n">
        <v>0</v>
      </c>
      <c r="I115" t="n">
        <v>0</v>
      </c>
      <c r="J115" t="n">
        <v>1</v>
      </c>
      <c r="K115" t="n">
        <v>0</v>
      </c>
      <c r="L115" t="n">
        <v>0</v>
      </c>
      <c r="M115" t="n">
        <v>0</v>
      </c>
      <c r="N115" t="n">
        <v>0</v>
      </c>
      <c r="O115" t="n">
        <v>1</v>
      </c>
      <c r="P115" t="n">
        <v>0</v>
      </c>
      <c r="Q115" t="n">
        <v>1</v>
      </c>
      <c r="R115" s="2" t="inlineStr">
        <is>
          <t>Dofttaggsvamp</t>
        </is>
      </c>
      <c r="S115">
        <f>HYPERLINK("https://klasma.github.io/Logging_0188/artfynd/A 33548-2025 artfynd.xlsx", "A 33548-2025")</f>
        <v/>
      </c>
      <c r="T115">
        <f>HYPERLINK("https://klasma.github.io/Logging_0188/kartor/A 33548-2025 karta.png", "A 33548-2025")</f>
        <v/>
      </c>
      <c r="V115">
        <f>HYPERLINK("https://klasma.github.io/Logging_0188/klagomål/A 33548-2025 FSC-klagomål.docx", "A 33548-2025")</f>
        <v/>
      </c>
      <c r="W115">
        <f>HYPERLINK("https://klasma.github.io/Logging_0188/klagomålsmail/A 33548-2025 FSC-klagomål mail.docx", "A 33548-2025")</f>
        <v/>
      </c>
      <c r="X115">
        <f>HYPERLINK("https://klasma.github.io/Logging_0188/tillsyn/A 33548-2025 tillsynsbegäran.docx", "A 33548-2025")</f>
        <v/>
      </c>
      <c r="Y115">
        <f>HYPERLINK("https://klasma.github.io/Logging_0188/tillsynsmail/A 33548-2025 tillsynsbegäran mail.docx", "A 33548-2025")</f>
        <v/>
      </c>
    </row>
    <row r="116" ht="15" customHeight="1">
      <c r="A116" t="inlineStr">
        <is>
          <t>A 33546-2025</t>
        </is>
      </c>
      <c r="B116" s="1" t="n">
        <v>45841.56996527778</v>
      </c>
      <c r="C116" s="1" t="n">
        <v>46030</v>
      </c>
      <c r="D116" t="inlineStr">
        <is>
          <t>STOCKHOLMS LÄN</t>
        </is>
      </c>
      <c r="E116" t="inlineStr">
        <is>
          <t>NORRTÄLJE</t>
        </is>
      </c>
      <c r="G116" t="n">
        <v>7.2</v>
      </c>
      <c r="H116" t="n">
        <v>1</v>
      </c>
      <c r="I116" t="n">
        <v>1</v>
      </c>
      <c r="J116" t="n">
        <v>0</v>
      </c>
      <c r="K116" t="n">
        <v>0</v>
      </c>
      <c r="L116" t="n">
        <v>0</v>
      </c>
      <c r="M116" t="n">
        <v>0</v>
      </c>
      <c r="N116" t="n">
        <v>0</v>
      </c>
      <c r="O116" t="n">
        <v>0</v>
      </c>
      <c r="P116" t="n">
        <v>0</v>
      </c>
      <c r="Q116" t="n">
        <v>1</v>
      </c>
      <c r="R116" s="2" t="inlineStr">
        <is>
          <t>Nästrot</t>
        </is>
      </c>
      <c r="S116">
        <f>HYPERLINK("https://klasma.github.io/Logging_0188/artfynd/A 33546-2025 artfynd.xlsx", "A 33546-2025")</f>
        <v/>
      </c>
      <c r="T116">
        <f>HYPERLINK("https://klasma.github.io/Logging_0188/kartor/A 33546-2025 karta.png", "A 33546-2025")</f>
        <v/>
      </c>
      <c r="V116">
        <f>HYPERLINK("https://klasma.github.io/Logging_0188/klagomål/A 33546-2025 FSC-klagomål.docx", "A 33546-2025")</f>
        <v/>
      </c>
      <c r="W116">
        <f>HYPERLINK("https://klasma.github.io/Logging_0188/klagomålsmail/A 33546-2025 FSC-klagomål mail.docx", "A 33546-2025")</f>
        <v/>
      </c>
      <c r="X116">
        <f>HYPERLINK("https://klasma.github.io/Logging_0188/tillsyn/A 33546-2025 tillsynsbegäran.docx", "A 33546-2025")</f>
        <v/>
      </c>
      <c r="Y116">
        <f>HYPERLINK("https://klasma.github.io/Logging_0188/tillsynsmail/A 33546-2025 tillsynsbegäran mail.docx", "A 33546-2025")</f>
        <v/>
      </c>
    </row>
    <row r="117" ht="15" customHeight="1">
      <c r="A117" t="inlineStr">
        <is>
          <t>A 26120-2024</t>
        </is>
      </c>
      <c r="B117" s="1" t="n">
        <v>45468.45995370371</v>
      </c>
      <c r="C117" s="1" t="n">
        <v>46030</v>
      </c>
      <c r="D117" t="inlineStr">
        <is>
          <t>STOCKHOLMS LÄN</t>
        </is>
      </c>
      <c r="E117" t="inlineStr">
        <is>
          <t>NORRTÄLJE</t>
        </is>
      </c>
      <c r="G117" t="n">
        <v>1.8</v>
      </c>
      <c r="H117" t="n">
        <v>0</v>
      </c>
      <c r="I117" t="n">
        <v>0</v>
      </c>
      <c r="J117" t="n">
        <v>1</v>
      </c>
      <c r="K117" t="n">
        <v>0</v>
      </c>
      <c r="L117" t="n">
        <v>0</v>
      </c>
      <c r="M117" t="n">
        <v>0</v>
      </c>
      <c r="N117" t="n">
        <v>0</v>
      </c>
      <c r="O117" t="n">
        <v>1</v>
      </c>
      <c r="P117" t="n">
        <v>0</v>
      </c>
      <c r="Q117" t="n">
        <v>1</v>
      </c>
      <c r="R117" s="2" t="inlineStr">
        <is>
          <t>Majviva</t>
        </is>
      </c>
      <c r="S117">
        <f>HYPERLINK("https://klasma.github.io/Logging_0188/artfynd/A 26120-2024 artfynd.xlsx", "A 26120-2024")</f>
        <v/>
      </c>
      <c r="T117">
        <f>HYPERLINK("https://klasma.github.io/Logging_0188/kartor/A 26120-2024 karta.png", "A 26120-2024")</f>
        <v/>
      </c>
      <c r="V117">
        <f>HYPERLINK("https://klasma.github.io/Logging_0188/klagomål/A 26120-2024 FSC-klagomål.docx", "A 26120-2024")</f>
        <v/>
      </c>
      <c r="W117">
        <f>HYPERLINK("https://klasma.github.io/Logging_0188/klagomålsmail/A 26120-2024 FSC-klagomål mail.docx", "A 26120-2024")</f>
        <v/>
      </c>
      <c r="X117">
        <f>HYPERLINK("https://klasma.github.io/Logging_0188/tillsyn/A 26120-2024 tillsynsbegäran.docx", "A 26120-2024")</f>
        <v/>
      </c>
      <c r="Y117">
        <f>HYPERLINK("https://klasma.github.io/Logging_0188/tillsynsmail/A 26120-2024 tillsynsbegäran mail.docx", "A 26120-2024")</f>
        <v/>
      </c>
    </row>
    <row r="118" ht="15" customHeight="1">
      <c r="A118" t="inlineStr">
        <is>
          <t>A 13291-2025</t>
        </is>
      </c>
      <c r="B118" s="1" t="n">
        <v>45735</v>
      </c>
      <c r="C118" s="1" t="n">
        <v>46030</v>
      </c>
      <c r="D118" t="inlineStr">
        <is>
          <t>STOCKHOLMS LÄN</t>
        </is>
      </c>
      <c r="E118" t="inlineStr">
        <is>
          <t>NORRTÄLJE</t>
        </is>
      </c>
      <c r="G118" t="n">
        <v>3.8</v>
      </c>
      <c r="H118" t="n">
        <v>1</v>
      </c>
      <c r="I118" t="n">
        <v>0</v>
      </c>
      <c r="J118" t="n">
        <v>0</v>
      </c>
      <c r="K118" t="n">
        <v>0</v>
      </c>
      <c r="L118" t="n">
        <v>0</v>
      </c>
      <c r="M118" t="n">
        <v>0</v>
      </c>
      <c r="N118" t="n">
        <v>0</v>
      </c>
      <c r="O118" t="n">
        <v>0</v>
      </c>
      <c r="P118" t="n">
        <v>0</v>
      </c>
      <c r="Q118" t="n">
        <v>1</v>
      </c>
      <c r="R118" s="2" t="inlineStr">
        <is>
          <t>Blåsippa</t>
        </is>
      </c>
      <c r="S118">
        <f>HYPERLINK("https://klasma.github.io/Logging_0188/artfynd/A 13291-2025 artfynd.xlsx", "A 13291-2025")</f>
        <v/>
      </c>
      <c r="T118">
        <f>HYPERLINK("https://klasma.github.io/Logging_0188/kartor/A 13291-2025 karta.png", "A 13291-2025")</f>
        <v/>
      </c>
      <c r="V118">
        <f>HYPERLINK("https://klasma.github.io/Logging_0188/klagomål/A 13291-2025 FSC-klagomål.docx", "A 13291-2025")</f>
        <v/>
      </c>
      <c r="W118">
        <f>HYPERLINK("https://klasma.github.io/Logging_0188/klagomålsmail/A 13291-2025 FSC-klagomål mail.docx", "A 13291-2025")</f>
        <v/>
      </c>
      <c r="X118">
        <f>HYPERLINK("https://klasma.github.io/Logging_0188/tillsyn/A 13291-2025 tillsynsbegäran.docx", "A 13291-2025")</f>
        <v/>
      </c>
      <c r="Y118">
        <f>HYPERLINK("https://klasma.github.io/Logging_0188/tillsynsmail/A 13291-2025 tillsynsbegäran mail.docx", "A 13291-2025")</f>
        <v/>
      </c>
    </row>
    <row r="119" ht="15" customHeight="1">
      <c r="A119" t="inlineStr">
        <is>
          <t>A 64456-2023</t>
        </is>
      </c>
      <c r="B119" s="1" t="n">
        <v>45280</v>
      </c>
      <c r="C119" s="1" t="n">
        <v>46030</v>
      </c>
      <c r="D119" t="inlineStr">
        <is>
          <t>STOCKHOLMS LÄN</t>
        </is>
      </c>
      <c r="E119" t="inlineStr">
        <is>
          <t>NORRTÄLJE</t>
        </is>
      </c>
      <c r="G119" t="n">
        <v>2.5</v>
      </c>
      <c r="H119" t="n">
        <v>0</v>
      </c>
      <c r="I119" t="n">
        <v>1</v>
      </c>
      <c r="J119" t="n">
        <v>0</v>
      </c>
      <c r="K119" t="n">
        <v>0</v>
      </c>
      <c r="L119" t="n">
        <v>0</v>
      </c>
      <c r="M119" t="n">
        <v>0</v>
      </c>
      <c r="N119" t="n">
        <v>0</v>
      </c>
      <c r="O119" t="n">
        <v>0</v>
      </c>
      <c r="P119" t="n">
        <v>0</v>
      </c>
      <c r="Q119" t="n">
        <v>1</v>
      </c>
      <c r="R119" s="2" t="inlineStr">
        <is>
          <t>Rödgul trumpetsvamp</t>
        </is>
      </c>
      <c r="S119">
        <f>HYPERLINK("https://klasma.github.io/Logging_0188/artfynd/A 64456-2023 artfynd.xlsx", "A 64456-2023")</f>
        <v/>
      </c>
      <c r="T119">
        <f>HYPERLINK("https://klasma.github.io/Logging_0188/kartor/A 64456-2023 karta.png", "A 64456-2023")</f>
        <v/>
      </c>
      <c r="V119">
        <f>HYPERLINK("https://klasma.github.io/Logging_0188/klagomål/A 64456-2023 FSC-klagomål.docx", "A 64456-2023")</f>
        <v/>
      </c>
      <c r="W119">
        <f>HYPERLINK("https://klasma.github.io/Logging_0188/klagomålsmail/A 64456-2023 FSC-klagomål mail.docx", "A 64456-2023")</f>
        <v/>
      </c>
      <c r="X119">
        <f>HYPERLINK("https://klasma.github.io/Logging_0188/tillsyn/A 64456-2023 tillsynsbegäran.docx", "A 64456-2023")</f>
        <v/>
      </c>
      <c r="Y119">
        <f>HYPERLINK("https://klasma.github.io/Logging_0188/tillsynsmail/A 64456-2023 tillsynsbegäran mail.docx", "A 64456-2023")</f>
        <v/>
      </c>
    </row>
    <row r="120" ht="15" customHeight="1">
      <c r="A120" t="inlineStr">
        <is>
          <t>A 59682-2025</t>
        </is>
      </c>
      <c r="B120" s="1" t="n">
        <v>45992.47116898148</v>
      </c>
      <c r="C120" s="1" t="n">
        <v>46030</v>
      </c>
      <c r="D120" t="inlineStr">
        <is>
          <t>STOCKHOLMS LÄN</t>
        </is>
      </c>
      <c r="E120" t="inlineStr">
        <is>
          <t>NORRTÄLJE</t>
        </is>
      </c>
      <c r="G120" t="n">
        <v>1.6</v>
      </c>
      <c r="H120" t="n">
        <v>0</v>
      </c>
      <c r="I120" t="n">
        <v>1</v>
      </c>
      <c r="J120" t="n">
        <v>0</v>
      </c>
      <c r="K120" t="n">
        <v>0</v>
      </c>
      <c r="L120" t="n">
        <v>0</v>
      </c>
      <c r="M120" t="n">
        <v>0</v>
      </c>
      <c r="N120" t="n">
        <v>0</v>
      </c>
      <c r="O120" t="n">
        <v>0</v>
      </c>
      <c r="P120" t="n">
        <v>0</v>
      </c>
      <c r="Q120" t="n">
        <v>1</v>
      </c>
      <c r="R120" s="2" t="inlineStr">
        <is>
          <t>Grönpyrola</t>
        </is>
      </c>
      <c r="S120">
        <f>HYPERLINK("https://klasma.github.io/Logging_0188/artfynd/A 59682-2025 artfynd.xlsx", "A 59682-2025")</f>
        <v/>
      </c>
      <c r="T120">
        <f>HYPERLINK("https://klasma.github.io/Logging_0188/kartor/A 59682-2025 karta.png", "A 59682-2025")</f>
        <v/>
      </c>
      <c r="V120">
        <f>HYPERLINK("https://klasma.github.io/Logging_0188/klagomål/A 59682-2025 FSC-klagomål.docx", "A 59682-2025")</f>
        <v/>
      </c>
      <c r="W120">
        <f>HYPERLINK("https://klasma.github.io/Logging_0188/klagomålsmail/A 59682-2025 FSC-klagomål mail.docx", "A 59682-2025")</f>
        <v/>
      </c>
      <c r="X120">
        <f>HYPERLINK("https://klasma.github.io/Logging_0188/tillsyn/A 59682-2025 tillsynsbegäran.docx", "A 59682-2025")</f>
        <v/>
      </c>
      <c r="Y120">
        <f>HYPERLINK("https://klasma.github.io/Logging_0188/tillsynsmail/A 59682-2025 tillsynsbegäran mail.docx", "A 59682-2025")</f>
        <v/>
      </c>
    </row>
    <row r="121" ht="15" customHeight="1">
      <c r="A121" t="inlineStr">
        <is>
          <t>A 8371-2025</t>
        </is>
      </c>
      <c r="B121" s="1" t="n">
        <v>45708</v>
      </c>
      <c r="C121" s="1" t="n">
        <v>46030</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52775-2025</t>
        </is>
      </c>
      <c r="B122" s="1" t="n">
        <v>45957.41608796296</v>
      </c>
      <c r="C122" s="1" t="n">
        <v>46030</v>
      </c>
      <c r="D122" t="inlineStr">
        <is>
          <t>STOCKHOLMS LÄN</t>
        </is>
      </c>
      <c r="E122" t="inlineStr">
        <is>
          <t>NORRTÄLJE</t>
        </is>
      </c>
      <c r="F122" t="inlineStr">
        <is>
          <t>Sveaskog</t>
        </is>
      </c>
      <c r="G122" t="n">
        <v>5.6</v>
      </c>
      <c r="H122" t="n">
        <v>0</v>
      </c>
      <c r="I122" t="n">
        <v>0</v>
      </c>
      <c r="J122" t="n">
        <v>1</v>
      </c>
      <c r="K122" t="n">
        <v>0</v>
      </c>
      <c r="L122" t="n">
        <v>0</v>
      </c>
      <c r="M122" t="n">
        <v>0</v>
      </c>
      <c r="N122" t="n">
        <v>0</v>
      </c>
      <c r="O122" t="n">
        <v>1</v>
      </c>
      <c r="P122" t="n">
        <v>0</v>
      </c>
      <c r="Q122" t="n">
        <v>1</v>
      </c>
      <c r="R122" s="2" t="inlineStr">
        <is>
          <t>Vedtrappmossa</t>
        </is>
      </c>
      <c r="S122">
        <f>HYPERLINK("https://klasma.github.io/Logging_0188/artfynd/A 52775-2025 artfynd.xlsx", "A 52775-2025")</f>
        <v/>
      </c>
      <c r="T122">
        <f>HYPERLINK("https://klasma.github.io/Logging_0188/kartor/A 52775-2025 karta.png", "A 52775-2025")</f>
        <v/>
      </c>
      <c r="V122">
        <f>HYPERLINK("https://klasma.github.io/Logging_0188/klagomål/A 52775-2025 FSC-klagomål.docx", "A 52775-2025")</f>
        <v/>
      </c>
      <c r="W122">
        <f>HYPERLINK("https://klasma.github.io/Logging_0188/klagomålsmail/A 52775-2025 FSC-klagomål mail.docx", "A 52775-2025")</f>
        <v/>
      </c>
      <c r="X122">
        <f>HYPERLINK("https://klasma.github.io/Logging_0188/tillsyn/A 52775-2025 tillsynsbegäran.docx", "A 52775-2025")</f>
        <v/>
      </c>
      <c r="Y122">
        <f>HYPERLINK("https://klasma.github.io/Logging_0188/tillsynsmail/A 52775-2025 tillsynsbegäran mail.docx", "A 52775-2025")</f>
        <v/>
      </c>
    </row>
    <row r="123" ht="15" customHeight="1">
      <c r="A123" t="inlineStr">
        <is>
          <t>A 24330-2023</t>
        </is>
      </c>
      <c r="B123" s="1" t="n">
        <v>45081</v>
      </c>
      <c r="C123" s="1" t="n">
        <v>46030</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21744-2023</t>
        </is>
      </c>
      <c r="B124" s="1" t="n">
        <v>45065</v>
      </c>
      <c r="C124" s="1" t="n">
        <v>46030</v>
      </c>
      <c r="D124" t="inlineStr">
        <is>
          <t>STOCKHOLMS LÄN</t>
        </is>
      </c>
      <c r="E124" t="inlineStr">
        <is>
          <t>NORRTÄLJE</t>
        </is>
      </c>
      <c r="F124" t="inlineStr">
        <is>
          <t>Holmen skog AB</t>
        </is>
      </c>
      <c r="G124" t="n">
        <v>4.2</v>
      </c>
      <c r="H124" t="n">
        <v>0</v>
      </c>
      <c r="I124" t="n">
        <v>1</v>
      </c>
      <c r="J124" t="n">
        <v>0</v>
      </c>
      <c r="K124" t="n">
        <v>0</v>
      </c>
      <c r="L124" t="n">
        <v>0</v>
      </c>
      <c r="M124" t="n">
        <v>0</v>
      </c>
      <c r="N124" t="n">
        <v>0</v>
      </c>
      <c r="O124" t="n">
        <v>0</v>
      </c>
      <c r="P124" t="n">
        <v>0</v>
      </c>
      <c r="Q124" t="n">
        <v>1</v>
      </c>
      <c r="R124" s="2" t="inlineStr">
        <is>
          <t>Korallblylav</t>
        </is>
      </c>
      <c r="S124">
        <f>HYPERLINK("https://klasma.github.io/Logging_0188/artfynd/A 21744-2023 artfynd.xlsx", "A 21744-2023")</f>
        <v/>
      </c>
      <c r="T124">
        <f>HYPERLINK("https://klasma.github.io/Logging_0188/kartor/A 21744-2023 karta.png", "A 21744-2023")</f>
        <v/>
      </c>
      <c r="V124">
        <f>HYPERLINK("https://klasma.github.io/Logging_0188/klagomål/A 21744-2023 FSC-klagomål.docx", "A 21744-2023")</f>
        <v/>
      </c>
      <c r="W124">
        <f>HYPERLINK("https://klasma.github.io/Logging_0188/klagomålsmail/A 21744-2023 FSC-klagomål mail.docx", "A 21744-2023")</f>
        <v/>
      </c>
      <c r="X124">
        <f>HYPERLINK("https://klasma.github.io/Logging_0188/tillsyn/A 21744-2023 tillsynsbegäran.docx", "A 21744-2023")</f>
        <v/>
      </c>
      <c r="Y124">
        <f>HYPERLINK("https://klasma.github.io/Logging_0188/tillsynsmail/A 21744-2023 tillsynsbegäran mail.docx", "A 21744-2023")</f>
        <v/>
      </c>
    </row>
    <row r="125" ht="15" customHeight="1">
      <c r="A125" t="inlineStr">
        <is>
          <t>A 1162-2021</t>
        </is>
      </c>
      <c r="B125" s="1" t="n">
        <v>44207</v>
      </c>
      <c r="C125" s="1" t="n">
        <v>46030</v>
      </c>
      <c r="D125" t="inlineStr">
        <is>
          <t>STOCKHOLMS LÄN</t>
        </is>
      </c>
      <c r="E125" t="inlineStr">
        <is>
          <t>NORRTÄLJE</t>
        </is>
      </c>
      <c r="G125" t="n">
        <v>2.2</v>
      </c>
      <c r="H125" t="n">
        <v>1</v>
      </c>
      <c r="I125" t="n">
        <v>0</v>
      </c>
      <c r="J125" t="n">
        <v>0</v>
      </c>
      <c r="K125" t="n">
        <v>1</v>
      </c>
      <c r="L125" t="n">
        <v>0</v>
      </c>
      <c r="M125" t="n">
        <v>0</v>
      </c>
      <c r="N125" t="n">
        <v>0</v>
      </c>
      <c r="O125" t="n">
        <v>1</v>
      </c>
      <c r="P125" t="n">
        <v>1</v>
      </c>
      <c r="Q125" t="n">
        <v>1</v>
      </c>
      <c r="R125" s="2" t="inlineStr">
        <is>
          <t>Hällebräcka</t>
        </is>
      </c>
      <c r="S125">
        <f>HYPERLINK("https://klasma.github.io/Logging_0188/artfynd/A 1162-2021 artfynd.xlsx", "A 1162-2021")</f>
        <v/>
      </c>
      <c r="T125">
        <f>HYPERLINK("https://klasma.github.io/Logging_0188/kartor/A 1162-2021 karta.png", "A 1162-2021")</f>
        <v/>
      </c>
      <c r="V125">
        <f>HYPERLINK("https://klasma.github.io/Logging_0188/klagomål/A 1162-2021 FSC-klagomål.docx", "A 1162-2021")</f>
        <v/>
      </c>
      <c r="W125">
        <f>HYPERLINK("https://klasma.github.io/Logging_0188/klagomålsmail/A 1162-2021 FSC-klagomål mail.docx", "A 1162-2021")</f>
        <v/>
      </c>
      <c r="X125">
        <f>HYPERLINK("https://klasma.github.io/Logging_0188/tillsyn/A 1162-2021 tillsynsbegäran.docx", "A 1162-2021")</f>
        <v/>
      </c>
      <c r="Y125">
        <f>HYPERLINK("https://klasma.github.io/Logging_0188/tillsynsmail/A 1162-2021 tillsynsbegäran mail.docx", "A 1162-2021")</f>
        <v/>
      </c>
    </row>
    <row r="126" ht="15" customHeight="1">
      <c r="A126" t="inlineStr">
        <is>
          <t>A 53716-2025</t>
        </is>
      </c>
      <c r="B126" s="1" t="n">
        <v>45960.61782407408</v>
      </c>
      <c r="C126" s="1" t="n">
        <v>46030</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52611-2024</t>
        </is>
      </c>
      <c r="B127" s="1" t="n">
        <v>45609.83747685186</v>
      </c>
      <c r="C127" s="1" t="n">
        <v>46030</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17952-2022</t>
        </is>
      </c>
      <c r="B128" s="1" t="n">
        <v>44683</v>
      </c>
      <c r="C128" s="1" t="n">
        <v>46030</v>
      </c>
      <c r="D128" t="inlineStr">
        <is>
          <t>STOCKHOLMS LÄN</t>
        </is>
      </c>
      <c r="E128" t="inlineStr">
        <is>
          <t>NORRTÄLJE</t>
        </is>
      </c>
      <c r="G128" t="n">
        <v>51.1</v>
      </c>
      <c r="H128" t="n">
        <v>0</v>
      </c>
      <c r="I128" t="n">
        <v>0</v>
      </c>
      <c r="J128" t="n">
        <v>0</v>
      </c>
      <c r="K128" t="n">
        <v>1</v>
      </c>
      <c r="L128" t="n">
        <v>0</v>
      </c>
      <c r="M128" t="n">
        <v>0</v>
      </c>
      <c r="N128" t="n">
        <v>0</v>
      </c>
      <c r="O128" t="n">
        <v>1</v>
      </c>
      <c r="P128" t="n">
        <v>1</v>
      </c>
      <c r="Q128" t="n">
        <v>1</v>
      </c>
      <c r="R128" s="2" t="inlineStr">
        <is>
          <t>Kattunvisslare</t>
        </is>
      </c>
      <c r="S128">
        <f>HYPERLINK("https://klasma.github.io/Logging_0188/artfynd/A 17952-2022 artfynd.xlsx", "A 17952-2022")</f>
        <v/>
      </c>
      <c r="T128">
        <f>HYPERLINK("https://klasma.github.io/Logging_0188/kartor/A 17952-2022 karta.png", "A 17952-2022")</f>
        <v/>
      </c>
      <c r="V128">
        <f>HYPERLINK("https://klasma.github.io/Logging_0188/klagomål/A 17952-2022 FSC-klagomål.docx", "A 17952-2022")</f>
        <v/>
      </c>
      <c r="W128">
        <f>HYPERLINK("https://klasma.github.io/Logging_0188/klagomålsmail/A 17952-2022 FSC-klagomål mail.docx", "A 17952-2022")</f>
        <v/>
      </c>
      <c r="X128">
        <f>HYPERLINK("https://klasma.github.io/Logging_0188/tillsyn/A 17952-2022 tillsynsbegäran.docx", "A 17952-2022")</f>
        <v/>
      </c>
      <c r="Y128">
        <f>HYPERLINK("https://klasma.github.io/Logging_0188/tillsynsmail/A 17952-2022 tillsynsbegäran mail.docx", "A 17952-2022")</f>
        <v/>
      </c>
    </row>
    <row r="129" ht="15" customHeight="1">
      <c r="A129" t="inlineStr">
        <is>
          <t>A 16870-2025</t>
        </is>
      </c>
      <c r="B129" s="1" t="n">
        <v>45754</v>
      </c>
      <c r="C129" s="1" t="n">
        <v>46030</v>
      </c>
      <c r="D129" t="inlineStr">
        <is>
          <t>STOCKHOLMS LÄN</t>
        </is>
      </c>
      <c r="E129" t="inlineStr">
        <is>
          <t>NORRTÄLJE</t>
        </is>
      </c>
      <c r="G129" t="n">
        <v>24.6</v>
      </c>
      <c r="H129" t="n">
        <v>1</v>
      </c>
      <c r="I129" t="n">
        <v>0</v>
      </c>
      <c r="J129" t="n">
        <v>0</v>
      </c>
      <c r="K129" t="n">
        <v>0</v>
      </c>
      <c r="L129" t="n">
        <v>0</v>
      </c>
      <c r="M129" t="n">
        <v>0</v>
      </c>
      <c r="N129" t="n">
        <v>0</v>
      </c>
      <c r="O129" t="n">
        <v>0</v>
      </c>
      <c r="P129" t="n">
        <v>0</v>
      </c>
      <c r="Q129" t="n">
        <v>1</v>
      </c>
      <c r="R129" s="2" t="inlineStr">
        <is>
          <t>Vanlig groda</t>
        </is>
      </c>
      <c r="S129">
        <f>HYPERLINK("https://klasma.github.io/Logging_0188/artfynd/A 16870-2025 artfynd.xlsx", "A 16870-2025")</f>
        <v/>
      </c>
      <c r="T129">
        <f>HYPERLINK("https://klasma.github.io/Logging_0188/kartor/A 16870-2025 karta.png", "A 16870-2025")</f>
        <v/>
      </c>
      <c r="V129">
        <f>HYPERLINK("https://klasma.github.io/Logging_0188/klagomål/A 16870-2025 FSC-klagomål.docx", "A 16870-2025")</f>
        <v/>
      </c>
      <c r="W129">
        <f>HYPERLINK("https://klasma.github.io/Logging_0188/klagomålsmail/A 16870-2025 FSC-klagomål mail.docx", "A 16870-2025")</f>
        <v/>
      </c>
      <c r="X129">
        <f>HYPERLINK("https://klasma.github.io/Logging_0188/tillsyn/A 16870-2025 tillsynsbegäran.docx", "A 16870-2025")</f>
        <v/>
      </c>
      <c r="Y129">
        <f>HYPERLINK("https://klasma.github.io/Logging_0188/tillsynsmail/A 16870-2025 tillsynsbegäran mail.docx", "A 16870-2025")</f>
        <v/>
      </c>
    </row>
    <row r="130" ht="15" customHeight="1">
      <c r="A130" t="inlineStr">
        <is>
          <t>A 62715-2025</t>
        </is>
      </c>
      <c r="B130" s="1" t="n">
        <v>46008.52034722222</v>
      </c>
      <c r="C130" s="1" t="n">
        <v>46030</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26635-2023</t>
        </is>
      </c>
      <c r="B131" s="1" t="n">
        <v>45092</v>
      </c>
      <c r="C131" s="1" t="n">
        <v>46030</v>
      </c>
      <c r="D131" t="inlineStr">
        <is>
          <t>STOCKHOLMS LÄN</t>
        </is>
      </c>
      <c r="E131" t="inlineStr">
        <is>
          <t>NORRTÄLJE</t>
        </is>
      </c>
      <c r="G131" t="n">
        <v>3.1</v>
      </c>
      <c r="H131" t="n">
        <v>1</v>
      </c>
      <c r="I131" t="n">
        <v>0</v>
      </c>
      <c r="J131" t="n">
        <v>0</v>
      </c>
      <c r="K131" t="n">
        <v>0</v>
      </c>
      <c r="L131" t="n">
        <v>0</v>
      </c>
      <c r="M131" t="n">
        <v>0</v>
      </c>
      <c r="N131" t="n">
        <v>0</v>
      </c>
      <c r="O131" t="n">
        <v>0</v>
      </c>
      <c r="P131" t="n">
        <v>0</v>
      </c>
      <c r="Q131" t="n">
        <v>1</v>
      </c>
      <c r="R131" s="2" t="inlineStr">
        <is>
          <t>Fläcknycklar</t>
        </is>
      </c>
      <c r="S131">
        <f>HYPERLINK("https://klasma.github.io/Logging_0188/artfynd/A 26635-2023 artfynd.xlsx", "A 26635-2023")</f>
        <v/>
      </c>
      <c r="T131">
        <f>HYPERLINK("https://klasma.github.io/Logging_0188/kartor/A 26635-2023 karta.png", "A 26635-2023")</f>
        <v/>
      </c>
      <c r="V131">
        <f>HYPERLINK("https://klasma.github.io/Logging_0188/klagomål/A 26635-2023 FSC-klagomål.docx", "A 26635-2023")</f>
        <v/>
      </c>
      <c r="W131">
        <f>HYPERLINK("https://klasma.github.io/Logging_0188/klagomålsmail/A 26635-2023 FSC-klagomål mail.docx", "A 26635-2023")</f>
        <v/>
      </c>
      <c r="X131">
        <f>HYPERLINK("https://klasma.github.io/Logging_0188/tillsyn/A 26635-2023 tillsynsbegäran.docx", "A 26635-2023")</f>
        <v/>
      </c>
      <c r="Y131">
        <f>HYPERLINK("https://klasma.github.io/Logging_0188/tillsynsmail/A 26635-2023 tillsynsbegäran mail.docx", "A 26635-2023")</f>
        <v/>
      </c>
    </row>
    <row r="132" ht="15" customHeight="1">
      <c r="A132" t="inlineStr">
        <is>
          <t>A 47898-2022</t>
        </is>
      </c>
      <c r="B132" s="1" t="n">
        <v>44855</v>
      </c>
      <c r="C132" s="1" t="n">
        <v>46030</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14365-2025</t>
        </is>
      </c>
      <c r="B133" s="1" t="n">
        <v>45741.38688657407</v>
      </c>
      <c r="C133" s="1" t="n">
        <v>46030</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32111-2022</t>
        </is>
      </c>
      <c r="B134" s="1" t="n">
        <v>44778.92797453704</v>
      </c>
      <c r="C134" s="1" t="n">
        <v>46030</v>
      </c>
      <c r="D134" t="inlineStr">
        <is>
          <t>STOCKHOLMS LÄN</t>
        </is>
      </c>
      <c r="E134" t="inlineStr">
        <is>
          <t>NORRTÄLJE</t>
        </is>
      </c>
      <c r="G134" t="n">
        <v>3.1</v>
      </c>
      <c r="H134" t="n">
        <v>0</v>
      </c>
      <c r="I134" t="n">
        <v>0</v>
      </c>
      <c r="J134" t="n">
        <v>1</v>
      </c>
      <c r="K134" t="n">
        <v>0</v>
      </c>
      <c r="L134" t="n">
        <v>0</v>
      </c>
      <c r="M134" t="n">
        <v>0</v>
      </c>
      <c r="N134" t="n">
        <v>0</v>
      </c>
      <c r="O134" t="n">
        <v>1</v>
      </c>
      <c r="P134" t="n">
        <v>0</v>
      </c>
      <c r="Q134" t="n">
        <v>1</v>
      </c>
      <c r="R134" s="2" t="inlineStr">
        <is>
          <t>Orange taggsvamp</t>
        </is>
      </c>
      <c r="S134">
        <f>HYPERLINK("https://klasma.github.io/Logging_0188/artfynd/A 32111-2022 artfynd.xlsx", "A 32111-2022")</f>
        <v/>
      </c>
      <c r="T134">
        <f>HYPERLINK("https://klasma.github.io/Logging_0188/kartor/A 32111-2022 karta.png", "A 32111-2022")</f>
        <v/>
      </c>
      <c r="V134">
        <f>HYPERLINK("https://klasma.github.io/Logging_0188/klagomål/A 32111-2022 FSC-klagomål.docx", "A 32111-2022")</f>
        <v/>
      </c>
      <c r="W134">
        <f>HYPERLINK("https://klasma.github.io/Logging_0188/klagomålsmail/A 32111-2022 FSC-klagomål mail.docx", "A 32111-2022")</f>
        <v/>
      </c>
      <c r="X134">
        <f>HYPERLINK("https://klasma.github.io/Logging_0188/tillsyn/A 32111-2022 tillsynsbegäran.docx", "A 32111-2022")</f>
        <v/>
      </c>
      <c r="Y134">
        <f>HYPERLINK("https://klasma.github.io/Logging_0188/tillsynsmail/A 32111-2022 tillsynsbegäran mail.docx", "A 32111-2022")</f>
        <v/>
      </c>
    </row>
    <row r="135" ht="15" customHeight="1">
      <c r="A135" t="inlineStr">
        <is>
          <t>A 4385-2023</t>
        </is>
      </c>
      <c r="B135" s="1" t="n">
        <v>44955.71322916666</v>
      </c>
      <c r="C135" s="1" t="n">
        <v>46030</v>
      </c>
      <c r="D135" t="inlineStr">
        <is>
          <t>STOCKHOLMS LÄN</t>
        </is>
      </c>
      <c r="E135" t="inlineStr">
        <is>
          <t>NORRTÄLJE</t>
        </is>
      </c>
      <c r="G135" t="n">
        <v>7.8</v>
      </c>
      <c r="H135" t="n">
        <v>1</v>
      </c>
      <c r="I135" t="n">
        <v>1</v>
      </c>
      <c r="J135" t="n">
        <v>0</v>
      </c>
      <c r="K135" t="n">
        <v>0</v>
      </c>
      <c r="L135" t="n">
        <v>0</v>
      </c>
      <c r="M135" t="n">
        <v>0</v>
      </c>
      <c r="N135" t="n">
        <v>0</v>
      </c>
      <c r="O135" t="n">
        <v>0</v>
      </c>
      <c r="P135" t="n">
        <v>0</v>
      </c>
      <c r="Q135" t="n">
        <v>1</v>
      </c>
      <c r="R135" s="2" t="inlineStr">
        <is>
          <t>Skogsknipprot</t>
        </is>
      </c>
      <c r="S135">
        <f>HYPERLINK("https://klasma.github.io/Logging_0188/artfynd/A 4385-2023 artfynd.xlsx", "A 4385-2023")</f>
        <v/>
      </c>
      <c r="T135">
        <f>HYPERLINK("https://klasma.github.io/Logging_0188/kartor/A 4385-2023 karta.png", "A 4385-2023")</f>
        <v/>
      </c>
      <c r="V135">
        <f>HYPERLINK("https://klasma.github.io/Logging_0188/klagomål/A 4385-2023 FSC-klagomål.docx", "A 4385-2023")</f>
        <v/>
      </c>
      <c r="W135">
        <f>HYPERLINK("https://klasma.github.io/Logging_0188/klagomålsmail/A 4385-2023 FSC-klagomål mail.docx", "A 4385-2023")</f>
        <v/>
      </c>
      <c r="X135">
        <f>HYPERLINK("https://klasma.github.io/Logging_0188/tillsyn/A 4385-2023 tillsynsbegäran.docx", "A 4385-2023")</f>
        <v/>
      </c>
      <c r="Y135">
        <f>HYPERLINK("https://klasma.github.io/Logging_0188/tillsynsmail/A 4385-2023 tillsynsbegäran mail.docx", "A 4385-2023")</f>
        <v/>
      </c>
    </row>
    <row r="136" ht="15" customHeight="1">
      <c r="A136" t="inlineStr">
        <is>
          <t>A 4860-2022</t>
        </is>
      </c>
      <c r="B136" s="1" t="n">
        <v>44592</v>
      </c>
      <c r="C136" s="1" t="n">
        <v>46030</v>
      </c>
      <c r="D136" t="inlineStr">
        <is>
          <t>STOCKHOLMS LÄN</t>
        </is>
      </c>
      <c r="E136" t="inlineStr">
        <is>
          <t>NORRTÄLJE</t>
        </is>
      </c>
      <c r="G136" t="n">
        <v>22.3</v>
      </c>
      <c r="H136" t="n">
        <v>0</v>
      </c>
      <c r="I136" t="n">
        <v>0</v>
      </c>
      <c r="J136" t="n">
        <v>1</v>
      </c>
      <c r="K136" t="n">
        <v>0</v>
      </c>
      <c r="L136" t="n">
        <v>0</v>
      </c>
      <c r="M136" t="n">
        <v>0</v>
      </c>
      <c r="N136" t="n">
        <v>0</v>
      </c>
      <c r="O136" t="n">
        <v>1</v>
      </c>
      <c r="P136" t="n">
        <v>0</v>
      </c>
      <c r="Q136" t="n">
        <v>1</v>
      </c>
      <c r="R136" s="2" t="inlineStr">
        <is>
          <t>Igelkott</t>
        </is>
      </c>
      <c r="S136">
        <f>HYPERLINK("https://klasma.github.io/Logging_0188/artfynd/A 4860-2022 artfynd.xlsx", "A 4860-2022")</f>
        <v/>
      </c>
      <c r="T136">
        <f>HYPERLINK("https://klasma.github.io/Logging_0188/kartor/A 4860-2022 karta.png", "A 4860-2022")</f>
        <v/>
      </c>
      <c r="V136">
        <f>HYPERLINK("https://klasma.github.io/Logging_0188/klagomål/A 4860-2022 FSC-klagomål.docx", "A 4860-2022")</f>
        <v/>
      </c>
      <c r="W136">
        <f>HYPERLINK("https://klasma.github.io/Logging_0188/klagomålsmail/A 4860-2022 FSC-klagomål mail.docx", "A 4860-2022")</f>
        <v/>
      </c>
      <c r="X136">
        <f>HYPERLINK("https://klasma.github.io/Logging_0188/tillsyn/A 4860-2022 tillsynsbegäran.docx", "A 4860-2022")</f>
        <v/>
      </c>
      <c r="Y136">
        <f>HYPERLINK("https://klasma.github.io/Logging_0188/tillsynsmail/A 4860-2022 tillsynsbegäran mail.docx", "A 4860-2022")</f>
        <v/>
      </c>
    </row>
    <row r="137" ht="15" customHeight="1">
      <c r="A137" t="inlineStr">
        <is>
          <t>A 19829-2022</t>
        </is>
      </c>
      <c r="B137" s="1" t="n">
        <v>44695.43527777777</v>
      </c>
      <c r="C137" s="1" t="n">
        <v>46030</v>
      </c>
      <c r="D137" t="inlineStr">
        <is>
          <t>STOCKHOLMS LÄN</t>
        </is>
      </c>
      <c r="E137" t="inlineStr">
        <is>
          <t>NORRTÄLJE</t>
        </is>
      </c>
      <c r="G137" t="n">
        <v>2</v>
      </c>
      <c r="H137" t="n">
        <v>1</v>
      </c>
      <c r="I137" t="n">
        <v>1</v>
      </c>
      <c r="J137" t="n">
        <v>0</v>
      </c>
      <c r="K137" t="n">
        <v>0</v>
      </c>
      <c r="L137" t="n">
        <v>0</v>
      </c>
      <c r="M137" t="n">
        <v>0</v>
      </c>
      <c r="N137" t="n">
        <v>0</v>
      </c>
      <c r="O137" t="n">
        <v>0</v>
      </c>
      <c r="P137" t="n">
        <v>0</v>
      </c>
      <c r="Q137" t="n">
        <v>1</v>
      </c>
      <c r="R137" s="2" t="inlineStr">
        <is>
          <t>Guckusko</t>
        </is>
      </c>
      <c r="S137">
        <f>HYPERLINK("https://klasma.github.io/Logging_0188/artfynd/A 19829-2022 artfynd.xlsx", "A 19829-2022")</f>
        <v/>
      </c>
      <c r="T137">
        <f>HYPERLINK("https://klasma.github.io/Logging_0188/kartor/A 19829-2022 karta.png", "A 19829-2022")</f>
        <v/>
      </c>
      <c r="V137">
        <f>HYPERLINK("https://klasma.github.io/Logging_0188/klagomål/A 19829-2022 FSC-klagomål.docx", "A 19829-2022")</f>
        <v/>
      </c>
      <c r="W137">
        <f>HYPERLINK("https://klasma.github.io/Logging_0188/klagomålsmail/A 19829-2022 FSC-klagomål mail.docx", "A 19829-2022")</f>
        <v/>
      </c>
      <c r="X137">
        <f>HYPERLINK("https://klasma.github.io/Logging_0188/tillsyn/A 19829-2022 tillsynsbegäran.docx", "A 19829-2022")</f>
        <v/>
      </c>
      <c r="Y137">
        <f>HYPERLINK("https://klasma.github.io/Logging_0188/tillsynsmail/A 19829-2022 tillsynsbegäran mail.docx", "A 19829-2022")</f>
        <v/>
      </c>
    </row>
    <row r="138" ht="15" customHeight="1">
      <c r="A138" t="inlineStr">
        <is>
          <t>A 52508-2023</t>
        </is>
      </c>
      <c r="B138" s="1" t="n">
        <v>45225</v>
      </c>
      <c r="C138" s="1" t="n">
        <v>46030</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46030</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46030</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46030</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46030</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46030</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46030</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1970-2021</t>
        </is>
      </c>
      <c r="B145" s="1" t="n">
        <v>44210</v>
      </c>
      <c r="C145" s="1" t="n">
        <v>46030</v>
      </c>
      <c r="D145" t="inlineStr">
        <is>
          <t>STOCKHOLMS LÄN</t>
        </is>
      </c>
      <c r="E145" t="inlineStr">
        <is>
          <t>NORRTÄLJE</t>
        </is>
      </c>
      <c r="G145" t="n">
        <v>3.1</v>
      </c>
      <c r="H145" t="n">
        <v>0</v>
      </c>
      <c r="I145" t="n">
        <v>0</v>
      </c>
      <c r="J145" t="n">
        <v>0</v>
      </c>
      <c r="K145" t="n">
        <v>0</v>
      </c>
      <c r="L145" t="n">
        <v>0</v>
      </c>
      <c r="M145" t="n">
        <v>0</v>
      </c>
      <c r="N145" t="n">
        <v>0</v>
      </c>
      <c r="O145" t="n">
        <v>0</v>
      </c>
      <c r="P145" t="n">
        <v>0</v>
      </c>
      <c r="Q145" t="n">
        <v>0</v>
      </c>
      <c r="R145" s="2" t="inlineStr"/>
    </row>
    <row r="146" ht="15" customHeight="1">
      <c r="A146" t="inlineStr">
        <is>
          <t>A 1637-2021</t>
        </is>
      </c>
      <c r="B146" s="1" t="n">
        <v>44209</v>
      </c>
      <c r="C146" s="1" t="n">
        <v>46030</v>
      </c>
      <c r="D146" t="inlineStr">
        <is>
          <t>STOCKHOLMS LÄN</t>
        </is>
      </c>
      <c r="E146" t="inlineStr">
        <is>
          <t>NORRTÄLJE</t>
        </is>
      </c>
      <c r="G146" t="n">
        <v>1.6</v>
      </c>
      <c r="H146" t="n">
        <v>0</v>
      </c>
      <c r="I146" t="n">
        <v>0</v>
      </c>
      <c r="J146" t="n">
        <v>0</v>
      </c>
      <c r="K146" t="n">
        <v>0</v>
      </c>
      <c r="L146" t="n">
        <v>0</v>
      </c>
      <c r="M146" t="n">
        <v>0</v>
      </c>
      <c r="N146" t="n">
        <v>0</v>
      </c>
      <c r="O146" t="n">
        <v>0</v>
      </c>
      <c r="P146" t="n">
        <v>0</v>
      </c>
      <c r="Q146" t="n">
        <v>0</v>
      </c>
      <c r="R146" s="2" t="inlineStr"/>
    </row>
    <row r="147" ht="15" customHeight="1">
      <c r="A147" t="inlineStr">
        <is>
          <t>A 18580-2021</t>
        </is>
      </c>
      <c r="B147" s="1" t="n">
        <v>44306</v>
      </c>
      <c r="C147" s="1" t="n">
        <v>46030</v>
      </c>
      <c r="D147" t="inlineStr">
        <is>
          <t>STOCKHOLMS LÄN</t>
        </is>
      </c>
      <c r="E147" t="inlineStr">
        <is>
          <t>NORRTÄLJE</t>
        </is>
      </c>
      <c r="F147" t="inlineStr">
        <is>
          <t>Holmen skog AB</t>
        </is>
      </c>
      <c r="G147" t="n">
        <v>1.2</v>
      </c>
      <c r="H147" t="n">
        <v>0</v>
      </c>
      <c r="I147" t="n">
        <v>0</v>
      </c>
      <c r="J147" t="n">
        <v>0</v>
      </c>
      <c r="K147" t="n">
        <v>0</v>
      </c>
      <c r="L147" t="n">
        <v>0</v>
      </c>
      <c r="M147" t="n">
        <v>0</v>
      </c>
      <c r="N147" t="n">
        <v>0</v>
      </c>
      <c r="O147" t="n">
        <v>0</v>
      </c>
      <c r="P147" t="n">
        <v>0</v>
      </c>
      <c r="Q147" t="n">
        <v>0</v>
      </c>
      <c r="R147" s="2" t="inlineStr"/>
    </row>
    <row r="148" ht="15" customHeight="1">
      <c r="A148" t="inlineStr">
        <is>
          <t>A 12877-2022</t>
        </is>
      </c>
      <c r="B148" s="1" t="n">
        <v>44642</v>
      </c>
      <c r="C148" s="1" t="n">
        <v>46030</v>
      </c>
      <c r="D148" t="inlineStr">
        <is>
          <t>STOCKHOLMS LÄN</t>
        </is>
      </c>
      <c r="E148" t="inlineStr">
        <is>
          <t>NORRTÄLJE</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46030</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46030</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46030</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46030</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15289-2021</t>
        </is>
      </c>
      <c r="B153" s="1" t="n">
        <v>44284.59546296296</v>
      </c>
      <c r="C153" s="1" t="n">
        <v>46030</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46030</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46030</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46030</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46030</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24977-2022</t>
        </is>
      </c>
      <c r="B158" s="1" t="n">
        <v>44728.73465277778</v>
      </c>
      <c r="C158" s="1" t="n">
        <v>46030</v>
      </c>
      <c r="D158" t="inlineStr">
        <is>
          <t>STOCKHOLMS LÄN</t>
        </is>
      </c>
      <c r="E158" t="inlineStr">
        <is>
          <t>NORRTÄLJE</t>
        </is>
      </c>
      <c r="F158" t="inlineStr">
        <is>
          <t>Kyrkan</t>
        </is>
      </c>
      <c r="G158" t="n">
        <v>1</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46030</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46030</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46030</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46030</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11821-2022</t>
        </is>
      </c>
      <c r="B163" s="1" t="n">
        <v>44634</v>
      </c>
      <c r="C163" s="1" t="n">
        <v>46030</v>
      </c>
      <c r="D163" t="inlineStr">
        <is>
          <t>STOCKHOLMS LÄN</t>
        </is>
      </c>
      <c r="E163" t="inlineStr">
        <is>
          <t>NORRTÄLJE</t>
        </is>
      </c>
      <c r="G163" t="n">
        <v>1.1</v>
      </c>
      <c r="H163" t="n">
        <v>0</v>
      </c>
      <c r="I163" t="n">
        <v>0</v>
      </c>
      <c r="J163" t="n">
        <v>0</v>
      </c>
      <c r="K163" t="n">
        <v>0</v>
      </c>
      <c r="L163" t="n">
        <v>0</v>
      </c>
      <c r="M163" t="n">
        <v>0</v>
      </c>
      <c r="N163" t="n">
        <v>0</v>
      </c>
      <c r="O163" t="n">
        <v>0</v>
      </c>
      <c r="P163" t="n">
        <v>0</v>
      </c>
      <c r="Q163" t="n">
        <v>0</v>
      </c>
      <c r="R163" s="2" t="inlineStr"/>
    </row>
    <row r="164" ht="15" customHeight="1">
      <c r="A164" t="inlineStr">
        <is>
          <t>A 2977-2022</t>
        </is>
      </c>
      <c r="B164" s="1" t="n">
        <v>44581.75819444445</v>
      </c>
      <c r="C164" s="1" t="n">
        <v>46030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31283-2022</t>
        </is>
      </c>
      <c r="B165" s="1" t="n">
        <v>44771</v>
      </c>
      <c r="C165" s="1" t="n">
        <v>46030</v>
      </c>
      <c r="D165" t="inlineStr">
        <is>
          <t>STOCKHOLMS LÄN</t>
        </is>
      </c>
      <c r="E165" t="inlineStr">
        <is>
          <t>NORRTÄLJE</t>
        </is>
      </c>
      <c r="G165" t="n">
        <v>0.5</v>
      </c>
      <c r="H165" t="n">
        <v>0</v>
      </c>
      <c r="I165" t="n">
        <v>0</v>
      </c>
      <c r="J165" t="n">
        <v>0</v>
      </c>
      <c r="K165" t="n">
        <v>0</v>
      </c>
      <c r="L165" t="n">
        <v>0</v>
      </c>
      <c r="M165" t="n">
        <v>0</v>
      </c>
      <c r="N165" t="n">
        <v>0</v>
      </c>
      <c r="O165" t="n">
        <v>0</v>
      </c>
      <c r="P165" t="n">
        <v>0</v>
      </c>
      <c r="Q165" t="n">
        <v>0</v>
      </c>
      <c r="R165" s="2" t="inlineStr"/>
    </row>
    <row r="166" ht="15" customHeight="1">
      <c r="A166" t="inlineStr">
        <is>
          <t>A 56225-2021</t>
        </is>
      </c>
      <c r="B166" s="1" t="n">
        <v>44477.94327546296</v>
      </c>
      <c r="C166" s="1" t="n">
        <v>46030</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46030</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46030</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46030</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65737-2021</t>
        </is>
      </c>
      <c r="B170" s="1" t="n">
        <v>44516.72827546296</v>
      </c>
      <c r="C170" s="1" t="n">
        <v>46030</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46030</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43374-2022</t>
        </is>
      </c>
      <c r="B172" s="1" t="n">
        <v>44834</v>
      </c>
      <c r="C172" s="1" t="n">
        <v>46030</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37712-2021</t>
        </is>
      </c>
      <c r="B173" s="1" t="n">
        <v>44400</v>
      </c>
      <c r="C173" s="1" t="n">
        <v>46030</v>
      </c>
      <c r="D173" t="inlineStr">
        <is>
          <t>STOCKHOLMS LÄN</t>
        </is>
      </c>
      <c r="E173" t="inlineStr">
        <is>
          <t>NORRTÄLJE</t>
        </is>
      </c>
      <c r="G173" t="n">
        <v>22.9</v>
      </c>
      <c r="H173" t="n">
        <v>0</v>
      </c>
      <c r="I173" t="n">
        <v>0</v>
      </c>
      <c r="J173" t="n">
        <v>0</v>
      </c>
      <c r="K173" t="n">
        <v>0</v>
      </c>
      <c r="L173" t="n">
        <v>0</v>
      </c>
      <c r="M173" t="n">
        <v>0</v>
      </c>
      <c r="N173" t="n">
        <v>0</v>
      </c>
      <c r="O173" t="n">
        <v>0</v>
      </c>
      <c r="P173" t="n">
        <v>0</v>
      </c>
      <c r="Q173" t="n">
        <v>0</v>
      </c>
      <c r="R173" s="2" t="inlineStr"/>
    </row>
    <row r="174" ht="15" customHeight="1">
      <c r="A174" t="inlineStr">
        <is>
          <t>A 9719-2021</t>
        </is>
      </c>
      <c r="B174" s="1" t="n">
        <v>44252</v>
      </c>
      <c r="C174" s="1" t="n">
        <v>46030</v>
      </c>
      <c r="D174" t="inlineStr">
        <is>
          <t>STOCKHOLMS LÄN</t>
        </is>
      </c>
      <c r="E174" t="inlineStr">
        <is>
          <t>NORRTÄLJE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48384-2021</t>
        </is>
      </c>
      <c r="B175" s="1" t="n">
        <v>44451</v>
      </c>
      <c r="C175" s="1" t="n">
        <v>46030</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48492-2022</t>
        </is>
      </c>
      <c r="B176" s="1" t="n">
        <v>44858</v>
      </c>
      <c r="C176" s="1" t="n">
        <v>46030</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8338-2021</t>
        </is>
      </c>
      <c r="B177" s="1" t="n">
        <v>44244</v>
      </c>
      <c r="C177" s="1" t="n">
        <v>46030</v>
      </c>
      <c r="D177" t="inlineStr">
        <is>
          <t>STOCKHOLMS LÄN</t>
        </is>
      </c>
      <c r="E177" t="inlineStr">
        <is>
          <t>NORRTÄLJE</t>
        </is>
      </c>
      <c r="G177" t="n">
        <v>1.4</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46030</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46030</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18905-2022</t>
        </is>
      </c>
      <c r="B180" s="1" t="n">
        <v>44690</v>
      </c>
      <c r="C180" s="1" t="n">
        <v>46030</v>
      </c>
      <c r="D180" t="inlineStr">
        <is>
          <t>STOCKHOLMS LÄN</t>
        </is>
      </c>
      <c r="E180" t="inlineStr">
        <is>
          <t>NORRTÄLJE</t>
        </is>
      </c>
      <c r="G180" t="n">
        <v>0.7</v>
      </c>
      <c r="H180" t="n">
        <v>0</v>
      </c>
      <c r="I180" t="n">
        <v>0</v>
      </c>
      <c r="J180" t="n">
        <v>0</v>
      </c>
      <c r="K180" t="n">
        <v>0</v>
      </c>
      <c r="L180" t="n">
        <v>0</v>
      </c>
      <c r="M180" t="n">
        <v>0</v>
      </c>
      <c r="N180" t="n">
        <v>0</v>
      </c>
      <c r="O180" t="n">
        <v>0</v>
      </c>
      <c r="P180" t="n">
        <v>0</v>
      </c>
      <c r="Q180" t="n">
        <v>0</v>
      </c>
      <c r="R180" s="2" t="inlineStr"/>
    </row>
    <row r="181" ht="15" customHeight="1">
      <c r="A181" t="inlineStr">
        <is>
          <t>A 17777-2022</t>
        </is>
      </c>
      <c r="B181" s="1" t="n">
        <v>44682.79203703703</v>
      </c>
      <c r="C181" s="1" t="n">
        <v>46030</v>
      </c>
      <c r="D181" t="inlineStr">
        <is>
          <t>STOCKHOLMS LÄN</t>
        </is>
      </c>
      <c r="E181" t="inlineStr">
        <is>
          <t>NORRTÄLJE</t>
        </is>
      </c>
      <c r="G181" t="n">
        <v>3.7</v>
      </c>
      <c r="H181" t="n">
        <v>0</v>
      </c>
      <c r="I181" t="n">
        <v>0</v>
      </c>
      <c r="J181" t="n">
        <v>0</v>
      </c>
      <c r="K181" t="n">
        <v>0</v>
      </c>
      <c r="L181" t="n">
        <v>0</v>
      </c>
      <c r="M181" t="n">
        <v>0</v>
      </c>
      <c r="N181" t="n">
        <v>0</v>
      </c>
      <c r="O181" t="n">
        <v>0</v>
      </c>
      <c r="P181" t="n">
        <v>0</v>
      </c>
      <c r="Q181" t="n">
        <v>0</v>
      </c>
      <c r="R181" s="2" t="inlineStr"/>
    </row>
    <row r="182" ht="15" customHeight="1">
      <c r="A182" t="inlineStr">
        <is>
          <t>A 21723-2022</t>
        </is>
      </c>
      <c r="B182" s="1" t="n">
        <v>44708</v>
      </c>
      <c r="C182" s="1" t="n">
        <v>46030</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12816-2022</t>
        </is>
      </c>
      <c r="B183" s="1" t="n">
        <v>44642</v>
      </c>
      <c r="C183" s="1" t="n">
        <v>46030</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31807-2022</t>
        </is>
      </c>
      <c r="B184" s="1" t="n">
        <v>44776</v>
      </c>
      <c r="C184" s="1" t="n">
        <v>46030</v>
      </c>
      <c r="D184" t="inlineStr">
        <is>
          <t>STOCKHOLMS LÄN</t>
        </is>
      </c>
      <c r="E184" t="inlineStr">
        <is>
          <t>NORRTÄLJE</t>
        </is>
      </c>
      <c r="G184" t="n">
        <v>2.5</v>
      </c>
      <c r="H184" t="n">
        <v>0</v>
      </c>
      <c r="I184" t="n">
        <v>0</v>
      </c>
      <c r="J184" t="n">
        <v>0</v>
      </c>
      <c r="K184" t="n">
        <v>0</v>
      </c>
      <c r="L184" t="n">
        <v>0</v>
      </c>
      <c r="M184" t="n">
        <v>0</v>
      </c>
      <c r="N184" t="n">
        <v>0</v>
      </c>
      <c r="O184" t="n">
        <v>0</v>
      </c>
      <c r="P184" t="n">
        <v>0</v>
      </c>
      <c r="Q184" t="n">
        <v>0</v>
      </c>
      <c r="R184" s="2" t="inlineStr"/>
    </row>
    <row r="185" ht="15" customHeight="1">
      <c r="A185" t="inlineStr">
        <is>
          <t>A 28209-2022</t>
        </is>
      </c>
      <c r="B185" s="1" t="n">
        <v>44746</v>
      </c>
      <c r="C185" s="1" t="n">
        <v>46030</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2447-2021</t>
        </is>
      </c>
      <c r="B186" s="1" t="n">
        <v>44214</v>
      </c>
      <c r="C186" s="1" t="n">
        <v>46030</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18609-2021</t>
        </is>
      </c>
      <c r="B187" s="1" t="n">
        <v>44306</v>
      </c>
      <c r="C187" s="1" t="n">
        <v>46030</v>
      </c>
      <c r="D187" t="inlineStr">
        <is>
          <t>STOCKHOLMS LÄN</t>
        </is>
      </c>
      <c r="E187" t="inlineStr">
        <is>
          <t>NORRTÄLJE</t>
        </is>
      </c>
      <c r="G187" t="n">
        <v>9.5</v>
      </c>
      <c r="H187" t="n">
        <v>0</v>
      </c>
      <c r="I187" t="n">
        <v>0</v>
      </c>
      <c r="J187" t="n">
        <v>0</v>
      </c>
      <c r="K187" t="n">
        <v>0</v>
      </c>
      <c r="L187" t="n">
        <v>0</v>
      </c>
      <c r="M187" t="n">
        <v>0</v>
      </c>
      <c r="N187" t="n">
        <v>0</v>
      </c>
      <c r="O187" t="n">
        <v>0</v>
      </c>
      <c r="P187" t="n">
        <v>0</v>
      </c>
      <c r="Q187" t="n">
        <v>0</v>
      </c>
      <c r="R187" s="2" t="inlineStr"/>
    </row>
    <row r="188" ht="15" customHeight="1">
      <c r="A188" t="inlineStr">
        <is>
          <t>A 24534-2022</t>
        </is>
      </c>
      <c r="B188" s="1" t="n">
        <v>44727</v>
      </c>
      <c r="C188" s="1" t="n">
        <v>46030</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46030</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46030</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46030</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60186-2021</t>
        </is>
      </c>
      <c r="B192" s="1" t="n">
        <v>44495</v>
      </c>
      <c r="C192" s="1" t="n">
        <v>46030</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28959-2022</t>
        </is>
      </c>
      <c r="B193" s="1" t="n">
        <v>44749.61980324074</v>
      </c>
      <c r="C193" s="1" t="n">
        <v>46030</v>
      </c>
      <c r="D193" t="inlineStr">
        <is>
          <t>STOCKHOLMS LÄN</t>
        </is>
      </c>
      <c r="E193" t="inlineStr">
        <is>
          <t>NORRTÄLJE</t>
        </is>
      </c>
      <c r="G193" t="n">
        <v>5.2</v>
      </c>
      <c r="H193" t="n">
        <v>0</v>
      </c>
      <c r="I193" t="n">
        <v>0</v>
      </c>
      <c r="J193" t="n">
        <v>0</v>
      </c>
      <c r="K193" t="n">
        <v>0</v>
      </c>
      <c r="L193" t="n">
        <v>0</v>
      </c>
      <c r="M193" t="n">
        <v>0</v>
      </c>
      <c r="N193" t="n">
        <v>0</v>
      </c>
      <c r="O193" t="n">
        <v>0</v>
      </c>
      <c r="P193" t="n">
        <v>0</v>
      </c>
      <c r="Q193" t="n">
        <v>0</v>
      </c>
      <c r="R193" s="2" t="inlineStr"/>
    </row>
    <row r="194" ht="15" customHeight="1">
      <c r="A194" t="inlineStr">
        <is>
          <t>A 54340-2022</t>
        </is>
      </c>
      <c r="B194" s="1" t="n">
        <v>44882.44732638889</v>
      </c>
      <c r="C194" s="1" t="n">
        <v>46030</v>
      </c>
      <c r="D194" t="inlineStr">
        <is>
          <t>STOCKHOLMS LÄN</t>
        </is>
      </c>
      <c r="E194" t="inlineStr">
        <is>
          <t>NORRTÄLJE</t>
        </is>
      </c>
      <c r="G194" t="n">
        <v>6.7</v>
      </c>
      <c r="H194" t="n">
        <v>0</v>
      </c>
      <c r="I194" t="n">
        <v>0</v>
      </c>
      <c r="J194" t="n">
        <v>0</v>
      </c>
      <c r="K194" t="n">
        <v>0</v>
      </c>
      <c r="L194" t="n">
        <v>0</v>
      </c>
      <c r="M194" t="n">
        <v>0</v>
      </c>
      <c r="N194" t="n">
        <v>0</v>
      </c>
      <c r="O194" t="n">
        <v>0</v>
      </c>
      <c r="P194" t="n">
        <v>0</v>
      </c>
      <c r="Q194" t="n">
        <v>0</v>
      </c>
      <c r="R194" s="2" t="inlineStr"/>
    </row>
    <row r="195" ht="15" customHeight="1">
      <c r="A195" t="inlineStr">
        <is>
          <t>A 54355-2022</t>
        </is>
      </c>
      <c r="B195" s="1" t="n">
        <v>44882</v>
      </c>
      <c r="C195" s="1" t="n">
        <v>46030</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72308-2021</t>
        </is>
      </c>
      <c r="B196" s="1" t="n">
        <v>44545.4189699074</v>
      </c>
      <c r="C196" s="1" t="n">
        <v>46030</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14381-2021</t>
        </is>
      </c>
      <c r="B197" s="1" t="n">
        <v>44279</v>
      </c>
      <c r="C197" s="1" t="n">
        <v>46030</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20073-2021</t>
        </is>
      </c>
      <c r="B198" s="1" t="n">
        <v>44314</v>
      </c>
      <c r="C198" s="1" t="n">
        <v>46030</v>
      </c>
      <c r="D198" t="inlineStr">
        <is>
          <t>STOCKHOLMS LÄN</t>
        </is>
      </c>
      <c r="E198" t="inlineStr">
        <is>
          <t>NORRTÄLJE</t>
        </is>
      </c>
      <c r="G198" t="n">
        <v>4.6</v>
      </c>
      <c r="H198" t="n">
        <v>0</v>
      </c>
      <c r="I198" t="n">
        <v>0</v>
      </c>
      <c r="J198" t="n">
        <v>0</v>
      </c>
      <c r="K198" t="n">
        <v>0</v>
      </c>
      <c r="L198" t="n">
        <v>0</v>
      </c>
      <c r="M198" t="n">
        <v>0</v>
      </c>
      <c r="N198" t="n">
        <v>0</v>
      </c>
      <c r="O198" t="n">
        <v>0</v>
      </c>
      <c r="P198" t="n">
        <v>0</v>
      </c>
      <c r="Q198" t="n">
        <v>0</v>
      </c>
      <c r="R198" s="2" t="inlineStr"/>
    </row>
    <row r="199" ht="15" customHeight="1">
      <c r="A199" t="inlineStr">
        <is>
          <t>A 17703-2021</t>
        </is>
      </c>
      <c r="B199" s="1" t="n">
        <v>44300</v>
      </c>
      <c r="C199" s="1" t="n">
        <v>46030</v>
      </c>
      <c r="D199" t="inlineStr">
        <is>
          <t>STOCKHOLMS LÄN</t>
        </is>
      </c>
      <c r="E199" t="inlineStr">
        <is>
          <t>NORRTÄLJE</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23770-2022</t>
        </is>
      </c>
      <c r="B200" s="1" t="n">
        <v>44722</v>
      </c>
      <c r="C200" s="1" t="n">
        <v>46030</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27538-2022</t>
        </is>
      </c>
      <c r="B201" s="1" t="n">
        <v>44742</v>
      </c>
      <c r="C201" s="1" t="n">
        <v>46030</v>
      </c>
      <c r="D201" t="inlineStr">
        <is>
          <t>STOCKHOLMS LÄN</t>
        </is>
      </c>
      <c r="E201" t="inlineStr">
        <is>
          <t>NORRTÄLJE</t>
        </is>
      </c>
      <c r="G201" t="n">
        <v>2.2</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46030</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36975-2022</t>
        </is>
      </c>
      <c r="B203" s="1" t="n">
        <v>44806.34577546296</v>
      </c>
      <c r="C203" s="1" t="n">
        <v>46030</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46030</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23122-2021</t>
        </is>
      </c>
      <c r="B205" s="1" t="n">
        <v>44330</v>
      </c>
      <c r="C205" s="1" t="n">
        <v>46030</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23123-2021</t>
        </is>
      </c>
      <c r="B206" s="1" t="n">
        <v>44330</v>
      </c>
      <c r="C206" s="1" t="n">
        <v>46030</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64599-2021</t>
        </is>
      </c>
      <c r="B207" s="1" t="n">
        <v>44511.69885416667</v>
      </c>
      <c r="C207" s="1" t="n">
        <v>46030</v>
      </c>
      <c r="D207" t="inlineStr">
        <is>
          <t>STOCKHOLMS LÄN</t>
        </is>
      </c>
      <c r="E207" t="inlineStr">
        <is>
          <t>NORRTÄLJE</t>
        </is>
      </c>
      <c r="G207" t="n">
        <v>1.1</v>
      </c>
      <c r="H207" t="n">
        <v>0</v>
      </c>
      <c r="I207" t="n">
        <v>0</v>
      </c>
      <c r="J207" t="n">
        <v>0</v>
      </c>
      <c r="K207" t="n">
        <v>0</v>
      </c>
      <c r="L207" t="n">
        <v>0</v>
      </c>
      <c r="M207" t="n">
        <v>0</v>
      </c>
      <c r="N207" t="n">
        <v>0</v>
      </c>
      <c r="O207" t="n">
        <v>0</v>
      </c>
      <c r="P207" t="n">
        <v>0</v>
      </c>
      <c r="Q207" t="n">
        <v>0</v>
      </c>
      <c r="R207" s="2" t="inlineStr"/>
    </row>
    <row r="208" ht="15" customHeight="1">
      <c r="A208" t="inlineStr">
        <is>
          <t>A 64212-2021</t>
        </is>
      </c>
      <c r="B208" s="1" t="n">
        <v>44510</v>
      </c>
      <c r="C208" s="1" t="n">
        <v>46030</v>
      </c>
      <c r="D208" t="inlineStr">
        <is>
          <t>STOCKHOLMS LÄN</t>
        </is>
      </c>
      <c r="E208" t="inlineStr">
        <is>
          <t>NORRTÄLJE</t>
        </is>
      </c>
      <c r="G208" t="n">
        <v>28.7</v>
      </c>
      <c r="H208" t="n">
        <v>0</v>
      </c>
      <c r="I208" t="n">
        <v>0</v>
      </c>
      <c r="J208" t="n">
        <v>0</v>
      </c>
      <c r="K208" t="n">
        <v>0</v>
      </c>
      <c r="L208" t="n">
        <v>0</v>
      </c>
      <c r="M208" t="n">
        <v>0</v>
      </c>
      <c r="N208" t="n">
        <v>0</v>
      </c>
      <c r="O208" t="n">
        <v>0</v>
      </c>
      <c r="P208" t="n">
        <v>0</v>
      </c>
      <c r="Q208" t="n">
        <v>0</v>
      </c>
      <c r="R208" s="2" t="inlineStr"/>
    </row>
    <row r="209" ht="15" customHeight="1">
      <c r="A209" t="inlineStr">
        <is>
          <t>A 47349-2021</t>
        </is>
      </c>
      <c r="B209" s="1" t="n">
        <v>44447</v>
      </c>
      <c r="C209" s="1" t="n">
        <v>46030</v>
      </c>
      <c r="D209" t="inlineStr">
        <is>
          <t>STOCKHOLMS LÄN</t>
        </is>
      </c>
      <c r="E209" t="inlineStr">
        <is>
          <t>NORRTÄLJE</t>
        </is>
      </c>
      <c r="G209" t="n">
        <v>3.3</v>
      </c>
      <c r="H209" t="n">
        <v>0</v>
      </c>
      <c r="I209" t="n">
        <v>0</v>
      </c>
      <c r="J209" t="n">
        <v>0</v>
      </c>
      <c r="K209" t="n">
        <v>0</v>
      </c>
      <c r="L209" t="n">
        <v>0</v>
      </c>
      <c r="M209" t="n">
        <v>0</v>
      </c>
      <c r="N209" t="n">
        <v>0</v>
      </c>
      <c r="O209" t="n">
        <v>0</v>
      </c>
      <c r="P209" t="n">
        <v>0</v>
      </c>
      <c r="Q209" t="n">
        <v>0</v>
      </c>
      <c r="R209" s="2" t="inlineStr"/>
    </row>
    <row r="210" ht="15" customHeight="1">
      <c r="A210" t="inlineStr">
        <is>
          <t>A 36565-2021</t>
        </is>
      </c>
      <c r="B210" s="1" t="n">
        <v>44391.5580787037</v>
      </c>
      <c r="C210" s="1" t="n">
        <v>46030</v>
      </c>
      <c r="D210" t="inlineStr">
        <is>
          <t>STOCKHOLMS LÄN</t>
        </is>
      </c>
      <c r="E210" t="inlineStr">
        <is>
          <t>NORRTÄLJE</t>
        </is>
      </c>
      <c r="G210" t="n">
        <v>1.8</v>
      </c>
      <c r="H210" t="n">
        <v>0</v>
      </c>
      <c r="I210" t="n">
        <v>0</v>
      </c>
      <c r="J210" t="n">
        <v>0</v>
      </c>
      <c r="K210" t="n">
        <v>0</v>
      </c>
      <c r="L210" t="n">
        <v>0</v>
      </c>
      <c r="M210" t="n">
        <v>0</v>
      </c>
      <c r="N210" t="n">
        <v>0</v>
      </c>
      <c r="O210" t="n">
        <v>0</v>
      </c>
      <c r="P210" t="n">
        <v>0</v>
      </c>
      <c r="Q210" t="n">
        <v>0</v>
      </c>
      <c r="R210" s="2" t="inlineStr"/>
    </row>
    <row r="211" ht="15" customHeight="1">
      <c r="A211" t="inlineStr">
        <is>
          <t>A 44274-2021</t>
        </is>
      </c>
      <c r="B211" s="1" t="n">
        <v>44435</v>
      </c>
      <c r="C211" s="1" t="n">
        <v>46030</v>
      </c>
      <c r="D211" t="inlineStr">
        <is>
          <t>STOCKHOLMS LÄN</t>
        </is>
      </c>
      <c r="E211" t="inlineStr">
        <is>
          <t>NORRTÄLJE</t>
        </is>
      </c>
      <c r="G211" t="n">
        <v>1</v>
      </c>
      <c r="H211" t="n">
        <v>0</v>
      </c>
      <c r="I211" t="n">
        <v>0</v>
      </c>
      <c r="J211" t="n">
        <v>0</v>
      </c>
      <c r="K211" t="n">
        <v>0</v>
      </c>
      <c r="L211" t="n">
        <v>0</v>
      </c>
      <c r="M211" t="n">
        <v>0</v>
      </c>
      <c r="N211" t="n">
        <v>0</v>
      </c>
      <c r="O211" t="n">
        <v>0</v>
      </c>
      <c r="P211" t="n">
        <v>0</v>
      </c>
      <c r="Q211" t="n">
        <v>0</v>
      </c>
      <c r="R211" s="2" t="inlineStr"/>
    </row>
    <row r="212" ht="15" customHeight="1">
      <c r="A212" t="inlineStr">
        <is>
          <t>A 50970-2022</t>
        </is>
      </c>
      <c r="B212" s="1" t="n">
        <v>44867</v>
      </c>
      <c r="C212" s="1" t="n">
        <v>46030</v>
      </c>
      <c r="D212" t="inlineStr">
        <is>
          <t>STOCKHOLMS LÄN</t>
        </is>
      </c>
      <c r="E212" t="inlineStr">
        <is>
          <t>NORRTÄLJE</t>
        </is>
      </c>
      <c r="G212" t="n">
        <v>9</v>
      </c>
      <c r="H212" t="n">
        <v>0</v>
      </c>
      <c r="I212" t="n">
        <v>0</v>
      </c>
      <c r="J212" t="n">
        <v>0</v>
      </c>
      <c r="K212" t="n">
        <v>0</v>
      </c>
      <c r="L212" t="n">
        <v>0</v>
      </c>
      <c r="M212" t="n">
        <v>0</v>
      </c>
      <c r="N212" t="n">
        <v>0</v>
      </c>
      <c r="O212" t="n">
        <v>0</v>
      </c>
      <c r="P212" t="n">
        <v>0</v>
      </c>
      <c r="Q212" t="n">
        <v>0</v>
      </c>
      <c r="R212" s="2" t="inlineStr"/>
    </row>
    <row r="213" ht="15" customHeight="1">
      <c r="A213" t="inlineStr">
        <is>
          <t>A 49113-2021</t>
        </is>
      </c>
      <c r="B213" s="1" t="n">
        <v>44453</v>
      </c>
      <c r="C213" s="1" t="n">
        <v>46030</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64628-2021</t>
        </is>
      </c>
      <c r="B214" s="1" t="n">
        <v>44511</v>
      </c>
      <c r="C214" s="1" t="n">
        <v>46030</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46030</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32561-2021</t>
        </is>
      </c>
      <c r="B216" s="1" t="n">
        <v>44375</v>
      </c>
      <c r="C216" s="1" t="n">
        <v>46030</v>
      </c>
      <c r="D216" t="inlineStr">
        <is>
          <t>STOCKHOLMS LÄN</t>
        </is>
      </c>
      <c r="E216" t="inlineStr">
        <is>
          <t>NORRTÄLJE</t>
        </is>
      </c>
      <c r="G216" t="n">
        <v>3.4</v>
      </c>
      <c r="H216" t="n">
        <v>0</v>
      </c>
      <c r="I216" t="n">
        <v>0</v>
      </c>
      <c r="J216" t="n">
        <v>0</v>
      </c>
      <c r="K216" t="n">
        <v>0</v>
      </c>
      <c r="L216" t="n">
        <v>0</v>
      </c>
      <c r="M216" t="n">
        <v>0</v>
      </c>
      <c r="N216" t="n">
        <v>0</v>
      </c>
      <c r="O216" t="n">
        <v>0</v>
      </c>
      <c r="P216" t="n">
        <v>0</v>
      </c>
      <c r="Q216" t="n">
        <v>0</v>
      </c>
      <c r="R216" s="2" t="inlineStr"/>
    </row>
    <row r="217" ht="15" customHeight="1">
      <c r="A217" t="inlineStr">
        <is>
          <t>A 60209-2021</t>
        </is>
      </c>
      <c r="B217" s="1" t="n">
        <v>44495</v>
      </c>
      <c r="C217" s="1" t="n">
        <v>46030</v>
      </c>
      <c r="D217" t="inlineStr">
        <is>
          <t>STOCKHOLMS LÄN</t>
        </is>
      </c>
      <c r="E217" t="inlineStr">
        <is>
          <t>NORRTÄLJE</t>
        </is>
      </c>
      <c r="G217" t="n">
        <v>4.3</v>
      </c>
      <c r="H217" t="n">
        <v>0</v>
      </c>
      <c r="I217" t="n">
        <v>0</v>
      </c>
      <c r="J217" t="n">
        <v>0</v>
      </c>
      <c r="K217" t="n">
        <v>0</v>
      </c>
      <c r="L217" t="n">
        <v>0</v>
      </c>
      <c r="M217" t="n">
        <v>0</v>
      </c>
      <c r="N217" t="n">
        <v>0</v>
      </c>
      <c r="O217" t="n">
        <v>0</v>
      </c>
      <c r="P217" t="n">
        <v>0</v>
      </c>
      <c r="Q217" t="n">
        <v>0</v>
      </c>
      <c r="R217" s="2" t="inlineStr"/>
    </row>
    <row r="218" ht="15" customHeight="1">
      <c r="A218" t="inlineStr">
        <is>
          <t>A 71325-2021</t>
        </is>
      </c>
      <c r="B218" s="1" t="n">
        <v>44539</v>
      </c>
      <c r="C218" s="1" t="n">
        <v>46030</v>
      </c>
      <c r="D218" t="inlineStr">
        <is>
          <t>STOCKHOLMS LÄN</t>
        </is>
      </c>
      <c r="E218" t="inlineStr">
        <is>
          <t>NORRTÄLJE</t>
        </is>
      </c>
      <c r="G218" t="n">
        <v>2.1</v>
      </c>
      <c r="H218" t="n">
        <v>0</v>
      </c>
      <c r="I218" t="n">
        <v>0</v>
      </c>
      <c r="J218" t="n">
        <v>0</v>
      </c>
      <c r="K218" t="n">
        <v>0</v>
      </c>
      <c r="L218" t="n">
        <v>0</v>
      </c>
      <c r="M218" t="n">
        <v>0</v>
      </c>
      <c r="N218" t="n">
        <v>0</v>
      </c>
      <c r="O218" t="n">
        <v>0</v>
      </c>
      <c r="P218" t="n">
        <v>0</v>
      </c>
      <c r="Q218" t="n">
        <v>0</v>
      </c>
      <c r="R218" s="2" t="inlineStr"/>
    </row>
    <row r="219" ht="15" customHeight="1">
      <c r="A219" t="inlineStr">
        <is>
          <t>A 60813-2021</t>
        </is>
      </c>
      <c r="B219" s="1" t="n">
        <v>44496</v>
      </c>
      <c r="C219" s="1" t="n">
        <v>46030</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46030</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46030</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46030</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5351-2022</t>
        </is>
      </c>
      <c r="B223" s="1" t="n">
        <v>44594.75950231482</v>
      </c>
      <c r="C223" s="1" t="n">
        <v>46030</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46030</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46030</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46030</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46030</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46030</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46030</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46030</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46030</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46030</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72355-2021</t>
        </is>
      </c>
      <c r="B233" s="1" t="n">
        <v>44545</v>
      </c>
      <c r="C233" s="1" t="n">
        <v>46030</v>
      </c>
      <c r="D233" t="inlineStr">
        <is>
          <t>STOCKHOLMS LÄN</t>
        </is>
      </c>
      <c r="E233" t="inlineStr">
        <is>
          <t>NORRTÄLJE</t>
        </is>
      </c>
      <c r="G233" t="n">
        <v>3.6</v>
      </c>
      <c r="H233" t="n">
        <v>0</v>
      </c>
      <c r="I233" t="n">
        <v>0</v>
      </c>
      <c r="J233" t="n">
        <v>0</v>
      </c>
      <c r="K233" t="n">
        <v>0</v>
      </c>
      <c r="L233" t="n">
        <v>0</v>
      </c>
      <c r="M233" t="n">
        <v>0</v>
      </c>
      <c r="N233" t="n">
        <v>0</v>
      </c>
      <c r="O233" t="n">
        <v>0</v>
      </c>
      <c r="P233" t="n">
        <v>0</v>
      </c>
      <c r="Q233" t="n">
        <v>0</v>
      </c>
      <c r="R233" s="2" t="inlineStr"/>
    </row>
    <row r="234" ht="15" customHeight="1">
      <c r="A234" t="inlineStr">
        <is>
          <t>A 72357-2021</t>
        </is>
      </c>
      <c r="B234" s="1" t="n">
        <v>44545</v>
      </c>
      <c r="C234" s="1" t="n">
        <v>46030</v>
      </c>
      <c r="D234" t="inlineStr">
        <is>
          <t>STOCKHOLMS LÄN</t>
        </is>
      </c>
      <c r="E234" t="inlineStr">
        <is>
          <t>NORRTÄLJE</t>
        </is>
      </c>
      <c r="G234" t="n">
        <v>5.1</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46030</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46030</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46030</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46030</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46030</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46030</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46030</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46030</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46030</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46030</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1968-2022</t>
        </is>
      </c>
      <c r="B245" s="1" t="n">
        <v>44575.52831018518</v>
      </c>
      <c r="C245" s="1" t="n">
        <v>46030</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46030</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46030</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24167-2022</t>
        </is>
      </c>
      <c r="B248" s="1" t="n">
        <v>44725.49491898148</v>
      </c>
      <c r="C248" s="1" t="n">
        <v>46030</v>
      </c>
      <c r="D248" t="inlineStr">
        <is>
          <t>STOCKHOLMS LÄN</t>
        </is>
      </c>
      <c r="E248" t="inlineStr">
        <is>
          <t>NORRTÄLJE</t>
        </is>
      </c>
      <c r="G248" t="n">
        <v>3.4</v>
      </c>
      <c r="H248" t="n">
        <v>0</v>
      </c>
      <c r="I248" t="n">
        <v>0</v>
      </c>
      <c r="J248" t="n">
        <v>0</v>
      </c>
      <c r="K248" t="n">
        <v>0</v>
      </c>
      <c r="L248" t="n">
        <v>0</v>
      </c>
      <c r="M248" t="n">
        <v>0</v>
      </c>
      <c r="N248" t="n">
        <v>0</v>
      </c>
      <c r="O248" t="n">
        <v>0</v>
      </c>
      <c r="P248" t="n">
        <v>0</v>
      </c>
      <c r="Q248" t="n">
        <v>0</v>
      </c>
      <c r="R248" s="2" t="inlineStr"/>
    </row>
    <row r="249" ht="15" customHeight="1">
      <c r="A249" t="inlineStr">
        <is>
          <t>A 42396-2021</t>
        </is>
      </c>
      <c r="B249" s="1" t="n">
        <v>44427</v>
      </c>
      <c r="C249" s="1" t="n">
        <v>46030</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2732-2022</t>
        </is>
      </c>
      <c r="B250" s="1" t="n">
        <v>44580</v>
      </c>
      <c r="C250" s="1" t="n">
        <v>46030</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16119-2022</t>
        </is>
      </c>
      <c r="B251" s="1" t="n">
        <v>44665.66407407408</v>
      </c>
      <c r="C251" s="1" t="n">
        <v>46030</v>
      </c>
      <c r="D251" t="inlineStr">
        <is>
          <t>STOCKHOLMS LÄN</t>
        </is>
      </c>
      <c r="E251" t="inlineStr">
        <is>
          <t>NORRTÄLJE</t>
        </is>
      </c>
      <c r="G251" t="n">
        <v>3.9</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46030</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12270-2022</t>
        </is>
      </c>
      <c r="B253" s="1" t="n">
        <v>44637</v>
      </c>
      <c r="C253" s="1" t="n">
        <v>46030</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46030</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46030</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46030</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41398-2022</t>
        </is>
      </c>
      <c r="B257" s="1" t="n">
        <v>44826</v>
      </c>
      <c r="C257" s="1" t="n">
        <v>46030</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22369-2021</t>
        </is>
      </c>
      <c r="B258" s="1" t="n">
        <v>44326</v>
      </c>
      <c r="C258" s="1" t="n">
        <v>46030</v>
      </c>
      <c r="D258" t="inlineStr">
        <is>
          <t>STOCKHOLMS LÄN</t>
        </is>
      </c>
      <c r="E258" t="inlineStr">
        <is>
          <t>NORRTÄLJE</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46030</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46030</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46030</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68273-2021</t>
        </is>
      </c>
      <c r="B262" s="1" t="n">
        <v>44526</v>
      </c>
      <c r="C262" s="1" t="n">
        <v>46030</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5562-2021</t>
        </is>
      </c>
      <c r="B263" s="1" t="n">
        <v>44230</v>
      </c>
      <c r="C263" s="1" t="n">
        <v>46030</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5566-2021</t>
        </is>
      </c>
      <c r="B264" s="1" t="n">
        <v>44230</v>
      </c>
      <c r="C264" s="1" t="n">
        <v>46030</v>
      </c>
      <c r="D264" t="inlineStr">
        <is>
          <t>STOCKHOLMS LÄN</t>
        </is>
      </c>
      <c r="E264" t="inlineStr">
        <is>
          <t>NORRTÄLJE</t>
        </is>
      </c>
      <c r="G264" t="n">
        <v>3.1</v>
      </c>
      <c r="H264" t="n">
        <v>0</v>
      </c>
      <c r="I264" t="n">
        <v>0</v>
      </c>
      <c r="J264" t="n">
        <v>0</v>
      </c>
      <c r="K264" t="n">
        <v>0</v>
      </c>
      <c r="L264" t="n">
        <v>0</v>
      </c>
      <c r="M264" t="n">
        <v>0</v>
      </c>
      <c r="N264" t="n">
        <v>0</v>
      </c>
      <c r="O264" t="n">
        <v>0</v>
      </c>
      <c r="P264" t="n">
        <v>0</v>
      </c>
      <c r="Q264" t="n">
        <v>0</v>
      </c>
      <c r="R264" s="2" t="inlineStr"/>
    </row>
    <row r="265" ht="15" customHeight="1">
      <c r="A265" t="inlineStr">
        <is>
          <t>A 52139-2022</t>
        </is>
      </c>
      <c r="B265" s="1" t="n">
        <v>44868</v>
      </c>
      <c r="C265" s="1" t="n">
        <v>46030</v>
      </c>
      <c r="D265" t="inlineStr">
        <is>
          <t>STOCKHOLMS LÄN</t>
        </is>
      </c>
      <c r="E265" t="inlineStr">
        <is>
          <t>NORRTÄLJE</t>
        </is>
      </c>
      <c r="G265" t="n">
        <v>3.2</v>
      </c>
      <c r="H265" t="n">
        <v>0</v>
      </c>
      <c r="I265" t="n">
        <v>0</v>
      </c>
      <c r="J265" t="n">
        <v>0</v>
      </c>
      <c r="K265" t="n">
        <v>0</v>
      </c>
      <c r="L265" t="n">
        <v>0</v>
      </c>
      <c r="M265" t="n">
        <v>0</v>
      </c>
      <c r="N265" t="n">
        <v>0</v>
      </c>
      <c r="O265" t="n">
        <v>0</v>
      </c>
      <c r="P265" t="n">
        <v>0</v>
      </c>
      <c r="Q265" t="n">
        <v>0</v>
      </c>
      <c r="R265" s="2" t="inlineStr"/>
      <c r="U265">
        <f>HYPERLINK("https://klasma.github.io/Logging_0188/knärot/A 52139-2022 karta knärot.png", "A 52139-2022")</f>
        <v/>
      </c>
      <c r="V265">
        <f>HYPERLINK("https://klasma.github.io/Logging_0188/klagomål/A 52139-2022 FSC-klagomål.docx", "A 52139-2022")</f>
        <v/>
      </c>
      <c r="W265">
        <f>HYPERLINK("https://klasma.github.io/Logging_0188/klagomålsmail/A 52139-2022 FSC-klagomål mail.docx", "A 52139-2022")</f>
        <v/>
      </c>
      <c r="X265">
        <f>HYPERLINK("https://klasma.github.io/Logging_0188/tillsyn/A 52139-2022 tillsynsbegäran.docx", "A 52139-2022")</f>
        <v/>
      </c>
      <c r="Y265">
        <f>HYPERLINK("https://klasma.github.io/Logging_0188/tillsynsmail/A 52139-2022 tillsynsbegäran mail.docx", "A 52139-2022")</f>
        <v/>
      </c>
    </row>
    <row r="266" ht="15" customHeight="1">
      <c r="A266" t="inlineStr">
        <is>
          <t>A 9446-2021</t>
        </is>
      </c>
      <c r="B266" s="1" t="n">
        <v>44251</v>
      </c>
      <c r="C266" s="1" t="n">
        <v>46030</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45541-2022</t>
        </is>
      </c>
      <c r="B267" s="1" t="n">
        <v>44845.47672453704</v>
      </c>
      <c r="C267" s="1" t="n">
        <v>46030</v>
      </c>
      <c r="D267" t="inlineStr">
        <is>
          <t>STOCKHOLMS LÄN</t>
        </is>
      </c>
      <c r="E267" t="inlineStr">
        <is>
          <t>NORRTÄLJE</t>
        </is>
      </c>
      <c r="G267" t="n">
        <v>0.4</v>
      </c>
      <c r="H267" t="n">
        <v>0</v>
      </c>
      <c r="I267" t="n">
        <v>0</v>
      </c>
      <c r="J267" t="n">
        <v>0</v>
      </c>
      <c r="K267" t="n">
        <v>0</v>
      </c>
      <c r="L267" t="n">
        <v>0</v>
      </c>
      <c r="M267" t="n">
        <v>0</v>
      </c>
      <c r="N267" t="n">
        <v>0</v>
      </c>
      <c r="O267" t="n">
        <v>0</v>
      </c>
      <c r="P267" t="n">
        <v>0</v>
      </c>
      <c r="Q267" t="n">
        <v>0</v>
      </c>
      <c r="R267" s="2" t="inlineStr"/>
    </row>
    <row r="268" ht="15" customHeight="1">
      <c r="A268" t="inlineStr">
        <is>
          <t>A 17673-2021</t>
        </is>
      </c>
      <c r="B268" s="1" t="n">
        <v>44300</v>
      </c>
      <c r="C268" s="1" t="n">
        <v>46030</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27217-2021</t>
        </is>
      </c>
      <c r="B269" s="1" t="n">
        <v>44350</v>
      </c>
      <c r="C269" s="1" t="n">
        <v>46030</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46030</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46030</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46030</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46030</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46030</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46030</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46030</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7565-2022</t>
        </is>
      </c>
      <c r="B277" s="1" t="n">
        <v>44607</v>
      </c>
      <c r="C277" s="1" t="n">
        <v>46030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46030</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46030</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8160-2022</t>
        </is>
      </c>
      <c r="B280" s="1" t="n">
        <v>44609</v>
      </c>
      <c r="C280" s="1" t="n">
        <v>46030</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46030</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39319-2022</t>
        </is>
      </c>
      <c r="B282" s="1" t="n">
        <v>44817.70516203704</v>
      </c>
      <c r="C282" s="1" t="n">
        <v>46030</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46030</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15226-2022</t>
        </is>
      </c>
      <c r="B284" s="1" t="n">
        <v>44658</v>
      </c>
      <c r="C284" s="1" t="n">
        <v>46030</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46030</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46030</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17771-2022</t>
        </is>
      </c>
      <c r="B287" s="1" t="n">
        <v>44682.75924768519</v>
      </c>
      <c r="C287" s="1" t="n">
        <v>46030</v>
      </c>
      <c r="D287" t="inlineStr">
        <is>
          <t>STOCKHOLMS LÄN</t>
        </is>
      </c>
      <c r="E287" t="inlineStr">
        <is>
          <t>NORRTÄLJE</t>
        </is>
      </c>
      <c r="G287" t="n">
        <v>13.3</v>
      </c>
      <c r="H287" t="n">
        <v>0</v>
      </c>
      <c r="I287" t="n">
        <v>0</v>
      </c>
      <c r="J287" t="n">
        <v>0</v>
      </c>
      <c r="K287" t="n">
        <v>0</v>
      </c>
      <c r="L287" t="n">
        <v>0</v>
      </c>
      <c r="M287" t="n">
        <v>0</v>
      </c>
      <c r="N287" t="n">
        <v>0</v>
      </c>
      <c r="O287" t="n">
        <v>0</v>
      </c>
      <c r="P287" t="n">
        <v>0</v>
      </c>
      <c r="Q287" t="n">
        <v>0</v>
      </c>
      <c r="R287" s="2" t="inlineStr"/>
    </row>
    <row r="288" ht="15" customHeight="1">
      <c r="A288" t="inlineStr">
        <is>
          <t>A 17773-2022</t>
        </is>
      </c>
      <c r="B288" s="1" t="n">
        <v>44682.77616898148</v>
      </c>
      <c r="C288" s="1" t="n">
        <v>46030</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10521-2022</t>
        </is>
      </c>
      <c r="B289" s="1" t="n">
        <v>44623</v>
      </c>
      <c r="C289" s="1" t="n">
        <v>46030</v>
      </c>
      <c r="D289" t="inlineStr">
        <is>
          <t>STOCKHOLMS LÄN</t>
        </is>
      </c>
      <c r="E289" t="inlineStr">
        <is>
          <t>NORRTÄLJE</t>
        </is>
      </c>
      <c r="G289" t="n">
        <v>2.9</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46030</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46030</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46030</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25463-2021</t>
        </is>
      </c>
      <c r="B293" s="1" t="n">
        <v>44342</v>
      </c>
      <c r="C293" s="1" t="n">
        <v>46030</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21102-2022</t>
        </is>
      </c>
      <c r="B294" s="1" t="n">
        <v>44704</v>
      </c>
      <c r="C294" s="1" t="n">
        <v>46030</v>
      </c>
      <c r="D294" t="inlineStr">
        <is>
          <t>STOCKHOLMS LÄN</t>
        </is>
      </c>
      <c r="E294" t="inlineStr">
        <is>
          <t>NORRTÄLJE</t>
        </is>
      </c>
      <c r="G294" t="n">
        <v>0.2</v>
      </c>
      <c r="H294" t="n">
        <v>0</v>
      </c>
      <c r="I294" t="n">
        <v>0</v>
      </c>
      <c r="J294" t="n">
        <v>0</v>
      </c>
      <c r="K294" t="n">
        <v>0</v>
      </c>
      <c r="L294" t="n">
        <v>0</v>
      </c>
      <c r="M294" t="n">
        <v>0</v>
      </c>
      <c r="N294" t="n">
        <v>0</v>
      </c>
      <c r="O294" t="n">
        <v>0</v>
      </c>
      <c r="P294" t="n">
        <v>0</v>
      </c>
      <c r="Q294" t="n">
        <v>0</v>
      </c>
      <c r="R294" s="2" t="inlineStr"/>
    </row>
    <row r="295" ht="15" customHeight="1">
      <c r="A295" t="inlineStr">
        <is>
          <t>A 71880-2021</t>
        </is>
      </c>
      <c r="B295" s="1" t="n">
        <v>44543</v>
      </c>
      <c r="C295" s="1" t="n">
        <v>46030</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17772-2022</t>
        </is>
      </c>
      <c r="B296" s="1" t="n">
        <v>44682.76528935185</v>
      </c>
      <c r="C296" s="1" t="n">
        <v>46030</v>
      </c>
      <c r="D296" t="inlineStr">
        <is>
          <t>STOCKHOLMS LÄN</t>
        </is>
      </c>
      <c r="E296" t="inlineStr">
        <is>
          <t>NORRTÄLJE</t>
        </is>
      </c>
      <c r="G296" t="n">
        <v>4</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46030</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38721-2022</t>
        </is>
      </c>
      <c r="B298" s="1" t="n">
        <v>44815</v>
      </c>
      <c r="C298" s="1" t="n">
        <v>46030</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60184-2021</t>
        </is>
      </c>
      <c r="B299" s="1" t="n">
        <v>44495</v>
      </c>
      <c r="C299" s="1" t="n">
        <v>46030</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67285-2021</t>
        </is>
      </c>
      <c r="B300" s="1" t="n">
        <v>44523.61635416667</v>
      </c>
      <c r="C300" s="1" t="n">
        <v>46030</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27828-2022</t>
        </is>
      </c>
      <c r="B301" s="1" t="n">
        <v>44743.59765046297</v>
      </c>
      <c r="C301" s="1" t="n">
        <v>46030</v>
      </c>
      <c r="D301" t="inlineStr">
        <is>
          <t>STOCKHOLMS LÄN</t>
        </is>
      </c>
      <c r="E301" t="inlineStr">
        <is>
          <t>NORRTÄLJE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16229-2022</t>
        </is>
      </c>
      <c r="B302" s="1" t="n">
        <v>44670.4190162037</v>
      </c>
      <c r="C302" s="1" t="n">
        <v>46030</v>
      </c>
      <c r="D302" t="inlineStr">
        <is>
          <t>STOCKHOLMS LÄN</t>
        </is>
      </c>
      <c r="E302" t="inlineStr">
        <is>
          <t>NORRTÄLJE</t>
        </is>
      </c>
      <c r="G302" t="n">
        <v>7.4</v>
      </c>
      <c r="H302" t="n">
        <v>0</v>
      </c>
      <c r="I302" t="n">
        <v>0</v>
      </c>
      <c r="J302" t="n">
        <v>0</v>
      </c>
      <c r="K302" t="n">
        <v>0</v>
      </c>
      <c r="L302" t="n">
        <v>0</v>
      </c>
      <c r="M302" t="n">
        <v>0</v>
      </c>
      <c r="N302" t="n">
        <v>0</v>
      </c>
      <c r="O302" t="n">
        <v>0</v>
      </c>
      <c r="P302" t="n">
        <v>0</v>
      </c>
      <c r="Q302" t="n">
        <v>0</v>
      </c>
      <c r="R302" s="2" t="inlineStr"/>
    </row>
    <row r="303" ht="15" customHeight="1">
      <c r="A303" t="inlineStr">
        <is>
          <t>A 55243-2023</t>
        </is>
      </c>
      <c r="B303" s="1" t="n">
        <v>45237</v>
      </c>
      <c r="C303" s="1" t="n">
        <v>46030</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33226-2024</t>
        </is>
      </c>
      <c r="B304" s="1" t="n">
        <v>45518</v>
      </c>
      <c r="C304" s="1" t="n">
        <v>46030</v>
      </c>
      <c r="D304" t="inlineStr">
        <is>
          <t>STOCKHOLMS LÄN</t>
        </is>
      </c>
      <c r="E304" t="inlineStr">
        <is>
          <t>NORRTÄLJE</t>
        </is>
      </c>
      <c r="G304" t="n">
        <v>13.8</v>
      </c>
      <c r="H304" t="n">
        <v>0</v>
      </c>
      <c r="I304" t="n">
        <v>0</v>
      </c>
      <c r="J304" t="n">
        <v>0</v>
      </c>
      <c r="K304" t="n">
        <v>0</v>
      </c>
      <c r="L304" t="n">
        <v>0</v>
      </c>
      <c r="M304" t="n">
        <v>0</v>
      </c>
      <c r="N304" t="n">
        <v>0</v>
      </c>
      <c r="O304" t="n">
        <v>0</v>
      </c>
      <c r="P304" t="n">
        <v>0</v>
      </c>
      <c r="Q304" t="n">
        <v>0</v>
      </c>
      <c r="R304" s="2" t="inlineStr"/>
    </row>
    <row r="305" ht="15" customHeight="1">
      <c r="A305" t="inlineStr">
        <is>
          <t>A 52260-2022</t>
        </is>
      </c>
      <c r="B305" s="1" t="n">
        <v>44869</v>
      </c>
      <c r="C305" s="1" t="n">
        <v>46030</v>
      </c>
      <c r="D305" t="inlineStr">
        <is>
          <t>STOCKHOLMS LÄN</t>
        </is>
      </c>
      <c r="E305" t="inlineStr">
        <is>
          <t>NORRTÄLJE</t>
        </is>
      </c>
      <c r="G305" t="n">
        <v>3.1</v>
      </c>
      <c r="H305" t="n">
        <v>0</v>
      </c>
      <c r="I305" t="n">
        <v>0</v>
      </c>
      <c r="J305" t="n">
        <v>0</v>
      </c>
      <c r="K305" t="n">
        <v>0</v>
      </c>
      <c r="L305" t="n">
        <v>0</v>
      </c>
      <c r="M305" t="n">
        <v>0</v>
      </c>
      <c r="N305" t="n">
        <v>0</v>
      </c>
      <c r="O305" t="n">
        <v>0</v>
      </c>
      <c r="P305" t="n">
        <v>0</v>
      </c>
      <c r="Q305" t="n">
        <v>0</v>
      </c>
      <c r="R305" s="2" t="inlineStr"/>
    </row>
    <row r="306" ht="15" customHeight="1">
      <c r="A306" t="inlineStr">
        <is>
          <t>A 55696-2022</t>
        </is>
      </c>
      <c r="B306" s="1" t="n">
        <v>44888</v>
      </c>
      <c r="C306" s="1" t="n">
        <v>46030</v>
      </c>
      <c r="D306" t="inlineStr">
        <is>
          <t>STOCKHOLMS LÄN</t>
        </is>
      </c>
      <c r="E306" t="inlineStr">
        <is>
          <t>NORRTÄLJE</t>
        </is>
      </c>
      <c r="G306" t="n">
        <v>2.2</v>
      </c>
      <c r="H306" t="n">
        <v>0</v>
      </c>
      <c r="I306" t="n">
        <v>0</v>
      </c>
      <c r="J306" t="n">
        <v>0</v>
      </c>
      <c r="K306" t="n">
        <v>0</v>
      </c>
      <c r="L306" t="n">
        <v>0</v>
      </c>
      <c r="M306" t="n">
        <v>0</v>
      </c>
      <c r="N306" t="n">
        <v>0</v>
      </c>
      <c r="O306" t="n">
        <v>0</v>
      </c>
      <c r="P306" t="n">
        <v>0</v>
      </c>
      <c r="Q306" t="n">
        <v>0</v>
      </c>
      <c r="R306" s="2" t="inlineStr"/>
    </row>
    <row r="307" ht="15" customHeight="1">
      <c r="A307" t="inlineStr">
        <is>
          <t>A 25557-2023</t>
        </is>
      </c>
      <c r="B307" s="1" t="n">
        <v>45089</v>
      </c>
      <c r="C307" s="1" t="n">
        <v>46030</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46030</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22008-2024</t>
        </is>
      </c>
      <c r="B309" s="1" t="n">
        <v>45443</v>
      </c>
      <c r="C309" s="1" t="n">
        <v>46030</v>
      </c>
      <c r="D309" t="inlineStr">
        <is>
          <t>STOCKHOLMS LÄN</t>
        </is>
      </c>
      <c r="E309" t="inlineStr">
        <is>
          <t>NORRTÄLJE</t>
        </is>
      </c>
      <c r="G309" t="n">
        <v>2</v>
      </c>
      <c r="H309" t="n">
        <v>0</v>
      </c>
      <c r="I309" t="n">
        <v>0</v>
      </c>
      <c r="J309" t="n">
        <v>0</v>
      </c>
      <c r="K309" t="n">
        <v>0</v>
      </c>
      <c r="L309" t="n">
        <v>0</v>
      </c>
      <c r="M309" t="n">
        <v>0</v>
      </c>
      <c r="N309" t="n">
        <v>0</v>
      </c>
      <c r="O309" t="n">
        <v>0</v>
      </c>
      <c r="P309" t="n">
        <v>0</v>
      </c>
      <c r="Q309" t="n">
        <v>0</v>
      </c>
      <c r="R309" s="2" t="inlineStr"/>
    </row>
    <row r="310" ht="15" customHeight="1">
      <c r="A310" t="inlineStr">
        <is>
          <t>A 22412-2021</t>
        </is>
      </c>
      <c r="B310" s="1" t="n">
        <v>44326.61967592593</v>
      </c>
      <c r="C310" s="1" t="n">
        <v>46030</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15915-2023</t>
        </is>
      </c>
      <c r="B311" s="1" t="n">
        <v>45022</v>
      </c>
      <c r="C311" s="1" t="n">
        <v>46030</v>
      </c>
      <c r="D311" t="inlineStr">
        <is>
          <t>STOCKHOLMS LÄN</t>
        </is>
      </c>
      <c r="E311" t="inlineStr">
        <is>
          <t>NORRTÄLJE</t>
        </is>
      </c>
      <c r="G311" t="n">
        <v>2.9</v>
      </c>
      <c r="H311" t="n">
        <v>0</v>
      </c>
      <c r="I311" t="n">
        <v>0</v>
      </c>
      <c r="J311" t="n">
        <v>0</v>
      </c>
      <c r="K311" t="n">
        <v>0</v>
      </c>
      <c r="L311" t="n">
        <v>0</v>
      </c>
      <c r="M311" t="n">
        <v>0</v>
      </c>
      <c r="N311" t="n">
        <v>0</v>
      </c>
      <c r="O311" t="n">
        <v>0</v>
      </c>
      <c r="P311" t="n">
        <v>0</v>
      </c>
      <c r="Q311" t="n">
        <v>0</v>
      </c>
      <c r="R311" s="2" t="inlineStr"/>
    </row>
    <row r="312" ht="15" customHeight="1">
      <c r="A312" t="inlineStr">
        <is>
          <t>A 5611-2022</t>
        </is>
      </c>
      <c r="B312" s="1" t="n">
        <v>44595</v>
      </c>
      <c r="C312" s="1" t="n">
        <v>46030</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32055-2021</t>
        </is>
      </c>
      <c r="B313" s="1" t="n">
        <v>44370.72197916666</v>
      </c>
      <c r="C313" s="1" t="n">
        <v>46030</v>
      </c>
      <c r="D313" t="inlineStr">
        <is>
          <t>STOCKHOLMS LÄN</t>
        </is>
      </c>
      <c r="E313" t="inlineStr">
        <is>
          <t>NORRTÄLJE</t>
        </is>
      </c>
      <c r="G313" t="n">
        <v>1.2</v>
      </c>
      <c r="H313" t="n">
        <v>0</v>
      </c>
      <c r="I313" t="n">
        <v>0</v>
      </c>
      <c r="J313" t="n">
        <v>0</v>
      </c>
      <c r="K313" t="n">
        <v>0</v>
      </c>
      <c r="L313" t="n">
        <v>0</v>
      </c>
      <c r="M313" t="n">
        <v>0</v>
      </c>
      <c r="N313" t="n">
        <v>0</v>
      </c>
      <c r="O313" t="n">
        <v>0</v>
      </c>
      <c r="P313" t="n">
        <v>0</v>
      </c>
      <c r="Q313" t="n">
        <v>0</v>
      </c>
      <c r="R313" s="2" t="inlineStr"/>
    </row>
    <row r="314" ht="15" customHeight="1">
      <c r="A314" t="inlineStr">
        <is>
          <t>A 29972-2024</t>
        </is>
      </c>
      <c r="B314" s="1" t="n">
        <v>45485</v>
      </c>
      <c r="C314" s="1" t="n">
        <v>46030</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13053-2022</t>
        </is>
      </c>
      <c r="B315" s="1" t="n">
        <v>44643</v>
      </c>
      <c r="C315" s="1" t="n">
        <v>46030</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48716-2023</t>
        </is>
      </c>
      <c r="B316" s="1" t="n">
        <v>45208.69671296296</v>
      </c>
      <c r="C316" s="1" t="n">
        <v>46030</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5027-2025</t>
        </is>
      </c>
      <c r="B317" s="1" t="n">
        <v>45691.41101851852</v>
      </c>
      <c r="C317" s="1" t="n">
        <v>46030</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11122-2021</t>
        </is>
      </c>
      <c r="B318" s="1" t="n">
        <v>44260</v>
      </c>
      <c r="C318" s="1" t="n">
        <v>46030</v>
      </c>
      <c r="D318" t="inlineStr">
        <is>
          <t>STOCKHOLMS LÄN</t>
        </is>
      </c>
      <c r="E318" t="inlineStr">
        <is>
          <t>NORRTÄLJE</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64137-2021</t>
        </is>
      </c>
      <c r="B319" s="1" t="n">
        <v>44510.51422453704</v>
      </c>
      <c r="C319" s="1" t="n">
        <v>46030</v>
      </c>
      <c r="D319" t="inlineStr">
        <is>
          <t>STOCKHOLMS LÄN</t>
        </is>
      </c>
      <c r="E319" t="inlineStr">
        <is>
          <t>NORRTÄLJE</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12268-2022</t>
        </is>
      </c>
      <c r="B320" s="1" t="n">
        <v>44637</v>
      </c>
      <c r="C320" s="1" t="n">
        <v>46030</v>
      </c>
      <c r="D320" t="inlineStr">
        <is>
          <t>STOCKHOLMS LÄN</t>
        </is>
      </c>
      <c r="E320" t="inlineStr">
        <is>
          <t>NORRTÄLJE</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20015-2023</t>
        </is>
      </c>
      <c r="B321" s="1" t="n">
        <v>45054</v>
      </c>
      <c r="C321" s="1" t="n">
        <v>46030</v>
      </c>
      <c r="D321" t="inlineStr">
        <is>
          <t>STOCKHOLMS LÄN</t>
        </is>
      </c>
      <c r="E321" t="inlineStr">
        <is>
          <t>NORRTÄLJE</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3273-2025</t>
        </is>
      </c>
      <c r="B322" s="1" t="n">
        <v>45679</v>
      </c>
      <c r="C322" s="1" t="n">
        <v>46030</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24245-2024</t>
        </is>
      </c>
      <c r="B323" s="1" t="n">
        <v>45457</v>
      </c>
      <c r="C323" s="1" t="n">
        <v>46030</v>
      </c>
      <c r="D323" t="inlineStr">
        <is>
          <t>STOCKHOLMS LÄN</t>
        </is>
      </c>
      <c r="E323" t="inlineStr">
        <is>
          <t>NORRTÄLJE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21291-2021</t>
        </is>
      </c>
      <c r="B324" s="1" t="n">
        <v>44319</v>
      </c>
      <c r="C324" s="1" t="n">
        <v>46030</v>
      </c>
      <c r="D324" t="inlineStr">
        <is>
          <t>STOCKHOLMS LÄN</t>
        </is>
      </c>
      <c r="E324" t="inlineStr">
        <is>
          <t>NORRTÄLJE</t>
        </is>
      </c>
      <c r="G324" t="n">
        <v>12.7</v>
      </c>
      <c r="H324" t="n">
        <v>0</v>
      </c>
      <c r="I324" t="n">
        <v>0</v>
      </c>
      <c r="J324" t="n">
        <v>0</v>
      </c>
      <c r="K324" t="n">
        <v>0</v>
      </c>
      <c r="L324" t="n">
        <v>0</v>
      </c>
      <c r="M324" t="n">
        <v>0</v>
      </c>
      <c r="N324" t="n">
        <v>0</v>
      </c>
      <c r="O324" t="n">
        <v>0</v>
      </c>
      <c r="P324" t="n">
        <v>0</v>
      </c>
      <c r="Q324" t="n">
        <v>0</v>
      </c>
      <c r="R324" s="2" t="inlineStr"/>
    </row>
    <row r="325" ht="15" customHeight="1">
      <c r="A325" t="inlineStr">
        <is>
          <t>A 15256-2023</t>
        </is>
      </c>
      <c r="B325" s="1" t="n">
        <v>45019.3959837963</v>
      </c>
      <c r="C325" s="1" t="n">
        <v>46030</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20428-2024</t>
        </is>
      </c>
      <c r="B326" s="1" t="n">
        <v>45435</v>
      </c>
      <c r="C326" s="1" t="n">
        <v>46030</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13172-2025</t>
        </is>
      </c>
      <c r="B327" s="1" t="n">
        <v>45735.36873842592</v>
      </c>
      <c r="C327" s="1" t="n">
        <v>46030</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22456-2023</t>
        </is>
      </c>
      <c r="B328" s="1" t="n">
        <v>45070</v>
      </c>
      <c r="C328" s="1" t="n">
        <v>46030</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64145-2021</t>
        </is>
      </c>
      <c r="B329" s="1" t="n">
        <v>44510</v>
      </c>
      <c r="C329" s="1" t="n">
        <v>46030</v>
      </c>
      <c r="D329" t="inlineStr">
        <is>
          <t>STOCKHOLMS LÄN</t>
        </is>
      </c>
      <c r="E329" t="inlineStr">
        <is>
          <t>NORRTÄLJE</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17785-2024</t>
        </is>
      </c>
      <c r="B330" s="1" t="n">
        <v>45418.6968287037</v>
      </c>
      <c r="C330" s="1" t="n">
        <v>46030</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1740-2023</t>
        </is>
      </c>
      <c r="B331" s="1" t="n">
        <v>44938</v>
      </c>
      <c r="C331" s="1" t="n">
        <v>46030</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4596-2023</t>
        </is>
      </c>
      <c r="B332" s="1" t="n">
        <v>44956</v>
      </c>
      <c r="C332" s="1" t="n">
        <v>46030</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6678-2025</t>
        </is>
      </c>
      <c r="B333" s="1" t="n">
        <v>45700</v>
      </c>
      <c r="C333" s="1" t="n">
        <v>46030</v>
      </c>
      <c r="D333" t="inlineStr">
        <is>
          <t>STOCKHOLMS LÄN</t>
        </is>
      </c>
      <c r="E333" t="inlineStr">
        <is>
          <t>NORRTÄLJE</t>
        </is>
      </c>
      <c r="F333" t="inlineStr">
        <is>
          <t>Övriga Aktiebolag</t>
        </is>
      </c>
      <c r="G333" t="n">
        <v>6.6</v>
      </c>
      <c r="H333" t="n">
        <v>0</v>
      </c>
      <c r="I333" t="n">
        <v>0</v>
      </c>
      <c r="J333" t="n">
        <v>0</v>
      </c>
      <c r="K333" t="n">
        <v>0</v>
      </c>
      <c r="L333" t="n">
        <v>0</v>
      </c>
      <c r="M333" t="n">
        <v>0</v>
      </c>
      <c r="N333" t="n">
        <v>0</v>
      </c>
      <c r="O333" t="n">
        <v>0</v>
      </c>
      <c r="P333" t="n">
        <v>0</v>
      </c>
      <c r="Q333" t="n">
        <v>0</v>
      </c>
      <c r="R333" s="2" t="inlineStr"/>
    </row>
    <row r="334" ht="15" customHeight="1">
      <c r="A334" t="inlineStr">
        <is>
          <t>A 10676-2025</t>
        </is>
      </c>
      <c r="B334" s="1" t="n">
        <v>45721.88684027778</v>
      </c>
      <c r="C334" s="1" t="n">
        <v>46030</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19982-2022</t>
        </is>
      </c>
      <c r="B335" s="1" t="n">
        <v>44697</v>
      </c>
      <c r="C335" s="1" t="n">
        <v>46030</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20852-2023</t>
        </is>
      </c>
      <c r="B336" s="1" t="n">
        <v>45058.78607638889</v>
      </c>
      <c r="C336" s="1" t="n">
        <v>46030</v>
      </c>
      <c r="D336" t="inlineStr">
        <is>
          <t>STOCKHOLMS LÄN</t>
        </is>
      </c>
      <c r="E336" t="inlineStr">
        <is>
          <t>NORRTÄLJE</t>
        </is>
      </c>
      <c r="G336" t="n">
        <v>3.5</v>
      </c>
      <c r="H336" t="n">
        <v>0</v>
      </c>
      <c r="I336" t="n">
        <v>0</v>
      </c>
      <c r="J336" t="n">
        <v>0</v>
      </c>
      <c r="K336" t="n">
        <v>0</v>
      </c>
      <c r="L336" t="n">
        <v>0</v>
      </c>
      <c r="M336" t="n">
        <v>0</v>
      </c>
      <c r="N336" t="n">
        <v>0</v>
      </c>
      <c r="O336" t="n">
        <v>0</v>
      </c>
      <c r="P336" t="n">
        <v>0</v>
      </c>
      <c r="Q336" t="n">
        <v>0</v>
      </c>
      <c r="R336" s="2" t="inlineStr"/>
    </row>
    <row r="337" ht="15" customHeight="1">
      <c r="A337" t="inlineStr">
        <is>
          <t>A 16620-2024</t>
        </is>
      </c>
      <c r="B337" s="1" t="n">
        <v>45408.57707175926</v>
      </c>
      <c r="C337" s="1" t="n">
        <v>46030</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42075-2023</t>
        </is>
      </c>
      <c r="B338" s="1" t="n">
        <v>45177</v>
      </c>
      <c r="C338" s="1" t="n">
        <v>46030</v>
      </c>
      <c r="D338" t="inlineStr">
        <is>
          <t>STOCKHOLMS LÄN</t>
        </is>
      </c>
      <c r="E338" t="inlineStr">
        <is>
          <t>NORRTÄLJE</t>
        </is>
      </c>
      <c r="G338" t="n">
        <v>2.5</v>
      </c>
      <c r="H338" t="n">
        <v>0</v>
      </c>
      <c r="I338" t="n">
        <v>0</v>
      </c>
      <c r="J338" t="n">
        <v>0</v>
      </c>
      <c r="K338" t="n">
        <v>0</v>
      </c>
      <c r="L338" t="n">
        <v>0</v>
      </c>
      <c r="M338" t="n">
        <v>0</v>
      </c>
      <c r="N338" t="n">
        <v>0</v>
      </c>
      <c r="O338" t="n">
        <v>0</v>
      </c>
      <c r="P338" t="n">
        <v>0</v>
      </c>
      <c r="Q338" t="n">
        <v>0</v>
      </c>
      <c r="R338" s="2" t="inlineStr"/>
    </row>
    <row r="339" ht="15" customHeight="1">
      <c r="A339" t="inlineStr">
        <is>
          <t>A 50355-2024</t>
        </is>
      </c>
      <c r="B339" s="1" t="n">
        <v>45600.86128472222</v>
      </c>
      <c r="C339" s="1" t="n">
        <v>46030</v>
      </c>
      <c r="D339" t="inlineStr">
        <is>
          <t>STOCKHOLMS LÄN</t>
        </is>
      </c>
      <c r="E339" t="inlineStr">
        <is>
          <t>NORRTÄLJE</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22416-2025</t>
        </is>
      </c>
      <c r="B340" s="1" t="n">
        <v>45786.55645833333</v>
      </c>
      <c r="C340" s="1" t="n">
        <v>46030</v>
      </c>
      <c r="D340" t="inlineStr">
        <is>
          <t>STOCKHOLMS LÄN</t>
        </is>
      </c>
      <c r="E340" t="inlineStr">
        <is>
          <t>NORRTÄLJE</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50108-2021</t>
        </is>
      </c>
      <c r="B341" s="1" t="n">
        <v>44456</v>
      </c>
      <c r="C341" s="1" t="n">
        <v>46030</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44917-2022</t>
        </is>
      </c>
      <c r="B342" s="1" t="n">
        <v>44841.52804398148</v>
      </c>
      <c r="C342" s="1" t="n">
        <v>46030</v>
      </c>
      <c r="D342" t="inlineStr">
        <is>
          <t>STOCKHOLMS LÄN</t>
        </is>
      </c>
      <c r="E342" t="inlineStr">
        <is>
          <t>NORRTÄLJE</t>
        </is>
      </c>
      <c r="F342" t="inlineStr">
        <is>
          <t>Holmen skog AB</t>
        </is>
      </c>
      <c r="G342" t="n">
        <v>3.3</v>
      </c>
      <c r="H342" t="n">
        <v>0</v>
      </c>
      <c r="I342" t="n">
        <v>0</v>
      </c>
      <c r="J342" t="n">
        <v>0</v>
      </c>
      <c r="K342" t="n">
        <v>0</v>
      </c>
      <c r="L342" t="n">
        <v>0</v>
      </c>
      <c r="M342" t="n">
        <v>0</v>
      </c>
      <c r="N342" t="n">
        <v>0</v>
      </c>
      <c r="O342" t="n">
        <v>0</v>
      </c>
      <c r="P342" t="n">
        <v>0</v>
      </c>
      <c r="Q342" t="n">
        <v>0</v>
      </c>
      <c r="R342" s="2" t="inlineStr"/>
    </row>
    <row r="343" ht="15" customHeight="1">
      <c r="A343" t="inlineStr">
        <is>
          <t>A 58785-2024</t>
        </is>
      </c>
      <c r="B343" s="1" t="n">
        <v>45635.88849537037</v>
      </c>
      <c r="C343" s="1" t="n">
        <v>46030</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55058-2021</t>
        </is>
      </c>
      <c r="B344" s="1" t="n">
        <v>44474.62141203704</v>
      </c>
      <c r="C344" s="1" t="n">
        <v>46030</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2182-2022</t>
        </is>
      </c>
      <c r="B345" s="1" t="n">
        <v>44578</v>
      </c>
      <c r="C345" s="1" t="n">
        <v>46030</v>
      </c>
      <c r="D345" t="inlineStr">
        <is>
          <t>STOCKHOLMS LÄN</t>
        </is>
      </c>
      <c r="E345" t="inlineStr">
        <is>
          <t>NORRTÄLJE</t>
        </is>
      </c>
      <c r="G345" t="n">
        <v>7.2</v>
      </c>
      <c r="H345" t="n">
        <v>0</v>
      </c>
      <c r="I345" t="n">
        <v>0</v>
      </c>
      <c r="J345" t="n">
        <v>0</v>
      </c>
      <c r="K345" t="n">
        <v>0</v>
      </c>
      <c r="L345" t="n">
        <v>0</v>
      </c>
      <c r="M345" t="n">
        <v>0</v>
      </c>
      <c r="N345" t="n">
        <v>0</v>
      </c>
      <c r="O345" t="n">
        <v>0</v>
      </c>
      <c r="P345" t="n">
        <v>0</v>
      </c>
      <c r="Q345" t="n">
        <v>0</v>
      </c>
      <c r="R345" s="2" t="inlineStr"/>
    </row>
    <row r="346" ht="15" customHeight="1">
      <c r="A346" t="inlineStr">
        <is>
          <t>A 38720-2025</t>
        </is>
      </c>
      <c r="B346" s="1" t="n">
        <v>45886</v>
      </c>
      <c r="C346" s="1" t="n">
        <v>46030</v>
      </c>
      <c r="D346" t="inlineStr">
        <is>
          <t>STOCKHOLMS LÄN</t>
        </is>
      </c>
      <c r="E346" t="inlineStr">
        <is>
          <t>NORRTÄLJE</t>
        </is>
      </c>
      <c r="G346" t="n">
        <v>1.6</v>
      </c>
      <c r="H346" t="n">
        <v>0</v>
      </c>
      <c r="I346" t="n">
        <v>0</v>
      </c>
      <c r="J346" t="n">
        <v>0</v>
      </c>
      <c r="K346" t="n">
        <v>0</v>
      </c>
      <c r="L346" t="n">
        <v>0</v>
      </c>
      <c r="M346" t="n">
        <v>0</v>
      </c>
      <c r="N346" t="n">
        <v>0</v>
      </c>
      <c r="O346" t="n">
        <v>0</v>
      </c>
      <c r="P346" t="n">
        <v>0</v>
      </c>
      <c r="Q346" t="n">
        <v>0</v>
      </c>
      <c r="R346" s="2" t="inlineStr"/>
    </row>
    <row r="347" ht="15" customHeight="1">
      <c r="A347" t="inlineStr">
        <is>
          <t>A 13268-2025</t>
        </is>
      </c>
      <c r="B347" s="1" t="n">
        <v>45735</v>
      </c>
      <c r="C347" s="1" t="n">
        <v>46030</v>
      </c>
      <c r="D347" t="inlineStr">
        <is>
          <t>STOCKHOLMS LÄN</t>
        </is>
      </c>
      <c r="E347" t="inlineStr">
        <is>
          <t>NORRTÄLJE</t>
        </is>
      </c>
      <c r="G347" t="n">
        <v>11.4</v>
      </c>
      <c r="H347" t="n">
        <v>0</v>
      </c>
      <c r="I347" t="n">
        <v>0</v>
      </c>
      <c r="J347" t="n">
        <v>0</v>
      </c>
      <c r="K347" t="n">
        <v>0</v>
      </c>
      <c r="L347" t="n">
        <v>0</v>
      </c>
      <c r="M347" t="n">
        <v>0</v>
      </c>
      <c r="N347" t="n">
        <v>0</v>
      </c>
      <c r="O347" t="n">
        <v>0</v>
      </c>
      <c r="P347" t="n">
        <v>0</v>
      </c>
      <c r="Q347" t="n">
        <v>0</v>
      </c>
      <c r="R347" s="2" t="inlineStr"/>
    </row>
    <row r="348" ht="15" customHeight="1">
      <c r="A348" t="inlineStr">
        <is>
          <t>A 8414-2025</t>
        </is>
      </c>
      <c r="B348" s="1" t="n">
        <v>45709.39361111111</v>
      </c>
      <c r="C348" s="1" t="n">
        <v>46030</v>
      </c>
      <c r="D348" t="inlineStr">
        <is>
          <t>STOCKHOLMS LÄN</t>
        </is>
      </c>
      <c r="E348" t="inlineStr">
        <is>
          <t>NORRTÄLJE</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55012-2024</t>
        </is>
      </c>
      <c r="B349" s="1" t="n">
        <v>45621.34813657407</v>
      </c>
      <c r="C349" s="1" t="n">
        <v>46030</v>
      </c>
      <c r="D349" t="inlineStr">
        <is>
          <t>STOCKHOLMS LÄN</t>
        </is>
      </c>
      <c r="E349" t="inlineStr">
        <is>
          <t>NORRTÄLJE</t>
        </is>
      </c>
      <c r="F349" t="inlineStr">
        <is>
          <t>Sveaskog</t>
        </is>
      </c>
      <c r="G349" t="n">
        <v>5.2</v>
      </c>
      <c r="H349" t="n">
        <v>0</v>
      </c>
      <c r="I349" t="n">
        <v>0</v>
      </c>
      <c r="J349" t="n">
        <v>0</v>
      </c>
      <c r="K349" t="n">
        <v>0</v>
      </c>
      <c r="L349" t="n">
        <v>0</v>
      </c>
      <c r="M349" t="n">
        <v>0</v>
      </c>
      <c r="N349" t="n">
        <v>0</v>
      </c>
      <c r="O349" t="n">
        <v>0</v>
      </c>
      <c r="P349" t="n">
        <v>0</v>
      </c>
      <c r="Q349" t="n">
        <v>0</v>
      </c>
      <c r="R349" s="2" t="inlineStr"/>
    </row>
    <row r="350" ht="15" customHeight="1">
      <c r="A350" t="inlineStr">
        <is>
          <t>A 36625-2024</t>
        </is>
      </c>
      <c r="B350" s="1" t="n">
        <v>45537</v>
      </c>
      <c r="C350" s="1" t="n">
        <v>46030</v>
      </c>
      <c r="D350" t="inlineStr">
        <is>
          <t>STOCKHOLMS LÄN</t>
        </is>
      </c>
      <c r="E350" t="inlineStr">
        <is>
          <t>NORRTÄLJE</t>
        </is>
      </c>
      <c r="G350" t="n">
        <v>3.8</v>
      </c>
      <c r="H350" t="n">
        <v>0</v>
      </c>
      <c r="I350" t="n">
        <v>0</v>
      </c>
      <c r="J350" t="n">
        <v>0</v>
      </c>
      <c r="K350" t="n">
        <v>0</v>
      </c>
      <c r="L350" t="n">
        <v>0</v>
      </c>
      <c r="M350" t="n">
        <v>0</v>
      </c>
      <c r="N350" t="n">
        <v>0</v>
      </c>
      <c r="O350" t="n">
        <v>0</v>
      </c>
      <c r="P350" t="n">
        <v>0</v>
      </c>
      <c r="Q350" t="n">
        <v>0</v>
      </c>
      <c r="R350" s="2" t="inlineStr"/>
    </row>
    <row r="351" ht="15" customHeight="1">
      <c r="A351" t="inlineStr">
        <is>
          <t>A 44891-2023</t>
        </is>
      </c>
      <c r="B351" s="1" t="n">
        <v>45187</v>
      </c>
      <c r="C351" s="1" t="n">
        <v>46030</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12902-2024</t>
        </is>
      </c>
      <c r="B352" s="1" t="n">
        <v>45385.38146990741</v>
      </c>
      <c r="C352" s="1" t="n">
        <v>46030</v>
      </c>
      <c r="D352" t="inlineStr">
        <is>
          <t>STOCKHOLMS LÄN</t>
        </is>
      </c>
      <c r="E352" t="inlineStr">
        <is>
          <t>NORRTÄLJE</t>
        </is>
      </c>
      <c r="G352" t="n">
        <v>3.7</v>
      </c>
      <c r="H352" t="n">
        <v>0</v>
      </c>
      <c r="I352" t="n">
        <v>0</v>
      </c>
      <c r="J352" t="n">
        <v>0</v>
      </c>
      <c r="K352" t="n">
        <v>0</v>
      </c>
      <c r="L352" t="n">
        <v>0</v>
      </c>
      <c r="M352" t="n">
        <v>0</v>
      </c>
      <c r="N352" t="n">
        <v>0</v>
      </c>
      <c r="O352" t="n">
        <v>0</v>
      </c>
      <c r="P352" t="n">
        <v>0</v>
      </c>
      <c r="Q352" t="n">
        <v>0</v>
      </c>
      <c r="R352" s="2" t="inlineStr"/>
    </row>
    <row r="353" ht="15" customHeight="1">
      <c r="A353" t="inlineStr">
        <is>
          <t>A 44032-2024</t>
        </is>
      </c>
      <c r="B353" s="1" t="n">
        <v>45572.57828703704</v>
      </c>
      <c r="C353" s="1" t="n">
        <v>46030</v>
      </c>
      <c r="D353" t="inlineStr">
        <is>
          <t>STOCKHOLMS LÄN</t>
        </is>
      </c>
      <c r="E353" t="inlineStr">
        <is>
          <t>NORRTÄLJE</t>
        </is>
      </c>
      <c r="G353" t="n">
        <v>8.6</v>
      </c>
      <c r="H353" t="n">
        <v>0</v>
      </c>
      <c r="I353" t="n">
        <v>0</v>
      </c>
      <c r="J353" t="n">
        <v>0</v>
      </c>
      <c r="K353" t="n">
        <v>0</v>
      </c>
      <c r="L353" t="n">
        <v>0</v>
      </c>
      <c r="M353" t="n">
        <v>0</v>
      </c>
      <c r="N353" t="n">
        <v>0</v>
      </c>
      <c r="O353" t="n">
        <v>0</v>
      </c>
      <c r="P353" t="n">
        <v>0</v>
      </c>
      <c r="Q353" t="n">
        <v>0</v>
      </c>
      <c r="R353" s="2" t="inlineStr"/>
    </row>
    <row r="354" ht="15" customHeight="1">
      <c r="A354" t="inlineStr">
        <is>
          <t>A 55599-2025</t>
        </is>
      </c>
      <c r="B354" s="1" t="n">
        <v>45971.76810185185</v>
      </c>
      <c r="C354" s="1" t="n">
        <v>46030</v>
      </c>
      <c r="D354" t="inlineStr">
        <is>
          <t>STOCKHOLMS LÄN</t>
        </is>
      </c>
      <c r="E354" t="inlineStr">
        <is>
          <t>NORRTÄLJE</t>
        </is>
      </c>
      <c r="F354" t="inlineStr">
        <is>
          <t>Holmen skog AB</t>
        </is>
      </c>
      <c r="G354" t="n">
        <v>6.4</v>
      </c>
      <c r="H354" t="n">
        <v>0</v>
      </c>
      <c r="I354" t="n">
        <v>0</v>
      </c>
      <c r="J354" t="n">
        <v>0</v>
      </c>
      <c r="K354" t="n">
        <v>0</v>
      </c>
      <c r="L354" t="n">
        <v>0</v>
      </c>
      <c r="M354" t="n">
        <v>0</v>
      </c>
      <c r="N354" t="n">
        <v>0</v>
      </c>
      <c r="O354" t="n">
        <v>0</v>
      </c>
      <c r="P354" t="n">
        <v>0</v>
      </c>
      <c r="Q354" t="n">
        <v>0</v>
      </c>
      <c r="R354" s="2" t="inlineStr"/>
    </row>
    <row r="355" ht="15" customHeight="1">
      <c r="A355" t="inlineStr">
        <is>
          <t>A 24563-2024</t>
        </is>
      </c>
      <c r="B355" s="1" t="n">
        <v>45460.44347222222</v>
      </c>
      <c r="C355" s="1" t="n">
        <v>46030</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56114-2025</t>
        </is>
      </c>
      <c r="B356" s="1" t="n">
        <v>45973.74474537037</v>
      </c>
      <c r="C356" s="1" t="n">
        <v>46030</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39237-2024</t>
        </is>
      </c>
      <c r="B357" s="1" t="n">
        <v>45549</v>
      </c>
      <c r="C357" s="1" t="n">
        <v>46030</v>
      </c>
      <c r="D357" t="inlineStr">
        <is>
          <t>STOCKHOLMS LÄN</t>
        </is>
      </c>
      <c r="E357" t="inlineStr">
        <is>
          <t>NORRTÄLJE</t>
        </is>
      </c>
      <c r="G357" t="n">
        <v>13.3</v>
      </c>
      <c r="H357" t="n">
        <v>0</v>
      </c>
      <c r="I357" t="n">
        <v>0</v>
      </c>
      <c r="J357" t="n">
        <v>0</v>
      </c>
      <c r="K357" t="n">
        <v>0</v>
      </c>
      <c r="L357" t="n">
        <v>0</v>
      </c>
      <c r="M357" t="n">
        <v>0</v>
      </c>
      <c r="N357" t="n">
        <v>0</v>
      </c>
      <c r="O357" t="n">
        <v>0</v>
      </c>
      <c r="P357" t="n">
        <v>0</v>
      </c>
      <c r="Q357" t="n">
        <v>0</v>
      </c>
      <c r="R357" s="2" t="inlineStr"/>
    </row>
    <row r="358" ht="15" customHeight="1">
      <c r="A358" t="inlineStr">
        <is>
          <t>A 45746-2024</t>
        </is>
      </c>
      <c r="B358" s="1" t="n">
        <v>45579</v>
      </c>
      <c r="C358" s="1" t="n">
        <v>46030</v>
      </c>
      <c r="D358" t="inlineStr">
        <is>
          <t>STOCKHOLMS LÄN</t>
        </is>
      </c>
      <c r="E358" t="inlineStr">
        <is>
          <t>NORRTÄLJE</t>
        </is>
      </c>
      <c r="G358" t="n">
        <v>3.3</v>
      </c>
      <c r="H358" t="n">
        <v>0</v>
      </c>
      <c r="I358" t="n">
        <v>0</v>
      </c>
      <c r="J358" t="n">
        <v>0</v>
      </c>
      <c r="K358" t="n">
        <v>0</v>
      </c>
      <c r="L358" t="n">
        <v>0</v>
      </c>
      <c r="M358" t="n">
        <v>0</v>
      </c>
      <c r="N358" t="n">
        <v>0</v>
      </c>
      <c r="O358" t="n">
        <v>0</v>
      </c>
      <c r="P358" t="n">
        <v>0</v>
      </c>
      <c r="Q358" t="n">
        <v>0</v>
      </c>
      <c r="R358" s="2" t="inlineStr"/>
    </row>
    <row r="359" ht="15" customHeight="1">
      <c r="A359" t="inlineStr">
        <is>
          <t>A 8400-2024</t>
        </is>
      </c>
      <c r="B359" s="1" t="n">
        <v>45352.74090277778</v>
      </c>
      <c r="C359" s="1" t="n">
        <v>46030</v>
      </c>
      <c r="D359" t="inlineStr">
        <is>
          <t>STOCKHOLMS LÄN</t>
        </is>
      </c>
      <c r="E359" t="inlineStr">
        <is>
          <t>NORRTÄLJE</t>
        </is>
      </c>
      <c r="G359" t="n">
        <v>4.7</v>
      </c>
      <c r="H359" t="n">
        <v>0</v>
      </c>
      <c r="I359" t="n">
        <v>0</v>
      </c>
      <c r="J359" t="n">
        <v>0</v>
      </c>
      <c r="K359" t="n">
        <v>0</v>
      </c>
      <c r="L359" t="n">
        <v>0</v>
      </c>
      <c r="M359" t="n">
        <v>0</v>
      </c>
      <c r="N359" t="n">
        <v>0</v>
      </c>
      <c r="O359" t="n">
        <v>0</v>
      </c>
      <c r="P359" t="n">
        <v>0</v>
      </c>
      <c r="Q359" t="n">
        <v>0</v>
      </c>
      <c r="R359" s="2" t="inlineStr"/>
    </row>
    <row r="360" ht="15" customHeight="1">
      <c r="A360" t="inlineStr">
        <is>
          <t>A 7413-2024</t>
        </is>
      </c>
      <c r="B360" s="1" t="n">
        <v>45345.6059837963</v>
      </c>
      <c r="C360" s="1" t="n">
        <v>46030</v>
      </c>
      <c r="D360" t="inlineStr">
        <is>
          <t>STOCKHOLMS LÄN</t>
        </is>
      </c>
      <c r="E360" t="inlineStr">
        <is>
          <t>NORRTÄLJE</t>
        </is>
      </c>
      <c r="G360" t="n">
        <v>1.8</v>
      </c>
      <c r="H360" t="n">
        <v>0</v>
      </c>
      <c r="I360" t="n">
        <v>0</v>
      </c>
      <c r="J360" t="n">
        <v>0</v>
      </c>
      <c r="K360" t="n">
        <v>0</v>
      </c>
      <c r="L360" t="n">
        <v>0</v>
      </c>
      <c r="M360" t="n">
        <v>0</v>
      </c>
      <c r="N360" t="n">
        <v>0</v>
      </c>
      <c r="O360" t="n">
        <v>0</v>
      </c>
      <c r="P360" t="n">
        <v>0</v>
      </c>
      <c r="Q360" t="n">
        <v>0</v>
      </c>
      <c r="R360" s="2" t="inlineStr"/>
    </row>
    <row r="361" ht="15" customHeight="1">
      <c r="A361" t="inlineStr">
        <is>
          <t>A 12251-2025</t>
        </is>
      </c>
      <c r="B361" s="1" t="n">
        <v>45729.60859953704</v>
      </c>
      <c r="C361" s="1" t="n">
        <v>46030</v>
      </c>
      <c r="D361" t="inlineStr">
        <is>
          <t>STOCKHOLMS LÄN</t>
        </is>
      </c>
      <c r="E361" t="inlineStr">
        <is>
          <t>NORRTÄLJE</t>
        </is>
      </c>
      <c r="F361" t="inlineStr">
        <is>
          <t>Holmen skog AB</t>
        </is>
      </c>
      <c r="G361" t="n">
        <v>5.9</v>
      </c>
      <c r="H361" t="n">
        <v>0</v>
      </c>
      <c r="I361" t="n">
        <v>0</v>
      </c>
      <c r="J361" t="n">
        <v>0</v>
      </c>
      <c r="K361" t="n">
        <v>0</v>
      </c>
      <c r="L361" t="n">
        <v>0</v>
      </c>
      <c r="M361" t="n">
        <v>0</v>
      </c>
      <c r="N361" t="n">
        <v>0</v>
      </c>
      <c r="O361" t="n">
        <v>0</v>
      </c>
      <c r="P361" t="n">
        <v>0</v>
      </c>
      <c r="Q361" t="n">
        <v>0</v>
      </c>
      <c r="R361" s="2" t="inlineStr"/>
    </row>
    <row r="362" ht="15" customHeight="1">
      <c r="A362" t="inlineStr">
        <is>
          <t>A 58863-2024</t>
        </is>
      </c>
      <c r="B362" s="1" t="n">
        <v>45636.41572916666</v>
      </c>
      <c r="C362" s="1" t="n">
        <v>46030</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50154-2024</t>
        </is>
      </c>
      <c r="B363" s="1" t="n">
        <v>45600.4558912037</v>
      </c>
      <c r="C363" s="1" t="n">
        <v>46030</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38593-2025</t>
        </is>
      </c>
      <c r="B364" s="1" t="n">
        <v>45884.48696759259</v>
      </c>
      <c r="C364" s="1" t="n">
        <v>46030</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11900-2024</t>
        </is>
      </c>
      <c r="B365" s="1" t="n">
        <v>45376.55484953704</v>
      </c>
      <c r="C365" s="1" t="n">
        <v>46030</v>
      </c>
      <c r="D365" t="inlineStr">
        <is>
          <t>STOCKHOLMS LÄN</t>
        </is>
      </c>
      <c r="E365" t="inlineStr">
        <is>
          <t>NORRTÄLJE</t>
        </is>
      </c>
      <c r="G365" t="n">
        <v>4.2</v>
      </c>
      <c r="H365" t="n">
        <v>0</v>
      </c>
      <c r="I365" t="n">
        <v>0</v>
      </c>
      <c r="J365" t="n">
        <v>0</v>
      </c>
      <c r="K365" t="n">
        <v>0</v>
      </c>
      <c r="L365" t="n">
        <v>0</v>
      </c>
      <c r="M365" t="n">
        <v>0</v>
      </c>
      <c r="N365" t="n">
        <v>0</v>
      </c>
      <c r="O365" t="n">
        <v>0</v>
      </c>
      <c r="P365" t="n">
        <v>0</v>
      </c>
      <c r="Q365" t="n">
        <v>0</v>
      </c>
      <c r="R365" s="2" t="inlineStr"/>
    </row>
    <row r="366" ht="15" customHeight="1">
      <c r="A366" t="inlineStr">
        <is>
          <t>A 42867-2022</t>
        </is>
      </c>
      <c r="B366" s="1" t="n">
        <v>44832</v>
      </c>
      <c r="C366" s="1" t="n">
        <v>46030</v>
      </c>
      <c r="D366" t="inlineStr">
        <is>
          <t>STOCKHOLMS LÄN</t>
        </is>
      </c>
      <c r="E366" t="inlineStr">
        <is>
          <t>NORRTÄLJE</t>
        </is>
      </c>
      <c r="G366" t="n">
        <v>6.4</v>
      </c>
      <c r="H366" t="n">
        <v>0</v>
      </c>
      <c r="I366" t="n">
        <v>0</v>
      </c>
      <c r="J366" t="n">
        <v>0</v>
      </c>
      <c r="K366" t="n">
        <v>0</v>
      </c>
      <c r="L366" t="n">
        <v>0</v>
      </c>
      <c r="M366" t="n">
        <v>0</v>
      </c>
      <c r="N366" t="n">
        <v>0</v>
      </c>
      <c r="O366" t="n">
        <v>0</v>
      </c>
      <c r="P366" t="n">
        <v>0</v>
      </c>
      <c r="Q366" t="n">
        <v>0</v>
      </c>
      <c r="R366" s="2" t="inlineStr"/>
    </row>
    <row r="367" ht="15" customHeight="1">
      <c r="A367" t="inlineStr">
        <is>
          <t>A 23749-2024</t>
        </is>
      </c>
      <c r="B367" s="1" t="n">
        <v>45455.33037037037</v>
      </c>
      <c r="C367" s="1" t="n">
        <v>46030</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27677-2025</t>
        </is>
      </c>
      <c r="B368" s="1" t="n">
        <v>45813.63650462963</v>
      </c>
      <c r="C368" s="1" t="n">
        <v>46030</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39152-2025</t>
        </is>
      </c>
      <c r="B369" s="1" t="n">
        <v>45888</v>
      </c>
      <c r="C369" s="1" t="n">
        <v>46030</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58277-2023</t>
        </is>
      </c>
      <c r="B370" s="1" t="n">
        <v>45245</v>
      </c>
      <c r="C370" s="1" t="n">
        <v>46030</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32705-2022</t>
        </is>
      </c>
      <c r="B371" s="1" t="n">
        <v>44783</v>
      </c>
      <c r="C371" s="1" t="n">
        <v>46030</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47481-2024</t>
        </is>
      </c>
      <c r="B372" s="1" t="n">
        <v>45587</v>
      </c>
      <c r="C372" s="1" t="n">
        <v>46030</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57037-2022</t>
        </is>
      </c>
      <c r="B373" s="1" t="n">
        <v>44895</v>
      </c>
      <c r="C373" s="1" t="n">
        <v>46030</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39149-2025</t>
        </is>
      </c>
      <c r="B374" s="1" t="n">
        <v>45888.60714120371</v>
      </c>
      <c r="C374" s="1" t="n">
        <v>46030</v>
      </c>
      <c r="D374" t="inlineStr">
        <is>
          <t>STOCKHOLMS LÄN</t>
        </is>
      </c>
      <c r="E374" t="inlineStr">
        <is>
          <t>NORRTÄLJE</t>
        </is>
      </c>
      <c r="G374" t="n">
        <v>3.5</v>
      </c>
      <c r="H374" t="n">
        <v>0</v>
      </c>
      <c r="I374" t="n">
        <v>0</v>
      </c>
      <c r="J374" t="n">
        <v>0</v>
      </c>
      <c r="K374" t="n">
        <v>0</v>
      </c>
      <c r="L374" t="n">
        <v>0</v>
      </c>
      <c r="M374" t="n">
        <v>0</v>
      </c>
      <c r="N374" t="n">
        <v>0</v>
      </c>
      <c r="O374" t="n">
        <v>0</v>
      </c>
      <c r="P374" t="n">
        <v>0</v>
      </c>
      <c r="Q374" t="n">
        <v>0</v>
      </c>
      <c r="R374" s="2" t="inlineStr"/>
    </row>
    <row r="375" ht="15" customHeight="1">
      <c r="A375" t="inlineStr">
        <is>
          <t>A 11940-2023</t>
        </is>
      </c>
      <c r="B375" s="1" t="n">
        <v>44995</v>
      </c>
      <c r="C375" s="1" t="n">
        <v>46030</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2281-2024</t>
        </is>
      </c>
      <c r="B376" s="1" t="n">
        <v>45310.40628472222</v>
      </c>
      <c r="C376" s="1" t="n">
        <v>46030</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60525-2022</t>
        </is>
      </c>
      <c r="B377" s="1" t="n">
        <v>44904</v>
      </c>
      <c r="C377" s="1" t="n">
        <v>46030</v>
      </c>
      <c r="D377" t="inlineStr">
        <is>
          <t>STOCKHOLMS LÄN</t>
        </is>
      </c>
      <c r="E377" t="inlineStr">
        <is>
          <t>NORRTÄLJE</t>
        </is>
      </c>
      <c r="G377" t="n">
        <v>13.4</v>
      </c>
      <c r="H377" t="n">
        <v>0</v>
      </c>
      <c r="I377" t="n">
        <v>0</v>
      </c>
      <c r="J377" t="n">
        <v>0</v>
      </c>
      <c r="K377" t="n">
        <v>0</v>
      </c>
      <c r="L377" t="n">
        <v>0</v>
      </c>
      <c r="M377" t="n">
        <v>0</v>
      </c>
      <c r="N377" t="n">
        <v>0</v>
      </c>
      <c r="O377" t="n">
        <v>0</v>
      </c>
      <c r="P377" t="n">
        <v>0</v>
      </c>
      <c r="Q377" t="n">
        <v>0</v>
      </c>
      <c r="R377" s="2" t="inlineStr"/>
    </row>
    <row r="378" ht="15" customHeight="1">
      <c r="A378" t="inlineStr">
        <is>
          <t>A 62998-2023</t>
        </is>
      </c>
      <c r="B378" s="1" t="n">
        <v>45272.64479166667</v>
      </c>
      <c r="C378" s="1" t="n">
        <v>46030</v>
      </c>
      <c r="D378" t="inlineStr">
        <is>
          <t>STOCKHOLMS LÄN</t>
        </is>
      </c>
      <c r="E378" t="inlineStr">
        <is>
          <t>NORRTÄLJE</t>
        </is>
      </c>
      <c r="G378" t="n">
        <v>16.3</v>
      </c>
      <c r="H378" t="n">
        <v>0</v>
      </c>
      <c r="I378" t="n">
        <v>0</v>
      </c>
      <c r="J378" t="n">
        <v>0</v>
      </c>
      <c r="K378" t="n">
        <v>0</v>
      </c>
      <c r="L378" t="n">
        <v>0</v>
      </c>
      <c r="M378" t="n">
        <v>0</v>
      </c>
      <c r="N378" t="n">
        <v>0</v>
      </c>
      <c r="O378" t="n">
        <v>0</v>
      </c>
      <c r="P378" t="n">
        <v>0</v>
      </c>
      <c r="Q378" t="n">
        <v>0</v>
      </c>
      <c r="R378" s="2" t="inlineStr"/>
    </row>
    <row r="379" ht="15" customHeight="1">
      <c r="A379" t="inlineStr">
        <is>
          <t>A 63015-2023</t>
        </is>
      </c>
      <c r="B379" s="1" t="n">
        <v>45272</v>
      </c>
      <c r="C379" s="1" t="n">
        <v>46030</v>
      </c>
      <c r="D379" t="inlineStr">
        <is>
          <t>STOCKHOLMS LÄN</t>
        </is>
      </c>
      <c r="E379" t="inlineStr">
        <is>
          <t>NORRTÄLJE</t>
        </is>
      </c>
      <c r="G379" t="n">
        <v>13.1</v>
      </c>
      <c r="H379" t="n">
        <v>0</v>
      </c>
      <c r="I379" t="n">
        <v>0</v>
      </c>
      <c r="J379" t="n">
        <v>0</v>
      </c>
      <c r="K379" t="n">
        <v>0</v>
      </c>
      <c r="L379" t="n">
        <v>0</v>
      </c>
      <c r="M379" t="n">
        <v>0</v>
      </c>
      <c r="N379" t="n">
        <v>0</v>
      </c>
      <c r="O379" t="n">
        <v>0</v>
      </c>
      <c r="P379" t="n">
        <v>0</v>
      </c>
      <c r="Q379" t="n">
        <v>0</v>
      </c>
      <c r="R379" s="2" t="inlineStr"/>
    </row>
    <row r="380" ht="15" customHeight="1">
      <c r="A380" t="inlineStr">
        <is>
          <t>A 56207-2025</t>
        </is>
      </c>
      <c r="B380" s="1" t="n">
        <v>45974.47329861111</v>
      </c>
      <c r="C380" s="1" t="n">
        <v>46030</v>
      </c>
      <c r="D380" t="inlineStr">
        <is>
          <t>STOCKHOLMS LÄN</t>
        </is>
      </c>
      <c r="E380" t="inlineStr">
        <is>
          <t>NORRTÄLJE</t>
        </is>
      </c>
      <c r="G380" t="n">
        <v>3.2</v>
      </c>
      <c r="H380" t="n">
        <v>0</v>
      </c>
      <c r="I380" t="n">
        <v>0</v>
      </c>
      <c r="J380" t="n">
        <v>0</v>
      </c>
      <c r="K380" t="n">
        <v>0</v>
      </c>
      <c r="L380" t="n">
        <v>0</v>
      </c>
      <c r="M380" t="n">
        <v>0</v>
      </c>
      <c r="N380" t="n">
        <v>0</v>
      </c>
      <c r="O380" t="n">
        <v>0</v>
      </c>
      <c r="P380" t="n">
        <v>0</v>
      </c>
      <c r="Q380" t="n">
        <v>0</v>
      </c>
      <c r="R380" s="2" t="inlineStr"/>
    </row>
    <row r="381" ht="15" customHeight="1">
      <c r="A381" t="inlineStr">
        <is>
          <t>A 27831-2024</t>
        </is>
      </c>
      <c r="B381" s="1" t="n">
        <v>45475.61896990741</v>
      </c>
      <c r="C381" s="1" t="n">
        <v>46030</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39692-2025</t>
        </is>
      </c>
      <c r="B382" s="1" t="n">
        <v>45890.68083333333</v>
      </c>
      <c r="C382" s="1" t="n">
        <v>46030</v>
      </c>
      <c r="D382" t="inlineStr">
        <is>
          <t>STOCKHOLMS LÄN</t>
        </is>
      </c>
      <c r="E382" t="inlineStr">
        <is>
          <t>NORRTÄLJE</t>
        </is>
      </c>
      <c r="G382" t="n">
        <v>10.5</v>
      </c>
      <c r="H382" t="n">
        <v>0</v>
      </c>
      <c r="I382" t="n">
        <v>0</v>
      </c>
      <c r="J382" t="n">
        <v>0</v>
      </c>
      <c r="K382" t="n">
        <v>0</v>
      </c>
      <c r="L382" t="n">
        <v>0</v>
      </c>
      <c r="M382" t="n">
        <v>0</v>
      </c>
      <c r="N382" t="n">
        <v>0</v>
      </c>
      <c r="O382" t="n">
        <v>0</v>
      </c>
      <c r="P382" t="n">
        <v>0</v>
      </c>
      <c r="Q382" t="n">
        <v>0</v>
      </c>
      <c r="R382" s="2" t="inlineStr"/>
    </row>
    <row r="383" ht="15" customHeight="1">
      <c r="A383" t="inlineStr">
        <is>
          <t>A 33175-2024</t>
        </is>
      </c>
      <c r="B383" s="1" t="n">
        <v>45518</v>
      </c>
      <c r="C383" s="1" t="n">
        <v>46030</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21803-2022</t>
        </is>
      </c>
      <c r="B384" s="1" t="n">
        <v>44708.67822916667</v>
      </c>
      <c r="C384" s="1" t="n">
        <v>46030</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7903-2021</t>
        </is>
      </c>
      <c r="B385" s="1" t="n">
        <v>44243.33587962963</v>
      </c>
      <c r="C385" s="1" t="n">
        <v>46030</v>
      </c>
      <c r="D385" t="inlineStr">
        <is>
          <t>STOCKHOLMS LÄN</t>
        </is>
      </c>
      <c r="E385" t="inlineStr">
        <is>
          <t>NORRTÄLJE</t>
        </is>
      </c>
      <c r="G385" t="n">
        <v>3.5</v>
      </c>
      <c r="H385" t="n">
        <v>0</v>
      </c>
      <c r="I385" t="n">
        <v>0</v>
      </c>
      <c r="J385" t="n">
        <v>0</v>
      </c>
      <c r="K385" t="n">
        <v>0</v>
      </c>
      <c r="L385" t="n">
        <v>0</v>
      </c>
      <c r="M385" t="n">
        <v>0</v>
      </c>
      <c r="N385" t="n">
        <v>0</v>
      </c>
      <c r="O385" t="n">
        <v>0</v>
      </c>
      <c r="P385" t="n">
        <v>0</v>
      </c>
      <c r="Q385" t="n">
        <v>0</v>
      </c>
      <c r="R385" s="2" t="inlineStr"/>
    </row>
    <row r="386" ht="15" customHeight="1">
      <c r="A386" t="inlineStr">
        <is>
          <t>A 35639-2025</t>
        </is>
      </c>
      <c r="B386" s="1" t="n">
        <v>45859</v>
      </c>
      <c r="C386" s="1" t="n">
        <v>46030</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39213-2022</t>
        </is>
      </c>
      <c r="B387" s="1" t="n">
        <v>44817.56120370371</v>
      </c>
      <c r="C387" s="1" t="n">
        <v>46030</v>
      </c>
      <c r="D387" t="inlineStr">
        <is>
          <t>STOCKHOLMS LÄN</t>
        </is>
      </c>
      <c r="E387" t="inlineStr">
        <is>
          <t>NORRTÄLJE</t>
        </is>
      </c>
      <c r="G387" t="n">
        <v>3.4</v>
      </c>
      <c r="H387" t="n">
        <v>0</v>
      </c>
      <c r="I387" t="n">
        <v>0</v>
      </c>
      <c r="J387" t="n">
        <v>0</v>
      </c>
      <c r="K387" t="n">
        <v>0</v>
      </c>
      <c r="L387" t="n">
        <v>0</v>
      </c>
      <c r="M387" t="n">
        <v>0</v>
      </c>
      <c r="N387" t="n">
        <v>0</v>
      </c>
      <c r="O387" t="n">
        <v>0</v>
      </c>
      <c r="P387" t="n">
        <v>0</v>
      </c>
      <c r="Q387" t="n">
        <v>0</v>
      </c>
      <c r="R387" s="2" t="inlineStr"/>
    </row>
    <row r="388" ht="15" customHeight="1">
      <c r="A388" t="inlineStr">
        <is>
          <t>A 20730-2024</t>
        </is>
      </c>
      <c r="B388" s="1" t="n">
        <v>45436</v>
      </c>
      <c r="C388" s="1" t="n">
        <v>46030</v>
      </c>
      <c r="D388" t="inlineStr">
        <is>
          <t>STOCKHOLMS LÄN</t>
        </is>
      </c>
      <c r="E388" t="inlineStr">
        <is>
          <t>NORRTÄLJE</t>
        </is>
      </c>
      <c r="G388" t="n">
        <v>7.3</v>
      </c>
      <c r="H388" t="n">
        <v>0</v>
      </c>
      <c r="I388" t="n">
        <v>0</v>
      </c>
      <c r="J388" t="n">
        <v>0</v>
      </c>
      <c r="K388" t="n">
        <v>0</v>
      </c>
      <c r="L388" t="n">
        <v>0</v>
      </c>
      <c r="M388" t="n">
        <v>0</v>
      </c>
      <c r="N388" t="n">
        <v>0</v>
      </c>
      <c r="O388" t="n">
        <v>0</v>
      </c>
      <c r="P388" t="n">
        <v>0</v>
      </c>
      <c r="Q388" t="n">
        <v>0</v>
      </c>
      <c r="R388" s="2" t="inlineStr"/>
    </row>
    <row r="389" ht="15" customHeight="1">
      <c r="A389" t="inlineStr">
        <is>
          <t>A 41976-2024</t>
        </is>
      </c>
      <c r="B389" s="1" t="n">
        <v>45561.62141203704</v>
      </c>
      <c r="C389" s="1" t="n">
        <v>46030</v>
      </c>
      <c r="D389" t="inlineStr">
        <is>
          <t>STOCKHOLMS LÄN</t>
        </is>
      </c>
      <c r="E389" t="inlineStr">
        <is>
          <t>NORRTÄLJE</t>
        </is>
      </c>
      <c r="G389" t="n">
        <v>2.5</v>
      </c>
      <c r="H389" t="n">
        <v>0</v>
      </c>
      <c r="I389" t="n">
        <v>0</v>
      </c>
      <c r="J389" t="n">
        <v>0</v>
      </c>
      <c r="K389" t="n">
        <v>0</v>
      </c>
      <c r="L389" t="n">
        <v>0</v>
      </c>
      <c r="M389" t="n">
        <v>0</v>
      </c>
      <c r="N389" t="n">
        <v>0</v>
      </c>
      <c r="O389" t="n">
        <v>0</v>
      </c>
      <c r="P389" t="n">
        <v>0</v>
      </c>
      <c r="Q389" t="n">
        <v>0</v>
      </c>
      <c r="R389" s="2" t="inlineStr"/>
    </row>
    <row r="390" ht="15" customHeight="1">
      <c r="A390" t="inlineStr">
        <is>
          <t>A 51325-2023</t>
        </is>
      </c>
      <c r="B390" s="1" t="n">
        <v>45219</v>
      </c>
      <c r="C390" s="1" t="n">
        <v>46030</v>
      </c>
      <c r="D390" t="inlineStr">
        <is>
          <t>STOCKHOLMS LÄN</t>
        </is>
      </c>
      <c r="E390" t="inlineStr">
        <is>
          <t>NORRTÄLJE</t>
        </is>
      </c>
      <c r="G390" t="n">
        <v>2.2</v>
      </c>
      <c r="H390" t="n">
        <v>0</v>
      </c>
      <c r="I390" t="n">
        <v>0</v>
      </c>
      <c r="J390" t="n">
        <v>0</v>
      </c>
      <c r="K390" t="n">
        <v>0</v>
      </c>
      <c r="L390" t="n">
        <v>0</v>
      </c>
      <c r="M390" t="n">
        <v>0</v>
      </c>
      <c r="N390" t="n">
        <v>0</v>
      </c>
      <c r="O390" t="n">
        <v>0</v>
      </c>
      <c r="P390" t="n">
        <v>0</v>
      </c>
      <c r="Q390" t="n">
        <v>0</v>
      </c>
      <c r="R390" s="2" t="inlineStr"/>
    </row>
    <row r="391" ht="15" customHeight="1">
      <c r="A391" t="inlineStr">
        <is>
          <t>A 35636-2025</t>
        </is>
      </c>
      <c r="B391" s="1" t="n">
        <v>45859</v>
      </c>
      <c r="C391" s="1" t="n">
        <v>46030</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59534-2024</t>
        </is>
      </c>
      <c r="B392" s="1" t="n">
        <v>45638.5987037037</v>
      </c>
      <c r="C392" s="1" t="n">
        <v>46030</v>
      </c>
      <c r="D392" t="inlineStr">
        <is>
          <t>STOCKHOLMS LÄN</t>
        </is>
      </c>
      <c r="E392" t="inlineStr">
        <is>
          <t>NORRTÄLJE</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31107-2022</t>
        </is>
      </c>
      <c r="B393" s="1" t="n">
        <v>44769.66864583334</v>
      </c>
      <c r="C393" s="1" t="n">
        <v>46030</v>
      </c>
      <c r="D393" t="inlineStr">
        <is>
          <t>STOCKHOLMS LÄN</t>
        </is>
      </c>
      <c r="E393" t="inlineStr">
        <is>
          <t>NORRTÄLJE</t>
        </is>
      </c>
      <c r="G393" t="n">
        <v>3.8</v>
      </c>
      <c r="H393" t="n">
        <v>0</v>
      </c>
      <c r="I393" t="n">
        <v>0</v>
      </c>
      <c r="J393" t="n">
        <v>0</v>
      </c>
      <c r="K393" t="n">
        <v>0</v>
      </c>
      <c r="L393" t="n">
        <v>0</v>
      </c>
      <c r="M393" t="n">
        <v>0</v>
      </c>
      <c r="N393" t="n">
        <v>0</v>
      </c>
      <c r="O393" t="n">
        <v>0</v>
      </c>
      <c r="P393" t="n">
        <v>0</v>
      </c>
      <c r="Q393" t="n">
        <v>0</v>
      </c>
      <c r="R393" s="2" t="inlineStr"/>
    </row>
    <row r="394" ht="15" customHeight="1">
      <c r="A394" t="inlineStr">
        <is>
          <t>A 13860-2023</t>
        </is>
      </c>
      <c r="B394" s="1" t="n">
        <v>45007</v>
      </c>
      <c r="C394" s="1" t="n">
        <v>46030</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6855-2025</t>
        </is>
      </c>
      <c r="B395" s="1" t="n">
        <v>45700</v>
      </c>
      <c r="C395" s="1" t="n">
        <v>46030</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12901-2024</t>
        </is>
      </c>
      <c r="B396" s="1" t="n">
        <v>45385.37922453704</v>
      </c>
      <c r="C396" s="1" t="n">
        <v>46030</v>
      </c>
      <c r="D396" t="inlineStr">
        <is>
          <t>STOCKHOLMS LÄN</t>
        </is>
      </c>
      <c r="E396" t="inlineStr">
        <is>
          <t>NORRTÄLJE</t>
        </is>
      </c>
      <c r="G396" t="n">
        <v>2.7</v>
      </c>
      <c r="H396" t="n">
        <v>0</v>
      </c>
      <c r="I396" t="n">
        <v>0</v>
      </c>
      <c r="J396" t="n">
        <v>0</v>
      </c>
      <c r="K396" t="n">
        <v>0</v>
      </c>
      <c r="L396" t="n">
        <v>0</v>
      </c>
      <c r="M396" t="n">
        <v>0</v>
      </c>
      <c r="N396" t="n">
        <v>0</v>
      </c>
      <c r="O396" t="n">
        <v>0</v>
      </c>
      <c r="P396" t="n">
        <v>0</v>
      </c>
      <c r="Q396" t="n">
        <v>0</v>
      </c>
      <c r="R396" s="2" t="inlineStr"/>
    </row>
    <row r="397" ht="15" customHeight="1">
      <c r="A397" t="inlineStr">
        <is>
          <t>A 8950-2025</t>
        </is>
      </c>
      <c r="B397" s="1" t="n">
        <v>45713</v>
      </c>
      <c r="C397" s="1" t="n">
        <v>46030</v>
      </c>
      <c r="D397" t="inlineStr">
        <is>
          <t>STOCKHOLMS LÄN</t>
        </is>
      </c>
      <c r="E397" t="inlineStr">
        <is>
          <t>NORRTÄLJE</t>
        </is>
      </c>
      <c r="F397" t="inlineStr">
        <is>
          <t>Övriga Aktiebolag</t>
        </is>
      </c>
      <c r="G397" t="n">
        <v>3.6</v>
      </c>
      <c r="H397" t="n">
        <v>0</v>
      </c>
      <c r="I397" t="n">
        <v>0</v>
      </c>
      <c r="J397" t="n">
        <v>0</v>
      </c>
      <c r="K397" t="n">
        <v>0</v>
      </c>
      <c r="L397" t="n">
        <v>0</v>
      </c>
      <c r="M397" t="n">
        <v>0</v>
      </c>
      <c r="N397" t="n">
        <v>0</v>
      </c>
      <c r="O397" t="n">
        <v>0</v>
      </c>
      <c r="P397" t="n">
        <v>0</v>
      </c>
      <c r="Q397" t="n">
        <v>0</v>
      </c>
      <c r="R397" s="2" t="inlineStr"/>
    </row>
    <row r="398" ht="15" customHeight="1">
      <c r="A398" t="inlineStr">
        <is>
          <t>A 12301-2025</t>
        </is>
      </c>
      <c r="B398" s="1" t="n">
        <v>45729.7271875</v>
      </c>
      <c r="C398" s="1" t="n">
        <v>46030</v>
      </c>
      <c r="D398" t="inlineStr">
        <is>
          <t>STOCKHOLMS LÄN</t>
        </is>
      </c>
      <c r="E398" t="inlineStr">
        <is>
          <t>NORRTÄLJE</t>
        </is>
      </c>
      <c r="G398" t="n">
        <v>3.2</v>
      </c>
      <c r="H398" t="n">
        <v>0</v>
      </c>
      <c r="I398" t="n">
        <v>0</v>
      </c>
      <c r="J398" t="n">
        <v>0</v>
      </c>
      <c r="K398" t="n">
        <v>0</v>
      </c>
      <c r="L398" t="n">
        <v>0</v>
      </c>
      <c r="M398" t="n">
        <v>0</v>
      </c>
      <c r="N398" t="n">
        <v>0</v>
      </c>
      <c r="O398" t="n">
        <v>0</v>
      </c>
      <c r="P398" t="n">
        <v>0</v>
      </c>
      <c r="Q398" t="n">
        <v>0</v>
      </c>
      <c r="R398" s="2" t="inlineStr"/>
    </row>
    <row r="399" ht="15" customHeight="1">
      <c r="A399" t="inlineStr">
        <is>
          <t>A 13314-2025</t>
        </is>
      </c>
      <c r="B399" s="1" t="n">
        <v>45735.59287037037</v>
      </c>
      <c r="C399" s="1" t="n">
        <v>46030</v>
      </c>
      <c r="D399" t="inlineStr">
        <is>
          <t>STOCKHOLMS LÄN</t>
        </is>
      </c>
      <c r="E399" t="inlineStr">
        <is>
          <t>NORRTÄLJE</t>
        </is>
      </c>
      <c r="G399" t="n">
        <v>2.4</v>
      </c>
      <c r="H399" t="n">
        <v>0</v>
      </c>
      <c r="I399" t="n">
        <v>0</v>
      </c>
      <c r="J399" t="n">
        <v>0</v>
      </c>
      <c r="K399" t="n">
        <v>0</v>
      </c>
      <c r="L399" t="n">
        <v>0</v>
      </c>
      <c r="M399" t="n">
        <v>0</v>
      </c>
      <c r="N399" t="n">
        <v>0</v>
      </c>
      <c r="O399" t="n">
        <v>0</v>
      </c>
      <c r="P399" t="n">
        <v>0</v>
      </c>
      <c r="Q399" t="n">
        <v>0</v>
      </c>
      <c r="R399" s="2" t="inlineStr"/>
    </row>
    <row r="400" ht="15" customHeight="1">
      <c r="A400" t="inlineStr">
        <is>
          <t>A 40172-2025</t>
        </is>
      </c>
      <c r="B400" s="1" t="n">
        <v>45894.6353125</v>
      </c>
      <c r="C400" s="1" t="n">
        <v>46030</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24351-2025</t>
        </is>
      </c>
      <c r="B401" s="1" t="n">
        <v>45797.58399305555</v>
      </c>
      <c r="C401" s="1" t="n">
        <v>46030</v>
      </c>
      <c r="D401" t="inlineStr">
        <is>
          <t>STOCKHOLMS LÄN</t>
        </is>
      </c>
      <c r="E401" t="inlineStr">
        <is>
          <t>NORRTÄLJE</t>
        </is>
      </c>
      <c r="G401" t="n">
        <v>1.5</v>
      </c>
      <c r="H401" t="n">
        <v>0</v>
      </c>
      <c r="I401" t="n">
        <v>0</v>
      </c>
      <c r="J401" t="n">
        <v>0</v>
      </c>
      <c r="K401" t="n">
        <v>0</v>
      </c>
      <c r="L401" t="n">
        <v>0</v>
      </c>
      <c r="M401" t="n">
        <v>0</v>
      </c>
      <c r="N401" t="n">
        <v>0</v>
      </c>
      <c r="O401" t="n">
        <v>0</v>
      </c>
      <c r="P401" t="n">
        <v>0</v>
      </c>
      <c r="Q401" t="n">
        <v>0</v>
      </c>
      <c r="R401" s="2" t="inlineStr"/>
    </row>
    <row r="402" ht="15" customHeight="1">
      <c r="A402" t="inlineStr">
        <is>
          <t>A 13283-2025</t>
        </is>
      </c>
      <c r="B402" s="1" t="n">
        <v>45735</v>
      </c>
      <c r="C402" s="1" t="n">
        <v>46030</v>
      </c>
      <c r="D402" t="inlineStr">
        <is>
          <t>STOCKHOLMS LÄN</t>
        </is>
      </c>
      <c r="E402" t="inlineStr">
        <is>
          <t>NORRTÄLJE</t>
        </is>
      </c>
      <c r="G402" t="n">
        <v>4.9</v>
      </c>
      <c r="H402" t="n">
        <v>0</v>
      </c>
      <c r="I402" t="n">
        <v>0</v>
      </c>
      <c r="J402" t="n">
        <v>0</v>
      </c>
      <c r="K402" t="n">
        <v>0</v>
      </c>
      <c r="L402" t="n">
        <v>0</v>
      </c>
      <c r="M402" t="n">
        <v>0</v>
      </c>
      <c r="N402" t="n">
        <v>0</v>
      </c>
      <c r="O402" t="n">
        <v>0</v>
      </c>
      <c r="P402" t="n">
        <v>0</v>
      </c>
      <c r="Q402" t="n">
        <v>0</v>
      </c>
      <c r="R402" s="2" t="inlineStr"/>
    </row>
    <row r="403" ht="15" customHeight="1">
      <c r="A403" t="inlineStr">
        <is>
          <t>A 40033-2025</t>
        </is>
      </c>
      <c r="B403" s="1" t="n">
        <v>45893</v>
      </c>
      <c r="C403" s="1" t="n">
        <v>46030</v>
      </c>
      <c r="D403" t="inlineStr">
        <is>
          <t>STOCKHOLMS LÄN</t>
        </is>
      </c>
      <c r="E403" t="inlineStr">
        <is>
          <t>NORRTÄLJE</t>
        </is>
      </c>
      <c r="G403" t="n">
        <v>1.7</v>
      </c>
      <c r="H403" t="n">
        <v>0</v>
      </c>
      <c r="I403" t="n">
        <v>0</v>
      </c>
      <c r="J403" t="n">
        <v>0</v>
      </c>
      <c r="K403" t="n">
        <v>0</v>
      </c>
      <c r="L403" t="n">
        <v>0</v>
      </c>
      <c r="M403" t="n">
        <v>0</v>
      </c>
      <c r="N403" t="n">
        <v>0</v>
      </c>
      <c r="O403" t="n">
        <v>0</v>
      </c>
      <c r="P403" t="n">
        <v>0</v>
      </c>
      <c r="Q403" t="n">
        <v>0</v>
      </c>
      <c r="R403" s="2" t="inlineStr"/>
    </row>
    <row r="404" ht="15" customHeight="1">
      <c r="A404" t="inlineStr">
        <is>
          <t>A 40032-2025</t>
        </is>
      </c>
      <c r="B404" s="1" t="n">
        <v>45893</v>
      </c>
      <c r="C404" s="1" t="n">
        <v>46030</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40292-2025</t>
        </is>
      </c>
      <c r="B405" s="1" t="n">
        <v>45895.3867824074</v>
      </c>
      <c r="C405" s="1" t="n">
        <v>46030</v>
      </c>
      <c r="D405" t="inlineStr">
        <is>
          <t>STOCKHOLMS LÄN</t>
        </is>
      </c>
      <c r="E405" t="inlineStr">
        <is>
          <t>NORRTÄLJE</t>
        </is>
      </c>
      <c r="G405" t="n">
        <v>3.5</v>
      </c>
      <c r="H405" t="n">
        <v>0</v>
      </c>
      <c r="I405" t="n">
        <v>0</v>
      </c>
      <c r="J405" t="n">
        <v>0</v>
      </c>
      <c r="K405" t="n">
        <v>0</v>
      </c>
      <c r="L405" t="n">
        <v>0</v>
      </c>
      <c r="M405" t="n">
        <v>0</v>
      </c>
      <c r="N405" t="n">
        <v>0</v>
      </c>
      <c r="O405" t="n">
        <v>0</v>
      </c>
      <c r="P405" t="n">
        <v>0</v>
      </c>
      <c r="Q405" t="n">
        <v>0</v>
      </c>
      <c r="R405" s="2" t="inlineStr"/>
    </row>
    <row r="406" ht="15" customHeight="1">
      <c r="A406" t="inlineStr">
        <is>
          <t>A 40294-2025</t>
        </is>
      </c>
      <c r="B406" s="1" t="n">
        <v>45895.38778935185</v>
      </c>
      <c r="C406" s="1" t="n">
        <v>46030</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34432-2021</t>
        </is>
      </c>
      <c r="B407" s="1" t="n">
        <v>44380.77346064815</v>
      </c>
      <c r="C407" s="1" t="n">
        <v>46030</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40228-2025</t>
        </is>
      </c>
      <c r="B408" s="1" t="n">
        <v>45894.70854166667</v>
      </c>
      <c r="C408" s="1" t="n">
        <v>46030</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24687-2025</t>
        </is>
      </c>
      <c r="B409" s="1" t="n">
        <v>45798.66767361111</v>
      </c>
      <c r="C409" s="1" t="n">
        <v>46030</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40230-2025</t>
        </is>
      </c>
      <c r="B410" s="1" t="n">
        <v>45894.71101851852</v>
      </c>
      <c r="C410" s="1" t="n">
        <v>46030</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40217-2025</t>
        </is>
      </c>
      <c r="B411" s="1" t="n">
        <v>45894.68864583333</v>
      </c>
      <c r="C411" s="1" t="n">
        <v>46030</v>
      </c>
      <c r="D411" t="inlineStr">
        <is>
          <t>STOCKHOLMS LÄN</t>
        </is>
      </c>
      <c r="E411" t="inlineStr">
        <is>
          <t>NORRTÄLJE</t>
        </is>
      </c>
      <c r="G411" t="n">
        <v>0.8</v>
      </c>
      <c r="H411" t="n">
        <v>0</v>
      </c>
      <c r="I411" t="n">
        <v>0</v>
      </c>
      <c r="J411" t="n">
        <v>0</v>
      </c>
      <c r="K411" t="n">
        <v>0</v>
      </c>
      <c r="L411" t="n">
        <v>0</v>
      </c>
      <c r="M411" t="n">
        <v>0</v>
      </c>
      <c r="N411" t="n">
        <v>0</v>
      </c>
      <c r="O411" t="n">
        <v>0</v>
      </c>
      <c r="P411" t="n">
        <v>0</v>
      </c>
      <c r="Q411" t="n">
        <v>0</v>
      </c>
      <c r="R411" s="2" t="inlineStr"/>
    </row>
    <row r="412" ht="15" customHeight="1">
      <c r="A412" t="inlineStr">
        <is>
          <t>A 40097-2025</t>
        </is>
      </c>
      <c r="B412" s="1" t="n">
        <v>45894.48322916667</v>
      </c>
      <c r="C412" s="1" t="n">
        <v>46030</v>
      </c>
      <c r="D412" t="inlineStr">
        <is>
          <t>STOCKHOLMS LÄN</t>
        </is>
      </c>
      <c r="E412" t="inlineStr">
        <is>
          <t>NORRTÄLJE</t>
        </is>
      </c>
      <c r="G412" t="n">
        <v>3</v>
      </c>
      <c r="H412" t="n">
        <v>0</v>
      </c>
      <c r="I412" t="n">
        <v>0</v>
      </c>
      <c r="J412" t="n">
        <v>0</v>
      </c>
      <c r="K412" t="n">
        <v>0</v>
      </c>
      <c r="L412" t="n">
        <v>0</v>
      </c>
      <c r="M412" t="n">
        <v>0</v>
      </c>
      <c r="N412" t="n">
        <v>0</v>
      </c>
      <c r="O412" t="n">
        <v>0</v>
      </c>
      <c r="P412" t="n">
        <v>0</v>
      </c>
      <c r="Q412" t="n">
        <v>0</v>
      </c>
      <c r="R412" s="2" t="inlineStr"/>
    </row>
    <row r="413" ht="15" customHeight="1">
      <c r="A413" t="inlineStr">
        <is>
          <t>A 24638-2025</t>
        </is>
      </c>
      <c r="B413" s="1" t="n">
        <v>45798</v>
      </c>
      <c r="C413" s="1" t="n">
        <v>46030</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40829-2025</t>
        </is>
      </c>
      <c r="B414" s="1" t="n">
        <v>45897.50802083333</v>
      </c>
      <c r="C414" s="1" t="n">
        <v>46030</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40837-2025</t>
        </is>
      </c>
      <c r="B415" s="1" t="n">
        <v>45897.51328703704</v>
      </c>
      <c r="C415" s="1" t="n">
        <v>46030</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40529-2025</t>
        </is>
      </c>
      <c r="B416" s="1" t="n">
        <v>45896.38466435186</v>
      </c>
      <c r="C416" s="1" t="n">
        <v>46030</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40831-2025</t>
        </is>
      </c>
      <c r="B417" s="1" t="n">
        <v>45897.51077546296</v>
      </c>
      <c r="C417" s="1" t="n">
        <v>46030</v>
      </c>
      <c r="D417" t="inlineStr">
        <is>
          <t>STOCKHOLMS LÄN</t>
        </is>
      </c>
      <c r="E417" t="inlineStr">
        <is>
          <t>NORRTÄLJE</t>
        </is>
      </c>
      <c r="G417" t="n">
        <v>1.8</v>
      </c>
      <c r="H417" t="n">
        <v>0</v>
      </c>
      <c r="I417" t="n">
        <v>0</v>
      </c>
      <c r="J417" t="n">
        <v>0</v>
      </c>
      <c r="K417" t="n">
        <v>0</v>
      </c>
      <c r="L417" t="n">
        <v>0</v>
      </c>
      <c r="M417" t="n">
        <v>0</v>
      </c>
      <c r="N417" t="n">
        <v>0</v>
      </c>
      <c r="O417" t="n">
        <v>0</v>
      </c>
      <c r="P417" t="n">
        <v>0</v>
      </c>
      <c r="Q417" t="n">
        <v>0</v>
      </c>
      <c r="R417" s="2" t="inlineStr"/>
    </row>
    <row r="418" ht="15" customHeight="1">
      <c r="A418" t="inlineStr">
        <is>
          <t>A 23149-2024</t>
        </is>
      </c>
      <c r="B418" s="1" t="n">
        <v>45450.64208333333</v>
      </c>
      <c r="C418" s="1" t="n">
        <v>46030</v>
      </c>
      <c r="D418" t="inlineStr">
        <is>
          <t>STOCKHOLMS LÄN</t>
        </is>
      </c>
      <c r="E418" t="inlineStr">
        <is>
          <t>NORRTÄLJE</t>
        </is>
      </c>
      <c r="F418" t="inlineStr">
        <is>
          <t>Kommuner</t>
        </is>
      </c>
      <c r="G418" t="n">
        <v>1.3</v>
      </c>
      <c r="H418" t="n">
        <v>0</v>
      </c>
      <c r="I418" t="n">
        <v>0</v>
      </c>
      <c r="J418" t="n">
        <v>0</v>
      </c>
      <c r="K418" t="n">
        <v>0</v>
      </c>
      <c r="L418" t="n">
        <v>0</v>
      </c>
      <c r="M418" t="n">
        <v>0</v>
      </c>
      <c r="N418" t="n">
        <v>0</v>
      </c>
      <c r="O418" t="n">
        <v>0</v>
      </c>
      <c r="P418" t="n">
        <v>0</v>
      </c>
      <c r="Q418" t="n">
        <v>0</v>
      </c>
      <c r="R418" s="2" t="inlineStr"/>
    </row>
    <row r="419" ht="15" customHeight="1">
      <c r="A419" t="inlineStr">
        <is>
          <t>A 23151-2024</t>
        </is>
      </c>
      <c r="B419" s="1" t="n">
        <v>45450</v>
      </c>
      <c r="C419" s="1" t="n">
        <v>46030</v>
      </c>
      <c r="D419" t="inlineStr">
        <is>
          <t>STOCKHOLMS LÄN</t>
        </is>
      </c>
      <c r="E419" t="inlineStr">
        <is>
          <t>NORRTÄLJE</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28603-2024</t>
        </is>
      </c>
      <c r="B420" s="1" t="n">
        <v>45478.42887731481</v>
      </c>
      <c r="C420" s="1" t="n">
        <v>46030</v>
      </c>
      <c r="D420" t="inlineStr">
        <is>
          <t>STOCKHOLMS LÄN</t>
        </is>
      </c>
      <c r="E420" t="inlineStr">
        <is>
          <t>NORRTÄLJE</t>
        </is>
      </c>
      <c r="G420" t="n">
        <v>5.6</v>
      </c>
      <c r="H420" t="n">
        <v>0</v>
      </c>
      <c r="I420" t="n">
        <v>0</v>
      </c>
      <c r="J420" t="n">
        <v>0</v>
      </c>
      <c r="K420" t="n">
        <v>0</v>
      </c>
      <c r="L420" t="n">
        <v>0</v>
      </c>
      <c r="M420" t="n">
        <v>0</v>
      </c>
      <c r="N420" t="n">
        <v>0</v>
      </c>
      <c r="O420" t="n">
        <v>0</v>
      </c>
      <c r="P420" t="n">
        <v>0</v>
      </c>
      <c r="Q420" t="n">
        <v>0</v>
      </c>
      <c r="R420" s="2" t="inlineStr"/>
    </row>
    <row r="421" ht="15" customHeight="1">
      <c r="A421" t="inlineStr">
        <is>
          <t>A 52001-2023</t>
        </is>
      </c>
      <c r="B421" s="1" t="n">
        <v>45223</v>
      </c>
      <c r="C421" s="1" t="n">
        <v>46030</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60185-2024</t>
        </is>
      </c>
      <c r="B422" s="1" t="n">
        <v>45642.64634259259</v>
      </c>
      <c r="C422" s="1" t="n">
        <v>46030</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48686-2023</t>
        </is>
      </c>
      <c r="B423" s="1" t="n">
        <v>45208</v>
      </c>
      <c r="C423" s="1" t="n">
        <v>46030</v>
      </c>
      <c r="D423" t="inlineStr">
        <is>
          <t>STOCKHOLMS LÄN</t>
        </is>
      </c>
      <c r="E423" t="inlineStr">
        <is>
          <t>NORRTÄLJE</t>
        </is>
      </c>
      <c r="G423" t="n">
        <v>6</v>
      </c>
      <c r="H423" t="n">
        <v>0</v>
      </c>
      <c r="I423" t="n">
        <v>0</v>
      </c>
      <c r="J423" t="n">
        <v>0</v>
      </c>
      <c r="K423" t="n">
        <v>0</v>
      </c>
      <c r="L423" t="n">
        <v>0</v>
      </c>
      <c r="M423" t="n">
        <v>0</v>
      </c>
      <c r="N423" t="n">
        <v>0</v>
      </c>
      <c r="O423" t="n">
        <v>0</v>
      </c>
      <c r="P423" t="n">
        <v>0</v>
      </c>
      <c r="Q423" t="n">
        <v>0</v>
      </c>
      <c r="R423" s="2" t="inlineStr"/>
    </row>
    <row r="424" ht="15" customHeight="1">
      <c r="A424" t="inlineStr">
        <is>
          <t>A 48691-2023</t>
        </is>
      </c>
      <c r="B424" s="1" t="n">
        <v>45208</v>
      </c>
      <c r="C424" s="1" t="n">
        <v>46030</v>
      </c>
      <c r="D424" t="inlineStr">
        <is>
          <t>STOCKHOLMS LÄN</t>
        </is>
      </c>
      <c r="E424" t="inlineStr">
        <is>
          <t>NORRTÄLJE</t>
        </is>
      </c>
      <c r="G424" t="n">
        <v>5.8</v>
      </c>
      <c r="H424" t="n">
        <v>0</v>
      </c>
      <c r="I424" t="n">
        <v>0</v>
      </c>
      <c r="J424" t="n">
        <v>0</v>
      </c>
      <c r="K424" t="n">
        <v>0</v>
      </c>
      <c r="L424" t="n">
        <v>0</v>
      </c>
      <c r="M424" t="n">
        <v>0</v>
      </c>
      <c r="N424" t="n">
        <v>0</v>
      </c>
      <c r="O424" t="n">
        <v>0</v>
      </c>
      <c r="P424" t="n">
        <v>0</v>
      </c>
      <c r="Q424" t="n">
        <v>0</v>
      </c>
      <c r="R424" s="2" t="inlineStr"/>
    </row>
    <row r="425" ht="15" customHeight="1">
      <c r="A425" t="inlineStr">
        <is>
          <t>A 41158-2025</t>
        </is>
      </c>
      <c r="B425" s="1" t="n">
        <v>45898.5315625</v>
      </c>
      <c r="C425" s="1" t="n">
        <v>46030</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24690-2025</t>
        </is>
      </c>
      <c r="B426" s="1" t="n">
        <v>45798.67082175926</v>
      </c>
      <c r="C426" s="1" t="n">
        <v>46030</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15733-2025</t>
        </is>
      </c>
      <c r="B427" s="1" t="n">
        <v>45748</v>
      </c>
      <c r="C427" s="1" t="n">
        <v>46030</v>
      </c>
      <c r="D427" t="inlineStr">
        <is>
          <t>STOCKHOLMS LÄN</t>
        </is>
      </c>
      <c r="E427" t="inlineStr">
        <is>
          <t>NORRTÄLJE</t>
        </is>
      </c>
      <c r="G427" t="n">
        <v>13.3</v>
      </c>
      <c r="H427" t="n">
        <v>0</v>
      </c>
      <c r="I427" t="n">
        <v>0</v>
      </c>
      <c r="J427" t="n">
        <v>0</v>
      </c>
      <c r="K427" t="n">
        <v>0</v>
      </c>
      <c r="L427" t="n">
        <v>0</v>
      </c>
      <c r="M427" t="n">
        <v>0</v>
      </c>
      <c r="N427" t="n">
        <v>0</v>
      </c>
      <c r="O427" t="n">
        <v>0</v>
      </c>
      <c r="P427" t="n">
        <v>0</v>
      </c>
      <c r="Q427" t="n">
        <v>0</v>
      </c>
      <c r="R427" s="2" t="inlineStr"/>
    </row>
    <row r="428" ht="15" customHeight="1">
      <c r="A428" t="inlineStr">
        <is>
          <t>A 47259-2024</t>
        </is>
      </c>
      <c r="B428" s="1" t="n">
        <v>45586</v>
      </c>
      <c r="C428" s="1" t="n">
        <v>46030</v>
      </c>
      <c r="D428" t="inlineStr">
        <is>
          <t>STOCKHOLMS LÄN</t>
        </is>
      </c>
      <c r="E428" t="inlineStr">
        <is>
          <t>NORRTÄLJE</t>
        </is>
      </c>
      <c r="G428" t="n">
        <v>1.8</v>
      </c>
      <c r="H428" t="n">
        <v>0</v>
      </c>
      <c r="I428" t="n">
        <v>0</v>
      </c>
      <c r="J428" t="n">
        <v>0</v>
      </c>
      <c r="K428" t="n">
        <v>0</v>
      </c>
      <c r="L428" t="n">
        <v>0</v>
      </c>
      <c r="M428" t="n">
        <v>0</v>
      </c>
      <c r="N428" t="n">
        <v>0</v>
      </c>
      <c r="O428" t="n">
        <v>0</v>
      </c>
      <c r="P428" t="n">
        <v>0</v>
      </c>
      <c r="Q428" t="n">
        <v>0</v>
      </c>
      <c r="R428" s="2" t="inlineStr"/>
    </row>
    <row r="429" ht="15" customHeight="1">
      <c r="A429" t="inlineStr">
        <is>
          <t>A 25702-2025</t>
        </is>
      </c>
      <c r="B429" s="1" t="n">
        <v>45800</v>
      </c>
      <c r="C429" s="1" t="n">
        <v>46030</v>
      </c>
      <c r="D429" t="inlineStr">
        <is>
          <t>STOCKHOLMS LÄN</t>
        </is>
      </c>
      <c r="E429" t="inlineStr">
        <is>
          <t>NORRTÄLJE</t>
        </is>
      </c>
      <c r="G429" t="n">
        <v>5.3</v>
      </c>
      <c r="H429" t="n">
        <v>0</v>
      </c>
      <c r="I429" t="n">
        <v>0</v>
      </c>
      <c r="J429" t="n">
        <v>0</v>
      </c>
      <c r="K429" t="n">
        <v>0</v>
      </c>
      <c r="L429" t="n">
        <v>0</v>
      </c>
      <c r="M429" t="n">
        <v>0</v>
      </c>
      <c r="N429" t="n">
        <v>0</v>
      </c>
      <c r="O429" t="n">
        <v>0</v>
      </c>
      <c r="P429" t="n">
        <v>0</v>
      </c>
      <c r="Q429" t="n">
        <v>0</v>
      </c>
      <c r="R429" s="2" t="inlineStr"/>
    </row>
    <row r="430" ht="15" customHeight="1">
      <c r="A430" t="inlineStr">
        <is>
          <t>A 19058-2024</t>
        </is>
      </c>
      <c r="B430" s="1" t="n">
        <v>45427.89121527778</v>
      </c>
      <c r="C430" s="1" t="n">
        <v>46030</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41053-2025</t>
        </is>
      </c>
      <c r="B431" s="1" t="n">
        <v>45898.40480324074</v>
      </c>
      <c r="C431" s="1" t="n">
        <v>46030</v>
      </c>
      <c r="D431" t="inlineStr">
        <is>
          <t>STOCKHOLMS LÄN</t>
        </is>
      </c>
      <c r="E431" t="inlineStr">
        <is>
          <t>NORRTÄLJE</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41275-2025</t>
        </is>
      </c>
      <c r="B432" s="1" t="n">
        <v>45898.62625</v>
      </c>
      <c r="C432" s="1" t="n">
        <v>46030</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41272-2025</t>
        </is>
      </c>
      <c r="B433" s="1" t="n">
        <v>45898.62373842593</v>
      </c>
      <c r="C433" s="1" t="n">
        <v>46030</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25712-2025</t>
        </is>
      </c>
      <c r="B434" s="1" t="n">
        <v>45803.69228009259</v>
      </c>
      <c r="C434" s="1" t="n">
        <v>46030</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21726-2022</t>
        </is>
      </c>
      <c r="B435" s="1" t="n">
        <v>44708</v>
      </c>
      <c r="C435" s="1" t="n">
        <v>46030</v>
      </c>
      <c r="D435" t="inlineStr">
        <is>
          <t>STOCKHOLMS LÄN</t>
        </is>
      </c>
      <c r="E435" t="inlineStr">
        <is>
          <t>NORRTÄLJE</t>
        </is>
      </c>
      <c r="G435" t="n">
        <v>0.2</v>
      </c>
      <c r="H435" t="n">
        <v>0</v>
      </c>
      <c r="I435" t="n">
        <v>0</v>
      </c>
      <c r="J435" t="n">
        <v>0</v>
      </c>
      <c r="K435" t="n">
        <v>0</v>
      </c>
      <c r="L435" t="n">
        <v>0</v>
      </c>
      <c r="M435" t="n">
        <v>0</v>
      </c>
      <c r="N435" t="n">
        <v>0</v>
      </c>
      <c r="O435" t="n">
        <v>0</v>
      </c>
      <c r="P435" t="n">
        <v>0</v>
      </c>
      <c r="Q435" t="n">
        <v>0</v>
      </c>
      <c r="R435" s="2" t="inlineStr"/>
    </row>
    <row r="436" ht="15" customHeight="1">
      <c r="A436" t="inlineStr">
        <is>
          <t>A 21739-2022</t>
        </is>
      </c>
      <c r="B436" s="1" t="n">
        <v>44708.36708333333</v>
      </c>
      <c r="C436" s="1" t="n">
        <v>46030</v>
      </c>
      <c r="D436" t="inlineStr">
        <is>
          <t>STOCKHOLMS LÄN</t>
        </is>
      </c>
      <c r="E436" t="inlineStr">
        <is>
          <t>NORRTÄLJE</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35210-2023</t>
        </is>
      </c>
      <c r="B437" s="1" t="n">
        <v>45145.63584490741</v>
      </c>
      <c r="C437" s="1" t="n">
        <v>46030</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25733-2025</t>
        </is>
      </c>
      <c r="B438" s="1" t="n">
        <v>45800</v>
      </c>
      <c r="C438" s="1" t="n">
        <v>46030</v>
      </c>
      <c r="D438" t="inlineStr">
        <is>
          <t>STOCKHOLMS LÄN</t>
        </is>
      </c>
      <c r="E438" t="inlineStr">
        <is>
          <t>NORRTÄLJE</t>
        </is>
      </c>
      <c r="G438" t="n">
        <v>2.2</v>
      </c>
      <c r="H438" t="n">
        <v>0</v>
      </c>
      <c r="I438" t="n">
        <v>0</v>
      </c>
      <c r="J438" t="n">
        <v>0</v>
      </c>
      <c r="K438" t="n">
        <v>0</v>
      </c>
      <c r="L438" t="n">
        <v>0</v>
      </c>
      <c r="M438" t="n">
        <v>0</v>
      </c>
      <c r="N438" t="n">
        <v>0</v>
      </c>
      <c r="O438" t="n">
        <v>0</v>
      </c>
      <c r="P438" t="n">
        <v>0</v>
      </c>
      <c r="Q438" t="n">
        <v>0</v>
      </c>
      <c r="R438" s="2" t="inlineStr"/>
    </row>
    <row r="439" ht="15" customHeight="1">
      <c r="A439" t="inlineStr">
        <is>
          <t>A 41301-2025</t>
        </is>
      </c>
      <c r="B439" s="1" t="n">
        <v>45898.68826388889</v>
      </c>
      <c r="C439" s="1" t="n">
        <v>46030</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39238-2024</t>
        </is>
      </c>
      <c r="B440" s="1" t="n">
        <v>45549</v>
      </c>
      <c r="C440" s="1" t="n">
        <v>46030</v>
      </c>
      <c r="D440" t="inlineStr">
        <is>
          <t>STOCKHOLMS LÄN</t>
        </is>
      </c>
      <c r="E440" t="inlineStr">
        <is>
          <t>NORRTÄLJE</t>
        </is>
      </c>
      <c r="G440" t="n">
        <v>3.6</v>
      </c>
      <c r="H440" t="n">
        <v>0</v>
      </c>
      <c r="I440" t="n">
        <v>0</v>
      </c>
      <c r="J440" t="n">
        <v>0</v>
      </c>
      <c r="K440" t="n">
        <v>0</v>
      </c>
      <c r="L440" t="n">
        <v>0</v>
      </c>
      <c r="M440" t="n">
        <v>0</v>
      </c>
      <c r="N440" t="n">
        <v>0</v>
      </c>
      <c r="O440" t="n">
        <v>0</v>
      </c>
      <c r="P440" t="n">
        <v>0</v>
      </c>
      <c r="Q440" t="n">
        <v>0</v>
      </c>
      <c r="R440" s="2" t="inlineStr"/>
    </row>
    <row r="441" ht="15" customHeight="1">
      <c r="A441" t="inlineStr">
        <is>
          <t>A 25571-2025</t>
        </is>
      </c>
      <c r="B441" s="1" t="n">
        <v>45803.4675</v>
      </c>
      <c r="C441" s="1" t="n">
        <v>46030</v>
      </c>
      <c r="D441" t="inlineStr">
        <is>
          <t>STOCKHOLMS LÄN</t>
        </is>
      </c>
      <c r="E441" t="inlineStr">
        <is>
          <t>NORRTÄLJE</t>
        </is>
      </c>
      <c r="G441" t="n">
        <v>5.4</v>
      </c>
      <c r="H441" t="n">
        <v>0</v>
      </c>
      <c r="I441" t="n">
        <v>0</v>
      </c>
      <c r="J441" t="n">
        <v>0</v>
      </c>
      <c r="K441" t="n">
        <v>0</v>
      </c>
      <c r="L441" t="n">
        <v>0</v>
      </c>
      <c r="M441" t="n">
        <v>0</v>
      </c>
      <c r="N441" t="n">
        <v>0</v>
      </c>
      <c r="O441" t="n">
        <v>0</v>
      </c>
      <c r="P441" t="n">
        <v>0</v>
      </c>
      <c r="Q441" t="n">
        <v>0</v>
      </c>
      <c r="R441" s="2" t="inlineStr"/>
    </row>
    <row r="442" ht="15" customHeight="1">
      <c r="A442" t="inlineStr">
        <is>
          <t>A 59767-2022</t>
        </is>
      </c>
      <c r="B442" s="1" t="n">
        <v>44900</v>
      </c>
      <c r="C442" s="1" t="n">
        <v>46030</v>
      </c>
      <c r="D442" t="inlineStr">
        <is>
          <t>STOCKHOLMS LÄN</t>
        </is>
      </c>
      <c r="E442" t="inlineStr">
        <is>
          <t>NORRTÄLJE</t>
        </is>
      </c>
      <c r="G442" t="n">
        <v>2.2</v>
      </c>
      <c r="H442" t="n">
        <v>0</v>
      </c>
      <c r="I442" t="n">
        <v>0</v>
      </c>
      <c r="J442" t="n">
        <v>0</v>
      </c>
      <c r="K442" t="n">
        <v>0</v>
      </c>
      <c r="L442" t="n">
        <v>0</v>
      </c>
      <c r="M442" t="n">
        <v>0</v>
      </c>
      <c r="N442" t="n">
        <v>0</v>
      </c>
      <c r="O442" t="n">
        <v>0</v>
      </c>
      <c r="P442" t="n">
        <v>0</v>
      </c>
      <c r="Q442" t="n">
        <v>0</v>
      </c>
      <c r="R442" s="2" t="inlineStr"/>
    </row>
    <row r="443" ht="15" customHeight="1">
      <c r="A443" t="inlineStr">
        <is>
          <t>A 25721-2025</t>
        </is>
      </c>
      <c r="B443" s="1" t="n">
        <v>45800</v>
      </c>
      <c r="C443" s="1" t="n">
        <v>46030</v>
      </c>
      <c r="D443" t="inlineStr">
        <is>
          <t>STOCKHOLMS LÄN</t>
        </is>
      </c>
      <c r="E443" t="inlineStr">
        <is>
          <t>NORRTÄLJE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41174-2025</t>
        </is>
      </c>
      <c r="B444" s="1" t="n">
        <v>45898.54921296296</v>
      </c>
      <c r="C444" s="1" t="n">
        <v>46030</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5823-2023</t>
        </is>
      </c>
      <c r="B445" s="1" t="n">
        <v>44963</v>
      </c>
      <c r="C445" s="1" t="n">
        <v>46030</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46030</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25697-2025</t>
        </is>
      </c>
      <c r="B447" s="1" t="n">
        <v>45803.66587962963</v>
      </c>
      <c r="C447" s="1" t="n">
        <v>46030</v>
      </c>
      <c r="D447" t="inlineStr">
        <is>
          <t>STOCKHOLMS LÄN</t>
        </is>
      </c>
      <c r="E447" t="inlineStr">
        <is>
          <t>NORRTÄLJE</t>
        </is>
      </c>
      <c r="G447" t="n">
        <v>2.5</v>
      </c>
      <c r="H447" t="n">
        <v>0</v>
      </c>
      <c r="I447" t="n">
        <v>0</v>
      </c>
      <c r="J447" t="n">
        <v>0</v>
      </c>
      <c r="K447" t="n">
        <v>0</v>
      </c>
      <c r="L447" t="n">
        <v>0</v>
      </c>
      <c r="M447" t="n">
        <v>0</v>
      </c>
      <c r="N447" t="n">
        <v>0</v>
      </c>
      <c r="O447" t="n">
        <v>0</v>
      </c>
      <c r="P447" t="n">
        <v>0</v>
      </c>
      <c r="Q447" t="n">
        <v>0</v>
      </c>
      <c r="R447" s="2" t="inlineStr"/>
    </row>
    <row r="448" ht="15" customHeight="1">
      <c r="A448" t="inlineStr">
        <is>
          <t>A 19915-2024</t>
        </is>
      </c>
      <c r="B448" s="1" t="n">
        <v>45433.58431712963</v>
      </c>
      <c r="C448" s="1" t="n">
        <v>46030</v>
      </c>
      <c r="D448" t="inlineStr">
        <is>
          <t>STOCKHOLMS LÄN</t>
        </is>
      </c>
      <c r="E448" t="inlineStr">
        <is>
          <t>NORRTÄLJE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15217-2023</t>
        </is>
      </c>
      <c r="B449" s="1" t="n">
        <v>45019.28847222222</v>
      </c>
      <c r="C449" s="1" t="n">
        <v>46030</v>
      </c>
      <c r="D449" t="inlineStr">
        <is>
          <t>STOCKHOLMS LÄN</t>
        </is>
      </c>
      <c r="E449" t="inlineStr">
        <is>
          <t>NORRTÄLJE</t>
        </is>
      </c>
      <c r="G449" t="n">
        <v>3.6</v>
      </c>
      <c r="H449" t="n">
        <v>0</v>
      </c>
      <c r="I449" t="n">
        <v>0</v>
      </c>
      <c r="J449" t="n">
        <v>0</v>
      </c>
      <c r="K449" t="n">
        <v>0</v>
      </c>
      <c r="L449" t="n">
        <v>0</v>
      </c>
      <c r="M449" t="n">
        <v>0</v>
      </c>
      <c r="N449" t="n">
        <v>0</v>
      </c>
      <c r="O449" t="n">
        <v>0</v>
      </c>
      <c r="P449" t="n">
        <v>0</v>
      </c>
      <c r="Q449" t="n">
        <v>0</v>
      </c>
      <c r="R449" s="2" t="inlineStr"/>
    </row>
    <row r="450" ht="15" customHeight="1">
      <c r="A450" t="inlineStr">
        <is>
          <t>A 41218-2024</t>
        </is>
      </c>
      <c r="B450" s="1" t="n">
        <v>45559.54706018518</v>
      </c>
      <c r="C450" s="1" t="n">
        <v>46030</v>
      </c>
      <c r="D450" t="inlineStr">
        <is>
          <t>STOCKHOLMS LÄN</t>
        </is>
      </c>
      <c r="E450" t="inlineStr">
        <is>
          <t>NORRTÄLJE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41036-2025</t>
        </is>
      </c>
      <c r="B451" s="1" t="n">
        <v>45898.38552083333</v>
      </c>
      <c r="C451" s="1" t="n">
        <v>46030</v>
      </c>
      <c r="D451" t="inlineStr">
        <is>
          <t>STOCKHOLMS LÄN</t>
        </is>
      </c>
      <c r="E451" t="inlineStr">
        <is>
          <t>NORRTÄLJE</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41106-2025</t>
        </is>
      </c>
      <c r="B452" s="1" t="n">
        <v>45898.45636574074</v>
      </c>
      <c r="C452" s="1" t="n">
        <v>46030</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41110-2025</t>
        </is>
      </c>
      <c r="B453" s="1" t="n">
        <v>45898.45976851852</v>
      </c>
      <c r="C453" s="1" t="n">
        <v>46030</v>
      </c>
      <c r="D453" t="inlineStr">
        <is>
          <t>STOCKHOLMS LÄN</t>
        </is>
      </c>
      <c r="E453" t="inlineStr">
        <is>
          <t>NORRTÄLJE</t>
        </is>
      </c>
      <c r="F453" t="inlineStr">
        <is>
          <t>Holmen skog AB</t>
        </is>
      </c>
      <c r="G453" t="n">
        <v>6.7</v>
      </c>
      <c r="H453" t="n">
        <v>0</v>
      </c>
      <c r="I453" t="n">
        <v>0</v>
      </c>
      <c r="J453" t="n">
        <v>0</v>
      </c>
      <c r="K453" t="n">
        <v>0</v>
      </c>
      <c r="L453" t="n">
        <v>0</v>
      </c>
      <c r="M453" t="n">
        <v>0</v>
      </c>
      <c r="N453" t="n">
        <v>0</v>
      </c>
      <c r="O453" t="n">
        <v>0</v>
      </c>
      <c r="P453" t="n">
        <v>0</v>
      </c>
      <c r="Q453" t="n">
        <v>0</v>
      </c>
      <c r="R453" s="2" t="inlineStr"/>
    </row>
    <row r="454" ht="15" customHeight="1">
      <c r="A454" t="inlineStr">
        <is>
          <t>A 50143-2023</t>
        </is>
      </c>
      <c r="B454" s="1" t="n">
        <v>45215</v>
      </c>
      <c r="C454" s="1" t="n">
        <v>46030</v>
      </c>
      <c r="D454" t="inlineStr">
        <is>
          <t>STOCKHOLMS LÄN</t>
        </is>
      </c>
      <c r="E454" t="inlineStr">
        <is>
          <t>NORRTÄLJE</t>
        </is>
      </c>
      <c r="G454" t="n">
        <v>10.3</v>
      </c>
      <c r="H454" t="n">
        <v>0</v>
      </c>
      <c r="I454" t="n">
        <v>0</v>
      </c>
      <c r="J454" t="n">
        <v>0</v>
      </c>
      <c r="K454" t="n">
        <v>0</v>
      </c>
      <c r="L454" t="n">
        <v>0</v>
      </c>
      <c r="M454" t="n">
        <v>0</v>
      </c>
      <c r="N454" t="n">
        <v>0</v>
      </c>
      <c r="O454" t="n">
        <v>0</v>
      </c>
      <c r="P454" t="n">
        <v>0</v>
      </c>
      <c r="Q454" t="n">
        <v>0</v>
      </c>
      <c r="R454" s="2" t="inlineStr"/>
    </row>
    <row r="455" ht="15" customHeight="1">
      <c r="A455" t="inlineStr">
        <is>
          <t>A 41259-2025</t>
        </is>
      </c>
      <c r="B455" s="1" t="n">
        <v>45898.61054398148</v>
      </c>
      <c r="C455" s="1" t="n">
        <v>46030</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38449-2022</t>
        </is>
      </c>
      <c r="B456" s="1" t="n">
        <v>44813</v>
      </c>
      <c r="C456" s="1" t="n">
        <v>46030</v>
      </c>
      <c r="D456" t="inlineStr">
        <is>
          <t>STOCKHOLMS LÄN</t>
        </is>
      </c>
      <c r="E456" t="inlineStr">
        <is>
          <t>NORRTÄLJE</t>
        </is>
      </c>
      <c r="G456" t="n">
        <v>4.2</v>
      </c>
      <c r="H456" t="n">
        <v>0</v>
      </c>
      <c r="I456" t="n">
        <v>0</v>
      </c>
      <c r="J456" t="n">
        <v>0</v>
      </c>
      <c r="K456" t="n">
        <v>0</v>
      </c>
      <c r="L456" t="n">
        <v>0</v>
      </c>
      <c r="M456" t="n">
        <v>0</v>
      </c>
      <c r="N456" t="n">
        <v>0</v>
      </c>
      <c r="O456" t="n">
        <v>0</v>
      </c>
      <c r="P456" t="n">
        <v>0</v>
      </c>
      <c r="Q456" t="n">
        <v>0</v>
      </c>
      <c r="R456" s="2" t="inlineStr"/>
    </row>
    <row r="457" ht="15" customHeight="1">
      <c r="A457" t="inlineStr">
        <is>
          <t>A 10511-2025</t>
        </is>
      </c>
      <c r="B457" s="1" t="n">
        <v>45721.40780092592</v>
      </c>
      <c r="C457" s="1" t="n">
        <v>46030</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29176-2024</t>
        </is>
      </c>
      <c r="B458" s="1" t="n">
        <v>45482.53388888889</v>
      </c>
      <c r="C458" s="1" t="n">
        <v>46030</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36430-2024</t>
        </is>
      </c>
      <c r="B459" s="1" t="n">
        <v>45536</v>
      </c>
      <c r="C459" s="1" t="n">
        <v>46030</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34478-2025</t>
        </is>
      </c>
      <c r="B460" s="1" t="n">
        <v>45847.37414351852</v>
      </c>
      <c r="C460" s="1" t="n">
        <v>46030</v>
      </c>
      <c r="D460" t="inlineStr">
        <is>
          <t>STOCKHOLMS LÄN</t>
        </is>
      </c>
      <c r="E460" t="inlineStr">
        <is>
          <t>NORRTÄLJE</t>
        </is>
      </c>
      <c r="F460" t="inlineStr">
        <is>
          <t>Övriga Aktiebolag</t>
        </is>
      </c>
      <c r="G460" t="n">
        <v>10.8</v>
      </c>
      <c r="H460" t="n">
        <v>0</v>
      </c>
      <c r="I460" t="n">
        <v>0</v>
      </c>
      <c r="J460" t="n">
        <v>0</v>
      </c>
      <c r="K460" t="n">
        <v>0</v>
      </c>
      <c r="L460" t="n">
        <v>0</v>
      </c>
      <c r="M460" t="n">
        <v>0</v>
      </c>
      <c r="N460" t="n">
        <v>0</v>
      </c>
      <c r="O460" t="n">
        <v>0</v>
      </c>
      <c r="P460" t="n">
        <v>0</v>
      </c>
      <c r="Q460" t="n">
        <v>0</v>
      </c>
      <c r="R460" s="2" t="inlineStr"/>
    </row>
    <row r="461" ht="15" customHeight="1">
      <c r="A461" t="inlineStr">
        <is>
          <t>A 19057-2024</t>
        </is>
      </c>
      <c r="B461" s="1" t="n">
        <v>45427.88731481481</v>
      </c>
      <c r="C461" s="1" t="n">
        <v>46030</v>
      </c>
      <c r="D461" t="inlineStr">
        <is>
          <t>STOCKHOLMS LÄN</t>
        </is>
      </c>
      <c r="E461" t="inlineStr">
        <is>
          <t>NORRTÄLJE</t>
        </is>
      </c>
      <c r="G461" t="n">
        <v>3</v>
      </c>
      <c r="H461" t="n">
        <v>0</v>
      </c>
      <c r="I461" t="n">
        <v>0</v>
      </c>
      <c r="J461" t="n">
        <v>0</v>
      </c>
      <c r="K461" t="n">
        <v>0</v>
      </c>
      <c r="L461" t="n">
        <v>0</v>
      </c>
      <c r="M461" t="n">
        <v>0</v>
      </c>
      <c r="N461" t="n">
        <v>0</v>
      </c>
      <c r="O461" t="n">
        <v>0</v>
      </c>
      <c r="P461" t="n">
        <v>0</v>
      </c>
      <c r="Q461" t="n">
        <v>0</v>
      </c>
      <c r="R461" s="2" t="inlineStr"/>
    </row>
    <row r="462" ht="15" customHeight="1">
      <c r="A462" t="inlineStr">
        <is>
          <t>A 51312-2023</t>
        </is>
      </c>
      <c r="B462" s="1" t="n">
        <v>45219.56697916667</v>
      </c>
      <c r="C462" s="1" t="n">
        <v>46030</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35640-2024</t>
        </is>
      </c>
      <c r="B463" s="1" t="n">
        <v>45531</v>
      </c>
      <c r="C463" s="1" t="n">
        <v>46030</v>
      </c>
      <c r="D463" t="inlineStr">
        <is>
          <t>STOCKHOLMS LÄN</t>
        </is>
      </c>
      <c r="E463" t="inlineStr">
        <is>
          <t>NORRTÄLJE</t>
        </is>
      </c>
      <c r="G463" t="n">
        <v>0.9</v>
      </c>
      <c r="H463" t="n">
        <v>0</v>
      </c>
      <c r="I463" t="n">
        <v>0</v>
      </c>
      <c r="J463" t="n">
        <v>0</v>
      </c>
      <c r="K463" t="n">
        <v>0</v>
      </c>
      <c r="L463" t="n">
        <v>0</v>
      </c>
      <c r="M463" t="n">
        <v>0</v>
      </c>
      <c r="N463" t="n">
        <v>0</v>
      </c>
      <c r="O463" t="n">
        <v>0</v>
      </c>
      <c r="P463" t="n">
        <v>0</v>
      </c>
      <c r="Q463" t="n">
        <v>0</v>
      </c>
      <c r="R463" s="2" t="inlineStr"/>
    </row>
    <row r="464" ht="15" customHeight="1">
      <c r="A464" t="inlineStr">
        <is>
          <t>A 41966-2025</t>
        </is>
      </c>
      <c r="B464" s="1" t="n">
        <v>45903.47456018518</v>
      </c>
      <c r="C464" s="1" t="n">
        <v>46030</v>
      </c>
      <c r="D464" t="inlineStr">
        <is>
          <t>STOCKHOLMS LÄN</t>
        </is>
      </c>
      <c r="E464" t="inlineStr">
        <is>
          <t>NORRTÄLJE</t>
        </is>
      </c>
      <c r="F464" t="inlineStr">
        <is>
          <t>Sveaskog</t>
        </is>
      </c>
      <c r="G464" t="n">
        <v>3.7</v>
      </c>
      <c r="H464" t="n">
        <v>0</v>
      </c>
      <c r="I464" t="n">
        <v>0</v>
      </c>
      <c r="J464" t="n">
        <v>0</v>
      </c>
      <c r="K464" t="n">
        <v>0</v>
      </c>
      <c r="L464" t="n">
        <v>0</v>
      </c>
      <c r="M464" t="n">
        <v>0</v>
      </c>
      <c r="N464" t="n">
        <v>0</v>
      </c>
      <c r="O464" t="n">
        <v>0</v>
      </c>
      <c r="P464" t="n">
        <v>0</v>
      </c>
      <c r="Q464" t="n">
        <v>0</v>
      </c>
      <c r="R464" s="2" t="inlineStr"/>
    </row>
    <row r="465" ht="15" customHeight="1">
      <c r="A465" t="inlineStr">
        <is>
          <t>A 42038-2025</t>
        </is>
      </c>
      <c r="B465" s="1" t="n">
        <v>45903.61431712963</v>
      </c>
      <c r="C465" s="1" t="n">
        <v>46030</v>
      </c>
      <c r="D465" t="inlineStr">
        <is>
          <t>STOCKHOLMS LÄN</t>
        </is>
      </c>
      <c r="E465" t="inlineStr">
        <is>
          <t>NORRTÄLJE</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43212-2022</t>
        </is>
      </c>
      <c r="B466" s="1" t="n">
        <v>44834.38636574074</v>
      </c>
      <c r="C466" s="1" t="n">
        <v>46030</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53561-2023</t>
        </is>
      </c>
      <c r="B467" s="1" t="n">
        <v>45224</v>
      </c>
      <c r="C467" s="1" t="n">
        <v>46030</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51653-2022</t>
        </is>
      </c>
      <c r="B468" s="1" t="n">
        <v>44867</v>
      </c>
      <c r="C468" s="1" t="n">
        <v>46030</v>
      </c>
      <c r="D468" t="inlineStr">
        <is>
          <t>STOCKHOLMS LÄN</t>
        </is>
      </c>
      <c r="E468" t="inlineStr">
        <is>
          <t>NORRTÄLJE</t>
        </is>
      </c>
      <c r="G468" t="n">
        <v>6.6</v>
      </c>
      <c r="H468" t="n">
        <v>0</v>
      </c>
      <c r="I468" t="n">
        <v>0</v>
      </c>
      <c r="J468" t="n">
        <v>0</v>
      </c>
      <c r="K468" t="n">
        <v>0</v>
      </c>
      <c r="L468" t="n">
        <v>0</v>
      </c>
      <c r="M468" t="n">
        <v>0</v>
      </c>
      <c r="N468" t="n">
        <v>0</v>
      </c>
      <c r="O468" t="n">
        <v>0</v>
      </c>
      <c r="P468" t="n">
        <v>0</v>
      </c>
      <c r="Q468" t="n">
        <v>0</v>
      </c>
      <c r="R468" s="2" t="inlineStr"/>
    </row>
    <row r="469" ht="15" customHeight="1">
      <c r="A469" t="inlineStr">
        <is>
          <t>A 4322-2023</t>
        </is>
      </c>
      <c r="B469" s="1" t="n">
        <v>44953.69298611111</v>
      </c>
      <c r="C469" s="1" t="n">
        <v>46030</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41964-2025</t>
        </is>
      </c>
      <c r="B470" s="1" t="n">
        <v>45903.47270833333</v>
      </c>
      <c r="C470" s="1" t="n">
        <v>46030</v>
      </c>
      <c r="D470" t="inlineStr">
        <is>
          <t>STOCKHOLMS LÄN</t>
        </is>
      </c>
      <c r="E470" t="inlineStr">
        <is>
          <t>NORRTÄLJE</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26051-2025</t>
        </is>
      </c>
      <c r="B471" s="1" t="n">
        <v>45804.74479166666</v>
      </c>
      <c r="C471" s="1" t="n">
        <v>46030</v>
      </c>
      <c r="D471" t="inlineStr">
        <is>
          <t>STOCKHOLMS LÄN</t>
        </is>
      </c>
      <c r="E471" t="inlineStr">
        <is>
          <t>NORRTÄLJE</t>
        </is>
      </c>
      <c r="G471" t="n">
        <v>3.2</v>
      </c>
      <c r="H471" t="n">
        <v>0</v>
      </c>
      <c r="I471" t="n">
        <v>0</v>
      </c>
      <c r="J471" t="n">
        <v>0</v>
      </c>
      <c r="K471" t="n">
        <v>0</v>
      </c>
      <c r="L471" t="n">
        <v>0</v>
      </c>
      <c r="M471" t="n">
        <v>0</v>
      </c>
      <c r="N471" t="n">
        <v>0</v>
      </c>
      <c r="O471" t="n">
        <v>0</v>
      </c>
      <c r="P471" t="n">
        <v>0</v>
      </c>
      <c r="Q471" t="n">
        <v>0</v>
      </c>
      <c r="R471" s="2" t="inlineStr"/>
    </row>
    <row r="472" ht="15" customHeight="1">
      <c r="A472" t="inlineStr">
        <is>
          <t>A 38990-2022</t>
        </is>
      </c>
      <c r="B472" s="1" t="n">
        <v>44816</v>
      </c>
      <c r="C472" s="1" t="n">
        <v>46030</v>
      </c>
      <c r="D472" t="inlineStr">
        <is>
          <t>STOCKHOLMS LÄN</t>
        </is>
      </c>
      <c r="E472" t="inlineStr">
        <is>
          <t>NORRTÄLJE</t>
        </is>
      </c>
      <c r="G472" t="n">
        <v>5.7</v>
      </c>
      <c r="H472" t="n">
        <v>0</v>
      </c>
      <c r="I472" t="n">
        <v>0</v>
      </c>
      <c r="J472" t="n">
        <v>0</v>
      </c>
      <c r="K472" t="n">
        <v>0</v>
      </c>
      <c r="L472" t="n">
        <v>0</v>
      </c>
      <c r="M472" t="n">
        <v>0</v>
      </c>
      <c r="N472" t="n">
        <v>0</v>
      </c>
      <c r="O472" t="n">
        <v>0</v>
      </c>
      <c r="P472" t="n">
        <v>0</v>
      </c>
      <c r="Q472" t="n">
        <v>0</v>
      </c>
      <c r="R472" s="2" t="inlineStr"/>
    </row>
    <row r="473" ht="15" customHeight="1">
      <c r="A473" t="inlineStr">
        <is>
          <t>A 17956-2025</t>
        </is>
      </c>
      <c r="B473" s="1" t="n">
        <v>45760.91174768518</v>
      </c>
      <c r="C473" s="1" t="n">
        <v>46030</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875-2023</t>
        </is>
      </c>
      <c r="B474" s="1" t="n">
        <v>44931.65626157408</v>
      </c>
      <c r="C474" s="1" t="n">
        <v>46030</v>
      </c>
      <c r="D474" t="inlineStr">
        <is>
          <t>STOCKHOLMS LÄN</t>
        </is>
      </c>
      <c r="E474" t="inlineStr">
        <is>
          <t>NORRTÄLJE</t>
        </is>
      </c>
      <c r="G474" t="n">
        <v>2.2</v>
      </c>
      <c r="H474" t="n">
        <v>0</v>
      </c>
      <c r="I474" t="n">
        <v>0</v>
      </c>
      <c r="J474" t="n">
        <v>0</v>
      </c>
      <c r="K474" t="n">
        <v>0</v>
      </c>
      <c r="L474" t="n">
        <v>0</v>
      </c>
      <c r="M474" t="n">
        <v>0</v>
      </c>
      <c r="N474" t="n">
        <v>0</v>
      </c>
      <c r="O474" t="n">
        <v>0</v>
      </c>
      <c r="P474" t="n">
        <v>0</v>
      </c>
      <c r="Q474" t="n">
        <v>0</v>
      </c>
      <c r="R474" s="2" t="inlineStr"/>
    </row>
    <row r="475" ht="15" customHeight="1">
      <c r="A475" t="inlineStr">
        <is>
          <t>A 31236-2022</t>
        </is>
      </c>
      <c r="B475" s="1" t="n">
        <v>44771</v>
      </c>
      <c r="C475" s="1" t="n">
        <v>46030</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8315-2025</t>
        </is>
      </c>
      <c r="B476" s="1" t="n">
        <v>45708.61761574074</v>
      </c>
      <c r="C476" s="1" t="n">
        <v>46030</v>
      </c>
      <c r="D476" t="inlineStr">
        <is>
          <t>STOCKHOLMS LÄN</t>
        </is>
      </c>
      <c r="E476" t="inlineStr">
        <is>
          <t>NORRTÄLJE</t>
        </is>
      </c>
      <c r="G476" t="n">
        <v>3.9</v>
      </c>
      <c r="H476" t="n">
        <v>0</v>
      </c>
      <c r="I476" t="n">
        <v>0</v>
      </c>
      <c r="J476" t="n">
        <v>0</v>
      </c>
      <c r="K476" t="n">
        <v>0</v>
      </c>
      <c r="L476" t="n">
        <v>0</v>
      </c>
      <c r="M476" t="n">
        <v>0</v>
      </c>
      <c r="N476" t="n">
        <v>0</v>
      </c>
      <c r="O476" t="n">
        <v>0</v>
      </c>
      <c r="P476" t="n">
        <v>0</v>
      </c>
      <c r="Q476" t="n">
        <v>0</v>
      </c>
      <c r="R476" s="2" t="inlineStr"/>
    </row>
    <row r="477" ht="15" customHeight="1">
      <c r="A477" t="inlineStr">
        <is>
          <t>A 31281-2022</t>
        </is>
      </c>
      <c r="B477" s="1" t="n">
        <v>44771</v>
      </c>
      <c r="C477" s="1" t="n">
        <v>46030</v>
      </c>
      <c r="D477" t="inlineStr">
        <is>
          <t>STOCKHOLMS LÄN</t>
        </is>
      </c>
      <c r="E477" t="inlineStr">
        <is>
          <t>NORRTÄLJE</t>
        </is>
      </c>
      <c r="F477" t="inlineStr">
        <is>
          <t>Holmen skog AB</t>
        </is>
      </c>
      <c r="G477" t="n">
        <v>5.2</v>
      </c>
      <c r="H477" t="n">
        <v>0</v>
      </c>
      <c r="I477" t="n">
        <v>0</v>
      </c>
      <c r="J477" t="n">
        <v>0</v>
      </c>
      <c r="K477" t="n">
        <v>0</v>
      </c>
      <c r="L477" t="n">
        <v>0</v>
      </c>
      <c r="M477" t="n">
        <v>0</v>
      </c>
      <c r="N477" t="n">
        <v>0</v>
      </c>
      <c r="O477" t="n">
        <v>0</v>
      </c>
      <c r="P477" t="n">
        <v>0</v>
      </c>
      <c r="Q477" t="n">
        <v>0</v>
      </c>
      <c r="R477" s="2" t="inlineStr"/>
    </row>
    <row r="478" ht="15" customHeight="1">
      <c r="A478" t="inlineStr">
        <is>
          <t>A 30699-2025</t>
        </is>
      </c>
      <c r="B478" s="1" t="n">
        <v>45831.54618055555</v>
      </c>
      <c r="C478" s="1" t="n">
        <v>46030</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26708-2025</t>
        </is>
      </c>
      <c r="B479" s="1" t="n">
        <v>45810.45633101852</v>
      </c>
      <c r="C479" s="1" t="n">
        <v>46030</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26702-2025</t>
        </is>
      </c>
      <c r="B480" s="1" t="n">
        <v>45810.45236111111</v>
      </c>
      <c r="C480" s="1" t="n">
        <v>46030</v>
      </c>
      <c r="D480" t="inlineStr">
        <is>
          <t>STOCKHOLMS LÄN</t>
        </is>
      </c>
      <c r="E480" t="inlineStr">
        <is>
          <t>NORRTÄLJE</t>
        </is>
      </c>
      <c r="G480" t="n">
        <v>7.3</v>
      </c>
      <c r="H480" t="n">
        <v>0</v>
      </c>
      <c r="I480" t="n">
        <v>0</v>
      </c>
      <c r="J480" t="n">
        <v>0</v>
      </c>
      <c r="K480" t="n">
        <v>0</v>
      </c>
      <c r="L480" t="n">
        <v>0</v>
      </c>
      <c r="M480" t="n">
        <v>0</v>
      </c>
      <c r="N480" t="n">
        <v>0</v>
      </c>
      <c r="O480" t="n">
        <v>0</v>
      </c>
      <c r="P480" t="n">
        <v>0</v>
      </c>
      <c r="Q480" t="n">
        <v>0</v>
      </c>
      <c r="R480" s="2" t="inlineStr"/>
    </row>
    <row r="481" ht="15" customHeight="1">
      <c r="A481" t="inlineStr">
        <is>
          <t>A 18665-2022</t>
        </is>
      </c>
      <c r="B481" s="1" t="n">
        <v>44687</v>
      </c>
      <c r="C481" s="1" t="n">
        <v>46030</v>
      </c>
      <c r="D481" t="inlineStr">
        <is>
          <t>STOCKHOLMS LÄN</t>
        </is>
      </c>
      <c r="E481" t="inlineStr">
        <is>
          <t>NORRTÄLJE</t>
        </is>
      </c>
      <c r="F481" t="inlineStr">
        <is>
          <t>Kyrkan</t>
        </is>
      </c>
      <c r="G481" t="n">
        <v>1.1</v>
      </c>
      <c r="H481" t="n">
        <v>0</v>
      </c>
      <c r="I481" t="n">
        <v>0</v>
      </c>
      <c r="J481" t="n">
        <v>0</v>
      </c>
      <c r="K481" t="n">
        <v>0</v>
      </c>
      <c r="L481" t="n">
        <v>0</v>
      </c>
      <c r="M481" t="n">
        <v>0</v>
      </c>
      <c r="N481" t="n">
        <v>0</v>
      </c>
      <c r="O481" t="n">
        <v>0</v>
      </c>
      <c r="P481" t="n">
        <v>0</v>
      </c>
      <c r="Q481" t="n">
        <v>0</v>
      </c>
      <c r="R481" s="2" t="inlineStr"/>
    </row>
    <row r="482" ht="15" customHeight="1">
      <c r="A482" t="inlineStr">
        <is>
          <t>A 23061-2025</t>
        </is>
      </c>
      <c r="B482" s="1" t="n">
        <v>45790.81410879629</v>
      </c>
      <c r="C482" s="1" t="n">
        <v>46030</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20011-2025</t>
        </is>
      </c>
      <c r="B483" s="1" t="n">
        <v>45772.29622685185</v>
      </c>
      <c r="C483" s="1" t="n">
        <v>46030</v>
      </c>
      <c r="D483" t="inlineStr">
        <is>
          <t>STOCKHOLMS LÄN</t>
        </is>
      </c>
      <c r="E483" t="inlineStr">
        <is>
          <t>NORRTÄLJE</t>
        </is>
      </c>
      <c r="G483" t="n">
        <v>3.5</v>
      </c>
      <c r="H483" t="n">
        <v>0</v>
      </c>
      <c r="I483" t="n">
        <v>0</v>
      </c>
      <c r="J483" t="n">
        <v>0</v>
      </c>
      <c r="K483" t="n">
        <v>0</v>
      </c>
      <c r="L483" t="n">
        <v>0</v>
      </c>
      <c r="M483" t="n">
        <v>0</v>
      </c>
      <c r="N483" t="n">
        <v>0</v>
      </c>
      <c r="O483" t="n">
        <v>0</v>
      </c>
      <c r="P483" t="n">
        <v>0</v>
      </c>
      <c r="Q483" t="n">
        <v>0</v>
      </c>
      <c r="R483" s="2" t="inlineStr"/>
    </row>
    <row r="484" ht="15" customHeight="1">
      <c r="A484" t="inlineStr">
        <is>
          <t>A 42856-2025</t>
        </is>
      </c>
      <c r="B484" s="1" t="n">
        <v>45908</v>
      </c>
      <c r="C484" s="1" t="n">
        <v>46030</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27040-2025</t>
        </is>
      </c>
      <c r="B485" s="1" t="n">
        <v>45811.60451388889</v>
      </c>
      <c r="C485" s="1" t="n">
        <v>46030</v>
      </c>
      <c r="D485" t="inlineStr">
        <is>
          <t>STOCKHOLMS LÄN</t>
        </is>
      </c>
      <c r="E485" t="inlineStr">
        <is>
          <t>NORRTÄLJE</t>
        </is>
      </c>
      <c r="G485" t="n">
        <v>4.3</v>
      </c>
      <c r="H485" t="n">
        <v>0</v>
      </c>
      <c r="I485" t="n">
        <v>0</v>
      </c>
      <c r="J485" t="n">
        <v>0</v>
      </c>
      <c r="K485" t="n">
        <v>0</v>
      </c>
      <c r="L485" t="n">
        <v>0</v>
      </c>
      <c r="M485" t="n">
        <v>0</v>
      </c>
      <c r="N485" t="n">
        <v>0</v>
      </c>
      <c r="O485" t="n">
        <v>0</v>
      </c>
      <c r="P485" t="n">
        <v>0</v>
      </c>
      <c r="Q485" t="n">
        <v>0</v>
      </c>
      <c r="R485" s="2" t="inlineStr"/>
    </row>
    <row r="486" ht="15" customHeight="1">
      <c r="A486" t="inlineStr">
        <is>
          <t>A 26747-2025</t>
        </is>
      </c>
      <c r="B486" s="1" t="n">
        <v>45810.5333912037</v>
      </c>
      <c r="C486" s="1" t="n">
        <v>46030</v>
      </c>
      <c r="D486" t="inlineStr">
        <is>
          <t>STOCKHOLMS LÄN</t>
        </is>
      </c>
      <c r="E486" t="inlineStr">
        <is>
          <t>NORRTÄLJE</t>
        </is>
      </c>
      <c r="G486" t="n">
        <v>1.9</v>
      </c>
      <c r="H486" t="n">
        <v>0</v>
      </c>
      <c r="I486" t="n">
        <v>0</v>
      </c>
      <c r="J486" t="n">
        <v>0</v>
      </c>
      <c r="K486" t="n">
        <v>0</v>
      </c>
      <c r="L486" t="n">
        <v>0</v>
      </c>
      <c r="M486" t="n">
        <v>0</v>
      </c>
      <c r="N486" t="n">
        <v>0</v>
      </c>
      <c r="O486" t="n">
        <v>0</v>
      </c>
      <c r="P486" t="n">
        <v>0</v>
      </c>
      <c r="Q486" t="n">
        <v>0</v>
      </c>
      <c r="R486" s="2" t="inlineStr"/>
    </row>
    <row r="487" ht="15" customHeight="1">
      <c r="A487" t="inlineStr">
        <is>
          <t>A 58302-2022</t>
        </is>
      </c>
      <c r="B487" s="1" t="n">
        <v>44901</v>
      </c>
      <c r="C487" s="1" t="n">
        <v>46030</v>
      </c>
      <c r="D487" t="inlineStr">
        <is>
          <t>STOCKHOLMS LÄN</t>
        </is>
      </c>
      <c r="E487" t="inlineStr">
        <is>
          <t>NORRTÄLJE</t>
        </is>
      </c>
      <c r="G487" t="n">
        <v>3.9</v>
      </c>
      <c r="H487" t="n">
        <v>0</v>
      </c>
      <c r="I487" t="n">
        <v>0</v>
      </c>
      <c r="J487" t="n">
        <v>0</v>
      </c>
      <c r="K487" t="n">
        <v>0</v>
      </c>
      <c r="L487" t="n">
        <v>0</v>
      </c>
      <c r="M487" t="n">
        <v>0</v>
      </c>
      <c r="N487" t="n">
        <v>0</v>
      </c>
      <c r="O487" t="n">
        <v>0</v>
      </c>
      <c r="P487" t="n">
        <v>0</v>
      </c>
      <c r="Q487" t="n">
        <v>0</v>
      </c>
      <c r="R487" s="2" t="inlineStr"/>
    </row>
    <row r="488" ht="15" customHeight="1">
      <c r="A488" t="inlineStr">
        <is>
          <t>A 38591-2023</t>
        </is>
      </c>
      <c r="B488" s="1" t="n">
        <v>45162</v>
      </c>
      <c r="C488" s="1" t="n">
        <v>46030</v>
      </c>
      <c r="D488" t="inlineStr">
        <is>
          <t>STOCKHOLMS LÄN</t>
        </is>
      </c>
      <c r="E488" t="inlineStr">
        <is>
          <t>NORRTÄLJE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26675-2025</t>
        </is>
      </c>
      <c r="B489" s="1" t="n">
        <v>45810.42393518519</v>
      </c>
      <c r="C489" s="1" t="n">
        <v>46030</v>
      </c>
      <c r="D489" t="inlineStr">
        <is>
          <t>STOCKHOLMS LÄN</t>
        </is>
      </c>
      <c r="E489" t="inlineStr">
        <is>
          <t>NORRTÄLJE</t>
        </is>
      </c>
      <c r="G489" t="n">
        <v>2.7</v>
      </c>
      <c r="H489" t="n">
        <v>0</v>
      </c>
      <c r="I489" t="n">
        <v>0</v>
      </c>
      <c r="J489" t="n">
        <v>0</v>
      </c>
      <c r="K489" t="n">
        <v>0</v>
      </c>
      <c r="L489" t="n">
        <v>0</v>
      </c>
      <c r="M489" t="n">
        <v>0</v>
      </c>
      <c r="N489" t="n">
        <v>0</v>
      </c>
      <c r="O489" t="n">
        <v>0</v>
      </c>
      <c r="P489" t="n">
        <v>0</v>
      </c>
      <c r="Q489" t="n">
        <v>0</v>
      </c>
      <c r="R489" s="2" t="inlineStr"/>
    </row>
    <row r="490" ht="15" customHeight="1">
      <c r="A490" t="inlineStr">
        <is>
          <t>A 30338-2022</t>
        </is>
      </c>
      <c r="B490" s="1" t="n">
        <v>44760</v>
      </c>
      <c r="C490" s="1" t="n">
        <v>46030</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2888-2022</t>
        </is>
      </c>
      <c r="B491" s="1" t="n">
        <v>44581</v>
      </c>
      <c r="C491" s="1" t="n">
        <v>46030</v>
      </c>
      <c r="D491" t="inlineStr">
        <is>
          <t>STOCKHOLMS LÄN</t>
        </is>
      </c>
      <c r="E491" t="inlineStr">
        <is>
          <t>NORRTÄLJE</t>
        </is>
      </c>
      <c r="G491" t="n">
        <v>2.4</v>
      </c>
      <c r="H491" t="n">
        <v>0</v>
      </c>
      <c r="I491" t="n">
        <v>0</v>
      </c>
      <c r="J491" t="n">
        <v>0</v>
      </c>
      <c r="K491" t="n">
        <v>0</v>
      </c>
      <c r="L491" t="n">
        <v>0</v>
      </c>
      <c r="M491" t="n">
        <v>0</v>
      </c>
      <c r="N491" t="n">
        <v>0</v>
      </c>
      <c r="O491" t="n">
        <v>0</v>
      </c>
      <c r="P491" t="n">
        <v>0</v>
      </c>
      <c r="Q491" t="n">
        <v>0</v>
      </c>
      <c r="R491" s="2" t="inlineStr"/>
    </row>
    <row r="492" ht="15" customHeight="1">
      <c r="A492" t="inlineStr">
        <is>
          <t>A 52686-2024</t>
        </is>
      </c>
      <c r="B492" s="1" t="n">
        <v>45610.39271990741</v>
      </c>
      <c r="C492" s="1" t="n">
        <v>46030</v>
      </c>
      <c r="D492" t="inlineStr">
        <is>
          <t>STOCKHOLMS LÄN</t>
        </is>
      </c>
      <c r="E492" t="inlineStr">
        <is>
          <t>NORRTÄLJE</t>
        </is>
      </c>
      <c r="G492" t="n">
        <v>5.7</v>
      </c>
      <c r="H492" t="n">
        <v>0</v>
      </c>
      <c r="I492" t="n">
        <v>0</v>
      </c>
      <c r="J492" t="n">
        <v>0</v>
      </c>
      <c r="K492" t="n">
        <v>0</v>
      </c>
      <c r="L492" t="n">
        <v>0</v>
      </c>
      <c r="M492" t="n">
        <v>0</v>
      </c>
      <c r="N492" t="n">
        <v>0</v>
      </c>
      <c r="O492" t="n">
        <v>0</v>
      </c>
      <c r="P492" t="n">
        <v>0</v>
      </c>
      <c r="Q492" t="n">
        <v>0</v>
      </c>
      <c r="R492" s="2" t="inlineStr"/>
    </row>
    <row r="493" ht="15" customHeight="1">
      <c r="A493" t="inlineStr">
        <is>
          <t>A 27554-2025</t>
        </is>
      </c>
      <c r="B493" s="1" t="n">
        <v>45813.4709375</v>
      </c>
      <c r="C493" s="1" t="n">
        <v>46030</v>
      </c>
      <c r="D493" t="inlineStr">
        <is>
          <t>STOCKHOLMS LÄN</t>
        </is>
      </c>
      <c r="E493" t="inlineStr">
        <is>
          <t>NORRTÄLJE</t>
        </is>
      </c>
      <c r="F493" t="inlineStr">
        <is>
          <t>Övriga Aktiebolag</t>
        </is>
      </c>
      <c r="G493" t="n">
        <v>2.5</v>
      </c>
      <c r="H493" t="n">
        <v>0</v>
      </c>
      <c r="I493" t="n">
        <v>0</v>
      </c>
      <c r="J493" t="n">
        <v>0</v>
      </c>
      <c r="K493" t="n">
        <v>0</v>
      </c>
      <c r="L493" t="n">
        <v>0</v>
      </c>
      <c r="M493" t="n">
        <v>0</v>
      </c>
      <c r="N493" t="n">
        <v>0</v>
      </c>
      <c r="O493" t="n">
        <v>0</v>
      </c>
      <c r="P493" t="n">
        <v>0</v>
      </c>
      <c r="Q493" t="n">
        <v>0</v>
      </c>
      <c r="R493" s="2" t="inlineStr"/>
    </row>
    <row r="494" ht="15" customHeight="1">
      <c r="A494" t="inlineStr">
        <is>
          <t>A 20343-2024</t>
        </is>
      </c>
      <c r="B494" s="1" t="n">
        <v>45435.43466435185</v>
      </c>
      <c r="C494" s="1" t="n">
        <v>46030</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20345-2024</t>
        </is>
      </c>
      <c r="B495" s="1" t="n">
        <v>45435.43820601852</v>
      </c>
      <c r="C495" s="1" t="n">
        <v>46030</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9765-2024</t>
        </is>
      </c>
      <c r="B496" s="1" t="n">
        <v>45362.62811342593</v>
      </c>
      <c r="C496" s="1" t="n">
        <v>46030</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24835-2025</t>
        </is>
      </c>
      <c r="B497" s="1" t="n">
        <v>45799</v>
      </c>
      <c r="C497" s="1" t="n">
        <v>46030</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59875-2024</t>
        </is>
      </c>
      <c r="B498" s="1" t="n">
        <v>45640.58716435185</v>
      </c>
      <c r="C498" s="1" t="n">
        <v>46030</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11-2024</t>
        </is>
      </c>
      <c r="B499" s="1" t="n">
        <v>45293</v>
      </c>
      <c r="C499" s="1" t="n">
        <v>46030</v>
      </c>
      <c r="D499" t="inlineStr">
        <is>
          <t>STOCKHOLMS LÄN</t>
        </is>
      </c>
      <c r="E499" t="inlineStr">
        <is>
          <t>NORRTÄLJE</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14559-2024</t>
        </is>
      </c>
      <c r="B500" s="1" t="n">
        <v>45394.72869212963</v>
      </c>
      <c r="C500" s="1" t="n">
        <v>46030</v>
      </c>
      <c r="D500" t="inlineStr">
        <is>
          <t>STOCKHOLMS LÄN</t>
        </is>
      </c>
      <c r="E500" t="inlineStr">
        <is>
          <t>NORRTÄLJE</t>
        </is>
      </c>
      <c r="G500" t="n">
        <v>4.2</v>
      </c>
      <c r="H500" t="n">
        <v>0</v>
      </c>
      <c r="I500" t="n">
        <v>0</v>
      </c>
      <c r="J500" t="n">
        <v>0</v>
      </c>
      <c r="K500" t="n">
        <v>0</v>
      </c>
      <c r="L500" t="n">
        <v>0</v>
      </c>
      <c r="M500" t="n">
        <v>0</v>
      </c>
      <c r="N500" t="n">
        <v>0</v>
      </c>
      <c r="O500" t="n">
        <v>0</v>
      </c>
      <c r="P500" t="n">
        <v>0</v>
      </c>
      <c r="Q500" t="n">
        <v>0</v>
      </c>
      <c r="R500" s="2" t="inlineStr"/>
    </row>
    <row r="501" ht="15" customHeight="1">
      <c r="A501" t="inlineStr">
        <is>
          <t>A 8433-2022</t>
        </is>
      </c>
      <c r="B501" s="1" t="n">
        <v>44611</v>
      </c>
      <c r="C501" s="1" t="n">
        <v>46030</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43169-2025</t>
        </is>
      </c>
      <c r="B502" s="1" t="n">
        <v>45910</v>
      </c>
      <c r="C502" s="1" t="n">
        <v>46030</v>
      </c>
      <c r="D502" t="inlineStr">
        <is>
          <t>STOCKHOLMS LÄN</t>
        </is>
      </c>
      <c r="E502" t="inlineStr">
        <is>
          <t>NORRTÄLJE</t>
        </is>
      </c>
      <c r="G502" t="n">
        <v>6.9</v>
      </c>
      <c r="H502" t="n">
        <v>0</v>
      </c>
      <c r="I502" t="n">
        <v>0</v>
      </c>
      <c r="J502" t="n">
        <v>0</v>
      </c>
      <c r="K502" t="n">
        <v>0</v>
      </c>
      <c r="L502" t="n">
        <v>0</v>
      </c>
      <c r="M502" t="n">
        <v>0</v>
      </c>
      <c r="N502" t="n">
        <v>0</v>
      </c>
      <c r="O502" t="n">
        <v>0</v>
      </c>
      <c r="P502" t="n">
        <v>0</v>
      </c>
      <c r="Q502" t="n">
        <v>0</v>
      </c>
      <c r="R502" s="2" t="inlineStr"/>
    </row>
    <row r="503" ht="15" customHeight="1">
      <c r="A503" t="inlineStr">
        <is>
          <t>A 27700-2025</t>
        </is>
      </c>
      <c r="B503" s="1" t="n">
        <v>45813.6799537037</v>
      </c>
      <c r="C503" s="1" t="n">
        <v>46030</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27697-2025</t>
        </is>
      </c>
      <c r="B504" s="1" t="n">
        <v>45813.66961805556</v>
      </c>
      <c r="C504" s="1" t="n">
        <v>46030</v>
      </c>
      <c r="D504" t="inlineStr">
        <is>
          <t>STOCKHOLMS LÄN</t>
        </is>
      </c>
      <c r="E504" t="inlineStr">
        <is>
          <t>NORRTÄLJE</t>
        </is>
      </c>
      <c r="G504" t="n">
        <v>6.2</v>
      </c>
      <c r="H504" t="n">
        <v>0</v>
      </c>
      <c r="I504" t="n">
        <v>0</v>
      </c>
      <c r="J504" t="n">
        <v>0</v>
      </c>
      <c r="K504" t="n">
        <v>0</v>
      </c>
      <c r="L504" t="n">
        <v>0</v>
      </c>
      <c r="M504" t="n">
        <v>0</v>
      </c>
      <c r="N504" t="n">
        <v>0</v>
      </c>
      <c r="O504" t="n">
        <v>0</v>
      </c>
      <c r="P504" t="n">
        <v>0</v>
      </c>
      <c r="Q504" t="n">
        <v>0</v>
      </c>
      <c r="R504" s="2" t="inlineStr"/>
    </row>
    <row r="505" ht="15" customHeight="1">
      <c r="A505" t="inlineStr">
        <is>
          <t>A 25525-2022</t>
        </is>
      </c>
      <c r="B505" s="1" t="n">
        <v>44732</v>
      </c>
      <c r="C505" s="1" t="n">
        <v>46030</v>
      </c>
      <c r="D505" t="inlineStr">
        <is>
          <t>STOCKHOLMS LÄN</t>
        </is>
      </c>
      <c r="E505" t="inlineStr">
        <is>
          <t>NORRTÄLJE</t>
        </is>
      </c>
      <c r="G505" t="n">
        <v>2.2</v>
      </c>
      <c r="H505" t="n">
        <v>0</v>
      </c>
      <c r="I505" t="n">
        <v>0</v>
      </c>
      <c r="J505" t="n">
        <v>0</v>
      </c>
      <c r="K505" t="n">
        <v>0</v>
      </c>
      <c r="L505" t="n">
        <v>0</v>
      </c>
      <c r="M505" t="n">
        <v>0</v>
      </c>
      <c r="N505" t="n">
        <v>0</v>
      </c>
      <c r="O505" t="n">
        <v>0</v>
      </c>
      <c r="P505" t="n">
        <v>0</v>
      </c>
      <c r="Q505" t="n">
        <v>0</v>
      </c>
      <c r="R505" s="2" t="inlineStr"/>
    </row>
    <row r="506" ht="15" customHeight="1">
      <c r="A506" t="inlineStr">
        <is>
          <t>A 12302-2025</t>
        </is>
      </c>
      <c r="B506" s="1" t="n">
        <v>45729.72851851852</v>
      </c>
      <c r="C506" s="1" t="n">
        <v>46030</v>
      </c>
      <c r="D506" t="inlineStr">
        <is>
          <t>STOCKHOLMS LÄN</t>
        </is>
      </c>
      <c r="E506" t="inlineStr">
        <is>
          <t>NORRTÄLJE</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27802-2025</t>
        </is>
      </c>
      <c r="B507" s="1" t="n">
        <v>45817.2565625</v>
      </c>
      <c r="C507" s="1" t="n">
        <v>46030</v>
      </c>
      <c r="D507" t="inlineStr">
        <is>
          <t>STOCKHOLMS LÄN</t>
        </is>
      </c>
      <c r="E507" t="inlineStr">
        <is>
          <t>NORRTÄLJE</t>
        </is>
      </c>
      <c r="G507" t="n">
        <v>3</v>
      </c>
      <c r="H507" t="n">
        <v>0</v>
      </c>
      <c r="I507" t="n">
        <v>0</v>
      </c>
      <c r="J507" t="n">
        <v>0</v>
      </c>
      <c r="K507" t="n">
        <v>0</v>
      </c>
      <c r="L507" t="n">
        <v>0</v>
      </c>
      <c r="M507" t="n">
        <v>0</v>
      </c>
      <c r="N507" t="n">
        <v>0</v>
      </c>
      <c r="O507" t="n">
        <v>0</v>
      </c>
      <c r="P507" t="n">
        <v>0</v>
      </c>
      <c r="Q507" t="n">
        <v>0</v>
      </c>
      <c r="R507" s="2" t="inlineStr"/>
    </row>
    <row r="508" ht="15" customHeight="1">
      <c r="A508" t="inlineStr">
        <is>
          <t>A 27806-2025</t>
        </is>
      </c>
      <c r="B508" s="1" t="n">
        <v>45817.30329861111</v>
      </c>
      <c r="C508" s="1" t="n">
        <v>46030</v>
      </c>
      <c r="D508" t="inlineStr">
        <is>
          <t>STOCKHOLMS LÄN</t>
        </is>
      </c>
      <c r="E508" t="inlineStr">
        <is>
          <t>NORRTÄLJE</t>
        </is>
      </c>
      <c r="G508" t="n">
        <v>3</v>
      </c>
      <c r="H508" t="n">
        <v>0</v>
      </c>
      <c r="I508" t="n">
        <v>0</v>
      </c>
      <c r="J508" t="n">
        <v>0</v>
      </c>
      <c r="K508" t="n">
        <v>0</v>
      </c>
      <c r="L508" t="n">
        <v>0</v>
      </c>
      <c r="M508" t="n">
        <v>0</v>
      </c>
      <c r="N508" t="n">
        <v>0</v>
      </c>
      <c r="O508" t="n">
        <v>0</v>
      </c>
      <c r="P508" t="n">
        <v>0</v>
      </c>
      <c r="Q508" t="n">
        <v>0</v>
      </c>
      <c r="R508" s="2" t="inlineStr"/>
    </row>
    <row r="509" ht="15" customHeight="1">
      <c r="A509" t="inlineStr">
        <is>
          <t>A 27808-2025</t>
        </is>
      </c>
      <c r="B509" s="1" t="n">
        <v>45817.31085648148</v>
      </c>
      <c r="C509" s="1" t="n">
        <v>46030</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27810-2025</t>
        </is>
      </c>
      <c r="B510" s="1" t="n">
        <v>45817.31708333334</v>
      </c>
      <c r="C510" s="1" t="n">
        <v>46030</v>
      </c>
      <c r="D510" t="inlineStr">
        <is>
          <t>STOCKHOLMS LÄN</t>
        </is>
      </c>
      <c r="E510" t="inlineStr">
        <is>
          <t>NORRTÄLJE</t>
        </is>
      </c>
      <c r="G510" t="n">
        <v>3.9</v>
      </c>
      <c r="H510" t="n">
        <v>0</v>
      </c>
      <c r="I510" t="n">
        <v>0</v>
      </c>
      <c r="J510" t="n">
        <v>0</v>
      </c>
      <c r="K510" t="n">
        <v>0</v>
      </c>
      <c r="L510" t="n">
        <v>0</v>
      </c>
      <c r="M510" t="n">
        <v>0</v>
      </c>
      <c r="N510" t="n">
        <v>0</v>
      </c>
      <c r="O510" t="n">
        <v>0</v>
      </c>
      <c r="P510" t="n">
        <v>0</v>
      </c>
      <c r="Q510" t="n">
        <v>0</v>
      </c>
      <c r="R510" s="2" t="inlineStr"/>
    </row>
    <row r="511" ht="15" customHeight="1">
      <c r="A511" t="inlineStr">
        <is>
          <t>A 27811-2025</t>
        </is>
      </c>
      <c r="B511" s="1" t="n">
        <v>45817.31986111111</v>
      </c>
      <c r="C511" s="1" t="n">
        <v>46030</v>
      </c>
      <c r="D511" t="inlineStr">
        <is>
          <t>STOCKHOLMS LÄN</t>
        </is>
      </c>
      <c r="E511" t="inlineStr">
        <is>
          <t>NORRTÄLJE</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27818-2025</t>
        </is>
      </c>
      <c r="B512" s="1" t="n">
        <v>45817.33503472222</v>
      </c>
      <c r="C512" s="1" t="n">
        <v>46030</v>
      </c>
      <c r="D512" t="inlineStr">
        <is>
          <t>STOCKHOLMS LÄN</t>
        </is>
      </c>
      <c r="E512" t="inlineStr">
        <is>
          <t>NORRTÄLJE</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30719-2025</t>
        </is>
      </c>
      <c r="B513" s="1" t="n">
        <v>45831</v>
      </c>
      <c r="C513" s="1" t="n">
        <v>46030</v>
      </c>
      <c r="D513" t="inlineStr">
        <is>
          <t>STOCKHOLMS LÄN</t>
        </is>
      </c>
      <c r="E513" t="inlineStr">
        <is>
          <t>NORRTÄLJE</t>
        </is>
      </c>
      <c r="G513" t="n">
        <v>0.5</v>
      </c>
      <c r="H513" t="n">
        <v>0</v>
      </c>
      <c r="I513" t="n">
        <v>0</v>
      </c>
      <c r="J513" t="n">
        <v>0</v>
      </c>
      <c r="K513" t="n">
        <v>0</v>
      </c>
      <c r="L513" t="n">
        <v>0</v>
      </c>
      <c r="M513" t="n">
        <v>0</v>
      </c>
      <c r="N513" t="n">
        <v>0</v>
      </c>
      <c r="O513" t="n">
        <v>0</v>
      </c>
      <c r="P513" t="n">
        <v>0</v>
      </c>
      <c r="Q513" t="n">
        <v>0</v>
      </c>
      <c r="R513" s="2" t="inlineStr"/>
    </row>
    <row r="514" ht="15" customHeight="1">
      <c r="A514" t="inlineStr">
        <is>
          <t>A 38889-2024</t>
        </is>
      </c>
      <c r="B514" s="1" t="n">
        <v>45547</v>
      </c>
      <c r="C514" s="1" t="n">
        <v>46030</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27801-2025</t>
        </is>
      </c>
      <c r="B515" s="1" t="n">
        <v>45817.25471064815</v>
      </c>
      <c r="C515" s="1" t="n">
        <v>46030</v>
      </c>
      <c r="D515" t="inlineStr">
        <is>
          <t>STOCKHOLMS LÄN</t>
        </is>
      </c>
      <c r="E515" t="inlineStr">
        <is>
          <t>NORRTÄLJE</t>
        </is>
      </c>
      <c r="G515" t="n">
        <v>2</v>
      </c>
      <c r="H515" t="n">
        <v>0</v>
      </c>
      <c r="I515" t="n">
        <v>0</v>
      </c>
      <c r="J515" t="n">
        <v>0</v>
      </c>
      <c r="K515" t="n">
        <v>0</v>
      </c>
      <c r="L515" t="n">
        <v>0</v>
      </c>
      <c r="M515" t="n">
        <v>0</v>
      </c>
      <c r="N515" t="n">
        <v>0</v>
      </c>
      <c r="O515" t="n">
        <v>0</v>
      </c>
      <c r="P515" t="n">
        <v>0</v>
      </c>
      <c r="Q515" t="n">
        <v>0</v>
      </c>
      <c r="R515" s="2" t="inlineStr"/>
    </row>
    <row r="516" ht="15" customHeight="1">
      <c r="A516" t="inlineStr">
        <is>
          <t>A 45451-2024</t>
        </is>
      </c>
      <c r="B516" s="1" t="n">
        <v>45576</v>
      </c>
      <c r="C516" s="1" t="n">
        <v>46030</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43269-2025</t>
        </is>
      </c>
      <c r="B517" s="1" t="n">
        <v>45910.5819212963</v>
      </c>
      <c r="C517" s="1" t="n">
        <v>46030</v>
      </c>
      <c r="D517" t="inlineStr">
        <is>
          <t>STOCKHOLMS LÄN</t>
        </is>
      </c>
      <c r="E517" t="inlineStr">
        <is>
          <t>NORRTÄLJE</t>
        </is>
      </c>
      <c r="G517" t="n">
        <v>3.7</v>
      </c>
      <c r="H517" t="n">
        <v>0</v>
      </c>
      <c r="I517" t="n">
        <v>0</v>
      </c>
      <c r="J517" t="n">
        <v>0</v>
      </c>
      <c r="K517" t="n">
        <v>0</v>
      </c>
      <c r="L517" t="n">
        <v>0</v>
      </c>
      <c r="M517" t="n">
        <v>0</v>
      </c>
      <c r="N517" t="n">
        <v>0</v>
      </c>
      <c r="O517" t="n">
        <v>0</v>
      </c>
      <c r="P517" t="n">
        <v>0</v>
      </c>
      <c r="Q517" t="n">
        <v>0</v>
      </c>
      <c r="R517" s="2" t="inlineStr"/>
    </row>
    <row r="518" ht="15" customHeight="1">
      <c r="A518" t="inlineStr">
        <is>
          <t>A 27803-2025</t>
        </is>
      </c>
      <c r="B518" s="1" t="n">
        <v>45817.291875</v>
      </c>
      <c r="C518" s="1" t="n">
        <v>46030</v>
      </c>
      <c r="D518" t="inlineStr">
        <is>
          <t>STOCKHOLMS LÄN</t>
        </is>
      </c>
      <c r="E518" t="inlineStr">
        <is>
          <t>NORRTÄLJE</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27813-2025</t>
        </is>
      </c>
      <c r="B519" s="1" t="n">
        <v>45817.32538194444</v>
      </c>
      <c r="C519" s="1" t="n">
        <v>46030</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27821-2025</t>
        </is>
      </c>
      <c r="B520" s="1" t="n">
        <v>45817.34083333334</v>
      </c>
      <c r="C520" s="1" t="n">
        <v>46030</v>
      </c>
      <c r="D520" t="inlineStr">
        <is>
          <t>STOCKHOLMS LÄN</t>
        </is>
      </c>
      <c r="E520" t="inlineStr">
        <is>
          <t>NORRTÄLJE</t>
        </is>
      </c>
      <c r="G520" t="n">
        <v>3.2</v>
      </c>
      <c r="H520" t="n">
        <v>0</v>
      </c>
      <c r="I520" t="n">
        <v>0</v>
      </c>
      <c r="J520" t="n">
        <v>0</v>
      </c>
      <c r="K520" t="n">
        <v>0</v>
      </c>
      <c r="L520" t="n">
        <v>0</v>
      </c>
      <c r="M520" t="n">
        <v>0</v>
      </c>
      <c r="N520" t="n">
        <v>0</v>
      </c>
      <c r="O520" t="n">
        <v>0</v>
      </c>
      <c r="P520" t="n">
        <v>0</v>
      </c>
      <c r="Q520" t="n">
        <v>0</v>
      </c>
      <c r="R520" s="2" t="inlineStr"/>
    </row>
    <row r="521" ht="15" customHeight="1">
      <c r="A521" t="inlineStr">
        <is>
          <t>A 15528-2025</t>
        </is>
      </c>
      <c r="B521" s="1" t="n">
        <v>45747.63471064815</v>
      </c>
      <c r="C521" s="1" t="n">
        <v>46030</v>
      </c>
      <c r="D521" t="inlineStr">
        <is>
          <t>STOCKHOLMS LÄN</t>
        </is>
      </c>
      <c r="E521" t="inlineStr">
        <is>
          <t>NORRTÄLJE</t>
        </is>
      </c>
      <c r="G521" t="n">
        <v>10</v>
      </c>
      <c r="H521" t="n">
        <v>0</v>
      </c>
      <c r="I521" t="n">
        <v>0</v>
      </c>
      <c r="J521" t="n">
        <v>0</v>
      </c>
      <c r="K521" t="n">
        <v>0</v>
      </c>
      <c r="L521" t="n">
        <v>0</v>
      </c>
      <c r="M521" t="n">
        <v>0</v>
      </c>
      <c r="N521" t="n">
        <v>0</v>
      </c>
      <c r="O521" t="n">
        <v>0</v>
      </c>
      <c r="P521" t="n">
        <v>0</v>
      </c>
      <c r="Q521" t="n">
        <v>0</v>
      </c>
      <c r="R521" s="2" t="inlineStr"/>
    </row>
    <row r="522" ht="15" customHeight="1">
      <c r="A522" t="inlineStr">
        <is>
          <t>A 43916-2025</t>
        </is>
      </c>
      <c r="B522" s="1" t="n">
        <v>45914.78884259259</v>
      </c>
      <c r="C522" s="1" t="n">
        <v>46030</v>
      </c>
      <c r="D522" t="inlineStr">
        <is>
          <t>STOCKHOLMS LÄN</t>
        </is>
      </c>
      <c r="E522" t="inlineStr">
        <is>
          <t>NORRTÄLJE</t>
        </is>
      </c>
      <c r="G522" t="n">
        <v>1.5</v>
      </c>
      <c r="H522" t="n">
        <v>0</v>
      </c>
      <c r="I522" t="n">
        <v>0</v>
      </c>
      <c r="J522" t="n">
        <v>0</v>
      </c>
      <c r="K522" t="n">
        <v>0</v>
      </c>
      <c r="L522" t="n">
        <v>0</v>
      </c>
      <c r="M522" t="n">
        <v>0</v>
      </c>
      <c r="N522" t="n">
        <v>0</v>
      </c>
      <c r="O522" t="n">
        <v>0</v>
      </c>
      <c r="P522" t="n">
        <v>0</v>
      </c>
      <c r="Q522" t="n">
        <v>0</v>
      </c>
      <c r="R522" s="2" t="inlineStr"/>
    </row>
    <row r="523" ht="15" customHeight="1">
      <c r="A523" t="inlineStr">
        <is>
          <t>A 11901-2024</t>
        </is>
      </c>
      <c r="B523" s="1" t="n">
        <v>45376.55638888889</v>
      </c>
      <c r="C523" s="1" t="n">
        <v>46030</v>
      </c>
      <c r="D523" t="inlineStr">
        <is>
          <t>STOCKHOLMS LÄN</t>
        </is>
      </c>
      <c r="E523" t="inlineStr">
        <is>
          <t>NORRTÄLJE</t>
        </is>
      </c>
      <c r="F523" t="inlineStr">
        <is>
          <t>Holmen skog AB</t>
        </is>
      </c>
      <c r="G523" t="n">
        <v>3.5</v>
      </c>
      <c r="H523" t="n">
        <v>0</v>
      </c>
      <c r="I523" t="n">
        <v>0</v>
      </c>
      <c r="J523" t="n">
        <v>0</v>
      </c>
      <c r="K523" t="n">
        <v>0</v>
      </c>
      <c r="L523" t="n">
        <v>0</v>
      </c>
      <c r="M523" t="n">
        <v>0</v>
      </c>
      <c r="N523" t="n">
        <v>0</v>
      </c>
      <c r="O523" t="n">
        <v>0</v>
      </c>
      <c r="P523" t="n">
        <v>0</v>
      </c>
      <c r="Q523" t="n">
        <v>0</v>
      </c>
      <c r="R523" s="2" t="inlineStr"/>
    </row>
    <row r="524" ht="15" customHeight="1">
      <c r="A524" t="inlineStr">
        <is>
          <t>A 26644-2024</t>
        </is>
      </c>
      <c r="B524" s="1" t="n">
        <v>45469</v>
      </c>
      <c r="C524" s="1" t="n">
        <v>46030</v>
      </c>
      <c r="D524" t="inlineStr">
        <is>
          <t>STOCKHOLMS LÄN</t>
        </is>
      </c>
      <c r="E524" t="inlineStr">
        <is>
          <t>NORRTÄLJE</t>
        </is>
      </c>
      <c r="G524" t="n">
        <v>4.3</v>
      </c>
      <c r="H524" t="n">
        <v>0</v>
      </c>
      <c r="I524" t="n">
        <v>0</v>
      </c>
      <c r="J524" t="n">
        <v>0</v>
      </c>
      <c r="K524" t="n">
        <v>0</v>
      </c>
      <c r="L524" t="n">
        <v>0</v>
      </c>
      <c r="M524" t="n">
        <v>0</v>
      </c>
      <c r="N524" t="n">
        <v>0</v>
      </c>
      <c r="O524" t="n">
        <v>0</v>
      </c>
      <c r="P524" t="n">
        <v>0</v>
      </c>
      <c r="Q524" t="n">
        <v>0</v>
      </c>
      <c r="R524" s="2" t="inlineStr"/>
    </row>
    <row r="525" ht="15" customHeight="1">
      <c r="A525" t="inlineStr">
        <is>
          <t>A 57788-2025</t>
        </is>
      </c>
      <c r="B525" s="1" t="n">
        <v>45981.5778125</v>
      </c>
      <c r="C525" s="1" t="n">
        <v>46030</v>
      </c>
      <c r="D525" t="inlineStr">
        <is>
          <t>STOCKHOLMS LÄN</t>
        </is>
      </c>
      <c r="E525" t="inlineStr">
        <is>
          <t>NORRTÄLJE</t>
        </is>
      </c>
      <c r="G525" t="n">
        <v>1.6</v>
      </c>
      <c r="H525" t="n">
        <v>0</v>
      </c>
      <c r="I525" t="n">
        <v>0</v>
      </c>
      <c r="J525" t="n">
        <v>0</v>
      </c>
      <c r="K525" t="n">
        <v>0</v>
      </c>
      <c r="L525" t="n">
        <v>0</v>
      </c>
      <c r="M525" t="n">
        <v>0</v>
      </c>
      <c r="N525" t="n">
        <v>0</v>
      </c>
      <c r="O525" t="n">
        <v>0</v>
      </c>
      <c r="P525" t="n">
        <v>0</v>
      </c>
      <c r="Q525" t="n">
        <v>0</v>
      </c>
      <c r="R525" s="2" t="inlineStr"/>
    </row>
    <row r="526" ht="15" customHeight="1">
      <c r="A526" t="inlineStr">
        <is>
          <t>A 44354-2025</t>
        </is>
      </c>
      <c r="B526" s="1" t="n">
        <v>45916.44655092592</v>
      </c>
      <c r="C526" s="1" t="n">
        <v>46030</v>
      </c>
      <c r="D526" t="inlineStr">
        <is>
          <t>STOCKHOLMS LÄN</t>
        </is>
      </c>
      <c r="E526" t="inlineStr">
        <is>
          <t>NORRTÄLJE</t>
        </is>
      </c>
      <c r="G526" t="n">
        <v>2.3</v>
      </c>
      <c r="H526" t="n">
        <v>0</v>
      </c>
      <c r="I526" t="n">
        <v>0</v>
      </c>
      <c r="J526" t="n">
        <v>0</v>
      </c>
      <c r="K526" t="n">
        <v>0</v>
      </c>
      <c r="L526" t="n">
        <v>0</v>
      </c>
      <c r="M526" t="n">
        <v>0</v>
      </c>
      <c r="N526" t="n">
        <v>0</v>
      </c>
      <c r="O526" t="n">
        <v>0</v>
      </c>
      <c r="P526" t="n">
        <v>0</v>
      </c>
      <c r="Q526" t="n">
        <v>0</v>
      </c>
      <c r="R526" s="2" t="inlineStr"/>
    </row>
    <row r="527" ht="15" customHeight="1">
      <c r="A527" t="inlineStr">
        <is>
          <t>A 2982-2023</t>
        </is>
      </c>
      <c r="B527" s="1" t="n">
        <v>44945.67409722223</v>
      </c>
      <c r="C527" s="1" t="n">
        <v>46030</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44075-2023</t>
        </is>
      </c>
      <c r="B528" s="1" t="n">
        <v>45188.41637731482</v>
      </c>
      <c r="C528" s="1" t="n">
        <v>46030</v>
      </c>
      <c r="D528" t="inlineStr">
        <is>
          <t>STOCKHOLMS LÄN</t>
        </is>
      </c>
      <c r="E528" t="inlineStr">
        <is>
          <t>NORRTÄLJE</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12535-2025</t>
        </is>
      </c>
      <c r="B529" s="1" t="n">
        <v>45730.69502314815</v>
      </c>
      <c r="C529" s="1" t="n">
        <v>46030</v>
      </c>
      <c r="D529" t="inlineStr">
        <is>
          <t>STOCKHOLMS LÄN</t>
        </is>
      </c>
      <c r="E529" t="inlineStr">
        <is>
          <t>NORRTÄLJE</t>
        </is>
      </c>
      <c r="G529" t="n">
        <v>7.1</v>
      </c>
      <c r="H529" t="n">
        <v>0</v>
      </c>
      <c r="I529" t="n">
        <v>0</v>
      </c>
      <c r="J529" t="n">
        <v>0</v>
      </c>
      <c r="K529" t="n">
        <v>0</v>
      </c>
      <c r="L529" t="n">
        <v>0</v>
      </c>
      <c r="M529" t="n">
        <v>0</v>
      </c>
      <c r="N529" t="n">
        <v>0</v>
      </c>
      <c r="O529" t="n">
        <v>0</v>
      </c>
      <c r="P529" t="n">
        <v>0</v>
      </c>
      <c r="Q529" t="n">
        <v>0</v>
      </c>
      <c r="R529" s="2" t="inlineStr"/>
    </row>
    <row r="530" ht="15" customHeight="1">
      <c r="A530" t="inlineStr">
        <is>
          <t>A 37136-2023</t>
        </is>
      </c>
      <c r="B530" s="1" t="n">
        <v>45155</v>
      </c>
      <c r="C530" s="1" t="n">
        <v>46030</v>
      </c>
      <c r="D530" t="inlineStr">
        <is>
          <t>STOCKHOLMS LÄN</t>
        </is>
      </c>
      <c r="E530" t="inlineStr">
        <is>
          <t>NORRTÄLJE</t>
        </is>
      </c>
      <c r="G530" t="n">
        <v>2.5</v>
      </c>
      <c r="H530" t="n">
        <v>0</v>
      </c>
      <c r="I530" t="n">
        <v>0</v>
      </c>
      <c r="J530" t="n">
        <v>0</v>
      </c>
      <c r="K530" t="n">
        <v>0</v>
      </c>
      <c r="L530" t="n">
        <v>0</v>
      </c>
      <c r="M530" t="n">
        <v>0</v>
      </c>
      <c r="N530" t="n">
        <v>0</v>
      </c>
      <c r="O530" t="n">
        <v>0</v>
      </c>
      <c r="P530" t="n">
        <v>0</v>
      </c>
      <c r="Q530" t="n">
        <v>0</v>
      </c>
      <c r="R530" s="2" t="inlineStr"/>
    </row>
    <row r="531" ht="15" customHeight="1">
      <c r="A531" t="inlineStr">
        <is>
          <t>A 18787-2022</t>
        </is>
      </c>
      <c r="B531" s="1" t="n">
        <v>44687</v>
      </c>
      <c r="C531" s="1" t="n">
        <v>46030</v>
      </c>
      <c r="D531" t="inlineStr">
        <is>
          <t>STOCKHOLMS LÄN</t>
        </is>
      </c>
      <c r="E531" t="inlineStr">
        <is>
          <t>NORRTÄLJE</t>
        </is>
      </c>
      <c r="G531" t="n">
        <v>2</v>
      </c>
      <c r="H531" t="n">
        <v>0</v>
      </c>
      <c r="I531" t="n">
        <v>0</v>
      </c>
      <c r="J531" t="n">
        <v>0</v>
      </c>
      <c r="K531" t="n">
        <v>0</v>
      </c>
      <c r="L531" t="n">
        <v>0</v>
      </c>
      <c r="M531" t="n">
        <v>0</v>
      </c>
      <c r="N531" t="n">
        <v>0</v>
      </c>
      <c r="O531" t="n">
        <v>0</v>
      </c>
      <c r="P531" t="n">
        <v>0</v>
      </c>
      <c r="Q531" t="n">
        <v>0</v>
      </c>
      <c r="R531" s="2" t="inlineStr"/>
    </row>
    <row r="532" ht="15" customHeight="1">
      <c r="A532" t="inlineStr">
        <is>
          <t>A 13718-2022</t>
        </is>
      </c>
      <c r="B532" s="1" t="n">
        <v>44649</v>
      </c>
      <c r="C532" s="1" t="n">
        <v>46030</v>
      </c>
      <c r="D532" t="inlineStr">
        <is>
          <t>STOCKHOLMS LÄN</t>
        </is>
      </c>
      <c r="E532" t="inlineStr">
        <is>
          <t>NORRTÄLJE</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25621-2022</t>
        </is>
      </c>
      <c r="B533" s="1" t="n">
        <v>44732</v>
      </c>
      <c r="C533" s="1" t="n">
        <v>46030</v>
      </c>
      <c r="D533" t="inlineStr">
        <is>
          <t>STOCKHOLMS LÄN</t>
        </is>
      </c>
      <c r="E533" t="inlineStr">
        <is>
          <t>NORRTÄLJE</t>
        </is>
      </c>
      <c r="G533" t="n">
        <v>3.1</v>
      </c>
      <c r="H533" t="n">
        <v>0</v>
      </c>
      <c r="I533" t="n">
        <v>0</v>
      </c>
      <c r="J533" t="n">
        <v>0</v>
      </c>
      <c r="K533" t="n">
        <v>0</v>
      </c>
      <c r="L533" t="n">
        <v>0</v>
      </c>
      <c r="M533" t="n">
        <v>0</v>
      </c>
      <c r="N533" t="n">
        <v>0</v>
      </c>
      <c r="O533" t="n">
        <v>0</v>
      </c>
      <c r="P533" t="n">
        <v>0</v>
      </c>
      <c r="Q533" t="n">
        <v>0</v>
      </c>
      <c r="R533" s="2" t="inlineStr"/>
    </row>
    <row r="534" ht="15" customHeight="1">
      <c r="A534" t="inlineStr">
        <is>
          <t>A 44306-2025</t>
        </is>
      </c>
      <c r="B534" s="1" t="n">
        <v>45916.37736111111</v>
      </c>
      <c r="C534" s="1" t="n">
        <v>46030</v>
      </c>
      <c r="D534" t="inlineStr">
        <is>
          <t>STOCKHOLMS LÄN</t>
        </is>
      </c>
      <c r="E534" t="inlineStr">
        <is>
          <t>NORRTÄLJE</t>
        </is>
      </c>
      <c r="G534" t="n">
        <v>2.8</v>
      </c>
      <c r="H534" t="n">
        <v>0</v>
      </c>
      <c r="I534" t="n">
        <v>0</v>
      </c>
      <c r="J534" t="n">
        <v>0</v>
      </c>
      <c r="K534" t="n">
        <v>0</v>
      </c>
      <c r="L534" t="n">
        <v>0</v>
      </c>
      <c r="M534" t="n">
        <v>0</v>
      </c>
      <c r="N534" t="n">
        <v>0</v>
      </c>
      <c r="O534" t="n">
        <v>0</v>
      </c>
      <c r="P534" t="n">
        <v>0</v>
      </c>
      <c r="Q534" t="n">
        <v>0</v>
      </c>
      <c r="R534" s="2" t="inlineStr"/>
    </row>
    <row r="535" ht="15" customHeight="1">
      <c r="A535" t="inlineStr">
        <is>
          <t>A 44343-2025</t>
        </is>
      </c>
      <c r="B535" s="1" t="n">
        <v>45916.43378472222</v>
      </c>
      <c r="C535" s="1" t="n">
        <v>46030</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44349-2025</t>
        </is>
      </c>
      <c r="B536" s="1" t="n">
        <v>45916.43929398148</v>
      </c>
      <c r="C536" s="1" t="n">
        <v>46030</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44311-2025</t>
        </is>
      </c>
      <c r="B537" s="1" t="n">
        <v>45916.38394675926</v>
      </c>
      <c r="C537" s="1" t="n">
        <v>46030</v>
      </c>
      <c r="D537" t="inlineStr">
        <is>
          <t>STOCKHOLMS LÄN</t>
        </is>
      </c>
      <c r="E537" t="inlineStr">
        <is>
          <t>NORRTÄLJE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44333-2025</t>
        </is>
      </c>
      <c r="B538" s="1" t="n">
        <v>45916.42293981482</v>
      </c>
      <c r="C538" s="1" t="n">
        <v>46030</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36269-2022</t>
        </is>
      </c>
      <c r="B539" s="1" t="n">
        <v>44803</v>
      </c>
      <c r="C539" s="1" t="n">
        <v>46030</v>
      </c>
      <c r="D539" t="inlineStr">
        <is>
          <t>STOCKHOLMS LÄN</t>
        </is>
      </c>
      <c r="E539" t="inlineStr">
        <is>
          <t>NORRTÄLJE</t>
        </is>
      </c>
      <c r="G539" t="n">
        <v>2.3</v>
      </c>
      <c r="H539" t="n">
        <v>0</v>
      </c>
      <c r="I539" t="n">
        <v>0</v>
      </c>
      <c r="J539" t="n">
        <v>0</v>
      </c>
      <c r="K539" t="n">
        <v>0</v>
      </c>
      <c r="L539" t="n">
        <v>0</v>
      </c>
      <c r="M539" t="n">
        <v>0</v>
      </c>
      <c r="N539" t="n">
        <v>0</v>
      </c>
      <c r="O539" t="n">
        <v>0</v>
      </c>
      <c r="P539" t="n">
        <v>0</v>
      </c>
      <c r="Q539" t="n">
        <v>0</v>
      </c>
      <c r="R539" s="2" t="inlineStr"/>
    </row>
    <row r="540" ht="15" customHeight="1">
      <c r="A540" t="inlineStr">
        <is>
          <t>A 36308-2022</t>
        </is>
      </c>
      <c r="B540" s="1" t="n">
        <v>44803</v>
      </c>
      <c r="C540" s="1" t="n">
        <v>46030</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6919-2025</t>
        </is>
      </c>
      <c r="B541" s="1" t="n">
        <v>45701.44372685185</v>
      </c>
      <c r="C541" s="1" t="n">
        <v>46030</v>
      </c>
      <c r="D541" t="inlineStr">
        <is>
          <t>STOCKHOLMS LÄN</t>
        </is>
      </c>
      <c r="E541" t="inlineStr">
        <is>
          <t>NORRTÄLJE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32100-2022</t>
        </is>
      </c>
      <c r="B542" s="1" t="n">
        <v>44778</v>
      </c>
      <c r="C542" s="1" t="n">
        <v>46030</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11332-2025</t>
        </is>
      </c>
      <c r="B543" s="1" t="n">
        <v>45726.48152777777</v>
      </c>
      <c r="C543" s="1" t="n">
        <v>46030</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37444-2021</t>
        </is>
      </c>
      <c r="B544" s="1" t="n">
        <v>44398</v>
      </c>
      <c r="C544" s="1" t="n">
        <v>46030</v>
      </c>
      <c r="D544" t="inlineStr">
        <is>
          <t>STOCKHOLMS LÄN</t>
        </is>
      </c>
      <c r="E544" t="inlineStr">
        <is>
          <t>NORRTÄLJE</t>
        </is>
      </c>
      <c r="F544" t="inlineStr">
        <is>
          <t>Holmen skog AB</t>
        </is>
      </c>
      <c r="G544" t="n">
        <v>3.2</v>
      </c>
      <c r="H544" t="n">
        <v>0</v>
      </c>
      <c r="I544" t="n">
        <v>0</v>
      </c>
      <c r="J544" t="n">
        <v>0</v>
      </c>
      <c r="K544" t="n">
        <v>0</v>
      </c>
      <c r="L544" t="n">
        <v>0</v>
      </c>
      <c r="M544" t="n">
        <v>0</v>
      </c>
      <c r="N544" t="n">
        <v>0</v>
      </c>
      <c r="O544" t="n">
        <v>0</v>
      </c>
      <c r="P544" t="n">
        <v>0</v>
      </c>
      <c r="Q544" t="n">
        <v>0</v>
      </c>
      <c r="R544" s="2" t="inlineStr"/>
    </row>
    <row r="545" ht="15" customHeight="1">
      <c r="A545" t="inlineStr">
        <is>
          <t>A 30886-2022</t>
        </is>
      </c>
      <c r="B545" s="1" t="n">
        <v>44767.60601851852</v>
      </c>
      <c r="C545" s="1" t="n">
        <v>46030</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44937-2025</t>
        </is>
      </c>
      <c r="B546" s="1" t="n">
        <v>45918</v>
      </c>
      <c r="C546" s="1" t="n">
        <v>46030</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9654-2022</t>
        </is>
      </c>
      <c r="B547" s="1" t="n">
        <v>44617</v>
      </c>
      <c r="C547" s="1" t="n">
        <v>46030</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29250-2025</t>
        </is>
      </c>
      <c r="B548" s="1" t="n">
        <v>45824.37275462963</v>
      </c>
      <c r="C548" s="1" t="n">
        <v>46030</v>
      </c>
      <c r="D548" t="inlineStr">
        <is>
          <t>STOCKHOLMS LÄN</t>
        </is>
      </c>
      <c r="E548" t="inlineStr">
        <is>
          <t>NORRTÄLJE</t>
        </is>
      </c>
      <c r="F548" t="inlineStr">
        <is>
          <t>Sveaskog</t>
        </is>
      </c>
      <c r="G548" t="n">
        <v>6.4</v>
      </c>
      <c r="H548" t="n">
        <v>0</v>
      </c>
      <c r="I548" t="n">
        <v>0</v>
      </c>
      <c r="J548" t="n">
        <v>0</v>
      </c>
      <c r="K548" t="n">
        <v>0</v>
      </c>
      <c r="L548" t="n">
        <v>0</v>
      </c>
      <c r="M548" t="n">
        <v>0</v>
      </c>
      <c r="N548" t="n">
        <v>0</v>
      </c>
      <c r="O548" t="n">
        <v>0</v>
      </c>
      <c r="P548" t="n">
        <v>0</v>
      </c>
      <c r="Q548" t="n">
        <v>0</v>
      </c>
      <c r="R548" s="2" t="inlineStr"/>
    </row>
    <row r="549" ht="15" customHeight="1">
      <c r="A549" t="inlineStr">
        <is>
          <t>A 1453-2025</t>
        </is>
      </c>
      <c r="B549" s="1" t="n">
        <v>45670.3079050926</v>
      </c>
      <c r="C549" s="1" t="n">
        <v>46030</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5804-2025</t>
        </is>
      </c>
      <c r="B550" s="1" t="n">
        <v>45694.68207175926</v>
      </c>
      <c r="C550" s="1" t="n">
        <v>46030</v>
      </c>
      <c r="D550" t="inlineStr">
        <is>
          <t>STOCKHOLMS LÄN</t>
        </is>
      </c>
      <c r="E550" t="inlineStr">
        <is>
          <t>NORRTÄLJE</t>
        </is>
      </c>
      <c r="F550" t="inlineStr">
        <is>
          <t>Holmen skog AB</t>
        </is>
      </c>
      <c r="G550" t="n">
        <v>2.6</v>
      </c>
      <c r="H550" t="n">
        <v>0</v>
      </c>
      <c r="I550" t="n">
        <v>0</v>
      </c>
      <c r="J550" t="n">
        <v>0</v>
      </c>
      <c r="K550" t="n">
        <v>0</v>
      </c>
      <c r="L550" t="n">
        <v>0</v>
      </c>
      <c r="M550" t="n">
        <v>0</v>
      </c>
      <c r="N550" t="n">
        <v>0</v>
      </c>
      <c r="O550" t="n">
        <v>0</v>
      </c>
      <c r="P550" t="n">
        <v>0</v>
      </c>
      <c r="Q550" t="n">
        <v>0</v>
      </c>
      <c r="R550" s="2" t="inlineStr"/>
    </row>
    <row r="551" ht="15" customHeight="1">
      <c r="A551" t="inlineStr">
        <is>
          <t>A 50907-2022</t>
        </is>
      </c>
      <c r="B551" s="1" t="n">
        <v>44867.62090277778</v>
      </c>
      <c r="C551" s="1" t="n">
        <v>46030</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29003-2023</t>
        </is>
      </c>
      <c r="B552" s="1" t="n">
        <v>45104</v>
      </c>
      <c r="C552" s="1" t="n">
        <v>46030</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33295-2023</t>
        </is>
      </c>
      <c r="B553" s="1" t="n">
        <v>45127.69371527778</v>
      </c>
      <c r="C553" s="1" t="n">
        <v>46030</v>
      </c>
      <c r="D553" t="inlineStr">
        <is>
          <t>STOCKHOLMS LÄN</t>
        </is>
      </c>
      <c r="E553" t="inlineStr">
        <is>
          <t>NORRTÄLJE</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14127-2025</t>
        </is>
      </c>
      <c r="B554" s="1" t="n">
        <v>45740.47055555556</v>
      </c>
      <c r="C554" s="1" t="n">
        <v>46030</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16980-2023</t>
        </is>
      </c>
      <c r="B555" s="1" t="n">
        <v>45033</v>
      </c>
      <c r="C555" s="1" t="n">
        <v>46030</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58403-2025</t>
        </is>
      </c>
      <c r="B556" s="1" t="n">
        <v>45985.56777777777</v>
      </c>
      <c r="C556" s="1" t="n">
        <v>46030</v>
      </c>
      <c r="D556" t="inlineStr">
        <is>
          <t>STOCKHOLMS LÄN</t>
        </is>
      </c>
      <c r="E556" t="inlineStr">
        <is>
          <t>NORRTÄLJE</t>
        </is>
      </c>
      <c r="F556" t="inlineStr">
        <is>
          <t>Naturvårdsverket</t>
        </is>
      </c>
      <c r="G556" t="n">
        <v>13.5</v>
      </c>
      <c r="H556" t="n">
        <v>0</v>
      </c>
      <c r="I556" t="n">
        <v>0</v>
      </c>
      <c r="J556" t="n">
        <v>0</v>
      </c>
      <c r="K556" t="n">
        <v>0</v>
      </c>
      <c r="L556" t="n">
        <v>0</v>
      </c>
      <c r="M556" t="n">
        <v>0</v>
      </c>
      <c r="N556" t="n">
        <v>0</v>
      </c>
      <c r="O556" t="n">
        <v>0</v>
      </c>
      <c r="P556" t="n">
        <v>0</v>
      </c>
      <c r="Q556" t="n">
        <v>0</v>
      </c>
      <c r="R556" s="2" t="inlineStr"/>
    </row>
    <row r="557" ht="15" customHeight="1">
      <c r="A557" t="inlineStr">
        <is>
          <t>A 22359-2025</t>
        </is>
      </c>
      <c r="B557" s="1" t="n">
        <v>45786</v>
      </c>
      <c r="C557" s="1" t="n">
        <v>46030</v>
      </c>
      <c r="D557" t="inlineStr">
        <is>
          <t>STOCKHOLMS LÄN</t>
        </is>
      </c>
      <c r="E557" t="inlineStr">
        <is>
          <t>NORRTÄLJE</t>
        </is>
      </c>
      <c r="G557" t="n">
        <v>5</v>
      </c>
      <c r="H557" t="n">
        <v>0</v>
      </c>
      <c r="I557" t="n">
        <v>0</v>
      </c>
      <c r="J557" t="n">
        <v>0</v>
      </c>
      <c r="K557" t="n">
        <v>0</v>
      </c>
      <c r="L557" t="n">
        <v>0</v>
      </c>
      <c r="M557" t="n">
        <v>0</v>
      </c>
      <c r="N557" t="n">
        <v>0</v>
      </c>
      <c r="O557" t="n">
        <v>0</v>
      </c>
      <c r="P557" t="n">
        <v>0</v>
      </c>
      <c r="Q557" t="n">
        <v>0</v>
      </c>
      <c r="R557" s="2" t="inlineStr"/>
    </row>
    <row r="558" ht="15" customHeight="1">
      <c r="A558" t="inlineStr">
        <is>
          <t>A 32595-2023</t>
        </is>
      </c>
      <c r="B558" s="1" t="n">
        <v>45121</v>
      </c>
      <c r="C558" s="1" t="n">
        <v>46030</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45697-2025</t>
        </is>
      </c>
      <c r="B559" s="1" t="n">
        <v>45923.39877314815</v>
      </c>
      <c r="C559" s="1" t="n">
        <v>46030</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37550-2022</t>
        </is>
      </c>
      <c r="B560" s="1" t="n">
        <v>44809</v>
      </c>
      <c r="C560" s="1" t="n">
        <v>46030</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46415-2025</t>
        </is>
      </c>
      <c r="B561" s="1" t="n">
        <v>45925.58636574074</v>
      </c>
      <c r="C561" s="1" t="n">
        <v>46030</v>
      </c>
      <c r="D561" t="inlineStr">
        <is>
          <t>STOCKHOLMS LÄN</t>
        </is>
      </c>
      <c r="E561" t="inlineStr">
        <is>
          <t>NORRTÄLJE</t>
        </is>
      </c>
      <c r="G561" t="n">
        <v>3.8</v>
      </c>
      <c r="H561" t="n">
        <v>0</v>
      </c>
      <c r="I561" t="n">
        <v>0</v>
      </c>
      <c r="J561" t="n">
        <v>0</v>
      </c>
      <c r="K561" t="n">
        <v>0</v>
      </c>
      <c r="L561" t="n">
        <v>0</v>
      </c>
      <c r="M561" t="n">
        <v>0</v>
      </c>
      <c r="N561" t="n">
        <v>0</v>
      </c>
      <c r="O561" t="n">
        <v>0</v>
      </c>
      <c r="P561" t="n">
        <v>0</v>
      </c>
      <c r="Q561" t="n">
        <v>0</v>
      </c>
      <c r="R561" s="2" t="inlineStr"/>
    </row>
    <row r="562" ht="15" customHeight="1">
      <c r="A562" t="inlineStr">
        <is>
          <t>A 48161-2022</t>
        </is>
      </c>
      <c r="B562" s="1" t="n">
        <v>44858</v>
      </c>
      <c r="C562" s="1" t="n">
        <v>46030</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48798-2021</t>
        </is>
      </c>
      <c r="B563" s="1" t="n">
        <v>44452</v>
      </c>
      <c r="C563" s="1" t="n">
        <v>46030</v>
      </c>
      <c r="D563" t="inlineStr">
        <is>
          <t>STOCKHOLMS LÄN</t>
        </is>
      </c>
      <c r="E563" t="inlineStr">
        <is>
          <t>NORRTÄLJE</t>
        </is>
      </c>
      <c r="G563" t="n">
        <v>2</v>
      </c>
      <c r="H563" t="n">
        <v>0</v>
      </c>
      <c r="I563" t="n">
        <v>0</v>
      </c>
      <c r="J563" t="n">
        <v>0</v>
      </c>
      <c r="K563" t="n">
        <v>0</v>
      </c>
      <c r="L563" t="n">
        <v>0</v>
      </c>
      <c r="M563" t="n">
        <v>0</v>
      </c>
      <c r="N563" t="n">
        <v>0</v>
      </c>
      <c r="O563" t="n">
        <v>0</v>
      </c>
      <c r="P563" t="n">
        <v>0</v>
      </c>
      <c r="Q563" t="n">
        <v>0</v>
      </c>
      <c r="R563" s="2" t="inlineStr"/>
    </row>
    <row r="564" ht="15" customHeight="1">
      <c r="A564" t="inlineStr">
        <is>
          <t>A 30639-2025</t>
        </is>
      </c>
      <c r="B564" s="1" t="n">
        <v>45831.4844212963</v>
      </c>
      <c r="C564" s="1" t="n">
        <v>46030</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12111-2021</t>
        </is>
      </c>
      <c r="B565" s="1" t="n">
        <v>44266</v>
      </c>
      <c r="C565" s="1" t="n">
        <v>46030</v>
      </c>
      <c r="D565" t="inlineStr">
        <is>
          <t>STOCKHOLMS LÄN</t>
        </is>
      </c>
      <c r="E565" t="inlineStr">
        <is>
          <t>NORRTÄLJE</t>
        </is>
      </c>
      <c r="G565" t="n">
        <v>5.5</v>
      </c>
      <c r="H565" t="n">
        <v>0</v>
      </c>
      <c r="I565" t="n">
        <v>0</v>
      </c>
      <c r="J565" t="n">
        <v>0</v>
      </c>
      <c r="K565" t="n">
        <v>0</v>
      </c>
      <c r="L565" t="n">
        <v>0</v>
      </c>
      <c r="M565" t="n">
        <v>0</v>
      </c>
      <c r="N565" t="n">
        <v>0</v>
      </c>
      <c r="O565" t="n">
        <v>0</v>
      </c>
      <c r="P565" t="n">
        <v>0</v>
      </c>
      <c r="Q565" t="n">
        <v>0</v>
      </c>
      <c r="R565" s="2" t="inlineStr"/>
    </row>
    <row r="566" ht="15" customHeight="1">
      <c r="A566" t="inlineStr">
        <is>
          <t>A 30668-2025</t>
        </is>
      </c>
      <c r="B566" s="1" t="n">
        <v>45831.51659722222</v>
      </c>
      <c r="C566" s="1" t="n">
        <v>46030</v>
      </c>
      <c r="D566" t="inlineStr">
        <is>
          <t>STOCKHOLMS LÄN</t>
        </is>
      </c>
      <c r="E566" t="inlineStr">
        <is>
          <t>NORRTÄLJE</t>
        </is>
      </c>
      <c r="G566" t="n">
        <v>4.9</v>
      </c>
      <c r="H566" t="n">
        <v>0</v>
      </c>
      <c r="I566" t="n">
        <v>0</v>
      </c>
      <c r="J566" t="n">
        <v>0</v>
      </c>
      <c r="K566" t="n">
        <v>0</v>
      </c>
      <c r="L566" t="n">
        <v>0</v>
      </c>
      <c r="M566" t="n">
        <v>0</v>
      </c>
      <c r="N566" t="n">
        <v>0</v>
      </c>
      <c r="O566" t="n">
        <v>0</v>
      </c>
      <c r="P566" t="n">
        <v>0</v>
      </c>
      <c r="Q566" t="n">
        <v>0</v>
      </c>
      <c r="R566" s="2" t="inlineStr"/>
    </row>
    <row r="567" ht="15" customHeight="1">
      <c r="A567" t="inlineStr">
        <is>
          <t>A 54776-2023</t>
        </is>
      </c>
      <c r="B567" s="1" t="n">
        <v>45236.46369212963</v>
      </c>
      <c r="C567" s="1" t="n">
        <v>46030</v>
      </c>
      <c r="D567" t="inlineStr">
        <is>
          <t>STOCKHOLMS LÄN</t>
        </is>
      </c>
      <c r="E567" t="inlineStr">
        <is>
          <t>NORRTÄLJE</t>
        </is>
      </c>
      <c r="G567" t="n">
        <v>0.3</v>
      </c>
      <c r="H567" t="n">
        <v>0</v>
      </c>
      <c r="I567" t="n">
        <v>0</v>
      </c>
      <c r="J567" t="n">
        <v>0</v>
      </c>
      <c r="K567" t="n">
        <v>0</v>
      </c>
      <c r="L567" t="n">
        <v>0</v>
      </c>
      <c r="M567" t="n">
        <v>0</v>
      </c>
      <c r="N567" t="n">
        <v>0</v>
      </c>
      <c r="O567" t="n">
        <v>0</v>
      </c>
      <c r="P567" t="n">
        <v>0</v>
      </c>
      <c r="Q567" t="n">
        <v>0</v>
      </c>
      <c r="R567" s="2" t="inlineStr"/>
    </row>
    <row r="568" ht="15" customHeight="1">
      <c r="A568" t="inlineStr">
        <is>
          <t>A 46900-2025</t>
        </is>
      </c>
      <c r="B568" s="1" t="n">
        <v>45929.38712962963</v>
      </c>
      <c r="C568" s="1" t="n">
        <v>46030</v>
      </c>
      <c r="D568" t="inlineStr">
        <is>
          <t>STOCKHOLMS LÄN</t>
        </is>
      </c>
      <c r="E568" t="inlineStr">
        <is>
          <t>NORRTÄLJE</t>
        </is>
      </c>
      <c r="F568" t="inlineStr">
        <is>
          <t>Holmen skog AB</t>
        </is>
      </c>
      <c r="G568" t="n">
        <v>6.2</v>
      </c>
      <c r="H568" t="n">
        <v>0</v>
      </c>
      <c r="I568" t="n">
        <v>0</v>
      </c>
      <c r="J568" t="n">
        <v>0</v>
      </c>
      <c r="K568" t="n">
        <v>0</v>
      </c>
      <c r="L568" t="n">
        <v>0</v>
      </c>
      <c r="M568" t="n">
        <v>0</v>
      </c>
      <c r="N568" t="n">
        <v>0</v>
      </c>
      <c r="O568" t="n">
        <v>0</v>
      </c>
      <c r="P568" t="n">
        <v>0</v>
      </c>
      <c r="Q568" t="n">
        <v>0</v>
      </c>
      <c r="R568" s="2" t="inlineStr"/>
    </row>
    <row r="569" ht="15" customHeight="1">
      <c r="A569" t="inlineStr">
        <is>
          <t>A 57442-2021</t>
        </is>
      </c>
      <c r="B569" s="1" t="n">
        <v>44483</v>
      </c>
      <c r="C569" s="1" t="n">
        <v>46030</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55952-2024</t>
        </is>
      </c>
      <c r="B570" s="1" t="n">
        <v>45623.62563657408</v>
      </c>
      <c r="C570" s="1" t="n">
        <v>46030</v>
      </c>
      <c r="D570" t="inlineStr">
        <is>
          <t>STOCKHOLMS LÄN</t>
        </is>
      </c>
      <c r="E570" t="inlineStr">
        <is>
          <t>NORRTÄLJE</t>
        </is>
      </c>
      <c r="F570" t="inlineStr">
        <is>
          <t>Holmen skog AB</t>
        </is>
      </c>
      <c r="G570" t="n">
        <v>2.8</v>
      </c>
      <c r="H570" t="n">
        <v>0</v>
      </c>
      <c r="I570" t="n">
        <v>0</v>
      </c>
      <c r="J570" t="n">
        <v>0</v>
      </c>
      <c r="K570" t="n">
        <v>0</v>
      </c>
      <c r="L570" t="n">
        <v>0</v>
      </c>
      <c r="M570" t="n">
        <v>0</v>
      </c>
      <c r="N570" t="n">
        <v>0</v>
      </c>
      <c r="O570" t="n">
        <v>0</v>
      </c>
      <c r="P570" t="n">
        <v>0</v>
      </c>
      <c r="Q570" t="n">
        <v>0</v>
      </c>
      <c r="R570" s="2" t="inlineStr"/>
    </row>
    <row r="571" ht="15" customHeight="1">
      <c r="A571" t="inlineStr">
        <is>
          <t>A 8135-2025</t>
        </is>
      </c>
      <c r="B571" s="1" t="n">
        <v>45707.84997685185</v>
      </c>
      <c r="C571" s="1" t="n">
        <v>46030</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3383-2023</t>
        </is>
      </c>
      <c r="B572" s="1" t="n">
        <v>44949</v>
      </c>
      <c r="C572" s="1" t="n">
        <v>46030</v>
      </c>
      <c r="D572" t="inlineStr">
        <is>
          <t>STOCKHOLMS LÄN</t>
        </is>
      </c>
      <c r="E572" t="inlineStr">
        <is>
          <t>NORRTÄLJE</t>
        </is>
      </c>
      <c r="G572" t="n">
        <v>14.6</v>
      </c>
      <c r="H572" t="n">
        <v>0</v>
      </c>
      <c r="I572" t="n">
        <v>0</v>
      </c>
      <c r="J572" t="n">
        <v>0</v>
      </c>
      <c r="K572" t="n">
        <v>0</v>
      </c>
      <c r="L572" t="n">
        <v>0</v>
      </c>
      <c r="M572" t="n">
        <v>0</v>
      </c>
      <c r="N572" t="n">
        <v>0</v>
      </c>
      <c r="O572" t="n">
        <v>0</v>
      </c>
      <c r="P572" t="n">
        <v>0</v>
      </c>
      <c r="Q572" t="n">
        <v>0</v>
      </c>
      <c r="R572" s="2" t="inlineStr"/>
    </row>
    <row r="573" ht="15" customHeight="1">
      <c r="A573" t="inlineStr">
        <is>
          <t>A 13148-2021</t>
        </is>
      </c>
      <c r="B573" s="1" t="n">
        <v>44272</v>
      </c>
      <c r="C573" s="1" t="n">
        <v>46030</v>
      </c>
      <c r="D573" t="inlineStr">
        <is>
          <t>STOCKHOLMS LÄN</t>
        </is>
      </c>
      <c r="E573" t="inlineStr">
        <is>
          <t>NORRTÄLJE</t>
        </is>
      </c>
      <c r="G573" t="n">
        <v>12.4</v>
      </c>
      <c r="H573" t="n">
        <v>0</v>
      </c>
      <c r="I573" t="n">
        <v>0</v>
      </c>
      <c r="J573" t="n">
        <v>0</v>
      </c>
      <c r="K573" t="n">
        <v>0</v>
      </c>
      <c r="L573" t="n">
        <v>0</v>
      </c>
      <c r="M573" t="n">
        <v>0</v>
      </c>
      <c r="N573" t="n">
        <v>0</v>
      </c>
      <c r="O573" t="n">
        <v>0</v>
      </c>
      <c r="P573" t="n">
        <v>0</v>
      </c>
      <c r="Q573" t="n">
        <v>0</v>
      </c>
      <c r="R573" s="2" t="inlineStr"/>
    </row>
    <row r="574" ht="15" customHeight="1">
      <c r="A574" t="inlineStr">
        <is>
          <t>A 31170-2025</t>
        </is>
      </c>
      <c r="B574" s="1" t="n">
        <v>45832.66385416667</v>
      </c>
      <c r="C574" s="1" t="n">
        <v>46030</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21732-2023</t>
        </is>
      </c>
      <c r="B575" s="1" t="n">
        <v>45063</v>
      </c>
      <c r="C575" s="1" t="n">
        <v>46030</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23307-2024</t>
        </is>
      </c>
      <c r="B576" s="1" t="n">
        <v>45453</v>
      </c>
      <c r="C576" s="1" t="n">
        <v>46030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35256-2025</t>
        </is>
      </c>
      <c r="B577" s="1" t="n">
        <v>45853</v>
      </c>
      <c r="C577" s="1" t="n">
        <v>46030</v>
      </c>
      <c r="D577" t="inlineStr">
        <is>
          <t>STOCKHOLMS LÄN</t>
        </is>
      </c>
      <c r="E577" t="inlineStr">
        <is>
          <t>NORRTÄLJE</t>
        </is>
      </c>
      <c r="G577" t="n">
        <v>6.4</v>
      </c>
      <c r="H577" t="n">
        <v>0</v>
      </c>
      <c r="I577" t="n">
        <v>0</v>
      </c>
      <c r="J577" t="n">
        <v>0</v>
      </c>
      <c r="K577" t="n">
        <v>0</v>
      </c>
      <c r="L577" t="n">
        <v>0</v>
      </c>
      <c r="M577" t="n">
        <v>0</v>
      </c>
      <c r="N577" t="n">
        <v>0</v>
      </c>
      <c r="O577" t="n">
        <v>0</v>
      </c>
      <c r="P577" t="n">
        <v>0</v>
      </c>
      <c r="Q577" t="n">
        <v>0</v>
      </c>
      <c r="R577" s="2" t="inlineStr"/>
    </row>
    <row r="578" ht="15" customHeight="1">
      <c r="A578" t="inlineStr">
        <is>
          <t>A 31880-2025</t>
        </is>
      </c>
      <c r="B578" s="1" t="n">
        <v>45834.65538194445</v>
      </c>
      <c r="C578" s="1" t="n">
        <v>46030</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32122-2025</t>
        </is>
      </c>
      <c r="B579" s="1" t="n">
        <v>45835.4928125</v>
      </c>
      <c r="C579" s="1" t="n">
        <v>46030</v>
      </c>
      <c r="D579" t="inlineStr">
        <is>
          <t>STOCKHOLMS LÄN</t>
        </is>
      </c>
      <c r="E579" t="inlineStr">
        <is>
          <t>NORRTÄLJE</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31868-2025</t>
        </is>
      </c>
      <c r="B580" s="1" t="n">
        <v>45834.6447337963</v>
      </c>
      <c r="C580" s="1" t="n">
        <v>46030</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6413-2025</t>
        </is>
      </c>
      <c r="B581" s="1" t="n">
        <v>45699.46283564815</v>
      </c>
      <c r="C581" s="1" t="n">
        <v>46030</v>
      </c>
      <c r="D581" t="inlineStr">
        <is>
          <t>STOCKHOLMS LÄN</t>
        </is>
      </c>
      <c r="E581" t="inlineStr">
        <is>
          <t>NORRTÄLJE</t>
        </is>
      </c>
      <c r="G581" t="n">
        <v>3.6</v>
      </c>
      <c r="H581" t="n">
        <v>0</v>
      </c>
      <c r="I581" t="n">
        <v>0</v>
      </c>
      <c r="J581" t="n">
        <v>0</v>
      </c>
      <c r="K581" t="n">
        <v>0</v>
      </c>
      <c r="L581" t="n">
        <v>0</v>
      </c>
      <c r="M581" t="n">
        <v>0</v>
      </c>
      <c r="N581" t="n">
        <v>0</v>
      </c>
      <c r="O581" t="n">
        <v>0</v>
      </c>
      <c r="P581" t="n">
        <v>0</v>
      </c>
      <c r="Q581" t="n">
        <v>0</v>
      </c>
      <c r="R581" s="2" t="inlineStr"/>
    </row>
    <row r="582" ht="15" customHeight="1">
      <c r="A582" t="inlineStr">
        <is>
          <t>A 3386-2021</t>
        </is>
      </c>
      <c r="B582" s="1" t="n">
        <v>44218</v>
      </c>
      <c r="C582" s="1" t="n">
        <v>46030</v>
      </c>
      <c r="D582" t="inlineStr">
        <is>
          <t>STOCKHOLMS LÄN</t>
        </is>
      </c>
      <c r="E582" t="inlineStr">
        <is>
          <t>NORRTÄLJE</t>
        </is>
      </c>
      <c r="G582" t="n">
        <v>8</v>
      </c>
      <c r="H582" t="n">
        <v>0</v>
      </c>
      <c r="I582" t="n">
        <v>0</v>
      </c>
      <c r="J582" t="n">
        <v>0</v>
      </c>
      <c r="K582" t="n">
        <v>0</v>
      </c>
      <c r="L582" t="n">
        <v>0</v>
      </c>
      <c r="M582" t="n">
        <v>0</v>
      </c>
      <c r="N582" t="n">
        <v>0</v>
      </c>
      <c r="O582" t="n">
        <v>0</v>
      </c>
      <c r="P582" t="n">
        <v>0</v>
      </c>
      <c r="Q582" t="n">
        <v>0</v>
      </c>
      <c r="R582" s="2" t="inlineStr"/>
    </row>
    <row r="583" ht="15" customHeight="1">
      <c r="A583" t="inlineStr">
        <is>
          <t>A 32016-2025</t>
        </is>
      </c>
      <c r="B583" s="1" t="n">
        <v>45835</v>
      </c>
      <c r="C583" s="1" t="n">
        <v>46030</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58142-2025</t>
        </is>
      </c>
      <c r="B584" s="1" t="n">
        <v>45982.63791666667</v>
      </c>
      <c r="C584" s="1" t="n">
        <v>46030</v>
      </c>
      <c r="D584" t="inlineStr">
        <is>
          <t>STOCKHOLMS LÄN</t>
        </is>
      </c>
      <c r="E584" t="inlineStr">
        <is>
          <t>NORRTÄLJE</t>
        </is>
      </c>
      <c r="G584" t="n">
        <v>3.3</v>
      </c>
      <c r="H584" t="n">
        <v>0</v>
      </c>
      <c r="I584" t="n">
        <v>0</v>
      </c>
      <c r="J584" t="n">
        <v>0</v>
      </c>
      <c r="K584" t="n">
        <v>0</v>
      </c>
      <c r="L584" t="n">
        <v>0</v>
      </c>
      <c r="M584" t="n">
        <v>0</v>
      </c>
      <c r="N584" t="n">
        <v>0</v>
      </c>
      <c r="O584" t="n">
        <v>0</v>
      </c>
      <c r="P584" t="n">
        <v>0</v>
      </c>
      <c r="Q584" t="n">
        <v>0</v>
      </c>
      <c r="R584" s="2" t="inlineStr"/>
    </row>
    <row r="585" ht="15" customHeight="1">
      <c r="A585" t="inlineStr">
        <is>
          <t>A 37085-2021</t>
        </is>
      </c>
      <c r="B585" s="1" t="n">
        <v>44395</v>
      </c>
      <c r="C585" s="1" t="n">
        <v>46030</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57953-2025</t>
        </is>
      </c>
      <c r="B586" s="1" t="n">
        <v>45982.35016203704</v>
      </c>
      <c r="C586" s="1" t="n">
        <v>46030</v>
      </c>
      <c r="D586" t="inlineStr">
        <is>
          <t>STOCKHOLMS LÄN</t>
        </is>
      </c>
      <c r="E586" t="inlineStr">
        <is>
          <t>NORRTÄLJE</t>
        </is>
      </c>
      <c r="F586" t="inlineStr">
        <is>
          <t>Sveaskog</t>
        </is>
      </c>
      <c r="G586" t="n">
        <v>3</v>
      </c>
      <c r="H586" t="n">
        <v>0</v>
      </c>
      <c r="I586" t="n">
        <v>0</v>
      </c>
      <c r="J586" t="n">
        <v>0</v>
      </c>
      <c r="K586" t="n">
        <v>0</v>
      </c>
      <c r="L586" t="n">
        <v>0</v>
      </c>
      <c r="M586" t="n">
        <v>0</v>
      </c>
      <c r="N586" t="n">
        <v>0</v>
      </c>
      <c r="O586" t="n">
        <v>0</v>
      </c>
      <c r="P586" t="n">
        <v>0</v>
      </c>
      <c r="Q586" t="n">
        <v>0</v>
      </c>
      <c r="R586" s="2" t="inlineStr"/>
    </row>
    <row r="587" ht="15" customHeight="1">
      <c r="A587" t="inlineStr">
        <is>
          <t>A 32283-2025</t>
        </is>
      </c>
      <c r="B587" s="1" t="n">
        <v>45835.68076388889</v>
      </c>
      <c r="C587" s="1" t="n">
        <v>46030</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56428-2023</t>
        </is>
      </c>
      <c r="B588" s="1" t="n">
        <v>45243.45289351852</v>
      </c>
      <c r="C588" s="1" t="n">
        <v>46030</v>
      </c>
      <c r="D588" t="inlineStr">
        <is>
          <t>STOCKHOLMS LÄN</t>
        </is>
      </c>
      <c r="E588" t="inlineStr">
        <is>
          <t>NORRTÄLJE</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31874-2025</t>
        </is>
      </c>
      <c r="B589" s="1" t="n">
        <v>45834</v>
      </c>
      <c r="C589" s="1" t="n">
        <v>46030</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32094-2025</t>
        </is>
      </c>
      <c r="B590" s="1" t="n">
        <v>45835.46034722222</v>
      </c>
      <c r="C590" s="1" t="n">
        <v>46030</v>
      </c>
      <c r="D590" t="inlineStr">
        <is>
          <t>STOCKHOLMS LÄN</t>
        </is>
      </c>
      <c r="E590" t="inlineStr">
        <is>
          <t>NORRTÄLJE</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17556-2025</t>
        </is>
      </c>
      <c r="B591" s="1" t="n">
        <v>45757.62482638889</v>
      </c>
      <c r="C591" s="1" t="n">
        <v>46030</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47498-2025</t>
        </is>
      </c>
      <c r="B592" s="1" t="n">
        <v>45930.8134375</v>
      </c>
      <c r="C592" s="1" t="n">
        <v>46030</v>
      </c>
      <c r="D592" t="inlineStr">
        <is>
          <t>STOCKHOLMS LÄN</t>
        </is>
      </c>
      <c r="E592" t="inlineStr">
        <is>
          <t>NORRTÄLJE</t>
        </is>
      </c>
      <c r="F592" t="inlineStr">
        <is>
          <t>Holmen skog AB</t>
        </is>
      </c>
      <c r="G592" t="n">
        <v>1.7</v>
      </c>
      <c r="H592" t="n">
        <v>0</v>
      </c>
      <c r="I592" t="n">
        <v>0</v>
      </c>
      <c r="J592" t="n">
        <v>0</v>
      </c>
      <c r="K592" t="n">
        <v>0</v>
      </c>
      <c r="L592" t="n">
        <v>0</v>
      </c>
      <c r="M592" t="n">
        <v>0</v>
      </c>
      <c r="N592" t="n">
        <v>0</v>
      </c>
      <c r="O592" t="n">
        <v>0</v>
      </c>
      <c r="P592" t="n">
        <v>0</v>
      </c>
      <c r="Q592" t="n">
        <v>0</v>
      </c>
      <c r="R592" s="2" t="inlineStr"/>
    </row>
    <row r="593" ht="15" customHeight="1">
      <c r="A593" t="inlineStr">
        <is>
          <t>A 32480-2025</t>
        </is>
      </c>
      <c r="B593" s="1" t="n">
        <v>45838.43261574074</v>
      </c>
      <c r="C593" s="1" t="n">
        <v>46030</v>
      </c>
      <c r="D593" t="inlineStr">
        <is>
          <t>STOCKHOLMS LÄN</t>
        </is>
      </c>
      <c r="E593" t="inlineStr">
        <is>
          <t>NORRTÄLJE</t>
        </is>
      </c>
      <c r="F593" t="inlineStr">
        <is>
          <t>Holmen skog AB</t>
        </is>
      </c>
      <c r="G593" t="n">
        <v>0.7</v>
      </c>
      <c r="H593" t="n">
        <v>0</v>
      </c>
      <c r="I593" t="n">
        <v>0</v>
      </c>
      <c r="J593" t="n">
        <v>0</v>
      </c>
      <c r="K593" t="n">
        <v>0</v>
      </c>
      <c r="L593" t="n">
        <v>0</v>
      </c>
      <c r="M593" t="n">
        <v>0</v>
      </c>
      <c r="N593" t="n">
        <v>0</v>
      </c>
      <c r="O593" t="n">
        <v>0</v>
      </c>
      <c r="P593" t="n">
        <v>0</v>
      </c>
      <c r="Q593" t="n">
        <v>0</v>
      </c>
      <c r="R593" s="2" t="inlineStr"/>
    </row>
    <row r="594" ht="15" customHeight="1">
      <c r="A594" t="inlineStr">
        <is>
          <t>A 47460-2025</t>
        </is>
      </c>
      <c r="B594" s="1" t="n">
        <v>45930.66012731481</v>
      </c>
      <c r="C594" s="1" t="n">
        <v>46030</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47496-2025</t>
        </is>
      </c>
      <c r="B595" s="1" t="n">
        <v>45930.79252314815</v>
      </c>
      <c r="C595" s="1" t="n">
        <v>46030</v>
      </c>
      <c r="D595" t="inlineStr">
        <is>
          <t>STOCKHOLMS LÄN</t>
        </is>
      </c>
      <c r="E595" t="inlineStr">
        <is>
          <t>NORRTÄLJE</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47497-2025</t>
        </is>
      </c>
      <c r="B596" s="1" t="n">
        <v>45930.80217592593</v>
      </c>
      <c r="C596" s="1" t="n">
        <v>46030</v>
      </c>
      <c r="D596" t="inlineStr">
        <is>
          <t>STOCKHOLMS LÄN</t>
        </is>
      </c>
      <c r="E596" t="inlineStr">
        <is>
          <t>NORRTÄLJE</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32872-2025</t>
        </is>
      </c>
      <c r="B597" s="1" t="n">
        <v>45839</v>
      </c>
      <c r="C597" s="1" t="n">
        <v>46030</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32903-2025</t>
        </is>
      </c>
      <c r="B598" s="1" t="n">
        <v>45839.62398148148</v>
      </c>
      <c r="C598" s="1" t="n">
        <v>46030</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32395-2025</t>
        </is>
      </c>
      <c r="B599" s="1" t="n">
        <v>45837.93730324074</v>
      </c>
      <c r="C599" s="1" t="n">
        <v>46030</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32396-2025</t>
        </is>
      </c>
      <c r="B600" s="1" t="n">
        <v>45837</v>
      </c>
      <c r="C600" s="1" t="n">
        <v>46030</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32397-2025</t>
        </is>
      </c>
      <c r="B601" s="1" t="n">
        <v>45837.94081018519</v>
      </c>
      <c r="C601" s="1" t="n">
        <v>46030</v>
      </c>
      <c r="D601" t="inlineStr">
        <is>
          <t>STOCKHOLMS LÄN</t>
        </is>
      </c>
      <c r="E601" t="inlineStr">
        <is>
          <t>NORRTÄLJE</t>
        </is>
      </c>
      <c r="G601" t="n">
        <v>5.9</v>
      </c>
      <c r="H601" t="n">
        <v>0</v>
      </c>
      <c r="I601" t="n">
        <v>0</v>
      </c>
      <c r="J601" t="n">
        <v>0</v>
      </c>
      <c r="K601" t="n">
        <v>0</v>
      </c>
      <c r="L601" t="n">
        <v>0</v>
      </c>
      <c r="M601" t="n">
        <v>0</v>
      </c>
      <c r="N601" t="n">
        <v>0</v>
      </c>
      <c r="O601" t="n">
        <v>0</v>
      </c>
      <c r="P601" t="n">
        <v>0</v>
      </c>
      <c r="Q601" t="n">
        <v>0</v>
      </c>
      <c r="R601" s="2" t="inlineStr"/>
    </row>
    <row r="602" ht="15" customHeight="1">
      <c r="A602" t="inlineStr">
        <is>
          <t>A 42094-2023</t>
        </is>
      </c>
      <c r="B602" s="1" t="n">
        <v>45177.61498842593</v>
      </c>
      <c r="C602" s="1" t="n">
        <v>46030</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48360-2025</t>
        </is>
      </c>
      <c r="B603" s="1" t="n">
        <v>45933.66253472222</v>
      </c>
      <c r="C603" s="1" t="n">
        <v>46030</v>
      </c>
      <c r="D603" t="inlineStr">
        <is>
          <t>STOCKHOLMS LÄN</t>
        </is>
      </c>
      <c r="E603" t="inlineStr">
        <is>
          <t>NORRTÄLJE</t>
        </is>
      </c>
      <c r="G603" t="n">
        <v>4.1</v>
      </c>
      <c r="H603" t="n">
        <v>0</v>
      </c>
      <c r="I603" t="n">
        <v>0</v>
      </c>
      <c r="J603" t="n">
        <v>0</v>
      </c>
      <c r="K603" t="n">
        <v>0</v>
      </c>
      <c r="L603" t="n">
        <v>0</v>
      </c>
      <c r="M603" t="n">
        <v>0</v>
      </c>
      <c r="N603" t="n">
        <v>0</v>
      </c>
      <c r="O603" t="n">
        <v>0</v>
      </c>
      <c r="P603" t="n">
        <v>0</v>
      </c>
      <c r="Q603" t="n">
        <v>0</v>
      </c>
      <c r="R603" s="2" t="inlineStr"/>
    </row>
    <row r="604" ht="15" customHeight="1">
      <c r="A604" t="inlineStr">
        <is>
          <t>A 48370-2025</t>
        </is>
      </c>
      <c r="B604" s="1" t="n">
        <v>45933.67854166667</v>
      </c>
      <c r="C604" s="1" t="n">
        <v>46030</v>
      </c>
      <c r="D604" t="inlineStr">
        <is>
          <t>STOCKHOLMS LÄN</t>
        </is>
      </c>
      <c r="E604" t="inlineStr">
        <is>
          <t>NORRTÄLJE</t>
        </is>
      </c>
      <c r="G604" t="n">
        <v>4.5</v>
      </c>
      <c r="H604" t="n">
        <v>0</v>
      </c>
      <c r="I604" t="n">
        <v>0</v>
      </c>
      <c r="J604" t="n">
        <v>0</v>
      </c>
      <c r="K604" t="n">
        <v>0</v>
      </c>
      <c r="L604" t="n">
        <v>0</v>
      </c>
      <c r="M604" t="n">
        <v>0</v>
      </c>
      <c r="N604" t="n">
        <v>0</v>
      </c>
      <c r="O604" t="n">
        <v>0</v>
      </c>
      <c r="P604" t="n">
        <v>0</v>
      </c>
      <c r="Q604" t="n">
        <v>0</v>
      </c>
      <c r="R604" s="2" t="inlineStr"/>
    </row>
    <row r="605" ht="15" customHeight="1">
      <c r="A605" t="inlineStr">
        <is>
          <t>A 48364-2025</t>
        </is>
      </c>
      <c r="B605" s="1" t="n">
        <v>45933.66796296297</v>
      </c>
      <c r="C605" s="1" t="n">
        <v>46030</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8370-2025</t>
        </is>
      </c>
      <c r="B606" s="1" t="n">
        <v>45708</v>
      </c>
      <c r="C606" s="1" t="n">
        <v>46030</v>
      </c>
      <c r="D606" t="inlineStr">
        <is>
          <t>STOCKHOLMS LÄN</t>
        </is>
      </c>
      <c r="E606" t="inlineStr">
        <is>
          <t>NORRTÄLJE</t>
        </is>
      </c>
      <c r="F606" t="inlineStr">
        <is>
          <t>Övriga Aktiebolag</t>
        </is>
      </c>
      <c r="G606" t="n">
        <v>5.6</v>
      </c>
      <c r="H606" t="n">
        <v>0</v>
      </c>
      <c r="I606" t="n">
        <v>0</v>
      </c>
      <c r="J606" t="n">
        <v>0</v>
      </c>
      <c r="K606" t="n">
        <v>0</v>
      </c>
      <c r="L606" t="n">
        <v>0</v>
      </c>
      <c r="M606" t="n">
        <v>0</v>
      </c>
      <c r="N606" t="n">
        <v>0</v>
      </c>
      <c r="O606" t="n">
        <v>0</v>
      </c>
      <c r="P606" t="n">
        <v>0</v>
      </c>
      <c r="Q606" t="n">
        <v>0</v>
      </c>
      <c r="R606" s="2" t="inlineStr"/>
    </row>
    <row r="607" ht="15" customHeight="1">
      <c r="A607" t="inlineStr">
        <is>
          <t>A 3299-2022</t>
        </is>
      </c>
      <c r="B607" s="1" t="n">
        <v>44584.91001157407</v>
      </c>
      <c r="C607" s="1" t="n">
        <v>46030</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48174-2025</t>
        </is>
      </c>
      <c r="B608" s="1" t="n">
        <v>45933.44230324074</v>
      </c>
      <c r="C608" s="1" t="n">
        <v>46030</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48127-2025</t>
        </is>
      </c>
      <c r="B609" s="1" t="n">
        <v>45933.36621527778</v>
      </c>
      <c r="C609" s="1" t="n">
        <v>46030</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12348-2025</t>
        </is>
      </c>
      <c r="B610" s="1" t="n">
        <v>45730.35026620371</v>
      </c>
      <c r="C610" s="1" t="n">
        <v>46030</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48179-2025</t>
        </is>
      </c>
      <c r="B611" s="1" t="n">
        <v>45933.44907407407</v>
      </c>
      <c r="C611" s="1" t="n">
        <v>46030</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33702-2025</t>
        </is>
      </c>
      <c r="B612" s="1" t="n">
        <v>45841.74596064815</v>
      </c>
      <c r="C612" s="1" t="n">
        <v>46030</v>
      </c>
      <c r="D612" t="inlineStr">
        <is>
          <t>STOCKHOLMS LÄN</t>
        </is>
      </c>
      <c r="E612" t="inlineStr">
        <is>
          <t>NORRTÄLJE</t>
        </is>
      </c>
      <c r="G612" t="n">
        <v>0.5</v>
      </c>
      <c r="H612" t="n">
        <v>0</v>
      </c>
      <c r="I612" t="n">
        <v>0</v>
      </c>
      <c r="J612" t="n">
        <v>0</v>
      </c>
      <c r="K612" t="n">
        <v>0</v>
      </c>
      <c r="L612" t="n">
        <v>0</v>
      </c>
      <c r="M612" t="n">
        <v>0</v>
      </c>
      <c r="N612" t="n">
        <v>0</v>
      </c>
      <c r="O612" t="n">
        <v>0</v>
      </c>
      <c r="P612" t="n">
        <v>0</v>
      </c>
      <c r="Q612" t="n">
        <v>0</v>
      </c>
      <c r="R612" s="2" t="inlineStr"/>
    </row>
    <row r="613" ht="15" customHeight="1">
      <c r="A613" t="inlineStr">
        <is>
          <t>A 17545-2025</t>
        </is>
      </c>
      <c r="B613" s="1" t="n">
        <v>45757.60658564815</v>
      </c>
      <c r="C613" s="1" t="n">
        <v>46030</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33211-2025</t>
        </is>
      </c>
      <c r="B614" s="1" t="n">
        <v>45840.62755787037</v>
      </c>
      <c r="C614" s="1" t="n">
        <v>46030</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48718-2025</t>
        </is>
      </c>
      <c r="B615" s="1" t="n">
        <v>45936</v>
      </c>
      <c r="C615" s="1" t="n">
        <v>46030</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25094-2023</t>
        </is>
      </c>
      <c r="B616" s="1" t="n">
        <v>45086.3629050926</v>
      </c>
      <c r="C616" s="1" t="n">
        <v>46030</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36157-2024</t>
        </is>
      </c>
      <c r="B617" s="1" t="n">
        <v>45534.38240740741</v>
      </c>
      <c r="C617" s="1" t="n">
        <v>46030</v>
      </c>
      <c r="D617" t="inlineStr">
        <is>
          <t>STOCKHOLMS LÄN</t>
        </is>
      </c>
      <c r="E617" t="inlineStr">
        <is>
          <t>NORRTÄLJE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33265-2025</t>
        </is>
      </c>
      <c r="B618" s="1" t="n">
        <v>45840.67829861111</v>
      </c>
      <c r="C618" s="1" t="n">
        <v>46030</v>
      </c>
      <c r="D618" t="inlineStr">
        <is>
          <t>STOCKHOLMS LÄN</t>
        </is>
      </c>
      <c r="E618" t="inlineStr">
        <is>
          <t>NORRTÄLJE</t>
        </is>
      </c>
      <c r="G618" t="n">
        <v>5.5</v>
      </c>
      <c r="H618" t="n">
        <v>0</v>
      </c>
      <c r="I618" t="n">
        <v>0</v>
      </c>
      <c r="J618" t="n">
        <v>0</v>
      </c>
      <c r="K618" t="n">
        <v>0</v>
      </c>
      <c r="L618" t="n">
        <v>0</v>
      </c>
      <c r="M618" t="n">
        <v>0</v>
      </c>
      <c r="N618" t="n">
        <v>0</v>
      </c>
      <c r="O618" t="n">
        <v>0</v>
      </c>
      <c r="P618" t="n">
        <v>0</v>
      </c>
      <c r="Q618" t="n">
        <v>0</v>
      </c>
      <c r="R618" s="2" t="inlineStr"/>
    </row>
    <row r="619" ht="15" customHeight="1">
      <c r="A619" t="inlineStr">
        <is>
          <t>A 48593-2025</t>
        </is>
      </c>
      <c r="B619" s="1" t="n">
        <v>45936.4627662037</v>
      </c>
      <c r="C619" s="1" t="n">
        <v>46030</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33279-2025</t>
        </is>
      </c>
      <c r="B620" s="1" t="n">
        <v>45840</v>
      </c>
      <c r="C620" s="1" t="n">
        <v>46030</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33552-2025</t>
        </is>
      </c>
      <c r="B621" s="1" t="n">
        <v>45841.5737962963</v>
      </c>
      <c r="C621" s="1" t="n">
        <v>46030</v>
      </c>
      <c r="D621" t="inlineStr">
        <is>
          <t>STOCKHOLMS LÄN</t>
        </is>
      </c>
      <c r="E621" t="inlineStr">
        <is>
          <t>NORRTÄLJE</t>
        </is>
      </c>
      <c r="G621" t="n">
        <v>8.9</v>
      </c>
      <c r="H621" t="n">
        <v>0</v>
      </c>
      <c r="I621" t="n">
        <v>0</v>
      </c>
      <c r="J621" t="n">
        <v>0</v>
      </c>
      <c r="K621" t="n">
        <v>0</v>
      </c>
      <c r="L621" t="n">
        <v>0</v>
      </c>
      <c r="M621" t="n">
        <v>0</v>
      </c>
      <c r="N621" t="n">
        <v>0</v>
      </c>
      <c r="O621" t="n">
        <v>0</v>
      </c>
      <c r="P621" t="n">
        <v>0</v>
      </c>
      <c r="Q621" t="n">
        <v>0</v>
      </c>
      <c r="R621" s="2" t="inlineStr"/>
    </row>
    <row r="622" ht="15" customHeight="1">
      <c r="A622" t="inlineStr">
        <is>
          <t>A 47694-2023</t>
        </is>
      </c>
      <c r="B622" s="1" t="n">
        <v>45203.63303240741</v>
      </c>
      <c r="C622" s="1" t="n">
        <v>46030</v>
      </c>
      <c r="D622" t="inlineStr">
        <is>
          <t>STOCKHOLMS LÄN</t>
        </is>
      </c>
      <c r="E622" t="inlineStr">
        <is>
          <t>NORRTÄLJE</t>
        </is>
      </c>
      <c r="G622" t="n">
        <v>5.2</v>
      </c>
      <c r="H622" t="n">
        <v>0</v>
      </c>
      <c r="I622" t="n">
        <v>0</v>
      </c>
      <c r="J622" t="n">
        <v>0</v>
      </c>
      <c r="K622" t="n">
        <v>0</v>
      </c>
      <c r="L622" t="n">
        <v>0</v>
      </c>
      <c r="M622" t="n">
        <v>0</v>
      </c>
      <c r="N622" t="n">
        <v>0</v>
      </c>
      <c r="O622" t="n">
        <v>0</v>
      </c>
      <c r="P622" t="n">
        <v>0</v>
      </c>
      <c r="Q622" t="n">
        <v>0</v>
      </c>
      <c r="R622" s="2" t="inlineStr"/>
    </row>
    <row r="623" ht="15" customHeight="1">
      <c r="A623" t="inlineStr">
        <is>
          <t>A 33336-2025</t>
        </is>
      </c>
      <c r="B623" s="1" t="n">
        <v>45841.35611111111</v>
      </c>
      <c r="C623" s="1" t="n">
        <v>46030</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33824-2025</t>
        </is>
      </c>
      <c r="B624" s="1" t="n">
        <v>45842.46885416667</v>
      </c>
      <c r="C624" s="1" t="n">
        <v>46030</v>
      </c>
      <c r="D624" t="inlineStr">
        <is>
          <t>STOCKHOLMS LÄN</t>
        </is>
      </c>
      <c r="E624" t="inlineStr">
        <is>
          <t>NORRTÄLJE</t>
        </is>
      </c>
      <c r="G624" t="n">
        <v>1.9</v>
      </c>
      <c r="H624" t="n">
        <v>0</v>
      </c>
      <c r="I624" t="n">
        <v>0</v>
      </c>
      <c r="J624" t="n">
        <v>0</v>
      </c>
      <c r="K624" t="n">
        <v>0</v>
      </c>
      <c r="L624" t="n">
        <v>0</v>
      </c>
      <c r="M624" t="n">
        <v>0</v>
      </c>
      <c r="N624" t="n">
        <v>0</v>
      </c>
      <c r="O624" t="n">
        <v>0</v>
      </c>
      <c r="P624" t="n">
        <v>0</v>
      </c>
      <c r="Q624" t="n">
        <v>0</v>
      </c>
      <c r="R624" s="2" t="inlineStr"/>
    </row>
    <row r="625" ht="15" customHeight="1">
      <c r="A625" t="inlineStr">
        <is>
          <t>A 48443-2025</t>
        </is>
      </c>
      <c r="B625" s="1" t="n">
        <v>45935.55326388889</v>
      </c>
      <c r="C625" s="1" t="n">
        <v>46030</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35532-2024</t>
        </is>
      </c>
      <c r="B626" s="1" t="n">
        <v>45531</v>
      </c>
      <c r="C626" s="1" t="n">
        <v>46030</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197-2026</t>
        </is>
      </c>
      <c r="B627" s="1" t="n">
        <v>46026</v>
      </c>
      <c r="C627" s="1" t="n">
        <v>46030</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1654-2025</t>
        </is>
      </c>
      <c r="B628" s="1" t="n">
        <v>45670.65921296296</v>
      </c>
      <c r="C628" s="1" t="n">
        <v>46030</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62644-2023</t>
        </is>
      </c>
      <c r="B629" s="1" t="n">
        <v>45271</v>
      </c>
      <c r="C629" s="1" t="n">
        <v>46030</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34006-2025</t>
        </is>
      </c>
      <c r="B630" s="1" t="n">
        <v>45844.62609953704</v>
      </c>
      <c r="C630" s="1" t="n">
        <v>46030</v>
      </c>
      <c r="D630" t="inlineStr">
        <is>
          <t>STOCKHOLMS LÄN</t>
        </is>
      </c>
      <c r="E630" t="inlineStr">
        <is>
          <t>NORRTÄLJE</t>
        </is>
      </c>
      <c r="G630" t="n">
        <v>2.3</v>
      </c>
      <c r="H630" t="n">
        <v>0</v>
      </c>
      <c r="I630" t="n">
        <v>0</v>
      </c>
      <c r="J630" t="n">
        <v>0</v>
      </c>
      <c r="K630" t="n">
        <v>0</v>
      </c>
      <c r="L630" t="n">
        <v>0</v>
      </c>
      <c r="M630" t="n">
        <v>0</v>
      </c>
      <c r="N630" t="n">
        <v>0</v>
      </c>
      <c r="O630" t="n">
        <v>0</v>
      </c>
      <c r="P630" t="n">
        <v>0</v>
      </c>
      <c r="Q630" t="n">
        <v>0</v>
      </c>
      <c r="R630" s="2" t="inlineStr"/>
    </row>
    <row r="631" ht="15" customHeight="1">
      <c r="A631" t="inlineStr">
        <is>
          <t>A 34139-2025</t>
        </is>
      </c>
      <c r="B631" s="1" t="n">
        <v>45845</v>
      </c>
      <c r="C631" s="1" t="n">
        <v>46030</v>
      </c>
      <c r="D631" t="inlineStr">
        <is>
          <t>STOCKHOLMS LÄN</t>
        </is>
      </c>
      <c r="E631" t="inlineStr">
        <is>
          <t>NORRTÄLJE</t>
        </is>
      </c>
      <c r="G631" t="n">
        <v>5.5</v>
      </c>
      <c r="H631" t="n">
        <v>0</v>
      </c>
      <c r="I631" t="n">
        <v>0</v>
      </c>
      <c r="J631" t="n">
        <v>0</v>
      </c>
      <c r="K631" t="n">
        <v>0</v>
      </c>
      <c r="L631" t="n">
        <v>0</v>
      </c>
      <c r="M631" t="n">
        <v>0</v>
      </c>
      <c r="N631" t="n">
        <v>0</v>
      </c>
      <c r="O631" t="n">
        <v>0</v>
      </c>
      <c r="P631" t="n">
        <v>0</v>
      </c>
      <c r="Q631" t="n">
        <v>0</v>
      </c>
      <c r="R631" s="2" t="inlineStr"/>
    </row>
    <row r="632" ht="15" customHeight="1">
      <c r="A632" t="inlineStr">
        <is>
          <t>A 34010-2025</t>
        </is>
      </c>
      <c r="B632" s="1" t="n">
        <v>45844.91234953704</v>
      </c>
      <c r="C632" s="1" t="n">
        <v>46030</v>
      </c>
      <c r="D632" t="inlineStr">
        <is>
          <t>STOCKHOLMS LÄN</t>
        </is>
      </c>
      <c r="E632" t="inlineStr">
        <is>
          <t>NORRTÄLJE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11229-2022</t>
        </is>
      </c>
      <c r="B633" s="1" t="n">
        <v>44629</v>
      </c>
      <c r="C633" s="1" t="n">
        <v>46030</v>
      </c>
      <c r="D633" t="inlineStr">
        <is>
          <t>STOCKHOLMS LÄN</t>
        </is>
      </c>
      <c r="E633" t="inlineStr">
        <is>
          <t>NORRTÄLJE</t>
        </is>
      </c>
      <c r="F633" t="inlineStr">
        <is>
          <t>Övriga Aktiebolag</t>
        </is>
      </c>
      <c r="G633" t="n">
        <v>4.1</v>
      </c>
      <c r="H633" t="n">
        <v>0</v>
      </c>
      <c r="I633" t="n">
        <v>0</v>
      </c>
      <c r="J633" t="n">
        <v>0</v>
      </c>
      <c r="K633" t="n">
        <v>0</v>
      </c>
      <c r="L633" t="n">
        <v>0</v>
      </c>
      <c r="M633" t="n">
        <v>0</v>
      </c>
      <c r="N633" t="n">
        <v>0</v>
      </c>
      <c r="O633" t="n">
        <v>0</v>
      </c>
      <c r="P633" t="n">
        <v>0</v>
      </c>
      <c r="Q633" t="n">
        <v>0</v>
      </c>
      <c r="R633" s="2" t="inlineStr"/>
    </row>
    <row r="634" ht="15" customHeight="1">
      <c r="A634" t="inlineStr">
        <is>
          <t>A 36689-2023</t>
        </is>
      </c>
      <c r="B634" s="1" t="n">
        <v>45152</v>
      </c>
      <c r="C634" s="1" t="n">
        <v>46030</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48780-2025</t>
        </is>
      </c>
      <c r="B635" s="1" t="n">
        <v>45937.30377314815</v>
      </c>
      <c r="C635" s="1" t="n">
        <v>46030</v>
      </c>
      <c r="D635" t="inlineStr">
        <is>
          <t>STOCKHOLMS LÄN</t>
        </is>
      </c>
      <c r="E635" t="inlineStr">
        <is>
          <t>NORRTÄLJE</t>
        </is>
      </c>
      <c r="G635" t="n">
        <v>7.7</v>
      </c>
      <c r="H635" t="n">
        <v>0</v>
      </c>
      <c r="I635" t="n">
        <v>0</v>
      </c>
      <c r="J635" t="n">
        <v>0</v>
      </c>
      <c r="K635" t="n">
        <v>0</v>
      </c>
      <c r="L635" t="n">
        <v>0</v>
      </c>
      <c r="M635" t="n">
        <v>0</v>
      </c>
      <c r="N635" t="n">
        <v>0</v>
      </c>
      <c r="O635" t="n">
        <v>0</v>
      </c>
      <c r="P635" t="n">
        <v>0</v>
      </c>
      <c r="Q635" t="n">
        <v>0</v>
      </c>
      <c r="R635" s="2" t="inlineStr"/>
    </row>
    <row r="636" ht="15" customHeight="1">
      <c r="A636" t="inlineStr">
        <is>
          <t>A 46073-2024</t>
        </is>
      </c>
      <c r="B636" s="1" t="n">
        <v>45581</v>
      </c>
      <c r="C636" s="1" t="n">
        <v>46030</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57353-2024</t>
        </is>
      </c>
      <c r="B637" s="1" t="n">
        <v>45629.65143518519</v>
      </c>
      <c r="C637" s="1" t="n">
        <v>46030</v>
      </c>
      <c r="D637" t="inlineStr">
        <is>
          <t>STOCKHOLMS LÄN</t>
        </is>
      </c>
      <c r="E637" t="inlineStr">
        <is>
          <t>NORRTÄLJE</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48587-2023</t>
        </is>
      </c>
      <c r="B638" s="1" t="n">
        <v>45208</v>
      </c>
      <c r="C638" s="1" t="n">
        <v>46030</v>
      </c>
      <c r="D638" t="inlineStr">
        <is>
          <t>STOCKHOLMS LÄN</t>
        </is>
      </c>
      <c r="E638" t="inlineStr">
        <is>
          <t>NORRTÄLJE</t>
        </is>
      </c>
      <c r="G638" t="n">
        <v>7</v>
      </c>
      <c r="H638" t="n">
        <v>0</v>
      </c>
      <c r="I638" t="n">
        <v>0</v>
      </c>
      <c r="J638" t="n">
        <v>0</v>
      </c>
      <c r="K638" t="n">
        <v>0</v>
      </c>
      <c r="L638" t="n">
        <v>0</v>
      </c>
      <c r="M638" t="n">
        <v>0</v>
      </c>
      <c r="N638" t="n">
        <v>0</v>
      </c>
      <c r="O638" t="n">
        <v>0</v>
      </c>
      <c r="P638" t="n">
        <v>0</v>
      </c>
      <c r="Q638" t="n">
        <v>0</v>
      </c>
      <c r="R638" s="2" t="inlineStr"/>
    </row>
    <row r="639" ht="15" customHeight="1">
      <c r="A639" t="inlineStr">
        <is>
          <t>A 49129-2025</t>
        </is>
      </c>
      <c r="B639" s="1" t="n">
        <v>45937.89517361111</v>
      </c>
      <c r="C639" s="1" t="n">
        <v>46030</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2549-2022</t>
        </is>
      </c>
      <c r="B640" s="1" t="n">
        <v>44580</v>
      </c>
      <c r="C640" s="1" t="n">
        <v>46030</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4438-2023</t>
        </is>
      </c>
      <c r="B641" s="1" t="n">
        <v>44956</v>
      </c>
      <c r="C641" s="1" t="n">
        <v>46030</v>
      </c>
      <c r="D641" t="inlineStr">
        <is>
          <t>STOCKHOLMS LÄN</t>
        </is>
      </c>
      <c r="E641" t="inlineStr">
        <is>
          <t>NORRTÄLJE</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39610-2025</t>
        </is>
      </c>
      <c r="B642" s="1" t="n">
        <v>45890.56001157407</v>
      </c>
      <c r="C642" s="1" t="n">
        <v>46030</v>
      </c>
      <c r="D642" t="inlineStr">
        <is>
          <t>STOCKHOLMS LÄN</t>
        </is>
      </c>
      <c r="E642" t="inlineStr">
        <is>
          <t>NORRTÄLJE</t>
        </is>
      </c>
      <c r="G642" t="n">
        <v>28.6</v>
      </c>
      <c r="H642" t="n">
        <v>0</v>
      </c>
      <c r="I642" t="n">
        <v>0</v>
      </c>
      <c r="J642" t="n">
        <v>0</v>
      </c>
      <c r="K642" t="n">
        <v>0</v>
      </c>
      <c r="L642" t="n">
        <v>0</v>
      </c>
      <c r="M642" t="n">
        <v>0</v>
      </c>
      <c r="N642" t="n">
        <v>0</v>
      </c>
      <c r="O642" t="n">
        <v>0</v>
      </c>
      <c r="P642" t="n">
        <v>0</v>
      </c>
      <c r="Q642" t="n">
        <v>0</v>
      </c>
      <c r="R642" s="2" t="inlineStr"/>
    </row>
    <row r="643" ht="15" customHeight="1">
      <c r="A643" t="inlineStr">
        <is>
          <t>A 47758-2023</t>
        </is>
      </c>
      <c r="B643" s="1" t="n">
        <v>45203.83891203703</v>
      </c>
      <c r="C643" s="1" t="n">
        <v>46030</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51061-2023</t>
        </is>
      </c>
      <c r="B644" s="1" t="n">
        <v>45218.65849537037</v>
      </c>
      <c r="C644" s="1" t="n">
        <v>46030</v>
      </c>
      <c r="D644" t="inlineStr">
        <is>
          <t>STOCKHOLMS LÄN</t>
        </is>
      </c>
      <c r="E644" t="inlineStr">
        <is>
          <t>NORRTÄLJE</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22697-2022</t>
        </is>
      </c>
      <c r="B645" s="1" t="n">
        <v>44714.56040509259</v>
      </c>
      <c r="C645" s="1" t="n">
        <v>46030</v>
      </c>
      <c r="D645" t="inlineStr">
        <is>
          <t>STOCKHOLMS LÄN</t>
        </is>
      </c>
      <c r="E645" t="inlineStr">
        <is>
          <t>NORRTÄLJE</t>
        </is>
      </c>
      <c r="G645" t="n">
        <v>5.6</v>
      </c>
      <c r="H645" t="n">
        <v>0</v>
      </c>
      <c r="I645" t="n">
        <v>0</v>
      </c>
      <c r="J645" t="n">
        <v>0</v>
      </c>
      <c r="K645" t="n">
        <v>0</v>
      </c>
      <c r="L645" t="n">
        <v>0</v>
      </c>
      <c r="M645" t="n">
        <v>0</v>
      </c>
      <c r="N645" t="n">
        <v>0</v>
      </c>
      <c r="O645" t="n">
        <v>0</v>
      </c>
      <c r="P645" t="n">
        <v>0</v>
      </c>
      <c r="Q645" t="n">
        <v>0</v>
      </c>
      <c r="R645" s="2" t="inlineStr"/>
    </row>
    <row r="646" ht="15" customHeight="1">
      <c r="A646" t="inlineStr">
        <is>
          <t>A 50097-2025</t>
        </is>
      </c>
      <c r="B646" s="1" t="n">
        <v>45943.50207175926</v>
      </c>
      <c r="C646" s="1" t="n">
        <v>46030</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35110-2025</t>
        </is>
      </c>
      <c r="B647" s="1" t="n">
        <v>45852.58030092593</v>
      </c>
      <c r="C647" s="1" t="n">
        <v>46030</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49836-2025</t>
        </is>
      </c>
      <c r="B648" s="1" t="n">
        <v>45940.46862268518</v>
      </c>
      <c r="C648" s="1" t="n">
        <v>46030</v>
      </c>
      <c r="D648" t="inlineStr">
        <is>
          <t>STOCKHOLMS LÄN</t>
        </is>
      </c>
      <c r="E648" t="inlineStr">
        <is>
          <t>NORRTÄLJE</t>
        </is>
      </c>
      <c r="G648" t="n">
        <v>3.5</v>
      </c>
      <c r="H648" t="n">
        <v>0</v>
      </c>
      <c r="I648" t="n">
        <v>0</v>
      </c>
      <c r="J648" t="n">
        <v>0</v>
      </c>
      <c r="K648" t="n">
        <v>0</v>
      </c>
      <c r="L648" t="n">
        <v>0</v>
      </c>
      <c r="M648" t="n">
        <v>0</v>
      </c>
      <c r="N648" t="n">
        <v>0</v>
      </c>
      <c r="O648" t="n">
        <v>0</v>
      </c>
      <c r="P648" t="n">
        <v>0</v>
      </c>
      <c r="Q648" t="n">
        <v>0</v>
      </c>
      <c r="R648" s="2" t="inlineStr"/>
    </row>
    <row r="649" ht="15" customHeight="1">
      <c r="A649" t="inlineStr">
        <is>
          <t>A 45549-2022</t>
        </is>
      </c>
      <c r="B649" s="1" t="n">
        <v>44845.48064814815</v>
      </c>
      <c r="C649" s="1" t="n">
        <v>46030</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54396-2021</t>
        </is>
      </c>
      <c r="B650" s="1" t="n">
        <v>44472</v>
      </c>
      <c r="C650" s="1" t="n">
        <v>46030</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35254-2025</t>
        </is>
      </c>
      <c r="B651" s="1" t="n">
        <v>45853</v>
      </c>
      <c r="C651" s="1" t="n">
        <v>46030</v>
      </c>
      <c r="D651" t="inlineStr">
        <is>
          <t>STOCKHOLMS LÄN</t>
        </is>
      </c>
      <c r="E651" t="inlineStr">
        <is>
          <t>NORRTÄLJE</t>
        </is>
      </c>
      <c r="G651" t="n">
        <v>6.5</v>
      </c>
      <c r="H651" t="n">
        <v>0</v>
      </c>
      <c r="I651" t="n">
        <v>0</v>
      </c>
      <c r="J651" t="n">
        <v>0</v>
      </c>
      <c r="K651" t="n">
        <v>0</v>
      </c>
      <c r="L651" t="n">
        <v>0</v>
      </c>
      <c r="M651" t="n">
        <v>0</v>
      </c>
      <c r="N651" t="n">
        <v>0</v>
      </c>
      <c r="O651" t="n">
        <v>0</v>
      </c>
      <c r="P651" t="n">
        <v>0</v>
      </c>
      <c r="Q651" t="n">
        <v>0</v>
      </c>
      <c r="R651" s="2" t="inlineStr"/>
    </row>
    <row r="652" ht="15" customHeight="1">
      <c r="A652" t="inlineStr">
        <is>
          <t>A 24727-2023</t>
        </is>
      </c>
      <c r="B652" s="1" t="n">
        <v>45084.57695601852</v>
      </c>
      <c r="C652" s="1" t="n">
        <v>46030</v>
      </c>
      <c r="D652" t="inlineStr">
        <is>
          <t>STOCKHOLMS LÄN</t>
        </is>
      </c>
      <c r="E652" t="inlineStr">
        <is>
          <t>NORRTÄLJE</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48722-2023</t>
        </is>
      </c>
      <c r="B653" s="1" t="n">
        <v>45208.70996527778</v>
      </c>
      <c r="C653" s="1" t="n">
        <v>46030</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35235-2024</t>
        </is>
      </c>
      <c r="B654" s="1" t="n">
        <v>45530</v>
      </c>
      <c r="C654" s="1" t="n">
        <v>46030</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35479-2025</t>
        </is>
      </c>
      <c r="B655" s="1" t="n">
        <v>45855.69387731481</v>
      </c>
      <c r="C655" s="1" t="n">
        <v>46030</v>
      </c>
      <c r="D655" t="inlineStr">
        <is>
          <t>STOCKHOLMS LÄN</t>
        </is>
      </c>
      <c r="E655" t="inlineStr">
        <is>
          <t>NORRTÄLJE</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35451-2025</t>
        </is>
      </c>
      <c r="B656" s="1" t="n">
        <v>45855.57033564815</v>
      </c>
      <c r="C656" s="1" t="n">
        <v>46030</v>
      </c>
      <c r="D656" t="inlineStr">
        <is>
          <t>STOCKHOLMS LÄN</t>
        </is>
      </c>
      <c r="E656" t="inlineStr">
        <is>
          <t>NORRTÄLJE</t>
        </is>
      </c>
      <c r="F656" t="inlineStr">
        <is>
          <t>Holmen skog AB</t>
        </is>
      </c>
      <c r="G656" t="n">
        <v>7.4</v>
      </c>
      <c r="H656" t="n">
        <v>0</v>
      </c>
      <c r="I656" t="n">
        <v>0</v>
      </c>
      <c r="J656" t="n">
        <v>0</v>
      </c>
      <c r="K656" t="n">
        <v>0</v>
      </c>
      <c r="L656" t="n">
        <v>0</v>
      </c>
      <c r="M656" t="n">
        <v>0</v>
      </c>
      <c r="N656" t="n">
        <v>0</v>
      </c>
      <c r="O656" t="n">
        <v>0</v>
      </c>
      <c r="P656" t="n">
        <v>0</v>
      </c>
      <c r="Q656" t="n">
        <v>0</v>
      </c>
      <c r="R656" s="2" t="inlineStr"/>
    </row>
    <row r="657" ht="15" customHeight="1">
      <c r="A657" t="inlineStr">
        <is>
          <t>A 35478-2025</t>
        </is>
      </c>
      <c r="B657" s="1" t="n">
        <v>45855.68413194444</v>
      </c>
      <c r="C657" s="1" t="n">
        <v>46030</v>
      </c>
      <c r="D657" t="inlineStr">
        <is>
          <t>STOCKHOLMS LÄN</t>
        </is>
      </c>
      <c r="E657" t="inlineStr">
        <is>
          <t>NORRTÄLJE</t>
        </is>
      </c>
      <c r="F657" t="inlineStr">
        <is>
          <t>Holmen skog AB</t>
        </is>
      </c>
      <c r="G657" t="n">
        <v>2.7</v>
      </c>
      <c r="H657" t="n">
        <v>0</v>
      </c>
      <c r="I657" t="n">
        <v>0</v>
      </c>
      <c r="J657" t="n">
        <v>0</v>
      </c>
      <c r="K657" t="n">
        <v>0</v>
      </c>
      <c r="L657" t="n">
        <v>0</v>
      </c>
      <c r="M657" t="n">
        <v>0</v>
      </c>
      <c r="N657" t="n">
        <v>0</v>
      </c>
      <c r="O657" t="n">
        <v>0</v>
      </c>
      <c r="P657" t="n">
        <v>0</v>
      </c>
      <c r="Q657" t="n">
        <v>0</v>
      </c>
      <c r="R657" s="2" t="inlineStr"/>
    </row>
    <row r="658" ht="15" customHeight="1">
      <c r="A658" t="inlineStr">
        <is>
          <t>A 50327-2025</t>
        </is>
      </c>
      <c r="B658" s="1" t="n">
        <v>45944.46387731482</v>
      </c>
      <c r="C658" s="1" t="n">
        <v>46030</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1448-2023</t>
        </is>
      </c>
      <c r="B659" s="1" t="n">
        <v>44937</v>
      </c>
      <c r="C659" s="1" t="n">
        <v>46030</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50563-2025</t>
        </is>
      </c>
      <c r="B660" s="1" t="n">
        <v>45944</v>
      </c>
      <c r="C660" s="1" t="n">
        <v>46030</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50333-2025</t>
        </is>
      </c>
      <c r="B661" s="1" t="n">
        <v>45944.47178240741</v>
      </c>
      <c r="C661" s="1" t="n">
        <v>46030</v>
      </c>
      <c r="D661" t="inlineStr">
        <is>
          <t>STOCKHOLMS LÄN</t>
        </is>
      </c>
      <c r="E661" t="inlineStr">
        <is>
          <t>NORRTÄLJE</t>
        </is>
      </c>
      <c r="G661" t="n">
        <v>4.2</v>
      </c>
      <c r="H661" t="n">
        <v>0</v>
      </c>
      <c r="I661" t="n">
        <v>0</v>
      </c>
      <c r="J661" t="n">
        <v>0</v>
      </c>
      <c r="K661" t="n">
        <v>0</v>
      </c>
      <c r="L661" t="n">
        <v>0</v>
      </c>
      <c r="M661" t="n">
        <v>0</v>
      </c>
      <c r="N661" t="n">
        <v>0</v>
      </c>
      <c r="O661" t="n">
        <v>0</v>
      </c>
      <c r="P661" t="n">
        <v>0</v>
      </c>
      <c r="Q661" t="n">
        <v>0</v>
      </c>
      <c r="R661" s="2" t="inlineStr"/>
    </row>
    <row r="662" ht="15" customHeight="1">
      <c r="A662" t="inlineStr">
        <is>
          <t>A 8736-2024</t>
        </is>
      </c>
      <c r="B662" s="1" t="n">
        <v>45356.4722800926</v>
      </c>
      <c r="C662" s="1" t="n">
        <v>46030</v>
      </c>
      <c r="D662" t="inlineStr">
        <is>
          <t>STOCKHOLMS LÄN</t>
        </is>
      </c>
      <c r="E662" t="inlineStr">
        <is>
          <t>NORRTÄLJE</t>
        </is>
      </c>
      <c r="G662" t="n">
        <v>8.9</v>
      </c>
      <c r="H662" t="n">
        <v>0</v>
      </c>
      <c r="I662" t="n">
        <v>0</v>
      </c>
      <c r="J662" t="n">
        <v>0</v>
      </c>
      <c r="K662" t="n">
        <v>0</v>
      </c>
      <c r="L662" t="n">
        <v>0</v>
      </c>
      <c r="M662" t="n">
        <v>0</v>
      </c>
      <c r="N662" t="n">
        <v>0</v>
      </c>
      <c r="O662" t="n">
        <v>0</v>
      </c>
      <c r="P662" t="n">
        <v>0</v>
      </c>
      <c r="Q662" t="n">
        <v>0</v>
      </c>
      <c r="R662" s="2" t="inlineStr"/>
    </row>
    <row r="663" ht="15" customHeight="1">
      <c r="A663" t="inlineStr">
        <is>
          <t>A 33149-2022</t>
        </is>
      </c>
      <c r="B663" s="1" t="n">
        <v>44785</v>
      </c>
      <c r="C663" s="1" t="n">
        <v>46030</v>
      </c>
      <c r="D663" t="inlineStr">
        <is>
          <t>STOCKHOLMS LÄN</t>
        </is>
      </c>
      <c r="E663" t="inlineStr">
        <is>
          <t>NORRTÄLJE</t>
        </is>
      </c>
      <c r="F663" t="inlineStr">
        <is>
          <t>Holmen skog AB</t>
        </is>
      </c>
      <c r="G663" t="n">
        <v>4.4</v>
      </c>
      <c r="H663" t="n">
        <v>0</v>
      </c>
      <c r="I663" t="n">
        <v>0</v>
      </c>
      <c r="J663" t="n">
        <v>0</v>
      </c>
      <c r="K663" t="n">
        <v>0</v>
      </c>
      <c r="L663" t="n">
        <v>0</v>
      </c>
      <c r="M663" t="n">
        <v>0</v>
      </c>
      <c r="N663" t="n">
        <v>0</v>
      </c>
      <c r="O663" t="n">
        <v>0</v>
      </c>
      <c r="P663" t="n">
        <v>0</v>
      </c>
      <c r="Q663" t="n">
        <v>0</v>
      </c>
      <c r="R663" s="2" t="inlineStr"/>
    </row>
    <row r="664" ht="15" customHeight="1">
      <c r="A664" t="inlineStr">
        <is>
          <t>A 51122-2025</t>
        </is>
      </c>
      <c r="B664" s="1" t="n">
        <v>45947.53693287037</v>
      </c>
      <c r="C664" s="1" t="n">
        <v>46030</v>
      </c>
      <c r="D664" t="inlineStr">
        <is>
          <t>STOCKHOLMS LÄN</t>
        </is>
      </c>
      <c r="E664" t="inlineStr">
        <is>
          <t>NORRTÄLJE</t>
        </is>
      </c>
      <c r="G664" t="n">
        <v>3.8</v>
      </c>
      <c r="H664" t="n">
        <v>0</v>
      </c>
      <c r="I664" t="n">
        <v>0</v>
      </c>
      <c r="J664" t="n">
        <v>0</v>
      </c>
      <c r="K664" t="n">
        <v>0</v>
      </c>
      <c r="L664" t="n">
        <v>0</v>
      </c>
      <c r="M664" t="n">
        <v>0</v>
      </c>
      <c r="N664" t="n">
        <v>0</v>
      </c>
      <c r="O664" t="n">
        <v>0</v>
      </c>
      <c r="P664" t="n">
        <v>0</v>
      </c>
      <c r="Q664" t="n">
        <v>0</v>
      </c>
      <c r="R664" s="2" t="inlineStr"/>
    </row>
    <row r="665" ht="15" customHeight="1">
      <c r="A665" t="inlineStr">
        <is>
          <t>A 51233-2025</t>
        </is>
      </c>
      <c r="B665" s="1" t="n">
        <v>45947.68232638889</v>
      </c>
      <c r="C665" s="1" t="n">
        <v>46030</v>
      </c>
      <c r="D665" t="inlineStr">
        <is>
          <t>STOCKHOLMS LÄN</t>
        </is>
      </c>
      <c r="E665" t="inlineStr">
        <is>
          <t>NORRTÄLJE</t>
        </is>
      </c>
      <c r="F665" t="inlineStr">
        <is>
          <t>Naturvårdsverket</t>
        </is>
      </c>
      <c r="G665" t="n">
        <v>8.1</v>
      </c>
      <c r="H665" t="n">
        <v>0</v>
      </c>
      <c r="I665" t="n">
        <v>0</v>
      </c>
      <c r="J665" t="n">
        <v>0</v>
      </c>
      <c r="K665" t="n">
        <v>0</v>
      </c>
      <c r="L665" t="n">
        <v>0</v>
      </c>
      <c r="M665" t="n">
        <v>0</v>
      </c>
      <c r="N665" t="n">
        <v>0</v>
      </c>
      <c r="O665" t="n">
        <v>0</v>
      </c>
      <c r="P665" t="n">
        <v>0</v>
      </c>
      <c r="Q665" t="n">
        <v>0</v>
      </c>
      <c r="R665" s="2" t="inlineStr"/>
    </row>
    <row r="666" ht="15" customHeight="1">
      <c r="A666" t="inlineStr">
        <is>
          <t>A 51236-2025</t>
        </is>
      </c>
      <c r="B666" s="1" t="n">
        <v>45947.69078703703</v>
      </c>
      <c r="C666" s="1" t="n">
        <v>46030</v>
      </c>
      <c r="D666" t="inlineStr">
        <is>
          <t>STOCKHOLMS LÄN</t>
        </is>
      </c>
      <c r="E666" t="inlineStr">
        <is>
          <t>NORRTÄLJE</t>
        </is>
      </c>
      <c r="F666" t="inlineStr">
        <is>
          <t>Naturvårdsverket</t>
        </is>
      </c>
      <c r="G666" t="n">
        <v>6.3</v>
      </c>
      <c r="H666" t="n">
        <v>0</v>
      </c>
      <c r="I666" t="n">
        <v>0</v>
      </c>
      <c r="J666" t="n">
        <v>0</v>
      </c>
      <c r="K666" t="n">
        <v>0</v>
      </c>
      <c r="L666" t="n">
        <v>0</v>
      </c>
      <c r="M666" t="n">
        <v>0</v>
      </c>
      <c r="N666" t="n">
        <v>0</v>
      </c>
      <c r="O666" t="n">
        <v>0</v>
      </c>
      <c r="P666" t="n">
        <v>0</v>
      </c>
      <c r="Q666" t="n">
        <v>0</v>
      </c>
      <c r="R666" s="2" t="inlineStr"/>
    </row>
    <row r="667" ht="15" customHeight="1">
      <c r="A667" t="inlineStr">
        <is>
          <t>A 51241-2025</t>
        </is>
      </c>
      <c r="B667" s="1" t="n">
        <v>45947.71726851852</v>
      </c>
      <c r="C667" s="1" t="n">
        <v>46030</v>
      </c>
      <c r="D667" t="inlineStr">
        <is>
          <t>STOCKHOLMS LÄN</t>
        </is>
      </c>
      <c r="E667" t="inlineStr">
        <is>
          <t>NORRTÄLJE</t>
        </is>
      </c>
      <c r="F667" t="inlineStr">
        <is>
          <t>Naturvårdsverket</t>
        </is>
      </c>
      <c r="G667" t="n">
        <v>6.4</v>
      </c>
      <c r="H667" t="n">
        <v>0</v>
      </c>
      <c r="I667" t="n">
        <v>0</v>
      </c>
      <c r="J667" t="n">
        <v>0</v>
      </c>
      <c r="K667" t="n">
        <v>0</v>
      </c>
      <c r="L667" t="n">
        <v>0</v>
      </c>
      <c r="M667" t="n">
        <v>0</v>
      </c>
      <c r="N667" t="n">
        <v>0</v>
      </c>
      <c r="O667" t="n">
        <v>0</v>
      </c>
      <c r="P667" t="n">
        <v>0</v>
      </c>
      <c r="Q667" t="n">
        <v>0</v>
      </c>
      <c r="R667" s="2" t="inlineStr"/>
    </row>
    <row r="668" ht="15" customHeight="1">
      <c r="A668" t="inlineStr">
        <is>
          <t>A 51240-2025</t>
        </is>
      </c>
      <c r="B668" s="1" t="n">
        <v>45947.70420138889</v>
      </c>
      <c r="C668" s="1" t="n">
        <v>46030</v>
      </c>
      <c r="D668" t="inlineStr">
        <is>
          <t>STOCKHOLMS LÄN</t>
        </is>
      </c>
      <c r="E668" t="inlineStr">
        <is>
          <t>NORRTÄLJE</t>
        </is>
      </c>
      <c r="F668" t="inlineStr">
        <is>
          <t>Naturvårdsverket</t>
        </is>
      </c>
      <c r="G668" t="n">
        <v>3</v>
      </c>
      <c r="H668" t="n">
        <v>0</v>
      </c>
      <c r="I668" t="n">
        <v>0</v>
      </c>
      <c r="J668" t="n">
        <v>0</v>
      </c>
      <c r="K668" t="n">
        <v>0</v>
      </c>
      <c r="L668" t="n">
        <v>0</v>
      </c>
      <c r="M668" t="n">
        <v>0</v>
      </c>
      <c r="N668" t="n">
        <v>0</v>
      </c>
      <c r="O668" t="n">
        <v>0</v>
      </c>
      <c r="P668" t="n">
        <v>0</v>
      </c>
      <c r="Q668" t="n">
        <v>0</v>
      </c>
      <c r="R668" s="2" t="inlineStr"/>
    </row>
    <row r="669" ht="15" customHeight="1">
      <c r="A669" t="inlineStr">
        <is>
          <t>A 51121-2025</t>
        </is>
      </c>
      <c r="B669" s="1" t="n">
        <v>45947.53293981482</v>
      </c>
      <c r="C669" s="1" t="n">
        <v>46030</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34444-2024</t>
        </is>
      </c>
      <c r="B670" s="1" t="n">
        <v>45525</v>
      </c>
      <c r="C670" s="1" t="n">
        <v>46030</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59477-2025</t>
        </is>
      </c>
      <c r="B671" s="1" t="n">
        <v>45989.58679398148</v>
      </c>
      <c r="C671" s="1" t="n">
        <v>46030</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20698-2025</t>
        </is>
      </c>
      <c r="B672" s="1" t="n">
        <v>45776.47122685185</v>
      </c>
      <c r="C672" s="1" t="n">
        <v>46030</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124-2026</t>
        </is>
      </c>
      <c r="B673" s="1" t="n">
        <v>46024.58378472222</v>
      </c>
      <c r="C673" s="1" t="n">
        <v>46030</v>
      </c>
      <c r="D673" t="inlineStr">
        <is>
          <t>STOCKHOLMS LÄN</t>
        </is>
      </c>
      <c r="E673" t="inlineStr">
        <is>
          <t>NORRTÄLJE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6537-2024</t>
        </is>
      </c>
      <c r="B674" s="1" t="n">
        <v>45341.39853009259</v>
      </c>
      <c r="C674" s="1" t="n">
        <v>46030</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40175-2024</t>
        </is>
      </c>
      <c r="B675" s="1" t="n">
        <v>45554.55707175926</v>
      </c>
      <c r="C675" s="1" t="n">
        <v>46030</v>
      </c>
      <c r="D675" t="inlineStr">
        <is>
          <t>STOCKHOLMS LÄN</t>
        </is>
      </c>
      <c r="E675" t="inlineStr">
        <is>
          <t>NORRTÄLJE</t>
        </is>
      </c>
      <c r="G675" t="n">
        <v>7.7</v>
      </c>
      <c r="H675" t="n">
        <v>0</v>
      </c>
      <c r="I675" t="n">
        <v>0</v>
      </c>
      <c r="J675" t="n">
        <v>0</v>
      </c>
      <c r="K675" t="n">
        <v>0</v>
      </c>
      <c r="L675" t="n">
        <v>0</v>
      </c>
      <c r="M675" t="n">
        <v>0</v>
      </c>
      <c r="N675" t="n">
        <v>0</v>
      </c>
      <c r="O675" t="n">
        <v>0</v>
      </c>
      <c r="P675" t="n">
        <v>0</v>
      </c>
      <c r="Q675" t="n">
        <v>0</v>
      </c>
      <c r="R675" s="2" t="inlineStr"/>
    </row>
    <row r="676" ht="15" customHeight="1">
      <c r="A676" t="inlineStr">
        <is>
          <t>A 54558-2024</t>
        </is>
      </c>
      <c r="B676" s="1" t="n">
        <v>45617.62358796296</v>
      </c>
      <c r="C676" s="1" t="n">
        <v>46030</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22232-2024</t>
        </is>
      </c>
      <c r="B677" s="1" t="n">
        <v>45446.4287962963</v>
      </c>
      <c r="C677" s="1" t="n">
        <v>46030</v>
      </c>
      <c r="D677" t="inlineStr">
        <is>
          <t>STOCKHOLMS LÄN</t>
        </is>
      </c>
      <c r="E677" t="inlineStr">
        <is>
          <t>NORRTÄLJE</t>
        </is>
      </c>
      <c r="G677" t="n">
        <v>12.8</v>
      </c>
      <c r="H677" t="n">
        <v>0</v>
      </c>
      <c r="I677" t="n">
        <v>0</v>
      </c>
      <c r="J677" t="n">
        <v>0</v>
      </c>
      <c r="K677" t="n">
        <v>0</v>
      </c>
      <c r="L677" t="n">
        <v>0</v>
      </c>
      <c r="M677" t="n">
        <v>0</v>
      </c>
      <c r="N677" t="n">
        <v>0</v>
      </c>
      <c r="O677" t="n">
        <v>0</v>
      </c>
      <c r="P677" t="n">
        <v>0</v>
      </c>
      <c r="Q677" t="n">
        <v>0</v>
      </c>
      <c r="R677" s="2" t="inlineStr"/>
    </row>
    <row r="678" ht="15" customHeight="1">
      <c r="A678" t="inlineStr">
        <is>
          <t>A 51532-2025</t>
        </is>
      </c>
      <c r="B678" s="1" t="n">
        <v>45950.68297453703</v>
      </c>
      <c r="C678" s="1" t="n">
        <v>46030</v>
      </c>
      <c r="D678" t="inlineStr">
        <is>
          <t>STOCKHOLMS LÄN</t>
        </is>
      </c>
      <c r="E678" t="inlineStr">
        <is>
          <t>NORRTÄLJE</t>
        </is>
      </c>
      <c r="F678" t="inlineStr">
        <is>
          <t>Naturvårdsverket</t>
        </is>
      </c>
      <c r="G678" t="n">
        <v>17.3</v>
      </c>
      <c r="H678" t="n">
        <v>0</v>
      </c>
      <c r="I678" t="n">
        <v>0</v>
      </c>
      <c r="J678" t="n">
        <v>0</v>
      </c>
      <c r="K678" t="n">
        <v>0</v>
      </c>
      <c r="L678" t="n">
        <v>0</v>
      </c>
      <c r="M678" t="n">
        <v>0</v>
      </c>
      <c r="N678" t="n">
        <v>0</v>
      </c>
      <c r="O678" t="n">
        <v>0</v>
      </c>
      <c r="P678" t="n">
        <v>0</v>
      </c>
      <c r="Q678" t="n">
        <v>0</v>
      </c>
      <c r="R678" s="2" t="inlineStr"/>
    </row>
    <row r="679" ht="15" customHeight="1">
      <c r="A679" t="inlineStr">
        <is>
          <t>A 51789-2025</t>
        </is>
      </c>
      <c r="B679" s="1" t="n">
        <v>45951.68046296296</v>
      </c>
      <c r="C679" s="1" t="n">
        <v>46030</v>
      </c>
      <c r="D679" t="inlineStr">
        <is>
          <t>STOCKHOLMS LÄN</t>
        </is>
      </c>
      <c r="E679" t="inlineStr">
        <is>
          <t>NORRTÄLJE</t>
        </is>
      </c>
      <c r="F679" t="inlineStr">
        <is>
          <t>Naturvårdsverket</t>
        </is>
      </c>
      <c r="G679" t="n">
        <v>8.9</v>
      </c>
      <c r="H679" t="n">
        <v>0</v>
      </c>
      <c r="I679" t="n">
        <v>0</v>
      </c>
      <c r="J679" t="n">
        <v>0</v>
      </c>
      <c r="K679" t="n">
        <v>0</v>
      </c>
      <c r="L679" t="n">
        <v>0</v>
      </c>
      <c r="M679" t="n">
        <v>0</v>
      </c>
      <c r="N679" t="n">
        <v>0</v>
      </c>
      <c r="O679" t="n">
        <v>0</v>
      </c>
      <c r="P679" t="n">
        <v>0</v>
      </c>
      <c r="Q679" t="n">
        <v>0</v>
      </c>
      <c r="R679" s="2" t="inlineStr"/>
    </row>
    <row r="680" ht="15" customHeight="1">
      <c r="A680" t="inlineStr">
        <is>
          <t>A 59907-2025</t>
        </is>
      </c>
      <c r="B680" s="1" t="n">
        <v>45993.35350694445</v>
      </c>
      <c r="C680" s="1" t="n">
        <v>46030</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59914-2025</t>
        </is>
      </c>
      <c r="B681" s="1" t="n">
        <v>45993.37056712963</v>
      </c>
      <c r="C681" s="1" t="n">
        <v>46030</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23056-2023</t>
        </is>
      </c>
      <c r="B682" s="1" t="n">
        <v>45075</v>
      </c>
      <c r="C682" s="1" t="n">
        <v>46030</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36396-2025</t>
        </is>
      </c>
      <c r="B683" s="1" t="n">
        <v>45868.62267361111</v>
      </c>
      <c r="C683" s="1" t="n">
        <v>46030</v>
      </c>
      <c r="D683" t="inlineStr">
        <is>
          <t>STOCKHOLMS LÄN</t>
        </is>
      </c>
      <c r="E683" t="inlineStr">
        <is>
          <t>NORRTÄLJE</t>
        </is>
      </c>
      <c r="G683" t="n">
        <v>4.1</v>
      </c>
      <c r="H683" t="n">
        <v>0</v>
      </c>
      <c r="I683" t="n">
        <v>0</v>
      </c>
      <c r="J683" t="n">
        <v>0</v>
      </c>
      <c r="K683" t="n">
        <v>0</v>
      </c>
      <c r="L683" t="n">
        <v>0</v>
      </c>
      <c r="M683" t="n">
        <v>0</v>
      </c>
      <c r="N683" t="n">
        <v>0</v>
      </c>
      <c r="O683" t="n">
        <v>0</v>
      </c>
      <c r="P683" t="n">
        <v>0</v>
      </c>
      <c r="Q683" t="n">
        <v>0</v>
      </c>
      <c r="R683" s="2" t="inlineStr"/>
    </row>
    <row r="684" ht="15" customHeight="1">
      <c r="A684" t="inlineStr">
        <is>
          <t>A 58939-2025</t>
        </is>
      </c>
      <c r="B684" s="1" t="n">
        <v>45987.5681712963</v>
      </c>
      <c r="C684" s="1" t="n">
        <v>46030</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47431-2023</t>
        </is>
      </c>
      <c r="B685" s="1" t="n">
        <v>45202</v>
      </c>
      <c r="C685" s="1" t="n">
        <v>46030</v>
      </c>
      <c r="D685" t="inlineStr">
        <is>
          <t>STOCKHOLMS LÄN</t>
        </is>
      </c>
      <c r="E685" t="inlineStr">
        <is>
          <t>NORRTÄLJE</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59499-2023</t>
        </is>
      </c>
      <c r="B686" s="1" t="n">
        <v>45254</v>
      </c>
      <c r="C686" s="1" t="n">
        <v>46030</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59468-2023</t>
        </is>
      </c>
      <c r="B687" s="1" t="n">
        <v>45254.41509259259</v>
      </c>
      <c r="C687" s="1" t="n">
        <v>46030</v>
      </c>
      <c r="D687" t="inlineStr">
        <is>
          <t>STOCKHOLMS LÄN</t>
        </is>
      </c>
      <c r="E687" t="inlineStr">
        <is>
          <t>NORRTÄLJE</t>
        </is>
      </c>
      <c r="G687" t="n">
        <v>1.7</v>
      </c>
      <c r="H687" t="n">
        <v>0</v>
      </c>
      <c r="I687" t="n">
        <v>0</v>
      </c>
      <c r="J687" t="n">
        <v>0</v>
      </c>
      <c r="K687" t="n">
        <v>0</v>
      </c>
      <c r="L687" t="n">
        <v>0</v>
      </c>
      <c r="M687" t="n">
        <v>0</v>
      </c>
      <c r="N687" t="n">
        <v>0</v>
      </c>
      <c r="O687" t="n">
        <v>0</v>
      </c>
      <c r="P687" t="n">
        <v>0</v>
      </c>
      <c r="Q687" t="n">
        <v>0</v>
      </c>
      <c r="R687" s="2" t="inlineStr"/>
    </row>
    <row r="688" ht="15" customHeight="1">
      <c r="A688" t="inlineStr">
        <is>
          <t>A 59924-2025</t>
        </is>
      </c>
      <c r="B688" s="1" t="n">
        <v>45993.38928240741</v>
      </c>
      <c r="C688" s="1" t="n">
        <v>46030</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12532-2025</t>
        </is>
      </c>
      <c r="B689" s="1" t="n">
        <v>45730.69143518519</v>
      </c>
      <c r="C689" s="1" t="n">
        <v>46030</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5732-2023</t>
        </is>
      </c>
      <c r="B690" s="1" t="n">
        <v>44962</v>
      </c>
      <c r="C690" s="1" t="n">
        <v>46030</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10653-2022</t>
        </is>
      </c>
      <c r="B691" s="1" t="n">
        <v>44624.59434027778</v>
      </c>
      <c r="C691" s="1" t="n">
        <v>46030</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21729-2024</t>
        </is>
      </c>
      <c r="B692" s="1" t="n">
        <v>45442</v>
      </c>
      <c r="C692" s="1" t="n">
        <v>46030</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11854-2025</t>
        </is>
      </c>
      <c r="B693" s="1" t="n">
        <v>45728.38924768518</v>
      </c>
      <c r="C693" s="1" t="n">
        <v>46030</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14762-2024</t>
        </is>
      </c>
      <c r="B694" s="1" t="n">
        <v>45397</v>
      </c>
      <c r="C694" s="1" t="n">
        <v>46030</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59672-2025</t>
        </is>
      </c>
      <c r="B695" s="1" t="n">
        <v>45992.45884259259</v>
      </c>
      <c r="C695" s="1" t="n">
        <v>46030</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51960-2025</t>
        </is>
      </c>
      <c r="B696" s="1" t="n">
        <v>45952.54755787037</v>
      </c>
      <c r="C696" s="1" t="n">
        <v>46030</v>
      </c>
      <c r="D696" t="inlineStr">
        <is>
          <t>STOCKHOLMS LÄN</t>
        </is>
      </c>
      <c r="E696" t="inlineStr">
        <is>
          <t>NORRTÄLJE</t>
        </is>
      </c>
      <c r="G696" t="n">
        <v>2</v>
      </c>
      <c r="H696" t="n">
        <v>0</v>
      </c>
      <c r="I696" t="n">
        <v>0</v>
      </c>
      <c r="J696" t="n">
        <v>0</v>
      </c>
      <c r="K696" t="n">
        <v>0</v>
      </c>
      <c r="L696" t="n">
        <v>0</v>
      </c>
      <c r="M696" t="n">
        <v>0</v>
      </c>
      <c r="N696" t="n">
        <v>0</v>
      </c>
      <c r="O696" t="n">
        <v>0</v>
      </c>
      <c r="P696" t="n">
        <v>0</v>
      </c>
      <c r="Q696" t="n">
        <v>0</v>
      </c>
      <c r="R696" s="2" t="inlineStr"/>
    </row>
    <row r="697" ht="15" customHeight="1">
      <c r="A697" t="inlineStr">
        <is>
          <t>A 59712-2024</t>
        </is>
      </c>
      <c r="B697" s="1" t="n">
        <v>45639.45166666667</v>
      </c>
      <c r="C697" s="1" t="n">
        <v>46030</v>
      </c>
      <c r="D697" t="inlineStr">
        <is>
          <t>STOCKHOLMS LÄN</t>
        </is>
      </c>
      <c r="E697" t="inlineStr">
        <is>
          <t>NORRTÄLJE</t>
        </is>
      </c>
      <c r="G697" t="n">
        <v>4.4</v>
      </c>
      <c r="H697" t="n">
        <v>0</v>
      </c>
      <c r="I697" t="n">
        <v>0</v>
      </c>
      <c r="J697" t="n">
        <v>0</v>
      </c>
      <c r="K697" t="n">
        <v>0</v>
      </c>
      <c r="L697" t="n">
        <v>0</v>
      </c>
      <c r="M697" t="n">
        <v>0</v>
      </c>
      <c r="N697" t="n">
        <v>0</v>
      </c>
      <c r="O697" t="n">
        <v>0</v>
      </c>
      <c r="P697" t="n">
        <v>0</v>
      </c>
      <c r="Q697" t="n">
        <v>0</v>
      </c>
      <c r="R697" s="2" t="inlineStr"/>
    </row>
    <row r="698" ht="15" customHeight="1">
      <c r="A698" t="inlineStr">
        <is>
          <t>A 37261-2025</t>
        </is>
      </c>
      <c r="B698" s="1" t="n">
        <v>45876.45253472222</v>
      </c>
      <c r="C698" s="1" t="n">
        <v>46030</v>
      </c>
      <c r="D698" t="inlineStr">
        <is>
          <t>STOCKHOLMS LÄN</t>
        </is>
      </c>
      <c r="E698" t="inlineStr">
        <is>
          <t>NORRTÄLJE</t>
        </is>
      </c>
      <c r="F698" t="inlineStr">
        <is>
          <t>Kommuner</t>
        </is>
      </c>
      <c r="G698" t="n">
        <v>2.2</v>
      </c>
      <c r="H698" t="n">
        <v>0</v>
      </c>
      <c r="I698" t="n">
        <v>0</v>
      </c>
      <c r="J698" t="n">
        <v>0</v>
      </c>
      <c r="K698" t="n">
        <v>0</v>
      </c>
      <c r="L698" t="n">
        <v>0</v>
      </c>
      <c r="M698" t="n">
        <v>0</v>
      </c>
      <c r="N698" t="n">
        <v>0</v>
      </c>
      <c r="O698" t="n">
        <v>0</v>
      </c>
      <c r="P698" t="n">
        <v>0</v>
      </c>
      <c r="Q698" t="n">
        <v>0</v>
      </c>
      <c r="R698" s="2" t="inlineStr"/>
    </row>
    <row r="699" ht="15" customHeight="1">
      <c r="A699" t="inlineStr">
        <is>
          <t>A 60253-2025</t>
        </is>
      </c>
      <c r="B699" s="1" t="n">
        <v>45994.59827546297</v>
      </c>
      <c r="C699" s="1" t="n">
        <v>46030</v>
      </c>
      <c r="D699" t="inlineStr">
        <is>
          <t>STOCKHOLMS LÄN</t>
        </is>
      </c>
      <c r="E699" t="inlineStr">
        <is>
          <t>NORRTÄLJE</t>
        </is>
      </c>
      <c r="F699" t="inlineStr">
        <is>
          <t>Holmen skog AB</t>
        </is>
      </c>
      <c r="G699" t="n">
        <v>3.6</v>
      </c>
      <c r="H699" t="n">
        <v>0</v>
      </c>
      <c r="I699" t="n">
        <v>0</v>
      </c>
      <c r="J699" t="n">
        <v>0</v>
      </c>
      <c r="K699" t="n">
        <v>0</v>
      </c>
      <c r="L699" t="n">
        <v>0</v>
      </c>
      <c r="M699" t="n">
        <v>0</v>
      </c>
      <c r="N699" t="n">
        <v>0</v>
      </c>
      <c r="O699" t="n">
        <v>0</v>
      </c>
      <c r="P699" t="n">
        <v>0</v>
      </c>
      <c r="Q699" t="n">
        <v>0</v>
      </c>
      <c r="R699" s="2" t="inlineStr"/>
    </row>
    <row r="700" ht="15" customHeight="1">
      <c r="A700" t="inlineStr">
        <is>
          <t>A 35127-2023</t>
        </is>
      </c>
      <c r="B700" s="1" t="n">
        <v>45145.51</v>
      </c>
      <c r="C700" s="1" t="n">
        <v>46030</v>
      </c>
      <c r="D700" t="inlineStr">
        <is>
          <t>STOCKHOLMS LÄN</t>
        </is>
      </c>
      <c r="E700" t="inlineStr">
        <is>
          <t>NORRTÄLJE</t>
        </is>
      </c>
      <c r="G700" t="n">
        <v>4.7</v>
      </c>
      <c r="H700" t="n">
        <v>0</v>
      </c>
      <c r="I700" t="n">
        <v>0</v>
      </c>
      <c r="J700" t="n">
        <v>0</v>
      </c>
      <c r="K700" t="n">
        <v>0</v>
      </c>
      <c r="L700" t="n">
        <v>0</v>
      </c>
      <c r="M700" t="n">
        <v>0</v>
      </c>
      <c r="N700" t="n">
        <v>0</v>
      </c>
      <c r="O700" t="n">
        <v>0</v>
      </c>
      <c r="P700" t="n">
        <v>0</v>
      </c>
      <c r="Q700" t="n">
        <v>0</v>
      </c>
      <c r="R700" s="2" t="inlineStr"/>
    </row>
    <row r="701" ht="15" customHeight="1">
      <c r="A701" t="inlineStr">
        <is>
          <t>A 51941-2025</t>
        </is>
      </c>
      <c r="B701" s="1" t="n">
        <v>45952.52261574074</v>
      </c>
      <c r="C701" s="1" t="n">
        <v>46030</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60214-2025</t>
        </is>
      </c>
      <c r="B702" s="1" t="n">
        <v>45994.53761574074</v>
      </c>
      <c r="C702" s="1" t="n">
        <v>46030</v>
      </c>
      <c r="D702" t="inlineStr">
        <is>
          <t>STOCKHOLMS LÄN</t>
        </is>
      </c>
      <c r="E702" t="inlineStr">
        <is>
          <t>NORRTÄLJE</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52061-2025</t>
        </is>
      </c>
      <c r="B703" s="1" t="n">
        <v>45952.63679398148</v>
      </c>
      <c r="C703" s="1" t="n">
        <v>46030</v>
      </c>
      <c r="D703" t="inlineStr">
        <is>
          <t>STOCKHOLMS LÄN</t>
        </is>
      </c>
      <c r="E703" t="inlineStr">
        <is>
          <t>NORRTÄLJE</t>
        </is>
      </c>
      <c r="G703" t="n">
        <v>9.5</v>
      </c>
      <c r="H703" t="n">
        <v>0</v>
      </c>
      <c r="I703" t="n">
        <v>0</v>
      </c>
      <c r="J703" t="n">
        <v>0</v>
      </c>
      <c r="K703" t="n">
        <v>0</v>
      </c>
      <c r="L703" t="n">
        <v>0</v>
      </c>
      <c r="M703" t="n">
        <v>0</v>
      </c>
      <c r="N703" t="n">
        <v>0</v>
      </c>
      <c r="O703" t="n">
        <v>0</v>
      </c>
      <c r="P703" t="n">
        <v>0</v>
      </c>
      <c r="Q703" t="n">
        <v>0</v>
      </c>
      <c r="R703" s="2" t="inlineStr"/>
    </row>
    <row r="704" ht="15" customHeight="1">
      <c r="A704" t="inlineStr">
        <is>
          <t>A 45255-2022</t>
        </is>
      </c>
      <c r="B704" s="1" t="n">
        <v>44840</v>
      </c>
      <c r="C704" s="1" t="n">
        <v>46030</v>
      </c>
      <c r="D704" t="inlineStr">
        <is>
          <t>STOCKHOLMS LÄN</t>
        </is>
      </c>
      <c r="E704" t="inlineStr">
        <is>
          <t>NORRTÄLJE</t>
        </is>
      </c>
      <c r="G704" t="n">
        <v>4.1</v>
      </c>
      <c r="H704" t="n">
        <v>0</v>
      </c>
      <c r="I704" t="n">
        <v>0</v>
      </c>
      <c r="J704" t="n">
        <v>0</v>
      </c>
      <c r="K704" t="n">
        <v>0</v>
      </c>
      <c r="L704" t="n">
        <v>0</v>
      </c>
      <c r="M704" t="n">
        <v>0</v>
      </c>
      <c r="N704" t="n">
        <v>0</v>
      </c>
      <c r="O704" t="n">
        <v>0</v>
      </c>
      <c r="P704" t="n">
        <v>0</v>
      </c>
      <c r="Q704" t="n">
        <v>0</v>
      </c>
      <c r="R704" s="2" t="inlineStr"/>
    </row>
    <row r="705" ht="15" customHeight="1">
      <c r="A705" t="inlineStr">
        <is>
          <t>A 51945-2025</t>
        </is>
      </c>
      <c r="B705" s="1" t="n">
        <v>45952.52679398148</v>
      </c>
      <c r="C705" s="1" t="n">
        <v>46030</v>
      </c>
      <c r="D705" t="inlineStr">
        <is>
          <t>STOCKHOLMS LÄN</t>
        </is>
      </c>
      <c r="E705" t="inlineStr">
        <is>
          <t>NORRTÄLJE</t>
        </is>
      </c>
      <c r="G705" t="n">
        <v>7</v>
      </c>
      <c r="H705" t="n">
        <v>0</v>
      </c>
      <c r="I705" t="n">
        <v>0</v>
      </c>
      <c r="J705" t="n">
        <v>0</v>
      </c>
      <c r="K705" t="n">
        <v>0</v>
      </c>
      <c r="L705" t="n">
        <v>0</v>
      </c>
      <c r="M705" t="n">
        <v>0</v>
      </c>
      <c r="N705" t="n">
        <v>0</v>
      </c>
      <c r="O705" t="n">
        <v>0</v>
      </c>
      <c r="P705" t="n">
        <v>0</v>
      </c>
      <c r="Q705" t="n">
        <v>0</v>
      </c>
      <c r="R705" s="2" t="inlineStr"/>
    </row>
    <row r="706" ht="15" customHeight="1">
      <c r="A706" t="inlineStr">
        <is>
          <t>A 37628-2025</t>
        </is>
      </c>
      <c r="B706" s="1" t="n">
        <v>45880.46189814815</v>
      </c>
      <c r="C706" s="1" t="n">
        <v>46030</v>
      </c>
      <c r="D706" t="inlineStr">
        <is>
          <t>STOCKHOLMS LÄN</t>
        </is>
      </c>
      <c r="E706" t="inlineStr">
        <is>
          <t>NORRTÄLJE</t>
        </is>
      </c>
      <c r="F706" t="inlineStr">
        <is>
          <t>Sveaskog</t>
        </is>
      </c>
      <c r="G706" t="n">
        <v>2.6</v>
      </c>
      <c r="H706" t="n">
        <v>0</v>
      </c>
      <c r="I706" t="n">
        <v>0</v>
      </c>
      <c r="J706" t="n">
        <v>0</v>
      </c>
      <c r="K706" t="n">
        <v>0</v>
      </c>
      <c r="L706" t="n">
        <v>0</v>
      </c>
      <c r="M706" t="n">
        <v>0</v>
      </c>
      <c r="N706" t="n">
        <v>0</v>
      </c>
      <c r="O706" t="n">
        <v>0</v>
      </c>
      <c r="P706" t="n">
        <v>0</v>
      </c>
      <c r="Q706" t="n">
        <v>0</v>
      </c>
      <c r="R706" s="2" t="inlineStr"/>
    </row>
    <row r="707" ht="15" customHeight="1">
      <c r="A707" t="inlineStr">
        <is>
          <t>A 29369-2024</t>
        </is>
      </c>
      <c r="B707" s="1" t="n">
        <v>45483.57244212963</v>
      </c>
      <c r="C707" s="1" t="n">
        <v>46030</v>
      </c>
      <c r="D707" t="inlineStr">
        <is>
          <t>STOCKHOLMS LÄN</t>
        </is>
      </c>
      <c r="E707" t="inlineStr">
        <is>
          <t>NORRTÄLJE</t>
        </is>
      </c>
      <c r="G707" t="n">
        <v>15.9</v>
      </c>
      <c r="H707" t="n">
        <v>0</v>
      </c>
      <c r="I707" t="n">
        <v>0</v>
      </c>
      <c r="J707" t="n">
        <v>0</v>
      </c>
      <c r="K707" t="n">
        <v>0</v>
      </c>
      <c r="L707" t="n">
        <v>0</v>
      </c>
      <c r="M707" t="n">
        <v>0</v>
      </c>
      <c r="N707" t="n">
        <v>0</v>
      </c>
      <c r="O707" t="n">
        <v>0</v>
      </c>
      <c r="P707" t="n">
        <v>0</v>
      </c>
      <c r="Q707" t="n">
        <v>0</v>
      </c>
      <c r="R707" s="2" t="inlineStr"/>
    </row>
    <row r="708" ht="15" customHeight="1">
      <c r="A708" t="inlineStr">
        <is>
          <t>A 37632-2025</t>
        </is>
      </c>
      <c r="B708" s="1" t="n">
        <v>45880.46524305556</v>
      </c>
      <c r="C708" s="1" t="n">
        <v>46030</v>
      </c>
      <c r="D708" t="inlineStr">
        <is>
          <t>STOCKHOLMS LÄN</t>
        </is>
      </c>
      <c r="E708" t="inlineStr">
        <is>
          <t>NORRTÄLJE</t>
        </is>
      </c>
      <c r="F708" t="inlineStr">
        <is>
          <t>Sveaskog</t>
        </is>
      </c>
      <c r="G708" t="n">
        <v>6.4</v>
      </c>
      <c r="H708" t="n">
        <v>0</v>
      </c>
      <c r="I708" t="n">
        <v>0</v>
      </c>
      <c r="J708" t="n">
        <v>0</v>
      </c>
      <c r="K708" t="n">
        <v>0</v>
      </c>
      <c r="L708" t="n">
        <v>0</v>
      </c>
      <c r="M708" t="n">
        <v>0</v>
      </c>
      <c r="N708" t="n">
        <v>0</v>
      </c>
      <c r="O708" t="n">
        <v>0</v>
      </c>
      <c r="P708" t="n">
        <v>0</v>
      </c>
      <c r="Q708" t="n">
        <v>0</v>
      </c>
      <c r="R708" s="2" t="inlineStr"/>
    </row>
    <row r="709" ht="15" customHeight="1">
      <c r="A709" t="inlineStr">
        <is>
          <t>A 29841-2024</t>
        </is>
      </c>
      <c r="B709" s="1" t="n">
        <v>45485.60261574074</v>
      </c>
      <c r="C709" s="1" t="n">
        <v>46030</v>
      </c>
      <c r="D709" t="inlineStr">
        <is>
          <t>STOCKHOLMS LÄN</t>
        </is>
      </c>
      <c r="E709" t="inlineStr">
        <is>
          <t>NORRTÄLJE</t>
        </is>
      </c>
      <c r="G709" t="n">
        <v>15.9</v>
      </c>
      <c r="H709" t="n">
        <v>0</v>
      </c>
      <c r="I709" t="n">
        <v>0</v>
      </c>
      <c r="J709" t="n">
        <v>0</v>
      </c>
      <c r="K709" t="n">
        <v>0</v>
      </c>
      <c r="L709" t="n">
        <v>0</v>
      </c>
      <c r="M709" t="n">
        <v>0</v>
      </c>
      <c r="N709" t="n">
        <v>0</v>
      </c>
      <c r="O709" t="n">
        <v>0</v>
      </c>
      <c r="P709" t="n">
        <v>0</v>
      </c>
      <c r="Q709" t="n">
        <v>0</v>
      </c>
      <c r="R709" s="2" t="inlineStr"/>
    </row>
    <row r="710" ht="15" customHeight="1">
      <c r="A710" t="inlineStr">
        <is>
          <t>A 20692-2025</t>
        </is>
      </c>
      <c r="B710" s="1" t="n">
        <v>45776.46369212963</v>
      </c>
      <c r="C710" s="1" t="n">
        <v>46030</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59893-2022</t>
        </is>
      </c>
      <c r="B711" s="1" t="n">
        <v>44908.77368055555</v>
      </c>
      <c r="C711" s="1" t="n">
        <v>46030</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37630-2025</t>
        </is>
      </c>
      <c r="B712" s="1" t="n">
        <v>45880.46372685185</v>
      </c>
      <c r="C712" s="1" t="n">
        <v>46030</v>
      </c>
      <c r="D712" t="inlineStr">
        <is>
          <t>STOCKHOLMS LÄN</t>
        </is>
      </c>
      <c r="E712" t="inlineStr">
        <is>
          <t>NORRTÄLJE</t>
        </is>
      </c>
      <c r="F712" t="inlineStr">
        <is>
          <t>Sveaskog</t>
        </is>
      </c>
      <c r="G712" t="n">
        <v>12.9</v>
      </c>
      <c r="H712" t="n">
        <v>0</v>
      </c>
      <c r="I712" t="n">
        <v>0</v>
      </c>
      <c r="J712" t="n">
        <v>0</v>
      </c>
      <c r="K712" t="n">
        <v>0</v>
      </c>
      <c r="L712" t="n">
        <v>0</v>
      </c>
      <c r="M712" t="n">
        <v>0</v>
      </c>
      <c r="N712" t="n">
        <v>0</v>
      </c>
      <c r="O712" t="n">
        <v>0</v>
      </c>
      <c r="P712" t="n">
        <v>0</v>
      </c>
      <c r="Q712" t="n">
        <v>0</v>
      </c>
      <c r="R712" s="2" t="inlineStr"/>
    </row>
    <row r="713" ht="15" customHeight="1">
      <c r="A713" t="inlineStr">
        <is>
          <t>A 52251-2025</t>
        </is>
      </c>
      <c r="B713" s="1" t="n">
        <v>45953.49185185185</v>
      </c>
      <c r="C713" s="1" t="n">
        <v>46030</v>
      </c>
      <c r="D713" t="inlineStr">
        <is>
          <t>STOCKHOLMS LÄN</t>
        </is>
      </c>
      <c r="E713" t="inlineStr">
        <is>
          <t>NORRTÄLJE</t>
        </is>
      </c>
      <c r="G713" t="n">
        <v>6.2</v>
      </c>
      <c r="H713" t="n">
        <v>0</v>
      </c>
      <c r="I713" t="n">
        <v>0</v>
      </c>
      <c r="J713" t="n">
        <v>0</v>
      </c>
      <c r="K713" t="n">
        <v>0</v>
      </c>
      <c r="L713" t="n">
        <v>0</v>
      </c>
      <c r="M713" t="n">
        <v>0</v>
      </c>
      <c r="N713" t="n">
        <v>0</v>
      </c>
      <c r="O713" t="n">
        <v>0</v>
      </c>
      <c r="P713" t="n">
        <v>0</v>
      </c>
      <c r="Q713" t="n">
        <v>0</v>
      </c>
      <c r="R713" s="2" t="inlineStr"/>
    </row>
    <row r="714" ht="15" customHeight="1">
      <c r="A714" t="inlineStr">
        <is>
          <t>A 52254-2025</t>
        </is>
      </c>
      <c r="B714" s="1" t="n">
        <v>45953.49519675926</v>
      </c>
      <c r="C714" s="1" t="n">
        <v>46030</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39905-2023</t>
        </is>
      </c>
      <c r="B715" s="1" t="n">
        <v>45168.44489583333</v>
      </c>
      <c r="C715" s="1" t="n">
        <v>46030</v>
      </c>
      <c r="D715" t="inlineStr">
        <is>
          <t>STOCKHOLMS LÄN</t>
        </is>
      </c>
      <c r="E715" t="inlineStr">
        <is>
          <t>NORRTÄLJE</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60223-2025</t>
        </is>
      </c>
      <c r="B716" s="1" t="n">
        <v>45994.54497685185</v>
      </c>
      <c r="C716" s="1" t="n">
        <v>46030</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52773-2025</t>
        </is>
      </c>
      <c r="B717" s="1" t="n">
        <v>45957.41457175926</v>
      </c>
      <c r="C717" s="1" t="n">
        <v>46030</v>
      </c>
      <c r="D717" t="inlineStr">
        <is>
          <t>STOCKHOLMS LÄN</t>
        </is>
      </c>
      <c r="E717" t="inlineStr">
        <is>
          <t>NORRTÄLJE</t>
        </is>
      </c>
      <c r="F717" t="inlineStr">
        <is>
          <t>Sveaskog</t>
        </is>
      </c>
      <c r="G717" t="n">
        <v>10.5</v>
      </c>
      <c r="H717" t="n">
        <v>0</v>
      </c>
      <c r="I717" t="n">
        <v>0</v>
      </c>
      <c r="J717" t="n">
        <v>0</v>
      </c>
      <c r="K717" t="n">
        <v>0</v>
      </c>
      <c r="L717" t="n">
        <v>0</v>
      </c>
      <c r="M717" t="n">
        <v>0</v>
      </c>
      <c r="N717" t="n">
        <v>0</v>
      </c>
      <c r="O717" t="n">
        <v>0</v>
      </c>
      <c r="P717" t="n">
        <v>0</v>
      </c>
      <c r="Q717" t="n">
        <v>0</v>
      </c>
      <c r="R717" s="2" t="inlineStr"/>
    </row>
    <row r="718" ht="15" customHeight="1">
      <c r="A718" t="inlineStr">
        <is>
          <t>A 5645-2023</t>
        </is>
      </c>
      <c r="B718" s="1" t="n">
        <v>44960.60469907407</v>
      </c>
      <c r="C718" s="1" t="n">
        <v>46030</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68361-2021</t>
        </is>
      </c>
      <c r="B719" s="1" t="n">
        <v>44528.91494212963</v>
      </c>
      <c r="C719" s="1" t="n">
        <v>46030</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46071-2024</t>
        </is>
      </c>
      <c r="B720" s="1" t="n">
        <v>45581</v>
      </c>
      <c r="C720" s="1" t="n">
        <v>46030</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52777-2025</t>
        </is>
      </c>
      <c r="B721" s="1" t="n">
        <v>45957.41832175926</v>
      </c>
      <c r="C721" s="1" t="n">
        <v>46030</v>
      </c>
      <c r="D721" t="inlineStr">
        <is>
          <t>STOCKHOLMS LÄN</t>
        </is>
      </c>
      <c r="E721" t="inlineStr">
        <is>
          <t>NORRTÄLJE</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60529-2023</t>
        </is>
      </c>
      <c r="B722" s="1" t="n">
        <v>45259</v>
      </c>
      <c r="C722" s="1" t="n">
        <v>46030</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13137-2024</t>
        </is>
      </c>
      <c r="B723" s="1" t="n">
        <v>45386.34175925926</v>
      </c>
      <c r="C723" s="1" t="n">
        <v>46030</v>
      </c>
      <c r="D723" t="inlineStr">
        <is>
          <t>STOCKHOLMS LÄN</t>
        </is>
      </c>
      <c r="E723" t="inlineStr">
        <is>
          <t>NORRTÄLJE</t>
        </is>
      </c>
      <c r="G723" t="n">
        <v>5</v>
      </c>
      <c r="H723" t="n">
        <v>0</v>
      </c>
      <c r="I723" t="n">
        <v>0</v>
      </c>
      <c r="J723" t="n">
        <v>0</v>
      </c>
      <c r="K723" t="n">
        <v>0</v>
      </c>
      <c r="L723" t="n">
        <v>0</v>
      </c>
      <c r="M723" t="n">
        <v>0</v>
      </c>
      <c r="N723" t="n">
        <v>0</v>
      </c>
      <c r="O723" t="n">
        <v>0</v>
      </c>
      <c r="P723" t="n">
        <v>0</v>
      </c>
      <c r="Q723" t="n">
        <v>0</v>
      </c>
      <c r="R723" s="2" t="inlineStr"/>
    </row>
    <row r="724" ht="15" customHeight="1">
      <c r="A724" t="inlineStr">
        <is>
          <t>A 52526-2025</t>
        </is>
      </c>
      <c r="B724" s="1" t="n">
        <v>45954.53061342592</v>
      </c>
      <c r="C724" s="1" t="n">
        <v>46030</v>
      </c>
      <c r="D724" t="inlineStr">
        <is>
          <t>STOCKHOLMS LÄN</t>
        </is>
      </c>
      <c r="E724" t="inlineStr">
        <is>
          <t>NORRTÄLJE</t>
        </is>
      </c>
      <c r="F724" t="inlineStr">
        <is>
          <t>Sveaskog</t>
        </is>
      </c>
      <c r="G724" t="n">
        <v>2.9</v>
      </c>
      <c r="H724" t="n">
        <v>0</v>
      </c>
      <c r="I724" t="n">
        <v>0</v>
      </c>
      <c r="J724" t="n">
        <v>0</v>
      </c>
      <c r="K724" t="n">
        <v>0</v>
      </c>
      <c r="L724" t="n">
        <v>0</v>
      </c>
      <c r="M724" t="n">
        <v>0</v>
      </c>
      <c r="N724" t="n">
        <v>0</v>
      </c>
      <c r="O724" t="n">
        <v>0</v>
      </c>
      <c r="P724" t="n">
        <v>0</v>
      </c>
      <c r="Q724" t="n">
        <v>0</v>
      </c>
      <c r="R724" s="2" t="inlineStr"/>
    </row>
    <row r="725" ht="15" customHeight="1">
      <c r="A725" t="inlineStr">
        <is>
          <t>A 53000-2025</t>
        </is>
      </c>
      <c r="B725" s="1" t="n">
        <v>45957.74357638889</v>
      </c>
      <c r="C725" s="1" t="n">
        <v>46030</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53499-2025</t>
        </is>
      </c>
      <c r="B726" s="1" t="n">
        <v>45960</v>
      </c>
      <c r="C726" s="1" t="n">
        <v>46030</v>
      </c>
      <c r="D726" t="inlineStr">
        <is>
          <t>STOCKHOLMS LÄN</t>
        </is>
      </c>
      <c r="E726" t="inlineStr">
        <is>
          <t>NORRTÄLJE</t>
        </is>
      </c>
      <c r="G726" t="n">
        <v>23.8</v>
      </c>
      <c r="H726" t="n">
        <v>0</v>
      </c>
      <c r="I726" t="n">
        <v>0</v>
      </c>
      <c r="J726" t="n">
        <v>0</v>
      </c>
      <c r="K726" t="n">
        <v>0</v>
      </c>
      <c r="L726" t="n">
        <v>0</v>
      </c>
      <c r="M726" t="n">
        <v>0</v>
      </c>
      <c r="N726" t="n">
        <v>0</v>
      </c>
      <c r="O726" t="n">
        <v>0</v>
      </c>
      <c r="P726" t="n">
        <v>0</v>
      </c>
      <c r="Q726" t="n">
        <v>0</v>
      </c>
      <c r="R726" s="2" t="inlineStr"/>
    </row>
    <row r="727" ht="15" customHeight="1">
      <c r="A727" t="inlineStr">
        <is>
          <t>A 60649-2025</t>
        </is>
      </c>
      <c r="B727" s="1" t="n">
        <v>45996.4560300926</v>
      </c>
      <c r="C727" s="1" t="n">
        <v>46030</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693-2026</t>
        </is>
      </c>
      <c r="B728" s="1" t="n">
        <v>46029.6133449074</v>
      </c>
      <c r="C728" s="1" t="n">
        <v>46030</v>
      </c>
      <c r="D728" t="inlineStr">
        <is>
          <t>STOCKHOLMS LÄN</t>
        </is>
      </c>
      <c r="E728" t="inlineStr">
        <is>
          <t>NORRTÄLJE</t>
        </is>
      </c>
      <c r="G728" t="n">
        <v>9.6</v>
      </c>
      <c r="H728" t="n">
        <v>0</v>
      </c>
      <c r="I728" t="n">
        <v>0</v>
      </c>
      <c r="J728" t="n">
        <v>0</v>
      </c>
      <c r="K728" t="n">
        <v>0</v>
      </c>
      <c r="L728" t="n">
        <v>0</v>
      </c>
      <c r="M728" t="n">
        <v>0</v>
      </c>
      <c r="N728" t="n">
        <v>0</v>
      </c>
      <c r="O728" t="n">
        <v>0</v>
      </c>
      <c r="P728" t="n">
        <v>0</v>
      </c>
      <c r="Q728" t="n">
        <v>0</v>
      </c>
      <c r="R728" s="2" t="inlineStr"/>
    </row>
    <row r="729" ht="15" customHeight="1">
      <c r="A729" t="inlineStr">
        <is>
          <t>A 59041-2025</t>
        </is>
      </c>
      <c r="B729" s="1" t="n">
        <v>45988</v>
      </c>
      <c r="C729" s="1" t="n">
        <v>46030</v>
      </c>
      <c r="D729" t="inlineStr">
        <is>
          <t>STOCKHOLMS LÄN</t>
        </is>
      </c>
      <c r="E729" t="inlineStr">
        <is>
          <t>NORRTÄLJE</t>
        </is>
      </c>
      <c r="G729" t="n">
        <v>6.6</v>
      </c>
      <c r="H729" t="n">
        <v>0</v>
      </c>
      <c r="I729" t="n">
        <v>0</v>
      </c>
      <c r="J729" t="n">
        <v>0</v>
      </c>
      <c r="K729" t="n">
        <v>0</v>
      </c>
      <c r="L729" t="n">
        <v>0</v>
      </c>
      <c r="M729" t="n">
        <v>0</v>
      </c>
      <c r="N729" t="n">
        <v>0</v>
      </c>
      <c r="O729" t="n">
        <v>0</v>
      </c>
      <c r="P729" t="n">
        <v>0</v>
      </c>
      <c r="Q729" t="n">
        <v>0</v>
      </c>
      <c r="R729" s="2" t="inlineStr"/>
    </row>
    <row r="730" ht="15" customHeight="1">
      <c r="A730" t="inlineStr">
        <is>
          <t>A 718-2026</t>
        </is>
      </c>
      <c r="B730" s="1" t="n">
        <v>46029.63174768518</v>
      </c>
      <c r="C730" s="1" t="n">
        <v>46030</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24350-2025</t>
        </is>
      </c>
      <c r="B731" s="1" t="n">
        <v>45797.58350694444</v>
      </c>
      <c r="C731" s="1" t="n">
        <v>46030</v>
      </c>
      <c r="D731" t="inlineStr">
        <is>
          <t>STOCKHOLMS LÄN</t>
        </is>
      </c>
      <c r="E731" t="inlineStr">
        <is>
          <t>NORRTÄLJE</t>
        </is>
      </c>
      <c r="G731" t="n">
        <v>4.5</v>
      </c>
      <c r="H731" t="n">
        <v>0</v>
      </c>
      <c r="I731" t="n">
        <v>0</v>
      </c>
      <c r="J731" t="n">
        <v>0</v>
      </c>
      <c r="K731" t="n">
        <v>0</v>
      </c>
      <c r="L731" t="n">
        <v>0</v>
      </c>
      <c r="M731" t="n">
        <v>0</v>
      </c>
      <c r="N731" t="n">
        <v>0</v>
      </c>
      <c r="O731" t="n">
        <v>0</v>
      </c>
      <c r="P731" t="n">
        <v>0</v>
      </c>
      <c r="Q731" t="n">
        <v>0</v>
      </c>
      <c r="R731" s="2" t="inlineStr"/>
    </row>
    <row r="732" ht="15" customHeight="1">
      <c r="A732" t="inlineStr">
        <is>
          <t>A 26703-2025</t>
        </is>
      </c>
      <c r="B732" s="1" t="n">
        <v>45810.45263888889</v>
      </c>
      <c r="C732" s="1" t="n">
        <v>46030</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52703-2025</t>
        </is>
      </c>
      <c r="B733" s="1" t="n">
        <v>45956.88643518519</v>
      </c>
      <c r="C733" s="1" t="n">
        <v>46030</v>
      </c>
      <c r="D733" t="inlineStr">
        <is>
          <t>STOCKHOLMS LÄN</t>
        </is>
      </c>
      <c r="E733" t="inlineStr">
        <is>
          <t>NORRTÄLJE</t>
        </is>
      </c>
      <c r="G733" t="n">
        <v>4.7</v>
      </c>
      <c r="H733" t="n">
        <v>0</v>
      </c>
      <c r="I733" t="n">
        <v>0</v>
      </c>
      <c r="J733" t="n">
        <v>0</v>
      </c>
      <c r="K733" t="n">
        <v>0</v>
      </c>
      <c r="L733" t="n">
        <v>0</v>
      </c>
      <c r="M733" t="n">
        <v>0</v>
      </c>
      <c r="N733" t="n">
        <v>0</v>
      </c>
      <c r="O733" t="n">
        <v>0</v>
      </c>
      <c r="P733" t="n">
        <v>0</v>
      </c>
      <c r="Q733" t="n">
        <v>0</v>
      </c>
      <c r="R733" s="2" t="inlineStr"/>
    </row>
    <row r="734" ht="15" customHeight="1">
      <c r="A734" t="inlineStr">
        <is>
          <t>A 19706-2023</t>
        </is>
      </c>
      <c r="B734" s="1" t="n">
        <v>45051.455</v>
      </c>
      <c r="C734" s="1" t="n">
        <v>46030</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52729-2025</t>
        </is>
      </c>
      <c r="B735" s="1" t="n">
        <v>45957.3636574074</v>
      </c>
      <c r="C735" s="1" t="n">
        <v>46030</v>
      </c>
      <c r="D735" t="inlineStr">
        <is>
          <t>STOCKHOLMS LÄN</t>
        </is>
      </c>
      <c r="E735" t="inlineStr">
        <is>
          <t>NORRTÄLJE</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60745-2025</t>
        </is>
      </c>
      <c r="B736" s="1" t="n">
        <v>45999.37753472223</v>
      </c>
      <c r="C736" s="1" t="n">
        <v>46030</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52734-2025</t>
        </is>
      </c>
      <c r="B737" s="1" t="n">
        <v>45957.3710300926</v>
      </c>
      <c r="C737" s="1" t="n">
        <v>46030</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18539-2021</t>
        </is>
      </c>
      <c r="B738" s="1" t="n">
        <v>44306</v>
      </c>
      <c r="C738" s="1" t="n">
        <v>46030</v>
      </c>
      <c r="D738" t="inlineStr">
        <is>
          <t>STOCKHOLMS LÄN</t>
        </is>
      </c>
      <c r="E738" t="inlineStr">
        <is>
          <t>NORRTÄLJE</t>
        </is>
      </c>
      <c r="F738" t="inlineStr">
        <is>
          <t>Holmen skog AB</t>
        </is>
      </c>
      <c r="G738" t="n">
        <v>5.5</v>
      </c>
      <c r="H738" t="n">
        <v>0</v>
      </c>
      <c r="I738" t="n">
        <v>0</v>
      </c>
      <c r="J738" t="n">
        <v>0</v>
      </c>
      <c r="K738" t="n">
        <v>0</v>
      </c>
      <c r="L738" t="n">
        <v>0</v>
      </c>
      <c r="M738" t="n">
        <v>0</v>
      </c>
      <c r="N738" t="n">
        <v>0</v>
      </c>
      <c r="O738" t="n">
        <v>0</v>
      </c>
      <c r="P738" t="n">
        <v>0</v>
      </c>
      <c r="Q738" t="n">
        <v>0</v>
      </c>
      <c r="R738" s="2" t="inlineStr"/>
    </row>
    <row r="739" ht="15" customHeight="1">
      <c r="A739" t="inlineStr">
        <is>
          <t>A 17612-2022</t>
        </is>
      </c>
      <c r="B739" s="1" t="n">
        <v>44680</v>
      </c>
      <c r="C739" s="1" t="n">
        <v>46030</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38153-2025</t>
        </is>
      </c>
      <c r="B740" s="1" t="n">
        <v>45882.59722222222</v>
      </c>
      <c r="C740" s="1" t="n">
        <v>46030</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52776-2025</t>
        </is>
      </c>
      <c r="B741" s="1" t="n">
        <v>45957.41724537037</v>
      </c>
      <c r="C741" s="1" t="n">
        <v>46030</v>
      </c>
      <c r="D741" t="inlineStr">
        <is>
          <t>STOCKHOLMS LÄN</t>
        </is>
      </c>
      <c r="E741" t="inlineStr">
        <is>
          <t>NORRTÄLJE</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16835-2022</t>
        </is>
      </c>
      <c r="B742" s="1" t="n">
        <v>44673</v>
      </c>
      <c r="C742" s="1" t="n">
        <v>46030</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694-2026</t>
        </is>
      </c>
      <c r="B743" s="1" t="n">
        <v>46029.61375</v>
      </c>
      <c r="C743" s="1" t="n">
        <v>46030</v>
      </c>
      <c r="D743" t="inlineStr">
        <is>
          <t>STOCKHOLMS LÄN</t>
        </is>
      </c>
      <c r="E743" t="inlineStr">
        <is>
          <t>NORRTÄLJE</t>
        </is>
      </c>
      <c r="G743" t="n">
        <v>9.6</v>
      </c>
      <c r="H743" t="n">
        <v>0</v>
      </c>
      <c r="I743" t="n">
        <v>0</v>
      </c>
      <c r="J743" t="n">
        <v>0</v>
      </c>
      <c r="K743" t="n">
        <v>0</v>
      </c>
      <c r="L743" t="n">
        <v>0</v>
      </c>
      <c r="M743" t="n">
        <v>0</v>
      </c>
      <c r="N743" t="n">
        <v>0</v>
      </c>
      <c r="O743" t="n">
        <v>0</v>
      </c>
      <c r="P743" t="n">
        <v>0</v>
      </c>
      <c r="Q743" t="n">
        <v>0</v>
      </c>
      <c r="R743" s="2" t="inlineStr"/>
    </row>
    <row r="744" ht="15" customHeight="1">
      <c r="A744" t="inlineStr">
        <is>
          <t>A 62765-2022</t>
        </is>
      </c>
      <c r="B744" s="1" t="n">
        <v>44637</v>
      </c>
      <c r="C744" s="1" t="n">
        <v>46030</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58404-2023</t>
        </is>
      </c>
      <c r="B745" s="1" t="n">
        <v>45245</v>
      </c>
      <c r="C745" s="1" t="n">
        <v>46030</v>
      </c>
      <c r="D745" t="inlineStr">
        <is>
          <t>STOCKHOLMS LÄN</t>
        </is>
      </c>
      <c r="E745" t="inlineStr">
        <is>
          <t>NORRTÄLJE</t>
        </is>
      </c>
      <c r="G745" t="n">
        <v>53.5</v>
      </c>
      <c r="H745" t="n">
        <v>0</v>
      </c>
      <c r="I745" t="n">
        <v>0</v>
      </c>
      <c r="J745" t="n">
        <v>0</v>
      </c>
      <c r="K745" t="n">
        <v>0</v>
      </c>
      <c r="L745" t="n">
        <v>0</v>
      </c>
      <c r="M745" t="n">
        <v>0</v>
      </c>
      <c r="N745" t="n">
        <v>0</v>
      </c>
      <c r="O745" t="n">
        <v>0</v>
      </c>
      <c r="P745" t="n">
        <v>0</v>
      </c>
      <c r="Q745" t="n">
        <v>0</v>
      </c>
      <c r="R745" s="2" t="inlineStr"/>
    </row>
    <row r="746" ht="15" customHeight="1">
      <c r="A746" t="inlineStr">
        <is>
          <t>A 52529-2025</t>
        </is>
      </c>
      <c r="B746" s="1" t="n">
        <v>45954.53229166667</v>
      </c>
      <c r="C746" s="1" t="n">
        <v>46030</v>
      </c>
      <c r="D746" t="inlineStr">
        <is>
          <t>STOCKHOLMS LÄN</t>
        </is>
      </c>
      <c r="E746" t="inlineStr">
        <is>
          <t>NORRTÄLJE</t>
        </is>
      </c>
      <c r="F746" t="inlineStr">
        <is>
          <t>Sveaskog</t>
        </is>
      </c>
      <c r="G746" t="n">
        <v>7.8</v>
      </c>
      <c r="H746" t="n">
        <v>0</v>
      </c>
      <c r="I746" t="n">
        <v>0</v>
      </c>
      <c r="J746" t="n">
        <v>0</v>
      </c>
      <c r="K746" t="n">
        <v>0</v>
      </c>
      <c r="L746" t="n">
        <v>0</v>
      </c>
      <c r="M746" t="n">
        <v>0</v>
      </c>
      <c r="N746" t="n">
        <v>0</v>
      </c>
      <c r="O746" t="n">
        <v>0</v>
      </c>
      <c r="P746" t="n">
        <v>0</v>
      </c>
      <c r="Q746" t="n">
        <v>0</v>
      </c>
      <c r="R746" s="2" t="inlineStr"/>
    </row>
    <row r="747" ht="15" customHeight="1">
      <c r="A747" t="inlineStr">
        <is>
          <t>A 52704-2025</t>
        </is>
      </c>
      <c r="B747" s="1" t="n">
        <v>45956.89097222222</v>
      </c>
      <c r="C747" s="1" t="n">
        <v>46030</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8586-2023</t>
        </is>
      </c>
      <c r="B748" s="1" t="n">
        <v>44977</v>
      </c>
      <c r="C748" s="1" t="n">
        <v>46030</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22816-2021</t>
        </is>
      </c>
      <c r="B749" s="1" t="n">
        <v>44325</v>
      </c>
      <c r="C749" s="1" t="n">
        <v>46030</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60928-2025</t>
        </is>
      </c>
      <c r="B750" s="1" t="n">
        <v>45999.633125</v>
      </c>
      <c r="C750" s="1" t="n">
        <v>46030</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52553-2025</t>
        </is>
      </c>
      <c r="B751" s="1" t="n">
        <v>45954.5624537037</v>
      </c>
      <c r="C751" s="1" t="n">
        <v>46030</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60948-2025</t>
        </is>
      </c>
      <c r="B752" s="1" t="n">
        <v>45999.650625</v>
      </c>
      <c r="C752" s="1" t="n">
        <v>46030</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475-2026</t>
        </is>
      </c>
      <c r="B753" s="1" t="n">
        <v>46029.39351851852</v>
      </c>
      <c r="C753" s="1" t="n">
        <v>46030</v>
      </c>
      <c r="D753" t="inlineStr">
        <is>
          <t>STOCKHOLMS LÄN</t>
        </is>
      </c>
      <c r="E753" t="inlineStr">
        <is>
          <t>NORRTÄLJE</t>
        </is>
      </c>
      <c r="G753" t="n">
        <v>4.6</v>
      </c>
      <c r="H753" t="n">
        <v>0</v>
      </c>
      <c r="I753" t="n">
        <v>0</v>
      </c>
      <c r="J753" t="n">
        <v>0</v>
      </c>
      <c r="K753" t="n">
        <v>0</v>
      </c>
      <c r="L753" t="n">
        <v>0</v>
      </c>
      <c r="M753" t="n">
        <v>0</v>
      </c>
      <c r="N753" t="n">
        <v>0</v>
      </c>
      <c r="O753" t="n">
        <v>0</v>
      </c>
      <c r="P753" t="n">
        <v>0</v>
      </c>
      <c r="Q753" t="n">
        <v>0</v>
      </c>
      <c r="R753" s="2" t="inlineStr"/>
    </row>
    <row r="754" ht="15" customHeight="1">
      <c r="A754" t="inlineStr">
        <is>
          <t>A 717-2026</t>
        </is>
      </c>
      <c r="B754" s="1" t="n">
        <v>46029.63028935185</v>
      </c>
      <c r="C754" s="1" t="n">
        <v>46030</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16202-2022</t>
        </is>
      </c>
      <c r="B755" s="1" t="n">
        <v>44670</v>
      </c>
      <c r="C755" s="1" t="n">
        <v>46030</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61430-2025</t>
        </is>
      </c>
      <c r="B756" s="1" t="n">
        <v>46001.55583333333</v>
      </c>
      <c r="C756" s="1" t="n">
        <v>46030</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55018-2024</t>
        </is>
      </c>
      <c r="B757" s="1" t="n">
        <v>45621.35712962963</v>
      </c>
      <c r="C757" s="1" t="n">
        <v>46030</v>
      </c>
      <c r="D757" t="inlineStr">
        <is>
          <t>STOCKHOLMS LÄN</t>
        </is>
      </c>
      <c r="E757" t="inlineStr">
        <is>
          <t>NORRTÄLJE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61289-2025</t>
        </is>
      </c>
      <c r="B758" s="1" t="n">
        <v>46000.73659722223</v>
      </c>
      <c r="C758" s="1" t="n">
        <v>46030</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50136-2023</t>
        </is>
      </c>
      <c r="B759" s="1" t="n">
        <v>45215</v>
      </c>
      <c r="C759" s="1" t="n">
        <v>46030</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25656-2023</t>
        </is>
      </c>
      <c r="B760" s="1" t="n">
        <v>45089</v>
      </c>
      <c r="C760" s="1" t="n">
        <v>46030</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61452-2025</t>
        </is>
      </c>
      <c r="B761" s="1" t="n">
        <v>46001.58043981482</v>
      </c>
      <c r="C761" s="1" t="n">
        <v>46030</v>
      </c>
      <c r="D761" t="inlineStr">
        <is>
          <t>STOCKHOLMS LÄN</t>
        </is>
      </c>
      <c r="E761" t="inlineStr">
        <is>
          <t>NORRTÄLJE</t>
        </is>
      </c>
      <c r="F761" t="inlineStr">
        <is>
          <t>Holmen skog AB</t>
        </is>
      </c>
      <c r="G761" t="n">
        <v>3.7</v>
      </c>
      <c r="H761" t="n">
        <v>0</v>
      </c>
      <c r="I761" t="n">
        <v>0</v>
      </c>
      <c r="J761" t="n">
        <v>0</v>
      </c>
      <c r="K761" t="n">
        <v>0</v>
      </c>
      <c r="L761" t="n">
        <v>0</v>
      </c>
      <c r="M761" t="n">
        <v>0</v>
      </c>
      <c r="N761" t="n">
        <v>0</v>
      </c>
      <c r="O761" t="n">
        <v>0</v>
      </c>
      <c r="P761" t="n">
        <v>0</v>
      </c>
      <c r="Q761" t="n">
        <v>0</v>
      </c>
      <c r="R761" s="2" t="inlineStr"/>
    </row>
    <row r="762" ht="15" customHeight="1">
      <c r="A762" t="inlineStr">
        <is>
          <t>A 6003-2025</t>
        </is>
      </c>
      <c r="B762" s="1" t="n">
        <v>45695.57881944445</v>
      </c>
      <c r="C762" s="1" t="n">
        <v>46030</v>
      </c>
      <c r="D762" t="inlineStr">
        <is>
          <t>STOCKHOLMS LÄN</t>
        </is>
      </c>
      <c r="E762" t="inlineStr">
        <is>
          <t>NORRTÄLJE</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67921-2021</t>
        </is>
      </c>
      <c r="B763" s="1" t="n">
        <v>44525</v>
      </c>
      <c r="C763" s="1" t="n">
        <v>46030</v>
      </c>
      <c r="D763" t="inlineStr">
        <is>
          <t>STOCKHOLMS LÄN</t>
        </is>
      </c>
      <c r="E763" t="inlineStr">
        <is>
          <t>NORRTÄLJE</t>
        </is>
      </c>
      <c r="G763" t="n">
        <v>6.3</v>
      </c>
      <c r="H763" t="n">
        <v>0</v>
      </c>
      <c r="I763" t="n">
        <v>0</v>
      </c>
      <c r="J763" t="n">
        <v>0</v>
      </c>
      <c r="K763" t="n">
        <v>0</v>
      </c>
      <c r="L763" t="n">
        <v>0</v>
      </c>
      <c r="M763" t="n">
        <v>0</v>
      </c>
      <c r="N763" t="n">
        <v>0</v>
      </c>
      <c r="O763" t="n">
        <v>0</v>
      </c>
      <c r="P763" t="n">
        <v>0</v>
      </c>
      <c r="Q763" t="n">
        <v>0</v>
      </c>
      <c r="R763" s="2" t="inlineStr"/>
    </row>
    <row r="764" ht="15" customHeight="1">
      <c r="A764" t="inlineStr">
        <is>
          <t>A 11902-2024</t>
        </is>
      </c>
      <c r="B764" s="1" t="n">
        <v>45376.55704861111</v>
      </c>
      <c r="C764" s="1" t="n">
        <v>46030</v>
      </c>
      <c r="D764" t="inlineStr">
        <is>
          <t>STOCKHOLMS LÄN</t>
        </is>
      </c>
      <c r="E764" t="inlineStr">
        <is>
          <t>NORRTÄLJE</t>
        </is>
      </c>
      <c r="G764" t="n">
        <v>2.5</v>
      </c>
      <c r="H764" t="n">
        <v>0</v>
      </c>
      <c r="I764" t="n">
        <v>0</v>
      </c>
      <c r="J764" t="n">
        <v>0</v>
      </c>
      <c r="K764" t="n">
        <v>0</v>
      </c>
      <c r="L764" t="n">
        <v>0</v>
      </c>
      <c r="M764" t="n">
        <v>0</v>
      </c>
      <c r="N764" t="n">
        <v>0</v>
      </c>
      <c r="O764" t="n">
        <v>0</v>
      </c>
      <c r="P764" t="n">
        <v>0</v>
      </c>
      <c r="Q764" t="n">
        <v>0</v>
      </c>
      <c r="R764" s="2" t="inlineStr"/>
    </row>
    <row r="765" ht="15" customHeight="1">
      <c r="A765" t="inlineStr">
        <is>
          <t>A 61419-2025</t>
        </is>
      </c>
      <c r="B765" s="1" t="n">
        <v>46001.54137731482</v>
      </c>
      <c r="C765" s="1" t="n">
        <v>46030</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38049-2023</t>
        </is>
      </c>
      <c r="B766" s="1" t="n">
        <v>45159</v>
      </c>
      <c r="C766" s="1" t="n">
        <v>46030</v>
      </c>
      <c r="D766" t="inlineStr">
        <is>
          <t>STOCKHOLMS LÄN</t>
        </is>
      </c>
      <c r="E766" t="inlineStr">
        <is>
          <t>NORRTÄLJE</t>
        </is>
      </c>
      <c r="G766" t="n">
        <v>3.6</v>
      </c>
      <c r="H766" t="n">
        <v>0</v>
      </c>
      <c r="I766" t="n">
        <v>0</v>
      </c>
      <c r="J766" t="n">
        <v>0</v>
      </c>
      <c r="K766" t="n">
        <v>0</v>
      </c>
      <c r="L766" t="n">
        <v>0</v>
      </c>
      <c r="M766" t="n">
        <v>0</v>
      </c>
      <c r="N766" t="n">
        <v>0</v>
      </c>
      <c r="O766" t="n">
        <v>0</v>
      </c>
      <c r="P766" t="n">
        <v>0</v>
      </c>
      <c r="Q766" t="n">
        <v>0</v>
      </c>
      <c r="R766" s="2" t="inlineStr"/>
    </row>
    <row r="767" ht="15" customHeight="1">
      <c r="A767" t="inlineStr">
        <is>
          <t>A 59535-2024</t>
        </is>
      </c>
      <c r="B767" s="1" t="n">
        <v>45638.59979166667</v>
      </c>
      <c r="C767" s="1" t="n">
        <v>46030</v>
      </c>
      <c r="D767" t="inlineStr">
        <is>
          <t>STOCKHOLMS LÄN</t>
        </is>
      </c>
      <c r="E767" t="inlineStr">
        <is>
          <t>NORRTÄLJE</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61160-2025</t>
        </is>
      </c>
      <c r="B768" s="1" t="n">
        <v>46000.55262731481</v>
      </c>
      <c r="C768" s="1" t="n">
        <v>46030</v>
      </c>
      <c r="D768" t="inlineStr">
        <is>
          <t>STOCKHOLMS LÄN</t>
        </is>
      </c>
      <c r="E768" t="inlineStr">
        <is>
          <t>NORRTÄLJE</t>
        </is>
      </c>
      <c r="G768" t="n">
        <v>5.3</v>
      </c>
      <c r="H768" t="n">
        <v>0</v>
      </c>
      <c r="I768" t="n">
        <v>0</v>
      </c>
      <c r="J768" t="n">
        <v>0</v>
      </c>
      <c r="K768" t="n">
        <v>0</v>
      </c>
      <c r="L768" t="n">
        <v>0</v>
      </c>
      <c r="M768" t="n">
        <v>0</v>
      </c>
      <c r="N768" t="n">
        <v>0</v>
      </c>
      <c r="O768" t="n">
        <v>0</v>
      </c>
      <c r="P768" t="n">
        <v>0</v>
      </c>
      <c r="Q768" t="n">
        <v>0</v>
      </c>
      <c r="R768" s="2" t="inlineStr"/>
    </row>
    <row r="769" ht="15" customHeight="1">
      <c r="A769" t="inlineStr">
        <is>
          <t>A 65499-2021</t>
        </is>
      </c>
      <c r="B769" s="1" t="n">
        <v>44516</v>
      </c>
      <c r="C769" s="1" t="n">
        <v>46030</v>
      </c>
      <c r="D769" t="inlineStr">
        <is>
          <t>STOCKHOLMS LÄN</t>
        </is>
      </c>
      <c r="E769" t="inlineStr">
        <is>
          <t>NORRTÄLJE</t>
        </is>
      </c>
      <c r="F769" t="inlineStr">
        <is>
          <t>Kommuner</t>
        </is>
      </c>
      <c r="G769" t="n">
        <v>5.2</v>
      </c>
      <c r="H769" t="n">
        <v>0</v>
      </c>
      <c r="I769" t="n">
        <v>0</v>
      </c>
      <c r="J769" t="n">
        <v>0</v>
      </c>
      <c r="K769" t="n">
        <v>0</v>
      </c>
      <c r="L769" t="n">
        <v>0</v>
      </c>
      <c r="M769" t="n">
        <v>0</v>
      </c>
      <c r="N769" t="n">
        <v>0</v>
      </c>
      <c r="O769" t="n">
        <v>0</v>
      </c>
      <c r="P769" t="n">
        <v>0</v>
      </c>
      <c r="Q769" t="n">
        <v>0</v>
      </c>
      <c r="R769" s="2" t="inlineStr"/>
    </row>
    <row r="770" ht="15" customHeight="1">
      <c r="A770" t="inlineStr">
        <is>
          <t>A 53299-2025</t>
        </is>
      </c>
      <c r="B770" s="1" t="n">
        <v>45959.31901620371</v>
      </c>
      <c r="C770" s="1" t="n">
        <v>46030</v>
      </c>
      <c r="D770" t="inlineStr">
        <is>
          <t>STOCKHOLMS LÄN</t>
        </is>
      </c>
      <c r="E770" t="inlineStr">
        <is>
          <t>NORRTÄLJE</t>
        </is>
      </c>
      <c r="G770" t="n">
        <v>4.8</v>
      </c>
      <c r="H770" t="n">
        <v>0</v>
      </c>
      <c r="I770" t="n">
        <v>0</v>
      </c>
      <c r="J770" t="n">
        <v>0</v>
      </c>
      <c r="K770" t="n">
        <v>0</v>
      </c>
      <c r="L770" t="n">
        <v>0</v>
      </c>
      <c r="M770" t="n">
        <v>0</v>
      </c>
      <c r="N770" t="n">
        <v>0</v>
      </c>
      <c r="O770" t="n">
        <v>0</v>
      </c>
      <c r="P770" t="n">
        <v>0</v>
      </c>
      <c r="Q770" t="n">
        <v>0</v>
      </c>
      <c r="R770" s="2" t="inlineStr"/>
    </row>
    <row r="771" ht="15" customHeight="1">
      <c r="A771" t="inlineStr">
        <is>
          <t>A 53087-2025</t>
        </is>
      </c>
      <c r="B771" s="1" t="n">
        <v>45958.41065972222</v>
      </c>
      <c r="C771" s="1" t="n">
        <v>46030</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4183-2025</t>
        </is>
      </c>
      <c r="B772" s="1" t="n">
        <v>45685.44592592592</v>
      </c>
      <c r="C772" s="1" t="n">
        <v>46030</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53115-2025</t>
        </is>
      </c>
      <c r="B773" s="1" t="n">
        <v>45958.44614583333</v>
      </c>
      <c r="C773" s="1" t="n">
        <v>46030</v>
      </c>
      <c r="D773" t="inlineStr">
        <is>
          <t>STOCKHOLMS LÄN</t>
        </is>
      </c>
      <c r="E773" t="inlineStr">
        <is>
          <t>NORRTÄLJE</t>
        </is>
      </c>
      <c r="F773" t="inlineStr">
        <is>
          <t>Kyrkan</t>
        </is>
      </c>
      <c r="G773" t="n">
        <v>2.5</v>
      </c>
      <c r="H773" t="n">
        <v>0</v>
      </c>
      <c r="I773" t="n">
        <v>0</v>
      </c>
      <c r="J773" t="n">
        <v>0</v>
      </c>
      <c r="K773" t="n">
        <v>0</v>
      </c>
      <c r="L773" t="n">
        <v>0</v>
      </c>
      <c r="M773" t="n">
        <v>0</v>
      </c>
      <c r="N773" t="n">
        <v>0</v>
      </c>
      <c r="O773" t="n">
        <v>0</v>
      </c>
      <c r="P773" t="n">
        <v>0</v>
      </c>
      <c r="Q773" t="n">
        <v>0</v>
      </c>
      <c r="R773" s="2" t="inlineStr"/>
    </row>
    <row r="774" ht="15" customHeight="1">
      <c r="A774" t="inlineStr">
        <is>
          <t>A 9480-2025</t>
        </is>
      </c>
      <c r="B774" s="1" t="n">
        <v>45715</v>
      </c>
      <c r="C774" s="1" t="n">
        <v>46030</v>
      </c>
      <c r="D774" t="inlineStr">
        <is>
          <t>STOCKHOLMS LÄN</t>
        </is>
      </c>
      <c r="E774" t="inlineStr">
        <is>
          <t>NORRTÄLJE</t>
        </is>
      </c>
      <c r="F774" t="inlineStr">
        <is>
          <t>Övriga Aktiebolag</t>
        </is>
      </c>
      <c r="G774" t="n">
        <v>3.9</v>
      </c>
      <c r="H774" t="n">
        <v>0</v>
      </c>
      <c r="I774" t="n">
        <v>0</v>
      </c>
      <c r="J774" t="n">
        <v>0</v>
      </c>
      <c r="K774" t="n">
        <v>0</v>
      </c>
      <c r="L774" t="n">
        <v>0</v>
      </c>
      <c r="M774" t="n">
        <v>0</v>
      </c>
      <c r="N774" t="n">
        <v>0</v>
      </c>
      <c r="O774" t="n">
        <v>0</v>
      </c>
      <c r="P774" t="n">
        <v>0</v>
      </c>
      <c r="Q774" t="n">
        <v>0</v>
      </c>
      <c r="R774" s="2" t="inlineStr"/>
    </row>
    <row r="775" ht="15" customHeight="1">
      <c r="A775" t="inlineStr">
        <is>
          <t>A 53629-2025</t>
        </is>
      </c>
      <c r="B775" s="1" t="n">
        <v>45960.49570601852</v>
      </c>
      <c r="C775" s="1" t="n">
        <v>46030</v>
      </c>
      <c r="D775" t="inlineStr">
        <is>
          <t>STOCKHOLMS LÄN</t>
        </is>
      </c>
      <c r="E775" t="inlineStr">
        <is>
          <t>NORRTÄLJE</t>
        </is>
      </c>
      <c r="F775" t="inlineStr">
        <is>
          <t>Naturvårdsverket</t>
        </is>
      </c>
      <c r="G775" t="n">
        <v>7.9</v>
      </c>
      <c r="H775" t="n">
        <v>0</v>
      </c>
      <c r="I775" t="n">
        <v>0</v>
      </c>
      <c r="J775" t="n">
        <v>0</v>
      </c>
      <c r="K775" t="n">
        <v>0</v>
      </c>
      <c r="L775" t="n">
        <v>0</v>
      </c>
      <c r="M775" t="n">
        <v>0</v>
      </c>
      <c r="N775" t="n">
        <v>0</v>
      </c>
      <c r="O775" t="n">
        <v>0</v>
      </c>
      <c r="P775" t="n">
        <v>0</v>
      </c>
      <c r="Q775" t="n">
        <v>0</v>
      </c>
      <c r="R775" s="2" t="inlineStr"/>
    </row>
    <row r="776" ht="15" customHeight="1">
      <c r="A776" t="inlineStr">
        <is>
          <t>A 61769-2025</t>
        </is>
      </c>
      <c r="B776" s="1" t="n">
        <v>46002.64556712963</v>
      </c>
      <c r="C776" s="1" t="n">
        <v>46030</v>
      </c>
      <c r="D776" t="inlineStr">
        <is>
          <t>STOCKHOLMS LÄN</t>
        </is>
      </c>
      <c r="E776" t="inlineStr">
        <is>
          <t>NORRTÄLJE</t>
        </is>
      </c>
      <c r="G776" t="n">
        <v>2.9</v>
      </c>
      <c r="H776" t="n">
        <v>0</v>
      </c>
      <c r="I776" t="n">
        <v>0</v>
      </c>
      <c r="J776" t="n">
        <v>0</v>
      </c>
      <c r="K776" t="n">
        <v>0</v>
      </c>
      <c r="L776" t="n">
        <v>0</v>
      </c>
      <c r="M776" t="n">
        <v>0</v>
      </c>
      <c r="N776" t="n">
        <v>0</v>
      </c>
      <c r="O776" t="n">
        <v>0</v>
      </c>
      <c r="P776" t="n">
        <v>0</v>
      </c>
      <c r="Q776" t="n">
        <v>0</v>
      </c>
      <c r="R776" s="2" t="inlineStr"/>
    </row>
    <row r="777" ht="15" customHeight="1">
      <c r="A777" t="inlineStr">
        <is>
          <t>A 53747-2025</t>
        </is>
      </c>
      <c r="B777" s="1" t="n">
        <v>45960.65415509259</v>
      </c>
      <c r="C777" s="1" t="n">
        <v>46030</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24522-2023</t>
        </is>
      </c>
      <c r="B778" s="1" t="n">
        <v>45082.69179398148</v>
      </c>
      <c r="C778" s="1" t="n">
        <v>46030</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25625-2023</t>
        </is>
      </c>
      <c r="B779" s="1" t="n">
        <v>45089</v>
      </c>
      <c r="C779" s="1" t="n">
        <v>46030</v>
      </c>
      <c r="D779" t="inlineStr">
        <is>
          <t>STOCKHOLMS LÄN</t>
        </is>
      </c>
      <c r="E779" t="inlineStr">
        <is>
          <t>NORRTÄLJE</t>
        </is>
      </c>
      <c r="G779" t="n">
        <v>5.5</v>
      </c>
      <c r="H779" t="n">
        <v>0</v>
      </c>
      <c r="I779" t="n">
        <v>0</v>
      </c>
      <c r="J779" t="n">
        <v>0</v>
      </c>
      <c r="K779" t="n">
        <v>0</v>
      </c>
      <c r="L779" t="n">
        <v>0</v>
      </c>
      <c r="M779" t="n">
        <v>0</v>
      </c>
      <c r="N779" t="n">
        <v>0</v>
      </c>
      <c r="O779" t="n">
        <v>0</v>
      </c>
      <c r="P779" t="n">
        <v>0</v>
      </c>
      <c r="Q779" t="n">
        <v>0</v>
      </c>
      <c r="R779" s="2" t="inlineStr"/>
    </row>
    <row r="780" ht="15" customHeight="1">
      <c r="A780" t="inlineStr">
        <is>
          <t>A 37147-2023</t>
        </is>
      </c>
      <c r="B780" s="1" t="n">
        <v>45155</v>
      </c>
      <c r="C780" s="1" t="n">
        <v>46030</v>
      </c>
      <c r="D780" t="inlineStr">
        <is>
          <t>STOCKHOLMS LÄN</t>
        </is>
      </c>
      <c r="E780" t="inlineStr">
        <is>
          <t>NORRTÄLJE</t>
        </is>
      </c>
      <c r="G780" t="n">
        <v>8</v>
      </c>
      <c r="H780" t="n">
        <v>0</v>
      </c>
      <c r="I780" t="n">
        <v>0</v>
      </c>
      <c r="J780" t="n">
        <v>0</v>
      </c>
      <c r="K780" t="n">
        <v>0</v>
      </c>
      <c r="L780" t="n">
        <v>0</v>
      </c>
      <c r="M780" t="n">
        <v>0</v>
      </c>
      <c r="N780" t="n">
        <v>0</v>
      </c>
      <c r="O780" t="n">
        <v>0</v>
      </c>
      <c r="P780" t="n">
        <v>0</v>
      </c>
      <c r="Q780" t="n">
        <v>0</v>
      </c>
      <c r="R780" s="2" t="inlineStr"/>
    </row>
    <row r="781" ht="15" customHeight="1">
      <c r="A781" t="inlineStr">
        <is>
          <t>A 7186-2024</t>
        </is>
      </c>
      <c r="B781" s="1" t="n">
        <v>45344</v>
      </c>
      <c r="C781" s="1" t="n">
        <v>46030</v>
      </c>
      <c r="D781" t="inlineStr">
        <is>
          <t>STOCKHOLMS LÄN</t>
        </is>
      </c>
      <c r="E781" t="inlineStr">
        <is>
          <t>NORRTÄLJE</t>
        </is>
      </c>
      <c r="G781" t="n">
        <v>4.9</v>
      </c>
      <c r="H781" t="n">
        <v>0</v>
      </c>
      <c r="I781" t="n">
        <v>0</v>
      </c>
      <c r="J781" t="n">
        <v>0</v>
      </c>
      <c r="K781" t="n">
        <v>0</v>
      </c>
      <c r="L781" t="n">
        <v>0</v>
      </c>
      <c r="M781" t="n">
        <v>0</v>
      </c>
      <c r="N781" t="n">
        <v>0</v>
      </c>
      <c r="O781" t="n">
        <v>0</v>
      </c>
      <c r="P781" t="n">
        <v>0</v>
      </c>
      <c r="Q781" t="n">
        <v>0</v>
      </c>
      <c r="R781" s="2" t="inlineStr"/>
    </row>
    <row r="782" ht="15" customHeight="1">
      <c r="A782" t="inlineStr">
        <is>
          <t>A 57602-2024</t>
        </is>
      </c>
      <c r="B782" s="1" t="n">
        <v>45630.52866898148</v>
      </c>
      <c r="C782" s="1" t="n">
        <v>46030</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64600-2021</t>
        </is>
      </c>
      <c r="B783" s="1" t="n">
        <v>44511.70518518519</v>
      </c>
      <c r="C783" s="1" t="n">
        <v>46030</v>
      </c>
      <c r="D783" t="inlineStr">
        <is>
          <t>STOCKHOLMS LÄN</t>
        </is>
      </c>
      <c r="E783" t="inlineStr">
        <is>
          <t>NORRTÄLJE</t>
        </is>
      </c>
      <c r="G783" t="n">
        <v>6.2</v>
      </c>
      <c r="H783" t="n">
        <v>0</v>
      </c>
      <c r="I783" t="n">
        <v>0</v>
      </c>
      <c r="J783" t="n">
        <v>0</v>
      </c>
      <c r="K783" t="n">
        <v>0</v>
      </c>
      <c r="L783" t="n">
        <v>0</v>
      </c>
      <c r="M783" t="n">
        <v>0</v>
      </c>
      <c r="N783" t="n">
        <v>0</v>
      </c>
      <c r="O783" t="n">
        <v>0</v>
      </c>
      <c r="P783" t="n">
        <v>0</v>
      </c>
      <c r="Q783" t="n">
        <v>0</v>
      </c>
      <c r="R783" s="2" t="inlineStr"/>
    </row>
    <row r="784" ht="15" customHeight="1">
      <c r="A784" t="inlineStr">
        <is>
          <t>A 61764-2025</t>
        </is>
      </c>
      <c r="B784" s="1" t="n">
        <v>46002.62763888889</v>
      </c>
      <c r="C784" s="1" t="n">
        <v>46030</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50602-2021</t>
        </is>
      </c>
      <c r="B785" s="1" t="n">
        <v>44459</v>
      </c>
      <c r="C785" s="1" t="n">
        <v>46030</v>
      </c>
      <c r="D785" t="inlineStr">
        <is>
          <t>STOCKHOLMS LÄN</t>
        </is>
      </c>
      <c r="E785" t="inlineStr">
        <is>
          <t>NORRTÄLJE</t>
        </is>
      </c>
      <c r="F785" t="inlineStr">
        <is>
          <t>Holmen skog AB</t>
        </is>
      </c>
      <c r="G785" t="n">
        <v>2</v>
      </c>
      <c r="H785" t="n">
        <v>0</v>
      </c>
      <c r="I785" t="n">
        <v>0</v>
      </c>
      <c r="J785" t="n">
        <v>0</v>
      </c>
      <c r="K785" t="n">
        <v>0</v>
      </c>
      <c r="L785" t="n">
        <v>0</v>
      </c>
      <c r="M785" t="n">
        <v>0</v>
      </c>
      <c r="N785" t="n">
        <v>0</v>
      </c>
      <c r="O785" t="n">
        <v>0</v>
      </c>
      <c r="P785" t="n">
        <v>0</v>
      </c>
      <c r="Q785" t="n">
        <v>0</v>
      </c>
      <c r="R785" s="2" t="inlineStr"/>
    </row>
    <row r="786" ht="15" customHeight="1">
      <c r="A786" t="inlineStr">
        <is>
          <t>A 26365-2024</t>
        </is>
      </c>
      <c r="B786" s="1" t="n">
        <v>45469</v>
      </c>
      <c r="C786" s="1" t="n">
        <v>46030</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26640-2023</t>
        </is>
      </c>
      <c r="B787" s="1" t="n">
        <v>45092</v>
      </c>
      <c r="C787" s="1" t="n">
        <v>46030</v>
      </c>
      <c r="D787" t="inlineStr">
        <is>
          <t>STOCKHOLMS LÄN</t>
        </is>
      </c>
      <c r="E787" t="inlineStr">
        <is>
          <t>NORRTÄLJE</t>
        </is>
      </c>
      <c r="G787" t="n">
        <v>5.7</v>
      </c>
      <c r="H787" t="n">
        <v>0</v>
      </c>
      <c r="I787" t="n">
        <v>0</v>
      </c>
      <c r="J787" t="n">
        <v>0</v>
      </c>
      <c r="K787" t="n">
        <v>0</v>
      </c>
      <c r="L787" t="n">
        <v>0</v>
      </c>
      <c r="M787" t="n">
        <v>0</v>
      </c>
      <c r="N787" t="n">
        <v>0</v>
      </c>
      <c r="O787" t="n">
        <v>0</v>
      </c>
      <c r="P787" t="n">
        <v>0</v>
      </c>
      <c r="Q787" t="n">
        <v>0</v>
      </c>
      <c r="R787" s="2" t="inlineStr"/>
    </row>
    <row r="788" ht="15" customHeight="1">
      <c r="A788" t="inlineStr">
        <is>
          <t>A 31827-2023</t>
        </is>
      </c>
      <c r="B788" s="1" t="n">
        <v>45118</v>
      </c>
      <c r="C788" s="1" t="n">
        <v>46030</v>
      </c>
      <c r="D788" t="inlineStr">
        <is>
          <t>STOCKHOLMS LÄN</t>
        </is>
      </c>
      <c r="E788" t="inlineStr">
        <is>
          <t>NORRTÄLJE</t>
        </is>
      </c>
      <c r="F788" t="inlineStr">
        <is>
          <t>Kyrkan</t>
        </is>
      </c>
      <c r="G788" t="n">
        <v>4.9</v>
      </c>
      <c r="H788" t="n">
        <v>0</v>
      </c>
      <c r="I788" t="n">
        <v>0</v>
      </c>
      <c r="J788" t="n">
        <v>0</v>
      </c>
      <c r="K788" t="n">
        <v>0</v>
      </c>
      <c r="L788" t="n">
        <v>0</v>
      </c>
      <c r="M788" t="n">
        <v>0</v>
      </c>
      <c r="N788" t="n">
        <v>0</v>
      </c>
      <c r="O788" t="n">
        <v>0</v>
      </c>
      <c r="P788" t="n">
        <v>0</v>
      </c>
      <c r="Q788" t="n">
        <v>0</v>
      </c>
      <c r="R788" s="2" t="inlineStr"/>
    </row>
    <row r="789" ht="15" customHeight="1">
      <c r="A789" t="inlineStr">
        <is>
          <t>A 58993-2022</t>
        </is>
      </c>
      <c r="B789" s="1" t="n">
        <v>44903</v>
      </c>
      <c r="C789" s="1" t="n">
        <v>46030</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28900-2022</t>
        </is>
      </c>
      <c r="B790" s="1" t="n">
        <v>44749.55258101852</v>
      </c>
      <c r="C790" s="1" t="n">
        <v>46030</v>
      </c>
      <c r="D790" t="inlineStr">
        <is>
          <t>STOCKHOLMS LÄN</t>
        </is>
      </c>
      <c r="E790" t="inlineStr">
        <is>
          <t>NORRTÄLJE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17574-2025</t>
        </is>
      </c>
      <c r="B791" s="1" t="n">
        <v>45757.65178240741</v>
      </c>
      <c r="C791" s="1" t="n">
        <v>46030</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58297-2023</t>
        </is>
      </c>
      <c r="B792" s="1" t="n">
        <v>45245</v>
      </c>
      <c r="C792" s="1" t="n">
        <v>46030</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20304-2023</t>
        </is>
      </c>
      <c r="B793" s="1" t="n">
        <v>45056</v>
      </c>
      <c r="C793" s="1" t="n">
        <v>46030</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12299-2025</t>
        </is>
      </c>
      <c r="B794" s="1" t="n">
        <v>45729.71065972222</v>
      </c>
      <c r="C794" s="1" t="n">
        <v>46030</v>
      </c>
      <c r="D794" t="inlineStr">
        <is>
          <t>STOCKHOLMS LÄN</t>
        </is>
      </c>
      <c r="E794" t="inlineStr">
        <is>
          <t>NORRTÄLJE</t>
        </is>
      </c>
      <c r="F794" t="inlineStr">
        <is>
          <t>Holmen skog AB</t>
        </is>
      </c>
      <c r="G794" t="n">
        <v>6.9</v>
      </c>
      <c r="H794" t="n">
        <v>0</v>
      </c>
      <c r="I794" t="n">
        <v>0</v>
      </c>
      <c r="J794" t="n">
        <v>0</v>
      </c>
      <c r="K794" t="n">
        <v>0</v>
      </c>
      <c r="L794" t="n">
        <v>0</v>
      </c>
      <c r="M794" t="n">
        <v>0</v>
      </c>
      <c r="N794" t="n">
        <v>0</v>
      </c>
      <c r="O794" t="n">
        <v>0</v>
      </c>
      <c r="P794" t="n">
        <v>0</v>
      </c>
      <c r="Q794" t="n">
        <v>0</v>
      </c>
      <c r="R794" s="2" t="inlineStr"/>
    </row>
    <row r="795" ht="15" customHeight="1">
      <c r="A795" t="inlineStr">
        <is>
          <t>A 22157-2023</t>
        </is>
      </c>
      <c r="B795" s="1" t="n">
        <v>45069</v>
      </c>
      <c r="C795" s="1" t="n">
        <v>46030</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c r="U795">
        <f>HYPERLINK("https://klasma.github.io/Logging_0188/knärot/A 22157-2023 karta knärot.png", "A 22157-2023")</f>
        <v/>
      </c>
      <c r="V795">
        <f>HYPERLINK("https://klasma.github.io/Logging_0188/klagomål/A 22157-2023 FSC-klagomål.docx", "A 22157-2023")</f>
        <v/>
      </c>
      <c r="W795">
        <f>HYPERLINK("https://klasma.github.io/Logging_0188/klagomålsmail/A 22157-2023 FSC-klagomål mail.docx", "A 22157-2023")</f>
        <v/>
      </c>
      <c r="X795">
        <f>HYPERLINK("https://klasma.github.io/Logging_0188/tillsyn/A 22157-2023 tillsynsbegäran.docx", "A 22157-2023")</f>
        <v/>
      </c>
      <c r="Y795">
        <f>HYPERLINK("https://klasma.github.io/Logging_0188/tillsynsmail/A 22157-2023 tillsynsbegäran mail.docx", "A 22157-2023")</f>
        <v/>
      </c>
    </row>
    <row r="796" ht="15" customHeight="1">
      <c r="A796" t="inlineStr">
        <is>
          <t>A 11929-2024</t>
        </is>
      </c>
      <c r="B796" s="1" t="n">
        <v>45376.64532407407</v>
      </c>
      <c r="C796" s="1" t="n">
        <v>46030</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62708-2025</t>
        </is>
      </c>
      <c r="B797" s="1" t="n">
        <v>46008.50986111111</v>
      </c>
      <c r="C797" s="1" t="n">
        <v>46030</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8296-2023</t>
        </is>
      </c>
      <c r="B798" s="1" t="n">
        <v>44974</v>
      </c>
      <c r="C798" s="1" t="n">
        <v>46030</v>
      </c>
      <c r="D798" t="inlineStr">
        <is>
          <t>STOCKHOLMS LÄN</t>
        </is>
      </c>
      <c r="E798" t="inlineStr">
        <is>
          <t>NORRTÄLJE</t>
        </is>
      </c>
      <c r="G798" t="n">
        <v>3.8</v>
      </c>
      <c r="H798" t="n">
        <v>0</v>
      </c>
      <c r="I798" t="n">
        <v>0</v>
      </c>
      <c r="J798" t="n">
        <v>0</v>
      </c>
      <c r="K798" t="n">
        <v>0</v>
      </c>
      <c r="L798" t="n">
        <v>0</v>
      </c>
      <c r="M798" t="n">
        <v>0</v>
      </c>
      <c r="N798" t="n">
        <v>0</v>
      </c>
      <c r="O798" t="n">
        <v>0</v>
      </c>
      <c r="P798" t="n">
        <v>0</v>
      </c>
      <c r="Q798" t="n">
        <v>0</v>
      </c>
      <c r="R798" s="2" t="inlineStr"/>
    </row>
    <row r="799" ht="15" customHeight="1">
      <c r="A799" t="inlineStr">
        <is>
          <t>A 24575-2024</t>
        </is>
      </c>
      <c r="B799" s="1" t="n">
        <v>45460.45523148148</v>
      </c>
      <c r="C799" s="1" t="n">
        <v>46030</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64899-2023</t>
        </is>
      </c>
      <c r="B800" s="1" t="n">
        <v>45282</v>
      </c>
      <c r="C800" s="1" t="n">
        <v>46030</v>
      </c>
      <c r="D800" t="inlineStr">
        <is>
          <t>STOCKHOLMS LÄN</t>
        </is>
      </c>
      <c r="E800" t="inlineStr">
        <is>
          <t>NORRTÄLJE</t>
        </is>
      </c>
      <c r="G800" t="n">
        <v>6.3</v>
      </c>
      <c r="H800" t="n">
        <v>0</v>
      </c>
      <c r="I800" t="n">
        <v>0</v>
      </c>
      <c r="J800" t="n">
        <v>0</v>
      </c>
      <c r="K800" t="n">
        <v>0</v>
      </c>
      <c r="L800" t="n">
        <v>0</v>
      </c>
      <c r="M800" t="n">
        <v>0</v>
      </c>
      <c r="N800" t="n">
        <v>0</v>
      </c>
      <c r="O800" t="n">
        <v>0</v>
      </c>
      <c r="P800" t="n">
        <v>0</v>
      </c>
      <c r="Q800" t="n">
        <v>0</v>
      </c>
      <c r="R800" s="2" t="inlineStr"/>
    </row>
    <row r="801" ht="15" customHeight="1">
      <c r="A801" t="inlineStr">
        <is>
          <t>A 62689-2025</t>
        </is>
      </c>
      <c r="B801" s="1" t="n">
        <v>46008.47171296296</v>
      </c>
      <c r="C801" s="1" t="n">
        <v>46030</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62681-2025</t>
        </is>
      </c>
      <c r="B802" s="1" t="n">
        <v>46008.45534722223</v>
      </c>
      <c r="C802" s="1" t="n">
        <v>46030</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52593-2024</t>
        </is>
      </c>
      <c r="B803" s="1" t="n">
        <v>45609.70778935185</v>
      </c>
      <c r="C803" s="1" t="n">
        <v>46030</v>
      </c>
      <c r="D803" t="inlineStr">
        <is>
          <t>STOCKHOLMS LÄN</t>
        </is>
      </c>
      <c r="E803" t="inlineStr">
        <is>
          <t>NORRTÄLJE</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52617-2024</t>
        </is>
      </c>
      <c r="B804" s="1" t="n">
        <v>45609.85146990741</v>
      </c>
      <c r="C804" s="1" t="n">
        <v>46030</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22816-2021</t>
        </is>
      </c>
      <c r="B805" s="1" t="n">
        <v>44325</v>
      </c>
      <c r="C805" s="1" t="n">
        <v>46030</v>
      </c>
      <c r="D805" t="inlineStr">
        <is>
          <t>STOCKHOLMS LÄN</t>
        </is>
      </c>
      <c r="E805" t="inlineStr">
        <is>
          <t>NORRTÄLJE</t>
        </is>
      </c>
      <c r="G805" t="n">
        <v>4.5</v>
      </c>
      <c r="H805" t="n">
        <v>0</v>
      </c>
      <c r="I805" t="n">
        <v>0</v>
      </c>
      <c r="J805" t="n">
        <v>0</v>
      </c>
      <c r="K805" t="n">
        <v>0</v>
      </c>
      <c r="L805" t="n">
        <v>0</v>
      </c>
      <c r="M805" t="n">
        <v>0</v>
      </c>
      <c r="N805" t="n">
        <v>0</v>
      </c>
      <c r="O805" t="n">
        <v>0</v>
      </c>
      <c r="P805" t="n">
        <v>0</v>
      </c>
      <c r="Q805" t="n">
        <v>0</v>
      </c>
      <c r="R805" s="2" t="inlineStr"/>
    </row>
    <row r="806" ht="15" customHeight="1">
      <c r="A806" t="inlineStr">
        <is>
          <t>A 59904-2023</t>
        </is>
      </c>
      <c r="B806" s="1" t="n">
        <v>45257</v>
      </c>
      <c r="C806" s="1" t="n">
        <v>46030</v>
      </c>
      <c r="D806" t="inlineStr">
        <is>
          <t>STOCKHOLMS LÄN</t>
        </is>
      </c>
      <c r="E806" t="inlineStr">
        <is>
          <t>NORRTÄLJE</t>
        </is>
      </c>
      <c r="G806" t="n">
        <v>17.4</v>
      </c>
      <c r="H806" t="n">
        <v>0</v>
      </c>
      <c r="I806" t="n">
        <v>0</v>
      </c>
      <c r="J806" t="n">
        <v>0</v>
      </c>
      <c r="K806" t="n">
        <v>0</v>
      </c>
      <c r="L806" t="n">
        <v>0</v>
      </c>
      <c r="M806" t="n">
        <v>0</v>
      </c>
      <c r="N806" t="n">
        <v>0</v>
      </c>
      <c r="O806" t="n">
        <v>0</v>
      </c>
      <c r="P806" t="n">
        <v>0</v>
      </c>
      <c r="Q806" t="n">
        <v>0</v>
      </c>
      <c r="R806" s="2" t="inlineStr"/>
    </row>
    <row r="807" ht="15" customHeight="1">
      <c r="A807" t="inlineStr">
        <is>
          <t>A 62922-2025</t>
        </is>
      </c>
      <c r="B807" s="1" t="n">
        <v>46009.38064814815</v>
      </c>
      <c r="C807" s="1" t="n">
        <v>46030</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9914-2023</t>
        </is>
      </c>
      <c r="B808" s="1" t="n">
        <v>44985</v>
      </c>
      <c r="C808" s="1" t="n">
        <v>46030</v>
      </c>
      <c r="D808" t="inlineStr">
        <is>
          <t>STOCKHOLMS LÄN</t>
        </is>
      </c>
      <c r="E808" t="inlineStr">
        <is>
          <t>NORRTÄLJE</t>
        </is>
      </c>
      <c r="G808" t="n">
        <v>4.2</v>
      </c>
      <c r="H808" t="n">
        <v>0</v>
      </c>
      <c r="I808" t="n">
        <v>0</v>
      </c>
      <c r="J808" t="n">
        <v>0</v>
      </c>
      <c r="K808" t="n">
        <v>0</v>
      </c>
      <c r="L808" t="n">
        <v>0</v>
      </c>
      <c r="M808" t="n">
        <v>0</v>
      </c>
      <c r="N808" t="n">
        <v>0</v>
      </c>
      <c r="O808" t="n">
        <v>0</v>
      </c>
      <c r="P808" t="n">
        <v>0</v>
      </c>
      <c r="Q808" t="n">
        <v>0</v>
      </c>
      <c r="R808" s="2" t="inlineStr"/>
    </row>
    <row r="809" ht="15" customHeight="1">
      <c r="A809" t="inlineStr">
        <is>
          <t>A 11062-2024</t>
        </is>
      </c>
      <c r="B809" s="1" t="n">
        <v>45370</v>
      </c>
      <c r="C809" s="1" t="n">
        <v>46030</v>
      </c>
      <c r="D809" t="inlineStr">
        <is>
          <t>STOCKHOLMS LÄN</t>
        </is>
      </c>
      <c r="E809" t="inlineStr">
        <is>
          <t>NORRTÄLJE</t>
        </is>
      </c>
      <c r="G809" t="n">
        <v>3.2</v>
      </c>
      <c r="H809" t="n">
        <v>0</v>
      </c>
      <c r="I809" t="n">
        <v>0</v>
      </c>
      <c r="J809" t="n">
        <v>0</v>
      </c>
      <c r="K809" t="n">
        <v>0</v>
      </c>
      <c r="L809" t="n">
        <v>0</v>
      </c>
      <c r="M809" t="n">
        <v>0</v>
      </c>
      <c r="N809" t="n">
        <v>0</v>
      </c>
      <c r="O809" t="n">
        <v>0</v>
      </c>
      <c r="P809" t="n">
        <v>0</v>
      </c>
      <c r="Q809" t="n">
        <v>0</v>
      </c>
      <c r="R809" s="2" t="inlineStr"/>
    </row>
    <row r="810" ht="15" customHeight="1">
      <c r="A810" t="inlineStr">
        <is>
          <t>A 54907-2025</t>
        </is>
      </c>
      <c r="B810" s="1" t="n">
        <v>45967.37137731481</v>
      </c>
      <c r="C810" s="1" t="n">
        <v>46030</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33569-2023</t>
        </is>
      </c>
      <c r="B811" s="1" t="n">
        <v>45131.666875</v>
      </c>
      <c r="C811" s="1" t="n">
        <v>46030</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15905-2023</t>
        </is>
      </c>
      <c r="B812" s="1" t="n">
        <v>45022</v>
      </c>
      <c r="C812" s="1" t="n">
        <v>46030</v>
      </c>
      <c r="D812" t="inlineStr">
        <is>
          <t>STOCKHOLMS LÄN</t>
        </is>
      </c>
      <c r="E812" t="inlineStr">
        <is>
          <t>NORRTÄLJE</t>
        </is>
      </c>
      <c r="G812" t="n">
        <v>3.2</v>
      </c>
      <c r="H812" t="n">
        <v>0</v>
      </c>
      <c r="I812" t="n">
        <v>0</v>
      </c>
      <c r="J812" t="n">
        <v>0</v>
      </c>
      <c r="K812" t="n">
        <v>0</v>
      </c>
      <c r="L812" t="n">
        <v>0</v>
      </c>
      <c r="M812" t="n">
        <v>0</v>
      </c>
      <c r="N812" t="n">
        <v>0</v>
      </c>
      <c r="O812" t="n">
        <v>0</v>
      </c>
      <c r="P812" t="n">
        <v>0</v>
      </c>
      <c r="Q812" t="n">
        <v>0</v>
      </c>
      <c r="R812" s="2" t="inlineStr"/>
    </row>
    <row r="813" ht="15" customHeight="1">
      <c r="A813" t="inlineStr">
        <is>
          <t>A 15956-2023</t>
        </is>
      </c>
      <c r="B813" s="1" t="n">
        <v>45022.61003472222</v>
      </c>
      <c r="C813" s="1" t="n">
        <v>46030</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55503-2025</t>
        </is>
      </c>
      <c r="B814" s="1" t="n">
        <v>45971</v>
      </c>
      <c r="C814" s="1" t="n">
        <v>46030</v>
      </c>
      <c r="D814" t="inlineStr">
        <is>
          <t>STOCKHOLMS LÄN</t>
        </is>
      </c>
      <c r="E814" t="inlineStr">
        <is>
          <t>NORRTÄLJE</t>
        </is>
      </c>
      <c r="G814" t="n">
        <v>3</v>
      </c>
      <c r="H814" t="n">
        <v>0</v>
      </c>
      <c r="I814" t="n">
        <v>0</v>
      </c>
      <c r="J814" t="n">
        <v>0</v>
      </c>
      <c r="K814" t="n">
        <v>0</v>
      </c>
      <c r="L814" t="n">
        <v>0</v>
      </c>
      <c r="M814" t="n">
        <v>0</v>
      </c>
      <c r="N814" t="n">
        <v>0</v>
      </c>
      <c r="O814" t="n">
        <v>0</v>
      </c>
      <c r="P814" t="n">
        <v>0</v>
      </c>
      <c r="Q814" t="n">
        <v>0</v>
      </c>
      <c r="R814" s="2" t="inlineStr"/>
    </row>
    <row r="815" ht="15" customHeight="1">
      <c r="A815" t="inlineStr">
        <is>
          <t>A 47626-2022</t>
        </is>
      </c>
      <c r="B815" s="1" t="n">
        <v>44854</v>
      </c>
      <c r="C815" s="1" t="n">
        <v>46030</v>
      </c>
      <c r="D815" t="inlineStr">
        <is>
          <t>STOCKHOLMS LÄN</t>
        </is>
      </c>
      <c r="E815" t="inlineStr">
        <is>
          <t>NORRTÄLJE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62206-2022</t>
        </is>
      </c>
      <c r="B816" s="1" t="n">
        <v>44922</v>
      </c>
      <c r="C816" s="1" t="n">
        <v>46030</v>
      </c>
      <c r="D816" t="inlineStr">
        <is>
          <t>STOCKHOLMS LÄN</t>
        </is>
      </c>
      <c r="E816" t="inlineStr">
        <is>
          <t>NORRTÄLJE</t>
        </is>
      </c>
      <c r="G816" t="n">
        <v>2.9</v>
      </c>
      <c r="H816" t="n">
        <v>0</v>
      </c>
      <c r="I816" t="n">
        <v>0</v>
      </c>
      <c r="J816" t="n">
        <v>0</v>
      </c>
      <c r="K816" t="n">
        <v>0</v>
      </c>
      <c r="L816" t="n">
        <v>0</v>
      </c>
      <c r="M816" t="n">
        <v>0</v>
      </c>
      <c r="N816" t="n">
        <v>0</v>
      </c>
      <c r="O816" t="n">
        <v>0</v>
      </c>
      <c r="P816" t="n">
        <v>0</v>
      </c>
      <c r="Q816" t="n">
        <v>0</v>
      </c>
      <c r="R816" s="2" t="inlineStr"/>
    </row>
    <row r="817" ht="15" customHeight="1">
      <c r="A817" t="inlineStr">
        <is>
          <t>A 20618-2022</t>
        </is>
      </c>
      <c r="B817" s="1" t="n">
        <v>44700.50659722222</v>
      </c>
      <c r="C817" s="1" t="n">
        <v>46030</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40192-2023</t>
        </is>
      </c>
      <c r="B818" s="1" t="n">
        <v>45169</v>
      </c>
      <c r="C818" s="1" t="n">
        <v>46030</v>
      </c>
      <c r="D818" t="inlineStr">
        <is>
          <t>STOCKHOLMS LÄN</t>
        </is>
      </c>
      <c r="E818" t="inlineStr">
        <is>
          <t>NORRTÄLJE</t>
        </is>
      </c>
      <c r="F818" t="inlineStr">
        <is>
          <t>Kyrkan</t>
        </is>
      </c>
      <c r="G818" t="n">
        <v>0.7</v>
      </c>
      <c r="H818" t="n">
        <v>0</v>
      </c>
      <c r="I818" t="n">
        <v>0</v>
      </c>
      <c r="J818" t="n">
        <v>0</v>
      </c>
      <c r="K818" t="n">
        <v>0</v>
      </c>
      <c r="L818" t="n">
        <v>0</v>
      </c>
      <c r="M818" t="n">
        <v>0</v>
      </c>
      <c r="N818" t="n">
        <v>0</v>
      </c>
      <c r="O818" t="n">
        <v>0</v>
      </c>
      <c r="P818" t="n">
        <v>0</v>
      </c>
      <c r="Q818" t="n">
        <v>0</v>
      </c>
      <c r="R818" s="2" t="inlineStr"/>
    </row>
    <row r="819" ht="15" customHeight="1">
      <c r="A819" t="inlineStr">
        <is>
          <t>A 11900-2022</t>
        </is>
      </c>
      <c r="B819" s="1" t="n">
        <v>44635</v>
      </c>
      <c r="C819" s="1" t="n">
        <v>46030</v>
      </c>
      <c r="D819" t="inlineStr">
        <is>
          <t>STOCKHOLMS LÄN</t>
        </is>
      </c>
      <c r="E819" t="inlineStr">
        <is>
          <t>NORRTÄLJE</t>
        </is>
      </c>
      <c r="G819" t="n">
        <v>2.4</v>
      </c>
      <c r="H819" t="n">
        <v>0</v>
      </c>
      <c r="I819" t="n">
        <v>0</v>
      </c>
      <c r="J819" t="n">
        <v>0</v>
      </c>
      <c r="K819" t="n">
        <v>0</v>
      </c>
      <c r="L819" t="n">
        <v>0</v>
      </c>
      <c r="M819" t="n">
        <v>0</v>
      </c>
      <c r="N819" t="n">
        <v>0</v>
      </c>
      <c r="O819" t="n">
        <v>0</v>
      </c>
      <c r="P819" t="n">
        <v>0</v>
      </c>
      <c r="Q819" t="n">
        <v>0</v>
      </c>
      <c r="R819" s="2" t="inlineStr"/>
    </row>
    <row r="820" ht="15" customHeight="1">
      <c r="A820" t="inlineStr">
        <is>
          <t>A 10973-2025</t>
        </is>
      </c>
      <c r="B820" s="1" t="n">
        <v>45723</v>
      </c>
      <c r="C820" s="1" t="n">
        <v>46030</v>
      </c>
      <c r="D820" t="inlineStr">
        <is>
          <t>STOCKHOLMS LÄN</t>
        </is>
      </c>
      <c r="E820" t="inlineStr">
        <is>
          <t>NORRTÄLJE</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27885-2022</t>
        </is>
      </c>
      <c r="B821" s="1" t="n">
        <v>44743.67418981482</v>
      </c>
      <c r="C821" s="1" t="n">
        <v>46030</v>
      </c>
      <c r="D821" t="inlineStr">
        <is>
          <t>STOCKHOLMS LÄN</t>
        </is>
      </c>
      <c r="E821" t="inlineStr">
        <is>
          <t>NORRTÄLJE</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60224-2023</t>
        </is>
      </c>
      <c r="B822" s="1" t="n">
        <v>45257</v>
      </c>
      <c r="C822" s="1" t="n">
        <v>46030</v>
      </c>
      <c r="D822" t="inlineStr">
        <is>
          <t>STOCKHOLMS LÄN</t>
        </is>
      </c>
      <c r="E822" t="inlineStr">
        <is>
          <t>NORRTÄLJE</t>
        </is>
      </c>
      <c r="G822" t="n">
        <v>8.1</v>
      </c>
      <c r="H822" t="n">
        <v>0</v>
      </c>
      <c r="I822" t="n">
        <v>0</v>
      </c>
      <c r="J822" t="n">
        <v>0</v>
      </c>
      <c r="K822" t="n">
        <v>0</v>
      </c>
      <c r="L822" t="n">
        <v>0</v>
      </c>
      <c r="M822" t="n">
        <v>0</v>
      </c>
      <c r="N822" t="n">
        <v>0</v>
      </c>
      <c r="O822" t="n">
        <v>0</v>
      </c>
      <c r="P822" t="n">
        <v>0</v>
      </c>
      <c r="Q822" t="n">
        <v>0</v>
      </c>
      <c r="R822" s="2" t="inlineStr"/>
    </row>
    <row r="823" ht="15" customHeight="1">
      <c r="A823" t="inlineStr">
        <is>
          <t>A 5158-2024</t>
        </is>
      </c>
      <c r="B823" s="1" t="n">
        <v>45330.50098379629</v>
      </c>
      <c r="C823" s="1" t="n">
        <v>46030</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9130-2025</t>
        </is>
      </c>
      <c r="B824" s="1" t="n">
        <v>45713.92623842593</v>
      </c>
      <c r="C824" s="1" t="n">
        <v>46030</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17551-2025</t>
        </is>
      </c>
      <c r="B825" s="1" t="n">
        <v>45757.61421296297</v>
      </c>
      <c r="C825" s="1" t="n">
        <v>46030</v>
      </c>
      <c r="D825" t="inlineStr">
        <is>
          <t>STOCKHOLMS LÄN</t>
        </is>
      </c>
      <c r="E825" t="inlineStr">
        <is>
          <t>NORRTÄLJE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55010-2024</t>
        </is>
      </c>
      <c r="B826" s="1" t="n">
        <v>45621.34425925926</v>
      </c>
      <c r="C826" s="1" t="n">
        <v>46030</v>
      </c>
      <c r="D826" t="inlineStr">
        <is>
          <t>STOCKHOLMS LÄN</t>
        </is>
      </c>
      <c r="E826" t="inlineStr">
        <is>
          <t>NORRTÄLJE</t>
        </is>
      </c>
      <c r="F826" t="inlineStr">
        <is>
          <t>Sveaskog</t>
        </is>
      </c>
      <c r="G826" t="n">
        <v>5.7</v>
      </c>
      <c r="H826" t="n">
        <v>0</v>
      </c>
      <c r="I826" t="n">
        <v>0</v>
      </c>
      <c r="J826" t="n">
        <v>0</v>
      </c>
      <c r="K826" t="n">
        <v>0</v>
      </c>
      <c r="L826" t="n">
        <v>0</v>
      </c>
      <c r="M826" t="n">
        <v>0</v>
      </c>
      <c r="N826" t="n">
        <v>0</v>
      </c>
      <c r="O826" t="n">
        <v>0</v>
      </c>
      <c r="P826" t="n">
        <v>0</v>
      </c>
      <c r="Q826" t="n">
        <v>0</v>
      </c>
      <c r="R826" s="2" t="inlineStr"/>
    </row>
    <row r="827" ht="15" customHeight="1">
      <c r="A827" t="inlineStr">
        <is>
          <t>A 31105-2022</t>
        </is>
      </c>
      <c r="B827" s="1" t="n">
        <v>44769.66039351852</v>
      </c>
      <c r="C827" s="1" t="n">
        <v>46030</v>
      </c>
      <c r="D827" t="inlineStr">
        <is>
          <t>STOCKHOLMS LÄN</t>
        </is>
      </c>
      <c r="E827" t="inlineStr">
        <is>
          <t>NORRTÄLJE</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30620-2022</t>
        </is>
      </c>
      <c r="B828" s="1" t="n">
        <v>44763.40914351852</v>
      </c>
      <c r="C828" s="1" t="n">
        <v>46030</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50113-2024</t>
        </is>
      </c>
      <c r="B829" s="1" t="n">
        <v>45600.411875</v>
      </c>
      <c r="C829" s="1" t="n">
        <v>46030</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28365-2022</t>
        </is>
      </c>
      <c r="B830" s="1" t="n">
        <v>44747</v>
      </c>
      <c r="C830" s="1" t="n">
        <v>46030</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42955-2022</t>
        </is>
      </c>
      <c r="B831" s="1" t="n">
        <v>44833.40876157407</v>
      </c>
      <c r="C831" s="1" t="n">
        <v>46030</v>
      </c>
      <c r="D831" t="inlineStr">
        <is>
          <t>STOCKHOLMS LÄN</t>
        </is>
      </c>
      <c r="E831" t="inlineStr">
        <is>
          <t>NORRTÄLJE</t>
        </is>
      </c>
      <c r="G831" t="n">
        <v>13.1</v>
      </c>
      <c r="H831" t="n">
        <v>0</v>
      </c>
      <c r="I831" t="n">
        <v>0</v>
      </c>
      <c r="J831" t="n">
        <v>0</v>
      </c>
      <c r="K831" t="n">
        <v>0</v>
      </c>
      <c r="L831" t="n">
        <v>0</v>
      </c>
      <c r="M831" t="n">
        <v>0</v>
      </c>
      <c r="N831" t="n">
        <v>0</v>
      </c>
      <c r="O831" t="n">
        <v>0</v>
      </c>
      <c r="P831" t="n">
        <v>0</v>
      </c>
      <c r="Q831" t="n">
        <v>0</v>
      </c>
      <c r="R831" s="2" t="inlineStr"/>
    </row>
    <row r="832" ht="15" customHeight="1">
      <c r="A832" t="inlineStr">
        <is>
          <t>A 1283-2025</t>
        </is>
      </c>
      <c r="B832" s="1" t="n">
        <v>45667.49878472222</v>
      </c>
      <c r="C832" s="1" t="n">
        <v>46030</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9703-2021</t>
        </is>
      </c>
      <c r="B833" s="1" t="n">
        <v>44252</v>
      </c>
      <c r="C833" s="1" t="n">
        <v>46030</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13767-2025</t>
        </is>
      </c>
      <c r="B834" s="1" t="n">
        <v>45737.43347222222</v>
      </c>
      <c r="C834" s="1" t="n">
        <v>46030</v>
      </c>
      <c r="D834" t="inlineStr">
        <is>
          <t>STOCKHOLMS LÄN</t>
        </is>
      </c>
      <c r="E834" t="inlineStr">
        <is>
          <t>NORRTÄLJE</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20013-2025</t>
        </is>
      </c>
      <c r="B835" s="1" t="n">
        <v>45772.30436342592</v>
      </c>
      <c r="C835" s="1" t="n">
        <v>46030</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53362-2023</t>
        </is>
      </c>
      <c r="B836" s="1" t="n">
        <v>45223</v>
      </c>
      <c r="C836" s="1" t="n">
        <v>46030</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15422-2024</t>
        </is>
      </c>
      <c r="B837" s="1" t="n">
        <v>45401.3653125</v>
      </c>
      <c r="C837" s="1" t="n">
        <v>46030</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30508-2023</t>
        </is>
      </c>
      <c r="B838" s="1" t="n">
        <v>45111</v>
      </c>
      <c r="C838" s="1" t="n">
        <v>46030</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16008-2025</t>
        </is>
      </c>
      <c r="B839" s="1" t="n">
        <v>45749</v>
      </c>
      <c r="C839" s="1" t="n">
        <v>46030</v>
      </c>
      <c r="D839" t="inlineStr">
        <is>
          <t>STOCKHOLMS LÄN</t>
        </is>
      </c>
      <c r="E839" t="inlineStr">
        <is>
          <t>NORRTÄLJE</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21158-2022</t>
        </is>
      </c>
      <c r="B840" s="1" t="n">
        <v>44704</v>
      </c>
      <c r="C840" s="1" t="n">
        <v>46030</v>
      </c>
      <c r="D840" t="inlineStr">
        <is>
          <t>STOCKHOLMS LÄN</t>
        </is>
      </c>
      <c r="E840" t="inlineStr">
        <is>
          <t>NORRTÄLJE</t>
        </is>
      </c>
      <c r="G840" t="n">
        <v>17.8</v>
      </c>
      <c r="H840" t="n">
        <v>0</v>
      </c>
      <c r="I840" t="n">
        <v>0</v>
      </c>
      <c r="J840" t="n">
        <v>0</v>
      </c>
      <c r="K840" t="n">
        <v>0</v>
      </c>
      <c r="L840" t="n">
        <v>0</v>
      </c>
      <c r="M840" t="n">
        <v>0</v>
      </c>
      <c r="N840" t="n">
        <v>0</v>
      </c>
      <c r="O840" t="n">
        <v>0</v>
      </c>
      <c r="P840" t="n">
        <v>0</v>
      </c>
      <c r="Q840" t="n">
        <v>0</v>
      </c>
      <c r="R840" s="2" t="inlineStr"/>
    </row>
    <row r="841" ht="15" customHeight="1">
      <c r="A841" t="inlineStr">
        <is>
          <t>A 32101-2022</t>
        </is>
      </c>
      <c r="B841" s="1" t="n">
        <v>44778.69210648148</v>
      </c>
      <c r="C841" s="1" t="n">
        <v>46030</v>
      </c>
      <c r="D841" t="inlineStr">
        <is>
          <t>STOCKHOLMS LÄN</t>
        </is>
      </c>
      <c r="E841" t="inlineStr">
        <is>
          <t>NORRTÄLJE</t>
        </is>
      </c>
      <c r="G841" t="n">
        <v>4.4</v>
      </c>
      <c r="H841" t="n">
        <v>0</v>
      </c>
      <c r="I841" t="n">
        <v>0</v>
      </c>
      <c r="J841" t="n">
        <v>0</v>
      </c>
      <c r="K841" t="n">
        <v>0</v>
      </c>
      <c r="L841" t="n">
        <v>0</v>
      </c>
      <c r="M841" t="n">
        <v>0</v>
      </c>
      <c r="N841" t="n">
        <v>0</v>
      </c>
      <c r="O841" t="n">
        <v>0</v>
      </c>
      <c r="P841" t="n">
        <v>0</v>
      </c>
      <c r="Q841" t="n">
        <v>0</v>
      </c>
      <c r="R841" s="2" t="inlineStr"/>
    </row>
    <row r="842" ht="15" customHeight="1">
      <c r="A842" t="inlineStr">
        <is>
          <t>A 23150-2024</t>
        </is>
      </c>
      <c r="B842" s="1" t="n">
        <v>45450.64643518518</v>
      </c>
      <c r="C842" s="1" t="n">
        <v>46030</v>
      </c>
      <c r="D842" t="inlineStr">
        <is>
          <t>STOCKHOLMS LÄN</t>
        </is>
      </c>
      <c r="E842" t="inlineStr">
        <is>
          <t>NORRTÄLJE</t>
        </is>
      </c>
      <c r="F842" t="inlineStr">
        <is>
          <t>Kommuner</t>
        </is>
      </c>
      <c r="G842" t="n">
        <v>2.7</v>
      </c>
      <c r="H842" t="n">
        <v>0</v>
      </c>
      <c r="I842" t="n">
        <v>0</v>
      </c>
      <c r="J842" t="n">
        <v>0</v>
      </c>
      <c r="K842" t="n">
        <v>0</v>
      </c>
      <c r="L842" t="n">
        <v>0</v>
      </c>
      <c r="M842" t="n">
        <v>0</v>
      </c>
      <c r="N842" t="n">
        <v>0</v>
      </c>
      <c r="O842" t="n">
        <v>0</v>
      </c>
      <c r="P842" t="n">
        <v>0</v>
      </c>
      <c r="Q842" t="n">
        <v>0</v>
      </c>
      <c r="R842" s="2" t="inlineStr"/>
    </row>
    <row r="843" ht="15" customHeight="1">
      <c r="A843" t="inlineStr">
        <is>
          <t>A 24933-2023</t>
        </is>
      </c>
      <c r="B843" s="1" t="n">
        <v>45085.5309375</v>
      </c>
      <c r="C843" s="1" t="n">
        <v>46030</v>
      </c>
      <c r="D843" t="inlineStr">
        <is>
          <t>STOCKHOLMS LÄN</t>
        </is>
      </c>
      <c r="E843" t="inlineStr">
        <is>
          <t>NORRTÄLJE</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56631-2024</t>
        </is>
      </c>
      <c r="B844" s="1" t="n">
        <v>45625</v>
      </c>
      <c r="C844" s="1" t="n">
        <v>46030</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652-2025</t>
        </is>
      </c>
      <c r="B845" s="1" t="n">
        <v>45664</v>
      </c>
      <c r="C845" s="1" t="n">
        <v>46030</v>
      </c>
      <c r="D845" t="inlineStr">
        <is>
          <t>STOCKHOLMS LÄN</t>
        </is>
      </c>
      <c r="E845" t="inlineStr">
        <is>
          <t>NORRTÄLJE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5389-2025</t>
        </is>
      </c>
      <c r="B846" s="1" t="n">
        <v>45692</v>
      </c>
      <c r="C846" s="1" t="n">
        <v>46030</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13051-2021</t>
        </is>
      </c>
      <c r="B847" s="1" t="n">
        <v>44272</v>
      </c>
      <c r="C847" s="1" t="n">
        <v>46030</v>
      </c>
      <c r="D847" t="inlineStr">
        <is>
          <t>STOCKHOLMS LÄN</t>
        </is>
      </c>
      <c r="E847" t="inlineStr">
        <is>
          <t>NORRTÄLJE</t>
        </is>
      </c>
      <c r="G847" t="n">
        <v>9.1</v>
      </c>
      <c r="H847" t="n">
        <v>0</v>
      </c>
      <c r="I847" t="n">
        <v>0</v>
      </c>
      <c r="J847" t="n">
        <v>0</v>
      </c>
      <c r="K847" t="n">
        <v>0</v>
      </c>
      <c r="L847" t="n">
        <v>0</v>
      </c>
      <c r="M847" t="n">
        <v>0</v>
      </c>
      <c r="N847" t="n">
        <v>0</v>
      </c>
      <c r="O847" t="n">
        <v>0</v>
      </c>
      <c r="P847" t="n">
        <v>0</v>
      </c>
      <c r="Q847" t="n">
        <v>0</v>
      </c>
      <c r="R847" s="2" t="inlineStr"/>
    </row>
    <row r="848" ht="15" customHeight="1">
      <c r="A848" t="inlineStr">
        <is>
          <t>A 11499-2023</t>
        </is>
      </c>
      <c r="B848" s="1" t="n">
        <v>44993.66707175926</v>
      </c>
      <c r="C848" s="1" t="n">
        <v>46030</v>
      </c>
      <c r="D848" t="inlineStr">
        <is>
          <t>STOCKHOLMS LÄN</t>
        </is>
      </c>
      <c r="E848" t="inlineStr">
        <is>
          <t>NORRTÄLJE</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576-2023</t>
        </is>
      </c>
      <c r="B849" s="1" t="n">
        <v>44925</v>
      </c>
      <c r="C849" s="1" t="n">
        <v>46030</v>
      </c>
      <c r="D849" t="inlineStr">
        <is>
          <t>STOCKHOLMS LÄN</t>
        </is>
      </c>
      <c r="E849" t="inlineStr">
        <is>
          <t>NORRTÄLJE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10678-2025</t>
        </is>
      </c>
      <c r="B850" s="1" t="n">
        <v>45721.89123842592</v>
      </c>
      <c r="C850" s="1" t="n">
        <v>46030</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31936-2022</t>
        </is>
      </c>
      <c r="B851" s="1" t="n">
        <v>44777</v>
      </c>
      <c r="C851" s="1" t="n">
        <v>46030</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59873-2024</t>
        </is>
      </c>
      <c r="B852" s="1" t="n">
        <v>45640.57305555556</v>
      </c>
      <c r="C852" s="1" t="n">
        <v>46030</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35916-2024</t>
        </is>
      </c>
      <c r="B853" s="1" t="n">
        <v>45533</v>
      </c>
      <c r="C853" s="1" t="n">
        <v>46030</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10098-2022</t>
        </is>
      </c>
      <c r="B854" s="1" t="n">
        <v>44621</v>
      </c>
      <c r="C854" s="1" t="n">
        <v>46030</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63161-2023</t>
        </is>
      </c>
      <c r="B855" s="1" t="n">
        <v>45273</v>
      </c>
      <c r="C855" s="1" t="n">
        <v>46030</v>
      </c>
      <c r="D855" t="inlineStr">
        <is>
          <t>STOCKHOLMS LÄN</t>
        </is>
      </c>
      <c r="E855" t="inlineStr">
        <is>
          <t>NORRTÄLJE</t>
        </is>
      </c>
      <c r="G855" t="n">
        <v>1.6</v>
      </c>
      <c r="H855" t="n">
        <v>0</v>
      </c>
      <c r="I855" t="n">
        <v>0</v>
      </c>
      <c r="J855" t="n">
        <v>0</v>
      </c>
      <c r="K855" t="n">
        <v>0</v>
      </c>
      <c r="L855" t="n">
        <v>0</v>
      </c>
      <c r="M855" t="n">
        <v>0</v>
      </c>
      <c r="N855" t="n">
        <v>0</v>
      </c>
      <c r="O855" t="n">
        <v>0</v>
      </c>
      <c r="P855" t="n">
        <v>0</v>
      </c>
      <c r="Q855" t="n">
        <v>0</v>
      </c>
      <c r="R855" s="2" t="inlineStr"/>
    </row>
    <row r="856" ht="15" customHeight="1">
      <c r="A856" t="inlineStr">
        <is>
          <t>A 7796-2025</t>
        </is>
      </c>
      <c r="B856" s="1" t="n">
        <v>45706.60130787037</v>
      </c>
      <c r="C856" s="1" t="n">
        <v>46030</v>
      </c>
      <c r="D856" t="inlineStr">
        <is>
          <t>STOCKHOLMS LÄN</t>
        </is>
      </c>
      <c r="E856" t="inlineStr">
        <is>
          <t>NORRTÄLJE</t>
        </is>
      </c>
      <c r="F856" t="inlineStr">
        <is>
          <t>Holmen skog AB</t>
        </is>
      </c>
      <c r="G856" t="n">
        <v>2.4</v>
      </c>
      <c r="H856" t="n">
        <v>0</v>
      </c>
      <c r="I856" t="n">
        <v>0</v>
      </c>
      <c r="J856" t="n">
        <v>0</v>
      </c>
      <c r="K856" t="n">
        <v>0</v>
      </c>
      <c r="L856" t="n">
        <v>0</v>
      </c>
      <c r="M856" t="n">
        <v>0</v>
      </c>
      <c r="N856" t="n">
        <v>0</v>
      </c>
      <c r="O856" t="n">
        <v>0</v>
      </c>
      <c r="P856" t="n">
        <v>0</v>
      </c>
      <c r="Q856" t="n">
        <v>0</v>
      </c>
      <c r="R856" s="2" t="inlineStr"/>
    </row>
    <row r="857" ht="15" customHeight="1">
      <c r="A857" t="inlineStr">
        <is>
          <t>A 15552-2021</t>
        </is>
      </c>
      <c r="B857" s="1" t="n">
        <v>44285</v>
      </c>
      <c r="C857" s="1" t="n">
        <v>46030</v>
      </c>
      <c r="D857" t="inlineStr">
        <is>
          <t>STOCKHOLMS LÄN</t>
        </is>
      </c>
      <c r="E857" t="inlineStr">
        <is>
          <t>NORRTÄLJE</t>
        </is>
      </c>
      <c r="G857" t="n">
        <v>10</v>
      </c>
      <c r="H857" t="n">
        <v>0</v>
      </c>
      <c r="I857" t="n">
        <v>0</v>
      </c>
      <c r="J857" t="n">
        <v>0</v>
      </c>
      <c r="K857" t="n">
        <v>0</v>
      </c>
      <c r="L857" t="n">
        <v>0</v>
      </c>
      <c r="M857" t="n">
        <v>0</v>
      </c>
      <c r="N857" t="n">
        <v>0</v>
      </c>
      <c r="O857" t="n">
        <v>0</v>
      </c>
      <c r="P857" t="n">
        <v>0</v>
      </c>
      <c r="Q857" t="n">
        <v>0</v>
      </c>
      <c r="R857" s="2" t="inlineStr"/>
    </row>
    <row r="858" ht="15" customHeight="1">
      <c r="A858" t="inlineStr">
        <is>
          <t>A 58040-2024</t>
        </is>
      </c>
      <c r="B858" s="1" t="n">
        <v>45631.73952546297</v>
      </c>
      <c r="C858" s="1" t="n">
        <v>46030</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58041-2024</t>
        </is>
      </c>
      <c r="B859" s="1" t="n">
        <v>45631.74673611111</v>
      </c>
      <c r="C859" s="1" t="n">
        <v>46030</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30268-2024</t>
        </is>
      </c>
      <c r="B860" s="1" t="n">
        <v>45490.60572916667</v>
      </c>
      <c r="C860" s="1" t="n">
        <v>46030</v>
      </c>
      <c r="D860" t="inlineStr">
        <is>
          <t>STOCKHOLMS LÄN</t>
        </is>
      </c>
      <c r="E860" t="inlineStr">
        <is>
          <t>NORRTÄLJE</t>
        </is>
      </c>
      <c r="G860" t="n">
        <v>5.6</v>
      </c>
      <c r="H860" t="n">
        <v>0</v>
      </c>
      <c r="I860" t="n">
        <v>0</v>
      </c>
      <c r="J860" t="n">
        <v>0</v>
      </c>
      <c r="K860" t="n">
        <v>0</v>
      </c>
      <c r="L860" t="n">
        <v>0</v>
      </c>
      <c r="M860" t="n">
        <v>0</v>
      </c>
      <c r="N860" t="n">
        <v>0</v>
      </c>
      <c r="O860" t="n">
        <v>0</v>
      </c>
      <c r="P860" t="n">
        <v>0</v>
      </c>
      <c r="Q860" t="n">
        <v>0</v>
      </c>
      <c r="R860" s="2" t="inlineStr"/>
    </row>
    <row r="861" ht="15" customHeight="1">
      <c r="A861" t="inlineStr">
        <is>
          <t>A 12407-2025</t>
        </is>
      </c>
      <c r="B861" s="1" t="n">
        <v>45730.42851851852</v>
      </c>
      <c r="C861" s="1" t="n">
        <v>46030</v>
      </c>
      <c r="D861" t="inlineStr">
        <is>
          <t>STOCKHOLMS LÄN</t>
        </is>
      </c>
      <c r="E861" t="inlineStr">
        <is>
          <t>NORRTÄLJE</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19025-2025</t>
        </is>
      </c>
      <c r="B862" s="1" t="n">
        <v>45764.6359837963</v>
      </c>
      <c r="C862" s="1" t="n">
        <v>46030</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54276-2021</t>
        </is>
      </c>
      <c r="B863" s="1" t="n">
        <v>44470</v>
      </c>
      <c r="C863" s="1" t="n">
        <v>46030</v>
      </c>
      <c r="D863" t="inlineStr">
        <is>
          <t>STOCKHOLMS LÄN</t>
        </is>
      </c>
      <c r="E863" t="inlineStr">
        <is>
          <t>NORRTÄLJE</t>
        </is>
      </c>
      <c r="G863" t="n">
        <v>7.3</v>
      </c>
      <c r="H863" t="n">
        <v>0</v>
      </c>
      <c r="I863" t="n">
        <v>0</v>
      </c>
      <c r="J863" t="n">
        <v>0</v>
      </c>
      <c r="K863" t="n">
        <v>0</v>
      </c>
      <c r="L863" t="n">
        <v>0</v>
      </c>
      <c r="M863" t="n">
        <v>0</v>
      </c>
      <c r="N863" t="n">
        <v>0</v>
      </c>
      <c r="O863" t="n">
        <v>0</v>
      </c>
      <c r="P863" t="n">
        <v>0</v>
      </c>
      <c r="Q863" t="n">
        <v>0</v>
      </c>
      <c r="R863" s="2" t="inlineStr"/>
    </row>
    <row r="864" ht="15" customHeight="1">
      <c r="A864" t="inlineStr">
        <is>
          <t>A 4316-2023</t>
        </is>
      </c>
      <c r="B864" s="1" t="n">
        <v>44953.67443287037</v>
      </c>
      <c r="C864" s="1" t="n">
        <v>46030</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41587-2023</t>
        </is>
      </c>
      <c r="B865" s="1" t="n">
        <v>45175</v>
      </c>
      <c r="C865" s="1" t="n">
        <v>46030</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17304-2024</t>
        </is>
      </c>
      <c r="B866" s="1" t="n">
        <v>45414</v>
      </c>
      <c r="C866" s="1" t="n">
        <v>46030</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11280-2023</t>
        </is>
      </c>
      <c r="B867" s="1" t="n">
        <v>44992</v>
      </c>
      <c r="C867" s="1" t="n">
        <v>46030</v>
      </c>
      <c r="D867" t="inlineStr">
        <is>
          <t>STOCKHOLMS LÄN</t>
        </is>
      </c>
      <c r="E867" t="inlineStr">
        <is>
          <t>NORRTÄLJE</t>
        </is>
      </c>
      <c r="G867" t="n">
        <v>0.8</v>
      </c>
      <c r="H867" t="n">
        <v>0</v>
      </c>
      <c r="I867" t="n">
        <v>0</v>
      </c>
      <c r="J867" t="n">
        <v>0</v>
      </c>
      <c r="K867" t="n">
        <v>0</v>
      </c>
      <c r="L867" t="n">
        <v>0</v>
      </c>
      <c r="M867" t="n">
        <v>0</v>
      </c>
      <c r="N867" t="n">
        <v>0</v>
      </c>
      <c r="O867" t="n">
        <v>0</v>
      </c>
      <c r="P867" t="n">
        <v>0</v>
      </c>
      <c r="Q867" t="n">
        <v>0</v>
      </c>
      <c r="R867" s="2" t="inlineStr"/>
    </row>
    <row r="868" ht="15" customHeight="1">
      <c r="A868" t="inlineStr">
        <is>
          <t>A 26668-2024</t>
        </is>
      </c>
      <c r="B868" s="1" t="n">
        <v>45469</v>
      </c>
      <c r="C868" s="1" t="n">
        <v>46030</v>
      </c>
      <c r="D868" t="inlineStr">
        <is>
          <t>STOCKHOLMS LÄN</t>
        </is>
      </c>
      <c r="E868" t="inlineStr">
        <is>
          <t>NORRTÄLJE</t>
        </is>
      </c>
      <c r="G868" t="n">
        <v>4.8</v>
      </c>
      <c r="H868" t="n">
        <v>0</v>
      </c>
      <c r="I868" t="n">
        <v>0</v>
      </c>
      <c r="J868" t="n">
        <v>0</v>
      </c>
      <c r="K868" t="n">
        <v>0</v>
      </c>
      <c r="L868" t="n">
        <v>0</v>
      </c>
      <c r="M868" t="n">
        <v>0</v>
      </c>
      <c r="N868" t="n">
        <v>0</v>
      </c>
      <c r="O868" t="n">
        <v>0</v>
      </c>
      <c r="P868" t="n">
        <v>0</v>
      </c>
      <c r="Q868" t="n">
        <v>0</v>
      </c>
      <c r="R868" s="2" t="inlineStr"/>
    </row>
    <row r="869" ht="15" customHeight="1">
      <c r="A869" t="inlineStr">
        <is>
          <t>A 31926-2022</t>
        </is>
      </c>
      <c r="B869" s="1" t="n">
        <v>44777</v>
      </c>
      <c r="C869" s="1" t="n">
        <v>46030</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21480-2022</t>
        </is>
      </c>
      <c r="B870" s="1" t="n">
        <v>44704</v>
      </c>
      <c r="C870" s="1" t="n">
        <v>46030</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11041-2025</t>
        </is>
      </c>
      <c r="B871" s="1" t="n">
        <v>45723</v>
      </c>
      <c r="C871" s="1" t="n">
        <v>46030</v>
      </c>
      <c r="D871" t="inlineStr">
        <is>
          <t>STOCKHOLMS LÄN</t>
        </is>
      </c>
      <c r="E871" t="inlineStr">
        <is>
          <t>NORRTÄLJE</t>
        </is>
      </c>
      <c r="F871" t="inlineStr">
        <is>
          <t>Övriga Aktiebolag</t>
        </is>
      </c>
      <c r="G871" t="n">
        <v>1.8</v>
      </c>
      <c r="H871" t="n">
        <v>0</v>
      </c>
      <c r="I871" t="n">
        <v>0</v>
      </c>
      <c r="J871" t="n">
        <v>0</v>
      </c>
      <c r="K871" t="n">
        <v>0</v>
      </c>
      <c r="L871" t="n">
        <v>0</v>
      </c>
      <c r="M871" t="n">
        <v>0</v>
      </c>
      <c r="N871" t="n">
        <v>0</v>
      </c>
      <c r="O871" t="n">
        <v>0</v>
      </c>
      <c r="P871" t="n">
        <v>0</v>
      </c>
      <c r="Q871" t="n">
        <v>0</v>
      </c>
      <c r="R871" s="2" t="inlineStr"/>
    </row>
    <row r="872" ht="15" customHeight="1">
      <c r="A872" t="inlineStr">
        <is>
          <t>A 9469-2021</t>
        </is>
      </c>
      <c r="B872" s="1" t="n">
        <v>44251</v>
      </c>
      <c r="C872" s="1" t="n">
        <v>46030</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24024-2024</t>
        </is>
      </c>
      <c r="B873" s="1" t="n">
        <v>45456</v>
      </c>
      <c r="C873" s="1" t="n">
        <v>46030</v>
      </c>
      <c r="D873" t="inlineStr">
        <is>
          <t>STOCKHOLMS LÄN</t>
        </is>
      </c>
      <c r="E873" t="inlineStr">
        <is>
          <t>NORRTÄLJE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28809-2023</t>
        </is>
      </c>
      <c r="B874" s="1" t="n">
        <v>45104</v>
      </c>
      <c r="C874" s="1" t="n">
        <v>46030</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28813-2023</t>
        </is>
      </c>
      <c r="B875" s="1" t="n">
        <v>45104</v>
      </c>
      <c r="C875" s="1" t="n">
        <v>46030</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40656-2022</t>
        </is>
      </c>
      <c r="B876" s="1" t="n">
        <v>44824.36069444445</v>
      </c>
      <c r="C876" s="1" t="n">
        <v>46030</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60694-2024</t>
        </is>
      </c>
      <c r="B877" s="1" t="n">
        <v>45644.47878472223</v>
      </c>
      <c r="C877" s="1" t="n">
        <v>46030</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19450-2025</t>
        </is>
      </c>
      <c r="B878" s="1" t="n">
        <v>45770</v>
      </c>
      <c r="C878" s="1" t="n">
        <v>46030</v>
      </c>
      <c r="D878" t="inlineStr">
        <is>
          <t>STOCKHOLMS LÄN</t>
        </is>
      </c>
      <c r="E878" t="inlineStr">
        <is>
          <t>NORRTÄLJE</t>
        </is>
      </c>
      <c r="G878" t="n">
        <v>5.3</v>
      </c>
      <c r="H878" t="n">
        <v>0</v>
      </c>
      <c r="I878" t="n">
        <v>0</v>
      </c>
      <c r="J878" t="n">
        <v>0</v>
      </c>
      <c r="K878" t="n">
        <v>0</v>
      </c>
      <c r="L878" t="n">
        <v>0</v>
      </c>
      <c r="M878" t="n">
        <v>0</v>
      </c>
      <c r="N878" t="n">
        <v>0</v>
      </c>
      <c r="O878" t="n">
        <v>0</v>
      </c>
      <c r="P878" t="n">
        <v>0</v>
      </c>
      <c r="Q878" t="n">
        <v>0</v>
      </c>
      <c r="R878" s="2" t="inlineStr"/>
    </row>
    <row r="879" ht="15" customHeight="1">
      <c r="A879" t="inlineStr">
        <is>
          <t>A 33353-2023</t>
        </is>
      </c>
      <c r="B879" s="1" t="n">
        <v>45128</v>
      </c>
      <c r="C879" s="1" t="n">
        <v>46030</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3966-2024</t>
        </is>
      </c>
      <c r="B880" s="1" t="n">
        <v>45322</v>
      </c>
      <c r="C880" s="1" t="n">
        <v>46030</v>
      </c>
      <c r="D880" t="inlineStr">
        <is>
          <t>STOCKHOLMS LÄN</t>
        </is>
      </c>
      <c r="E880" t="inlineStr">
        <is>
          <t>NORRTÄLJE</t>
        </is>
      </c>
      <c r="G880" t="n">
        <v>5.3</v>
      </c>
      <c r="H880" t="n">
        <v>0</v>
      </c>
      <c r="I880" t="n">
        <v>0</v>
      </c>
      <c r="J880" t="n">
        <v>0</v>
      </c>
      <c r="K880" t="n">
        <v>0</v>
      </c>
      <c r="L880" t="n">
        <v>0</v>
      </c>
      <c r="M880" t="n">
        <v>0</v>
      </c>
      <c r="N880" t="n">
        <v>0</v>
      </c>
      <c r="O880" t="n">
        <v>0</v>
      </c>
      <c r="P880" t="n">
        <v>0</v>
      </c>
      <c r="Q880" t="n">
        <v>0</v>
      </c>
      <c r="R880" s="2" t="inlineStr"/>
    </row>
    <row r="881" ht="15" customHeight="1">
      <c r="A881" t="inlineStr">
        <is>
          <t>A 23262-2023</t>
        </is>
      </c>
      <c r="B881" s="1" t="n">
        <v>45075.90270833333</v>
      </c>
      <c r="C881" s="1" t="n">
        <v>46030</v>
      </c>
      <c r="D881" t="inlineStr">
        <is>
          <t>STOCKHOLMS LÄN</t>
        </is>
      </c>
      <c r="E881" t="inlineStr">
        <is>
          <t>NORRTÄLJE</t>
        </is>
      </c>
      <c r="F881" t="inlineStr">
        <is>
          <t>Kommuner</t>
        </is>
      </c>
      <c r="G881" t="n">
        <v>1.9</v>
      </c>
      <c r="H881" t="n">
        <v>0</v>
      </c>
      <c r="I881" t="n">
        <v>0</v>
      </c>
      <c r="J881" t="n">
        <v>0</v>
      </c>
      <c r="K881" t="n">
        <v>0</v>
      </c>
      <c r="L881" t="n">
        <v>0</v>
      </c>
      <c r="M881" t="n">
        <v>0</v>
      </c>
      <c r="N881" t="n">
        <v>0</v>
      </c>
      <c r="O881" t="n">
        <v>0</v>
      </c>
      <c r="P881" t="n">
        <v>0</v>
      </c>
      <c r="Q881" t="n">
        <v>0</v>
      </c>
      <c r="R881" s="2" t="inlineStr"/>
    </row>
    <row r="882" ht="15" customHeight="1">
      <c r="A882" t="inlineStr">
        <is>
          <t>A 23268-2023</t>
        </is>
      </c>
      <c r="B882" s="1" t="n">
        <v>45075.91042824074</v>
      </c>
      <c r="C882" s="1" t="n">
        <v>46030</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23270-2023</t>
        </is>
      </c>
      <c r="B883" s="1" t="n">
        <v>45075.91265046296</v>
      </c>
      <c r="C883" s="1" t="n">
        <v>46030</v>
      </c>
      <c r="D883" t="inlineStr">
        <is>
          <t>STOCKHOLMS LÄN</t>
        </is>
      </c>
      <c r="E883" t="inlineStr">
        <is>
          <t>NORRTÄLJE</t>
        </is>
      </c>
      <c r="G883" t="n">
        <v>12.3</v>
      </c>
      <c r="H883" t="n">
        <v>0</v>
      </c>
      <c r="I883" t="n">
        <v>0</v>
      </c>
      <c r="J883" t="n">
        <v>0</v>
      </c>
      <c r="K883" t="n">
        <v>0</v>
      </c>
      <c r="L883" t="n">
        <v>0</v>
      </c>
      <c r="M883" t="n">
        <v>0</v>
      </c>
      <c r="N883" t="n">
        <v>0</v>
      </c>
      <c r="O883" t="n">
        <v>0</v>
      </c>
      <c r="P883" t="n">
        <v>0</v>
      </c>
      <c r="Q883" t="n">
        <v>0</v>
      </c>
      <c r="R883" s="2" t="inlineStr"/>
    </row>
    <row r="884" ht="15" customHeight="1">
      <c r="A884" t="inlineStr">
        <is>
          <t>A 23274-2023</t>
        </is>
      </c>
      <c r="B884" s="1" t="n">
        <v>45075.92153935185</v>
      </c>
      <c r="C884" s="1" t="n">
        <v>46030</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17843-2024</t>
        </is>
      </c>
      <c r="B885" s="1" t="n">
        <v>45418</v>
      </c>
      <c r="C885" s="1" t="n">
        <v>46030</v>
      </c>
      <c r="D885" t="inlineStr">
        <is>
          <t>STOCKHOLMS LÄN</t>
        </is>
      </c>
      <c r="E885" t="inlineStr">
        <is>
          <t>NORRTÄLJE</t>
        </is>
      </c>
      <c r="G885" t="n">
        <v>5.4</v>
      </c>
      <c r="H885" t="n">
        <v>0</v>
      </c>
      <c r="I885" t="n">
        <v>0</v>
      </c>
      <c r="J885" t="n">
        <v>0</v>
      </c>
      <c r="K885" t="n">
        <v>0</v>
      </c>
      <c r="L885" t="n">
        <v>0</v>
      </c>
      <c r="M885" t="n">
        <v>0</v>
      </c>
      <c r="N885" t="n">
        <v>0</v>
      </c>
      <c r="O885" t="n">
        <v>0</v>
      </c>
      <c r="P885" t="n">
        <v>0</v>
      </c>
      <c r="Q885" t="n">
        <v>0</v>
      </c>
      <c r="R885" s="2" t="inlineStr"/>
    </row>
    <row r="886" ht="15" customHeight="1">
      <c r="A886" t="inlineStr">
        <is>
          <t>A 26636-2023</t>
        </is>
      </c>
      <c r="B886" s="1" t="n">
        <v>45092</v>
      </c>
      <c r="C886" s="1" t="n">
        <v>46030</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26637-2023</t>
        </is>
      </c>
      <c r="B887" s="1" t="n">
        <v>45092</v>
      </c>
      <c r="C887" s="1" t="n">
        <v>46030</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72704-2021</t>
        </is>
      </c>
      <c r="B888" s="1" t="n">
        <v>44546</v>
      </c>
      <c r="C888" s="1" t="n">
        <v>46030</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52743-2024</t>
        </is>
      </c>
      <c r="B889" s="1" t="n">
        <v>45610.47414351852</v>
      </c>
      <c r="C889" s="1" t="n">
        <v>46030</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16852-2024</t>
        </is>
      </c>
      <c r="B890" s="1" t="n">
        <v>45411.54768518519</v>
      </c>
      <c r="C890" s="1" t="n">
        <v>46030</v>
      </c>
      <c r="D890" t="inlineStr">
        <is>
          <t>STOCKHOLMS LÄN</t>
        </is>
      </c>
      <c r="E890" t="inlineStr">
        <is>
          <t>NORRTÄLJE</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55755-2023</t>
        </is>
      </c>
      <c r="B891" s="1" t="n">
        <v>45239</v>
      </c>
      <c r="C891" s="1" t="n">
        <v>46030</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17348-2024</t>
        </is>
      </c>
      <c r="B892" s="1" t="n">
        <v>45414.58650462963</v>
      </c>
      <c r="C892" s="1" t="n">
        <v>46030</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13089-2022</t>
        </is>
      </c>
      <c r="B893" s="1" t="n">
        <v>44643</v>
      </c>
      <c r="C893" s="1" t="n">
        <v>46030</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48145-2024</t>
        </is>
      </c>
      <c r="B894" s="1" t="n">
        <v>45589.6756712963</v>
      </c>
      <c r="C894" s="1" t="n">
        <v>46030</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23998-2024</t>
        </is>
      </c>
      <c r="B895" s="1" t="n">
        <v>45456</v>
      </c>
      <c r="C895" s="1" t="n">
        <v>46030</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15447-2023</t>
        </is>
      </c>
      <c r="B896" s="1" t="n">
        <v>45020</v>
      </c>
      <c r="C896" s="1" t="n">
        <v>46030</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54358-2022</t>
        </is>
      </c>
      <c r="B897" s="1" t="n">
        <v>44882</v>
      </c>
      <c r="C897" s="1" t="n">
        <v>46030</v>
      </c>
      <c r="D897" t="inlineStr">
        <is>
          <t>STOCKHOLMS LÄN</t>
        </is>
      </c>
      <c r="E897" t="inlineStr">
        <is>
          <t>NORRTÄLJE</t>
        </is>
      </c>
      <c r="G897" t="n">
        <v>3.3</v>
      </c>
      <c r="H897" t="n">
        <v>0</v>
      </c>
      <c r="I897" t="n">
        <v>0</v>
      </c>
      <c r="J897" t="n">
        <v>0</v>
      </c>
      <c r="K897" t="n">
        <v>0</v>
      </c>
      <c r="L897" t="n">
        <v>0</v>
      </c>
      <c r="M897" t="n">
        <v>0</v>
      </c>
      <c r="N897" t="n">
        <v>0</v>
      </c>
      <c r="O897" t="n">
        <v>0</v>
      </c>
      <c r="P897" t="n">
        <v>0</v>
      </c>
      <c r="Q897" t="n">
        <v>0</v>
      </c>
      <c r="R897" s="2" t="inlineStr"/>
    </row>
    <row r="898" ht="15" customHeight="1">
      <c r="A898" t="inlineStr">
        <is>
          <t>A 23263-2023</t>
        </is>
      </c>
      <c r="B898" s="1" t="n">
        <v>45075</v>
      </c>
      <c r="C898" s="1" t="n">
        <v>46030</v>
      </c>
      <c r="D898" t="inlineStr">
        <is>
          <t>STOCKHOLMS LÄN</t>
        </is>
      </c>
      <c r="E898" t="inlineStr">
        <is>
          <t>NORRTÄLJE</t>
        </is>
      </c>
      <c r="G898" t="n">
        <v>1.3</v>
      </c>
      <c r="H898" t="n">
        <v>0</v>
      </c>
      <c r="I898" t="n">
        <v>0</v>
      </c>
      <c r="J898" t="n">
        <v>0</v>
      </c>
      <c r="K898" t="n">
        <v>0</v>
      </c>
      <c r="L898" t="n">
        <v>0</v>
      </c>
      <c r="M898" t="n">
        <v>0</v>
      </c>
      <c r="N898" t="n">
        <v>0</v>
      </c>
      <c r="O898" t="n">
        <v>0</v>
      </c>
      <c r="P898" t="n">
        <v>0</v>
      </c>
      <c r="Q898" t="n">
        <v>0</v>
      </c>
      <c r="R898" s="2" t="inlineStr"/>
    </row>
    <row r="899" ht="15" customHeight="1">
      <c r="A899" t="inlineStr">
        <is>
          <t>A 23264-2023</t>
        </is>
      </c>
      <c r="B899" s="1" t="n">
        <v>45075</v>
      </c>
      <c r="C899" s="1" t="n">
        <v>46030</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23267-2023</t>
        </is>
      </c>
      <c r="B900" s="1" t="n">
        <v>45075.90934027778</v>
      </c>
      <c r="C900" s="1" t="n">
        <v>46030</v>
      </c>
      <c r="D900" t="inlineStr">
        <is>
          <t>STOCKHOLMS LÄN</t>
        </is>
      </c>
      <c r="E900" t="inlineStr">
        <is>
          <t>NORRTÄLJE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23269-2023</t>
        </is>
      </c>
      <c r="B901" s="1" t="n">
        <v>45075.91148148148</v>
      </c>
      <c r="C901" s="1" t="n">
        <v>46030</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19911-2025</t>
        </is>
      </c>
      <c r="B902" s="1" t="n">
        <v>45771</v>
      </c>
      <c r="C902" s="1" t="n">
        <v>46030</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5831-2022</t>
        </is>
      </c>
      <c r="B903" s="1" t="n">
        <v>44596</v>
      </c>
      <c r="C903" s="1" t="n">
        <v>46030</v>
      </c>
      <c r="D903" t="inlineStr">
        <is>
          <t>STOCKHOLMS LÄN</t>
        </is>
      </c>
      <c r="E903" t="inlineStr">
        <is>
          <t>NORRTÄLJE</t>
        </is>
      </c>
      <c r="G903" t="n">
        <v>4.8</v>
      </c>
      <c r="H903" t="n">
        <v>0</v>
      </c>
      <c r="I903" t="n">
        <v>0</v>
      </c>
      <c r="J903" t="n">
        <v>0</v>
      </c>
      <c r="K903" t="n">
        <v>0</v>
      </c>
      <c r="L903" t="n">
        <v>0</v>
      </c>
      <c r="M903" t="n">
        <v>0</v>
      </c>
      <c r="N903" t="n">
        <v>0</v>
      </c>
      <c r="O903" t="n">
        <v>0</v>
      </c>
      <c r="P903" t="n">
        <v>0</v>
      </c>
      <c r="Q903" t="n">
        <v>0</v>
      </c>
      <c r="R903" s="2" t="inlineStr"/>
    </row>
    <row r="904" ht="15" customHeight="1">
      <c r="A904" t="inlineStr">
        <is>
          <t>A 5867-2022</t>
        </is>
      </c>
      <c r="B904" s="1" t="n">
        <v>44596.66335648148</v>
      </c>
      <c r="C904" s="1" t="n">
        <v>46030</v>
      </c>
      <c r="D904" t="inlineStr">
        <is>
          <t>STOCKHOLMS LÄN</t>
        </is>
      </c>
      <c r="E904" t="inlineStr">
        <is>
          <t>NORRTÄLJE</t>
        </is>
      </c>
      <c r="F904" t="inlineStr">
        <is>
          <t>Naturvårdsverket</t>
        </is>
      </c>
      <c r="G904" t="n">
        <v>1.6</v>
      </c>
      <c r="H904" t="n">
        <v>0</v>
      </c>
      <c r="I904" t="n">
        <v>0</v>
      </c>
      <c r="J904" t="n">
        <v>0</v>
      </c>
      <c r="K904" t="n">
        <v>0</v>
      </c>
      <c r="L904" t="n">
        <v>0</v>
      </c>
      <c r="M904" t="n">
        <v>0</v>
      </c>
      <c r="N904" t="n">
        <v>0</v>
      </c>
      <c r="O904" t="n">
        <v>0</v>
      </c>
      <c r="P904" t="n">
        <v>0</v>
      </c>
      <c r="Q904" t="n">
        <v>0</v>
      </c>
      <c r="R904" s="2" t="inlineStr"/>
    </row>
    <row r="905" ht="15" customHeight="1">
      <c r="A905" t="inlineStr">
        <is>
          <t>A 20244-2025</t>
        </is>
      </c>
      <c r="B905" s="1" t="n">
        <v>45772.71221064815</v>
      </c>
      <c r="C905" s="1" t="n">
        <v>46030</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48633-2023</t>
        </is>
      </c>
      <c r="B906" s="1" t="n">
        <v>45208.58004629629</v>
      </c>
      <c r="C906" s="1" t="n">
        <v>46030</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39669-2024</t>
        </is>
      </c>
      <c r="B907" s="1" t="n">
        <v>45552.52827546297</v>
      </c>
      <c r="C907" s="1" t="n">
        <v>46030</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43170-2023</t>
        </is>
      </c>
      <c r="B908" s="1" t="n">
        <v>45183</v>
      </c>
      <c r="C908" s="1" t="n">
        <v>46030</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9-2024</t>
        </is>
      </c>
      <c r="B909" s="1" t="n">
        <v>45293</v>
      </c>
      <c r="C909" s="1" t="n">
        <v>46030</v>
      </c>
      <c r="D909" t="inlineStr">
        <is>
          <t>STOCKHOLMS LÄN</t>
        </is>
      </c>
      <c r="E909" t="inlineStr">
        <is>
          <t>NORRTÄLJE</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22832-2021</t>
        </is>
      </c>
      <c r="B910" s="1" t="n">
        <v>44325</v>
      </c>
      <c r="C910" s="1" t="n">
        <v>46030</v>
      </c>
      <c r="D910" t="inlineStr">
        <is>
          <t>STOCKHOLMS LÄN</t>
        </is>
      </c>
      <c r="E910" t="inlineStr">
        <is>
          <t>NORRTÄLJE</t>
        </is>
      </c>
      <c r="G910" t="n">
        <v>6.8</v>
      </c>
      <c r="H910" t="n">
        <v>0</v>
      </c>
      <c r="I910" t="n">
        <v>0</v>
      </c>
      <c r="J910" t="n">
        <v>0</v>
      </c>
      <c r="K910" t="n">
        <v>0</v>
      </c>
      <c r="L910" t="n">
        <v>0</v>
      </c>
      <c r="M910" t="n">
        <v>0</v>
      </c>
      <c r="N910" t="n">
        <v>0</v>
      </c>
      <c r="O910" t="n">
        <v>0</v>
      </c>
      <c r="P910" t="n">
        <v>0</v>
      </c>
      <c r="Q910" t="n">
        <v>0</v>
      </c>
      <c r="R910" s="2" t="inlineStr"/>
    </row>
    <row r="911" ht="15" customHeight="1">
      <c r="A911" t="inlineStr">
        <is>
          <t>A 16913-2025</t>
        </is>
      </c>
      <c r="B911" s="1" t="n">
        <v>45755.36583333334</v>
      </c>
      <c r="C911" s="1" t="n">
        <v>46030</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4035-2023</t>
        </is>
      </c>
      <c r="B912" s="1" t="n">
        <v>44952.57989583333</v>
      </c>
      <c r="C912" s="1" t="n">
        <v>46030</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46030</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53600-2022</t>
        </is>
      </c>
      <c r="B914" s="1" t="n">
        <v>44879.70518518519</v>
      </c>
      <c r="C914" s="1" t="n">
        <v>46030</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7697-2025</t>
        </is>
      </c>
      <c r="B915" s="1" t="n">
        <v>45706.40086805556</v>
      </c>
      <c r="C915" s="1" t="n">
        <v>46030</v>
      </c>
      <c r="D915" t="inlineStr">
        <is>
          <t>STOCKHOLMS LÄN</t>
        </is>
      </c>
      <c r="E915" t="inlineStr">
        <is>
          <t>NORRTÄLJE</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30221-2024</t>
        </is>
      </c>
      <c r="B916" s="1" t="n">
        <v>45490.45342592592</v>
      </c>
      <c r="C916" s="1" t="n">
        <v>46030</v>
      </c>
      <c r="D916" t="inlineStr">
        <is>
          <t>STOCKHOLMS LÄN</t>
        </is>
      </c>
      <c r="E916" t="inlineStr">
        <is>
          <t>NORRTÄLJE</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13-2024</t>
        </is>
      </c>
      <c r="B917" s="1" t="n">
        <v>45293.37263888889</v>
      </c>
      <c r="C917" s="1" t="n">
        <v>46030</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19-2024</t>
        </is>
      </c>
      <c r="B918" s="1" t="n">
        <v>45293</v>
      </c>
      <c r="C918" s="1" t="n">
        <v>46030</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31559-2022</t>
        </is>
      </c>
      <c r="B919" s="1" t="n">
        <v>44775</v>
      </c>
      <c r="C919" s="1" t="n">
        <v>46030</v>
      </c>
      <c r="D919" t="inlineStr">
        <is>
          <t>STOCKHOLMS LÄN</t>
        </is>
      </c>
      <c r="E919" t="inlineStr">
        <is>
          <t>NORRTÄLJE</t>
        </is>
      </c>
      <c r="G919" t="n">
        <v>5.6</v>
      </c>
      <c r="H919" t="n">
        <v>0</v>
      </c>
      <c r="I919" t="n">
        <v>0</v>
      </c>
      <c r="J919" t="n">
        <v>0</v>
      </c>
      <c r="K919" t="n">
        <v>0</v>
      </c>
      <c r="L919" t="n">
        <v>0</v>
      </c>
      <c r="M919" t="n">
        <v>0</v>
      </c>
      <c r="N919" t="n">
        <v>0</v>
      </c>
      <c r="O919" t="n">
        <v>0</v>
      </c>
      <c r="P919" t="n">
        <v>0</v>
      </c>
      <c r="Q919" t="n">
        <v>0</v>
      </c>
      <c r="R919" s="2" t="inlineStr"/>
    </row>
    <row r="920" ht="15" customHeight="1">
      <c r="A920" t="inlineStr">
        <is>
          <t>A 8419-2025</t>
        </is>
      </c>
      <c r="B920" s="1" t="n">
        <v>45709.40231481481</v>
      </c>
      <c r="C920" s="1" t="n">
        <v>46030</v>
      </c>
      <c r="D920" t="inlineStr">
        <is>
          <t>STOCKHOLMS LÄN</t>
        </is>
      </c>
      <c r="E920" t="inlineStr">
        <is>
          <t>NORRTÄLJE</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46030</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58989-2021</t>
        </is>
      </c>
      <c r="B922" s="1" t="n">
        <v>44490.02482638889</v>
      </c>
      <c r="C922" s="1" t="n">
        <v>46030</v>
      </c>
      <c r="D922" t="inlineStr">
        <is>
          <t>STOCKHOLMS LÄN</t>
        </is>
      </c>
      <c r="E922" t="inlineStr">
        <is>
          <t>NORRTÄLJE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46988-2024</t>
        </is>
      </c>
      <c r="B923" s="1" t="n">
        <v>45586</v>
      </c>
      <c r="C923" s="1" t="n">
        <v>46030</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21529-2021</t>
        </is>
      </c>
      <c r="B924" s="1" t="n">
        <v>44321</v>
      </c>
      <c r="C924" s="1" t="n">
        <v>46030</v>
      </c>
      <c r="D924" t="inlineStr">
        <is>
          <t>STOCKHOLMS LÄN</t>
        </is>
      </c>
      <c r="E924" t="inlineStr">
        <is>
          <t>NORRTÄLJE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13701-2022</t>
        </is>
      </c>
      <c r="B925" s="1" t="n">
        <v>44648</v>
      </c>
      <c r="C925" s="1" t="n">
        <v>46030</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14132-2025</t>
        </is>
      </c>
      <c r="B926" s="1" t="n">
        <v>45740.47550925926</v>
      </c>
      <c r="C926" s="1" t="n">
        <v>46030</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14133-2025</t>
        </is>
      </c>
      <c r="B927" s="1" t="n">
        <v>45740.47724537037</v>
      </c>
      <c r="C927" s="1" t="n">
        <v>46030</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8792-2025</t>
        </is>
      </c>
      <c r="B928" s="1" t="n">
        <v>45712</v>
      </c>
      <c r="C928" s="1" t="n">
        <v>46030</v>
      </c>
      <c r="D928" t="inlineStr">
        <is>
          <t>STOCKHOLMS LÄN</t>
        </is>
      </c>
      <c r="E928" t="inlineStr">
        <is>
          <t>NORRTÄLJE</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24887-2023</t>
        </is>
      </c>
      <c r="B929" s="1" t="n">
        <v>45085</v>
      </c>
      <c r="C929" s="1" t="n">
        <v>46030</v>
      </c>
      <c r="D929" t="inlineStr">
        <is>
          <t>STOCKHOLMS LÄN</t>
        </is>
      </c>
      <c r="E929" t="inlineStr">
        <is>
          <t>NORRTÄLJE</t>
        </is>
      </c>
      <c r="G929" t="n">
        <v>13.9</v>
      </c>
      <c r="H929" t="n">
        <v>0</v>
      </c>
      <c r="I929" t="n">
        <v>0</v>
      </c>
      <c r="J929" t="n">
        <v>0</v>
      </c>
      <c r="K929" t="n">
        <v>0</v>
      </c>
      <c r="L929" t="n">
        <v>0</v>
      </c>
      <c r="M929" t="n">
        <v>0</v>
      </c>
      <c r="N929" t="n">
        <v>0</v>
      </c>
      <c r="O929" t="n">
        <v>0</v>
      </c>
      <c r="P929" t="n">
        <v>0</v>
      </c>
      <c r="Q929" t="n">
        <v>0</v>
      </c>
      <c r="R929" s="2" t="inlineStr"/>
    </row>
    <row r="930" ht="15" customHeight="1">
      <c r="A930" t="inlineStr">
        <is>
          <t>A 38612-2022</t>
        </is>
      </c>
      <c r="B930" s="1" t="n">
        <v>44813</v>
      </c>
      <c r="C930" s="1" t="n">
        <v>46030</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4326-2023</t>
        </is>
      </c>
      <c r="B931" s="1" t="n">
        <v>44953.70481481482</v>
      </c>
      <c r="C931" s="1" t="n">
        <v>46030</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54504-2024</t>
        </is>
      </c>
      <c r="B932" s="1" t="n">
        <v>45617.58453703704</v>
      </c>
      <c r="C932" s="1" t="n">
        <v>46030</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21745-2023</t>
        </is>
      </c>
      <c r="B933" s="1" t="n">
        <v>45065.55917824074</v>
      </c>
      <c r="C933" s="1" t="n">
        <v>46030</v>
      </c>
      <c r="D933" t="inlineStr">
        <is>
          <t>STOCKHOLMS LÄN</t>
        </is>
      </c>
      <c r="E933" t="inlineStr">
        <is>
          <t>NORRTÄLJE</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21894-2023</t>
        </is>
      </c>
      <c r="B934" s="1" t="n">
        <v>45068.51783564815</v>
      </c>
      <c r="C934" s="1" t="n">
        <v>46030</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13276-2022</t>
        </is>
      </c>
      <c r="B935" s="1" t="n">
        <v>44644</v>
      </c>
      <c r="C935" s="1" t="n">
        <v>46030</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28182-2022</t>
        </is>
      </c>
      <c r="B936" s="1" t="n">
        <v>44746.58530092592</v>
      </c>
      <c r="C936" s="1" t="n">
        <v>46030</v>
      </c>
      <c r="D936" t="inlineStr">
        <is>
          <t>STOCKHOLMS LÄN</t>
        </is>
      </c>
      <c r="E936" t="inlineStr">
        <is>
          <t>NORRTÄLJE</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34461-2023</t>
        </is>
      </c>
      <c r="B937" s="1" t="n">
        <v>45139</v>
      </c>
      <c r="C937" s="1" t="n">
        <v>46030</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51046-2023</t>
        </is>
      </c>
      <c r="B938" s="1" t="n">
        <v>45218</v>
      </c>
      <c r="C938" s="1" t="n">
        <v>46030</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17382-2024</t>
        </is>
      </c>
      <c r="B939" s="1" t="n">
        <v>45414.65855324074</v>
      </c>
      <c r="C939" s="1" t="n">
        <v>46030</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6070-2022</t>
        </is>
      </c>
      <c r="B940" s="1" t="n">
        <v>44599.58428240741</v>
      </c>
      <c r="C940" s="1" t="n">
        <v>46030</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17039-2024</t>
        </is>
      </c>
      <c r="B941" s="1" t="n">
        <v>45412.4104050926</v>
      </c>
      <c r="C941" s="1" t="n">
        <v>46030</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48180-2023</t>
        </is>
      </c>
      <c r="B942" s="1" t="n">
        <v>45205</v>
      </c>
      <c r="C942" s="1" t="n">
        <v>46030</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35695-2023</t>
        </is>
      </c>
      <c r="B943" s="1" t="n">
        <v>45147.65407407407</v>
      </c>
      <c r="C943" s="1" t="n">
        <v>46030</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45173-2023</t>
        </is>
      </c>
      <c r="B944" s="1" t="n">
        <v>45191</v>
      </c>
      <c r="C944" s="1" t="n">
        <v>46030</v>
      </c>
      <c r="D944" t="inlineStr">
        <is>
          <t>STOCKHOLMS LÄN</t>
        </is>
      </c>
      <c r="E944" t="inlineStr">
        <is>
          <t>NORRTÄLJE</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24705-2023</t>
        </is>
      </c>
      <c r="B945" s="1" t="n">
        <v>45084.54459490741</v>
      </c>
      <c r="C945" s="1" t="n">
        <v>46030</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21696-2024</t>
        </is>
      </c>
      <c r="B946" s="1" t="n">
        <v>45442.45686342593</v>
      </c>
      <c r="C946" s="1" t="n">
        <v>46030</v>
      </c>
      <c r="D946" t="inlineStr">
        <is>
          <t>STOCKHOLMS LÄN</t>
        </is>
      </c>
      <c r="E946" t="inlineStr">
        <is>
          <t>NORRTÄLJE</t>
        </is>
      </c>
      <c r="G946" t="n">
        <v>2.9</v>
      </c>
      <c r="H946" t="n">
        <v>0</v>
      </c>
      <c r="I946" t="n">
        <v>0</v>
      </c>
      <c r="J946" t="n">
        <v>0</v>
      </c>
      <c r="K946" t="n">
        <v>0</v>
      </c>
      <c r="L946" t="n">
        <v>0</v>
      </c>
      <c r="M946" t="n">
        <v>0</v>
      </c>
      <c r="N946" t="n">
        <v>0</v>
      </c>
      <c r="O946" t="n">
        <v>0</v>
      </c>
      <c r="P946" t="n">
        <v>0</v>
      </c>
      <c r="Q946" t="n">
        <v>0</v>
      </c>
      <c r="R946" s="2" t="inlineStr"/>
    </row>
    <row r="947" ht="15" customHeight="1">
      <c r="A947" t="inlineStr">
        <is>
          <t>A 67990-2021</t>
        </is>
      </c>
      <c r="B947" s="1" t="n">
        <v>44525</v>
      </c>
      <c r="C947" s="1" t="n">
        <v>46030</v>
      </c>
      <c r="D947" t="inlineStr">
        <is>
          <t>STOCKHOLMS LÄN</t>
        </is>
      </c>
      <c r="E947" t="inlineStr">
        <is>
          <t>NORRTÄLJE</t>
        </is>
      </c>
      <c r="F947" t="inlineStr">
        <is>
          <t>Sveaskog</t>
        </is>
      </c>
      <c r="G947" t="n">
        <v>7.8</v>
      </c>
      <c r="H947" t="n">
        <v>0</v>
      </c>
      <c r="I947" t="n">
        <v>0</v>
      </c>
      <c r="J947" t="n">
        <v>0</v>
      </c>
      <c r="K947" t="n">
        <v>0</v>
      </c>
      <c r="L947" t="n">
        <v>0</v>
      </c>
      <c r="M947" t="n">
        <v>0</v>
      </c>
      <c r="N947" t="n">
        <v>0</v>
      </c>
      <c r="O947" t="n">
        <v>0</v>
      </c>
      <c r="P947" t="n">
        <v>0</v>
      </c>
      <c r="Q947" t="n">
        <v>0</v>
      </c>
      <c r="R947" s="2" t="inlineStr"/>
    </row>
    <row r="948" ht="15" customHeight="1">
      <c r="A948" t="inlineStr">
        <is>
          <t>A 71552-2021</t>
        </is>
      </c>
      <c r="B948" s="1" t="n">
        <v>44540</v>
      </c>
      <c r="C948" s="1" t="n">
        <v>46030</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73992-2021</t>
        </is>
      </c>
      <c r="B949" s="1" t="n">
        <v>44556</v>
      </c>
      <c r="C949" s="1" t="n">
        <v>46030</v>
      </c>
      <c r="D949" t="inlineStr">
        <is>
          <t>STOCKHOLMS LÄN</t>
        </is>
      </c>
      <c r="E949" t="inlineStr">
        <is>
          <t>NORRTÄLJE</t>
        </is>
      </c>
      <c r="G949" t="n">
        <v>12.5</v>
      </c>
      <c r="H949" t="n">
        <v>0</v>
      </c>
      <c r="I949" t="n">
        <v>0</v>
      </c>
      <c r="J949" t="n">
        <v>0</v>
      </c>
      <c r="K949" t="n">
        <v>0</v>
      </c>
      <c r="L949" t="n">
        <v>0</v>
      </c>
      <c r="M949" t="n">
        <v>0</v>
      </c>
      <c r="N949" t="n">
        <v>0</v>
      </c>
      <c r="O949" t="n">
        <v>0</v>
      </c>
      <c r="P949" t="n">
        <v>0</v>
      </c>
      <c r="Q949" t="n">
        <v>0</v>
      </c>
      <c r="R949" s="2" t="inlineStr"/>
    </row>
    <row r="950" ht="15" customHeight="1">
      <c r="A950" t="inlineStr">
        <is>
          <t>A 26113-2024</t>
        </is>
      </c>
      <c r="B950" s="1" t="n">
        <v>45468.45541666666</v>
      </c>
      <c r="C950" s="1" t="n">
        <v>46030</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26116-2024</t>
        </is>
      </c>
      <c r="B951" s="1" t="n">
        <v>45468.45747685185</v>
      </c>
      <c r="C951" s="1" t="n">
        <v>46030</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15978-2024</t>
        </is>
      </c>
      <c r="B952" s="1" t="n">
        <v>45405.57927083333</v>
      </c>
      <c r="C952" s="1" t="n">
        <v>46030</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11333-2025</t>
        </is>
      </c>
      <c r="B953" s="1" t="n">
        <v>45726.48377314815</v>
      </c>
      <c r="C953" s="1" t="n">
        <v>46030</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34391-2023</t>
        </is>
      </c>
      <c r="B954" s="1" t="n">
        <v>45139.51457175926</v>
      </c>
      <c r="C954" s="1" t="n">
        <v>46030</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67921-2021</t>
        </is>
      </c>
      <c r="B955" s="1" t="n">
        <v>44525</v>
      </c>
      <c r="C955" s="1" t="n">
        <v>46030</v>
      </c>
      <c r="D955" t="inlineStr">
        <is>
          <t>STOCKHOLMS LÄN</t>
        </is>
      </c>
      <c r="E955" t="inlineStr">
        <is>
          <t>NORRTÄLJE</t>
        </is>
      </c>
      <c r="G955" t="n">
        <v>6.3</v>
      </c>
      <c r="H955" t="n">
        <v>0</v>
      </c>
      <c r="I955" t="n">
        <v>0</v>
      </c>
      <c r="J955" t="n">
        <v>0</v>
      </c>
      <c r="K955" t="n">
        <v>0</v>
      </c>
      <c r="L955" t="n">
        <v>0</v>
      </c>
      <c r="M955" t="n">
        <v>0</v>
      </c>
      <c r="N955" t="n">
        <v>0</v>
      </c>
      <c r="O955" t="n">
        <v>0</v>
      </c>
      <c r="P955" t="n">
        <v>0</v>
      </c>
      <c r="Q955" t="n">
        <v>0</v>
      </c>
      <c r="R955" s="2" t="inlineStr"/>
    </row>
    <row r="956" ht="15" customHeight="1">
      <c r="A956" t="inlineStr">
        <is>
          <t>A 25681-2024</t>
        </is>
      </c>
      <c r="B956" s="1" t="n">
        <v>45463.80486111111</v>
      </c>
      <c r="C956" s="1" t="n">
        <v>46030</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58853-2024</t>
        </is>
      </c>
      <c r="B957" s="1" t="n">
        <v>45636.38974537037</v>
      </c>
      <c r="C957" s="1" t="n">
        <v>46030</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35438-2023</t>
        </is>
      </c>
      <c r="B958" s="1" t="n">
        <v>45146</v>
      </c>
      <c r="C958" s="1" t="n">
        <v>46030</v>
      </c>
      <c r="D958" t="inlineStr">
        <is>
          <t>STOCKHOLMS LÄN</t>
        </is>
      </c>
      <c r="E958" t="inlineStr">
        <is>
          <t>NORRTÄLJE</t>
        </is>
      </c>
      <c r="F958" t="inlineStr">
        <is>
          <t>Kommuner</t>
        </is>
      </c>
      <c r="G958" t="n">
        <v>1.9</v>
      </c>
      <c r="H958" t="n">
        <v>0</v>
      </c>
      <c r="I958" t="n">
        <v>0</v>
      </c>
      <c r="J958" t="n">
        <v>0</v>
      </c>
      <c r="K958" t="n">
        <v>0</v>
      </c>
      <c r="L958" t="n">
        <v>0</v>
      </c>
      <c r="M958" t="n">
        <v>0</v>
      </c>
      <c r="N958" t="n">
        <v>0</v>
      </c>
      <c r="O958" t="n">
        <v>0</v>
      </c>
      <c r="P958" t="n">
        <v>0</v>
      </c>
      <c r="Q958" t="n">
        <v>0</v>
      </c>
      <c r="R958" s="2" t="inlineStr"/>
    </row>
    <row r="959" ht="15" customHeight="1">
      <c r="A959" t="inlineStr">
        <is>
          <t>A 20291-2022</t>
        </is>
      </c>
      <c r="B959" s="1" t="n">
        <v>44698</v>
      </c>
      <c r="C959" s="1" t="n">
        <v>46030</v>
      </c>
      <c r="D959" t="inlineStr">
        <is>
          <t>STOCKHOLMS LÄN</t>
        </is>
      </c>
      <c r="E959" t="inlineStr">
        <is>
          <t>NORRTÄLJE</t>
        </is>
      </c>
      <c r="F959" t="inlineStr">
        <is>
          <t>Naturvårdsverket</t>
        </is>
      </c>
      <c r="G959" t="n">
        <v>2</v>
      </c>
      <c r="H959" t="n">
        <v>0</v>
      </c>
      <c r="I959" t="n">
        <v>0</v>
      </c>
      <c r="J959" t="n">
        <v>0</v>
      </c>
      <c r="K959" t="n">
        <v>0</v>
      </c>
      <c r="L959" t="n">
        <v>0</v>
      </c>
      <c r="M959" t="n">
        <v>0</v>
      </c>
      <c r="N959" t="n">
        <v>0</v>
      </c>
      <c r="O959" t="n">
        <v>0</v>
      </c>
      <c r="P959" t="n">
        <v>0</v>
      </c>
      <c r="Q959" t="n">
        <v>0</v>
      </c>
      <c r="R959" s="2" t="inlineStr"/>
    </row>
    <row r="960" ht="15" customHeight="1">
      <c r="A960" t="inlineStr">
        <is>
          <t>A 26115-2024</t>
        </is>
      </c>
      <c r="B960" s="1" t="n">
        <v>45468.45628472222</v>
      </c>
      <c r="C960" s="1" t="n">
        <v>46030</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28816-2023</t>
        </is>
      </c>
      <c r="B961" s="1" t="n">
        <v>45104</v>
      </c>
      <c r="C961" s="1" t="n">
        <v>46030</v>
      </c>
      <c r="D961" t="inlineStr">
        <is>
          <t>STOCKHOLMS LÄN</t>
        </is>
      </c>
      <c r="E961" t="inlineStr">
        <is>
          <t>NORRTÄLJE</t>
        </is>
      </c>
      <c r="F961" t="inlineStr">
        <is>
          <t>Kommuner</t>
        </is>
      </c>
      <c r="G961" t="n">
        <v>0.5</v>
      </c>
      <c r="H961" t="n">
        <v>0</v>
      </c>
      <c r="I961" t="n">
        <v>0</v>
      </c>
      <c r="J961" t="n">
        <v>0</v>
      </c>
      <c r="K961" t="n">
        <v>0</v>
      </c>
      <c r="L961" t="n">
        <v>0</v>
      </c>
      <c r="M961" t="n">
        <v>0</v>
      </c>
      <c r="N961" t="n">
        <v>0</v>
      </c>
      <c r="O961" t="n">
        <v>0</v>
      </c>
      <c r="P961" t="n">
        <v>0</v>
      </c>
      <c r="Q961" t="n">
        <v>0</v>
      </c>
      <c r="R961" s="2" t="inlineStr"/>
    </row>
    <row r="962" ht="15" customHeight="1">
      <c r="A962" t="inlineStr">
        <is>
          <t>A 19118-2022</t>
        </is>
      </c>
      <c r="B962" s="1" t="n">
        <v>44691.5652662037</v>
      </c>
      <c r="C962" s="1" t="n">
        <v>46030</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8739-2024</t>
        </is>
      </c>
      <c r="B963" s="1" t="n">
        <v>45356.47784722222</v>
      </c>
      <c r="C963" s="1" t="n">
        <v>46030</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38759-2022</t>
        </is>
      </c>
      <c r="B964" s="1" t="n">
        <v>44816</v>
      </c>
      <c r="C964" s="1" t="n">
        <v>46030</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32857-2021</t>
        </is>
      </c>
      <c r="B965" s="1" t="n">
        <v>44375</v>
      </c>
      <c r="C965" s="1" t="n">
        <v>46030</v>
      </c>
      <c r="D965" t="inlineStr">
        <is>
          <t>STOCKHOLMS LÄN</t>
        </is>
      </c>
      <c r="E965" t="inlineStr">
        <is>
          <t>NORRTÄLJE</t>
        </is>
      </c>
      <c r="G965" t="n">
        <v>2.9</v>
      </c>
      <c r="H965" t="n">
        <v>0</v>
      </c>
      <c r="I965" t="n">
        <v>0</v>
      </c>
      <c r="J965" t="n">
        <v>0</v>
      </c>
      <c r="K965" t="n">
        <v>0</v>
      </c>
      <c r="L965" t="n">
        <v>0</v>
      </c>
      <c r="M965" t="n">
        <v>0</v>
      </c>
      <c r="N965" t="n">
        <v>0</v>
      </c>
      <c r="O965" t="n">
        <v>0</v>
      </c>
      <c r="P965" t="n">
        <v>0</v>
      </c>
      <c r="Q965" t="n">
        <v>0</v>
      </c>
      <c r="R965" s="2" t="inlineStr"/>
    </row>
    <row r="966" ht="15" customHeight="1">
      <c r="A966" t="inlineStr">
        <is>
          <t>A 29714-2023</t>
        </is>
      </c>
      <c r="B966" s="1" t="n">
        <v>45107.42538194444</v>
      </c>
      <c r="C966" s="1" t="n">
        <v>46030</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23271-2023</t>
        </is>
      </c>
      <c r="B967" s="1" t="n">
        <v>45075.91362268518</v>
      </c>
      <c r="C967" s="1" t="n">
        <v>46030</v>
      </c>
      <c r="D967" t="inlineStr">
        <is>
          <t>STOCKHOLMS LÄN</t>
        </is>
      </c>
      <c r="E967" t="inlineStr">
        <is>
          <t>NORRTÄLJE</t>
        </is>
      </c>
      <c r="G967" t="n">
        <v>5.1</v>
      </c>
      <c r="H967" t="n">
        <v>0</v>
      </c>
      <c r="I967" t="n">
        <v>0</v>
      </c>
      <c r="J967" t="n">
        <v>0</v>
      </c>
      <c r="K967" t="n">
        <v>0</v>
      </c>
      <c r="L967" t="n">
        <v>0</v>
      </c>
      <c r="M967" t="n">
        <v>0</v>
      </c>
      <c r="N967" t="n">
        <v>0</v>
      </c>
      <c r="O967" t="n">
        <v>0</v>
      </c>
      <c r="P967" t="n">
        <v>0</v>
      </c>
      <c r="Q967" t="n">
        <v>0</v>
      </c>
      <c r="R967" s="2" t="inlineStr"/>
    </row>
    <row r="968" ht="15" customHeight="1">
      <c r="A968" t="inlineStr">
        <is>
          <t>A 23273-2023</t>
        </is>
      </c>
      <c r="B968" s="1" t="n">
        <v>45075.91971064815</v>
      </c>
      <c r="C968" s="1" t="n">
        <v>46030</v>
      </c>
      <c r="D968" t="inlineStr">
        <is>
          <t>STOCKHOLMS LÄN</t>
        </is>
      </c>
      <c r="E968" t="inlineStr">
        <is>
          <t>NORRTÄLJE</t>
        </is>
      </c>
      <c r="G968" t="n">
        <v>7.5</v>
      </c>
      <c r="H968" t="n">
        <v>0</v>
      </c>
      <c r="I968" t="n">
        <v>0</v>
      </c>
      <c r="J968" t="n">
        <v>0</v>
      </c>
      <c r="K968" t="n">
        <v>0</v>
      </c>
      <c r="L968" t="n">
        <v>0</v>
      </c>
      <c r="M968" t="n">
        <v>0</v>
      </c>
      <c r="N968" t="n">
        <v>0</v>
      </c>
      <c r="O968" t="n">
        <v>0</v>
      </c>
      <c r="P968" t="n">
        <v>0</v>
      </c>
      <c r="Q968" t="n">
        <v>0</v>
      </c>
      <c r="R968" s="2" t="inlineStr"/>
    </row>
    <row r="969" ht="15" customHeight="1">
      <c r="A969" t="inlineStr">
        <is>
          <t>A 7603-2025</t>
        </is>
      </c>
      <c r="B969" s="1" t="n">
        <v>45705.66126157407</v>
      </c>
      <c r="C969" s="1" t="n">
        <v>46030</v>
      </c>
      <c r="D969" t="inlineStr">
        <is>
          <t>STOCKHOLMS LÄN</t>
        </is>
      </c>
      <c r="E969" t="inlineStr">
        <is>
          <t>NORRTÄLJE</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30802-2022</t>
        </is>
      </c>
      <c r="B970" s="1" t="n">
        <v>44764</v>
      </c>
      <c r="C970" s="1" t="n">
        <v>46030</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55369-2023</t>
        </is>
      </c>
      <c r="B971" s="1" t="n">
        <v>45238</v>
      </c>
      <c r="C971" s="1" t="n">
        <v>46030</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61113-2023</t>
        </is>
      </c>
      <c r="B972" s="1" t="n">
        <v>45261</v>
      </c>
      <c r="C972" s="1" t="n">
        <v>46030</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3283-2025</t>
        </is>
      </c>
      <c r="B973" s="1" t="n">
        <v>45679</v>
      </c>
      <c r="C973" s="1" t="n">
        <v>46030</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34295-2024</t>
        </is>
      </c>
      <c r="B974" s="1" t="n">
        <v>45524</v>
      </c>
      <c r="C974" s="1" t="n">
        <v>46030</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58311-2023</t>
        </is>
      </c>
      <c r="B975" s="1" t="n">
        <v>45245</v>
      </c>
      <c r="C975" s="1" t="n">
        <v>46030</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23692-2024</t>
        </is>
      </c>
      <c r="B976" s="1" t="n">
        <v>45454.65774305556</v>
      </c>
      <c r="C976" s="1" t="n">
        <v>46030</v>
      </c>
      <c r="D976" t="inlineStr">
        <is>
          <t>STOCKHOLMS LÄN</t>
        </is>
      </c>
      <c r="E976" t="inlineStr">
        <is>
          <t>NORRTÄLJE</t>
        </is>
      </c>
      <c r="G976" t="n">
        <v>3.7</v>
      </c>
      <c r="H976" t="n">
        <v>0</v>
      </c>
      <c r="I976" t="n">
        <v>0</v>
      </c>
      <c r="J976" t="n">
        <v>0</v>
      </c>
      <c r="K976" t="n">
        <v>0</v>
      </c>
      <c r="L976" t="n">
        <v>0</v>
      </c>
      <c r="M976" t="n">
        <v>0</v>
      </c>
      <c r="N976" t="n">
        <v>0</v>
      </c>
      <c r="O976" t="n">
        <v>0</v>
      </c>
      <c r="P976" t="n">
        <v>0</v>
      </c>
      <c r="Q976" t="n">
        <v>0</v>
      </c>
      <c r="R976" s="2" t="inlineStr"/>
    </row>
    <row r="977" ht="15" customHeight="1">
      <c r="A977" t="inlineStr">
        <is>
          <t>A 20473-2021</t>
        </is>
      </c>
      <c r="B977" s="1" t="n">
        <v>44315</v>
      </c>
      <c r="C977" s="1" t="n">
        <v>46030</v>
      </c>
      <c r="D977" t="inlineStr">
        <is>
          <t>STOCKHOLMS LÄN</t>
        </is>
      </c>
      <c r="E977" t="inlineStr">
        <is>
          <t>NORRTÄLJE</t>
        </is>
      </c>
      <c r="F977" t="inlineStr">
        <is>
          <t>Övriga Aktiebolag</t>
        </is>
      </c>
      <c r="G977" t="n">
        <v>3.6</v>
      </c>
      <c r="H977" t="n">
        <v>0</v>
      </c>
      <c r="I977" t="n">
        <v>0</v>
      </c>
      <c r="J977" t="n">
        <v>0</v>
      </c>
      <c r="K977" t="n">
        <v>0</v>
      </c>
      <c r="L977" t="n">
        <v>0</v>
      </c>
      <c r="M977" t="n">
        <v>0</v>
      </c>
      <c r="N977" t="n">
        <v>0</v>
      </c>
      <c r="O977" t="n">
        <v>0</v>
      </c>
      <c r="P977" t="n">
        <v>0</v>
      </c>
      <c r="Q977" t="n">
        <v>0</v>
      </c>
      <c r="R977" s="2" t="inlineStr"/>
    </row>
    <row r="978" ht="15" customHeight="1">
      <c r="A978" t="inlineStr">
        <is>
          <t>A 54273-2021</t>
        </is>
      </c>
      <c r="B978" s="1" t="n">
        <v>44470.72987268519</v>
      </c>
      <c r="C978" s="1" t="n">
        <v>46030</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7806-2025</t>
        </is>
      </c>
      <c r="B979" s="1" t="n">
        <v>45706.61178240741</v>
      </c>
      <c r="C979" s="1" t="n">
        <v>46030</v>
      </c>
      <c r="D979" t="inlineStr">
        <is>
          <t>STOCKHOLMS LÄN</t>
        </is>
      </c>
      <c r="E979" t="inlineStr">
        <is>
          <t>NORRTÄLJE</t>
        </is>
      </c>
      <c r="F979" t="inlineStr">
        <is>
          <t>Holmen skog AB</t>
        </is>
      </c>
      <c r="G979" t="n">
        <v>3.5</v>
      </c>
      <c r="H979" t="n">
        <v>0</v>
      </c>
      <c r="I979" t="n">
        <v>0</v>
      </c>
      <c r="J979" t="n">
        <v>0</v>
      </c>
      <c r="K979" t="n">
        <v>0</v>
      </c>
      <c r="L979" t="n">
        <v>0</v>
      </c>
      <c r="M979" t="n">
        <v>0</v>
      </c>
      <c r="N979" t="n">
        <v>0</v>
      </c>
      <c r="O979" t="n">
        <v>0</v>
      </c>
      <c r="P979" t="n">
        <v>0</v>
      </c>
      <c r="Q979" t="n">
        <v>0</v>
      </c>
      <c r="R979" s="2" t="inlineStr"/>
    </row>
    <row r="980" ht="15" customHeight="1">
      <c r="A980" t="inlineStr">
        <is>
          <t>A 53792-2023</t>
        </is>
      </c>
      <c r="B980" s="1" t="n">
        <v>45231.34144675926</v>
      </c>
      <c r="C980" s="1" t="n">
        <v>46030</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21329-2022</t>
        </is>
      </c>
      <c r="B981" s="1" t="n">
        <v>44705.60626157407</v>
      </c>
      <c r="C981" s="1" t="n">
        <v>46030</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50569-2022</t>
        </is>
      </c>
      <c r="B982" s="1" t="n">
        <v>44866.63775462963</v>
      </c>
      <c r="C982" s="1" t="n">
        <v>46030</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24501-2023</t>
        </is>
      </c>
      <c r="B983" s="1" t="n">
        <v>45082</v>
      </c>
      <c r="C983" s="1" t="n">
        <v>46030</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24520-2023</t>
        </is>
      </c>
      <c r="B984" s="1" t="n">
        <v>45082.68922453704</v>
      </c>
      <c r="C984" s="1" t="n">
        <v>46030</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60654-2023</t>
        </is>
      </c>
      <c r="B985" s="1" t="n">
        <v>45260.43225694444</v>
      </c>
      <c r="C985" s="1" t="n">
        <v>46030</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60656-2023</t>
        </is>
      </c>
      <c r="B986" s="1" t="n">
        <v>45260.4333449074</v>
      </c>
      <c r="C986" s="1" t="n">
        <v>46030</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54496-2024</t>
        </is>
      </c>
      <c r="B987" s="1" t="n">
        <v>45617.57439814815</v>
      </c>
      <c r="C987" s="1" t="n">
        <v>46030</v>
      </c>
      <c r="D987" t="inlineStr">
        <is>
          <t>STOCKHOLMS LÄN</t>
        </is>
      </c>
      <c r="E987" t="inlineStr">
        <is>
          <t>NORRTÄLJE</t>
        </is>
      </c>
      <c r="G987" t="n">
        <v>2.2</v>
      </c>
      <c r="H987" t="n">
        <v>0</v>
      </c>
      <c r="I987" t="n">
        <v>0</v>
      </c>
      <c r="J987" t="n">
        <v>0</v>
      </c>
      <c r="K987" t="n">
        <v>0</v>
      </c>
      <c r="L987" t="n">
        <v>0</v>
      </c>
      <c r="M987" t="n">
        <v>0</v>
      </c>
      <c r="N987" t="n">
        <v>0</v>
      </c>
      <c r="O987" t="n">
        <v>0</v>
      </c>
      <c r="P987" t="n">
        <v>0</v>
      </c>
      <c r="Q987" t="n">
        <v>0</v>
      </c>
      <c r="R987" s="2" t="inlineStr"/>
    </row>
    <row r="988" ht="15" customHeight="1">
      <c r="A988" t="inlineStr">
        <is>
          <t>A 21386-2023</t>
        </is>
      </c>
      <c r="B988" s="1" t="n">
        <v>45063.35880787037</v>
      </c>
      <c r="C988" s="1" t="n">
        <v>46030</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10642-2025</t>
        </is>
      </c>
      <c r="B989" s="1" t="n">
        <v>45721.65858796296</v>
      </c>
      <c r="C989" s="1" t="n">
        <v>46030</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20144-2023</t>
        </is>
      </c>
      <c r="B990" s="1" t="n">
        <v>45055.43509259259</v>
      </c>
      <c r="C990" s="1" t="n">
        <v>46030</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53312-2024</t>
        </is>
      </c>
      <c r="B991" s="1" t="n">
        <v>45614.39627314815</v>
      </c>
      <c r="C991" s="1" t="n">
        <v>46030</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39202-2024</t>
        </is>
      </c>
      <c r="B992" s="1" t="n">
        <v>45548.72306712963</v>
      </c>
      <c r="C992" s="1" t="n">
        <v>46030</v>
      </c>
      <c r="D992" t="inlineStr">
        <is>
          <t>STOCKHOLMS LÄN</t>
        </is>
      </c>
      <c r="E992" t="inlineStr">
        <is>
          <t>NORRTÄLJE</t>
        </is>
      </c>
      <c r="G992" t="n">
        <v>1.9</v>
      </c>
      <c r="H992" t="n">
        <v>0</v>
      </c>
      <c r="I992" t="n">
        <v>0</v>
      </c>
      <c r="J992" t="n">
        <v>0</v>
      </c>
      <c r="K992" t="n">
        <v>0</v>
      </c>
      <c r="L992" t="n">
        <v>0</v>
      </c>
      <c r="M992" t="n">
        <v>0</v>
      </c>
      <c r="N992" t="n">
        <v>0</v>
      </c>
      <c r="O992" t="n">
        <v>0</v>
      </c>
      <c r="P992" t="n">
        <v>0</v>
      </c>
      <c r="Q992" t="n">
        <v>0</v>
      </c>
      <c r="R992" s="2" t="inlineStr"/>
    </row>
    <row r="993" ht="15" customHeight="1">
      <c r="A993" t="inlineStr">
        <is>
          <t>A 22756-2022</t>
        </is>
      </c>
      <c r="B993" s="1" t="n">
        <v>44714.92253472222</v>
      </c>
      <c r="C993" s="1" t="n">
        <v>46030</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4581-2025</t>
        </is>
      </c>
      <c r="B994" s="1" t="n">
        <v>45687</v>
      </c>
      <c r="C994" s="1" t="n">
        <v>46030</v>
      </c>
      <c r="D994" t="inlineStr">
        <is>
          <t>STOCKHOLMS LÄN</t>
        </is>
      </c>
      <c r="E994" t="inlineStr">
        <is>
          <t>NORRTÄLJE</t>
        </is>
      </c>
      <c r="F994" t="inlineStr">
        <is>
          <t>Holmen skog AB</t>
        </is>
      </c>
      <c r="G994" t="n">
        <v>2.8</v>
      </c>
      <c r="H994" t="n">
        <v>0</v>
      </c>
      <c r="I994" t="n">
        <v>0</v>
      </c>
      <c r="J994" t="n">
        <v>0</v>
      </c>
      <c r="K994" t="n">
        <v>0</v>
      </c>
      <c r="L994" t="n">
        <v>0</v>
      </c>
      <c r="M994" t="n">
        <v>0</v>
      </c>
      <c r="N994" t="n">
        <v>0</v>
      </c>
      <c r="O994" t="n">
        <v>0</v>
      </c>
      <c r="P994" t="n">
        <v>0</v>
      </c>
      <c r="Q994" t="n">
        <v>0</v>
      </c>
      <c r="R994" s="2" t="inlineStr"/>
    </row>
    <row r="995" ht="15" customHeight="1">
      <c r="A995" t="inlineStr">
        <is>
          <t>A 60765-2023</t>
        </is>
      </c>
      <c r="B995" s="1" t="n">
        <v>45260</v>
      </c>
      <c r="C995" s="1" t="n">
        <v>46030</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23801-2022</t>
        </is>
      </c>
      <c r="B996" s="1" t="n">
        <v>44722</v>
      </c>
      <c r="C996" s="1" t="n">
        <v>46030</v>
      </c>
      <c r="D996" t="inlineStr">
        <is>
          <t>STOCKHOLMS LÄN</t>
        </is>
      </c>
      <c r="E996" t="inlineStr">
        <is>
          <t>NORRTÄLJE</t>
        </is>
      </c>
      <c r="G996" t="n">
        <v>6.8</v>
      </c>
      <c r="H996" t="n">
        <v>0</v>
      </c>
      <c r="I996" t="n">
        <v>0</v>
      </c>
      <c r="J996" t="n">
        <v>0</v>
      </c>
      <c r="K996" t="n">
        <v>0</v>
      </c>
      <c r="L996" t="n">
        <v>0</v>
      </c>
      <c r="M996" t="n">
        <v>0</v>
      </c>
      <c r="N996" t="n">
        <v>0</v>
      </c>
      <c r="O996" t="n">
        <v>0</v>
      </c>
      <c r="P996" t="n">
        <v>0</v>
      </c>
      <c r="Q996" t="n">
        <v>0</v>
      </c>
      <c r="R996" s="2" t="inlineStr"/>
    </row>
    <row r="997" ht="15" customHeight="1">
      <c r="A997" t="inlineStr">
        <is>
          <t>A 59276-2023</t>
        </is>
      </c>
      <c r="B997" s="1" t="n">
        <v>45253.55641203704</v>
      </c>
      <c r="C997" s="1" t="n">
        <v>46030</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46914-2022</t>
        </is>
      </c>
      <c r="B998" s="1" t="n">
        <v>44851</v>
      </c>
      <c r="C998" s="1" t="n">
        <v>46030</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18541-2023</t>
        </is>
      </c>
      <c r="B999" s="1" t="n">
        <v>45042.74291666667</v>
      </c>
      <c r="C999" s="1" t="n">
        <v>46030</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3509-2022</t>
        </is>
      </c>
      <c r="B1000" s="1" t="n">
        <v>44585</v>
      </c>
      <c r="C1000" s="1" t="n">
        <v>46030</v>
      </c>
      <c r="D1000" t="inlineStr">
        <is>
          <t>STOCKHOLMS LÄN</t>
        </is>
      </c>
      <c r="E1000" t="inlineStr">
        <is>
          <t>NORRTÄLJE</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26407-2024</t>
        </is>
      </c>
      <c r="B1001" s="1" t="n">
        <v>45469</v>
      </c>
      <c r="C1001" s="1" t="n">
        <v>46030</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12890-2024</t>
        </is>
      </c>
      <c r="B1002" s="1" t="n">
        <v>45385.36243055556</v>
      </c>
      <c r="C1002" s="1" t="n">
        <v>46030</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47419-2023</t>
        </is>
      </c>
      <c r="B1003" s="1" t="n">
        <v>45202.65660879629</v>
      </c>
      <c r="C1003" s="1" t="n">
        <v>46030</v>
      </c>
      <c r="D1003" t="inlineStr">
        <is>
          <t>STOCKHOLMS LÄN</t>
        </is>
      </c>
      <c r="E1003" t="inlineStr">
        <is>
          <t>NORRTÄLJE</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23070-2023</t>
        </is>
      </c>
      <c r="B1004" s="1" t="n">
        <v>45075</v>
      </c>
      <c r="C1004" s="1" t="n">
        <v>46030</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27824-2022</t>
        </is>
      </c>
      <c r="B1005" s="1" t="n">
        <v>44743.59331018518</v>
      </c>
      <c r="C1005" s="1" t="n">
        <v>46030</v>
      </c>
      <c r="D1005" t="inlineStr">
        <is>
          <t>STOCKHOLMS LÄN</t>
        </is>
      </c>
      <c r="E1005" t="inlineStr">
        <is>
          <t>NORRTÄLJE</t>
        </is>
      </c>
      <c r="F1005" t="inlineStr">
        <is>
          <t>Kommuner</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25619-2022</t>
        </is>
      </c>
      <c r="B1006" s="1" t="n">
        <v>44732</v>
      </c>
      <c r="C1006" s="1" t="n">
        <v>46030</v>
      </c>
      <c r="D1006" t="inlineStr">
        <is>
          <t>STOCKHOLMS LÄN</t>
        </is>
      </c>
      <c r="E1006" t="inlineStr">
        <is>
          <t>NORRTÄLJE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36246-2021</t>
        </is>
      </c>
      <c r="B1007" s="1" t="n">
        <v>44390</v>
      </c>
      <c r="C1007" s="1" t="n">
        <v>46030</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19952-2023</t>
        </is>
      </c>
      <c r="B1008" s="1" t="n">
        <v>45054.54091435186</v>
      </c>
      <c r="C1008" s="1" t="n">
        <v>46030</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19994-2023</t>
        </is>
      </c>
      <c r="B1009" s="1" t="n">
        <v>45054</v>
      </c>
      <c r="C1009" s="1" t="n">
        <v>46030</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14130-2025</t>
        </is>
      </c>
      <c r="B1010" s="1" t="n">
        <v>45740.47288194444</v>
      </c>
      <c r="C1010" s="1" t="n">
        <v>46030</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46030</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30283-2022</t>
        </is>
      </c>
      <c r="B1012" s="1" t="n">
        <v>44760</v>
      </c>
      <c r="C1012" s="1" t="n">
        <v>46030</v>
      </c>
      <c r="D1012" t="inlineStr">
        <is>
          <t>STOCKHOLMS LÄN</t>
        </is>
      </c>
      <c r="E1012" t="inlineStr">
        <is>
          <t>NORRTÄLJE</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30290-2022</t>
        </is>
      </c>
      <c r="B1013" s="1" t="n">
        <v>44760</v>
      </c>
      <c r="C1013" s="1" t="n">
        <v>46030</v>
      </c>
      <c r="D1013" t="inlineStr">
        <is>
          <t>STOCKHOLMS LÄN</t>
        </is>
      </c>
      <c r="E1013" t="inlineStr">
        <is>
          <t>NORRTÄLJE</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3143-2021</t>
        </is>
      </c>
      <c r="B1014" s="1" t="n">
        <v>44217.40149305556</v>
      </c>
      <c r="C1014" s="1" t="n">
        <v>46030</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29684-2021</t>
        </is>
      </c>
      <c r="B1015" s="1" t="n">
        <v>44362.37172453704</v>
      </c>
      <c r="C1015" s="1" t="n">
        <v>46030</v>
      </c>
      <c r="D1015" t="inlineStr">
        <is>
          <t>STOCKHOLMS LÄN</t>
        </is>
      </c>
      <c r="E1015" t="inlineStr">
        <is>
          <t>NORRTÄLJE</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60884-2024</t>
        </is>
      </c>
      <c r="B1016" s="1" t="n">
        <v>45644.90815972222</v>
      </c>
      <c r="C1016" s="1" t="n">
        <v>46030</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38610-2022</t>
        </is>
      </c>
      <c r="B1017" s="1" t="n">
        <v>44813.59915509259</v>
      </c>
      <c r="C1017" s="1" t="n">
        <v>46030</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10090-2022</t>
        </is>
      </c>
      <c r="B1018" s="1" t="n">
        <v>44621</v>
      </c>
      <c r="C1018" s="1" t="n">
        <v>46030</v>
      </c>
      <c r="D1018" t="inlineStr">
        <is>
          <t>STOCKHOLMS LÄN</t>
        </is>
      </c>
      <c r="E1018" t="inlineStr">
        <is>
          <t>NORRTÄLJE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14724-2022</t>
        </is>
      </c>
      <c r="B1019" s="1" t="n">
        <v>44656</v>
      </c>
      <c r="C1019" s="1" t="n">
        <v>46030</v>
      </c>
      <c r="D1019" t="inlineStr">
        <is>
          <t>STOCKHOLMS LÄN</t>
        </is>
      </c>
      <c r="E1019" t="inlineStr">
        <is>
          <t>NORRTÄLJE</t>
        </is>
      </c>
      <c r="F1019" t="inlineStr">
        <is>
          <t>Sveaskog</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18846-2022</t>
        </is>
      </c>
      <c r="B1020" s="1" t="n">
        <v>44690</v>
      </c>
      <c r="C1020" s="1" t="n">
        <v>46030</v>
      </c>
      <c r="D1020" t="inlineStr">
        <is>
          <t>STOCKHOLMS LÄN</t>
        </is>
      </c>
      <c r="E1020" t="inlineStr">
        <is>
          <t>NORRTÄLJE</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43300-2023</t>
        </is>
      </c>
      <c r="B1021" s="1" t="n">
        <v>45183</v>
      </c>
      <c r="C1021" s="1" t="n">
        <v>46030</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25654-2023</t>
        </is>
      </c>
      <c r="B1022" s="1" t="n">
        <v>45089</v>
      </c>
      <c r="C1022" s="1" t="n">
        <v>46030</v>
      </c>
      <c r="D1022" t="inlineStr">
        <is>
          <t>STOCKHOLMS LÄN</t>
        </is>
      </c>
      <c r="E1022" t="inlineStr">
        <is>
          <t>NORRTÄLJE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23125-2022</t>
        </is>
      </c>
      <c r="B1023" s="1" t="n">
        <v>44719</v>
      </c>
      <c r="C1023" s="1" t="n">
        <v>46030</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20121-2022</t>
        </is>
      </c>
      <c r="B1024" s="1" t="n">
        <v>44698</v>
      </c>
      <c r="C1024" s="1" t="n">
        <v>46030</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33385-2024</t>
        </is>
      </c>
      <c r="B1025" s="1" t="n">
        <v>45519</v>
      </c>
      <c r="C1025" s="1" t="n">
        <v>46030</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41172-2023</t>
        </is>
      </c>
      <c r="B1026" s="1" t="n">
        <v>45170</v>
      </c>
      <c r="C1026" s="1" t="n">
        <v>46030</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73307-2021</t>
        </is>
      </c>
      <c r="B1027" s="1" t="n">
        <v>44549</v>
      </c>
      <c r="C1027" s="1" t="n">
        <v>46030</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50534-2024</t>
        </is>
      </c>
      <c r="B1028" s="1" t="n">
        <v>45601.56726851852</v>
      </c>
      <c r="C1028" s="1" t="n">
        <v>46030</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11988-2021</t>
        </is>
      </c>
      <c r="B1029" s="1" t="n">
        <v>44266</v>
      </c>
      <c r="C1029" s="1" t="n">
        <v>46030</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12132-2021</t>
        </is>
      </c>
      <c r="B1030" s="1" t="n">
        <v>44266</v>
      </c>
      <c r="C1030" s="1" t="n">
        <v>46030</v>
      </c>
      <c r="D1030" t="inlineStr">
        <is>
          <t>STOCKHOLMS LÄN</t>
        </is>
      </c>
      <c r="E1030" t="inlineStr">
        <is>
          <t>NORRTÄLJE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65499-2021</t>
        </is>
      </c>
      <c r="B1031" s="1" t="n">
        <v>44516</v>
      </c>
      <c r="C1031" s="1" t="n">
        <v>46030</v>
      </c>
      <c r="D1031" t="inlineStr">
        <is>
          <t>STOCKHOLMS LÄN</t>
        </is>
      </c>
      <c r="E1031" t="inlineStr">
        <is>
          <t>NORRTÄLJE</t>
        </is>
      </c>
      <c r="F1031" t="inlineStr">
        <is>
          <t>Kommuner</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65511-2021</t>
        </is>
      </c>
      <c r="B1032" s="1" t="n">
        <v>44516.40674768519</v>
      </c>
      <c r="C1032" s="1" t="n">
        <v>46030</v>
      </c>
      <c r="D1032" t="inlineStr">
        <is>
          <t>STOCKHOLMS LÄN</t>
        </is>
      </c>
      <c r="E1032" t="inlineStr">
        <is>
          <t>NORRTÄLJE</t>
        </is>
      </c>
      <c r="F1032" t="inlineStr">
        <is>
          <t>Kommuner</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22833-2024</t>
        </is>
      </c>
      <c r="B1033" s="1" t="n">
        <v>45448.56746527777</v>
      </c>
      <c r="C1033" s="1" t="n">
        <v>46030</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32514-2022</t>
        </is>
      </c>
      <c r="B1034" s="1" t="n">
        <v>44782</v>
      </c>
      <c r="C1034" s="1" t="n">
        <v>46030</v>
      </c>
      <c r="D1034" t="inlineStr">
        <is>
          <t>STOCKHOLMS LÄN</t>
        </is>
      </c>
      <c r="E1034" t="inlineStr">
        <is>
          <t>NORRTÄLJE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29362-2022</t>
        </is>
      </c>
      <c r="B1035" s="1" t="n">
        <v>44753</v>
      </c>
      <c r="C1035" s="1" t="n">
        <v>46030</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58492-2022</t>
        </is>
      </c>
      <c r="B1036" s="1" t="n">
        <v>44902</v>
      </c>
      <c r="C1036" s="1" t="n">
        <v>46030</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51315-2021</t>
        </is>
      </c>
      <c r="B1037" s="1" t="n">
        <v>44461</v>
      </c>
      <c r="C1037" s="1" t="n">
        <v>46030</v>
      </c>
      <c r="D1037" t="inlineStr">
        <is>
          <t>STOCKHOLMS LÄN</t>
        </is>
      </c>
      <c r="E1037" t="inlineStr">
        <is>
          <t>NORRTÄLJE</t>
        </is>
      </c>
      <c r="F1037" t="inlineStr">
        <is>
          <t>Holmen skog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14873-2025</t>
        </is>
      </c>
      <c r="B1038" s="1" t="n">
        <v>45743.44953703704</v>
      </c>
      <c r="C1038" s="1" t="n">
        <v>46030</v>
      </c>
      <c r="D1038" t="inlineStr">
        <is>
          <t>STOCKHOLMS LÄN</t>
        </is>
      </c>
      <c r="E1038" t="inlineStr">
        <is>
          <t>NORRTÄLJE</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34773-2022</t>
        </is>
      </c>
      <c r="B1039" s="1" t="n">
        <v>44795</v>
      </c>
      <c r="C1039" s="1" t="n">
        <v>46030</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33173-2024</t>
        </is>
      </c>
      <c r="B1040" s="1" t="n">
        <v>45518</v>
      </c>
      <c r="C1040" s="1" t="n">
        <v>46030</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4484-2025</t>
        </is>
      </c>
      <c r="B1041" s="1" t="n">
        <v>45686.65545138889</v>
      </c>
      <c r="C1041" s="1" t="n">
        <v>46030</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33878-2024</t>
        </is>
      </c>
      <c r="B1042" s="1" t="n">
        <v>45522.44414351852</v>
      </c>
      <c r="C1042" s="1" t="n">
        <v>46030</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9246-2024</t>
        </is>
      </c>
      <c r="B1043" s="1" t="n">
        <v>45357</v>
      </c>
      <c r="C1043" s="1" t="n">
        <v>46030</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35698-2023</t>
        </is>
      </c>
      <c r="B1044" s="1" t="n">
        <v>45147</v>
      </c>
      <c r="C1044" s="1" t="n">
        <v>46030</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62398-2022</t>
        </is>
      </c>
      <c r="B1045" s="1" t="n">
        <v>44923.90159722222</v>
      </c>
      <c r="C1045" s="1" t="n">
        <v>46030</v>
      </c>
      <c r="D1045" t="inlineStr">
        <is>
          <t>STOCKHOLMS LÄN</t>
        </is>
      </c>
      <c r="E1045" t="inlineStr">
        <is>
          <t>NORRTÄLJE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49700-2023</t>
        </is>
      </c>
      <c r="B1046" s="1" t="n">
        <v>45212</v>
      </c>
      <c r="C1046" s="1" t="n">
        <v>46030</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32071-2023</t>
        </is>
      </c>
      <c r="B1047" s="1" t="n">
        <v>45119.57728009259</v>
      </c>
      <c r="C1047" s="1" t="n">
        <v>46030</v>
      </c>
      <c r="D1047" t="inlineStr">
        <is>
          <t>STOCKHOLMS LÄN</t>
        </is>
      </c>
      <c r="E1047" t="inlineStr">
        <is>
          <t>NORRTÄLJE</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1425-2025</t>
        </is>
      </c>
      <c r="B1048" s="1" t="n">
        <v>45668.67446759259</v>
      </c>
      <c r="C1048" s="1" t="n">
        <v>46030</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17775-2022</t>
        </is>
      </c>
      <c r="B1049" s="1" t="n">
        <v>44682.78430555556</v>
      </c>
      <c r="C1049" s="1" t="n">
        <v>46030</v>
      </c>
      <c r="D1049" t="inlineStr">
        <is>
          <t>STOCKHOLMS LÄN</t>
        </is>
      </c>
      <c r="E1049" t="inlineStr">
        <is>
          <t>NORRTÄLJE</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38720-2022</t>
        </is>
      </c>
      <c r="B1050" s="1" t="n">
        <v>44815.74539351852</v>
      </c>
      <c r="C1050" s="1" t="n">
        <v>46030</v>
      </c>
      <c r="D1050" t="inlineStr">
        <is>
          <t>STOCKHOLMS LÄN</t>
        </is>
      </c>
      <c r="E1050" t="inlineStr">
        <is>
          <t>NORRTÄLJE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10215-2023</t>
        </is>
      </c>
      <c r="B1051" s="1" t="n">
        <v>44986.5887962963</v>
      </c>
      <c r="C1051" s="1" t="n">
        <v>46030</v>
      </c>
      <c r="D1051" t="inlineStr">
        <is>
          <t>STOCKHOLMS LÄN</t>
        </is>
      </c>
      <c r="E1051" t="inlineStr">
        <is>
          <t>NORRTÄLJE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25609-2023</t>
        </is>
      </c>
      <c r="B1052" s="1" t="n">
        <v>45089</v>
      </c>
      <c r="C1052" s="1" t="n">
        <v>46030</v>
      </c>
      <c r="D1052" t="inlineStr">
        <is>
          <t>STOCKHOLMS LÄN</t>
        </is>
      </c>
      <c r="E1052" t="inlineStr">
        <is>
          <t>NORRTÄLJE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20014-2025</t>
        </is>
      </c>
      <c r="B1053" s="1" t="n">
        <v>45772.3078125</v>
      </c>
      <c r="C1053" s="1" t="n">
        <v>46030</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20136-2025</t>
        </is>
      </c>
      <c r="B1054" s="1" t="n">
        <v>45772.51127314815</v>
      </c>
      <c r="C1054" s="1" t="n">
        <v>46030</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2287-2024</t>
        </is>
      </c>
      <c r="B1055" s="1" t="n">
        <v>45310</v>
      </c>
      <c r="C1055" s="1" t="n">
        <v>46030</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13785-2024</t>
        </is>
      </c>
      <c r="B1056" s="1" t="n">
        <v>45391.3395949074</v>
      </c>
      <c r="C1056" s="1" t="n">
        <v>46030</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50469-2022</t>
        </is>
      </c>
      <c r="B1057" s="1" t="n">
        <v>44866.49827546296</v>
      </c>
      <c r="C1057" s="1" t="n">
        <v>46030</v>
      </c>
      <c r="D1057" t="inlineStr">
        <is>
          <t>STOCKHOLMS LÄN</t>
        </is>
      </c>
      <c r="E1057" t="inlineStr">
        <is>
          <t>NORRTÄLJE</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51116-2022</t>
        </is>
      </c>
      <c r="B1058" s="1" t="n">
        <v>44868.45741898148</v>
      </c>
      <c r="C1058" s="1" t="n">
        <v>46030</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60217-2021</t>
        </is>
      </c>
      <c r="B1059" s="1" t="n">
        <v>44495.5893287037</v>
      </c>
      <c r="C1059" s="1" t="n">
        <v>46030</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5839-2023</t>
        </is>
      </c>
      <c r="B1060" s="1" t="n">
        <v>44963</v>
      </c>
      <c r="C1060" s="1" t="n">
        <v>46030</v>
      </c>
      <c r="D1060" t="inlineStr">
        <is>
          <t>STOCKHOLMS LÄN</t>
        </is>
      </c>
      <c r="E1060" t="inlineStr">
        <is>
          <t>NORRTÄLJE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38985-2022</t>
        </is>
      </c>
      <c r="B1061" s="1" t="n">
        <v>44816</v>
      </c>
      <c r="C1061" s="1" t="n">
        <v>46030</v>
      </c>
      <c r="D1061" t="inlineStr">
        <is>
          <t>STOCKHOLMS LÄN</t>
        </is>
      </c>
      <c r="E1061" t="inlineStr">
        <is>
          <t>NORRTÄLJE</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5665-2025</t>
        </is>
      </c>
      <c r="B1062" s="1" t="n">
        <v>45693</v>
      </c>
      <c r="C1062" s="1" t="n">
        <v>46030</v>
      </c>
      <c r="D1062" t="inlineStr">
        <is>
          <t>STOCKHOLMS LÄN</t>
        </is>
      </c>
      <c r="E1062" t="inlineStr">
        <is>
          <t>NORRTÄLJE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3426-2025</t>
        </is>
      </c>
      <c r="B1063" s="1" t="n">
        <v>45680.42665509259</v>
      </c>
      <c r="C1063" s="1" t="n">
        <v>46030</v>
      </c>
      <c r="D1063" t="inlineStr">
        <is>
          <t>STOCKHOLMS LÄN</t>
        </is>
      </c>
      <c r="E1063" t="inlineStr">
        <is>
          <t>NORRTÄLJE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58530-2024</t>
        </is>
      </c>
      <c r="B1064" s="1" t="n">
        <v>45635.44788194444</v>
      </c>
      <c r="C1064" s="1" t="n">
        <v>46030</v>
      </c>
      <c r="D1064" t="inlineStr">
        <is>
          <t>STOCKHOLMS LÄN</t>
        </is>
      </c>
      <c r="E1064" t="inlineStr">
        <is>
          <t>NORRTÄLJE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22421-2021</t>
        </is>
      </c>
      <c r="B1065" s="1" t="n">
        <v>44326</v>
      </c>
      <c r="C1065" s="1" t="n">
        <v>46030</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40761-2024</t>
        </is>
      </c>
      <c r="B1066" s="1" t="n">
        <v>45558.46283564815</v>
      </c>
      <c r="C1066" s="1" t="n">
        <v>46030</v>
      </c>
      <c r="D1066" t="inlineStr">
        <is>
          <t>STOCKHOLMS LÄN</t>
        </is>
      </c>
      <c r="E1066" t="inlineStr">
        <is>
          <t>NORRTÄLJE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4553-2023</t>
        </is>
      </c>
      <c r="B1067" s="1" t="n">
        <v>44956.65920138889</v>
      </c>
      <c r="C1067" s="1" t="n">
        <v>46030</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46030</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13171-2025</t>
        </is>
      </c>
      <c r="B1069" s="1" t="n">
        <v>45735.36594907408</v>
      </c>
      <c r="C1069" s="1" t="n">
        <v>46030</v>
      </c>
      <c r="D1069" t="inlineStr">
        <is>
          <t>STOCKHOLMS LÄN</t>
        </is>
      </c>
      <c r="E1069" t="inlineStr">
        <is>
          <t>NORRTÄLJE</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51978-2023</t>
        </is>
      </c>
      <c r="B1070" s="1" t="n">
        <v>45223</v>
      </c>
      <c r="C1070" s="1" t="n">
        <v>46030</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18092-2022</t>
        </is>
      </c>
      <c r="B1071" s="1" t="n">
        <v>44684</v>
      </c>
      <c r="C1071" s="1" t="n">
        <v>46030</v>
      </c>
      <c r="D1071" t="inlineStr">
        <is>
          <t>STOCKHOLMS LÄN</t>
        </is>
      </c>
      <c r="E1071" t="inlineStr">
        <is>
          <t>NORRTÄLJE</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59310-2023</t>
        </is>
      </c>
      <c r="B1072" s="1" t="n">
        <v>45253.61146990741</v>
      </c>
      <c r="C1072" s="1" t="n">
        <v>46030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9329-2023</t>
        </is>
      </c>
      <c r="B1073" s="1" t="n">
        <v>44980</v>
      </c>
      <c r="C1073" s="1" t="n">
        <v>46030</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59878-2024</t>
        </is>
      </c>
      <c r="B1074" s="1" t="n">
        <v>45640.60240740741</v>
      </c>
      <c r="C1074" s="1" t="n">
        <v>46030</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41335-2023</t>
        </is>
      </c>
      <c r="B1075" s="1" t="n">
        <v>45174.68702546296</v>
      </c>
      <c r="C1075" s="1" t="n">
        <v>46030</v>
      </c>
      <c r="D1075" t="inlineStr">
        <is>
          <t>STOCKHOLMS LÄN</t>
        </is>
      </c>
      <c r="E1075" t="inlineStr">
        <is>
          <t>NORRTÄLJE</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33040-2021</t>
        </is>
      </c>
      <c r="B1076" s="1" t="n">
        <v>44376.50728009259</v>
      </c>
      <c r="C1076" s="1" t="n">
        <v>46030</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33053-2021</t>
        </is>
      </c>
      <c r="B1077" s="1" t="n">
        <v>44376</v>
      </c>
      <c r="C1077" s="1" t="n">
        <v>46030</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43150-2023</t>
        </is>
      </c>
      <c r="B1078" s="1" t="n">
        <v>45183</v>
      </c>
      <c r="C1078" s="1" t="n">
        <v>46030</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5950-2021</t>
        </is>
      </c>
      <c r="B1079" s="1" t="n">
        <v>44231</v>
      </c>
      <c r="C1079" s="1" t="n">
        <v>46030</v>
      </c>
      <c r="D1079" t="inlineStr">
        <is>
          <t>STOCKHOLMS LÄN</t>
        </is>
      </c>
      <c r="E1079" t="inlineStr">
        <is>
          <t>NORRTÄLJE</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54259-2023</t>
        </is>
      </c>
      <c r="B1080" s="1" t="n">
        <v>45232</v>
      </c>
      <c r="C1080" s="1" t="n">
        <v>46030</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60822-2023</t>
        </is>
      </c>
      <c r="B1081" s="1" t="n">
        <v>45259</v>
      </c>
      <c r="C1081" s="1" t="n">
        <v>46030</v>
      </c>
      <c r="D1081" t="inlineStr">
        <is>
          <t>STOCKHOLMS LÄN</t>
        </is>
      </c>
      <c r="E1081" t="inlineStr">
        <is>
          <t>NORRTÄLJE</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12031-2021</t>
        </is>
      </c>
      <c r="B1082" s="1" t="n">
        <v>44266</v>
      </c>
      <c r="C1082" s="1" t="n">
        <v>46030</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27381-2024</t>
        </is>
      </c>
      <c r="B1083" s="1" t="n">
        <v>45473.94501157408</v>
      </c>
      <c r="C1083" s="1" t="n">
        <v>46030</v>
      </c>
      <c r="D1083" t="inlineStr">
        <is>
          <t>STOCKHOLMS LÄN</t>
        </is>
      </c>
      <c r="E1083" t="inlineStr">
        <is>
          <t>NORRTÄLJE</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23265-2023</t>
        </is>
      </c>
      <c r="B1084" s="1" t="n">
        <v>45075.90703703704</v>
      </c>
      <c r="C1084" s="1" t="n">
        <v>46030</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26117-2024</t>
        </is>
      </c>
      <c r="B1085" s="1" t="n">
        <v>45468.45877314815</v>
      </c>
      <c r="C1085" s="1" t="n">
        <v>46030</v>
      </c>
      <c r="D1085" t="inlineStr">
        <is>
          <t>STOCKHOLMS LÄN</t>
        </is>
      </c>
      <c r="E1085" t="inlineStr">
        <is>
          <t>NORRTÄLJE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20336-2024</t>
        </is>
      </c>
      <c r="B1086" s="1" t="n">
        <v>45435.43123842592</v>
      </c>
      <c r="C1086" s="1" t="n">
        <v>46030</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1847-2023</t>
        </is>
      </c>
      <c r="B1087" s="1" t="n">
        <v>44938</v>
      </c>
      <c r="C1087" s="1" t="n">
        <v>46030</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59721-2024</t>
        </is>
      </c>
      <c r="B1088" s="1" t="n">
        <v>45639.47385416667</v>
      </c>
      <c r="C1088" s="1" t="n">
        <v>46030</v>
      </c>
      <c r="D1088" t="inlineStr">
        <is>
          <t>STOCKHOLMS LÄN</t>
        </is>
      </c>
      <c r="E1088" t="inlineStr">
        <is>
          <t>NORRTÄLJE</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37010-2022</t>
        </is>
      </c>
      <c r="B1089" s="1" t="n">
        <v>44806.41576388889</v>
      </c>
      <c r="C1089" s="1" t="n">
        <v>46030</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951-2023</t>
        </is>
      </c>
      <c r="B1090" s="1" t="n">
        <v>44934</v>
      </c>
      <c r="C1090" s="1" t="n">
        <v>46030</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5423-2023</t>
        </is>
      </c>
      <c r="B1091" s="1" t="n">
        <v>44959.74533564815</v>
      </c>
      <c r="C1091" s="1" t="n">
        <v>46030</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50182-2024</t>
        </is>
      </c>
      <c r="B1092" s="1" t="n">
        <v>45600.47275462963</v>
      </c>
      <c r="C1092" s="1" t="n">
        <v>46030</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12629-2024</t>
        </is>
      </c>
      <c r="B1093" s="1" t="n">
        <v>45383</v>
      </c>
      <c r="C1093" s="1" t="n">
        <v>46030</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35708-2022</t>
        </is>
      </c>
      <c r="B1094" s="1" t="n">
        <v>44799.65013888889</v>
      </c>
      <c r="C1094" s="1" t="n">
        <v>46030</v>
      </c>
      <c r="D1094" t="inlineStr">
        <is>
          <t>STOCKHOLMS LÄN</t>
        </is>
      </c>
      <c r="E1094" t="inlineStr">
        <is>
          <t>NORRTÄLJE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45220-2024</t>
        </is>
      </c>
      <c r="B1095" s="1" t="n">
        <v>45575</v>
      </c>
      <c r="C1095" s="1" t="n">
        <v>46030</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21731-2023</t>
        </is>
      </c>
      <c r="B1096" s="1" t="n">
        <v>45063</v>
      </c>
      <c r="C1096" s="1" t="n">
        <v>46030</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23266-2023</t>
        </is>
      </c>
      <c r="B1097" s="1" t="n">
        <v>45075.90817129629</v>
      </c>
      <c r="C1097" s="1" t="n">
        <v>46030</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47521-2024</t>
        </is>
      </c>
      <c r="B1098" s="1" t="n">
        <v>45587.62565972222</v>
      </c>
      <c r="C1098" s="1" t="n">
        <v>46030</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58260-2023</t>
        </is>
      </c>
      <c r="B1099" s="1" t="n">
        <v>45245</v>
      </c>
      <c r="C1099" s="1" t="n">
        <v>46030</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58261-2023</t>
        </is>
      </c>
      <c r="B1100" s="1" t="n">
        <v>45245</v>
      </c>
      <c r="C1100" s="1" t="n">
        <v>46030</v>
      </c>
      <c r="D1100" t="inlineStr">
        <is>
          <t>STOCKHOLMS LÄN</t>
        </is>
      </c>
      <c r="E1100" t="inlineStr">
        <is>
          <t>NORRTÄLJE</t>
        </is>
      </c>
      <c r="G1100" t="n">
        <v>53.5</v>
      </c>
      <c r="H1100" t="n">
        <v>0</v>
      </c>
      <c r="I1100" t="n">
        <v>0</v>
      </c>
      <c r="J1100" t="n">
        <v>0</v>
      </c>
      <c r="K1100" t="n">
        <v>0</v>
      </c>
      <c r="L1100" t="n">
        <v>0</v>
      </c>
      <c r="M1100" t="n">
        <v>0</v>
      </c>
      <c r="N1100" t="n">
        <v>0</v>
      </c>
      <c r="O1100" t="n">
        <v>0</v>
      </c>
      <c r="P1100" t="n">
        <v>0</v>
      </c>
      <c r="Q1100" t="n">
        <v>0</v>
      </c>
      <c r="R1100" s="2" t="inlineStr"/>
    </row>
    <row r="1101" ht="15" customHeight="1">
      <c r="A1101" t="inlineStr">
        <is>
          <t>A 29266-2022</t>
        </is>
      </c>
      <c r="B1101" s="1" t="n">
        <v>44750.66068287037</v>
      </c>
      <c r="C1101" s="1" t="n">
        <v>46030</v>
      </c>
      <c r="D1101" t="inlineStr">
        <is>
          <t>STOCKHOLMS LÄN</t>
        </is>
      </c>
      <c r="E1101" t="inlineStr">
        <is>
          <t>NORRTÄLJE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29278-2022</t>
        </is>
      </c>
      <c r="B1102" s="1" t="n">
        <v>44750</v>
      </c>
      <c r="C1102" s="1" t="n">
        <v>46030</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37273-2024</t>
        </is>
      </c>
      <c r="B1103" s="1" t="n">
        <v>45540</v>
      </c>
      <c r="C1103" s="1" t="n">
        <v>46030</v>
      </c>
      <c r="D1103" t="inlineStr">
        <is>
          <t>STOCKHOLMS LÄN</t>
        </is>
      </c>
      <c r="E1103" t="inlineStr">
        <is>
          <t>NORRTÄLJE</t>
        </is>
      </c>
      <c r="F1103" t="inlineStr">
        <is>
          <t>Sveaskog</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12908-2025</t>
        </is>
      </c>
      <c r="B1104" s="1" t="n">
        <v>45733.82105324074</v>
      </c>
      <c r="C1104" s="1" t="n">
        <v>46030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23060-2023</t>
        </is>
      </c>
      <c r="B1105" s="1" t="n">
        <v>45075</v>
      </c>
      <c r="C1105" s="1" t="n">
        <v>46030</v>
      </c>
      <c r="D1105" t="inlineStr">
        <is>
          <t>STOCKHOLMS LÄN</t>
        </is>
      </c>
      <c r="E1105" t="inlineStr">
        <is>
          <t>NORRTÄLJE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32103-2022</t>
        </is>
      </c>
      <c r="B1106" s="1" t="n">
        <v>44778</v>
      </c>
      <c r="C1106" s="1" t="n">
        <v>46030</v>
      </c>
      <c r="D1106" t="inlineStr">
        <is>
          <t>STOCKHOLMS LÄN</t>
        </is>
      </c>
      <c r="E1106" t="inlineStr">
        <is>
          <t>NORRTÄLJE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6401-2024</t>
        </is>
      </c>
      <c r="B1107" s="1" t="n">
        <v>45338</v>
      </c>
      <c r="C1107" s="1" t="n">
        <v>46030</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59504-2023</t>
        </is>
      </c>
      <c r="B1108" s="1" t="n">
        <v>45254</v>
      </c>
      <c r="C1108" s="1" t="n">
        <v>46030</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52321-2024</t>
        </is>
      </c>
      <c r="B1109" s="1" t="n">
        <v>45608</v>
      </c>
      <c r="C1109" s="1" t="n">
        <v>46030</v>
      </c>
      <c r="D1109" t="inlineStr">
        <is>
          <t>STOCKHOLMS LÄN</t>
        </is>
      </c>
      <c r="E1109" t="inlineStr">
        <is>
          <t>NORRTÄLJE</t>
        </is>
      </c>
      <c r="G1109" t="n">
        <v>18.1</v>
      </c>
      <c r="H1109" t="n">
        <v>0</v>
      </c>
      <c r="I1109" t="n">
        <v>0</v>
      </c>
      <c r="J1109" t="n">
        <v>0</v>
      </c>
      <c r="K1109" t="n">
        <v>0</v>
      </c>
      <c r="L1109" t="n">
        <v>0</v>
      </c>
      <c r="M1109" t="n">
        <v>0</v>
      </c>
      <c r="N1109" t="n">
        <v>0</v>
      </c>
      <c r="O1109" t="n">
        <v>0</v>
      </c>
      <c r="P1109" t="n">
        <v>0</v>
      </c>
      <c r="Q1109" t="n">
        <v>0</v>
      </c>
      <c r="R1109" s="2" t="inlineStr"/>
    </row>
    <row r="1110" ht="15" customHeight="1">
      <c r="A1110" t="inlineStr">
        <is>
          <t>A 48151-2024</t>
        </is>
      </c>
      <c r="B1110" s="1" t="n">
        <v>45589.68289351852</v>
      </c>
      <c r="C1110" s="1" t="n">
        <v>46030</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20370-2025</t>
        </is>
      </c>
      <c r="B1111" s="1" t="n">
        <v>45775.41451388889</v>
      </c>
      <c r="C1111" s="1" t="n">
        <v>46030</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19580-2022</t>
        </is>
      </c>
      <c r="B1112" s="1" t="n">
        <v>44693</v>
      </c>
      <c r="C1112" s="1" t="n">
        <v>46030</v>
      </c>
      <c r="D1112" t="inlineStr">
        <is>
          <t>STOCKHOLMS LÄN</t>
        </is>
      </c>
      <c r="E1112" t="inlineStr">
        <is>
          <t>NORRTÄLJE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30731-2023</t>
        </is>
      </c>
      <c r="B1113" s="1" t="n">
        <v>45112</v>
      </c>
      <c r="C1113" s="1" t="n">
        <v>46030</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4580-2025</t>
        </is>
      </c>
      <c r="B1114" s="1" t="n">
        <v>45687.5038425926</v>
      </c>
      <c r="C1114" s="1" t="n">
        <v>46030</v>
      </c>
      <c r="D1114" t="inlineStr">
        <is>
          <t>STOCKHOLMS LÄN</t>
        </is>
      </c>
      <c r="E1114" t="inlineStr">
        <is>
          <t>NORRTÄLJE</t>
        </is>
      </c>
      <c r="F1114" t="inlineStr">
        <is>
          <t>Holmen skog AB</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31057-2022</t>
        </is>
      </c>
      <c r="B1115" s="1" t="n">
        <v>44769</v>
      </c>
      <c r="C1115" s="1" t="n">
        <v>46030</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31140-2023</t>
        </is>
      </c>
      <c r="B1116" s="1" t="n">
        <v>45113</v>
      </c>
      <c r="C1116" s="1" t="n">
        <v>46030</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31149-2023</t>
        </is>
      </c>
      <c r="B1117" s="1" t="n">
        <v>45113</v>
      </c>
      <c r="C1117" s="1" t="n">
        <v>46030</v>
      </c>
      <c r="D1117" t="inlineStr">
        <is>
          <t>STOCKHOLMS LÄN</t>
        </is>
      </c>
      <c r="E1117" t="inlineStr">
        <is>
          <t>NORRTÄLJE</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4658-2024</t>
        </is>
      </c>
      <c r="B1118" s="1" t="n">
        <v>45328.46336805556</v>
      </c>
      <c r="C1118" s="1" t="n">
        <v>46030</v>
      </c>
      <c r="D1118" t="inlineStr">
        <is>
          <t>STOCKHOLMS LÄN</t>
        </is>
      </c>
      <c r="E1118" t="inlineStr">
        <is>
          <t>NORRTÄLJE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19131-2025</t>
        </is>
      </c>
      <c r="B1119" s="1" t="n">
        <v>45769</v>
      </c>
      <c r="C1119" s="1" t="n">
        <v>46030</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7571-2024</t>
        </is>
      </c>
      <c r="B1120" s="1" t="n">
        <v>45348.46300925926</v>
      </c>
      <c r="C1120" s="1" t="n">
        <v>46030</v>
      </c>
      <c r="D1120" t="inlineStr">
        <is>
          <t>STOCKHOLMS LÄN</t>
        </is>
      </c>
      <c r="E1120" t="inlineStr">
        <is>
          <t>NORRTÄLJE</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11849-2025</t>
        </is>
      </c>
      <c r="B1121" s="1" t="n">
        <v>45728.38409722222</v>
      </c>
      <c r="C1121" s="1" t="n">
        <v>46030</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40425-2021</t>
        </is>
      </c>
      <c r="B1122" s="1" t="n">
        <v>44419</v>
      </c>
      <c r="C1122" s="1" t="n">
        <v>46030</v>
      </c>
      <c r="D1122" t="inlineStr">
        <is>
          <t>STOCKHOLMS LÄN</t>
        </is>
      </c>
      <c r="E1122" t="inlineStr">
        <is>
          <t>NORRTÄLJE</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58990-2021</t>
        </is>
      </c>
      <c r="B1123" s="1" t="n">
        <v>44490.03621527777</v>
      </c>
      <c r="C1123" s="1" t="n">
        <v>46030</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20790-2025</t>
        </is>
      </c>
      <c r="B1124" s="1" t="n">
        <v>45776.62563657408</v>
      </c>
      <c r="C1124" s="1" t="n">
        <v>46030</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20699-2025</t>
        </is>
      </c>
      <c r="B1125" s="1" t="n">
        <v>45776.47346064815</v>
      </c>
      <c r="C1125" s="1" t="n">
        <v>46030</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3152-2024</t>
        </is>
      </c>
      <c r="B1126" s="1" t="n">
        <v>45316.60306712963</v>
      </c>
      <c r="C1126" s="1" t="n">
        <v>46030</v>
      </c>
      <c r="D1126" t="inlineStr">
        <is>
          <t>STOCKHOLMS LÄN</t>
        </is>
      </c>
      <c r="E1126" t="inlineStr">
        <is>
          <t>NORRTÄLJE</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59326-2023</t>
        </is>
      </c>
      <c r="B1127" s="1" t="n">
        <v>45253.63089120371</v>
      </c>
      <c r="C1127" s="1" t="n">
        <v>46030</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44836-2023</t>
        </is>
      </c>
      <c r="B1128" s="1" t="n">
        <v>45190.55609953704</v>
      </c>
      <c r="C1128" s="1" t="n">
        <v>46030</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20779-2025</t>
        </is>
      </c>
      <c r="B1129" s="1" t="n">
        <v>45776.59871527777</v>
      </c>
      <c r="C1129" s="1" t="n">
        <v>46030</v>
      </c>
      <c r="D1129" t="inlineStr">
        <is>
          <t>STOCKHOLMS LÄN</t>
        </is>
      </c>
      <c r="E1129" t="inlineStr">
        <is>
          <t>NORRTÄLJE</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21771-2025</t>
        </is>
      </c>
      <c r="B1130" s="1" t="n">
        <v>45783</v>
      </c>
      <c r="C1130" s="1" t="n">
        <v>46030</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21778-2025</t>
        </is>
      </c>
      <c r="B1131" s="1" t="n">
        <v>45783.66429398148</v>
      </c>
      <c r="C1131" s="1" t="n">
        <v>46030</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c r="A1132" t="inlineStr">
        <is>
          <t>A 22202-2025</t>
        </is>
      </c>
      <c r="B1132" s="1" t="n">
        <v>45785.65300925926</v>
      </c>
      <c r="C1132" s="1" t="n">
        <v>46030</v>
      </c>
      <c r="D1132" t="inlineStr">
        <is>
          <t>STOCKHOLMS LÄN</t>
        </is>
      </c>
      <c r="E1132" t="inlineStr">
        <is>
          <t>NORRTÄLJE</t>
        </is>
      </c>
      <c r="G1132" t="n">
        <v>10.2</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2026-01-08T10:51:44Z</dcterms:created>
  <dcterms:modified xmlns:dcterms="http://purl.org/dc/terms/" xmlns:xsi="http://www.w3.org/2001/XMLSchema-instance" xsi:type="dcterms:W3CDTF">2026-01-08T10:51:45Z</dcterms:modified>
</cp:coreProperties>
</file>