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46159</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46159</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46159</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46159</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46159</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46159</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46159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46159</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46159</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46159</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46159</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46159</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46159</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46159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46159</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46159</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46159</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46159</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46159</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46159</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46159</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46159</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46159</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46159</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46159</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46159</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46159</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46159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46159</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46159</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46159</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46159</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15925-2026</t>
        </is>
      </c>
      <c r="B45" s="1" t="n">
        <v>46107.66046296297</v>
      </c>
      <c r="C45" s="1" t="n">
        <v>46159</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46159</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46159</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46159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46159</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46159</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46159</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46159</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46159</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46159</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46159</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46159</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46159</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46159</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46159</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46159</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54110-2024</t>
        </is>
      </c>
      <c r="B61" s="1" t="n">
        <v>45616.54866898148</v>
      </c>
      <c r="C61" s="1" t="n">
        <v>46159</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46159</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46159</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20185-2022</t>
        </is>
      </c>
      <c r="B65" s="1" t="n">
        <v>44698</v>
      </c>
      <c r="C65" s="1" t="n">
        <v>46159</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34524-2025</t>
        </is>
      </c>
      <c r="B66" s="1" t="n">
        <v>45847.47685185185</v>
      </c>
      <c r="C66" s="1" t="n">
        <v>46159</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46159</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46159</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53065-2024</t>
        </is>
      </c>
      <c r="B69" s="1" t="n">
        <v>45611.47233796296</v>
      </c>
      <c r="C69" s="1" t="n">
        <v>46159</v>
      </c>
      <c r="D69" t="inlineStr">
        <is>
          <t>STOCKHOLMS LÄN</t>
        </is>
      </c>
      <c r="E69" t="inlineStr">
        <is>
          <t>NORRTÄLJE</t>
        </is>
      </c>
      <c r="G69" t="n">
        <v>12.3</v>
      </c>
      <c r="H69" t="n">
        <v>0</v>
      </c>
      <c r="I69" t="n">
        <v>1</v>
      </c>
      <c r="J69" t="n">
        <v>1</v>
      </c>
      <c r="K69" t="n">
        <v>1</v>
      </c>
      <c r="L69" t="n">
        <v>0</v>
      </c>
      <c r="M69" t="n">
        <v>0</v>
      </c>
      <c r="N69" t="n">
        <v>0</v>
      </c>
      <c r="O69" t="n">
        <v>2</v>
      </c>
      <c r="P69" t="n">
        <v>1</v>
      </c>
      <c r="Q69" t="n">
        <v>3</v>
      </c>
      <c r="R69" s="2" t="inlineStr">
        <is>
          <t>Aspsplintbock
Grön aspvedbock
Gulröd blankbock</t>
        </is>
      </c>
      <c r="S69">
        <f>HYPERLINK("https://klasma.github.io/Logging_0188/artfynd/A 53065-2024 artfynd.xlsx", "A 53065-2024")</f>
        <v/>
      </c>
      <c r="T69">
        <f>HYPERLINK("https://klasma.github.io/Logging_0188/kartor/A 53065-2024 karta.png", "A 53065-2024")</f>
        <v/>
      </c>
      <c r="V69">
        <f>HYPERLINK("https://klasma.github.io/Logging_0188/klagomål/A 53065-2024 FSC-klagomål.docx", "A 53065-2024")</f>
        <v/>
      </c>
      <c r="W69">
        <f>HYPERLINK("https://klasma.github.io/Logging_0188/klagomålsmail/A 53065-2024 FSC-klagomål mail.docx", "A 53065-2024")</f>
        <v/>
      </c>
      <c r="X69">
        <f>HYPERLINK("https://klasma.github.io/Logging_0188/tillsyn/A 53065-2024 tillsynsbegäran.docx", "A 53065-2024")</f>
        <v/>
      </c>
      <c r="Y69">
        <f>HYPERLINK("https://klasma.github.io/Logging_0188/tillsynsmail/A 53065-2024 tillsynsbegäran mail.docx", "A 53065-2024")</f>
        <v/>
      </c>
    </row>
    <row r="70" ht="15" customHeight="1">
      <c r="A70" t="inlineStr">
        <is>
          <t>A 50618-2022</t>
        </is>
      </c>
      <c r="B70" s="1" t="n">
        <v>44866</v>
      </c>
      <c r="C70" s="1" t="n">
        <v>46159</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27870-2022</t>
        </is>
      </c>
      <c r="B71" s="1" t="n">
        <v>44743.64592592593</v>
      </c>
      <c r="C71" s="1" t="n">
        <v>46159</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46159</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46159</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46159</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46159</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46159</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46159</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46159</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33548-2025</t>
        </is>
      </c>
      <c r="B79" s="1" t="n">
        <v>45841.5721875</v>
      </c>
      <c r="C79" s="1" t="n">
        <v>46159</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50697-2025</t>
        </is>
      </c>
      <c r="B80" s="1" t="n">
        <v>45945.90854166666</v>
      </c>
      <c r="C80" s="1" t="n">
        <v>46159</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17952-2022</t>
        </is>
      </c>
      <c r="B81" s="1" t="n">
        <v>44683</v>
      </c>
      <c r="C81" s="1" t="n">
        <v>46159</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53608-2025</t>
        </is>
      </c>
      <c r="B82" s="1" t="n">
        <v>45960</v>
      </c>
      <c r="C82" s="1" t="n">
        <v>46159</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52360-2024</t>
        </is>
      </c>
      <c r="B83" s="1" t="n">
        <v>45609.37094907407</v>
      </c>
      <c r="C83" s="1" t="n">
        <v>46159</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21781-2026</t>
        </is>
      </c>
      <c r="B84" s="1" t="n">
        <v>46150.37699074074</v>
      </c>
      <c r="C84" s="1" t="n">
        <v>46159</v>
      </c>
      <c r="D84" t="inlineStr">
        <is>
          <t>STOCKHOLMS LÄN</t>
        </is>
      </c>
      <c r="E84" t="inlineStr">
        <is>
          <t>NORRTÄLJE</t>
        </is>
      </c>
      <c r="G84" t="n">
        <v>6.2</v>
      </c>
      <c r="H84" t="n">
        <v>1</v>
      </c>
      <c r="I84" t="n">
        <v>0</v>
      </c>
      <c r="J84" t="n">
        <v>1</v>
      </c>
      <c r="K84" t="n">
        <v>1</v>
      </c>
      <c r="L84" t="n">
        <v>0</v>
      </c>
      <c r="M84" t="n">
        <v>0</v>
      </c>
      <c r="N84" t="n">
        <v>0</v>
      </c>
      <c r="O84" t="n">
        <v>2</v>
      </c>
      <c r="P84" t="n">
        <v>1</v>
      </c>
      <c r="Q84" t="n">
        <v>2</v>
      </c>
      <c r="R84" s="2" t="inlineStr">
        <is>
          <t>Hällebräcka
Slåtterfibbla</t>
        </is>
      </c>
      <c r="S84">
        <f>HYPERLINK("https://klasma.github.io/Logging_0188/artfynd/A 21781-2026 artfynd.xlsx", "A 21781-2026")</f>
        <v/>
      </c>
      <c r="T84">
        <f>HYPERLINK("https://klasma.github.io/Logging_0188/kartor/A 21781-2026 karta.png", "A 21781-2026")</f>
        <v/>
      </c>
      <c r="V84">
        <f>HYPERLINK("https://klasma.github.io/Logging_0188/klagomål/A 21781-2026 FSC-klagomål.docx", "A 21781-2026")</f>
        <v/>
      </c>
      <c r="W84">
        <f>HYPERLINK("https://klasma.github.io/Logging_0188/klagomålsmail/A 21781-2026 FSC-klagomål mail.docx", "A 21781-2026")</f>
        <v/>
      </c>
      <c r="X84">
        <f>HYPERLINK("https://klasma.github.io/Logging_0188/tillsyn/A 21781-2026 tillsynsbegäran.docx", "A 21781-2026")</f>
        <v/>
      </c>
      <c r="Y84">
        <f>HYPERLINK("https://klasma.github.io/Logging_0188/tillsynsmail/A 21781-2026 tillsynsbegäran mail.docx", "A 21781-2026")</f>
        <v/>
      </c>
    </row>
    <row r="85" ht="15" customHeight="1">
      <c r="A85" t="inlineStr">
        <is>
          <t>A 52825-2023</t>
        </is>
      </c>
      <c r="B85" s="1" t="n">
        <v>45226</v>
      </c>
      <c r="C85" s="1" t="n">
        <v>46159</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46159</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46159</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46159</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46159</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46159</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46159</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46159</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46159</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46159</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46159</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46159</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40192-2023</t>
        </is>
      </c>
      <c r="B97" s="1" t="n">
        <v>45169</v>
      </c>
      <c r="C97" s="1" t="n">
        <v>46159</v>
      </c>
      <c r="D97" t="inlineStr">
        <is>
          <t>STOCKHOLMS LÄN</t>
        </is>
      </c>
      <c r="E97" t="inlineStr">
        <is>
          <t>NORRTÄLJE</t>
        </is>
      </c>
      <c r="F97" t="inlineStr">
        <is>
          <t>Kyrkan</t>
        </is>
      </c>
      <c r="G97" t="n">
        <v>0.7</v>
      </c>
      <c r="H97" t="n">
        <v>1</v>
      </c>
      <c r="I97" t="n">
        <v>0</v>
      </c>
      <c r="J97" t="n">
        <v>0</v>
      </c>
      <c r="K97" t="n">
        <v>0</v>
      </c>
      <c r="L97" t="n">
        <v>0</v>
      </c>
      <c r="M97" t="n">
        <v>0</v>
      </c>
      <c r="N97" t="n">
        <v>0</v>
      </c>
      <c r="O97" t="n">
        <v>0</v>
      </c>
      <c r="P97" t="n">
        <v>0</v>
      </c>
      <c r="Q97" t="n">
        <v>1</v>
      </c>
      <c r="R97" s="2" t="inlineStr">
        <is>
          <t>Skogsduva</t>
        </is>
      </c>
      <c r="S97">
        <f>HYPERLINK("https://klasma.github.io/Logging_0188/artfynd/A 40192-2023 artfynd.xlsx", "A 40192-2023")</f>
        <v/>
      </c>
      <c r="T97">
        <f>HYPERLINK("https://klasma.github.io/Logging_0188/kartor/A 40192-2023 karta.png", "A 40192-2023")</f>
        <v/>
      </c>
      <c r="V97">
        <f>HYPERLINK("https://klasma.github.io/Logging_0188/klagomål/A 40192-2023 FSC-klagomål.docx", "A 40192-2023")</f>
        <v/>
      </c>
      <c r="W97">
        <f>HYPERLINK("https://klasma.github.io/Logging_0188/klagomålsmail/A 40192-2023 FSC-klagomål mail.docx", "A 40192-2023")</f>
        <v/>
      </c>
      <c r="X97">
        <f>HYPERLINK("https://klasma.github.io/Logging_0188/tillsyn/A 40192-2023 tillsynsbegäran.docx", "A 40192-2023")</f>
        <v/>
      </c>
      <c r="Y97">
        <f>HYPERLINK("https://klasma.github.io/Logging_0188/tillsynsmail/A 40192-2023 tillsynsbegäran mail.docx", "A 40192-2023")</f>
        <v/>
      </c>
      <c r="Z97">
        <f>HYPERLINK("https://klasma.github.io/Logging_0188/fåglar/A 40192-2023 prioriterade fågelarter.docx", "A 40192-2023")</f>
        <v/>
      </c>
    </row>
    <row r="98" ht="15" customHeight="1">
      <c r="A98" t="inlineStr">
        <is>
          <t>A 25709-2025</t>
        </is>
      </c>
      <c r="B98" s="1" t="n">
        <v>45800</v>
      </c>
      <c r="C98" s="1" t="n">
        <v>46159</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364-2026</t>
        </is>
      </c>
      <c r="B99" s="1" t="n">
        <v>46027.67134259259</v>
      </c>
      <c r="C99" s="1" t="n">
        <v>46159</v>
      </c>
      <c r="D99" t="inlineStr">
        <is>
          <t>STOCKHOLMS LÄN</t>
        </is>
      </c>
      <c r="E99" t="inlineStr">
        <is>
          <t>NORRTÄLJE</t>
        </is>
      </c>
      <c r="F99" t="inlineStr">
        <is>
          <t>Holmen skog AB</t>
        </is>
      </c>
      <c r="G99" t="n">
        <v>4.3</v>
      </c>
      <c r="H99" t="n">
        <v>1</v>
      </c>
      <c r="I99" t="n">
        <v>0</v>
      </c>
      <c r="J99" t="n">
        <v>0</v>
      </c>
      <c r="K99" t="n">
        <v>0</v>
      </c>
      <c r="L99" t="n">
        <v>1</v>
      </c>
      <c r="M99" t="n">
        <v>0</v>
      </c>
      <c r="N99" t="n">
        <v>0</v>
      </c>
      <c r="O99" t="n">
        <v>1</v>
      </c>
      <c r="P99" t="n">
        <v>1</v>
      </c>
      <c r="Q99" t="n">
        <v>1</v>
      </c>
      <c r="R99" s="2" t="inlineStr">
        <is>
          <t>Asknätfjäril</t>
        </is>
      </c>
      <c r="S99">
        <f>HYPERLINK("https://klasma.github.io/Logging_0188/artfynd/A 364-2026 artfynd.xlsx", "A 364-2026")</f>
        <v/>
      </c>
      <c r="T99">
        <f>HYPERLINK("https://klasma.github.io/Logging_0188/kartor/A 364-2026 karta.png", "A 364-2026")</f>
        <v/>
      </c>
      <c r="V99">
        <f>HYPERLINK("https://klasma.github.io/Logging_0188/klagomål/A 364-2026 FSC-klagomål.docx", "A 364-2026")</f>
        <v/>
      </c>
      <c r="W99">
        <f>HYPERLINK("https://klasma.github.io/Logging_0188/klagomålsmail/A 364-2026 FSC-klagomål mail.docx", "A 364-2026")</f>
        <v/>
      </c>
      <c r="X99">
        <f>HYPERLINK("https://klasma.github.io/Logging_0188/tillsyn/A 364-2026 tillsynsbegäran.docx", "A 364-2026")</f>
        <v/>
      </c>
      <c r="Y99">
        <f>HYPERLINK("https://klasma.github.io/Logging_0188/tillsynsmail/A 364-2026 tillsynsbegäran mail.docx", "A 364-2026")</f>
        <v/>
      </c>
    </row>
    <row r="100" ht="15" customHeight="1">
      <c r="A100" t="inlineStr">
        <is>
          <t>A 25725-2025</t>
        </is>
      </c>
      <c r="B100" s="1" t="n">
        <v>45800</v>
      </c>
      <c r="C100" s="1" t="n">
        <v>46159</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35649-2023</t>
        </is>
      </c>
      <c r="B101" s="1" t="n">
        <v>45146</v>
      </c>
      <c r="C101" s="1" t="n">
        <v>46159</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35764-2024</t>
        </is>
      </c>
      <c r="B102" s="1" t="n">
        <v>45532</v>
      </c>
      <c r="C102" s="1" t="n">
        <v>46159</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4860-2022</t>
        </is>
      </c>
      <c r="B103" s="1" t="n">
        <v>44592</v>
      </c>
      <c r="C103" s="1" t="n">
        <v>46159</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25669-2025</t>
        </is>
      </c>
      <c r="B104" s="1" t="n">
        <v>45803.62766203703</v>
      </c>
      <c r="C104" s="1" t="n">
        <v>46159</v>
      </c>
      <c r="D104" t="inlineStr">
        <is>
          <t>STOCKHOLMS LÄN</t>
        </is>
      </c>
      <c r="E104" t="inlineStr">
        <is>
          <t>NORRTÄLJE</t>
        </is>
      </c>
      <c r="F104" t="inlineStr">
        <is>
          <t>Holmen skog AB</t>
        </is>
      </c>
      <c r="G104" t="n">
        <v>3.1</v>
      </c>
      <c r="H104" t="n">
        <v>1</v>
      </c>
      <c r="I104" t="n">
        <v>0</v>
      </c>
      <c r="J104" t="n">
        <v>0</v>
      </c>
      <c r="K104" t="n">
        <v>0</v>
      </c>
      <c r="L104" t="n">
        <v>0</v>
      </c>
      <c r="M104" t="n">
        <v>0</v>
      </c>
      <c r="N104" t="n">
        <v>0</v>
      </c>
      <c r="O104" t="n">
        <v>0</v>
      </c>
      <c r="P104" t="n">
        <v>0</v>
      </c>
      <c r="Q104" t="n">
        <v>1</v>
      </c>
      <c r="R104" s="2" t="inlineStr">
        <is>
          <t>Tjäder</t>
        </is>
      </c>
      <c r="S104">
        <f>HYPERLINK("https://klasma.github.io/Logging_0188/artfynd/A 25669-2025 artfynd.xlsx", "A 25669-2025")</f>
        <v/>
      </c>
      <c r="T104">
        <f>HYPERLINK("https://klasma.github.io/Logging_0188/kartor/A 25669-2025 karta.png", "A 25669-2025")</f>
        <v/>
      </c>
      <c r="V104">
        <f>HYPERLINK("https://klasma.github.io/Logging_0188/klagomål/A 25669-2025 FSC-klagomål.docx", "A 25669-2025")</f>
        <v/>
      </c>
      <c r="W104">
        <f>HYPERLINK("https://klasma.github.io/Logging_0188/klagomålsmail/A 25669-2025 FSC-klagomål mail.docx", "A 25669-2025")</f>
        <v/>
      </c>
      <c r="X104">
        <f>HYPERLINK("https://klasma.github.io/Logging_0188/tillsyn/A 25669-2025 tillsynsbegäran.docx", "A 25669-2025")</f>
        <v/>
      </c>
      <c r="Y104">
        <f>HYPERLINK("https://klasma.github.io/Logging_0188/tillsynsmail/A 25669-2025 tillsynsbegäran mail.docx", "A 25669-2025")</f>
        <v/>
      </c>
      <c r="Z104">
        <f>HYPERLINK("https://klasma.github.io/Logging_0188/fåglar/A 25669-2025 prioriterade fågelarter.docx", "A 25669-2025")</f>
        <v/>
      </c>
    </row>
    <row r="105" ht="15" customHeight="1">
      <c r="A105" t="inlineStr">
        <is>
          <t>A 40861-2025</t>
        </is>
      </c>
      <c r="B105" s="1" t="n">
        <v>45897.56356481482</v>
      </c>
      <c r="C105" s="1" t="n">
        <v>46159</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46159</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42313-2025</t>
        </is>
      </c>
      <c r="B107" s="1" t="n">
        <v>45904.6575</v>
      </c>
      <c r="C107" s="1" t="n">
        <v>46159</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6381-2023</t>
        </is>
      </c>
      <c r="B108" s="1" t="n">
        <v>44965</v>
      </c>
      <c r="C108" s="1" t="n">
        <v>46159</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13291-2025</t>
        </is>
      </c>
      <c r="B109" s="1" t="n">
        <v>45735</v>
      </c>
      <c r="C109" s="1" t="n">
        <v>46159</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29946-2025</t>
        </is>
      </c>
      <c r="B110" s="1" t="n">
        <v>45826.46392361111</v>
      </c>
      <c r="C110" s="1" t="n">
        <v>46159</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33546-2025</t>
        </is>
      </c>
      <c r="B111" s="1" t="n">
        <v>45841.56996527778</v>
      </c>
      <c r="C111" s="1" t="n">
        <v>46159</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39158-2025</t>
        </is>
      </c>
      <c r="B112" s="1" t="n">
        <v>45888</v>
      </c>
      <c r="C112" s="1" t="n">
        <v>46159</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46159</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21744-2023</t>
        </is>
      </c>
      <c r="B114" s="1" t="n">
        <v>45065</v>
      </c>
      <c r="C114" s="1" t="n">
        <v>46159</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8371-2025</t>
        </is>
      </c>
      <c r="B115" s="1" t="n">
        <v>45708</v>
      </c>
      <c r="C115" s="1" t="n">
        <v>46159</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52775-2025</t>
        </is>
      </c>
      <c r="B116" s="1" t="n">
        <v>45957.41608796296</v>
      </c>
      <c r="C116" s="1" t="n">
        <v>46159</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46159</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23146-2024</t>
        </is>
      </c>
      <c r="B118" s="1" t="n">
        <v>45450.63958333333</v>
      </c>
      <c r="C118" s="1" t="n">
        <v>46159</v>
      </c>
      <c r="D118" t="inlineStr">
        <is>
          <t>STOCKHOLMS LÄN</t>
        </is>
      </c>
      <c r="E118" t="inlineStr">
        <is>
          <t>NORRTÄLJE</t>
        </is>
      </c>
      <c r="F118" t="inlineStr">
        <is>
          <t>Kommuner</t>
        </is>
      </c>
      <c r="G118" t="n">
        <v>6</v>
      </c>
      <c r="H118" t="n">
        <v>0</v>
      </c>
      <c r="I118" t="n">
        <v>0</v>
      </c>
      <c r="J118" t="n">
        <v>1</v>
      </c>
      <c r="K118" t="n">
        <v>0</v>
      </c>
      <c r="L118" t="n">
        <v>0</v>
      </c>
      <c r="M118" t="n">
        <v>0</v>
      </c>
      <c r="N118" t="n">
        <v>0</v>
      </c>
      <c r="O118" t="n">
        <v>1</v>
      </c>
      <c r="P118" t="n">
        <v>0</v>
      </c>
      <c r="Q118" t="n">
        <v>1</v>
      </c>
      <c r="R118" s="2" t="inlineStr">
        <is>
          <t>Motaggsvamp</t>
        </is>
      </c>
      <c r="S118">
        <f>HYPERLINK("https://klasma.github.io/Logging_0188/artfynd/A 23146-2024 artfynd.xlsx", "A 23146-2024")</f>
        <v/>
      </c>
      <c r="T118">
        <f>HYPERLINK("https://klasma.github.io/Logging_0188/kartor/A 23146-2024 karta.png", "A 23146-2024")</f>
        <v/>
      </c>
      <c r="V118">
        <f>HYPERLINK("https://klasma.github.io/Logging_0188/klagomål/A 23146-2024 FSC-klagomål.docx", "A 23146-2024")</f>
        <v/>
      </c>
      <c r="W118">
        <f>HYPERLINK("https://klasma.github.io/Logging_0188/klagomålsmail/A 23146-2024 FSC-klagomål mail.docx", "A 23146-2024")</f>
        <v/>
      </c>
      <c r="X118">
        <f>HYPERLINK("https://klasma.github.io/Logging_0188/tillsyn/A 23146-2024 tillsynsbegäran.docx", "A 23146-2024")</f>
        <v/>
      </c>
      <c r="Y118">
        <f>HYPERLINK("https://klasma.github.io/Logging_0188/tillsynsmail/A 23146-2024 tillsynsbegäran mail.docx", "A 23146-2024")</f>
        <v/>
      </c>
    </row>
    <row r="119" ht="15" customHeight="1">
      <c r="A119" t="inlineStr">
        <is>
          <t>A 7734-2026</t>
        </is>
      </c>
      <c r="B119" s="1" t="n">
        <v>46062.52902777777</v>
      </c>
      <c r="C119" s="1" t="n">
        <v>46159</v>
      </c>
      <c r="D119" t="inlineStr">
        <is>
          <t>STOCKHOLMS LÄN</t>
        </is>
      </c>
      <c r="E119" t="inlineStr">
        <is>
          <t>NORRTÄLJE</t>
        </is>
      </c>
      <c r="G119" t="n">
        <v>6.6</v>
      </c>
      <c r="H119" t="n">
        <v>0</v>
      </c>
      <c r="I119" t="n">
        <v>1</v>
      </c>
      <c r="J119" t="n">
        <v>0</v>
      </c>
      <c r="K119" t="n">
        <v>0</v>
      </c>
      <c r="L119" t="n">
        <v>0</v>
      </c>
      <c r="M119" t="n">
        <v>0</v>
      </c>
      <c r="N119" t="n">
        <v>0</v>
      </c>
      <c r="O119" t="n">
        <v>0</v>
      </c>
      <c r="P119" t="n">
        <v>0</v>
      </c>
      <c r="Q119" t="n">
        <v>1</v>
      </c>
      <c r="R119" s="2" t="inlineStr">
        <is>
          <t>Kastanjefjällskivling</t>
        </is>
      </c>
      <c r="S119">
        <f>HYPERLINK("https://klasma.github.io/Logging_0188/artfynd/A 7734-2026 artfynd.xlsx", "A 7734-2026")</f>
        <v/>
      </c>
      <c r="T119">
        <f>HYPERLINK("https://klasma.github.io/Logging_0188/kartor/A 7734-2026 karta.png", "A 7734-2026")</f>
        <v/>
      </c>
      <c r="V119">
        <f>HYPERLINK("https://klasma.github.io/Logging_0188/klagomål/A 7734-2026 FSC-klagomål.docx", "A 7734-2026")</f>
        <v/>
      </c>
      <c r="W119">
        <f>HYPERLINK("https://klasma.github.io/Logging_0188/klagomålsmail/A 7734-2026 FSC-klagomål mail.docx", "A 7734-2026")</f>
        <v/>
      </c>
      <c r="X119">
        <f>HYPERLINK("https://klasma.github.io/Logging_0188/tillsyn/A 7734-2026 tillsynsbegäran.docx", "A 7734-2026")</f>
        <v/>
      </c>
      <c r="Y119">
        <f>HYPERLINK("https://klasma.github.io/Logging_0188/tillsynsmail/A 7734-2026 tillsynsbegäran mail.docx", "A 7734-2026")</f>
        <v/>
      </c>
    </row>
    <row r="120" ht="15" customHeight="1">
      <c r="A120" t="inlineStr">
        <is>
          <t>A 16870-2025</t>
        </is>
      </c>
      <c r="B120" s="1" t="n">
        <v>45754</v>
      </c>
      <c r="C120" s="1" t="n">
        <v>46159</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27538-2024</t>
        </is>
      </c>
      <c r="B121" s="1" t="n">
        <v>45474</v>
      </c>
      <c r="C121" s="1" t="n">
        <v>46159</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4385-2023</t>
        </is>
      </c>
      <c r="B122" s="1" t="n">
        <v>44955.71322916666</v>
      </c>
      <c r="C122" s="1" t="n">
        <v>46159</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24330-2023</t>
        </is>
      </c>
      <c r="B123" s="1" t="n">
        <v>45081</v>
      </c>
      <c r="C123" s="1" t="n">
        <v>46159</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46159</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59682-2025</t>
        </is>
      </c>
      <c r="B125" s="1" t="n">
        <v>45992.47116898148</v>
      </c>
      <c r="C125" s="1" t="n">
        <v>46159</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26635-2023</t>
        </is>
      </c>
      <c r="B126" s="1" t="n">
        <v>45092</v>
      </c>
      <c r="C126" s="1" t="n">
        <v>46159</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46159</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46159</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62715-2025</t>
        </is>
      </c>
      <c r="B129" s="1" t="n">
        <v>46008.52034722222</v>
      </c>
      <c r="C129" s="1" t="n">
        <v>46159</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35691-2023</t>
        </is>
      </c>
      <c r="B130" s="1" t="n">
        <v>45147.65222222222</v>
      </c>
      <c r="C130" s="1" t="n">
        <v>46159</v>
      </c>
      <c r="D130" t="inlineStr">
        <is>
          <t>STOCKHOLMS LÄN</t>
        </is>
      </c>
      <c r="E130" t="inlineStr">
        <is>
          <t>NORRTÄLJE</t>
        </is>
      </c>
      <c r="G130" t="n">
        <v>2.3</v>
      </c>
      <c r="H130" t="n">
        <v>1</v>
      </c>
      <c r="I130" t="n">
        <v>0</v>
      </c>
      <c r="J130" t="n">
        <v>0</v>
      </c>
      <c r="K130" t="n">
        <v>0</v>
      </c>
      <c r="L130" t="n">
        <v>0</v>
      </c>
      <c r="M130" t="n">
        <v>0</v>
      </c>
      <c r="N130" t="n">
        <v>0</v>
      </c>
      <c r="O130" t="n">
        <v>0</v>
      </c>
      <c r="P130" t="n">
        <v>0</v>
      </c>
      <c r="Q130" t="n">
        <v>1</v>
      </c>
      <c r="R130" s="2" t="inlineStr">
        <is>
          <t>Kungsfågel</t>
        </is>
      </c>
      <c r="S130">
        <f>HYPERLINK("https://klasma.github.io/Logging_0188/artfynd/A 35691-2023 artfynd.xlsx", "A 35691-2023")</f>
        <v/>
      </c>
      <c r="T130">
        <f>HYPERLINK("https://klasma.github.io/Logging_0188/kartor/A 35691-2023 karta.png", "A 35691-2023")</f>
        <v/>
      </c>
      <c r="V130">
        <f>HYPERLINK("https://klasma.github.io/Logging_0188/klagomål/A 35691-2023 FSC-klagomål.docx", "A 35691-2023")</f>
        <v/>
      </c>
      <c r="W130">
        <f>HYPERLINK("https://klasma.github.io/Logging_0188/klagomålsmail/A 35691-2023 FSC-klagomål mail.docx", "A 35691-2023")</f>
        <v/>
      </c>
      <c r="X130">
        <f>HYPERLINK("https://klasma.github.io/Logging_0188/tillsyn/A 35691-2023 tillsynsbegäran.docx", "A 35691-2023")</f>
        <v/>
      </c>
      <c r="Y130">
        <f>HYPERLINK("https://klasma.github.io/Logging_0188/tillsynsmail/A 35691-2023 tillsynsbegäran mail.docx", "A 35691-2023")</f>
        <v/>
      </c>
      <c r="Z130">
        <f>HYPERLINK("https://klasma.github.io/Logging_0188/fåglar/A 35691-2023 prioriterade fågelarter.docx", "A 35691-2023")</f>
        <v/>
      </c>
    </row>
    <row r="131" ht="15" customHeight="1">
      <c r="A131" t="inlineStr">
        <is>
          <t>A 35693-2023</t>
        </is>
      </c>
      <c r="B131" s="1" t="n">
        <v>45147.65311342593</v>
      </c>
      <c r="C131" s="1" t="n">
        <v>46159</v>
      </c>
      <c r="D131" t="inlineStr">
        <is>
          <t>STOCKHOLMS LÄN</t>
        </is>
      </c>
      <c r="E131" t="inlineStr">
        <is>
          <t>NORRTÄLJE</t>
        </is>
      </c>
      <c r="G131" t="n">
        <v>2.2</v>
      </c>
      <c r="H131" t="n">
        <v>0</v>
      </c>
      <c r="I131" t="n">
        <v>0</v>
      </c>
      <c r="J131" t="n">
        <v>1</v>
      </c>
      <c r="K131" t="n">
        <v>0</v>
      </c>
      <c r="L131" t="n">
        <v>0</v>
      </c>
      <c r="M131" t="n">
        <v>0</v>
      </c>
      <c r="N131" t="n">
        <v>0</v>
      </c>
      <c r="O131" t="n">
        <v>1</v>
      </c>
      <c r="P131" t="n">
        <v>0</v>
      </c>
      <c r="Q131" t="n">
        <v>1</v>
      </c>
      <c r="R131" s="2" t="inlineStr">
        <is>
          <t>Motaggsvamp</t>
        </is>
      </c>
      <c r="S131">
        <f>HYPERLINK("https://klasma.github.io/Logging_0188/artfynd/A 35693-2023 artfynd.xlsx", "A 35693-2023")</f>
        <v/>
      </c>
      <c r="T131">
        <f>HYPERLINK("https://klasma.github.io/Logging_0188/kartor/A 35693-2023 karta.png", "A 35693-2023")</f>
        <v/>
      </c>
      <c r="V131">
        <f>HYPERLINK("https://klasma.github.io/Logging_0188/klagomål/A 35693-2023 FSC-klagomål.docx", "A 35693-2023")</f>
        <v/>
      </c>
      <c r="W131">
        <f>HYPERLINK("https://klasma.github.io/Logging_0188/klagomålsmail/A 35693-2023 FSC-klagomål mail.docx", "A 35693-2023")</f>
        <v/>
      </c>
      <c r="X131">
        <f>HYPERLINK("https://klasma.github.io/Logging_0188/tillsyn/A 35693-2023 tillsynsbegäran.docx", "A 35693-2023")</f>
        <v/>
      </c>
      <c r="Y131">
        <f>HYPERLINK("https://klasma.github.io/Logging_0188/tillsynsmail/A 35693-2023 tillsynsbegäran mail.docx", "A 35693-2023")</f>
        <v/>
      </c>
    </row>
    <row r="132" ht="15" customHeight="1">
      <c r="A132" t="inlineStr">
        <is>
          <t>A 63292-2025</t>
        </is>
      </c>
      <c r="B132" s="1" t="n">
        <v>46010.59232638889</v>
      </c>
      <c r="C132" s="1" t="n">
        <v>46159</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19355-2026</t>
        </is>
      </c>
      <c r="B133" s="1" t="n">
        <v>46133.49074074074</v>
      </c>
      <c r="C133" s="1" t="n">
        <v>46159</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4532-2025</t>
        </is>
      </c>
      <c r="B134" s="1" t="n">
        <v>45687.34177083334</v>
      </c>
      <c r="C134" s="1" t="n">
        <v>46159</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15886-2026</t>
        </is>
      </c>
      <c r="B135" s="1" t="n">
        <v>46107</v>
      </c>
      <c r="C135" s="1" t="n">
        <v>46159</v>
      </c>
      <c r="D135" t="inlineStr">
        <is>
          <t>STOCKHOLMS LÄN</t>
        </is>
      </c>
      <c r="E135" t="inlineStr">
        <is>
          <t>NORRTÄLJE</t>
        </is>
      </c>
      <c r="G135" t="n">
        <v>1.3</v>
      </c>
      <c r="H135" t="n">
        <v>1</v>
      </c>
      <c r="I135" t="n">
        <v>0</v>
      </c>
      <c r="J135" t="n">
        <v>0</v>
      </c>
      <c r="K135" t="n">
        <v>0</v>
      </c>
      <c r="L135" t="n">
        <v>1</v>
      </c>
      <c r="M135" t="n">
        <v>0</v>
      </c>
      <c r="N135" t="n">
        <v>0</v>
      </c>
      <c r="O135" t="n">
        <v>1</v>
      </c>
      <c r="P135" t="n">
        <v>1</v>
      </c>
      <c r="Q135" t="n">
        <v>1</v>
      </c>
      <c r="R135" s="2" t="inlineStr">
        <is>
          <t>Grönfink</t>
        </is>
      </c>
      <c r="S135">
        <f>HYPERLINK("https://klasma.github.io/Logging_0188/artfynd/A 15886-2026 artfynd.xlsx", "A 15886-2026")</f>
        <v/>
      </c>
      <c r="T135">
        <f>HYPERLINK("https://klasma.github.io/Logging_0188/kartor/A 15886-2026 karta.png", "A 15886-2026")</f>
        <v/>
      </c>
      <c r="V135">
        <f>HYPERLINK("https://klasma.github.io/Logging_0188/klagomål/A 15886-2026 FSC-klagomål.docx", "A 15886-2026")</f>
        <v/>
      </c>
      <c r="W135">
        <f>HYPERLINK("https://klasma.github.io/Logging_0188/klagomålsmail/A 15886-2026 FSC-klagomål mail.docx", "A 15886-2026")</f>
        <v/>
      </c>
      <c r="X135">
        <f>HYPERLINK("https://klasma.github.io/Logging_0188/tillsyn/A 15886-2026 tillsynsbegäran.docx", "A 15886-2026")</f>
        <v/>
      </c>
      <c r="Y135">
        <f>HYPERLINK("https://klasma.github.io/Logging_0188/tillsynsmail/A 15886-2026 tillsynsbegäran mail.docx", "A 15886-2026")</f>
        <v/>
      </c>
      <c r="Z135">
        <f>HYPERLINK("https://klasma.github.io/Logging_0188/fåglar/A 15886-2026 prioriterade fågelarter.docx", "A 15886-2026")</f>
        <v/>
      </c>
    </row>
    <row r="136" ht="15" customHeight="1">
      <c r="A136" t="inlineStr">
        <is>
          <t>A 21821-2026</t>
        </is>
      </c>
      <c r="B136" s="1" t="n">
        <v>46150.48150462963</v>
      </c>
      <c r="C136" s="1" t="n">
        <v>46159</v>
      </c>
      <c r="D136" t="inlineStr">
        <is>
          <t>STOCKHOLMS LÄN</t>
        </is>
      </c>
      <c r="E136" t="inlineStr">
        <is>
          <t>NORRTÄLJE</t>
        </is>
      </c>
      <c r="G136" t="n">
        <v>2.6</v>
      </c>
      <c r="H136" t="n">
        <v>1</v>
      </c>
      <c r="I136" t="n">
        <v>0</v>
      </c>
      <c r="J136" t="n">
        <v>0</v>
      </c>
      <c r="K136" t="n">
        <v>0</v>
      </c>
      <c r="L136" t="n">
        <v>1</v>
      </c>
      <c r="M136" t="n">
        <v>0</v>
      </c>
      <c r="N136" t="n">
        <v>0</v>
      </c>
      <c r="O136" t="n">
        <v>1</v>
      </c>
      <c r="P136" t="n">
        <v>1</v>
      </c>
      <c r="Q136" t="n">
        <v>1</v>
      </c>
      <c r="R136" s="2" t="inlineStr">
        <is>
          <t>Bredgentiana</t>
        </is>
      </c>
      <c r="S136">
        <f>HYPERLINK("https://klasma.github.io/Logging_0188/artfynd/A 21821-2026 artfynd.xlsx", "A 21821-2026")</f>
        <v/>
      </c>
      <c r="T136">
        <f>HYPERLINK("https://klasma.github.io/Logging_0188/kartor/A 21821-2026 karta.png", "A 21821-2026")</f>
        <v/>
      </c>
      <c r="V136">
        <f>HYPERLINK("https://klasma.github.io/Logging_0188/klagomål/A 21821-2026 FSC-klagomål.docx", "A 21821-2026")</f>
        <v/>
      </c>
      <c r="W136">
        <f>HYPERLINK("https://klasma.github.io/Logging_0188/klagomålsmail/A 21821-2026 FSC-klagomål mail.docx", "A 21821-2026")</f>
        <v/>
      </c>
      <c r="X136">
        <f>HYPERLINK("https://klasma.github.io/Logging_0188/tillsyn/A 21821-2026 tillsynsbegäran.docx", "A 21821-2026")</f>
        <v/>
      </c>
      <c r="Y136">
        <f>HYPERLINK("https://klasma.github.io/Logging_0188/tillsynsmail/A 21821-2026 tillsynsbegäran mail.docx", "A 21821-2026")</f>
        <v/>
      </c>
    </row>
    <row r="137" ht="15" customHeight="1">
      <c r="A137" t="inlineStr">
        <is>
          <t>A 14365-2025</t>
        </is>
      </c>
      <c r="B137" s="1" t="n">
        <v>45741.38688657407</v>
      </c>
      <c r="C137" s="1" t="n">
        <v>46159</v>
      </c>
      <c r="D137" t="inlineStr">
        <is>
          <t>STOCKHOLMS LÄN</t>
        </is>
      </c>
      <c r="E137" t="inlineStr">
        <is>
          <t>NORRTÄLJE</t>
        </is>
      </c>
      <c r="G137" t="n">
        <v>2.4</v>
      </c>
      <c r="H137" t="n">
        <v>0</v>
      </c>
      <c r="I137" t="n">
        <v>0</v>
      </c>
      <c r="J137" t="n">
        <v>1</v>
      </c>
      <c r="K137" t="n">
        <v>0</v>
      </c>
      <c r="L137" t="n">
        <v>0</v>
      </c>
      <c r="M137" t="n">
        <v>0</v>
      </c>
      <c r="N137" t="n">
        <v>0</v>
      </c>
      <c r="O137" t="n">
        <v>1</v>
      </c>
      <c r="P137" t="n">
        <v>0</v>
      </c>
      <c r="Q137" t="n">
        <v>1</v>
      </c>
      <c r="R137" s="2" t="inlineStr">
        <is>
          <t>Granticka</t>
        </is>
      </c>
      <c r="S137">
        <f>HYPERLINK("https://klasma.github.io/Logging_0188/artfynd/A 14365-2025 artfynd.xlsx", "A 14365-2025")</f>
        <v/>
      </c>
      <c r="T137">
        <f>HYPERLINK("https://klasma.github.io/Logging_0188/kartor/A 14365-2025 karta.png", "A 14365-2025")</f>
        <v/>
      </c>
      <c r="V137">
        <f>HYPERLINK("https://klasma.github.io/Logging_0188/klagomål/A 14365-2025 FSC-klagomål.docx", "A 14365-2025")</f>
        <v/>
      </c>
      <c r="W137">
        <f>HYPERLINK("https://klasma.github.io/Logging_0188/klagomålsmail/A 14365-2025 FSC-klagomål mail.docx", "A 14365-2025")</f>
        <v/>
      </c>
      <c r="X137">
        <f>HYPERLINK("https://klasma.github.io/Logging_0188/tillsyn/A 14365-2025 tillsynsbegäran.docx", "A 14365-2025")</f>
        <v/>
      </c>
      <c r="Y137">
        <f>HYPERLINK("https://klasma.github.io/Logging_0188/tillsynsmail/A 14365-2025 tillsynsbegäran mail.docx", "A 14365-2025")</f>
        <v/>
      </c>
    </row>
    <row r="138" ht="15" customHeight="1">
      <c r="A138" t="inlineStr">
        <is>
          <t>A 21150-2022</t>
        </is>
      </c>
      <c r="B138" s="1" t="n">
        <v>44704</v>
      </c>
      <c r="C138" s="1" t="n">
        <v>46159</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26120-2024</t>
        </is>
      </c>
      <c r="B139" s="1" t="n">
        <v>45468.45995370371</v>
      </c>
      <c r="C139" s="1" t="n">
        <v>46159</v>
      </c>
      <c r="D139" t="inlineStr">
        <is>
          <t>STOCKHOLMS LÄN</t>
        </is>
      </c>
      <c r="E139" t="inlineStr">
        <is>
          <t>NORRTÄLJE</t>
        </is>
      </c>
      <c r="G139" t="n">
        <v>1.8</v>
      </c>
      <c r="H139" t="n">
        <v>0</v>
      </c>
      <c r="I139" t="n">
        <v>0</v>
      </c>
      <c r="J139" t="n">
        <v>1</v>
      </c>
      <c r="K139" t="n">
        <v>0</v>
      </c>
      <c r="L139" t="n">
        <v>0</v>
      </c>
      <c r="M139" t="n">
        <v>0</v>
      </c>
      <c r="N139" t="n">
        <v>0</v>
      </c>
      <c r="O139" t="n">
        <v>1</v>
      </c>
      <c r="P139" t="n">
        <v>0</v>
      </c>
      <c r="Q139" t="n">
        <v>1</v>
      </c>
      <c r="R139" s="2" t="inlineStr">
        <is>
          <t>Majviva</t>
        </is>
      </c>
      <c r="S139">
        <f>HYPERLINK("https://klasma.github.io/Logging_0188/artfynd/A 26120-2024 artfynd.xlsx", "A 26120-2024")</f>
        <v/>
      </c>
      <c r="T139">
        <f>HYPERLINK("https://klasma.github.io/Logging_0188/kartor/A 26120-2024 karta.png", "A 26120-2024")</f>
        <v/>
      </c>
      <c r="V139">
        <f>HYPERLINK("https://klasma.github.io/Logging_0188/klagomål/A 26120-2024 FSC-klagomål.docx", "A 26120-2024")</f>
        <v/>
      </c>
      <c r="W139">
        <f>HYPERLINK("https://klasma.github.io/Logging_0188/klagomålsmail/A 26120-2024 FSC-klagomål mail.docx", "A 26120-2024")</f>
        <v/>
      </c>
      <c r="X139">
        <f>HYPERLINK("https://klasma.github.io/Logging_0188/tillsyn/A 26120-2024 tillsynsbegäran.docx", "A 26120-2024")</f>
        <v/>
      </c>
      <c r="Y139">
        <f>HYPERLINK("https://klasma.github.io/Logging_0188/tillsynsmail/A 26120-2024 tillsynsbegäran mail.docx", "A 26120-2024")</f>
        <v/>
      </c>
    </row>
    <row r="140" ht="15" customHeight="1">
      <c r="A140" t="inlineStr">
        <is>
          <t>A 11429-2023</t>
        </is>
      </c>
      <c r="B140" s="1" t="n">
        <v>44993</v>
      </c>
      <c r="C140" s="1" t="n">
        <v>46159</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50854-2022</t>
        </is>
      </c>
      <c r="B141" s="1" t="n">
        <v>44863</v>
      </c>
      <c r="C141" s="1" t="n">
        <v>46159</v>
      </c>
      <c r="D141" t="inlineStr">
        <is>
          <t>STOCKHOLMS LÄN</t>
        </is>
      </c>
      <c r="E141" t="inlineStr">
        <is>
          <t>NORRTÄLJE</t>
        </is>
      </c>
      <c r="G141" t="n">
        <v>2.9</v>
      </c>
      <c r="H141" t="n">
        <v>0</v>
      </c>
      <c r="I141" t="n">
        <v>1</v>
      </c>
      <c r="J141" t="n">
        <v>0</v>
      </c>
      <c r="K141" t="n">
        <v>0</v>
      </c>
      <c r="L141" t="n">
        <v>0</v>
      </c>
      <c r="M141" t="n">
        <v>0</v>
      </c>
      <c r="N141" t="n">
        <v>0</v>
      </c>
      <c r="O141" t="n">
        <v>0</v>
      </c>
      <c r="P141" t="n">
        <v>0</v>
      </c>
      <c r="Q141" t="n">
        <v>1</v>
      </c>
      <c r="R141" s="2" t="inlineStr">
        <is>
          <t>Tibast</t>
        </is>
      </c>
      <c r="S141">
        <f>HYPERLINK("https://klasma.github.io/Logging_0188/artfynd/A 50854-2022 artfynd.xlsx", "A 50854-2022")</f>
        <v/>
      </c>
      <c r="T141">
        <f>HYPERLINK("https://klasma.github.io/Logging_0188/kartor/A 50854-2022 karta.png", "A 50854-2022")</f>
        <v/>
      </c>
      <c r="V141">
        <f>HYPERLINK("https://klasma.github.io/Logging_0188/klagomål/A 50854-2022 FSC-klagomål.docx", "A 50854-2022")</f>
        <v/>
      </c>
      <c r="W141">
        <f>HYPERLINK("https://klasma.github.io/Logging_0188/klagomålsmail/A 50854-2022 FSC-klagomål mail.docx", "A 50854-2022")</f>
        <v/>
      </c>
      <c r="X141">
        <f>HYPERLINK("https://klasma.github.io/Logging_0188/tillsyn/A 50854-2022 tillsynsbegäran.docx", "A 50854-2022")</f>
        <v/>
      </c>
      <c r="Y141">
        <f>HYPERLINK("https://klasma.github.io/Logging_0188/tillsynsmail/A 50854-2022 tillsynsbegäran mail.docx", "A 50854-2022")</f>
        <v/>
      </c>
    </row>
    <row r="142" ht="15" customHeight="1">
      <c r="A142" t="inlineStr">
        <is>
          <t>A 64456-2023</t>
        </is>
      </c>
      <c r="B142" s="1" t="n">
        <v>45280</v>
      </c>
      <c r="C142" s="1" t="n">
        <v>46159</v>
      </c>
      <c r="D142" t="inlineStr">
        <is>
          <t>STOCKHOLMS LÄN</t>
        </is>
      </c>
      <c r="E142" t="inlineStr">
        <is>
          <t>NORRTÄLJE</t>
        </is>
      </c>
      <c r="G142" t="n">
        <v>2.5</v>
      </c>
      <c r="H142" t="n">
        <v>0</v>
      </c>
      <c r="I142" t="n">
        <v>1</v>
      </c>
      <c r="J142" t="n">
        <v>0</v>
      </c>
      <c r="K142" t="n">
        <v>0</v>
      </c>
      <c r="L142" t="n">
        <v>0</v>
      </c>
      <c r="M142" t="n">
        <v>0</v>
      </c>
      <c r="N142" t="n">
        <v>0</v>
      </c>
      <c r="O142" t="n">
        <v>0</v>
      </c>
      <c r="P142" t="n">
        <v>0</v>
      </c>
      <c r="Q142" t="n">
        <v>1</v>
      </c>
      <c r="R142" s="2" t="inlineStr">
        <is>
          <t>Rödgul trumpetsvamp</t>
        </is>
      </c>
      <c r="S142">
        <f>HYPERLINK("https://klasma.github.io/Logging_0188/artfynd/A 64456-2023 artfynd.xlsx", "A 64456-2023")</f>
        <v/>
      </c>
      <c r="T142">
        <f>HYPERLINK("https://klasma.github.io/Logging_0188/kartor/A 64456-2023 karta.png", "A 64456-2023")</f>
        <v/>
      </c>
      <c r="V142">
        <f>HYPERLINK("https://klasma.github.io/Logging_0188/klagomål/A 64456-2023 FSC-klagomål.docx", "A 64456-2023")</f>
        <v/>
      </c>
      <c r="W142">
        <f>HYPERLINK("https://klasma.github.io/Logging_0188/klagomålsmail/A 64456-2023 FSC-klagomål mail.docx", "A 64456-2023")</f>
        <v/>
      </c>
      <c r="X142">
        <f>HYPERLINK("https://klasma.github.io/Logging_0188/tillsyn/A 64456-2023 tillsynsbegäran.docx", "A 64456-2023")</f>
        <v/>
      </c>
      <c r="Y142">
        <f>HYPERLINK("https://klasma.github.io/Logging_0188/tillsynsmail/A 64456-2023 tillsynsbegäran mail.docx", "A 64456-2023")</f>
        <v/>
      </c>
    </row>
    <row r="143" ht="15" customHeight="1">
      <c r="A143" t="inlineStr">
        <is>
          <t>A 31281-2022</t>
        </is>
      </c>
      <c r="B143" s="1" t="n">
        <v>44771</v>
      </c>
      <c r="C143" s="1" t="n">
        <v>46159</v>
      </c>
      <c r="D143" t="inlineStr">
        <is>
          <t>STOCKHOLMS LÄN</t>
        </is>
      </c>
      <c r="E143" t="inlineStr">
        <is>
          <t>NORRTÄLJE</t>
        </is>
      </c>
      <c r="F143" t="inlineStr">
        <is>
          <t>Holmen skog AB</t>
        </is>
      </c>
      <c r="G143" t="n">
        <v>5.2</v>
      </c>
      <c r="H143" t="n">
        <v>1</v>
      </c>
      <c r="I143" t="n">
        <v>0</v>
      </c>
      <c r="J143" t="n">
        <v>1</v>
      </c>
      <c r="K143" t="n">
        <v>0</v>
      </c>
      <c r="L143" t="n">
        <v>0</v>
      </c>
      <c r="M143" t="n">
        <v>0</v>
      </c>
      <c r="N143" t="n">
        <v>0</v>
      </c>
      <c r="O143" t="n">
        <v>1</v>
      </c>
      <c r="P143" t="n">
        <v>0</v>
      </c>
      <c r="Q143" t="n">
        <v>1</v>
      </c>
      <c r="R143" s="2" t="inlineStr">
        <is>
          <t>Kråka</t>
        </is>
      </c>
      <c r="S143">
        <f>HYPERLINK("https://klasma.github.io/Logging_0188/artfynd/A 31281-2022 artfynd.xlsx", "A 31281-2022")</f>
        <v/>
      </c>
      <c r="T143">
        <f>HYPERLINK("https://klasma.github.io/Logging_0188/kartor/A 31281-2022 karta.png", "A 31281-2022")</f>
        <v/>
      </c>
      <c r="V143">
        <f>HYPERLINK("https://klasma.github.io/Logging_0188/klagomål/A 31281-2022 FSC-klagomål.docx", "A 31281-2022")</f>
        <v/>
      </c>
      <c r="W143">
        <f>HYPERLINK("https://klasma.github.io/Logging_0188/klagomålsmail/A 31281-2022 FSC-klagomål mail.docx", "A 31281-2022")</f>
        <v/>
      </c>
      <c r="X143">
        <f>HYPERLINK("https://klasma.github.io/Logging_0188/tillsyn/A 31281-2022 tillsynsbegäran.docx", "A 31281-2022")</f>
        <v/>
      </c>
      <c r="Y143">
        <f>HYPERLINK("https://klasma.github.io/Logging_0188/tillsynsmail/A 31281-2022 tillsynsbegäran mail.docx", "A 31281-2022")</f>
        <v/>
      </c>
      <c r="Z143">
        <f>HYPERLINK("https://klasma.github.io/Logging_0188/fåglar/A 31281-2022 prioriterade fågelarter.docx", "A 31281-2022")</f>
        <v/>
      </c>
    </row>
    <row r="144" ht="15" customHeight="1">
      <c r="A144" t="inlineStr">
        <is>
          <t>A 52611-2024</t>
        </is>
      </c>
      <c r="B144" s="1" t="n">
        <v>45609.83747685186</v>
      </c>
      <c r="C144" s="1" t="n">
        <v>46159</v>
      </c>
      <c r="D144" t="inlineStr">
        <is>
          <t>STOCKHOLMS LÄN</t>
        </is>
      </c>
      <c r="E144" t="inlineStr">
        <is>
          <t>NORRTÄLJE</t>
        </is>
      </c>
      <c r="G144" t="n">
        <v>10.6</v>
      </c>
      <c r="H144" t="n">
        <v>1</v>
      </c>
      <c r="I144" t="n">
        <v>0</v>
      </c>
      <c r="J144" t="n">
        <v>0</v>
      </c>
      <c r="K144" t="n">
        <v>0</v>
      </c>
      <c r="L144" t="n">
        <v>0</v>
      </c>
      <c r="M144" t="n">
        <v>0</v>
      </c>
      <c r="N144" t="n">
        <v>0</v>
      </c>
      <c r="O144" t="n">
        <v>0</v>
      </c>
      <c r="P144" t="n">
        <v>0</v>
      </c>
      <c r="Q144" t="n">
        <v>1</v>
      </c>
      <c r="R144" s="2" t="inlineStr">
        <is>
          <t>Blåsippa</t>
        </is>
      </c>
      <c r="S144">
        <f>HYPERLINK("https://klasma.github.io/Logging_0188/artfynd/A 52611-2024 artfynd.xlsx", "A 52611-2024")</f>
        <v/>
      </c>
      <c r="T144">
        <f>HYPERLINK("https://klasma.github.io/Logging_0188/kartor/A 52611-2024 karta.png", "A 52611-2024")</f>
        <v/>
      </c>
      <c r="V144">
        <f>HYPERLINK("https://klasma.github.io/Logging_0188/klagomål/A 52611-2024 FSC-klagomål.docx", "A 52611-2024")</f>
        <v/>
      </c>
      <c r="W144">
        <f>HYPERLINK("https://klasma.github.io/Logging_0188/klagomålsmail/A 52611-2024 FSC-klagomål mail.docx", "A 52611-2024")</f>
        <v/>
      </c>
      <c r="X144">
        <f>HYPERLINK("https://klasma.github.io/Logging_0188/tillsyn/A 52611-2024 tillsynsbegäran.docx", "A 52611-2024")</f>
        <v/>
      </c>
      <c r="Y144">
        <f>HYPERLINK("https://klasma.github.io/Logging_0188/tillsynsmail/A 52611-2024 tillsynsbegäran mail.docx", "A 52611-2024")</f>
        <v/>
      </c>
    </row>
    <row r="145" ht="15" customHeight="1">
      <c r="A145" t="inlineStr">
        <is>
          <t>A 52508-2023</t>
        </is>
      </c>
      <c r="B145" s="1" t="n">
        <v>45225</v>
      </c>
      <c r="C145" s="1" t="n">
        <v>46159</v>
      </c>
      <c r="D145" t="inlineStr">
        <is>
          <t>STOCKHOLMS LÄN</t>
        </is>
      </c>
      <c r="E145" t="inlineStr">
        <is>
          <t>NORRTÄLJE</t>
        </is>
      </c>
      <c r="G145" t="n">
        <v>19.7</v>
      </c>
      <c r="H145" t="n">
        <v>1</v>
      </c>
      <c r="I145" t="n">
        <v>0</v>
      </c>
      <c r="J145" t="n">
        <v>0</v>
      </c>
      <c r="K145" t="n">
        <v>1</v>
      </c>
      <c r="L145" t="n">
        <v>0</v>
      </c>
      <c r="M145" t="n">
        <v>0</v>
      </c>
      <c r="N145" t="n">
        <v>0</v>
      </c>
      <c r="O145" t="n">
        <v>1</v>
      </c>
      <c r="P145" t="n">
        <v>1</v>
      </c>
      <c r="Q145" t="n">
        <v>1</v>
      </c>
      <c r="R145" s="2" t="inlineStr">
        <is>
          <t>Svärta</t>
        </is>
      </c>
      <c r="S145">
        <f>HYPERLINK("https://klasma.github.io/Logging_0188/artfynd/A 52508-2023 artfynd.xlsx", "A 52508-2023")</f>
        <v/>
      </c>
      <c r="T145">
        <f>HYPERLINK("https://klasma.github.io/Logging_0188/kartor/A 52508-2023 karta.png", "A 52508-2023")</f>
        <v/>
      </c>
      <c r="V145">
        <f>HYPERLINK("https://klasma.github.io/Logging_0188/klagomål/A 52508-2023 FSC-klagomål.docx", "A 52508-2023")</f>
        <v/>
      </c>
      <c r="W145">
        <f>HYPERLINK("https://klasma.github.io/Logging_0188/klagomålsmail/A 52508-2023 FSC-klagomål mail.docx", "A 52508-2023")</f>
        <v/>
      </c>
      <c r="X145">
        <f>HYPERLINK("https://klasma.github.io/Logging_0188/tillsyn/A 52508-2023 tillsynsbegäran.docx", "A 52508-2023")</f>
        <v/>
      </c>
      <c r="Y145">
        <f>HYPERLINK("https://klasma.github.io/Logging_0188/tillsynsmail/A 52508-2023 tillsynsbegäran mail.docx", "A 52508-2023")</f>
        <v/>
      </c>
    </row>
    <row r="146" ht="15" customHeight="1">
      <c r="A146" t="inlineStr">
        <is>
          <t>A 48131-2023</t>
        </is>
      </c>
      <c r="B146" s="1" t="n">
        <v>45205</v>
      </c>
      <c r="C146" s="1" t="n">
        <v>46159</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46159</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46159</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46159</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46159</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46159</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46159</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46159</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46159</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46159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46159</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46159</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46159</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46159</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46159</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46159</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73855-2021</t>
        </is>
      </c>
      <c r="B163" s="1" t="n">
        <v>44552</v>
      </c>
      <c r="C163" s="1" t="n">
        <v>46159</v>
      </c>
      <c r="D163" t="inlineStr">
        <is>
          <t>STOCKHOLMS LÄN</t>
        </is>
      </c>
      <c r="E163" t="inlineStr">
        <is>
          <t>NORRTÄLJE</t>
        </is>
      </c>
      <c r="F163" t="inlineStr">
        <is>
          <t>Övriga Aktiebolag</t>
        </is>
      </c>
      <c r="G163" t="n">
        <v>4</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46159</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46159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46159</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46159</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46159</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46159</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46159</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46159</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46159</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46159</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46159</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46159</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46159</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46159</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46159</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46159</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46159</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46159</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46159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46159</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46159</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46159</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46159</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46159</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46159</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46159</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46159</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46159</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46159</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46159</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46159</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46159</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46159</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46159</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46159</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46159</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46159</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46159</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46159</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46159</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46159</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46159</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46159</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46159</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46159</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46159</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46159</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46159</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46159</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46159</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46159</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46159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46159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46159</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46159</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46159</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46159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46159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46159</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46159</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46159</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46159</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46159</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46159</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46159</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46159</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46159</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46159</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46159</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46159</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46159</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46159</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46159</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46159</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46159</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46159</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46159</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46159</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46159</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46159</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46159</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46159</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46159</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46159</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46159</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23453-2021</t>
        </is>
      </c>
      <c r="B249" s="1" t="n">
        <v>44333</v>
      </c>
      <c r="C249" s="1" t="n">
        <v>46159</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46159</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46159</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7565-2022</t>
        </is>
      </c>
      <c r="B252" s="1" t="n">
        <v>44607</v>
      </c>
      <c r="C252" s="1" t="n">
        <v>46159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46159</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46159</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20295-2022</t>
        </is>
      </c>
      <c r="B255" s="1" t="n">
        <v>44698</v>
      </c>
      <c r="C255" s="1" t="n">
        <v>46159</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37415-2021</t>
        </is>
      </c>
      <c r="B256" s="1" t="n">
        <v>44397</v>
      </c>
      <c r="C256" s="1" t="n">
        <v>46159</v>
      </c>
      <c r="D256" t="inlineStr">
        <is>
          <t>STOCKHOLMS LÄN</t>
        </is>
      </c>
      <c r="E256" t="inlineStr">
        <is>
          <t>NORRTÄLJE</t>
        </is>
      </c>
      <c r="F256" t="inlineStr">
        <is>
          <t>Övriga Aktiebolag</t>
        </is>
      </c>
      <c r="G256" t="n">
        <v>3</v>
      </c>
      <c r="H256" t="n">
        <v>0</v>
      </c>
      <c r="I256" t="n">
        <v>0</v>
      </c>
      <c r="J256" t="n">
        <v>0</v>
      </c>
      <c r="K256" t="n">
        <v>0</v>
      </c>
      <c r="L256" t="n">
        <v>0</v>
      </c>
      <c r="M256" t="n">
        <v>0</v>
      </c>
      <c r="N256" t="n">
        <v>0</v>
      </c>
      <c r="O256" t="n">
        <v>0</v>
      </c>
      <c r="P256" t="n">
        <v>0</v>
      </c>
      <c r="Q256" t="n">
        <v>0</v>
      </c>
      <c r="R256" s="2" t="inlineStr"/>
    </row>
    <row r="257" ht="15" customHeight="1">
      <c r="A257" t="inlineStr">
        <is>
          <t>A 8160-2022</t>
        </is>
      </c>
      <c r="B257" s="1" t="n">
        <v>44609</v>
      </c>
      <c r="C257" s="1" t="n">
        <v>46159</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46159</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46159</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56219-2021</t>
        </is>
      </c>
      <c r="B260" s="1" t="n">
        <v>44477</v>
      </c>
      <c r="C260" s="1" t="n">
        <v>46159</v>
      </c>
      <c r="D260" t="inlineStr">
        <is>
          <t>STOCKHOLMS LÄN</t>
        </is>
      </c>
      <c r="E260" t="inlineStr">
        <is>
          <t>NORRTÄLJE</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15226-2022</t>
        </is>
      </c>
      <c r="B261" s="1" t="n">
        <v>44658</v>
      </c>
      <c r="C261" s="1" t="n">
        <v>46159</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3300-2022</t>
        </is>
      </c>
      <c r="B262" s="1" t="n">
        <v>44584.91538194445</v>
      </c>
      <c r="C262" s="1" t="n">
        <v>46159</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17388-2022</t>
        </is>
      </c>
      <c r="B263" s="1" t="n">
        <v>44678</v>
      </c>
      <c r="C263" s="1" t="n">
        <v>46159</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46159</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46159</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46159</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46159</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46159</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46159</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46159</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46159</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21102-2022</t>
        </is>
      </c>
      <c r="B272" s="1" t="n">
        <v>44704</v>
      </c>
      <c r="C272" s="1" t="n">
        <v>46159</v>
      </c>
      <c r="D272" t="inlineStr">
        <is>
          <t>STOCKHOLMS LÄN</t>
        </is>
      </c>
      <c r="E272" t="inlineStr">
        <is>
          <t>NORRTÄLJE</t>
        </is>
      </c>
      <c r="G272" t="n">
        <v>0.2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46159</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46159</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46159</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46159</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46159</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38721-2022</t>
        </is>
      </c>
      <c r="B278" s="1" t="n">
        <v>44815</v>
      </c>
      <c r="C278" s="1" t="n">
        <v>46159</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60184-2021</t>
        </is>
      </c>
      <c r="B279" s="1" t="n">
        <v>44495</v>
      </c>
      <c r="C279" s="1" t="n">
        <v>46159</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55012-2024</t>
        </is>
      </c>
      <c r="B280" s="1" t="n">
        <v>45621.34813657407</v>
      </c>
      <c r="C280" s="1" t="n">
        <v>46159</v>
      </c>
      <c r="D280" t="inlineStr">
        <is>
          <t>STOCKHOLMS LÄN</t>
        </is>
      </c>
      <c r="E280" t="inlineStr">
        <is>
          <t>NORRTÄLJE</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12348-2025</t>
        </is>
      </c>
      <c r="B281" s="1" t="n">
        <v>45730.35026620371</v>
      </c>
      <c r="C281" s="1" t="n">
        <v>46159</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23271-2023</t>
        </is>
      </c>
      <c r="B282" s="1" t="n">
        <v>45075.91362268518</v>
      </c>
      <c r="C282" s="1" t="n">
        <v>46159</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23273-2023</t>
        </is>
      </c>
      <c r="B283" s="1" t="n">
        <v>45075.91971064815</v>
      </c>
      <c r="C283" s="1" t="n">
        <v>46159</v>
      </c>
      <c r="D283" t="inlineStr">
        <is>
          <t>STOCKHOLMS LÄN</t>
        </is>
      </c>
      <c r="E283" t="inlineStr">
        <is>
          <t>NORRTÄLJE</t>
        </is>
      </c>
      <c r="G283" t="n">
        <v>7.5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46159</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46159</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46159</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46159</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20013-2025</t>
        </is>
      </c>
      <c r="B288" s="1" t="n">
        <v>45772.30436342592</v>
      </c>
      <c r="C288" s="1" t="n">
        <v>46159</v>
      </c>
      <c r="D288" t="inlineStr">
        <is>
          <t>STOCKHOLMS LÄN</t>
        </is>
      </c>
      <c r="E288" t="inlineStr">
        <is>
          <t>NORRTÄLJE</t>
        </is>
      </c>
      <c r="G288" t="n">
        <v>2.3</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46159</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27715-2022</t>
        </is>
      </c>
      <c r="B290" s="1" t="n">
        <v>44743.47407407407</v>
      </c>
      <c r="C290" s="1" t="n">
        <v>46159</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63161-2023</t>
        </is>
      </c>
      <c r="B291" s="1" t="n">
        <v>45273</v>
      </c>
      <c r="C291" s="1" t="n">
        <v>46159</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46159</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20014-2025</t>
        </is>
      </c>
      <c r="B293" s="1" t="n">
        <v>45772.3078125</v>
      </c>
      <c r="C293" s="1" t="n">
        <v>46159</v>
      </c>
      <c r="D293" t="inlineStr">
        <is>
          <t>STOCKHOLMS LÄN</t>
        </is>
      </c>
      <c r="E293" t="inlineStr">
        <is>
          <t>NORRTÄLJE</t>
        </is>
      </c>
      <c r="G293" t="n">
        <v>4.4</v>
      </c>
      <c r="H293" t="n">
        <v>0</v>
      </c>
      <c r="I293" t="n">
        <v>0</v>
      </c>
      <c r="J293" t="n">
        <v>0</v>
      </c>
      <c r="K293" t="n">
        <v>0</v>
      </c>
      <c r="L293" t="n">
        <v>0</v>
      </c>
      <c r="M293" t="n">
        <v>0</v>
      </c>
      <c r="N293" t="n">
        <v>0</v>
      </c>
      <c r="O293" t="n">
        <v>0</v>
      </c>
      <c r="P293" t="n">
        <v>0</v>
      </c>
      <c r="Q293" t="n">
        <v>0</v>
      </c>
      <c r="R293" s="2" t="inlineStr"/>
    </row>
    <row r="294" ht="15" customHeight="1">
      <c r="A294" t="inlineStr">
        <is>
          <t>A 47694-2023</t>
        </is>
      </c>
      <c r="B294" s="1" t="n">
        <v>45203.63303240741</v>
      </c>
      <c r="C294" s="1" t="n">
        <v>46159</v>
      </c>
      <c r="D294" t="inlineStr">
        <is>
          <t>STOCKHOLMS LÄN</t>
        </is>
      </c>
      <c r="E294" t="inlineStr">
        <is>
          <t>NORRTÄLJE</t>
        </is>
      </c>
      <c r="G294" t="n">
        <v>5.2</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46159</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46159</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46159</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46159</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46159</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5158-2024</t>
        </is>
      </c>
      <c r="B300" s="1" t="n">
        <v>45330.50098379629</v>
      </c>
      <c r="C300" s="1" t="n">
        <v>46159</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46159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15978-2024</t>
        </is>
      </c>
      <c r="B302" s="1" t="n">
        <v>45405.57927083333</v>
      </c>
      <c r="C302" s="1" t="n">
        <v>46159</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46159</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8736-2024</t>
        </is>
      </c>
      <c r="B304" s="1" t="n">
        <v>45356.4722800926</v>
      </c>
      <c r="C304" s="1" t="n">
        <v>46159</v>
      </c>
      <c r="D304" t="inlineStr">
        <is>
          <t>STOCKHOLMS LÄN</t>
        </is>
      </c>
      <c r="E304" t="inlineStr">
        <is>
          <t>NORRTÄLJE</t>
        </is>
      </c>
      <c r="G304" t="n">
        <v>8.9</v>
      </c>
      <c r="H304" t="n">
        <v>0</v>
      </c>
      <c r="I304" t="n">
        <v>0</v>
      </c>
      <c r="J304" t="n">
        <v>0</v>
      </c>
      <c r="K304" t="n">
        <v>0</v>
      </c>
      <c r="L304" t="n">
        <v>0</v>
      </c>
      <c r="M304" t="n">
        <v>0</v>
      </c>
      <c r="N304" t="n">
        <v>0</v>
      </c>
      <c r="O304" t="n">
        <v>0</v>
      </c>
      <c r="P304" t="n">
        <v>0</v>
      </c>
      <c r="Q304" t="n">
        <v>0</v>
      </c>
      <c r="R304" s="2" t="inlineStr"/>
    </row>
    <row r="305" ht="15" customHeight="1">
      <c r="A305" t="inlineStr">
        <is>
          <t>A 45255-2022</t>
        </is>
      </c>
      <c r="B305" s="1" t="n">
        <v>44840</v>
      </c>
      <c r="C305" s="1" t="n">
        <v>46159</v>
      </c>
      <c r="D305" t="inlineStr">
        <is>
          <t>STOCKHOLMS LÄN</t>
        </is>
      </c>
      <c r="E305" t="inlineStr">
        <is>
          <t>NORRTÄLJE</t>
        </is>
      </c>
      <c r="G305" t="n">
        <v>4.1</v>
      </c>
      <c r="H305" t="n">
        <v>0</v>
      </c>
      <c r="I305" t="n">
        <v>0</v>
      </c>
      <c r="J305" t="n">
        <v>0</v>
      </c>
      <c r="K305" t="n">
        <v>0</v>
      </c>
      <c r="L305" t="n">
        <v>0</v>
      </c>
      <c r="M305" t="n">
        <v>0</v>
      </c>
      <c r="N305" t="n">
        <v>0</v>
      </c>
      <c r="O305" t="n">
        <v>0</v>
      </c>
      <c r="P305" t="n">
        <v>0</v>
      </c>
      <c r="Q305" t="n">
        <v>0</v>
      </c>
      <c r="R305" s="2" t="inlineStr"/>
    </row>
    <row r="306" ht="15" customHeight="1">
      <c r="A306" t="inlineStr">
        <is>
          <t>A 19915-2024</t>
        </is>
      </c>
      <c r="B306" s="1" t="n">
        <v>45433.58431712963</v>
      </c>
      <c r="C306" s="1" t="n">
        <v>46159</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14762-2024</t>
        </is>
      </c>
      <c r="B307" s="1" t="n">
        <v>45397</v>
      </c>
      <c r="C307" s="1" t="n">
        <v>46159</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12629-2024</t>
        </is>
      </c>
      <c r="B308" s="1" t="n">
        <v>45383</v>
      </c>
      <c r="C308" s="1" t="n">
        <v>46159</v>
      </c>
      <c r="D308" t="inlineStr">
        <is>
          <t>STOCKHOLMS LÄN</t>
        </is>
      </c>
      <c r="E308" t="inlineStr">
        <is>
          <t>NORRTÄLJE</t>
        </is>
      </c>
      <c r="G308" t="n">
        <v>2.6</v>
      </c>
      <c r="H308" t="n">
        <v>0</v>
      </c>
      <c r="I308" t="n">
        <v>0</v>
      </c>
      <c r="J308" t="n">
        <v>0</v>
      </c>
      <c r="K308" t="n">
        <v>0</v>
      </c>
      <c r="L308" t="n">
        <v>0</v>
      </c>
      <c r="M308" t="n">
        <v>0</v>
      </c>
      <c r="N308" t="n">
        <v>0</v>
      </c>
      <c r="O308" t="n">
        <v>0</v>
      </c>
      <c r="P308" t="n">
        <v>0</v>
      </c>
      <c r="Q308" t="n">
        <v>0</v>
      </c>
      <c r="R308" s="2" t="inlineStr"/>
    </row>
    <row r="309" ht="15" customHeight="1">
      <c r="A309" t="inlineStr">
        <is>
          <t>A 20428-2024</t>
        </is>
      </c>
      <c r="B309" s="1" t="n">
        <v>45435</v>
      </c>
      <c r="C309" s="1" t="n">
        <v>46159</v>
      </c>
      <c r="D309" t="inlineStr">
        <is>
          <t>STOCKHOLMS LÄN</t>
        </is>
      </c>
      <c r="E309" t="inlineStr">
        <is>
          <t>NORRTÄLJE</t>
        </is>
      </c>
      <c r="G309" t="n">
        <v>3.7</v>
      </c>
      <c r="H309" t="n">
        <v>0</v>
      </c>
      <c r="I309" t="n">
        <v>0</v>
      </c>
      <c r="J309" t="n">
        <v>0</v>
      </c>
      <c r="K309" t="n">
        <v>0</v>
      </c>
      <c r="L309" t="n">
        <v>0</v>
      </c>
      <c r="M309" t="n">
        <v>0</v>
      </c>
      <c r="N309" t="n">
        <v>0</v>
      </c>
      <c r="O309" t="n">
        <v>0</v>
      </c>
      <c r="P309" t="n">
        <v>0</v>
      </c>
      <c r="Q309" t="n">
        <v>0</v>
      </c>
      <c r="R309" s="2" t="inlineStr"/>
    </row>
    <row r="310" ht="15" customHeight="1">
      <c r="A310" t="inlineStr">
        <is>
          <t>A 57037-2022</t>
        </is>
      </c>
      <c r="B310" s="1" t="n">
        <v>44895</v>
      </c>
      <c r="C310" s="1" t="n">
        <v>46159</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55755-2023</t>
        </is>
      </c>
      <c r="B311" s="1" t="n">
        <v>45239</v>
      </c>
      <c r="C311" s="1" t="n">
        <v>46159</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40761-2024</t>
        </is>
      </c>
      <c r="B312" s="1" t="n">
        <v>45558.46283564815</v>
      </c>
      <c r="C312" s="1" t="n">
        <v>46159</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45549-2022</t>
        </is>
      </c>
      <c r="B313" s="1" t="n">
        <v>44845.48064814815</v>
      </c>
      <c r="C313" s="1" t="n">
        <v>46159</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23692-2024</t>
        </is>
      </c>
      <c r="B314" s="1" t="n">
        <v>45454.65774305556</v>
      </c>
      <c r="C314" s="1" t="n">
        <v>46159</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23149-2024</t>
        </is>
      </c>
      <c r="B315" s="1" t="n">
        <v>45450.64208333333</v>
      </c>
      <c r="C315" s="1" t="n">
        <v>46159</v>
      </c>
      <c r="D315" t="inlineStr">
        <is>
          <t>STOCKHOLMS LÄN</t>
        </is>
      </c>
      <c r="E315" t="inlineStr">
        <is>
          <t>NORRTÄLJE</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23151-2024</t>
        </is>
      </c>
      <c r="B316" s="1" t="n">
        <v>45450</v>
      </c>
      <c r="C316" s="1" t="n">
        <v>46159</v>
      </c>
      <c r="D316" t="inlineStr">
        <is>
          <t>STOCKHOLMS LÄN</t>
        </is>
      </c>
      <c r="E316" t="inlineStr">
        <is>
          <t>NORRTÄLJE</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46159</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46159</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37550-2022</t>
        </is>
      </c>
      <c r="B319" s="1" t="n">
        <v>44809</v>
      </c>
      <c r="C319" s="1" t="n">
        <v>46159</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46159</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50569-2022</t>
        </is>
      </c>
      <c r="B321" s="1" t="n">
        <v>44866.63775462963</v>
      </c>
      <c r="C321" s="1" t="n">
        <v>46159</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23262-2023</t>
        </is>
      </c>
      <c r="B322" s="1" t="n">
        <v>45075.90270833333</v>
      </c>
      <c r="C322" s="1" t="n">
        <v>46159</v>
      </c>
      <c r="D322" t="inlineStr">
        <is>
          <t>STOCKHOLMS LÄN</t>
        </is>
      </c>
      <c r="E322" t="inlineStr">
        <is>
          <t>NORRTÄLJE</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23268-2023</t>
        </is>
      </c>
      <c r="B323" s="1" t="n">
        <v>45075.91042824074</v>
      </c>
      <c r="C323" s="1" t="n">
        <v>46159</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23270-2023</t>
        </is>
      </c>
      <c r="B324" s="1" t="n">
        <v>45075.91265046296</v>
      </c>
      <c r="C324" s="1" t="n">
        <v>46159</v>
      </c>
      <c r="D324" t="inlineStr">
        <is>
          <t>STOCKHOLMS LÄN</t>
        </is>
      </c>
      <c r="E324" t="inlineStr">
        <is>
          <t>NORRTÄLJE</t>
        </is>
      </c>
      <c r="G324" t="n">
        <v>12.3</v>
      </c>
      <c r="H324" t="n">
        <v>0</v>
      </c>
      <c r="I324" t="n">
        <v>0</v>
      </c>
      <c r="J324" t="n">
        <v>0</v>
      </c>
      <c r="K324" t="n">
        <v>0</v>
      </c>
      <c r="L324" t="n">
        <v>0</v>
      </c>
      <c r="M324" t="n">
        <v>0</v>
      </c>
      <c r="N324" t="n">
        <v>0</v>
      </c>
      <c r="O324" t="n">
        <v>0</v>
      </c>
      <c r="P324" t="n">
        <v>0</v>
      </c>
      <c r="Q324" t="n">
        <v>0</v>
      </c>
      <c r="R324" s="2" t="inlineStr"/>
    </row>
    <row r="325" ht="15" customHeight="1">
      <c r="A325" t="inlineStr">
        <is>
          <t>A 23274-2023</t>
        </is>
      </c>
      <c r="B325" s="1" t="n">
        <v>45075.92153935185</v>
      </c>
      <c r="C325" s="1" t="n">
        <v>46159</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60224-2023</t>
        </is>
      </c>
      <c r="B326" s="1" t="n">
        <v>45257</v>
      </c>
      <c r="C326" s="1" t="n">
        <v>46159</v>
      </c>
      <c r="D326" t="inlineStr">
        <is>
          <t>STOCKHOLMS LÄN</t>
        </is>
      </c>
      <c r="E326" t="inlineStr">
        <is>
          <t>NORRTÄLJE</t>
        </is>
      </c>
      <c r="G326" t="n">
        <v>8.1</v>
      </c>
      <c r="H326" t="n">
        <v>0</v>
      </c>
      <c r="I326" t="n">
        <v>0</v>
      </c>
      <c r="J326" t="n">
        <v>0</v>
      </c>
      <c r="K326" t="n">
        <v>0</v>
      </c>
      <c r="L326" t="n">
        <v>0</v>
      </c>
      <c r="M326" t="n">
        <v>0</v>
      </c>
      <c r="N326" t="n">
        <v>0</v>
      </c>
      <c r="O326" t="n">
        <v>0</v>
      </c>
      <c r="P326" t="n">
        <v>0</v>
      </c>
      <c r="Q326" t="n">
        <v>0</v>
      </c>
      <c r="R326" s="2" t="inlineStr"/>
    </row>
    <row r="327" ht="15" customHeight="1">
      <c r="A327" t="inlineStr">
        <is>
          <t>A 5732-2023</t>
        </is>
      </c>
      <c r="B327" s="1" t="n">
        <v>44962</v>
      </c>
      <c r="C327" s="1" t="n">
        <v>46159</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25609-2023</t>
        </is>
      </c>
      <c r="B328" s="1" t="n">
        <v>45089</v>
      </c>
      <c r="C328" s="1" t="n">
        <v>46159</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17785-2024</t>
        </is>
      </c>
      <c r="B329" s="1" t="n">
        <v>45418.6968287037</v>
      </c>
      <c r="C329" s="1" t="n">
        <v>46159</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33569-2023</t>
        </is>
      </c>
      <c r="B330" s="1" t="n">
        <v>45131.666875</v>
      </c>
      <c r="C330" s="1" t="n">
        <v>46159</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46159</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29684-2021</t>
        </is>
      </c>
      <c r="B332" s="1" t="n">
        <v>44362.37172453704</v>
      </c>
      <c r="C332" s="1" t="n">
        <v>46159</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7603-2025</t>
        </is>
      </c>
      <c r="B333" s="1" t="n">
        <v>45705.66126157407</v>
      </c>
      <c r="C333" s="1" t="n">
        <v>46159</v>
      </c>
      <c r="D333" t="inlineStr">
        <is>
          <t>STOCKHOLMS LÄN</t>
        </is>
      </c>
      <c r="E333" t="inlineStr">
        <is>
          <t>NORRTÄLJE</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21386-2023</t>
        </is>
      </c>
      <c r="B334" s="1" t="n">
        <v>45063.35880787037</v>
      </c>
      <c r="C334" s="1" t="n">
        <v>46159</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4593-2023</t>
        </is>
      </c>
      <c r="B335" s="1" t="n">
        <v>44956</v>
      </c>
      <c r="C335" s="1" t="n">
        <v>46159</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54396-2021</t>
        </is>
      </c>
      <c r="B336" s="1" t="n">
        <v>44472</v>
      </c>
      <c r="C336" s="1" t="n">
        <v>46159</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32071-2023</t>
        </is>
      </c>
      <c r="B337" s="1" t="n">
        <v>45119.57728009259</v>
      </c>
      <c r="C337" s="1" t="n">
        <v>46159</v>
      </c>
      <c r="D337" t="inlineStr">
        <is>
          <t>STOCKHOLMS LÄN</t>
        </is>
      </c>
      <c r="E337" t="inlineStr">
        <is>
          <t>NORRTÄLJE</t>
        </is>
      </c>
      <c r="G337" t="n">
        <v>6.5</v>
      </c>
      <c r="H337" t="n">
        <v>0</v>
      </c>
      <c r="I337" t="n">
        <v>0</v>
      </c>
      <c r="J337" t="n">
        <v>0</v>
      </c>
      <c r="K337" t="n">
        <v>0</v>
      </c>
      <c r="L337" t="n">
        <v>0</v>
      </c>
      <c r="M337" t="n">
        <v>0</v>
      </c>
      <c r="N337" t="n">
        <v>0</v>
      </c>
      <c r="O337" t="n">
        <v>0</v>
      </c>
      <c r="P337" t="n">
        <v>0</v>
      </c>
      <c r="Q337" t="n">
        <v>0</v>
      </c>
      <c r="R337" s="2" t="inlineStr"/>
    </row>
    <row r="338" ht="15" customHeight="1">
      <c r="A338" t="inlineStr">
        <is>
          <t>A 25681-2024</t>
        </is>
      </c>
      <c r="B338" s="1" t="n">
        <v>45463.80486111111</v>
      </c>
      <c r="C338" s="1" t="n">
        <v>46159</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24245-2024</t>
        </is>
      </c>
      <c r="B339" s="1" t="n">
        <v>45457</v>
      </c>
      <c r="C339" s="1" t="n">
        <v>46159</v>
      </c>
      <c r="D339" t="inlineStr">
        <is>
          <t>STOCKHOLMS LÄN</t>
        </is>
      </c>
      <c r="E339" t="inlineStr">
        <is>
          <t>NORRTÄLJE</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26115-2024</t>
        </is>
      </c>
      <c r="B340" s="1" t="n">
        <v>45468.45628472222</v>
      </c>
      <c r="C340" s="1" t="n">
        <v>46159</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62998-2023</t>
        </is>
      </c>
      <c r="B341" s="1" t="n">
        <v>45272.64479166667</v>
      </c>
      <c r="C341" s="1" t="n">
        <v>46159</v>
      </c>
      <c r="D341" t="inlineStr">
        <is>
          <t>STOCKHOLMS LÄN</t>
        </is>
      </c>
      <c r="E341" t="inlineStr">
        <is>
          <t>NORRTÄLJE</t>
        </is>
      </c>
      <c r="G341" t="n">
        <v>16.3</v>
      </c>
      <c r="H341" t="n">
        <v>0</v>
      </c>
      <c r="I341" t="n">
        <v>0</v>
      </c>
      <c r="J341" t="n">
        <v>0</v>
      </c>
      <c r="K341" t="n">
        <v>0</v>
      </c>
      <c r="L341" t="n">
        <v>0</v>
      </c>
      <c r="M341" t="n">
        <v>0</v>
      </c>
      <c r="N341" t="n">
        <v>0</v>
      </c>
      <c r="O341" t="n">
        <v>0</v>
      </c>
      <c r="P341" t="n">
        <v>0</v>
      </c>
      <c r="Q341" t="n">
        <v>0</v>
      </c>
      <c r="R341" s="2" t="inlineStr"/>
    </row>
    <row r="342" ht="15" customHeight="1">
      <c r="A342" t="inlineStr">
        <is>
          <t>A 63015-2023</t>
        </is>
      </c>
      <c r="B342" s="1" t="n">
        <v>45272</v>
      </c>
      <c r="C342" s="1" t="n">
        <v>46159</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12901-2024</t>
        </is>
      </c>
      <c r="B343" s="1" t="n">
        <v>45385.37922453704</v>
      </c>
      <c r="C343" s="1" t="n">
        <v>46159</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12301-2025</t>
        </is>
      </c>
      <c r="B344" s="1" t="n">
        <v>45729.7271875</v>
      </c>
      <c r="C344" s="1" t="n">
        <v>46159</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65499-2021</t>
        </is>
      </c>
      <c r="B345" s="1" t="n">
        <v>44516</v>
      </c>
      <c r="C345" s="1" t="n">
        <v>46159</v>
      </c>
      <c r="D345" t="inlineStr">
        <is>
          <t>STOCKHOLMS LÄN</t>
        </is>
      </c>
      <c r="E345" t="inlineStr">
        <is>
          <t>NORRTÄLJE</t>
        </is>
      </c>
      <c r="F345" t="inlineStr">
        <is>
          <t>Kommuner</t>
        </is>
      </c>
      <c r="G345" t="n">
        <v>5.2</v>
      </c>
      <c r="H345" t="n">
        <v>0</v>
      </c>
      <c r="I345" t="n">
        <v>0</v>
      </c>
      <c r="J345" t="n">
        <v>0</v>
      </c>
      <c r="K345" t="n">
        <v>0</v>
      </c>
      <c r="L345" t="n">
        <v>0</v>
      </c>
      <c r="M345" t="n">
        <v>0</v>
      </c>
      <c r="N345" t="n">
        <v>0</v>
      </c>
      <c r="O345" t="n">
        <v>0</v>
      </c>
      <c r="P345" t="n">
        <v>0</v>
      </c>
      <c r="Q345" t="n">
        <v>0</v>
      </c>
      <c r="R345" s="2" t="inlineStr"/>
    </row>
    <row r="346" ht="15" customHeight="1">
      <c r="A346" t="inlineStr">
        <is>
          <t>A 54273-2021</t>
        </is>
      </c>
      <c r="B346" s="1" t="n">
        <v>44470.72987268519</v>
      </c>
      <c r="C346" s="1" t="n">
        <v>46159</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43212-2022</t>
        </is>
      </c>
      <c r="B347" s="1" t="n">
        <v>44834.38636574074</v>
      </c>
      <c r="C347" s="1" t="n">
        <v>46159</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8950-2025</t>
        </is>
      </c>
      <c r="B348" s="1" t="n">
        <v>45713</v>
      </c>
      <c r="C348" s="1" t="n">
        <v>46159</v>
      </c>
      <c r="D348" t="inlineStr">
        <is>
          <t>STOCKHOLMS LÄN</t>
        </is>
      </c>
      <c r="E348" t="inlineStr">
        <is>
          <t>NORRTÄLJE</t>
        </is>
      </c>
      <c r="F348" t="inlineStr">
        <is>
          <t>Övriga Aktiebolag</t>
        </is>
      </c>
      <c r="G348" t="n">
        <v>3.6</v>
      </c>
      <c r="H348" t="n">
        <v>0</v>
      </c>
      <c r="I348" t="n">
        <v>0</v>
      </c>
      <c r="J348" t="n">
        <v>0</v>
      </c>
      <c r="K348" t="n">
        <v>0</v>
      </c>
      <c r="L348" t="n">
        <v>0</v>
      </c>
      <c r="M348" t="n">
        <v>0</v>
      </c>
      <c r="N348" t="n">
        <v>0</v>
      </c>
      <c r="O348" t="n">
        <v>0</v>
      </c>
      <c r="P348" t="n">
        <v>0</v>
      </c>
      <c r="Q348" t="n">
        <v>0</v>
      </c>
      <c r="R348" s="2" t="inlineStr"/>
    </row>
    <row r="349" ht="15" customHeight="1">
      <c r="A349" t="inlineStr">
        <is>
          <t>A 20730-2024</t>
        </is>
      </c>
      <c r="B349" s="1" t="n">
        <v>45436</v>
      </c>
      <c r="C349" s="1" t="n">
        <v>46159</v>
      </c>
      <c r="D349" t="inlineStr">
        <is>
          <t>STOCKHOLMS LÄN</t>
        </is>
      </c>
      <c r="E349" t="inlineStr">
        <is>
          <t>NORRTÄLJE</t>
        </is>
      </c>
      <c r="G349" t="n">
        <v>7.3</v>
      </c>
      <c r="H349" t="n">
        <v>0</v>
      </c>
      <c r="I349" t="n">
        <v>0</v>
      </c>
      <c r="J349" t="n">
        <v>0</v>
      </c>
      <c r="K349" t="n">
        <v>0</v>
      </c>
      <c r="L349" t="n">
        <v>0</v>
      </c>
      <c r="M349" t="n">
        <v>0</v>
      </c>
      <c r="N349" t="n">
        <v>0</v>
      </c>
      <c r="O349" t="n">
        <v>0</v>
      </c>
      <c r="P349" t="n">
        <v>0</v>
      </c>
      <c r="Q349" t="n">
        <v>0</v>
      </c>
      <c r="R349" s="2" t="inlineStr"/>
    </row>
    <row r="350" ht="15" customHeight="1">
      <c r="A350" t="inlineStr">
        <is>
          <t>A 33175-2024</t>
        </is>
      </c>
      <c r="B350" s="1" t="n">
        <v>45518</v>
      </c>
      <c r="C350" s="1" t="n">
        <v>46159</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13283-2025</t>
        </is>
      </c>
      <c r="B351" s="1" t="n">
        <v>45735</v>
      </c>
      <c r="C351" s="1" t="n">
        <v>46159</v>
      </c>
      <c r="D351" t="inlineStr">
        <is>
          <t>STOCKHOLMS LÄN</t>
        </is>
      </c>
      <c r="E351" t="inlineStr">
        <is>
          <t>NORRTÄLJE</t>
        </is>
      </c>
      <c r="G351" t="n">
        <v>4.9</v>
      </c>
      <c r="H351" t="n">
        <v>0</v>
      </c>
      <c r="I351" t="n">
        <v>0</v>
      </c>
      <c r="J351" t="n">
        <v>0</v>
      </c>
      <c r="K351" t="n">
        <v>0</v>
      </c>
      <c r="L351" t="n">
        <v>0</v>
      </c>
      <c r="M351" t="n">
        <v>0</v>
      </c>
      <c r="N351" t="n">
        <v>0</v>
      </c>
      <c r="O351" t="n">
        <v>0</v>
      </c>
      <c r="P351" t="n">
        <v>0</v>
      </c>
      <c r="Q351" t="n">
        <v>0</v>
      </c>
      <c r="R351" s="2" t="inlineStr"/>
    </row>
    <row r="352" ht="15" customHeight="1">
      <c r="A352" t="inlineStr">
        <is>
          <t>A 27831-2024</t>
        </is>
      </c>
      <c r="B352" s="1" t="n">
        <v>45475.61896990741</v>
      </c>
      <c r="C352" s="1" t="n">
        <v>46159</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34295-2024</t>
        </is>
      </c>
      <c r="B353" s="1" t="n">
        <v>45524</v>
      </c>
      <c r="C353" s="1" t="n">
        <v>46159</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6537-2024</t>
        </is>
      </c>
      <c r="B354" s="1" t="n">
        <v>45341.39853009259</v>
      </c>
      <c r="C354" s="1" t="n">
        <v>46159</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52260-2022</t>
        </is>
      </c>
      <c r="B355" s="1" t="n">
        <v>44869</v>
      </c>
      <c r="C355" s="1" t="n">
        <v>46159</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21803-2022</t>
        </is>
      </c>
      <c r="B356" s="1" t="n">
        <v>44708.67822916667</v>
      </c>
      <c r="C356" s="1" t="n">
        <v>46159</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24687-2025</t>
        </is>
      </c>
      <c r="B357" s="1" t="n">
        <v>45798.66767361111</v>
      </c>
      <c r="C357" s="1" t="n">
        <v>46159</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124-2026</t>
        </is>
      </c>
      <c r="B358" s="1" t="n">
        <v>46024.58378472222</v>
      </c>
      <c r="C358" s="1" t="n">
        <v>46159</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46159</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46159</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38720-2025</t>
        </is>
      </c>
      <c r="B361" s="1" t="n">
        <v>45886</v>
      </c>
      <c r="C361" s="1" t="n">
        <v>46159</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4035-2023</t>
        </is>
      </c>
      <c r="B362" s="1" t="n">
        <v>44952.57989583333</v>
      </c>
      <c r="C362" s="1" t="n">
        <v>46159</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26644-2024</t>
        </is>
      </c>
      <c r="B363" s="1" t="n">
        <v>45469</v>
      </c>
      <c r="C363" s="1" t="n">
        <v>46159</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26668-2024</t>
        </is>
      </c>
      <c r="B364" s="1" t="n">
        <v>45469</v>
      </c>
      <c r="C364" s="1" t="n">
        <v>46159</v>
      </c>
      <c r="D364" t="inlineStr">
        <is>
          <t>STOCKHOLMS LÄN</t>
        </is>
      </c>
      <c r="E364" t="inlineStr">
        <is>
          <t>NORRTÄLJE</t>
        </is>
      </c>
      <c r="G364" t="n">
        <v>4.8</v>
      </c>
      <c r="H364" t="n">
        <v>0</v>
      </c>
      <c r="I364" t="n">
        <v>0</v>
      </c>
      <c r="J364" t="n">
        <v>0</v>
      </c>
      <c r="K364" t="n">
        <v>0</v>
      </c>
      <c r="L364" t="n">
        <v>0</v>
      </c>
      <c r="M364" t="n">
        <v>0</v>
      </c>
      <c r="N364" t="n">
        <v>0</v>
      </c>
      <c r="O364" t="n">
        <v>0</v>
      </c>
      <c r="P364" t="n">
        <v>0</v>
      </c>
      <c r="Q364" t="n">
        <v>0</v>
      </c>
      <c r="R364" s="2" t="inlineStr"/>
    </row>
    <row r="365" ht="15" customHeight="1">
      <c r="A365" t="inlineStr">
        <is>
          <t>A 24690-2025</t>
        </is>
      </c>
      <c r="B365" s="1" t="n">
        <v>45798.67082175926</v>
      </c>
      <c r="C365" s="1" t="n">
        <v>46159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24638-2025</t>
        </is>
      </c>
      <c r="B366" s="1" t="n">
        <v>45798</v>
      </c>
      <c r="C366" s="1" t="n">
        <v>46159</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24351-2025</t>
        </is>
      </c>
      <c r="B367" s="1" t="n">
        <v>45797.58399305555</v>
      </c>
      <c r="C367" s="1" t="n">
        <v>46159</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39152-2025</t>
        </is>
      </c>
      <c r="B368" s="1" t="n">
        <v>45888</v>
      </c>
      <c r="C368" s="1" t="n">
        <v>46159</v>
      </c>
      <c r="D368" t="inlineStr">
        <is>
          <t>STOCKHOLMS LÄN</t>
        </is>
      </c>
      <c r="E368" t="inlineStr">
        <is>
          <t>NORRTÄLJE</t>
        </is>
      </c>
      <c r="G368" t="n">
        <v>4.6</v>
      </c>
      <c r="H368" t="n">
        <v>0</v>
      </c>
      <c r="I368" t="n">
        <v>0</v>
      </c>
      <c r="J368" t="n">
        <v>0</v>
      </c>
      <c r="K368" t="n">
        <v>0</v>
      </c>
      <c r="L368" t="n">
        <v>0</v>
      </c>
      <c r="M368" t="n">
        <v>0</v>
      </c>
      <c r="N368" t="n">
        <v>0</v>
      </c>
      <c r="O368" t="n">
        <v>0</v>
      </c>
      <c r="P368" t="n">
        <v>0</v>
      </c>
      <c r="Q368" t="n">
        <v>0</v>
      </c>
      <c r="R368" s="2" t="inlineStr"/>
    </row>
    <row r="369" ht="15" customHeight="1">
      <c r="A369" t="inlineStr">
        <is>
          <t>A 28603-2024</t>
        </is>
      </c>
      <c r="B369" s="1" t="n">
        <v>45478.42887731481</v>
      </c>
      <c r="C369" s="1" t="n">
        <v>46159</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197-2026</t>
        </is>
      </c>
      <c r="B370" s="1" t="n">
        <v>46026</v>
      </c>
      <c r="C370" s="1" t="n">
        <v>46159</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37085-2021</t>
        </is>
      </c>
      <c r="B371" s="1" t="n">
        <v>44395</v>
      </c>
      <c r="C371" s="1" t="n">
        <v>46159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25702-2025</t>
        </is>
      </c>
      <c r="B372" s="1" t="n">
        <v>45800</v>
      </c>
      <c r="C372" s="1" t="n">
        <v>46159</v>
      </c>
      <c r="D372" t="inlineStr">
        <is>
          <t>STOCKHOLMS LÄN</t>
        </is>
      </c>
      <c r="E372" t="inlineStr">
        <is>
          <t>NORRTÄLJE</t>
        </is>
      </c>
      <c r="G372" t="n">
        <v>5.3</v>
      </c>
      <c r="H372" t="n">
        <v>0</v>
      </c>
      <c r="I372" t="n">
        <v>0</v>
      </c>
      <c r="J372" t="n">
        <v>0</v>
      </c>
      <c r="K372" t="n">
        <v>0</v>
      </c>
      <c r="L372" t="n">
        <v>0</v>
      </c>
      <c r="M372" t="n">
        <v>0</v>
      </c>
      <c r="N372" t="n">
        <v>0</v>
      </c>
      <c r="O372" t="n">
        <v>0</v>
      </c>
      <c r="P372" t="n">
        <v>0</v>
      </c>
      <c r="Q372" t="n">
        <v>0</v>
      </c>
      <c r="R372" s="2" t="inlineStr"/>
    </row>
    <row r="373" ht="15" customHeight="1">
      <c r="A373" t="inlineStr">
        <is>
          <t>A 25721-2025</t>
        </is>
      </c>
      <c r="B373" s="1" t="n">
        <v>45800</v>
      </c>
      <c r="C373" s="1" t="n">
        <v>46159</v>
      </c>
      <c r="D373" t="inlineStr">
        <is>
          <t>STOCKHOLMS LÄN</t>
        </is>
      </c>
      <c r="E373" t="inlineStr">
        <is>
          <t>NORRTÄLJE</t>
        </is>
      </c>
      <c r="G373" t="n">
        <v>6</v>
      </c>
      <c r="H373" t="n">
        <v>0</v>
      </c>
      <c r="I373" t="n">
        <v>0</v>
      </c>
      <c r="J373" t="n">
        <v>0</v>
      </c>
      <c r="K373" t="n">
        <v>0</v>
      </c>
      <c r="L373" t="n">
        <v>0</v>
      </c>
      <c r="M373" t="n">
        <v>0</v>
      </c>
      <c r="N373" t="n">
        <v>0</v>
      </c>
      <c r="O373" t="n">
        <v>0</v>
      </c>
      <c r="P373" t="n">
        <v>0</v>
      </c>
      <c r="Q373" t="n">
        <v>0</v>
      </c>
      <c r="R373" s="2" t="inlineStr"/>
    </row>
    <row r="374" ht="15" customHeight="1">
      <c r="A374" t="inlineStr">
        <is>
          <t>A 39692-2025</t>
        </is>
      </c>
      <c r="B374" s="1" t="n">
        <v>45890.68083333333</v>
      </c>
      <c r="C374" s="1" t="n">
        <v>46159</v>
      </c>
      <c r="D374" t="inlineStr">
        <is>
          <t>STOCKHOLMS LÄN</t>
        </is>
      </c>
      <c r="E374" t="inlineStr">
        <is>
          <t>NORRTÄLJE</t>
        </is>
      </c>
      <c r="G374" t="n">
        <v>10.5</v>
      </c>
      <c r="H374" t="n">
        <v>0</v>
      </c>
      <c r="I374" t="n">
        <v>0</v>
      </c>
      <c r="J374" t="n">
        <v>0</v>
      </c>
      <c r="K374" t="n">
        <v>0</v>
      </c>
      <c r="L374" t="n">
        <v>0</v>
      </c>
      <c r="M374" t="n">
        <v>0</v>
      </c>
      <c r="N374" t="n">
        <v>0</v>
      </c>
      <c r="O374" t="n">
        <v>0</v>
      </c>
      <c r="P374" t="n">
        <v>0</v>
      </c>
      <c r="Q374" t="n">
        <v>0</v>
      </c>
      <c r="R374" s="2" t="inlineStr"/>
    </row>
    <row r="375" ht="15" customHeight="1">
      <c r="A375" t="inlineStr">
        <is>
          <t>A 27677-2025</t>
        </is>
      </c>
      <c r="B375" s="1" t="n">
        <v>45813.63650462963</v>
      </c>
      <c r="C375" s="1" t="n">
        <v>46159</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46988-2024</t>
        </is>
      </c>
      <c r="B376" s="1" t="n">
        <v>45586</v>
      </c>
      <c r="C376" s="1" t="n">
        <v>46159</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71552-2021</t>
        </is>
      </c>
      <c r="B377" s="1" t="n">
        <v>44540</v>
      </c>
      <c r="C377" s="1" t="n">
        <v>46159</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25733-2025</t>
        </is>
      </c>
      <c r="B378" s="1" t="n">
        <v>45800</v>
      </c>
      <c r="C378" s="1" t="n">
        <v>46159</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17382-2024</t>
        </is>
      </c>
      <c r="B379" s="1" t="n">
        <v>45414.65855324074</v>
      </c>
      <c r="C379" s="1" t="n">
        <v>46159</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25557-2023</t>
        </is>
      </c>
      <c r="B380" s="1" t="n">
        <v>45089</v>
      </c>
      <c r="C380" s="1" t="n">
        <v>46159</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40230-2025</t>
        </is>
      </c>
      <c r="B381" s="1" t="n">
        <v>45894.71101851852</v>
      </c>
      <c r="C381" s="1" t="n">
        <v>46159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46159</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40228-2025</t>
        </is>
      </c>
      <c r="B383" s="1" t="n">
        <v>45894.70854166667</v>
      </c>
      <c r="C383" s="1" t="n">
        <v>46159</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35636-2025</t>
        </is>
      </c>
      <c r="B384" s="1" t="n">
        <v>45859</v>
      </c>
      <c r="C384" s="1" t="n">
        <v>46159</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9914-2023</t>
        </is>
      </c>
      <c r="B385" s="1" t="n">
        <v>44985</v>
      </c>
      <c r="C385" s="1" t="n">
        <v>46159</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53561-2023</t>
        </is>
      </c>
      <c r="B386" s="1" t="n">
        <v>45224</v>
      </c>
      <c r="C386" s="1" t="n">
        <v>46159</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40172-2025</t>
        </is>
      </c>
      <c r="B387" s="1" t="n">
        <v>45894.6353125</v>
      </c>
      <c r="C387" s="1" t="n">
        <v>46159</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60525-2022</t>
        </is>
      </c>
      <c r="B388" s="1" t="n">
        <v>44904</v>
      </c>
      <c r="C388" s="1" t="n">
        <v>46159</v>
      </c>
      <c r="D388" t="inlineStr">
        <is>
          <t>STOCKHOLMS LÄN</t>
        </is>
      </c>
      <c r="E388" t="inlineStr">
        <is>
          <t>NORRTÄLJE</t>
        </is>
      </c>
      <c r="G388" t="n">
        <v>13.4</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46159</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40217-2025</t>
        </is>
      </c>
      <c r="B390" s="1" t="n">
        <v>45894.68864583333</v>
      </c>
      <c r="C390" s="1" t="n">
        <v>46159</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25712-2025</t>
        </is>
      </c>
      <c r="B391" s="1" t="n">
        <v>45803.69228009259</v>
      </c>
      <c r="C391" s="1" t="n">
        <v>46159</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41218-2024</t>
        </is>
      </c>
      <c r="B392" s="1" t="n">
        <v>45559.54706018518</v>
      </c>
      <c r="C392" s="1" t="n">
        <v>46159</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26051-2025</t>
        </is>
      </c>
      <c r="B393" s="1" t="n">
        <v>45804.74479166666</v>
      </c>
      <c r="C393" s="1" t="n">
        <v>46159</v>
      </c>
      <c r="D393" t="inlineStr">
        <is>
          <t>STOCKHOLMS LÄN</t>
        </is>
      </c>
      <c r="E393" t="inlineStr">
        <is>
          <t>NORRTÄLJE</t>
        </is>
      </c>
      <c r="G393" t="n">
        <v>3.2</v>
      </c>
      <c r="H393" t="n">
        <v>0</v>
      </c>
      <c r="I393" t="n">
        <v>0</v>
      </c>
      <c r="J393" t="n">
        <v>0</v>
      </c>
      <c r="K393" t="n">
        <v>0</v>
      </c>
      <c r="L393" t="n">
        <v>0</v>
      </c>
      <c r="M393" t="n">
        <v>0</v>
      </c>
      <c r="N393" t="n">
        <v>0</v>
      </c>
      <c r="O393" t="n">
        <v>0</v>
      </c>
      <c r="P393" t="n">
        <v>0</v>
      </c>
      <c r="Q393" t="n">
        <v>0</v>
      </c>
      <c r="R393" s="2" t="inlineStr"/>
    </row>
    <row r="394" ht="15" customHeight="1">
      <c r="A394" t="inlineStr">
        <is>
          <t>A 35639-2025</t>
        </is>
      </c>
      <c r="B394" s="1" t="n">
        <v>45859</v>
      </c>
      <c r="C394" s="1" t="n">
        <v>46159</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40032-2025</t>
        </is>
      </c>
      <c r="B395" s="1" t="n">
        <v>45893</v>
      </c>
      <c r="C395" s="1" t="n">
        <v>46159</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40097-2025</t>
        </is>
      </c>
      <c r="B396" s="1" t="n">
        <v>45894.48322916667</v>
      </c>
      <c r="C396" s="1" t="n">
        <v>46159</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58302-2022</t>
        </is>
      </c>
      <c r="B397" s="1" t="n">
        <v>44901</v>
      </c>
      <c r="C397" s="1" t="n">
        <v>46159</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39238-2024</t>
        </is>
      </c>
      <c r="B398" s="1" t="n">
        <v>45549</v>
      </c>
      <c r="C398" s="1" t="n">
        <v>46159</v>
      </c>
      <c r="D398" t="inlineStr">
        <is>
          <t>STOCKHOLMS LÄN</t>
        </is>
      </c>
      <c r="E398" t="inlineStr">
        <is>
          <t>NORRTÄLJE</t>
        </is>
      </c>
      <c r="G398" t="n">
        <v>3.6</v>
      </c>
      <c r="H398" t="n">
        <v>0</v>
      </c>
      <c r="I398" t="n">
        <v>0</v>
      </c>
      <c r="J398" t="n">
        <v>0</v>
      </c>
      <c r="K398" t="n">
        <v>0</v>
      </c>
      <c r="L398" t="n">
        <v>0</v>
      </c>
      <c r="M398" t="n">
        <v>0</v>
      </c>
      <c r="N398" t="n">
        <v>0</v>
      </c>
      <c r="O398" t="n">
        <v>0</v>
      </c>
      <c r="P398" t="n">
        <v>0</v>
      </c>
      <c r="Q398" t="n">
        <v>0</v>
      </c>
      <c r="R398" s="2" t="inlineStr"/>
    </row>
    <row r="399" ht="15" customHeight="1">
      <c r="A399" t="inlineStr">
        <is>
          <t>A 38449-2022</t>
        </is>
      </c>
      <c r="B399" s="1" t="n">
        <v>44813</v>
      </c>
      <c r="C399" s="1" t="n">
        <v>46159</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25697-2025</t>
        </is>
      </c>
      <c r="B400" s="1" t="n">
        <v>45803.66587962963</v>
      </c>
      <c r="C400" s="1" t="n">
        <v>46159</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47259-2024</t>
        </is>
      </c>
      <c r="B401" s="1" t="n">
        <v>45586</v>
      </c>
      <c r="C401" s="1" t="n">
        <v>46159</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46159</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23269-2023</t>
        </is>
      </c>
      <c r="B403" s="1" t="n">
        <v>45075.91148148148</v>
      </c>
      <c r="C403" s="1" t="n">
        <v>46159</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718-2026</t>
        </is>
      </c>
      <c r="B404" s="1" t="n">
        <v>46029.63174768518</v>
      </c>
      <c r="C404" s="1" t="n">
        <v>46159</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40292-2025</t>
        </is>
      </c>
      <c r="B405" s="1" t="n">
        <v>45895.3867824074</v>
      </c>
      <c r="C405" s="1" t="n">
        <v>46159</v>
      </c>
      <c r="D405" t="inlineStr">
        <is>
          <t>STOCKHOLMS LÄN</t>
        </is>
      </c>
      <c r="E405" t="inlineStr">
        <is>
          <t>NORRTÄLJE</t>
        </is>
      </c>
      <c r="G405" t="n">
        <v>3.5</v>
      </c>
      <c r="H405" t="n">
        <v>0</v>
      </c>
      <c r="I405" t="n">
        <v>0</v>
      </c>
      <c r="J405" t="n">
        <v>0</v>
      </c>
      <c r="K405" t="n">
        <v>0</v>
      </c>
      <c r="L405" t="n">
        <v>0</v>
      </c>
      <c r="M405" t="n">
        <v>0</v>
      </c>
      <c r="N405" t="n">
        <v>0</v>
      </c>
      <c r="O405" t="n">
        <v>0</v>
      </c>
      <c r="P405" t="n">
        <v>0</v>
      </c>
      <c r="Q405" t="n">
        <v>0</v>
      </c>
      <c r="R405" s="2" t="inlineStr"/>
    </row>
    <row r="406" ht="15" customHeight="1">
      <c r="A406" t="inlineStr">
        <is>
          <t>A 40294-2025</t>
        </is>
      </c>
      <c r="B406" s="1" t="n">
        <v>45895.38778935185</v>
      </c>
      <c r="C406" s="1" t="n">
        <v>46159</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23060-2023</t>
        </is>
      </c>
      <c r="B407" s="1" t="n">
        <v>45075</v>
      </c>
      <c r="C407" s="1" t="n">
        <v>46159</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41275-2025</t>
        </is>
      </c>
      <c r="B408" s="1" t="n">
        <v>45898.62625</v>
      </c>
      <c r="C408" s="1" t="n">
        <v>46159</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40837-2025</t>
        </is>
      </c>
      <c r="B409" s="1" t="n">
        <v>45897.51328703704</v>
      </c>
      <c r="C409" s="1" t="n">
        <v>46159</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41030-2025</t>
        </is>
      </c>
      <c r="B410" s="1" t="n">
        <v>45898.37636574074</v>
      </c>
      <c r="C410" s="1" t="n">
        <v>46159</v>
      </c>
      <c r="D410" t="inlineStr">
        <is>
          <t>STOCKHOLMS LÄN</t>
        </is>
      </c>
      <c r="E410" t="inlineStr">
        <is>
          <t>NORRTÄLJE</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52743-2024</t>
        </is>
      </c>
      <c r="B411" s="1" t="n">
        <v>45610.47414351852</v>
      </c>
      <c r="C411" s="1" t="n">
        <v>46159</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26675-2025</t>
        </is>
      </c>
      <c r="B412" s="1" t="n">
        <v>45810.42393518519</v>
      </c>
      <c r="C412" s="1" t="n">
        <v>46159</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41158-2025</t>
        </is>
      </c>
      <c r="B413" s="1" t="n">
        <v>45898.5315625</v>
      </c>
      <c r="C413" s="1" t="n">
        <v>46159</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41301-2025</t>
        </is>
      </c>
      <c r="B414" s="1" t="n">
        <v>45898.68826388889</v>
      </c>
      <c r="C414" s="1" t="n">
        <v>46159</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41106-2025</t>
        </is>
      </c>
      <c r="B415" s="1" t="n">
        <v>45898.45636574074</v>
      </c>
      <c r="C415" s="1" t="n">
        <v>46159</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694-2026</t>
        </is>
      </c>
      <c r="B416" s="1" t="n">
        <v>46029.61375</v>
      </c>
      <c r="C416" s="1" t="n">
        <v>46159</v>
      </c>
      <c r="D416" t="inlineStr">
        <is>
          <t>STOCKHOLMS LÄN</t>
        </is>
      </c>
      <c r="E416" t="inlineStr">
        <is>
          <t>NORRTÄLJE</t>
        </is>
      </c>
      <c r="G416" t="n">
        <v>9.6</v>
      </c>
      <c r="H416" t="n">
        <v>0</v>
      </c>
      <c r="I416" t="n">
        <v>0</v>
      </c>
      <c r="J416" t="n">
        <v>0</v>
      </c>
      <c r="K416" t="n">
        <v>0</v>
      </c>
      <c r="L416" t="n">
        <v>0</v>
      </c>
      <c r="M416" t="n">
        <v>0</v>
      </c>
      <c r="N416" t="n">
        <v>0</v>
      </c>
      <c r="O416" t="n">
        <v>0</v>
      </c>
      <c r="P416" t="n">
        <v>0</v>
      </c>
      <c r="Q416" t="n">
        <v>0</v>
      </c>
      <c r="R416" s="2" t="inlineStr"/>
    </row>
    <row r="417" ht="15" customHeight="1">
      <c r="A417" t="inlineStr">
        <is>
          <t>A 41174-2025</t>
        </is>
      </c>
      <c r="B417" s="1" t="n">
        <v>45898.54921296296</v>
      </c>
      <c r="C417" s="1" t="n">
        <v>46159</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46159</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41110-2025</t>
        </is>
      </c>
      <c r="B419" s="1" t="n">
        <v>45898.45976851852</v>
      </c>
      <c r="C419" s="1" t="n">
        <v>46159</v>
      </c>
      <c r="D419" t="inlineStr">
        <is>
          <t>STOCKHOLMS LÄN</t>
        </is>
      </c>
      <c r="E419" t="inlineStr">
        <is>
          <t>NORRTÄLJE</t>
        </is>
      </c>
      <c r="F419" t="inlineStr">
        <is>
          <t>Holmen skog AB</t>
        </is>
      </c>
      <c r="G419" t="n">
        <v>6.7</v>
      </c>
      <c r="H419" t="n">
        <v>0</v>
      </c>
      <c r="I419" t="n">
        <v>0</v>
      </c>
      <c r="J419" t="n">
        <v>0</v>
      </c>
      <c r="K419" t="n">
        <v>0</v>
      </c>
      <c r="L419" t="n">
        <v>0</v>
      </c>
      <c r="M419" t="n">
        <v>0</v>
      </c>
      <c r="N419" t="n">
        <v>0</v>
      </c>
      <c r="O419" t="n">
        <v>0</v>
      </c>
      <c r="P419" t="n">
        <v>0</v>
      </c>
      <c r="Q419" t="n">
        <v>0</v>
      </c>
      <c r="R419" s="2" t="inlineStr"/>
    </row>
    <row r="420" ht="15" customHeight="1">
      <c r="A420" t="inlineStr">
        <is>
          <t>A 41259-2025</t>
        </is>
      </c>
      <c r="B420" s="1" t="n">
        <v>45898.61054398148</v>
      </c>
      <c r="C420" s="1" t="n">
        <v>46159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11499-2023</t>
        </is>
      </c>
      <c r="B421" s="1" t="n">
        <v>44993.66707175926</v>
      </c>
      <c r="C421" s="1" t="n">
        <v>46159</v>
      </c>
      <c r="D421" t="inlineStr">
        <is>
          <t>STOCKHOLMS LÄN</t>
        </is>
      </c>
      <c r="E421" t="inlineStr">
        <is>
          <t>NORRTÄLJE</t>
        </is>
      </c>
      <c r="F421" t="inlineStr">
        <is>
          <t>Holmen skog AB</t>
        </is>
      </c>
      <c r="G421" t="n">
        <v>2.8</v>
      </c>
      <c r="H421" t="n">
        <v>0</v>
      </c>
      <c r="I421" t="n">
        <v>0</v>
      </c>
      <c r="J421" t="n">
        <v>0</v>
      </c>
      <c r="K421" t="n">
        <v>0</v>
      </c>
      <c r="L421" t="n">
        <v>0</v>
      </c>
      <c r="M421" t="n">
        <v>0</v>
      </c>
      <c r="N421" t="n">
        <v>0</v>
      </c>
      <c r="O421" t="n">
        <v>0</v>
      </c>
      <c r="P421" t="n">
        <v>0</v>
      </c>
      <c r="Q421" t="n">
        <v>0</v>
      </c>
      <c r="R421" s="2" t="inlineStr"/>
    </row>
    <row r="422" ht="15" customHeight="1">
      <c r="A422" t="inlineStr">
        <is>
          <t>A 41053-2025</t>
        </is>
      </c>
      <c r="B422" s="1" t="n">
        <v>45898.40480324074</v>
      </c>
      <c r="C422" s="1" t="n">
        <v>46159</v>
      </c>
      <c r="D422" t="inlineStr">
        <is>
          <t>STOCKHOLMS LÄN</t>
        </is>
      </c>
      <c r="E422" t="inlineStr">
        <is>
          <t>NORRTÄLJE</t>
        </is>
      </c>
      <c r="F422" t="inlineStr">
        <is>
          <t>Holmen skog AB</t>
        </is>
      </c>
      <c r="G422" t="n">
        <v>2.5</v>
      </c>
      <c r="H422" t="n">
        <v>0</v>
      </c>
      <c r="I422" t="n">
        <v>0</v>
      </c>
      <c r="J422" t="n">
        <v>0</v>
      </c>
      <c r="K422" t="n">
        <v>0</v>
      </c>
      <c r="L422" t="n">
        <v>0</v>
      </c>
      <c r="M422" t="n">
        <v>0</v>
      </c>
      <c r="N422" t="n">
        <v>0</v>
      </c>
      <c r="O422" t="n">
        <v>0</v>
      </c>
      <c r="P422" t="n">
        <v>0</v>
      </c>
      <c r="Q422" t="n">
        <v>0</v>
      </c>
      <c r="R422" s="2" t="inlineStr"/>
    </row>
    <row r="423" ht="15" customHeight="1">
      <c r="A423" t="inlineStr">
        <is>
          <t>A 26747-2025</t>
        </is>
      </c>
      <c r="B423" s="1" t="n">
        <v>45810.5333912037</v>
      </c>
      <c r="C423" s="1" t="n">
        <v>46159</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40829-2025</t>
        </is>
      </c>
      <c r="B424" s="1" t="n">
        <v>45897.50802083333</v>
      </c>
      <c r="C424" s="1" t="n">
        <v>46159</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64600-2021</t>
        </is>
      </c>
      <c r="B425" s="1" t="n">
        <v>44511.70518518519</v>
      </c>
      <c r="C425" s="1" t="n">
        <v>46159</v>
      </c>
      <c r="D425" t="inlineStr">
        <is>
          <t>STOCKHOLMS LÄN</t>
        </is>
      </c>
      <c r="E425" t="inlineStr">
        <is>
          <t>NORRTÄLJE</t>
        </is>
      </c>
      <c r="G425" t="n">
        <v>6.2</v>
      </c>
      <c r="H425" t="n">
        <v>0</v>
      </c>
      <c r="I425" t="n">
        <v>0</v>
      </c>
      <c r="J425" t="n">
        <v>0</v>
      </c>
      <c r="K425" t="n">
        <v>0</v>
      </c>
      <c r="L425" t="n">
        <v>0</v>
      </c>
      <c r="M425" t="n">
        <v>0</v>
      </c>
      <c r="N425" t="n">
        <v>0</v>
      </c>
      <c r="O425" t="n">
        <v>0</v>
      </c>
      <c r="P425" t="n">
        <v>0</v>
      </c>
      <c r="Q425" t="n">
        <v>0</v>
      </c>
      <c r="R425" s="2" t="inlineStr"/>
    </row>
    <row r="426" ht="15" customHeight="1">
      <c r="A426" t="inlineStr">
        <is>
          <t>A 35640-2024</t>
        </is>
      </c>
      <c r="B426" s="1" t="n">
        <v>45531</v>
      </c>
      <c r="C426" s="1" t="n">
        <v>46159</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46159</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8586-2023</t>
        </is>
      </c>
      <c r="B428" s="1" t="n">
        <v>44977</v>
      </c>
      <c r="C428" s="1" t="n">
        <v>46159</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26702-2025</t>
        </is>
      </c>
      <c r="B429" s="1" t="n">
        <v>45810.45236111111</v>
      </c>
      <c r="C429" s="1" t="n">
        <v>46159</v>
      </c>
      <c r="D429" t="inlineStr">
        <is>
          <t>STOCKHOLMS LÄN</t>
        </is>
      </c>
      <c r="E429" t="inlineStr">
        <is>
          <t>NORRTÄLJE</t>
        </is>
      </c>
      <c r="G429" t="n">
        <v>7.3</v>
      </c>
      <c r="H429" t="n">
        <v>0</v>
      </c>
      <c r="I429" t="n">
        <v>0</v>
      </c>
      <c r="J429" t="n">
        <v>0</v>
      </c>
      <c r="K429" t="n">
        <v>0</v>
      </c>
      <c r="L429" t="n">
        <v>0</v>
      </c>
      <c r="M429" t="n">
        <v>0</v>
      </c>
      <c r="N429" t="n">
        <v>0</v>
      </c>
      <c r="O429" t="n">
        <v>0</v>
      </c>
      <c r="P429" t="n">
        <v>0</v>
      </c>
      <c r="Q429" t="n">
        <v>0</v>
      </c>
      <c r="R429" s="2" t="inlineStr"/>
    </row>
    <row r="430" ht="15" customHeight="1">
      <c r="A430" t="inlineStr">
        <is>
          <t>A 41272-2025</t>
        </is>
      </c>
      <c r="B430" s="1" t="n">
        <v>45898.62373842593</v>
      </c>
      <c r="C430" s="1" t="n">
        <v>46159</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67990-2021</t>
        </is>
      </c>
      <c r="B431" s="1" t="n">
        <v>44525</v>
      </c>
      <c r="C431" s="1" t="n">
        <v>46159</v>
      </c>
      <c r="D431" t="inlineStr">
        <is>
          <t>STOCKHOLMS LÄN</t>
        </is>
      </c>
      <c r="E431" t="inlineStr">
        <is>
          <t>NORRTÄLJE</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26708-2025</t>
        </is>
      </c>
      <c r="B432" s="1" t="n">
        <v>45810.45633101852</v>
      </c>
      <c r="C432" s="1" t="n">
        <v>46159</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27040-2025</t>
        </is>
      </c>
      <c r="B433" s="1" t="n">
        <v>45811.60451388889</v>
      </c>
      <c r="C433" s="1" t="n">
        <v>46159</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41036-2025</t>
        </is>
      </c>
      <c r="B434" s="1" t="n">
        <v>45898.38552083333</v>
      </c>
      <c r="C434" s="1" t="n">
        <v>46159</v>
      </c>
      <c r="D434" t="inlineStr">
        <is>
          <t>STOCKHOLMS LÄN</t>
        </is>
      </c>
      <c r="E434" t="inlineStr">
        <is>
          <t>NORRTÄLJE</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19058-2024</t>
        </is>
      </c>
      <c r="B435" s="1" t="n">
        <v>45427.89121527778</v>
      </c>
      <c r="C435" s="1" t="n">
        <v>46159</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21696-2024</t>
        </is>
      </c>
      <c r="B436" s="1" t="n">
        <v>45442.45686342593</v>
      </c>
      <c r="C436" s="1" t="n">
        <v>46159</v>
      </c>
      <c r="D436" t="inlineStr">
        <is>
          <t>STOCKHOLMS LÄN</t>
        </is>
      </c>
      <c r="E436" t="inlineStr">
        <is>
          <t>NORRTÄLJE</t>
        </is>
      </c>
      <c r="G436" t="n">
        <v>2.9</v>
      </c>
      <c r="H436" t="n">
        <v>0</v>
      </c>
      <c r="I436" t="n">
        <v>0</v>
      </c>
      <c r="J436" t="n">
        <v>0</v>
      </c>
      <c r="K436" t="n">
        <v>0</v>
      </c>
      <c r="L436" t="n">
        <v>0</v>
      </c>
      <c r="M436" t="n">
        <v>0</v>
      </c>
      <c r="N436" t="n">
        <v>0</v>
      </c>
      <c r="O436" t="n">
        <v>0</v>
      </c>
      <c r="P436" t="n">
        <v>0</v>
      </c>
      <c r="Q436" t="n">
        <v>0</v>
      </c>
      <c r="R436" s="2" t="inlineStr"/>
    </row>
    <row r="437" ht="15" customHeight="1">
      <c r="A437" t="inlineStr">
        <is>
          <t>A 37136-2023</t>
        </is>
      </c>
      <c r="B437" s="1" t="n">
        <v>45155</v>
      </c>
      <c r="C437" s="1" t="n">
        <v>46159</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19057-2024</t>
        </is>
      </c>
      <c r="B438" s="1" t="n">
        <v>45427.88731481481</v>
      </c>
      <c r="C438" s="1" t="n">
        <v>46159</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15733-2025</t>
        </is>
      </c>
      <c r="B439" s="1" t="n">
        <v>45748</v>
      </c>
      <c r="C439" s="1" t="n">
        <v>46159</v>
      </c>
      <c r="D439" t="inlineStr">
        <is>
          <t>STOCKHOLMS LÄN</t>
        </is>
      </c>
      <c r="E439" t="inlineStr">
        <is>
          <t>NORRTÄLJE</t>
        </is>
      </c>
      <c r="G439" t="n">
        <v>13.3</v>
      </c>
      <c r="H439" t="n">
        <v>0</v>
      </c>
      <c r="I439" t="n">
        <v>0</v>
      </c>
      <c r="J439" t="n">
        <v>0</v>
      </c>
      <c r="K439" t="n">
        <v>0</v>
      </c>
      <c r="L439" t="n">
        <v>0</v>
      </c>
      <c r="M439" t="n">
        <v>0</v>
      </c>
      <c r="N439" t="n">
        <v>0</v>
      </c>
      <c r="O439" t="n">
        <v>0</v>
      </c>
      <c r="P439" t="n">
        <v>0</v>
      </c>
      <c r="Q439" t="n">
        <v>0</v>
      </c>
      <c r="R439" s="2" t="inlineStr"/>
    </row>
    <row r="440" ht="15" customHeight="1">
      <c r="A440" t="inlineStr">
        <is>
          <t>A 1740-2023</t>
        </is>
      </c>
      <c r="B440" s="1" t="n">
        <v>44938</v>
      </c>
      <c r="C440" s="1" t="n">
        <v>46159</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693-2026</t>
        </is>
      </c>
      <c r="B441" s="1" t="n">
        <v>46029.6133449074</v>
      </c>
      <c r="C441" s="1" t="n">
        <v>46159</v>
      </c>
      <c r="D441" t="inlineStr">
        <is>
          <t>STOCKHOLMS LÄN</t>
        </is>
      </c>
      <c r="E441" t="inlineStr">
        <is>
          <t>NORRTÄLJE</t>
        </is>
      </c>
      <c r="G441" t="n">
        <v>9.6</v>
      </c>
      <c r="H441" t="n">
        <v>0</v>
      </c>
      <c r="I441" t="n">
        <v>0</v>
      </c>
      <c r="J441" t="n">
        <v>0</v>
      </c>
      <c r="K441" t="n">
        <v>0</v>
      </c>
      <c r="L441" t="n">
        <v>0</v>
      </c>
      <c r="M441" t="n">
        <v>0</v>
      </c>
      <c r="N441" t="n">
        <v>0</v>
      </c>
      <c r="O441" t="n">
        <v>0</v>
      </c>
      <c r="P441" t="n">
        <v>0</v>
      </c>
      <c r="Q441" t="n">
        <v>0</v>
      </c>
      <c r="R441" s="2" t="inlineStr"/>
    </row>
    <row r="442" ht="15" customHeight="1">
      <c r="A442" t="inlineStr">
        <is>
          <t>A 27697-2025</t>
        </is>
      </c>
      <c r="B442" s="1" t="n">
        <v>45813.66961805556</v>
      </c>
      <c r="C442" s="1" t="n">
        <v>46159</v>
      </c>
      <c r="D442" t="inlineStr">
        <is>
          <t>STOCKHOLMS LÄN</t>
        </is>
      </c>
      <c r="E442" t="inlineStr">
        <is>
          <t>NORRTÄLJE</t>
        </is>
      </c>
      <c r="G442" t="n">
        <v>6.2</v>
      </c>
      <c r="H442" t="n">
        <v>0</v>
      </c>
      <c r="I442" t="n">
        <v>0</v>
      </c>
      <c r="J442" t="n">
        <v>0</v>
      </c>
      <c r="K442" t="n">
        <v>0</v>
      </c>
      <c r="L442" t="n">
        <v>0</v>
      </c>
      <c r="M442" t="n">
        <v>0</v>
      </c>
      <c r="N442" t="n">
        <v>0</v>
      </c>
      <c r="O442" t="n">
        <v>0</v>
      </c>
      <c r="P442" t="n">
        <v>0</v>
      </c>
      <c r="Q442" t="n">
        <v>0</v>
      </c>
      <c r="R442" s="2" t="inlineStr"/>
    </row>
    <row r="443" ht="15" customHeight="1">
      <c r="A443" t="inlineStr">
        <is>
          <t>A 27700-2025</t>
        </is>
      </c>
      <c r="B443" s="1" t="n">
        <v>45813.6799537037</v>
      </c>
      <c r="C443" s="1" t="n">
        <v>46159</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10511-2025</t>
        </is>
      </c>
      <c r="B444" s="1" t="n">
        <v>45721.40780092592</v>
      </c>
      <c r="C444" s="1" t="n">
        <v>46159</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27554-2025</t>
        </is>
      </c>
      <c r="B445" s="1" t="n">
        <v>45813.4709375</v>
      </c>
      <c r="C445" s="1" t="n">
        <v>46159</v>
      </c>
      <c r="D445" t="inlineStr">
        <is>
          <t>STOCKHOLMS LÄN</t>
        </is>
      </c>
      <c r="E445" t="inlineStr">
        <is>
          <t>NORRTÄLJE</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11901-2024</t>
        </is>
      </c>
      <c r="B446" s="1" t="n">
        <v>45376.55638888889</v>
      </c>
      <c r="C446" s="1" t="n">
        <v>46159</v>
      </c>
      <c r="D446" t="inlineStr">
        <is>
          <t>STOCKHOLMS LÄN</t>
        </is>
      </c>
      <c r="E446" t="inlineStr">
        <is>
          <t>NORRTÄLJE</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42038-2025</t>
        </is>
      </c>
      <c r="B447" s="1" t="n">
        <v>45903.61431712963</v>
      </c>
      <c r="C447" s="1" t="n">
        <v>46159</v>
      </c>
      <c r="D447" t="inlineStr">
        <is>
          <t>STOCKHOLMS LÄN</t>
        </is>
      </c>
      <c r="E447" t="inlineStr">
        <is>
          <t>NORRTÄLJE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41964-2025</t>
        </is>
      </c>
      <c r="B448" s="1" t="n">
        <v>45903.47270833333</v>
      </c>
      <c r="C448" s="1" t="n">
        <v>46159</v>
      </c>
      <c r="D448" t="inlineStr">
        <is>
          <t>STOCKHOLMS LÄN</t>
        </is>
      </c>
      <c r="E448" t="inlineStr">
        <is>
          <t>NORRTÄLJE</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41966-2025</t>
        </is>
      </c>
      <c r="B449" s="1" t="n">
        <v>45903.47456018518</v>
      </c>
      <c r="C449" s="1" t="n">
        <v>46159</v>
      </c>
      <c r="D449" t="inlineStr">
        <is>
          <t>STOCKHOLMS LÄN</t>
        </is>
      </c>
      <c r="E449" t="inlineStr">
        <is>
          <t>NORRTÄLJE</t>
        </is>
      </c>
      <c r="F449" t="inlineStr">
        <is>
          <t>Sveaskog</t>
        </is>
      </c>
      <c r="G449" t="n">
        <v>3.7</v>
      </c>
      <c r="H449" t="n">
        <v>0</v>
      </c>
      <c r="I449" t="n">
        <v>0</v>
      </c>
      <c r="J449" t="n">
        <v>0</v>
      </c>
      <c r="K449" t="n">
        <v>0</v>
      </c>
      <c r="L449" t="n">
        <v>0</v>
      </c>
      <c r="M449" t="n">
        <v>0</v>
      </c>
      <c r="N449" t="n">
        <v>0</v>
      </c>
      <c r="O449" t="n">
        <v>0</v>
      </c>
      <c r="P449" t="n">
        <v>0</v>
      </c>
      <c r="Q449" t="n">
        <v>0</v>
      </c>
      <c r="R449" s="2" t="inlineStr"/>
    </row>
    <row r="450" ht="15" customHeight="1">
      <c r="A450" t="inlineStr">
        <is>
          <t>A 27802-2025</t>
        </is>
      </c>
      <c r="B450" s="1" t="n">
        <v>45817.2565625</v>
      </c>
      <c r="C450" s="1" t="n">
        <v>46159</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27806-2025</t>
        </is>
      </c>
      <c r="B451" s="1" t="n">
        <v>45817.30329861111</v>
      </c>
      <c r="C451" s="1" t="n">
        <v>46159</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27808-2025</t>
        </is>
      </c>
      <c r="B452" s="1" t="n">
        <v>45817.31085648148</v>
      </c>
      <c r="C452" s="1" t="n">
        <v>46159</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27810-2025</t>
        </is>
      </c>
      <c r="B453" s="1" t="n">
        <v>45817.31708333334</v>
      </c>
      <c r="C453" s="1" t="n">
        <v>46159</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27811-2025</t>
        </is>
      </c>
      <c r="B454" s="1" t="n">
        <v>45817.31986111111</v>
      </c>
      <c r="C454" s="1" t="n">
        <v>46159</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27818-2025</t>
        </is>
      </c>
      <c r="B455" s="1" t="n">
        <v>45817.33503472222</v>
      </c>
      <c r="C455" s="1" t="n">
        <v>46159</v>
      </c>
      <c r="D455" t="inlineStr">
        <is>
          <t>STOCKHOLMS LÄN</t>
        </is>
      </c>
      <c r="E455" t="inlineStr">
        <is>
          <t>NORRTÄLJE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812-2026</t>
        </is>
      </c>
      <c r="B456" s="1" t="n">
        <v>46030.33358796296</v>
      </c>
      <c r="C456" s="1" t="n">
        <v>46159</v>
      </c>
      <c r="D456" t="inlineStr">
        <is>
          <t>STOCKHOLMS LÄN</t>
        </is>
      </c>
      <c r="E456" t="inlineStr">
        <is>
          <t>NORRTÄLJE</t>
        </is>
      </c>
      <c r="G456" t="n">
        <v>2.4</v>
      </c>
      <c r="H456" t="n">
        <v>0</v>
      </c>
      <c r="I456" t="n">
        <v>0</v>
      </c>
      <c r="J456" t="n">
        <v>0</v>
      </c>
      <c r="K456" t="n">
        <v>0</v>
      </c>
      <c r="L456" t="n">
        <v>0</v>
      </c>
      <c r="M456" t="n">
        <v>0</v>
      </c>
      <c r="N456" t="n">
        <v>0</v>
      </c>
      <c r="O456" t="n">
        <v>0</v>
      </c>
      <c r="P456" t="n">
        <v>0</v>
      </c>
      <c r="Q456" t="n">
        <v>0</v>
      </c>
      <c r="R456" s="2" t="inlineStr"/>
    </row>
    <row r="457" ht="15" customHeight="1">
      <c r="A457" t="inlineStr">
        <is>
          <t>A 717-2026</t>
        </is>
      </c>
      <c r="B457" s="1" t="n">
        <v>46029.63028935185</v>
      </c>
      <c r="C457" s="1" t="n">
        <v>46159</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15528-2025</t>
        </is>
      </c>
      <c r="B458" s="1" t="n">
        <v>45747.63471064815</v>
      </c>
      <c r="C458" s="1" t="n">
        <v>46159</v>
      </c>
      <c r="D458" t="inlineStr">
        <is>
          <t>STOCKHOLMS LÄN</t>
        </is>
      </c>
      <c r="E458" t="inlineStr">
        <is>
          <t>NORRTÄLJE</t>
        </is>
      </c>
      <c r="G458" t="n">
        <v>10</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46159</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475-2026</t>
        </is>
      </c>
      <c r="B460" s="1" t="n">
        <v>46029.39351851852</v>
      </c>
      <c r="C460" s="1" t="n">
        <v>46159</v>
      </c>
      <c r="D460" t="inlineStr">
        <is>
          <t>STOCKHOLMS LÄN</t>
        </is>
      </c>
      <c r="E460" t="inlineStr">
        <is>
          <t>NORRTÄLJE</t>
        </is>
      </c>
      <c r="G460" t="n">
        <v>4.6</v>
      </c>
      <c r="H460" t="n">
        <v>0</v>
      </c>
      <c r="I460" t="n">
        <v>0</v>
      </c>
      <c r="J460" t="n">
        <v>0</v>
      </c>
      <c r="K460" t="n">
        <v>0</v>
      </c>
      <c r="L460" t="n">
        <v>0</v>
      </c>
      <c r="M460" t="n">
        <v>0</v>
      </c>
      <c r="N460" t="n">
        <v>0</v>
      </c>
      <c r="O460" t="n">
        <v>0</v>
      </c>
      <c r="P460" t="n">
        <v>0</v>
      </c>
      <c r="Q460" t="n">
        <v>0</v>
      </c>
      <c r="R460" s="2" t="inlineStr"/>
    </row>
    <row r="461" ht="15" customHeight="1">
      <c r="A461" t="inlineStr">
        <is>
          <t>A 27813-2025</t>
        </is>
      </c>
      <c r="B461" s="1" t="n">
        <v>45817.32538194444</v>
      </c>
      <c r="C461" s="1" t="n">
        <v>46159</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5423-2023</t>
        </is>
      </c>
      <c r="B462" s="1" t="n">
        <v>44959.74533564815</v>
      </c>
      <c r="C462" s="1" t="n">
        <v>46159</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27801-2025</t>
        </is>
      </c>
      <c r="B463" s="1" t="n">
        <v>45817.25471064815</v>
      </c>
      <c r="C463" s="1" t="n">
        <v>46159</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58492-2022</t>
        </is>
      </c>
      <c r="B464" s="1" t="n">
        <v>44902</v>
      </c>
      <c r="C464" s="1" t="n">
        <v>46159</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27821-2025</t>
        </is>
      </c>
      <c r="B465" s="1" t="n">
        <v>45817.34083333334</v>
      </c>
      <c r="C465" s="1" t="n">
        <v>46159</v>
      </c>
      <c r="D465" t="inlineStr">
        <is>
          <t>STOCKHOLMS LÄN</t>
        </is>
      </c>
      <c r="E465" t="inlineStr">
        <is>
          <t>NORRTÄLJE</t>
        </is>
      </c>
      <c r="G465" t="n">
        <v>3.2</v>
      </c>
      <c r="H465" t="n">
        <v>0</v>
      </c>
      <c r="I465" t="n">
        <v>0</v>
      </c>
      <c r="J465" t="n">
        <v>0</v>
      </c>
      <c r="K465" t="n">
        <v>0</v>
      </c>
      <c r="L465" t="n">
        <v>0</v>
      </c>
      <c r="M465" t="n">
        <v>0</v>
      </c>
      <c r="N465" t="n">
        <v>0</v>
      </c>
      <c r="O465" t="n">
        <v>0</v>
      </c>
      <c r="P465" t="n">
        <v>0</v>
      </c>
      <c r="Q465" t="n">
        <v>0</v>
      </c>
      <c r="R465" s="2" t="inlineStr"/>
    </row>
    <row r="466" ht="15" customHeight="1">
      <c r="A466" t="inlineStr">
        <is>
          <t>A 30699-2025</t>
        </is>
      </c>
      <c r="B466" s="1" t="n">
        <v>45831.54618055555</v>
      </c>
      <c r="C466" s="1" t="n">
        <v>46159</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46159</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20011-2025</t>
        </is>
      </c>
      <c r="B468" s="1" t="n">
        <v>45772.29622685185</v>
      </c>
      <c r="C468" s="1" t="n">
        <v>46159</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4581-2025</t>
        </is>
      </c>
      <c r="B469" s="1" t="n">
        <v>45687</v>
      </c>
      <c r="C469" s="1" t="n">
        <v>46159</v>
      </c>
      <c r="D469" t="inlineStr">
        <is>
          <t>STOCKHOLMS LÄN</t>
        </is>
      </c>
      <c r="E469" t="inlineStr">
        <is>
          <t>NORRTÄLJE</t>
        </is>
      </c>
      <c r="F469" t="inlineStr">
        <is>
          <t>Holmen skog AB</t>
        </is>
      </c>
      <c r="G469" t="n">
        <v>2.8</v>
      </c>
      <c r="H469" t="n">
        <v>0</v>
      </c>
      <c r="I469" t="n">
        <v>0</v>
      </c>
      <c r="J469" t="n">
        <v>0</v>
      </c>
      <c r="K469" t="n">
        <v>0</v>
      </c>
      <c r="L469" t="n">
        <v>0</v>
      </c>
      <c r="M469" t="n">
        <v>0</v>
      </c>
      <c r="N469" t="n">
        <v>0</v>
      </c>
      <c r="O469" t="n">
        <v>0</v>
      </c>
      <c r="P469" t="n">
        <v>0</v>
      </c>
      <c r="Q469" t="n">
        <v>0</v>
      </c>
      <c r="R469" s="2" t="inlineStr"/>
    </row>
    <row r="470" ht="15" customHeight="1">
      <c r="A470" t="inlineStr">
        <is>
          <t>A 1789-2026</t>
        </is>
      </c>
      <c r="B470" s="1" t="n">
        <v>46034</v>
      </c>
      <c r="C470" s="1" t="n">
        <v>46159</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44075-2023</t>
        </is>
      </c>
      <c r="B471" s="1" t="n">
        <v>45188.41637731482</v>
      </c>
      <c r="C471" s="1" t="n">
        <v>46159</v>
      </c>
      <c r="D471" t="inlineStr">
        <is>
          <t>STOCKHOLMS LÄN</t>
        </is>
      </c>
      <c r="E471" t="inlineStr">
        <is>
          <t>NORRTÄLJE</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1755-2026</t>
        </is>
      </c>
      <c r="B472" s="1" t="n">
        <v>46034.66230324074</v>
      </c>
      <c r="C472" s="1" t="n">
        <v>46159</v>
      </c>
      <c r="D472" t="inlineStr">
        <is>
          <t>STOCKHOLMS LÄN</t>
        </is>
      </c>
      <c r="E472" t="inlineStr">
        <is>
          <t>NORRTÄLJE</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36157-2024</t>
        </is>
      </c>
      <c r="B473" s="1" t="n">
        <v>45534.38240740741</v>
      </c>
      <c r="C473" s="1" t="n">
        <v>46159</v>
      </c>
      <c r="D473" t="inlineStr">
        <is>
          <t>STOCKHOLMS LÄN</t>
        </is>
      </c>
      <c r="E473" t="inlineStr">
        <is>
          <t>NORRTÄLJE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62398-2022</t>
        </is>
      </c>
      <c r="B474" s="1" t="n">
        <v>44923.90159722222</v>
      </c>
      <c r="C474" s="1" t="n">
        <v>46159</v>
      </c>
      <c r="D474" t="inlineStr">
        <is>
          <t>STOCKHOLMS LÄN</t>
        </is>
      </c>
      <c r="E474" t="inlineStr">
        <is>
          <t>NORRTÄLJE</t>
        </is>
      </c>
      <c r="G474" t="n">
        <v>4</v>
      </c>
      <c r="H474" t="n">
        <v>0</v>
      </c>
      <c r="I474" t="n">
        <v>0</v>
      </c>
      <c r="J474" t="n">
        <v>0</v>
      </c>
      <c r="K474" t="n">
        <v>0</v>
      </c>
      <c r="L474" t="n">
        <v>0</v>
      </c>
      <c r="M474" t="n">
        <v>0</v>
      </c>
      <c r="N474" t="n">
        <v>0</v>
      </c>
      <c r="O474" t="n">
        <v>0</v>
      </c>
      <c r="P474" t="n">
        <v>0</v>
      </c>
      <c r="Q474" t="n">
        <v>0</v>
      </c>
      <c r="R474" s="2" t="inlineStr"/>
    </row>
    <row r="475" ht="15" customHeight="1">
      <c r="A475" t="inlineStr">
        <is>
          <t>A 2088-2026</t>
        </is>
      </c>
      <c r="B475" s="1" t="n">
        <v>46036.35909722222</v>
      </c>
      <c r="C475" s="1" t="n">
        <v>46159</v>
      </c>
      <c r="D475" t="inlineStr">
        <is>
          <t>STOCKHOLMS LÄN</t>
        </is>
      </c>
      <c r="E475" t="inlineStr">
        <is>
          <t>NORRTÄLJE</t>
        </is>
      </c>
      <c r="G475" t="n">
        <v>7</v>
      </c>
      <c r="H475" t="n">
        <v>0</v>
      </c>
      <c r="I475" t="n">
        <v>0</v>
      </c>
      <c r="J475" t="n">
        <v>0</v>
      </c>
      <c r="K475" t="n">
        <v>0</v>
      </c>
      <c r="L475" t="n">
        <v>0</v>
      </c>
      <c r="M475" t="n">
        <v>0</v>
      </c>
      <c r="N475" t="n">
        <v>0</v>
      </c>
      <c r="O475" t="n">
        <v>0</v>
      </c>
      <c r="P475" t="n">
        <v>0</v>
      </c>
      <c r="Q475" t="n">
        <v>0</v>
      </c>
      <c r="R475" s="2" t="inlineStr"/>
    </row>
    <row r="476" ht="15" customHeight="1">
      <c r="A476" t="inlineStr">
        <is>
          <t>A 2116-2026</t>
        </is>
      </c>
      <c r="B476" s="1" t="n">
        <v>46036.38108796296</v>
      </c>
      <c r="C476" s="1" t="n">
        <v>46159</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17039-2024</t>
        </is>
      </c>
      <c r="B477" s="1" t="n">
        <v>45412.4104050926</v>
      </c>
      <c r="C477" s="1" t="n">
        <v>46159</v>
      </c>
      <c r="D477" t="inlineStr">
        <is>
          <t>STOCKHOLMS LÄN</t>
        </is>
      </c>
      <c r="E477" t="inlineStr">
        <is>
          <t>NORRTÄLJE</t>
        </is>
      </c>
      <c r="G477" t="n">
        <v>5.9</v>
      </c>
      <c r="H477" t="n">
        <v>0</v>
      </c>
      <c r="I477" t="n">
        <v>0</v>
      </c>
      <c r="J477" t="n">
        <v>0</v>
      </c>
      <c r="K477" t="n">
        <v>0</v>
      </c>
      <c r="L477" t="n">
        <v>0</v>
      </c>
      <c r="M477" t="n">
        <v>0</v>
      </c>
      <c r="N477" t="n">
        <v>0</v>
      </c>
      <c r="O477" t="n">
        <v>0</v>
      </c>
      <c r="P477" t="n">
        <v>0</v>
      </c>
      <c r="Q477" t="n">
        <v>0</v>
      </c>
      <c r="R477" s="2" t="inlineStr"/>
    </row>
    <row r="478" ht="15" customHeight="1">
      <c r="A478" t="inlineStr">
        <is>
          <t>A 24835-2025</t>
        </is>
      </c>
      <c r="B478" s="1" t="n">
        <v>45799</v>
      </c>
      <c r="C478" s="1" t="n">
        <v>46159</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29250-2025</t>
        </is>
      </c>
      <c r="B479" s="1" t="n">
        <v>45824.37275462963</v>
      </c>
      <c r="C479" s="1" t="n">
        <v>46159</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43169-2025</t>
        </is>
      </c>
      <c r="B480" s="1" t="n">
        <v>45910</v>
      </c>
      <c r="C480" s="1" t="n">
        <v>46159</v>
      </c>
      <c r="D480" t="inlineStr">
        <is>
          <t>STOCKHOLMS LÄN</t>
        </is>
      </c>
      <c r="E480" t="inlineStr">
        <is>
          <t>NORRTÄLJE</t>
        </is>
      </c>
      <c r="G480" t="n">
        <v>6.9</v>
      </c>
      <c r="H480" t="n">
        <v>0</v>
      </c>
      <c r="I480" t="n">
        <v>0</v>
      </c>
      <c r="J480" t="n">
        <v>0</v>
      </c>
      <c r="K480" t="n">
        <v>0</v>
      </c>
      <c r="L480" t="n">
        <v>0</v>
      </c>
      <c r="M480" t="n">
        <v>0</v>
      </c>
      <c r="N480" t="n">
        <v>0</v>
      </c>
      <c r="O480" t="n">
        <v>0</v>
      </c>
      <c r="P480" t="n">
        <v>0</v>
      </c>
      <c r="Q480" t="n">
        <v>0</v>
      </c>
      <c r="R480" s="2" t="inlineStr"/>
    </row>
    <row r="481" ht="15" customHeight="1">
      <c r="A481" t="inlineStr">
        <is>
          <t>A 3509-2022</t>
        </is>
      </c>
      <c r="B481" s="1" t="n">
        <v>44585</v>
      </c>
      <c r="C481" s="1" t="n">
        <v>46159</v>
      </c>
      <c r="D481" t="inlineStr">
        <is>
          <t>STOCKHOLMS LÄN</t>
        </is>
      </c>
      <c r="E481" t="inlineStr">
        <is>
          <t>NORRTÄLJE</t>
        </is>
      </c>
      <c r="F481" t="inlineStr">
        <is>
          <t>Kommuner</t>
        </is>
      </c>
      <c r="G481" t="n">
        <v>0.8</v>
      </c>
      <c r="H481" t="n">
        <v>0</v>
      </c>
      <c r="I481" t="n">
        <v>0</v>
      </c>
      <c r="J481" t="n">
        <v>0</v>
      </c>
      <c r="K481" t="n">
        <v>0</v>
      </c>
      <c r="L481" t="n">
        <v>0</v>
      </c>
      <c r="M481" t="n">
        <v>0</v>
      </c>
      <c r="N481" t="n">
        <v>0</v>
      </c>
      <c r="O481" t="n">
        <v>0</v>
      </c>
      <c r="P481" t="n">
        <v>0</v>
      </c>
      <c r="Q481" t="n">
        <v>0</v>
      </c>
      <c r="R481" s="2" t="inlineStr"/>
    </row>
    <row r="482" ht="15" customHeight="1">
      <c r="A482" t="inlineStr">
        <is>
          <t>A 43269-2025</t>
        </is>
      </c>
      <c r="B482" s="1" t="n">
        <v>45910.5819212963</v>
      </c>
      <c r="C482" s="1" t="n">
        <v>46159</v>
      </c>
      <c r="D482" t="inlineStr">
        <is>
          <t>STOCKHOLMS LÄN</t>
        </is>
      </c>
      <c r="E482" t="inlineStr">
        <is>
          <t>NORRTÄLJE</t>
        </is>
      </c>
      <c r="G482" t="n">
        <v>3.7</v>
      </c>
      <c r="H482" t="n">
        <v>0</v>
      </c>
      <c r="I482" t="n">
        <v>0</v>
      </c>
      <c r="J482" t="n">
        <v>0</v>
      </c>
      <c r="K482" t="n">
        <v>0</v>
      </c>
      <c r="L482" t="n">
        <v>0</v>
      </c>
      <c r="M482" t="n">
        <v>0</v>
      </c>
      <c r="N482" t="n">
        <v>0</v>
      </c>
      <c r="O482" t="n">
        <v>0</v>
      </c>
      <c r="P482" t="n">
        <v>0</v>
      </c>
      <c r="Q482" t="n">
        <v>0</v>
      </c>
      <c r="R482" s="2" t="inlineStr"/>
    </row>
    <row r="483" ht="15" customHeight="1">
      <c r="A483" t="inlineStr">
        <is>
          <t>A 7697-2025</t>
        </is>
      </c>
      <c r="B483" s="1" t="n">
        <v>45706.40086805556</v>
      </c>
      <c r="C483" s="1" t="n">
        <v>46159</v>
      </c>
      <c r="D483" t="inlineStr">
        <is>
          <t>STOCKHOLMS LÄN</t>
        </is>
      </c>
      <c r="E483" t="inlineStr">
        <is>
          <t>NORRTÄLJE</t>
        </is>
      </c>
      <c r="F483" t="inlineStr">
        <is>
          <t>Holmen skog AB</t>
        </is>
      </c>
      <c r="G483" t="n">
        <v>1.8</v>
      </c>
      <c r="H483" t="n">
        <v>0</v>
      </c>
      <c r="I483" t="n">
        <v>0</v>
      </c>
      <c r="J483" t="n">
        <v>0</v>
      </c>
      <c r="K483" t="n">
        <v>0</v>
      </c>
      <c r="L483" t="n">
        <v>0</v>
      </c>
      <c r="M483" t="n">
        <v>0</v>
      </c>
      <c r="N483" t="n">
        <v>0</v>
      </c>
      <c r="O483" t="n">
        <v>0</v>
      </c>
      <c r="P483" t="n">
        <v>0</v>
      </c>
      <c r="Q483" t="n">
        <v>0</v>
      </c>
      <c r="R483" s="2" t="inlineStr"/>
    </row>
    <row r="484" ht="15" customHeight="1">
      <c r="A484" t="inlineStr">
        <is>
          <t>A 39669-2024</t>
        </is>
      </c>
      <c r="B484" s="1" t="n">
        <v>45552.52827546297</v>
      </c>
      <c r="C484" s="1" t="n">
        <v>46159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30719-2025</t>
        </is>
      </c>
      <c r="B485" s="1" t="n">
        <v>45831</v>
      </c>
      <c r="C485" s="1" t="n">
        <v>46159</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3549-2026</t>
        </is>
      </c>
      <c r="B486" s="1" t="n">
        <v>46042</v>
      </c>
      <c r="C486" s="1" t="n">
        <v>46159</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2982-2023</t>
        </is>
      </c>
      <c r="B487" s="1" t="n">
        <v>44945.67409722223</v>
      </c>
      <c r="C487" s="1" t="n">
        <v>46159</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44343-2025</t>
        </is>
      </c>
      <c r="B488" s="1" t="n">
        <v>45916.43378472222</v>
      </c>
      <c r="C488" s="1" t="n">
        <v>46159</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1448-2023</t>
        </is>
      </c>
      <c r="B489" s="1" t="n">
        <v>44937</v>
      </c>
      <c r="C489" s="1" t="n">
        <v>46159</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43916-2025</t>
        </is>
      </c>
      <c r="B490" s="1" t="n">
        <v>45914.78884259259</v>
      </c>
      <c r="C490" s="1" t="n">
        <v>46159</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44311-2025</t>
        </is>
      </c>
      <c r="B491" s="1" t="n">
        <v>45916.38394675926</v>
      </c>
      <c r="C491" s="1" t="n">
        <v>46159</v>
      </c>
      <c r="D491" t="inlineStr">
        <is>
          <t>STOCKHOLMS LÄN</t>
        </is>
      </c>
      <c r="E491" t="inlineStr">
        <is>
          <t>NORRTÄLJE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35127-2023</t>
        </is>
      </c>
      <c r="B492" s="1" t="n">
        <v>45145.51</v>
      </c>
      <c r="C492" s="1" t="n">
        <v>46159</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44349-2025</t>
        </is>
      </c>
      <c r="B493" s="1" t="n">
        <v>45916.43929398148</v>
      </c>
      <c r="C493" s="1" t="n">
        <v>46159</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50136-2023</t>
        </is>
      </c>
      <c r="B494" s="1" t="n">
        <v>45215</v>
      </c>
      <c r="C494" s="1" t="n">
        <v>46159</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44354-2025</t>
        </is>
      </c>
      <c r="B495" s="1" t="n">
        <v>45916.44655092592</v>
      </c>
      <c r="C495" s="1" t="n">
        <v>46159</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11229-2022</t>
        </is>
      </c>
      <c r="B496" s="1" t="n">
        <v>44629</v>
      </c>
      <c r="C496" s="1" t="n">
        <v>46159</v>
      </c>
      <c r="D496" t="inlineStr">
        <is>
          <t>STOCKHOLMS LÄN</t>
        </is>
      </c>
      <c r="E496" t="inlineStr">
        <is>
          <t>NORRTÄLJE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9654-2022</t>
        </is>
      </c>
      <c r="B497" s="1" t="n">
        <v>44617</v>
      </c>
      <c r="C497" s="1" t="n">
        <v>46159</v>
      </c>
      <c r="D497" t="inlineStr">
        <is>
          <t>STOCKHOLMS LÄN</t>
        </is>
      </c>
      <c r="E497" t="inlineStr">
        <is>
          <t>NORRTÄLJE</t>
        </is>
      </c>
      <c r="G497" t="n">
        <v>6.4</v>
      </c>
      <c r="H497" t="n">
        <v>0</v>
      </c>
      <c r="I497" t="n">
        <v>0</v>
      </c>
      <c r="J497" t="n">
        <v>0</v>
      </c>
      <c r="K497" t="n">
        <v>0</v>
      </c>
      <c r="L497" t="n">
        <v>0</v>
      </c>
      <c r="M497" t="n">
        <v>0</v>
      </c>
      <c r="N497" t="n">
        <v>0</v>
      </c>
      <c r="O497" t="n">
        <v>0</v>
      </c>
      <c r="P497" t="n">
        <v>0</v>
      </c>
      <c r="Q497" t="n">
        <v>0</v>
      </c>
      <c r="R497" s="2" t="inlineStr"/>
    </row>
    <row r="498" ht="15" customHeight="1">
      <c r="A498" t="inlineStr">
        <is>
          <t>A 5389-2025</t>
        </is>
      </c>
      <c r="B498" s="1" t="n">
        <v>45692</v>
      </c>
      <c r="C498" s="1" t="n">
        <v>46159</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37147-2023</t>
        </is>
      </c>
      <c r="B499" s="1" t="n">
        <v>45155</v>
      </c>
      <c r="C499" s="1" t="n">
        <v>46159</v>
      </c>
      <c r="D499" t="inlineStr">
        <is>
          <t>STOCKHOLMS LÄN</t>
        </is>
      </c>
      <c r="E499" t="inlineStr">
        <is>
          <t>NORRTÄLJE</t>
        </is>
      </c>
      <c r="G499" t="n">
        <v>8</v>
      </c>
      <c r="H499" t="n">
        <v>0</v>
      </c>
      <c r="I499" t="n">
        <v>0</v>
      </c>
      <c r="J499" t="n">
        <v>0</v>
      </c>
      <c r="K499" t="n">
        <v>0</v>
      </c>
      <c r="L499" t="n">
        <v>0</v>
      </c>
      <c r="M499" t="n">
        <v>0</v>
      </c>
      <c r="N499" t="n">
        <v>0</v>
      </c>
      <c r="O499" t="n">
        <v>0</v>
      </c>
      <c r="P499" t="n">
        <v>0</v>
      </c>
      <c r="Q499" t="n">
        <v>0</v>
      </c>
      <c r="R499" s="2" t="inlineStr"/>
    </row>
    <row r="500" ht="15" customHeight="1">
      <c r="A500" t="inlineStr">
        <is>
          <t>A 59499-2023</t>
        </is>
      </c>
      <c r="B500" s="1" t="n">
        <v>45254</v>
      </c>
      <c r="C500" s="1" t="n">
        <v>46159</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60654-2023</t>
        </is>
      </c>
      <c r="B501" s="1" t="n">
        <v>45260.43225694444</v>
      </c>
      <c r="C501" s="1" t="n">
        <v>46159</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60656-2023</t>
        </is>
      </c>
      <c r="B502" s="1" t="n">
        <v>45260.4333449074</v>
      </c>
      <c r="C502" s="1" t="n">
        <v>46159</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44333-2025</t>
        </is>
      </c>
      <c r="B503" s="1" t="n">
        <v>45916.42293981482</v>
      </c>
      <c r="C503" s="1" t="n">
        <v>46159</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22697-2022</t>
        </is>
      </c>
      <c r="B504" s="1" t="n">
        <v>44714.56040509259</v>
      </c>
      <c r="C504" s="1" t="n">
        <v>46159</v>
      </c>
      <c r="D504" t="inlineStr">
        <is>
          <t>STOCKHOLMS LÄN</t>
        </is>
      </c>
      <c r="E504" t="inlineStr">
        <is>
          <t>NORRTÄLJE</t>
        </is>
      </c>
      <c r="G504" t="n">
        <v>5.6</v>
      </c>
      <c r="H504" t="n">
        <v>0</v>
      </c>
      <c r="I504" t="n">
        <v>0</v>
      </c>
      <c r="J504" t="n">
        <v>0</v>
      </c>
      <c r="K504" t="n">
        <v>0</v>
      </c>
      <c r="L504" t="n">
        <v>0</v>
      </c>
      <c r="M504" t="n">
        <v>0</v>
      </c>
      <c r="N504" t="n">
        <v>0</v>
      </c>
      <c r="O504" t="n">
        <v>0</v>
      </c>
      <c r="P504" t="n">
        <v>0</v>
      </c>
      <c r="Q504" t="n">
        <v>0</v>
      </c>
      <c r="R504" s="2" t="inlineStr"/>
    </row>
    <row r="505" ht="15" customHeight="1">
      <c r="A505" t="inlineStr">
        <is>
          <t>A 44306-2025</t>
        </is>
      </c>
      <c r="B505" s="1" t="n">
        <v>45916.37736111111</v>
      </c>
      <c r="C505" s="1" t="n">
        <v>46159</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30668-2025</t>
        </is>
      </c>
      <c r="B506" s="1" t="n">
        <v>45831.51659722222</v>
      </c>
      <c r="C506" s="1" t="n">
        <v>46159</v>
      </c>
      <c r="D506" t="inlineStr">
        <is>
          <t>STOCKHOLMS LÄN</t>
        </is>
      </c>
      <c r="E506" t="inlineStr">
        <is>
          <t>NORRTÄLJE</t>
        </is>
      </c>
      <c r="G506" t="n">
        <v>4.9</v>
      </c>
      <c r="H506" t="n">
        <v>0</v>
      </c>
      <c r="I506" t="n">
        <v>0</v>
      </c>
      <c r="J506" t="n">
        <v>0</v>
      </c>
      <c r="K506" t="n">
        <v>0</v>
      </c>
      <c r="L506" t="n">
        <v>0</v>
      </c>
      <c r="M506" t="n">
        <v>0</v>
      </c>
      <c r="N506" t="n">
        <v>0</v>
      </c>
      <c r="O506" t="n">
        <v>0</v>
      </c>
      <c r="P506" t="n">
        <v>0</v>
      </c>
      <c r="Q506" t="n">
        <v>0</v>
      </c>
      <c r="R506" s="2" t="inlineStr"/>
    </row>
    <row r="507" ht="15" customHeight="1">
      <c r="A507" t="inlineStr">
        <is>
          <t>A 44937-2025</t>
        </is>
      </c>
      <c r="B507" s="1" t="n">
        <v>45918</v>
      </c>
      <c r="C507" s="1" t="n">
        <v>46159</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4231-2026</t>
        </is>
      </c>
      <c r="B508" s="1" t="n">
        <v>46044</v>
      </c>
      <c r="C508" s="1" t="n">
        <v>46159</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30639-2025</t>
        </is>
      </c>
      <c r="B509" s="1" t="n">
        <v>45831.4844212963</v>
      </c>
      <c r="C509" s="1" t="n">
        <v>46159</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4235-2026</t>
        </is>
      </c>
      <c r="B510" s="1" t="n">
        <v>46044</v>
      </c>
      <c r="C510" s="1" t="n">
        <v>46159</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31170-2025</t>
        </is>
      </c>
      <c r="B511" s="1" t="n">
        <v>45832.66385416667</v>
      </c>
      <c r="C511" s="1" t="n">
        <v>46159</v>
      </c>
      <c r="D511" t="inlineStr">
        <is>
          <t>STOCKHOLMS LÄN</t>
        </is>
      </c>
      <c r="E511" t="inlineStr">
        <is>
          <t>NORRTÄLJE</t>
        </is>
      </c>
      <c r="G511" t="n">
        <v>2.7</v>
      </c>
      <c r="H511" t="n">
        <v>0</v>
      </c>
      <c r="I511" t="n">
        <v>0</v>
      </c>
      <c r="J511" t="n">
        <v>0</v>
      </c>
      <c r="K511" t="n">
        <v>0</v>
      </c>
      <c r="L511" t="n">
        <v>0</v>
      </c>
      <c r="M511" t="n">
        <v>0</v>
      </c>
      <c r="N511" t="n">
        <v>0</v>
      </c>
      <c r="O511" t="n">
        <v>0</v>
      </c>
      <c r="P511" t="n">
        <v>0</v>
      </c>
      <c r="Q511" t="n">
        <v>0</v>
      </c>
      <c r="R511" s="2" t="inlineStr"/>
    </row>
    <row r="512" ht="15" customHeight="1">
      <c r="A512" t="inlineStr">
        <is>
          <t>A 48180-2023</t>
        </is>
      </c>
      <c r="B512" s="1" t="n">
        <v>45205</v>
      </c>
      <c r="C512" s="1" t="n">
        <v>46159</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57353-2024</t>
        </is>
      </c>
      <c r="B513" s="1" t="n">
        <v>45629.65143518519</v>
      </c>
      <c r="C513" s="1" t="n">
        <v>46159</v>
      </c>
      <c r="D513" t="inlineStr">
        <is>
          <t>STOCKHOLMS LÄN</t>
        </is>
      </c>
      <c r="E513" t="inlineStr">
        <is>
          <t>NORRTÄLJE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22359-2025</t>
        </is>
      </c>
      <c r="B514" s="1" t="n">
        <v>45786</v>
      </c>
      <c r="C514" s="1" t="n">
        <v>46159</v>
      </c>
      <c r="D514" t="inlineStr">
        <is>
          <t>STOCKHOLMS LÄN</t>
        </is>
      </c>
      <c r="E514" t="inlineStr">
        <is>
          <t>NORRTÄLJE</t>
        </is>
      </c>
      <c r="G514" t="n">
        <v>5</v>
      </c>
      <c r="H514" t="n">
        <v>0</v>
      </c>
      <c r="I514" t="n">
        <v>0</v>
      </c>
      <c r="J514" t="n">
        <v>0</v>
      </c>
      <c r="K514" t="n">
        <v>0</v>
      </c>
      <c r="L514" t="n">
        <v>0</v>
      </c>
      <c r="M514" t="n">
        <v>0</v>
      </c>
      <c r="N514" t="n">
        <v>0</v>
      </c>
      <c r="O514" t="n">
        <v>0</v>
      </c>
      <c r="P514" t="n">
        <v>0</v>
      </c>
      <c r="Q514" t="n">
        <v>0</v>
      </c>
      <c r="R514" s="2" t="inlineStr"/>
    </row>
    <row r="515" ht="15" customHeight="1">
      <c r="A515" t="inlineStr">
        <is>
          <t>A 55696-2022</t>
        </is>
      </c>
      <c r="B515" s="1" t="n">
        <v>44888</v>
      </c>
      <c r="C515" s="1" t="n">
        <v>46159</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50907-2022</t>
        </is>
      </c>
      <c r="B516" s="1" t="n">
        <v>44867.62090277778</v>
      </c>
      <c r="C516" s="1" t="n">
        <v>46159</v>
      </c>
      <c r="D516" t="inlineStr">
        <is>
          <t>STOCKHOLMS LÄN</t>
        </is>
      </c>
      <c r="E516" t="inlineStr">
        <is>
          <t>NORRTÄLJE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6919-2025</t>
        </is>
      </c>
      <c r="B517" s="1" t="n">
        <v>45701.44372685185</v>
      </c>
      <c r="C517" s="1" t="n">
        <v>46159</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53362-2023</t>
        </is>
      </c>
      <c r="B518" s="1" t="n">
        <v>45223</v>
      </c>
      <c r="C518" s="1" t="n">
        <v>46159</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31874-2025</t>
        </is>
      </c>
      <c r="B519" s="1" t="n">
        <v>45834</v>
      </c>
      <c r="C519" s="1" t="n">
        <v>46159</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4227-2026</t>
        </is>
      </c>
      <c r="B520" s="1" t="n">
        <v>46044</v>
      </c>
      <c r="C520" s="1" t="n">
        <v>46159</v>
      </c>
      <c r="D520" t="inlineStr">
        <is>
          <t>STOCKHOLMS LÄN</t>
        </is>
      </c>
      <c r="E520" t="inlineStr">
        <is>
          <t>NORRTÄLJE</t>
        </is>
      </c>
      <c r="G520" t="n">
        <v>3.6</v>
      </c>
      <c r="H520" t="n">
        <v>0</v>
      </c>
      <c r="I520" t="n">
        <v>0</v>
      </c>
      <c r="J520" t="n">
        <v>0</v>
      </c>
      <c r="K520" t="n">
        <v>0</v>
      </c>
      <c r="L520" t="n">
        <v>0</v>
      </c>
      <c r="M520" t="n">
        <v>0</v>
      </c>
      <c r="N520" t="n">
        <v>0</v>
      </c>
      <c r="O520" t="n">
        <v>0</v>
      </c>
      <c r="P520" t="n">
        <v>0</v>
      </c>
      <c r="Q520" t="n">
        <v>0</v>
      </c>
      <c r="R520" s="2" t="inlineStr"/>
    </row>
    <row r="521" ht="15" customHeight="1">
      <c r="A521" t="inlineStr">
        <is>
          <t>A 31868-2025</t>
        </is>
      </c>
      <c r="B521" s="1" t="n">
        <v>45834.6447337963</v>
      </c>
      <c r="C521" s="1" t="n">
        <v>46159</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6413-2025</t>
        </is>
      </c>
      <c r="B522" s="1" t="n">
        <v>45699.46283564815</v>
      </c>
      <c r="C522" s="1" t="n">
        <v>46159</v>
      </c>
      <c r="D522" t="inlineStr">
        <is>
          <t>STOCKHOLMS LÄN</t>
        </is>
      </c>
      <c r="E522" t="inlineStr">
        <is>
          <t>NORRTÄLJE</t>
        </is>
      </c>
      <c r="G522" t="n">
        <v>3.6</v>
      </c>
      <c r="H522" t="n">
        <v>0</v>
      </c>
      <c r="I522" t="n">
        <v>0</v>
      </c>
      <c r="J522" t="n">
        <v>0</v>
      </c>
      <c r="K522" t="n">
        <v>0</v>
      </c>
      <c r="L522" t="n">
        <v>0</v>
      </c>
      <c r="M522" t="n">
        <v>0</v>
      </c>
      <c r="N522" t="n">
        <v>0</v>
      </c>
      <c r="O522" t="n">
        <v>0</v>
      </c>
      <c r="P522" t="n">
        <v>0</v>
      </c>
      <c r="Q522" t="n">
        <v>0</v>
      </c>
      <c r="R522" s="2" t="inlineStr"/>
    </row>
    <row r="523" ht="15" customHeight="1">
      <c r="A523" t="inlineStr">
        <is>
          <t>A 31880-2025</t>
        </is>
      </c>
      <c r="B523" s="1" t="n">
        <v>45834.65538194445</v>
      </c>
      <c r="C523" s="1" t="n">
        <v>46159</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8433-2022</t>
        </is>
      </c>
      <c r="B524" s="1" t="n">
        <v>44611</v>
      </c>
      <c r="C524" s="1" t="n">
        <v>46159</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10215-2023</t>
        </is>
      </c>
      <c r="B525" s="1" t="n">
        <v>44986.5887962963</v>
      </c>
      <c r="C525" s="1" t="n">
        <v>46159</v>
      </c>
      <c r="D525" t="inlineStr">
        <is>
          <t>STOCKHOLMS LÄN</t>
        </is>
      </c>
      <c r="E525" t="inlineStr">
        <is>
          <t>NORRTÄLJE</t>
        </is>
      </c>
      <c r="G525" t="n">
        <v>6.5</v>
      </c>
      <c r="H525" t="n">
        <v>0</v>
      </c>
      <c r="I525" t="n">
        <v>0</v>
      </c>
      <c r="J525" t="n">
        <v>0</v>
      </c>
      <c r="K525" t="n">
        <v>0</v>
      </c>
      <c r="L525" t="n">
        <v>0</v>
      </c>
      <c r="M525" t="n">
        <v>0</v>
      </c>
      <c r="N525" t="n">
        <v>0</v>
      </c>
      <c r="O525" t="n">
        <v>0</v>
      </c>
      <c r="P525" t="n">
        <v>0</v>
      </c>
      <c r="Q525" t="n">
        <v>0</v>
      </c>
      <c r="R525" s="2" t="inlineStr"/>
    </row>
    <row r="526" ht="15" customHeight="1">
      <c r="A526" t="inlineStr">
        <is>
          <t>A 32283-2025</t>
        </is>
      </c>
      <c r="B526" s="1" t="n">
        <v>45835.68076388889</v>
      </c>
      <c r="C526" s="1" t="n">
        <v>46159</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45697-2025</t>
        </is>
      </c>
      <c r="B527" s="1" t="n">
        <v>45923.39877314815</v>
      </c>
      <c r="C527" s="1" t="n">
        <v>46159</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32122-2025</t>
        </is>
      </c>
      <c r="B528" s="1" t="n">
        <v>45835.4928125</v>
      </c>
      <c r="C528" s="1" t="n">
        <v>46159</v>
      </c>
      <c r="D528" t="inlineStr">
        <is>
          <t>STOCKHOLMS LÄN</t>
        </is>
      </c>
      <c r="E528" t="inlineStr">
        <is>
          <t>NORRTÄLJE</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3933-2026</t>
        </is>
      </c>
      <c r="B529" s="1" t="n">
        <v>46043.79916666666</v>
      </c>
      <c r="C529" s="1" t="n">
        <v>46159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35256-2025</t>
        </is>
      </c>
      <c r="B530" s="1" t="n">
        <v>45853</v>
      </c>
      <c r="C530" s="1" t="n">
        <v>46159</v>
      </c>
      <c r="D530" t="inlineStr">
        <is>
          <t>STOCKHOLMS LÄN</t>
        </is>
      </c>
      <c r="E530" t="inlineStr">
        <is>
          <t>NORRTÄLJE</t>
        </is>
      </c>
      <c r="G530" t="n">
        <v>6.4</v>
      </c>
      <c r="H530" t="n">
        <v>0</v>
      </c>
      <c r="I530" t="n">
        <v>0</v>
      </c>
      <c r="J530" t="n">
        <v>0</v>
      </c>
      <c r="K530" t="n">
        <v>0</v>
      </c>
      <c r="L530" t="n">
        <v>0</v>
      </c>
      <c r="M530" t="n">
        <v>0</v>
      </c>
      <c r="N530" t="n">
        <v>0</v>
      </c>
      <c r="O530" t="n">
        <v>0</v>
      </c>
      <c r="P530" t="n">
        <v>0</v>
      </c>
      <c r="Q530" t="n">
        <v>0</v>
      </c>
      <c r="R530" s="2" t="inlineStr"/>
    </row>
    <row r="531" ht="15" customHeight="1">
      <c r="A531" t="inlineStr">
        <is>
          <t>A 4549-2026</t>
        </is>
      </c>
      <c r="B531" s="1" t="n">
        <v>46047</v>
      </c>
      <c r="C531" s="1" t="n">
        <v>46159</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4886-2026</t>
        </is>
      </c>
      <c r="B532" s="1" t="n">
        <v>46048.66328703704</v>
      </c>
      <c r="C532" s="1" t="n">
        <v>46159</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4230-2026</t>
        </is>
      </c>
      <c r="B533" s="1" t="n">
        <v>46044.89366898148</v>
      </c>
      <c r="C533" s="1" t="n">
        <v>46159</v>
      </c>
      <c r="D533" t="inlineStr">
        <is>
          <t>STOCKHOLMS LÄN</t>
        </is>
      </c>
      <c r="E533" t="inlineStr">
        <is>
          <t>NORRTÄLJE</t>
        </is>
      </c>
      <c r="G533" t="n">
        <v>10.8</v>
      </c>
      <c r="H533" t="n">
        <v>0</v>
      </c>
      <c r="I533" t="n">
        <v>0</v>
      </c>
      <c r="J533" t="n">
        <v>0</v>
      </c>
      <c r="K533" t="n">
        <v>0</v>
      </c>
      <c r="L533" t="n">
        <v>0</v>
      </c>
      <c r="M533" t="n">
        <v>0</v>
      </c>
      <c r="N533" t="n">
        <v>0</v>
      </c>
      <c r="O533" t="n">
        <v>0</v>
      </c>
      <c r="P533" t="n">
        <v>0</v>
      </c>
      <c r="Q533" t="n">
        <v>0</v>
      </c>
      <c r="R533" s="2" t="inlineStr"/>
    </row>
    <row r="534" ht="15" customHeight="1">
      <c r="A534" t="inlineStr">
        <is>
          <t>A 4232-2026</t>
        </is>
      </c>
      <c r="B534" s="1" t="n">
        <v>46044.89594907407</v>
      </c>
      <c r="C534" s="1" t="n">
        <v>46159</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32094-2025</t>
        </is>
      </c>
      <c r="B535" s="1" t="n">
        <v>45835.46034722222</v>
      </c>
      <c r="C535" s="1" t="n">
        <v>46159</v>
      </c>
      <c r="D535" t="inlineStr">
        <is>
          <t>STOCKHOLMS LÄN</t>
        </is>
      </c>
      <c r="E535" t="inlineStr">
        <is>
          <t>NORRTÄLJE</t>
        </is>
      </c>
      <c r="F535" t="inlineStr">
        <is>
          <t>Holmen skog AB</t>
        </is>
      </c>
      <c r="G535" t="n">
        <v>2.9</v>
      </c>
      <c r="H535" t="n">
        <v>0</v>
      </c>
      <c r="I535" t="n">
        <v>0</v>
      </c>
      <c r="J535" t="n">
        <v>0</v>
      </c>
      <c r="K535" t="n">
        <v>0</v>
      </c>
      <c r="L535" t="n">
        <v>0</v>
      </c>
      <c r="M535" t="n">
        <v>0</v>
      </c>
      <c r="N535" t="n">
        <v>0</v>
      </c>
      <c r="O535" t="n">
        <v>0</v>
      </c>
      <c r="P535" t="n">
        <v>0</v>
      </c>
      <c r="Q535" t="n">
        <v>0</v>
      </c>
      <c r="R535" s="2" t="inlineStr"/>
    </row>
    <row r="536" ht="15" customHeight="1">
      <c r="A536" t="inlineStr">
        <is>
          <t>A 5241-2026</t>
        </is>
      </c>
      <c r="B536" s="1" t="n">
        <v>46049.86471064815</v>
      </c>
      <c r="C536" s="1" t="n">
        <v>46159</v>
      </c>
      <c r="D536" t="inlineStr">
        <is>
          <t>STOCKHOLMS LÄN</t>
        </is>
      </c>
      <c r="E536" t="inlineStr">
        <is>
          <t>NORRTÄLJE</t>
        </is>
      </c>
      <c r="G536" t="n">
        <v>1.3</v>
      </c>
      <c r="H536" t="n">
        <v>0</v>
      </c>
      <c r="I536" t="n">
        <v>0</v>
      </c>
      <c r="J536" t="n">
        <v>0</v>
      </c>
      <c r="K536" t="n">
        <v>0</v>
      </c>
      <c r="L536" t="n">
        <v>0</v>
      </c>
      <c r="M536" t="n">
        <v>0</v>
      </c>
      <c r="N536" t="n">
        <v>0</v>
      </c>
      <c r="O536" t="n">
        <v>0</v>
      </c>
      <c r="P536" t="n">
        <v>0</v>
      </c>
      <c r="Q536" t="n">
        <v>0</v>
      </c>
      <c r="R536" s="2" t="inlineStr"/>
    </row>
    <row r="537" ht="15" customHeight="1">
      <c r="A537" t="inlineStr">
        <is>
          <t>A 5224-2026</t>
        </is>
      </c>
      <c r="B537" s="1" t="n">
        <v>46049.79521990741</v>
      </c>
      <c r="C537" s="1" t="n">
        <v>46159</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5227-2026</t>
        </is>
      </c>
      <c r="B538" s="1" t="n">
        <v>46049.80460648148</v>
      </c>
      <c r="C538" s="1" t="n">
        <v>46159</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5226-2026</t>
        </is>
      </c>
      <c r="B539" s="1" t="n">
        <v>46049.79961805556</v>
      </c>
      <c r="C539" s="1" t="n">
        <v>46159</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32016-2025</t>
        </is>
      </c>
      <c r="B540" s="1" t="n">
        <v>45835</v>
      </c>
      <c r="C540" s="1" t="n">
        <v>46159</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32396-2025</t>
        </is>
      </c>
      <c r="B541" s="1" t="n">
        <v>45837</v>
      </c>
      <c r="C541" s="1" t="n">
        <v>46159</v>
      </c>
      <c r="D541" t="inlineStr">
        <is>
          <t>STOCKHOLMS LÄN</t>
        </is>
      </c>
      <c r="E541" t="inlineStr">
        <is>
          <t>NORRTÄLJE</t>
        </is>
      </c>
      <c r="G541" t="n">
        <v>2</v>
      </c>
      <c r="H541" t="n">
        <v>0</v>
      </c>
      <c r="I541" t="n">
        <v>0</v>
      </c>
      <c r="J541" t="n">
        <v>0</v>
      </c>
      <c r="K541" t="n">
        <v>0</v>
      </c>
      <c r="L541" t="n">
        <v>0</v>
      </c>
      <c r="M541" t="n">
        <v>0</v>
      </c>
      <c r="N541" t="n">
        <v>0</v>
      </c>
      <c r="O541" t="n">
        <v>0</v>
      </c>
      <c r="P541" t="n">
        <v>0</v>
      </c>
      <c r="Q541" t="n">
        <v>0</v>
      </c>
      <c r="R541" s="2" t="inlineStr"/>
    </row>
    <row r="542" ht="15" customHeight="1">
      <c r="A542" t="inlineStr">
        <is>
          <t>A 32397-2025</t>
        </is>
      </c>
      <c r="B542" s="1" t="n">
        <v>45837.94081018519</v>
      </c>
      <c r="C542" s="1" t="n">
        <v>46159</v>
      </c>
      <c r="D542" t="inlineStr">
        <is>
          <t>STOCKHOLMS LÄN</t>
        </is>
      </c>
      <c r="E542" t="inlineStr">
        <is>
          <t>NORRTÄLJE</t>
        </is>
      </c>
      <c r="G542" t="n">
        <v>5.9</v>
      </c>
      <c r="H542" t="n">
        <v>0</v>
      </c>
      <c r="I542" t="n">
        <v>0</v>
      </c>
      <c r="J542" t="n">
        <v>0</v>
      </c>
      <c r="K542" t="n">
        <v>0</v>
      </c>
      <c r="L542" t="n">
        <v>0</v>
      </c>
      <c r="M542" t="n">
        <v>0</v>
      </c>
      <c r="N542" t="n">
        <v>0</v>
      </c>
      <c r="O542" t="n">
        <v>0</v>
      </c>
      <c r="P542" t="n">
        <v>0</v>
      </c>
      <c r="Q542" t="n">
        <v>0</v>
      </c>
      <c r="R542" s="2" t="inlineStr"/>
    </row>
    <row r="543" ht="15" customHeight="1">
      <c r="A543" t="inlineStr">
        <is>
          <t>A 32480-2025</t>
        </is>
      </c>
      <c r="B543" s="1" t="n">
        <v>45838.43261574074</v>
      </c>
      <c r="C543" s="1" t="n">
        <v>46159</v>
      </c>
      <c r="D543" t="inlineStr">
        <is>
          <t>STOCKHOLMS LÄN</t>
        </is>
      </c>
      <c r="E543" t="inlineStr">
        <is>
          <t>NORRTÄLJE</t>
        </is>
      </c>
      <c r="F543" t="inlineStr">
        <is>
          <t>Holmen skog AB</t>
        </is>
      </c>
      <c r="G543" t="n">
        <v>0.7</v>
      </c>
      <c r="H543" t="n">
        <v>0</v>
      </c>
      <c r="I543" t="n">
        <v>0</v>
      </c>
      <c r="J543" t="n">
        <v>0</v>
      </c>
      <c r="K543" t="n">
        <v>0</v>
      </c>
      <c r="L543" t="n">
        <v>0</v>
      </c>
      <c r="M543" t="n">
        <v>0</v>
      </c>
      <c r="N543" t="n">
        <v>0</v>
      </c>
      <c r="O543" t="n">
        <v>0</v>
      </c>
      <c r="P543" t="n">
        <v>0</v>
      </c>
      <c r="Q543" t="n">
        <v>0</v>
      </c>
      <c r="R543" s="2" t="inlineStr"/>
    </row>
    <row r="544" ht="15" customHeight="1">
      <c r="A544" t="inlineStr">
        <is>
          <t>A 14127-2025</t>
        </is>
      </c>
      <c r="B544" s="1" t="n">
        <v>45740.47055555556</v>
      </c>
      <c r="C544" s="1" t="n">
        <v>46159</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46159</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31559-2022</t>
        </is>
      </c>
      <c r="B546" s="1" t="n">
        <v>44775</v>
      </c>
      <c r="C546" s="1" t="n">
        <v>46159</v>
      </c>
      <c r="D546" t="inlineStr">
        <is>
          <t>STOCKHOLMS LÄN</t>
        </is>
      </c>
      <c r="E546" t="inlineStr">
        <is>
          <t>NORRTÄLJE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52001-2023</t>
        </is>
      </c>
      <c r="B547" s="1" t="n">
        <v>45223</v>
      </c>
      <c r="C547" s="1" t="n">
        <v>46159</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32395-2025</t>
        </is>
      </c>
      <c r="B548" s="1" t="n">
        <v>45837.93730324074</v>
      </c>
      <c r="C548" s="1" t="n">
        <v>46159</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33211-2025</t>
        </is>
      </c>
      <c r="B549" s="1" t="n">
        <v>45840.62755787037</v>
      </c>
      <c r="C549" s="1" t="n">
        <v>46159</v>
      </c>
      <c r="D549" t="inlineStr">
        <is>
          <t>STOCKHOLMS LÄN</t>
        </is>
      </c>
      <c r="E549" t="inlineStr">
        <is>
          <t>NORRTÄLJE</t>
        </is>
      </c>
      <c r="G549" t="n">
        <v>5.1</v>
      </c>
      <c r="H549" t="n">
        <v>0</v>
      </c>
      <c r="I549" t="n">
        <v>0</v>
      </c>
      <c r="J549" t="n">
        <v>0</v>
      </c>
      <c r="K549" t="n">
        <v>0</v>
      </c>
      <c r="L549" t="n">
        <v>0</v>
      </c>
      <c r="M549" t="n">
        <v>0</v>
      </c>
      <c r="N549" t="n">
        <v>0</v>
      </c>
      <c r="O549" t="n">
        <v>0</v>
      </c>
      <c r="P549" t="n">
        <v>0</v>
      </c>
      <c r="Q549" t="n">
        <v>0</v>
      </c>
      <c r="R549" s="2" t="inlineStr"/>
    </row>
    <row r="550" ht="15" customHeight="1">
      <c r="A550" t="inlineStr">
        <is>
          <t>A 32903-2025</t>
        </is>
      </c>
      <c r="B550" s="1" t="n">
        <v>45839.62398148148</v>
      </c>
      <c r="C550" s="1" t="n">
        <v>46159</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33265-2025</t>
        </is>
      </c>
      <c r="B551" s="1" t="n">
        <v>45840.67829861111</v>
      </c>
      <c r="C551" s="1" t="n">
        <v>46159</v>
      </c>
      <c r="D551" t="inlineStr">
        <is>
          <t>STOCKHOLMS LÄN</t>
        </is>
      </c>
      <c r="E551" t="inlineStr">
        <is>
          <t>NORRTÄLJE</t>
        </is>
      </c>
      <c r="G551" t="n">
        <v>5.5</v>
      </c>
      <c r="H551" t="n">
        <v>0</v>
      </c>
      <c r="I551" t="n">
        <v>0</v>
      </c>
      <c r="J551" t="n">
        <v>0</v>
      </c>
      <c r="K551" t="n">
        <v>0</v>
      </c>
      <c r="L551" t="n">
        <v>0</v>
      </c>
      <c r="M551" t="n">
        <v>0</v>
      </c>
      <c r="N551" t="n">
        <v>0</v>
      </c>
      <c r="O551" t="n">
        <v>0</v>
      </c>
      <c r="P551" t="n">
        <v>0</v>
      </c>
      <c r="Q551" t="n">
        <v>0</v>
      </c>
      <c r="R551" s="2" t="inlineStr"/>
    </row>
    <row r="552" ht="15" customHeight="1">
      <c r="A552" t="inlineStr">
        <is>
          <t>A 32872-2025</t>
        </is>
      </c>
      <c r="B552" s="1" t="n">
        <v>45839</v>
      </c>
      <c r="C552" s="1" t="n">
        <v>46159</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5934-2026</t>
        </is>
      </c>
      <c r="B553" s="1" t="n">
        <v>46052.47082175926</v>
      </c>
      <c r="C553" s="1" t="n">
        <v>46159</v>
      </c>
      <c r="D553" t="inlineStr">
        <is>
          <t>STOCKHOLMS LÄN</t>
        </is>
      </c>
      <c r="E553" t="inlineStr">
        <is>
          <t>NORRTÄLJE</t>
        </is>
      </c>
      <c r="F553" t="inlineStr">
        <is>
          <t>Holmen skog AB</t>
        </is>
      </c>
      <c r="G553" t="n">
        <v>5.5</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46159</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46159</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33702-2025</t>
        </is>
      </c>
      <c r="B556" s="1" t="n">
        <v>45841.74596064815</v>
      </c>
      <c r="C556" s="1" t="n">
        <v>46159</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33336-2025</t>
        </is>
      </c>
      <c r="B557" s="1" t="n">
        <v>45841.35611111111</v>
      </c>
      <c r="C557" s="1" t="n">
        <v>46159</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19580-2022</t>
        </is>
      </c>
      <c r="B558" s="1" t="n">
        <v>44693</v>
      </c>
      <c r="C558" s="1" t="n">
        <v>46159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46900-2025</t>
        </is>
      </c>
      <c r="B559" s="1" t="n">
        <v>45929.38712962963</v>
      </c>
      <c r="C559" s="1" t="n">
        <v>46159</v>
      </c>
      <c r="D559" t="inlineStr">
        <is>
          <t>STOCKHOLMS LÄN</t>
        </is>
      </c>
      <c r="E559" t="inlineStr">
        <is>
          <t>NORRTÄLJE</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33552-2025</t>
        </is>
      </c>
      <c r="B560" s="1" t="n">
        <v>45841.5737962963</v>
      </c>
      <c r="C560" s="1" t="n">
        <v>46159</v>
      </c>
      <c r="D560" t="inlineStr">
        <is>
          <t>STOCKHOLMS LÄN</t>
        </is>
      </c>
      <c r="E560" t="inlineStr">
        <is>
          <t>NORRTÄLJE</t>
        </is>
      </c>
      <c r="G560" t="n">
        <v>8.9</v>
      </c>
      <c r="H560" t="n">
        <v>0</v>
      </c>
      <c r="I560" t="n">
        <v>0</v>
      </c>
      <c r="J560" t="n">
        <v>0</v>
      </c>
      <c r="K560" t="n">
        <v>0</v>
      </c>
      <c r="L560" t="n">
        <v>0</v>
      </c>
      <c r="M560" t="n">
        <v>0</v>
      </c>
      <c r="N560" t="n">
        <v>0</v>
      </c>
      <c r="O560" t="n">
        <v>0</v>
      </c>
      <c r="P560" t="n">
        <v>0</v>
      </c>
      <c r="Q560" t="n">
        <v>0</v>
      </c>
      <c r="R560" s="2" t="inlineStr"/>
    </row>
    <row r="561" ht="15" customHeight="1">
      <c r="A561" t="inlineStr">
        <is>
          <t>A 5823-2023</t>
        </is>
      </c>
      <c r="B561" s="1" t="n">
        <v>44963</v>
      </c>
      <c r="C561" s="1" t="n">
        <v>46159</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30731-2023</t>
        </is>
      </c>
      <c r="B562" s="1" t="n">
        <v>45112</v>
      </c>
      <c r="C562" s="1" t="n">
        <v>46159</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33824-2025</t>
        </is>
      </c>
      <c r="B563" s="1" t="n">
        <v>45842.46885416667</v>
      </c>
      <c r="C563" s="1" t="n">
        <v>46159</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46159</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39610-2025</t>
        </is>
      </c>
      <c r="B565" s="1" t="n">
        <v>45890</v>
      </c>
      <c r="C565" s="1" t="n">
        <v>46159</v>
      </c>
      <c r="D565" t="inlineStr">
        <is>
          <t>STOCKHOLMS LÄN</t>
        </is>
      </c>
      <c r="E565" t="inlineStr">
        <is>
          <t>NORRTÄLJE</t>
        </is>
      </c>
      <c r="G565" t="n">
        <v>28.6</v>
      </c>
      <c r="H565" t="n">
        <v>0</v>
      </c>
      <c r="I565" t="n">
        <v>0</v>
      </c>
      <c r="J565" t="n">
        <v>0</v>
      </c>
      <c r="K565" t="n">
        <v>0</v>
      </c>
      <c r="L565" t="n">
        <v>0</v>
      </c>
      <c r="M565" t="n">
        <v>0</v>
      </c>
      <c r="N565" t="n">
        <v>0</v>
      </c>
      <c r="O565" t="n">
        <v>0</v>
      </c>
      <c r="P565" t="n">
        <v>0</v>
      </c>
      <c r="Q565" t="n">
        <v>0</v>
      </c>
      <c r="R565" s="2" t="inlineStr"/>
    </row>
    <row r="566" ht="15" customHeight="1">
      <c r="A566" t="inlineStr">
        <is>
          <t>A 47496-2025</t>
        </is>
      </c>
      <c r="B566" s="1" t="n">
        <v>45930.79252314815</v>
      </c>
      <c r="C566" s="1" t="n">
        <v>46159</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47497-2025</t>
        </is>
      </c>
      <c r="B567" s="1" t="n">
        <v>45930.80217592593</v>
      </c>
      <c r="C567" s="1" t="n">
        <v>46159</v>
      </c>
      <c r="D567" t="inlineStr">
        <is>
          <t>STOCKHOLMS LÄN</t>
        </is>
      </c>
      <c r="E567" t="inlineStr">
        <is>
          <t>NORRTÄLJE</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51653-2022</t>
        </is>
      </c>
      <c r="B568" s="1" t="n">
        <v>44867</v>
      </c>
      <c r="C568" s="1" t="n">
        <v>46159</v>
      </c>
      <c r="D568" t="inlineStr">
        <is>
          <t>STOCKHOLMS LÄN</t>
        </is>
      </c>
      <c r="E568" t="inlineStr">
        <is>
          <t>NORRTÄLJE</t>
        </is>
      </c>
      <c r="G568" t="n">
        <v>6.6</v>
      </c>
      <c r="H568" t="n">
        <v>0</v>
      </c>
      <c r="I568" t="n">
        <v>0</v>
      </c>
      <c r="J568" t="n">
        <v>0</v>
      </c>
      <c r="K568" t="n">
        <v>0</v>
      </c>
      <c r="L568" t="n">
        <v>0</v>
      </c>
      <c r="M568" t="n">
        <v>0</v>
      </c>
      <c r="N568" t="n">
        <v>0</v>
      </c>
      <c r="O568" t="n">
        <v>0</v>
      </c>
      <c r="P568" t="n">
        <v>0</v>
      </c>
      <c r="Q568" t="n">
        <v>0</v>
      </c>
      <c r="R568" s="2" t="inlineStr"/>
    </row>
    <row r="569" ht="15" customHeight="1">
      <c r="A569" t="inlineStr">
        <is>
          <t>A 46073-2024</t>
        </is>
      </c>
      <c r="B569" s="1" t="n">
        <v>45581</v>
      </c>
      <c r="C569" s="1" t="n">
        <v>46159</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32103-2022</t>
        </is>
      </c>
      <c r="B570" s="1" t="n">
        <v>44778</v>
      </c>
      <c r="C570" s="1" t="n">
        <v>46159</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46159</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6701-2026</t>
        </is>
      </c>
      <c r="B572" s="1" t="n">
        <v>46056</v>
      </c>
      <c r="C572" s="1" t="n">
        <v>46159</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23070-2023</t>
        </is>
      </c>
      <c r="B573" s="1" t="n">
        <v>45075</v>
      </c>
      <c r="C573" s="1" t="n">
        <v>46159</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36689-2023</t>
        </is>
      </c>
      <c r="B574" s="1" t="n">
        <v>45152</v>
      </c>
      <c r="C574" s="1" t="n">
        <v>46159</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48718-2025</t>
        </is>
      </c>
      <c r="B575" s="1" t="n">
        <v>45936</v>
      </c>
      <c r="C575" s="1" t="n">
        <v>46159</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34139-2025</t>
        </is>
      </c>
      <c r="B576" s="1" t="n">
        <v>45845</v>
      </c>
      <c r="C576" s="1" t="n">
        <v>46159</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34006-2025</t>
        </is>
      </c>
      <c r="B577" s="1" t="n">
        <v>45844.62609953704</v>
      </c>
      <c r="C577" s="1" t="n">
        <v>46159</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8792-2025</t>
        </is>
      </c>
      <c r="B578" s="1" t="n">
        <v>45712</v>
      </c>
      <c r="C578" s="1" t="n">
        <v>46159</v>
      </c>
      <c r="D578" t="inlineStr">
        <is>
          <t>STOCKHOLMS LÄN</t>
        </is>
      </c>
      <c r="E578" t="inlineStr">
        <is>
          <t>NORRTÄLJE</t>
        </is>
      </c>
      <c r="F578" t="inlineStr">
        <is>
          <t>Övriga Aktiebolag</t>
        </is>
      </c>
      <c r="G578" t="n">
        <v>6.6</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46159</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46159</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7571-2024</t>
        </is>
      </c>
      <c r="B581" s="1" t="n">
        <v>45348.46300925926</v>
      </c>
      <c r="C581" s="1" t="n">
        <v>46159</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36269-2022</t>
        </is>
      </c>
      <c r="B582" s="1" t="n">
        <v>44803</v>
      </c>
      <c r="C582" s="1" t="n">
        <v>46159</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46159</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34010-2025</t>
        </is>
      </c>
      <c r="B584" s="1" t="n">
        <v>45844.91234953704</v>
      </c>
      <c r="C584" s="1" t="n">
        <v>46159</v>
      </c>
      <c r="D584" t="inlineStr">
        <is>
          <t>STOCKHOLMS LÄN</t>
        </is>
      </c>
      <c r="E584" t="inlineStr">
        <is>
          <t>NORRTÄLJE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48127-2025</t>
        </is>
      </c>
      <c r="B585" s="1" t="n">
        <v>45933.36621527778</v>
      </c>
      <c r="C585" s="1" t="n">
        <v>46159</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48364-2025</t>
        </is>
      </c>
      <c r="B586" s="1" t="n">
        <v>45933.66796296297</v>
      </c>
      <c r="C586" s="1" t="n">
        <v>46159</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48179-2025</t>
        </is>
      </c>
      <c r="B587" s="1" t="n">
        <v>45933.44907407407</v>
      </c>
      <c r="C587" s="1" t="n">
        <v>46159</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5665-2025</t>
        </is>
      </c>
      <c r="B588" s="1" t="n">
        <v>45693</v>
      </c>
      <c r="C588" s="1" t="n">
        <v>46159</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12407-2025</t>
        </is>
      </c>
      <c r="B589" s="1" t="n">
        <v>45730.42851851852</v>
      </c>
      <c r="C589" s="1" t="n">
        <v>46159</v>
      </c>
      <c r="D589" t="inlineStr">
        <is>
          <t>STOCKHOLMS LÄN</t>
        </is>
      </c>
      <c r="E589" t="inlineStr">
        <is>
          <t>NORRTÄLJE</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26636-2023</t>
        </is>
      </c>
      <c r="B590" s="1" t="n">
        <v>45092</v>
      </c>
      <c r="C590" s="1" t="n">
        <v>46159</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26637-2023</t>
        </is>
      </c>
      <c r="B591" s="1" t="n">
        <v>45092</v>
      </c>
      <c r="C591" s="1" t="n">
        <v>46159</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46159</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23266-2023</t>
        </is>
      </c>
      <c r="B593" s="1" t="n">
        <v>45075.90817129629</v>
      </c>
      <c r="C593" s="1" t="n">
        <v>46159</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48593-2025</t>
        </is>
      </c>
      <c r="B594" s="1" t="n">
        <v>45936.4627662037</v>
      </c>
      <c r="C594" s="1" t="n">
        <v>46159</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35161-2022</t>
        </is>
      </c>
      <c r="B595" s="1" t="n">
        <v>44797</v>
      </c>
      <c r="C595" s="1" t="n">
        <v>46159</v>
      </c>
      <c r="D595" t="inlineStr">
        <is>
          <t>STOCKHOLMS LÄN</t>
        </is>
      </c>
      <c r="E595" t="inlineStr">
        <is>
          <t>NORRTÄLJE</t>
        </is>
      </c>
      <c r="G595" t="n">
        <v>6</v>
      </c>
      <c r="H595" t="n">
        <v>0</v>
      </c>
      <c r="I595" t="n">
        <v>0</v>
      </c>
      <c r="J595" t="n">
        <v>0</v>
      </c>
      <c r="K595" t="n">
        <v>0</v>
      </c>
      <c r="L595" t="n">
        <v>0</v>
      </c>
      <c r="M595" t="n">
        <v>0</v>
      </c>
      <c r="N595" t="n">
        <v>0</v>
      </c>
      <c r="O595" t="n">
        <v>0</v>
      </c>
      <c r="P595" t="n">
        <v>0</v>
      </c>
      <c r="Q595" t="n">
        <v>0</v>
      </c>
      <c r="R595" s="2" t="inlineStr"/>
    </row>
    <row r="596" ht="15" customHeight="1">
      <c r="A596" t="inlineStr">
        <is>
          <t>A 49129-2025</t>
        </is>
      </c>
      <c r="B596" s="1" t="n">
        <v>45937.89517361111</v>
      </c>
      <c r="C596" s="1" t="n">
        <v>46159</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48780-2025</t>
        </is>
      </c>
      <c r="B597" s="1" t="n">
        <v>45937.30377314815</v>
      </c>
      <c r="C597" s="1" t="n">
        <v>46159</v>
      </c>
      <c r="D597" t="inlineStr">
        <is>
          <t>STOCKHOLMS LÄN</t>
        </is>
      </c>
      <c r="E597" t="inlineStr">
        <is>
          <t>NORRTÄLJE</t>
        </is>
      </c>
      <c r="G597" t="n">
        <v>7.7</v>
      </c>
      <c r="H597" t="n">
        <v>0</v>
      </c>
      <c r="I597" t="n">
        <v>0</v>
      </c>
      <c r="J597" t="n">
        <v>0</v>
      </c>
      <c r="K597" t="n">
        <v>0</v>
      </c>
      <c r="L597" t="n">
        <v>0</v>
      </c>
      <c r="M597" t="n">
        <v>0</v>
      </c>
      <c r="N597" t="n">
        <v>0</v>
      </c>
      <c r="O597" t="n">
        <v>0</v>
      </c>
      <c r="P597" t="n">
        <v>0</v>
      </c>
      <c r="Q597" t="n">
        <v>0</v>
      </c>
      <c r="R597" s="2" t="inlineStr"/>
    </row>
    <row r="598" ht="15" customHeight="1">
      <c r="A598" t="inlineStr">
        <is>
          <t>A 35110-2025</t>
        </is>
      </c>
      <c r="B598" s="1" t="n">
        <v>45852.58030092593</v>
      </c>
      <c r="C598" s="1" t="n">
        <v>46159</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58863-2024</t>
        </is>
      </c>
      <c r="B599" s="1" t="n">
        <v>45636.41572916666</v>
      </c>
      <c r="C599" s="1" t="n">
        <v>46159</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15447-2023</t>
        </is>
      </c>
      <c r="B600" s="1" t="n">
        <v>45020</v>
      </c>
      <c r="C600" s="1" t="n">
        <v>46159</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34391-2023</t>
        </is>
      </c>
      <c r="B601" s="1" t="n">
        <v>45139.51457175926</v>
      </c>
      <c r="C601" s="1" t="n">
        <v>46159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35254-2025</t>
        </is>
      </c>
      <c r="B602" s="1" t="n">
        <v>45853</v>
      </c>
      <c r="C602" s="1" t="n">
        <v>46159</v>
      </c>
      <c r="D602" t="inlineStr">
        <is>
          <t>STOCKHOLMS LÄN</t>
        </is>
      </c>
      <c r="E602" t="inlineStr">
        <is>
          <t>NORRTÄLJE</t>
        </is>
      </c>
      <c r="G602" t="n">
        <v>6.5</v>
      </c>
      <c r="H602" t="n">
        <v>0</v>
      </c>
      <c r="I602" t="n">
        <v>0</v>
      </c>
      <c r="J602" t="n">
        <v>0</v>
      </c>
      <c r="K602" t="n">
        <v>0</v>
      </c>
      <c r="L602" t="n">
        <v>0</v>
      </c>
      <c r="M602" t="n">
        <v>0</v>
      </c>
      <c r="N602" t="n">
        <v>0</v>
      </c>
      <c r="O602" t="n">
        <v>0</v>
      </c>
      <c r="P602" t="n">
        <v>0</v>
      </c>
      <c r="Q602" t="n">
        <v>0</v>
      </c>
      <c r="R602" s="2" t="inlineStr"/>
    </row>
    <row r="603" ht="15" customHeight="1">
      <c r="A603" t="inlineStr">
        <is>
          <t>A 49836-2025</t>
        </is>
      </c>
      <c r="B603" s="1" t="n">
        <v>45940.46862268518</v>
      </c>
      <c r="C603" s="1" t="n">
        <v>46159</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53312-2024</t>
        </is>
      </c>
      <c r="B604" s="1" t="n">
        <v>45614.39627314815</v>
      </c>
      <c r="C604" s="1" t="n">
        <v>46159</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6724-2026</t>
        </is>
      </c>
      <c r="B605" s="1" t="n">
        <v>46056.67717592593</v>
      </c>
      <c r="C605" s="1" t="n">
        <v>46159</v>
      </c>
      <c r="D605" t="inlineStr">
        <is>
          <t>STOCKHOLMS LÄN</t>
        </is>
      </c>
      <c r="E605" t="inlineStr">
        <is>
          <t>NORRTÄLJE</t>
        </is>
      </c>
      <c r="F605" t="inlineStr">
        <is>
          <t>Holmen skog AB</t>
        </is>
      </c>
      <c r="G605" t="n">
        <v>16.2</v>
      </c>
      <c r="H605" t="n">
        <v>0</v>
      </c>
      <c r="I605" t="n">
        <v>0</v>
      </c>
      <c r="J605" t="n">
        <v>0</v>
      </c>
      <c r="K605" t="n">
        <v>0</v>
      </c>
      <c r="L605" t="n">
        <v>0</v>
      </c>
      <c r="M605" t="n">
        <v>0</v>
      </c>
      <c r="N605" t="n">
        <v>0</v>
      </c>
      <c r="O605" t="n">
        <v>0</v>
      </c>
      <c r="P605" t="n">
        <v>0</v>
      </c>
      <c r="Q605" t="n">
        <v>0</v>
      </c>
      <c r="R605" s="2" t="inlineStr"/>
    </row>
    <row r="606" ht="15" customHeight="1">
      <c r="A606" t="inlineStr">
        <is>
          <t>A 35479-2025</t>
        </is>
      </c>
      <c r="B606" s="1" t="n">
        <v>45855.69387731481</v>
      </c>
      <c r="C606" s="1" t="n">
        <v>46159</v>
      </c>
      <c r="D606" t="inlineStr">
        <is>
          <t>STOCKHOLMS LÄN</t>
        </is>
      </c>
      <c r="E606" t="inlineStr">
        <is>
          <t>NORRTÄLJE</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35451-2025</t>
        </is>
      </c>
      <c r="B607" s="1" t="n">
        <v>45855.57033564815</v>
      </c>
      <c r="C607" s="1" t="n">
        <v>46159</v>
      </c>
      <c r="D607" t="inlineStr">
        <is>
          <t>STOCKHOLMS LÄN</t>
        </is>
      </c>
      <c r="E607" t="inlineStr">
        <is>
          <t>NORRTÄLJE</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35478-2025</t>
        </is>
      </c>
      <c r="B608" s="1" t="n">
        <v>45855.68413194444</v>
      </c>
      <c r="C608" s="1" t="n">
        <v>46159</v>
      </c>
      <c r="D608" t="inlineStr">
        <is>
          <t>STOCKHOLMS LÄN</t>
        </is>
      </c>
      <c r="E608" t="inlineStr">
        <is>
          <t>NORRTÄLJE</t>
        </is>
      </c>
      <c r="F608" t="inlineStr">
        <is>
          <t>Holmen skog AB</t>
        </is>
      </c>
      <c r="G608" t="n">
        <v>2.7</v>
      </c>
      <c r="H608" t="n">
        <v>0</v>
      </c>
      <c r="I608" t="n">
        <v>0</v>
      </c>
      <c r="J608" t="n">
        <v>0</v>
      </c>
      <c r="K608" t="n">
        <v>0</v>
      </c>
      <c r="L608" t="n">
        <v>0</v>
      </c>
      <c r="M608" t="n">
        <v>0</v>
      </c>
      <c r="N608" t="n">
        <v>0</v>
      </c>
      <c r="O608" t="n">
        <v>0</v>
      </c>
      <c r="P608" t="n">
        <v>0</v>
      </c>
      <c r="Q608" t="n">
        <v>0</v>
      </c>
      <c r="R608" s="2" t="inlineStr"/>
    </row>
    <row r="609" ht="15" customHeight="1">
      <c r="A609" t="inlineStr">
        <is>
          <t>A 21158-2022</t>
        </is>
      </c>
      <c r="B609" s="1" t="n">
        <v>44704</v>
      </c>
      <c r="C609" s="1" t="n">
        <v>46159</v>
      </c>
      <c r="D609" t="inlineStr">
        <is>
          <t>STOCKHOLMS LÄN</t>
        </is>
      </c>
      <c r="E609" t="inlineStr">
        <is>
          <t>NORRTÄLJE</t>
        </is>
      </c>
      <c r="G609" t="n">
        <v>17.8</v>
      </c>
      <c r="H609" t="n">
        <v>0</v>
      </c>
      <c r="I609" t="n">
        <v>0</v>
      </c>
      <c r="J609" t="n">
        <v>0</v>
      </c>
      <c r="K609" t="n">
        <v>0</v>
      </c>
      <c r="L609" t="n">
        <v>0</v>
      </c>
      <c r="M609" t="n">
        <v>0</v>
      </c>
      <c r="N609" t="n">
        <v>0</v>
      </c>
      <c r="O609" t="n">
        <v>0</v>
      </c>
      <c r="P609" t="n">
        <v>0</v>
      </c>
      <c r="Q609" t="n">
        <v>0</v>
      </c>
      <c r="R609" s="2" t="inlineStr"/>
    </row>
    <row r="610" ht="15" customHeight="1">
      <c r="A610" t="inlineStr">
        <is>
          <t>A 15915-2023</t>
        </is>
      </c>
      <c r="B610" s="1" t="n">
        <v>45022</v>
      </c>
      <c r="C610" s="1" t="n">
        <v>46159</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46159</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39905-2023</t>
        </is>
      </c>
      <c r="B612" s="1" t="n">
        <v>45168.44489583333</v>
      </c>
      <c r="C612" s="1" t="n">
        <v>46159</v>
      </c>
      <c r="D612" t="inlineStr">
        <is>
          <t>STOCKHOLMS LÄN</t>
        </is>
      </c>
      <c r="E612" t="inlineStr">
        <is>
          <t>NORRTÄLJE</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33793-2022</t>
        </is>
      </c>
      <c r="B613" s="1" t="n">
        <v>44790</v>
      </c>
      <c r="C613" s="1" t="n">
        <v>46159</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50097-2025</t>
        </is>
      </c>
      <c r="B614" s="1" t="n">
        <v>45943.50207175926</v>
      </c>
      <c r="C614" s="1" t="n">
        <v>46159</v>
      </c>
      <c r="D614" t="inlineStr">
        <is>
          <t>STOCKHOLMS LÄN</t>
        </is>
      </c>
      <c r="E614" t="inlineStr">
        <is>
          <t>NORRTÄLJE</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17304-2024</t>
        </is>
      </c>
      <c r="B615" s="1" t="n">
        <v>45414</v>
      </c>
      <c r="C615" s="1" t="n">
        <v>46159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16852-2024</t>
        </is>
      </c>
      <c r="B616" s="1" t="n">
        <v>45411.54768518519</v>
      </c>
      <c r="C616" s="1" t="n">
        <v>46159</v>
      </c>
      <c r="D616" t="inlineStr">
        <is>
          <t>STOCKHOLMS LÄN</t>
        </is>
      </c>
      <c r="E616" t="inlineStr">
        <is>
          <t>NORRTÄLJE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4326-2023</t>
        </is>
      </c>
      <c r="B617" s="1" t="n">
        <v>44953.70481481482</v>
      </c>
      <c r="C617" s="1" t="n">
        <v>46159</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50333-2025</t>
        </is>
      </c>
      <c r="B618" s="1" t="n">
        <v>45944.47178240741</v>
      </c>
      <c r="C618" s="1" t="n">
        <v>46159</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33385-2024</t>
        </is>
      </c>
      <c r="B619" s="1" t="n">
        <v>45519</v>
      </c>
      <c r="C619" s="1" t="n">
        <v>46159</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29714-2023</t>
        </is>
      </c>
      <c r="B620" s="1" t="n">
        <v>45107.42538194444</v>
      </c>
      <c r="C620" s="1" t="n">
        <v>46159</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30508-2023</t>
        </is>
      </c>
      <c r="B621" s="1" t="n">
        <v>45111</v>
      </c>
      <c r="C621" s="1" t="n">
        <v>46159</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50563-2025</t>
        </is>
      </c>
      <c r="B622" s="1" t="n">
        <v>45944</v>
      </c>
      <c r="C622" s="1" t="n">
        <v>46159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50327-2025</t>
        </is>
      </c>
      <c r="B623" s="1" t="n">
        <v>45944.46387731482</v>
      </c>
      <c r="C623" s="1" t="n">
        <v>46159</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6532-2026</t>
        </is>
      </c>
      <c r="B624" s="1" t="n">
        <v>46056.41300925926</v>
      </c>
      <c r="C624" s="1" t="n">
        <v>46159</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20698-2025</t>
        </is>
      </c>
      <c r="B625" s="1" t="n">
        <v>45776.47122685185</v>
      </c>
      <c r="C625" s="1" t="n">
        <v>46159</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8296-2023</t>
        </is>
      </c>
      <c r="B626" s="1" t="n">
        <v>44974</v>
      </c>
      <c r="C626" s="1" t="n">
        <v>46159</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7308-2026</t>
        </is>
      </c>
      <c r="B627" s="1" t="n">
        <v>46058.66025462963</v>
      </c>
      <c r="C627" s="1" t="n">
        <v>46159</v>
      </c>
      <c r="D627" t="inlineStr">
        <is>
          <t>STOCKHOLMS LÄN</t>
        </is>
      </c>
      <c r="E627" t="inlineStr">
        <is>
          <t>NORRTÄLJE</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36396-2025</t>
        </is>
      </c>
      <c r="B628" s="1" t="n">
        <v>45868.62267361111</v>
      </c>
      <c r="C628" s="1" t="n">
        <v>46159</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31236-2022</t>
        </is>
      </c>
      <c r="B629" s="1" t="n">
        <v>44771</v>
      </c>
      <c r="C629" s="1" t="n">
        <v>46159</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51240-2025</t>
        </is>
      </c>
      <c r="B630" s="1" t="n">
        <v>45947.70420138889</v>
      </c>
      <c r="C630" s="1" t="n">
        <v>46159</v>
      </c>
      <c r="D630" t="inlineStr">
        <is>
          <t>STOCKHOLMS LÄN</t>
        </is>
      </c>
      <c r="E630" t="inlineStr">
        <is>
          <t>NORRTÄLJE</t>
        </is>
      </c>
      <c r="F630" t="inlineStr">
        <is>
          <t>Naturvårdsverket</t>
        </is>
      </c>
      <c r="G630" t="n">
        <v>3</v>
      </c>
      <c r="H630" t="n">
        <v>0</v>
      </c>
      <c r="I630" t="n">
        <v>0</v>
      </c>
      <c r="J630" t="n">
        <v>0</v>
      </c>
      <c r="K630" t="n">
        <v>0</v>
      </c>
      <c r="L630" t="n">
        <v>0</v>
      </c>
      <c r="M630" t="n">
        <v>0</v>
      </c>
      <c r="N630" t="n">
        <v>0</v>
      </c>
      <c r="O630" t="n">
        <v>0</v>
      </c>
      <c r="P630" t="n">
        <v>0</v>
      </c>
      <c r="Q630" t="n">
        <v>0</v>
      </c>
      <c r="R630" s="2" t="inlineStr"/>
    </row>
    <row r="631" ht="15" customHeight="1">
      <c r="A631" t="inlineStr">
        <is>
          <t>A 6838-2026</t>
        </is>
      </c>
      <c r="B631" s="1" t="n">
        <v>46057.41151620371</v>
      </c>
      <c r="C631" s="1" t="n">
        <v>46159</v>
      </c>
      <c r="D631" t="inlineStr">
        <is>
          <t>STOCKHOLMS LÄN</t>
        </is>
      </c>
      <c r="E631" t="inlineStr">
        <is>
          <t>NORRTÄLJE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51121-2025</t>
        </is>
      </c>
      <c r="B632" s="1" t="n">
        <v>45947.53293981482</v>
      </c>
      <c r="C632" s="1" t="n">
        <v>46159</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52593-2024</t>
        </is>
      </c>
      <c r="B633" s="1" t="n">
        <v>45609.70778935185</v>
      </c>
      <c r="C633" s="1" t="n">
        <v>46159</v>
      </c>
      <c r="D633" t="inlineStr">
        <is>
          <t>STOCKHOLMS LÄN</t>
        </is>
      </c>
      <c r="E633" t="inlineStr">
        <is>
          <t>NORRTÄLJE</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52617-2024</t>
        </is>
      </c>
      <c r="B634" s="1" t="n">
        <v>45609.85146990741</v>
      </c>
      <c r="C634" s="1" t="n">
        <v>46159</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22232-2024</t>
        </is>
      </c>
      <c r="B635" s="1" t="n">
        <v>45446.4287962963</v>
      </c>
      <c r="C635" s="1" t="n">
        <v>46159</v>
      </c>
      <c r="D635" t="inlineStr">
        <is>
          <t>STOCKHOLMS LÄN</t>
        </is>
      </c>
      <c r="E635" t="inlineStr">
        <is>
          <t>NORRTÄLJE</t>
        </is>
      </c>
      <c r="G635" t="n">
        <v>12.8</v>
      </c>
      <c r="H635" t="n">
        <v>0</v>
      </c>
      <c r="I635" t="n">
        <v>0</v>
      </c>
      <c r="J635" t="n">
        <v>0</v>
      </c>
      <c r="K635" t="n">
        <v>0</v>
      </c>
      <c r="L635" t="n">
        <v>0</v>
      </c>
      <c r="M635" t="n">
        <v>0</v>
      </c>
      <c r="N635" t="n">
        <v>0</v>
      </c>
      <c r="O635" t="n">
        <v>0</v>
      </c>
      <c r="P635" t="n">
        <v>0</v>
      </c>
      <c r="Q635" t="n">
        <v>0</v>
      </c>
      <c r="R635" s="2" t="inlineStr"/>
    </row>
    <row r="636" ht="15" customHeight="1">
      <c r="A636" t="inlineStr">
        <is>
          <t>A 34444-2024</t>
        </is>
      </c>
      <c r="B636" s="1" t="n">
        <v>45525</v>
      </c>
      <c r="C636" s="1" t="n">
        <v>46159</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27824-2022</t>
        </is>
      </c>
      <c r="B637" s="1" t="n">
        <v>44743.59331018518</v>
      </c>
      <c r="C637" s="1" t="n">
        <v>46159</v>
      </c>
      <c r="D637" t="inlineStr">
        <is>
          <t>STOCKHOLMS LÄN</t>
        </is>
      </c>
      <c r="E637" t="inlineStr">
        <is>
          <t>NORRTÄLJE</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51532-2025</t>
        </is>
      </c>
      <c r="B638" s="1" t="n">
        <v>45950.68297453703</v>
      </c>
      <c r="C638" s="1" t="n">
        <v>46159</v>
      </c>
      <c r="D638" t="inlineStr">
        <is>
          <t>STOCKHOLMS LÄN</t>
        </is>
      </c>
      <c r="E638" t="inlineStr">
        <is>
          <t>NORRTÄLJE</t>
        </is>
      </c>
      <c r="F638" t="inlineStr">
        <is>
          <t>Naturvårdsverket</t>
        </is>
      </c>
      <c r="G638" t="n">
        <v>17.3</v>
      </c>
      <c r="H638" t="n">
        <v>0</v>
      </c>
      <c r="I638" t="n">
        <v>0</v>
      </c>
      <c r="J638" t="n">
        <v>0</v>
      </c>
      <c r="K638" t="n">
        <v>0</v>
      </c>
      <c r="L638" t="n">
        <v>0</v>
      </c>
      <c r="M638" t="n">
        <v>0</v>
      </c>
      <c r="N638" t="n">
        <v>0</v>
      </c>
      <c r="O638" t="n">
        <v>0</v>
      </c>
      <c r="P638" t="n">
        <v>0</v>
      </c>
      <c r="Q638" t="n">
        <v>0</v>
      </c>
      <c r="R638" s="2" t="inlineStr"/>
    </row>
    <row r="639" ht="15" customHeight="1">
      <c r="A639" t="inlineStr">
        <is>
          <t>A 47521-2024</t>
        </is>
      </c>
      <c r="B639" s="1" t="n">
        <v>45587.62565972222</v>
      </c>
      <c r="C639" s="1" t="n">
        <v>46159</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51233-2025</t>
        </is>
      </c>
      <c r="B640" s="1" t="n">
        <v>45947.68232638889</v>
      </c>
      <c r="C640" s="1" t="n">
        <v>46159</v>
      </c>
      <c r="D640" t="inlineStr">
        <is>
          <t>STOCKHOLMS LÄN</t>
        </is>
      </c>
      <c r="E640" t="inlineStr">
        <is>
          <t>NORRTÄLJE</t>
        </is>
      </c>
      <c r="F640" t="inlineStr">
        <is>
          <t>Naturvårdsverket</t>
        </is>
      </c>
      <c r="G640" t="n">
        <v>8.1</v>
      </c>
      <c r="H640" t="n">
        <v>0</v>
      </c>
      <c r="I640" t="n">
        <v>0</v>
      </c>
      <c r="J640" t="n">
        <v>0</v>
      </c>
      <c r="K640" t="n">
        <v>0</v>
      </c>
      <c r="L640" t="n">
        <v>0</v>
      </c>
      <c r="M640" t="n">
        <v>0</v>
      </c>
      <c r="N640" t="n">
        <v>0</v>
      </c>
      <c r="O640" t="n">
        <v>0</v>
      </c>
      <c r="P640" t="n">
        <v>0</v>
      </c>
      <c r="Q640" t="n">
        <v>0</v>
      </c>
      <c r="R640" s="2" t="inlineStr"/>
    </row>
    <row r="641" ht="15" customHeight="1">
      <c r="A641" t="inlineStr">
        <is>
          <t>A 51236-2025</t>
        </is>
      </c>
      <c r="B641" s="1" t="n">
        <v>45947.69078703703</v>
      </c>
      <c r="C641" s="1" t="n">
        <v>46159</v>
      </c>
      <c r="D641" t="inlineStr">
        <is>
          <t>STOCKHOLMS LÄN</t>
        </is>
      </c>
      <c r="E641" t="inlineStr">
        <is>
          <t>NORRTÄLJE</t>
        </is>
      </c>
      <c r="F641" t="inlineStr">
        <is>
          <t>Naturvårdsverket</t>
        </is>
      </c>
      <c r="G641" t="n">
        <v>6.3</v>
      </c>
      <c r="H641" t="n">
        <v>0</v>
      </c>
      <c r="I641" t="n">
        <v>0</v>
      </c>
      <c r="J641" t="n">
        <v>0</v>
      </c>
      <c r="K641" t="n">
        <v>0</v>
      </c>
      <c r="L641" t="n">
        <v>0</v>
      </c>
      <c r="M641" t="n">
        <v>0</v>
      </c>
      <c r="N641" t="n">
        <v>0</v>
      </c>
      <c r="O641" t="n">
        <v>0</v>
      </c>
      <c r="P641" t="n">
        <v>0</v>
      </c>
      <c r="Q641" t="n">
        <v>0</v>
      </c>
      <c r="R641" s="2" t="inlineStr"/>
    </row>
    <row r="642" ht="15" customHeight="1">
      <c r="A642" t="inlineStr">
        <is>
          <t>A 51241-2025</t>
        </is>
      </c>
      <c r="B642" s="1" t="n">
        <v>45947.71726851852</v>
      </c>
      <c r="C642" s="1" t="n">
        <v>46159</v>
      </c>
      <c r="D642" t="inlineStr">
        <is>
          <t>STOCKHOLMS LÄN</t>
        </is>
      </c>
      <c r="E642" t="inlineStr">
        <is>
          <t>NORRTÄLJE</t>
        </is>
      </c>
      <c r="F642" t="inlineStr">
        <is>
          <t>Naturvårdsverket</t>
        </is>
      </c>
      <c r="G642" t="n">
        <v>6.4</v>
      </c>
      <c r="H642" t="n">
        <v>0</v>
      </c>
      <c r="I642" t="n">
        <v>0</v>
      </c>
      <c r="J642" t="n">
        <v>0</v>
      </c>
      <c r="K642" t="n">
        <v>0</v>
      </c>
      <c r="L642" t="n">
        <v>0</v>
      </c>
      <c r="M642" t="n">
        <v>0</v>
      </c>
      <c r="N642" t="n">
        <v>0</v>
      </c>
      <c r="O642" t="n">
        <v>0</v>
      </c>
      <c r="P642" t="n">
        <v>0</v>
      </c>
      <c r="Q642" t="n">
        <v>0</v>
      </c>
      <c r="R642" s="2" t="inlineStr"/>
    </row>
    <row r="643" ht="15" customHeight="1">
      <c r="A643" t="inlineStr">
        <is>
          <t>A 51122-2025</t>
        </is>
      </c>
      <c r="B643" s="1" t="n">
        <v>45947.53693287037</v>
      </c>
      <c r="C643" s="1" t="n">
        <v>46159</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50534-2024</t>
        </is>
      </c>
      <c r="B644" s="1" t="n">
        <v>45601.56726851852</v>
      </c>
      <c r="C644" s="1" t="n">
        <v>46159</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42094-2023</t>
        </is>
      </c>
      <c r="B645" s="1" t="n">
        <v>45177.61498842593</v>
      </c>
      <c r="C645" s="1" t="n">
        <v>46159</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58530-2024</t>
        </is>
      </c>
      <c r="B646" s="1" t="n">
        <v>45635.44788194444</v>
      </c>
      <c r="C646" s="1" t="n">
        <v>46159</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30620-2022</t>
        </is>
      </c>
      <c r="B647" s="1" t="n">
        <v>44763.40914351852</v>
      </c>
      <c r="C647" s="1" t="n">
        <v>46159</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51945-2025</t>
        </is>
      </c>
      <c r="B648" s="1" t="n">
        <v>45952.52679398148</v>
      </c>
      <c r="C648" s="1" t="n">
        <v>46159</v>
      </c>
      <c r="D648" t="inlineStr">
        <is>
          <t>STOCKHOLMS LÄN</t>
        </is>
      </c>
      <c r="E648" t="inlineStr">
        <is>
          <t>NORRTÄLJE</t>
        </is>
      </c>
      <c r="G648" t="n">
        <v>7</v>
      </c>
      <c r="H648" t="n">
        <v>0</v>
      </c>
      <c r="I648" t="n">
        <v>0</v>
      </c>
      <c r="J648" t="n">
        <v>0</v>
      </c>
      <c r="K648" t="n">
        <v>0</v>
      </c>
      <c r="L648" t="n">
        <v>0</v>
      </c>
      <c r="M648" t="n">
        <v>0</v>
      </c>
      <c r="N648" t="n">
        <v>0</v>
      </c>
      <c r="O648" t="n">
        <v>0</v>
      </c>
      <c r="P648" t="n">
        <v>0</v>
      </c>
      <c r="Q648" t="n">
        <v>0</v>
      </c>
      <c r="R648" s="2" t="inlineStr"/>
    </row>
    <row r="649" ht="15" customHeight="1">
      <c r="A649" t="inlineStr">
        <is>
          <t>A 51941-2025</t>
        </is>
      </c>
      <c r="B649" s="1" t="n">
        <v>45952.52261574074</v>
      </c>
      <c r="C649" s="1" t="n">
        <v>46159</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52061-2025</t>
        </is>
      </c>
      <c r="B650" s="1" t="n">
        <v>45952.63679398148</v>
      </c>
      <c r="C650" s="1" t="n">
        <v>46159</v>
      </c>
      <c r="D650" t="inlineStr">
        <is>
          <t>STOCKHOLMS LÄN</t>
        </is>
      </c>
      <c r="E650" t="inlineStr">
        <is>
          <t>NORRTÄLJE</t>
        </is>
      </c>
      <c r="G650" t="n">
        <v>9.5</v>
      </c>
      <c r="H650" t="n">
        <v>0</v>
      </c>
      <c r="I650" t="n">
        <v>0</v>
      </c>
      <c r="J650" t="n">
        <v>0</v>
      </c>
      <c r="K650" t="n">
        <v>0</v>
      </c>
      <c r="L650" t="n">
        <v>0</v>
      </c>
      <c r="M650" t="n">
        <v>0</v>
      </c>
      <c r="N650" t="n">
        <v>0</v>
      </c>
      <c r="O650" t="n">
        <v>0</v>
      </c>
      <c r="P650" t="n">
        <v>0</v>
      </c>
      <c r="Q650" t="n">
        <v>0</v>
      </c>
      <c r="R650" s="2" t="inlineStr"/>
    </row>
    <row r="651" ht="15" customHeight="1">
      <c r="A651" t="inlineStr">
        <is>
          <t>A 57602-2024</t>
        </is>
      </c>
      <c r="B651" s="1" t="n">
        <v>45630.52866898148</v>
      </c>
      <c r="C651" s="1" t="n">
        <v>46159</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46159</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51789-2025</t>
        </is>
      </c>
      <c r="B653" s="1" t="n">
        <v>45951.68046296296</v>
      </c>
      <c r="C653" s="1" t="n">
        <v>46159</v>
      </c>
      <c r="D653" t="inlineStr">
        <is>
          <t>STOCKHOLMS LÄN</t>
        </is>
      </c>
      <c r="E653" t="inlineStr">
        <is>
          <t>NORRTÄLJE</t>
        </is>
      </c>
      <c r="F653" t="inlineStr">
        <is>
          <t>Naturvårdsverket</t>
        </is>
      </c>
      <c r="G653" t="n">
        <v>8.9</v>
      </c>
      <c r="H653" t="n">
        <v>0</v>
      </c>
      <c r="I653" t="n">
        <v>0</v>
      </c>
      <c r="J653" t="n">
        <v>0</v>
      </c>
      <c r="K653" t="n">
        <v>0</v>
      </c>
      <c r="L653" t="n">
        <v>0</v>
      </c>
      <c r="M653" t="n">
        <v>0</v>
      </c>
      <c r="N653" t="n">
        <v>0</v>
      </c>
      <c r="O653" t="n">
        <v>0</v>
      </c>
      <c r="P653" t="n">
        <v>0</v>
      </c>
      <c r="Q653" t="n">
        <v>0</v>
      </c>
      <c r="R653" s="2" t="inlineStr"/>
    </row>
    <row r="654" ht="15" customHeight="1">
      <c r="A654" t="inlineStr">
        <is>
          <t>A 11854-2025</t>
        </is>
      </c>
      <c r="B654" s="1" t="n">
        <v>45728.38924768518</v>
      </c>
      <c r="C654" s="1" t="n">
        <v>46159</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1283-2025</t>
        </is>
      </c>
      <c r="B655" s="1" t="n">
        <v>45667.49878472222</v>
      </c>
      <c r="C655" s="1" t="n">
        <v>46159</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6874-2026</t>
        </is>
      </c>
      <c r="B656" s="1" t="n">
        <v>46057.45295138889</v>
      </c>
      <c r="C656" s="1" t="n">
        <v>46159</v>
      </c>
      <c r="D656" t="inlineStr">
        <is>
          <t>STOCKHOLMS LÄN</t>
        </is>
      </c>
      <c r="E656" t="inlineStr">
        <is>
          <t>NORRTÄLJE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52529-2025</t>
        </is>
      </c>
      <c r="B657" s="1" t="n">
        <v>45954.53229166667</v>
      </c>
      <c r="C657" s="1" t="n">
        <v>46159</v>
      </c>
      <c r="D657" t="inlineStr">
        <is>
          <t>STOCKHOLMS LÄN</t>
        </is>
      </c>
      <c r="E657" t="inlineStr">
        <is>
          <t>NORRTÄLJE</t>
        </is>
      </c>
      <c r="F657" t="inlineStr">
        <is>
          <t>Sveaskog</t>
        </is>
      </c>
      <c r="G657" t="n">
        <v>7.8</v>
      </c>
      <c r="H657" t="n">
        <v>0</v>
      </c>
      <c r="I657" t="n">
        <v>0</v>
      </c>
      <c r="J657" t="n">
        <v>0</v>
      </c>
      <c r="K657" t="n">
        <v>0</v>
      </c>
      <c r="L657" t="n">
        <v>0</v>
      </c>
      <c r="M657" t="n">
        <v>0</v>
      </c>
      <c r="N657" t="n">
        <v>0</v>
      </c>
      <c r="O657" t="n">
        <v>0</v>
      </c>
      <c r="P657" t="n">
        <v>0</v>
      </c>
      <c r="Q657" t="n">
        <v>0</v>
      </c>
      <c r="R657" s="2" t="inlineStr"/>
    </row>
    <row r="658" ht="15" customHeight="1">
      <c r="A658" t="inlineStr">
        <is>
          <t>A 52251-2025</t>
        </is>
      </c>
      <c r="B658" s="1" t="n">
        <v>45953.49185185185</v>
      </c>
      <c r="C658" s="1" t="n">
        <v>46159</v>
      </c>
      <c r="D658" t="inlineStr">
        <is>
          <t>STOCKHOLMS LÄN</t>
        </is>
      </c>
      <c r="E658" t="inlineStr">
        <is>
          <t>NORRTÄLJE</t>
        </is>
      </c>
      <c r="G658" t="n">
        <v>6.2</v>
      </c>
      <c r="H658" t="n">
        <v>0</v>
      </c>
      <c r="I658" t="n">
        <v>0</v>
      </c>
      <c r="J658" t="n">
        <v>0</v>
      </c>
      <c r="K658" t="n">
        <v>0</v>
      </c>
      <c r="L658" t="n">
        <v>0</v>
      </c>
      <c r="M658" t="n">
        <v>0</v>
      </c>
      <c r="N658" t="n">
        <v>0</v>
      </c>
      <c r="O658" t="n">
        <v>0</v>
      </c>
      <c r="P658" t="n">
        <v>0</v>
      </c>
      <c r="Q658" t="n">
        <v>0</v>
      </c>
      <c r="R658" s="2" t="inlineStr"/>
    </row>
    <row r="659" ht="15" customHeight="1">
      <c r="A659" t="inlineStr">
        <is>
          <t>A 52254-2025</t>
        </is>
      </c>
      <c r="B659" s="1" t="n">
        <v>45953.49519675926</v>
      </c>
      <c r="C659" s="1" t="n">
        <v>46159</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52526-2025</t>
        </is>
      </c>
      <c r="B660" s="1" t="n">
        <v>45954.53061342592</v>
      </c>
      <c r="C660" s="1" t="n">
        <v>46159</v>
      </c>
      <c r="D660" t="inlineStr">
        <is>
          <t>STOCKHOLMS LÄN</t>
        </is>
      </c>
      <c r="E660" t="inlineStr">
        <is>
          <t>NORRTÄLJE</t>
        </is>
      </c>
      <c r="F660" t="inlineStr">
        <is>
          <t>Sveaskog</t>
        </is>
      </c>
      <c r="G660" t="n">
        <v>2.9</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44495.5893287037</v>
      </c>
      <c r="C661" s="1" t="n">
        <v>46159</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28900-2022</t>
        </is>
      </c>
      <c r="B662" s="1" t="n">
        <v>44749.55258101852</v>
      </c>
      <c r="C662" s="1" t="n">
        <v>46159</v>
      </c>
      <c r="D662" t="inlineStr">
        <is>
          <t>STOCKHOLMS LÄN</t>
        </is>
      </c>
      <c r="E662" t="inlineStr">
        <is>
          <t>NORRTÄLJE</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32514-2022</t>
        </is>
      </c>
      <c r="B663" s="1" t="n">
        <v>44782</v>
      </c>
      <c r="C663" s="1" t="n">
        <v>46159</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46159</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52777-2025</t>
        </is>
      </c>
      <c r="B665" s="1" t="n">
        <v>45957.41832175926</v>
      </c>
      <c r="C665" s="1" t="n">
        <v>46159</v>
      </c>
      <c r="D665" t="inlineStr">
        <is>
          <t>STOCKHOLMS LÄN</t>
        </is>
      </c>
      <c r="E665" t="inlineStr">
        <is>
          <t>NORRTÄLJE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52553-2025</t>
        </is>
      </c>
      <c r="B666" s="1" t="n">
        <v>45954.5624537037</v>
      </c>
      <c r="C666" s="1" t="n">
        <v>46159</v>
      </c>
      <c r="D666" t="inlineStr">
        <is>
          <t>STOCKHOLMS LÄN</t>
        </is>
      </c>
      <c r="E666" t="inlineStr">
        <is>
          <t>NORRTÄLJE</t>
        </is>
      </c>
      <c r="G666" t="n">
        <v>4.4</v>
      </c>
      <c r="H666" t="n">
        <v>0</v>
      </c>
      <c r="I666" t="n">
        <v>0</v>
      </c>
      <c r="J666" t="n">
        <v>0</v>
      </c>
      <c r="K666" t="n">
        <v>0</v>
      </c>
      <c r="L666" t="n">
        <v>0</v>
      </c>
      <c r="M666" t="n">
        <v>0</v>
      </c>
      <c r="N666" t="n">
        <v>0</v>
      </c>
      <c r="O666" t="n">
        <v>0</v>
      </c>
      <c r="P666" t="n">
        <v>0</v>
      </c>
      <c r="Q666" t="n">
        <v>0</v>
      </c>
      <c r="R666" s="2" t="inlineStr"/>
    </row>
    <row r="667" ht="15" customHeight="1">
      <c r="A667" t="inlineStr">
        <is>
          <t>A 53087-2025</t>
        </is>
      </c>
      <c r="B667" s="1" t="n">
        <v>45958.41065972222</v>
      </c>
      <c r="C667" s="1" t="n">
        <v>46159</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23125-2022</t>
        </is>
      </c>
      <c r="B668" s="1" t="n">
        <v>44719</v>
      </c>
      <c r="C668" s="1" t="n">
        <v>46159</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52704-2025</t>
        </is>
      </c>
      <c r="B669" s="1" t="n">
        <v>45956.89097222222</v>
      </c>
      <c r="C669" s="1" t="n">
        <v>46159</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37261-2025</t>
        </is>
      </c>
      <c r="B670" s="1" t="n">
        <v>45876.45253472222</v>
      </c>
      <c r="C670" s="1" t="n">
        <v>46159</v>
      </c>
      <c r="D670" t="inlineStr">
        <is>
          <t>STOCKHOLMS LÄN</t>
        </is>
      </c>
      <c r="E670" t="inlineStr">
        <is>
          <t>NORRTÄLJE</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52734-2025</t>
        </is>
      </c>
      <c r="B671" s="1" t="n">
        <v>45957.3710300926</v>
      </c>
      <c r="C671" s="1" t="n">
        <v>46159</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6828-2026</t>
        </is>
      </c>
      <c r="B672" s="1" t="n">
        <v>46057</v>
      </c>
      <c r="C672" s="1" t="n">
        <v>46159</v>
      </c>
      <c r="D672" t="inlineStr">
        <is>
          <t>STOCKHOLMS LÄN</t>
        </is>
      </c>
      <c r="E672" t="inlineStr">
        <is>
          <t>NORRTÄLJE</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20692-2025</t>
        </is>
      </c>
      <c r="B673" s="1" t="n">
        <v>45776.46369212963</v>
      </c>
      <c r="C673" s="1" t="n">
        <v>46159</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9329-2023</t>
        </is>
      </c>
      <c r="B674" s="1" t="n">
        <v>44980</v>
      </c>
      <c r="C674" s="1" t="n">
        <v>46159</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6855-2025</t>
        </is>
      </c>
      <c r="B675" s="1" t="n">
        <v>45700</v>
      </c>
      <c r="C675" s="1" t="n">
        <v>46159</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52773-2025</t>
        </is>
      </c>
      <c r="B676" s="1" t="n">
        <v>45957.41457175926</v>
      </c>
      <c r="C676" s="1" t="n">
        <v>46159</v>
      </c>
      <c r="D676" t="inlineStr">
        <is>
          <t>STOCKHOLMS LÄN</t>
        </is>
      </c>
      <c r="E676" t="inlineStr">
        <is>
          <t>NORRTÄLJE</t>
        </is>
      </c>
      <c r="F676" t="inlineStr">
        <is>
          <t>Sveaskog</t>
        </is>
      </c>
      <c r="G676" t="n">
        <v>10.5</v>
      </c>
      <c r="H676" t="n">
        <v>0</v>
      </c>
      <c r="I676" t="n">
        <v>0</v>
      </c>
      <c r="J676" t="n">
        <v>0</v>
      </c>
      <c r="K676" t="n">
        <v>0</v>
      </c>
      <c r="L676" t="n">
        <v>0</v>
      </c>
      <c r="M676" t="n">
        <v>0</v>
      </c>
      <c r="N676" t="n">
        <v>0</v>
      </c>
      <c r="O676" t="n">
        <v>0</v>
      </c>
      <c r="P676" t="n">
        <v>0</v>
      </c>
      <c r="Q676" t="n">
        <v>0</v>
      </c>
      <c r="R676" s="2" t="inlineStr"/>
    </row>
    <row r="677" ht="15" customHeight="1">
      <c r="A677" t="inlineStr">
        <is>
          <t>A 52776-2025</t>
        </is>
      </c>
      <c r="B677" s="1" t="n">
        <v>45957.41724537037</v>
      </c>
      <c r="C677" s="1" t="n">
        <v>46159</v>
      </c>
      <c r="D677" t="inlineStr">
        <is>
          <t>STOCKHOLMS LÄN</t>
        </is>
      </c>
      <c r="E677" t="inlineStr">
        <is>
          <t>NORRTÄLJE</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52703-2025</t>
        </is>
      </c>
      <c r="B678" s="1" t="n">
        <v>45956.88643518519</v>
      </c>
      <c r="C678" s="1" t="n">
        <v>46159</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46071-2024</t>
        </is>
      </c>
      <c r="B679" s="1" t="n">
        <v>45581</v>
      </c>
      <c r="C679" s="1" t="n">
        <v>46159</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29369-2024</t>
        </is>
      </c>
      <c r="B680" s="1" t="n">
        <v>45483.57244212963</v>
      </c>
      <c r="C680" s="1" t="n">
        <v>46159</v>
      </c>
      <c r="D680" t="inlineStr">
        <is>
          <t>STOCKHOLMS LÄN</t>
        </is>
      </c>
      <c r="E680" t="inlineStr">
        <is>
          <t>NORRTÄLJE</t>
        </is>
      </c>
      <c r="G680" t="n">
        <v>15.9</v>
      </c>
      <c r="H680" t="n">
        <v>0</v>
      </c>
      <c r="I680" t="n">
        <v>0</v>
      </c>
      <c r="J680" t="n">
        <v>0</v>
      </c>
      <c r="K680" t="n">
        <v>0</v>
      </c>
      <c r="L680" t="n">
        <v>0</v>
      </c>
      <c r="M680" t="n">
        <v>0</v>
      </c>
      <c r="N680" t="n">
        <v>0</v>
      </c>
      <c r="O680" t="n">
        <v>0</v>
      </c>
      <c r="P680" t="n">
        <v>0</v>
      </c>
      <c r="Q680" t="n">
        <v>0</v>
      </c>
      <c r="R680" s="2" t="inlineStr"/>
    </row>
    <row r="681" ht="15" customHeight="1">
      <c r="A681" t="inlineStr">
        <is>
          <t>A 37630-2025</t>
        </is>
      </c>
      <c r="B681" s="1" t="n">
        <v>45880.46372685185</v>
      </c>
      <c r="C681" s="1" t="n">
        <v>46159</v>
      </c>
      <c r="D681" t="inlineStr">
        <is>
          <t>STOCKHOLMS LÄN</t>
        </is>
      </c>
      <c r="E681" t="inlineStr">
        <is>
          <t>NORRTÄLJE</t>
        </is>
      </c>
      <c r="F681" t="inlineStr">
        <is>
          <t>Sveaskog</t>
        </is>
      </c>
      <c r="G681" t="n">
        <v>12.9</v>
      </c>
      <c r="H681" t="n">
        <v>0</v>
      </c>
      <c r="I681" t="n">
        <v>0</v>
      </c>
      <c r="J681" t="n">
        <v>0</v>
      </c>
      <c r="K681" t="n">
        <v>0</v>
      </c>
      <c r="L681" t="n">
        <v>0</v>
      </c>
      <c r="M681" t="n">
        <v>0</v>
      </c>
      <c r="N681" t="n">
        <v>0</v>
      </c>
      <c r="O681" t="n">
        <v>0</v>
      </c>
      <c r="P681" t="n">
        <v>0</v>
      </c>
      <c r="Q681" t="n">
        <v>0</v>
      </c>
      <c r="R681" s="2" t="inlineStr"/>
    </row>
    <row r="682" ht="15" customHeight="1">
      <c r="A682" t="inlineStr">
        <is>
          <t>A 14873-2025</t>
        </is>
      </c>
      <c r="B682" s="1" t="n">
        <v>45743.44953703704</v>
      </c>
      <c r="C682" s="1" t="n">
        <v>46159</v>
      </c>
      <c r="D682" t="inlineStr">
        <is>
          <t>STOCKHOLMS LÄN</t>
        </is>
      </c>
      <c r="E682" t="inlineStr">
        <is>
          <t>NORRTÄLJE</t>
        </is>
      </c>
      <c r="G682" t="n">
        <v>10.2</v>
      </c>
      <c r="H682" t="n">
        <v>0</v>
      </c>
      <c r="I682" t="n">
        <v>0</v>
      </c>
      <c r="J682" t="n">
        <v>0</v>
      </c>
      <c r="K682" t="n">
        <v>0</v>
      </c>
      <c r="L682" t="n">
        <v>0</v>
      </c>
      <c r="M682" t="n">
        <v>0</v>
      </c>
      <c r="N682" t="n">
        <v>0</v>
      </c>
      <c r="O682" t="n">
        <v>0</v>
      </c>
      <c r="P682" t="n">
        <v>0</v>
      </c>
      <c r="Q682" t="n">
        <v>0</v>
      </c>
      <c r="R682" s="2" t="inlineStr"/>
    </row>
    <row r="683" ht="15" customHeight="1">
      <c r="A683" t="inlineStr">
        <is>
          <t>A 53000-2025</t>
        </is>
      </c>
      <c r="B683" s="1" t="n">
        <v>45957.74357638889</v>
      </c>
      <c r="C683" s="1" t="n">
        <v>46159</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46159</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8135-2025</t>
        </is>
      </c>
      <c r="B685" s="1" t="n">
        <v>45707.84997685185</v>
      </c>
      <c r="C685" s="1" t="n">
        <v>46159</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37632-2025</t>
        </is>
      </c>
      <c r="B686" s="1" t="n">
        <v>45880.46524305556</v>
      </c>
      <c r="C686" s="1" t="n">
        <v>46159</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31936-2022</t>
        </is>
      </c>
      <c r="B687" s="1" t="n">
        <v>44777</v>
      </c>
      <c r="C687" s="1" t="n">
        <v>46159</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29841-2024</t>
        </is>
      </c>
      <c r="B688" s="1" t="n">
        <v>45485.60261574074</v>
      </c>
      <c r="C688" s="1" t="n">
        <v>46159</v>
      </c>
      <c r="D688" t="inlineStr">
        <is>
          <t>STOCKHOLMS LÄN</t>
        </is>
      </c>
      <c r="E688" t="inlineStr">
        <is>
          <t>NORRTÄLJE</t>
        </is>
      </c>
      <c r="G688" t="n">
        <v>15.9</v>
      </c>
      <c r="H688" t="n">
        <v>0</v>
      </c>
      <c r="I688" t="n">
        <v>0</v>
      </c>
      <c r="J688" t="n">
        <v>0</v>
      </c>
      <c r="K688" t="n">
        <v>0</v>
      </c>
      <c r="L688" t="n">
        <v>0</v>
      </c>
      <c r="M688" t="n">
        <v>0</v>
      </c>
      <c r="N688" t="n">
        <v>0</v>
      </c>
      <c r="O688" t="n">
        <v>0</v>
      </c>
      <c r="P688" t="n">
        <v>0</v>
      </c>
      <c r="Q688" t="n">
        <v>0</v>
      </c>
      <c r="R688" s="2" t="inlineStr"/>
    </row>
    <row r="689" ht="15" customHeight="1">
      <c r="A689" t="inlineStr">
        <is>
          <t>A 24887-2023</t>
        </is>
      </c>
      <c r="B689" s="1" t="n">
        <v>45085</v>
      </c>
      <c r="C689" s="1" t="n">
        <v>46159</v>
      </c>
      <c r="D689" t="inlineStr">
        <is>
          <t>STOCKHOLMS LÄN</t>
        </is>
      </c>
      <c r="E689" t="inlineStr">
        <is>
          <t>NORRTÄLJE</t>
        </is>
      </c>
      <c r="G689" t="n">
        <v>13.9</v>
      </c>
      <c r="H689" t="n">
        <v>0</v>
      </c>
      <c r="I689" t="n">
        <v>0</v>
      </c>
      <c r="J689" t="n">
        <v>0</v>
      </c>
      <c r="K689" t="n">
        <v>0</v>
      </c>
      <c r="L689" t="n">
        <v>0</v>
      </c>
      <c r="M689" t="n">
        <v>0</v>
      </c>
      <c r="N689" t="n">
        <v>0</v>
      </c>
      <c r="O689" t="n">
        <v>0</v>
      </c>
      <c r="P689" t="n">
        <v>0</v>
      </c>
      <c r="Q689" t="n">
        <v>0</v>
      </c>
      <c r="R689" s="2" t="inlineStr"/>
    </row>
    <row r="690" ht="15" customHeight="1">
      <c r="A690" t="inlineStr">
        <is>
          <t>A 56428-2023</t>
        </is>
      </c>
      <c r="B690" s="1" t="n">
        <v>45243.45289351852</v>
      </c>
      <c r="C690" s="1" t="n">
        <v>46159</v>
      </c>
      <c r="D690" t="inlineStr">
        <is>
          <t>STOCKHOLMS LÄN</t>
        </is>
      </c>
      <c r="E690" t="inlineStr">
        <is>
          <t>NORRTÄLJE</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7532-2026</t>
        </is>
      </c>
      <c r="B691" s="1" t="n">
        <v>46059</v>
      </c>
      <c r="C691" s="1" t="n">
        <v>46159</v>
      </c>
      <c r="D691" t="inlineStr">
        <is>
          <t>STOCKHOLMS LÄN</t>
        </is>
      </c>
      <c r="E691" t="inlineStr">
        <is>
          <t>NORRTÄLJE</t>
        </is>
      </c>
      <c r="G691" t="n">
        <v>5.2</v>
      </c>
      <c r="H691" t="n">
        <v>0</v>
      </c>
      <c r="I691" t="n">
        <v>0</v>
      </c>
      <c r="J691" t="n">
        <v>0</v>
      </c>
      <c r="K691" t="n">
        <v>0</v>
      </c>
      <c r="L691" t="n">
        <v>0</v>
      </c>
      <c r="M691" t="n">
        <v>0</v>
      </c>
      <c r="N691" t="n">
        <v>0</v>
      </c>
      <c r="O691" t="n">
        <v>0</v>
      </c>
      <c r="P691" t="n">
        <v>0</v>
      </c>
      <c r="Q691" t="n">
        <v>0</v>
      </c>
      <c r="R691" s="2" t="inlineStr"/>
    </row>
    <row r="692" ht="15" customHeight="1">
      <c r="A692" t="inlineStr">
        <is>
          <t>A 37628-2025</t>
        </is>
      </c>
      <c r="B692" s="1" t="n">
        <v>45880.46189814815</v>
      </c>
      <c r="C692" s="1" t="n">
        <v>46159</v>
      </c>
      <c r="D692" t="inlineStr">
        <is>
          <t>STOCKHOLMS LÄN</t>
        </is>
      </c>
      <c r="E692" t="inlineStr">
        <is>
          <t>NORRTÄLJE</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53629-2025</t>
        </is>
      </c>
      <c r="B693" s="1" t="n">
        <v>45960.49570601852</v>
      </c>
      <c r="C693" s="1" t="n">
        <v>46159</v>
      </c>
      <c r="D693" t="inlineStr">
        <is>
          <t>STOCKHOLMS LÄN</t>
        </is>
      </c>
      <c r="E693" t="inlineStr">
        <is>
          <t>NORRTÄLJE</t>
        </is>
      </c>
      <c r="F693" t="inlineStr">
        <is>
          <t>Naturvårdsverket</t>
        </is>
      </c>
      <c r="G693" t="n">
        <v>7.9</v>
      </c>
      <c r="H693" t="n">
        <v>0</v>
      </c>
      <c r="I693" t="n">
        <v>0</v>
      </c>
      <c r="J693" t="n">
        <v>0</v>
      </c>
      <c r="K693" t="n">
        <v>0</v>
      </c>
      <c r="L693" t="n">
        <v>0</v>
      </c>
      <c r="M693" t="n">
        <v>0</v>
      </c>
      <c r="N693" t="n">
        <v>0</v>
      </c>
      <c r="O693" t="n">
        <v>0</v>
      </c>
      <c r="P693" t="n">
        <v>0</v>
      </c>
      <c r="Q693" t="n">
        <v>0</v>
      </c>
      <c r="R693" s="2" t="inlineStr"/>
    </row>
    <row r="694" ht="15" customHeight="1">
      <c r="A694" t="inlineStr">
        <is>
          <t>A 30338-2022</t>
        </is>
      </c>
      <c r="B694" s="1" t="n">
        <v>44760</v>
      </c>
      <c r="C694" s="1" t="n">
        <v>46159</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18541-2023</t>
        </is>
      </c>
      <c r="B695" s="1" t="n">
        <v>45042.74291666667</v>
      </c>
      <c r="C695" s="1" t="n">
        <v>46159</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53747-2025</t>
        </is>
      </c>
      <c r="B696" s="1" t="n">
        <v>45960.65415509259</v>
      </c>
      <c r="C696" s="1" t="n">
        <v>46159</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7723-2026</t>
        </is>
      </c>
      <c r="B697" s="1" t="n">
        <v>46062.49905092592</v>
      </c>
      <c r="C697" s="1" t="n">
        <v>46159</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53299-2025</t>
        </is>
      </c>
      <c r="B698" s="1" t="n">
        <v>45959.31901620371</v>
      </c>
      <c r="C698" s="1" t="n">
        <v>46159</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7729-2026</t>
        </is>
      </c>
      <c r="B699" s="1" t="n">
        <v>46062.51100694444</v>
      </c>
      <c r="C699" s="1" t="n">
        <v>46159</v>
      </c>
      <c r="D699" t="inlineStr">
        <is>
          <t>STOCKHOLMS LÄN</t>
        </is>
      </c>
      <c r="E699" t="inlineStr">
        <is>
          <t>NORRTÄLJE</t>
        </is>
      </c>
      <c r="G699" t="n">
        <v>6.6</v>
      </c>
      <c r="H699" t="n">
        <v>0</v>
      </c>
      <c r="I699" t="n">
        <v>0</v>
      </c>
      <c r="J699" t="n">
        <v>0</v>
      </c>
      <c r="K699" t="n">
        <v>0</v>
      </c>
      <c r="L699" t="n">
        <v>0</v>
      </c>
      <c r="M699" t="n">
        <v>0</v>
      </c>
      <c r="N699" t="n">
        <v>0</v>
      </c>
      <c r="O699" t="n">
        <v>0</v>
      </c>
      <c r="P699" t="n">
        <v>0</v>
      </c>
      <c r="Q699" t="n">
        <v>0</v>
      </c>
      <c r="R699" s="2" t="inlineStr"/>
    </row>
    <row r="700" ht="15" customHeight="1">
      <c r="A700" t="inlineStr">
        <is>
          <t>A 32857-2021</t>
        </is>
      </c>
      <c r="B700" s="1" t="n">
        <v>44375</v>
      </c>
      <c r="C700" s="1" t="n">
        <v>46159</v>
      </c>
      <c r="D700" t="inlineStr">
        <is>
          <t>STOCKHOLMS LÄN</t>
        </is>
      </c>
      <c r="E700" t="inlineStr">
        <is>
          <t>NORRTÄLJE</t>
        </is>
      </c>
      <c r="G700" t="n">
        <v>2.9</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46159</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51325-2023</t>
        </is>
      </c>
      <c r="B702" s="1" t="n">
        <v>45219</v>
      </c>
      <c r="C702" s="1" t="n">
        <v>46159</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21729-2024</t>
        </is>
      </c>
      <c r="B703" s="1" t="n">
        <v>45442</v>
      </c>
      <c r="C703" s="1" t="n">
        <v>46159</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26703-2025</t>
        </is>
      </c>
      <c r="B704" s="1" t="n">
        <v>45810.45263888889</v>
      </c>
      <c r="C704" s="1" t="n">
        <v>46159</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21894-2023</t>
        </is>
      </c>
      <c r="B705" s="1" t="n">
        <v>45068.51783564815</v>
      </c>
      <c r="C705" s="1" t="n">
        <v>46159</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13137-2024</t>
        </is>
      </c>
      <c r="B706" s="1" t="n">
        <v>45386.34175925926</v>
      </c>
      <c r="C706" s="1" t="n">
        <v>46159</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38153-2025</t>
        </is>
      </c>
      <c r="B707" s="1" t="n">
        <v>45882.59722222222</v>
      </c>
      <c r="C707" s="1" t="n">
        <v>46159</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7582-2026</t>
        </is>
      </c>
      <c r="B708" s="1" t="n">
        <v>46061</v>
      </c>
      <c r="C708" s="1" t="n">
        <v>46159</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7793-2026</t>
        </is>
      </c>
      <c r="B709" s="1" t="n">
        <v>46062.59496527778</v>
      </c>
      <c r="C709" s="1" t="n">
        <v>46159</v>
      </c>
      <c r="D709" t="inlineStr">
        <is>
          <t>STOCKHOLMS LÄN</t>
        </is>
      </c>
      <c r="E709" t="inlineStr">
        <is>
          <t>NORRTÄLJE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21732-2023</t>
        </is>
      </c>
      <c r="B710" s="1" t="n">
        <v>45063</v>
      </c>
      <c r="C710" s="1" t="n">
        <v>46159</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7806-2025</t>
        </is>
      </c>
      <c r="B711" s="1" t="n">
        <v>45706.61178240741</v>
      </c>
      <c r="C711" s="1" t="n">
        <v>46159</v>
      </c>
      <c r="D711" t="inlineStr">
        <is>
          <t>STOCKHOLMS LÄN</t>
        </is>
      </c>
      <c r="E711" t="inlineStr">
        <is>
          <t>NORRTÄLJE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37444-2021</t>
        </is>
      </c>
      <c r="B712" s="1" t="n">
        <v>44398</v>
      </c>
      <c r="C712" s="1" t="n">
        <v>46159</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38593-2025</t>
        </is>
      </c>
      <c r="B713" s="1" t="n">
        <v>45884.48696759259</v>
      </c>
      <c r="C713" s="1" t="n">
        <v>46159</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8091-2026</t>
        </is>
      </c>
      <c r="B714" s="1" t="n">
        <v>46063.70944444444</v>
      </c>
      <c r="C714" s="1" t="n">
        <v>46159</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8096-2026</t>
        </is>
      </c>
      <c r="B715" s="1" t="n">
        <v>46063.714375</v>
      </c>
      <c r="C715" s="1" t="n">
        <v>46159</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45173-2023</t>
        </is>
      </c>
      <c r="B716" s="1" t="n">
        <v>45191</v>
      </c>
      <c r="C716" s="1" t="n">
        <v>46159</v>
      </c>
      <c r="D716" t="inlineStr">
        <is>
          <t>STOCKHOLMS LÄN</t>
        </is>
      </c>
      <c r="E716" t="inlineStr">
        <is>
          <t>NORRTÄLJE</t>
        </is>
      </c>
      <c r="F716" t="inlineStr">
        <is>
          <t>Sveaskog</t>
        </is>
      </c>
      <c r="G716" t="n">
        <v>3.6</v>
      </c>
      <c r="H716" t="n">
        <v>0</v>
      </c>
      <c r="I716" t="n">
        <v>0</v>
      </c>
      <c r="J716" t="n">
        <v>0</v>
      </c>
      <c r="K716" t="n">
        <v>0</v>
      </c>
      <c r="L716" t="n">
        <v>0</v>
      </c>
      <c r="M716" t="n">
        <v>0</v>
      </c>
      <c r="N716" t="n">
        <v>0</v>
      </c>
      <c r="O716" t="n">
        <v>0</v>
      </c>
      <c r="P716" t="n">
        <v>0</v>
      </c>
      <c r="Q716" t="n">
        <v>0</v>
      </c>
      <c r="R716" s="2" t="inlineStr"/>
    </row>
    <row r="717" ht="15" customHeight="1">
      <c r="A717" t="inlineStr">
        <is>
          <t>A 8055-2026</t>
        </is>
      </c>
      <c r="B717" s="1" t="n">
        <v>46063.62002314815</v>
      </c>
      <c r="C717" s="1" t="n">
        <v>46159</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67921-2021</t>
        </is>
      </c>
      <c r="B718" s="1" t="n">
        <v>44525</v>
      </c>
      <c r="C718" s="1" t="n">
        <v>46159</v>
      </c>
      <c r="D718" t="inlineStr">
        <is>
          <t>STOCKHOLMS LÄN</t>
        </is>
      </c>
      <c r="E718" t="inlineStr">
        <is>
          <t>NORRTÄLJE</t>
        </is>
      </c>
      <c r="G718" t="n">
        <v>6.3</v>
      </c>
      <c r="H718" t="n">
        <v>0</v>
      </c>
      <c r="I718" t="n">
        <v>0</v>
      </c>
      <c r="J718" t="n">
        <v>0</v>
      </c>
      <c r="K718" t="n">
        <v>0</v>
      </c>
      <c r="L718" t="n">
        <v>0</v>
      </c>
      <c r="M718" t="n">
        <v>0</v>
      </c>
      <c r="N718" t="n">
        <v>0</v>
      </c>
      <c r="O718" t="n">
        <v>0</v>
      </c>
      <c r="P718" t="n">
        <v>0</v>
      </c>
      <c r="Q718" t="n">
        <v>0</v>
      </c>
      <c r="R718" s="2" t="inlineStr"/>
    </row>
    <row r="719" ht="15" customHeight="1">
      <c r="A719" t="inlineStr">
        <is>
          <t>A 15836-2026</t>
        </is>
      </c>
      <c r="B719" s="1" t="n">
        <v>46107.56134259259</v>
      </c>
      <c r="C719" s="1" t="n">
        <v>46159</v>
      </c>
      <c r="D719" t="inlineStr">
        <is>
          <t>STOCKHOLMS LÄN</t>
        </is>
      </c>
      <c r="E719" t="inlineStr">
        <is>
          <t>NORRTÄLJE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8454-2026</t>
        </is>
      </c>
      <c r="B720" s="1" t="n">
        <v>46065.42506944444</v>
      </c>
      <c r="C720" s="1" t="n">
        <v>46159</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8465-2026</t>
        </is>
      </c>
      <c r="B721" s="1" t="n">
        <v>46065.44141203703</v>
      </c>
      <c r="C721" s="1" t="n">
        <v>46159</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64137-2021</t>
        </is>
      </c>
      <c r="B722" s="1" t="n">
        <v>44510.51422453704</v>
      </c>
      <c r="C722" s="1" t="n">
        <v>46159</v>
      </c>
      <c r="D722" t="inlineStr">
        <is>
          <t>STOCKHOLMS LÄN</t>
        </is>
      </c>
      <c r="E722" t="inlineStr">
        <is>
          <t>NORRTÄLJE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54907-2025</t>
        </is>
      </c>
      <c r="B723" s="1" t="n">
        <v>45967.37137731481</v>
      </c>
      <c r="C723" s="1" t="n">
        <v>46159</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8410-2026</t>
        </is>
      </c>
      <c r="B724" s="1" t="n">
        <v>46065.34261574074</v>
      </c>
      <c r="C724" s="1" t="n">
        <v>46159</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38720-2022</t>
        </is>
      </c>
      <c r="B725" s="1" t="n">
        <v>44815.74539351852</v>
      </c>
      <c r="C725" s="1" t="n">
        <v>46159</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8489-2026</t>
        </is>
      </c>
      <c r="B726" s="1" t="n">
        <v>46065.48268518518</v>
      </c>
      <c r="C726" s="1" t="n">
        <v>46159</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8985-2026</t>
        </is>
      </c>
      <c r="B727" s="1" t="n">
        <v>46069.45234953704</v>
      </c>
      <c r="C727" s="1" t="n">
        <v>46159</v>
      </c>
      <c r="D727" t="inlineStr">
        <is>
          <t>STOCKHOLMS LÄN</t>
        </is>
      </c>
      <c r="E727" t="inlineStr">
        <is>
          <t>NORRTÄLJE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34432-2021</t>
        </is>
      </c>
      <c r="B728" s="1" t="n">
        <v>44380.77346064815</v>
      </c>
      <c r="C728" s="1" t="n">
        <v>46159</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9103-2026</t>
        </is>
      </c>
      <c r="B729" s="1" t="n">
        <v>46069.65039351852</v>
      </c>
      <c r="C729" s="1" t="n">
        <v>46159</v>
      </c>
      <c r="D729" t="inlineStr">
        <is>
          <t>STOCKHOLMS LÄN</t>
        </is>
      </c>
      <c r="E729" t="inlineStr">
        <is>
          <t>NORRTÄLJE</t>
        </is>
      </c>
      <c r="F729" t="inlineStr">
        <is>
          <t>Holmen skog AB</t>
        </is>
      </c>
      <c r="G729" t="n">
        <v>3.6</v>
      </c>
      <c r="H729" t="n">
        <v>0</v>
      </c>
      <c r="I729" t="n">
        <v>0</v>
      </c>
      <c r="J729" t="n">
        <v>0</v>
      </c>
      <c r="K729" t="n">
        <v>0</v>
      </c>
      <c r="L729" t="n">
        <v>0</v>
      </c>
      <c r="M729" t="n">
        <v>0</v>
      </c>
      <c r="N729" t="n">
        <v>0</v>
      </c>
      <c r="O729" t="n">
        <v>0</v>
      </c>
      <c r="P729" t="n">
        <v>0</v>
      </c>
      <c r="Q729" t="n">
        <v>0</v>
      </c>
      <c r="R729" s="2" t="inlineStr"/>
    </row>
    <row r="730" ht="15" customHeight="1">
      <c r="A730" t="inlineStr">
        <is>
          <t>A 19911-2025</t>
        </is>
      </c>
      <c r="B730" s="1" t="n">
        <v>45771</v>
      </c>
      <c r="C730" s="1" t="n">
        <v>46159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55503-2025</t>
        </is>
      </c>
      <c r="B731" s="1" t="n">
        <v>45971</v>
      </c>
      <c r="C731" s="1" t="n">
        <v>46159</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8989-2026</t>
        </is>
      </c>
      <c r="B732" s="1" t="n">
        <v>46069.45789351852</v>
      </c>
      <c r="C732" s="1" t="n">
        <v>46159</v>
      </c>
      <c r="D732" t="inlineStr">
        <is>
          <t>STOCKHOLMS LÄN</t>
        </is>
      </c>
      <c r="E732" t="inlineStr">
        <is>
          <t>NORRTÄLJE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14130-2025</t>
        </is>
      </c>
      <c r="B733" s="1" t="n">
        <v>45740.47288194444</v>
      </c>
      <c r="C733" s="1" t="n">
        <v>46159</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12532-2025</t>
        </is>
      </c>
      <c r="B734" s="1" t="n">
        <v>45730.69143518519</v>
      </c>
      <c r="C734" s="1" t="n">
        <v>46159</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55599-2025</t>
        </is>
      </c>
      <c r="B735" s="1" t="n">
        <v>45971.76810185185</v>
      </c>
      <c r="C735" s="1" t="n">
        <v>46159</v>
      </c>
      <c r="D735" t="inlineStr">
        <is>
          <t>STOCKHOLMS LÄN</t>
        </is>
      </c>
      <c r="E735" t="inlineStr">
        <is>
          <t>NORRTÄLJE</t>
        </is>
      </c>
      <c r="F735" t="inlineStr">
        <is>
          <t>Holmen skog AB</t>
        </is>
      </c>
      <c r="G735" t="n">
        <v>6.4</v>
      </c>
      <c r="H735" t="n">
        <v>0</v>
      </c>
      <c r="I735" t="n">
        <v>0</v>
      </c>
      <c r="J735" t="n">
        <v>0</v>
      </c>
      <c r="K735" t="n">
        <v>0</v>
      </c>
      <c r="L735" t="n">
        <v>0</v>
      </c>
      <c r="M735" t="n">
        <v>0</v>
      </c>
      <c r="N735" t="n">
        <v>0</v>
      </c>
      <c r="O735" t="n">
        <v>0</v>
      </c>
      <c r="P735" t="n">
        <v>0</v>
      </c>
      <c r="Q735" t="n">
        <v>0</v>
      </c>
      <c r="R735" s="2" t="inlineStr"/>
    </row>
    <row r="736" ht="15" customHeight="1">
      <c r="A736" t="inlineStr">
        <is>
          <t>A 40175-2024</t>
        </is>
      </c>
      <c r="B736" s="1" t="n">
        <v>45554.55707175926</v>
      </c>
      <c r="C736" s="1" t="n">
        <v>46159</v>
      </c>
      <c r="D736" t="inlineStr">
        <is>
          <t>STOCKHOLMS LÄN</t>
        </is>
      </c>
      <c r="E736" t="inlineStr">
        <is>
          <t>NORRTÄLJE</t>
        </is>
      </c>
      <c r="G736" t="n">
        <v>7.7</v>
      </c>
      <c r="H736" t="n">
        <v>0</v>
      </c>
      <c r="I736" t="n">
        <v>0</v>
      </c>
      <c r="J736" t="n">
        <v>0</v>
      </c>
      <c r="K736" t="n">
        <v>0</v>
      </c>
      <c r="L736" t="n">
        <v>0</v>
      </c>
      <c r="M736" t="n">
        <v>0</v>
      </c>
      <c r="N736" t="n">
        <v>0</v>
      </c>
      <c r="O736" t="n">
        <v>0</v>
      </c>
      <c r="P736" t="n">
        <v>0</v>
      </c>
      <c r="Q736" t="n">
        <v>0</v>
      </c>
      <c r="R736" s="2" t="inlineStr"/>
    </row>
    <row r="737" ht="15" customHeight="1">
      <c r="A737" t="inlineStr">
        <is>
          <t>A 16229-2022</t>
        </is>
      </c>
      <c r="B737" s="1" t="n">
        <v>44670.4190162037</v>
      </c>
      <c r="C737" s="1" t="n">
        <v>46159</v>
      </c>
      <c r="D737" t="inlineStr">
        <is>
          <t>STOCKHOLMS LÄN</t>
        </is>
      </c>
      <c r="E737" t="inlineStr">
        <is>
          <t>NORRTÄLJE</t>
        </is>
      </c>
      <c r="G737" t="n">
        <v>7.4</v>
      </c>
      <c r="H737" t="n">
        <v>0</v>
      </c>
      <c r="I737" t="n">
        <v>0</v>
      </c>
      <c r="J737" t="n">
        <v>0</v>
      </c>
      <c r="K737" t="n">
        <v>0</v>
      </c>
      <c r="L737" t="n">
        <v>0</v>
      </c>
      <c r="M737" t="n">
        <v>0</v>
      </c>
      <c r="N737" t="n">
        <v>0</v>
      </c>
      <c r="O737" t="n">
        <v>0</v>
      </c>
      <c r="P737" t="n">
        <v>0</v>
      </c>
      <c r="Q737" t="n">
        <v>0</v>
      </c>
      <c r="R737" s="2" t="inlineStr"/>
    </row>
    <row r="738" ht="15" customHeight="1">
      <c r="A738" t="inlineStr">
        <is>
          <t>A 56207-2025</t>
        </is>
      </c>
      <c r="B738" s="1" t="n">
        <v>45974.47329861111</v>
      </c>
      <c r="C738" s="1" t="n">
        <v>46159</v>
      </c>
      <c r="D738" t="inlineStr">
        <is>
          <t>STOCKHOLMS LÄN</t>
        </is>
      </c>
      <c r="E738" t="inlineStr">
        <is>
          <t>NORRTÄLJE</t>
        </is>
      </c>
      <c r="G738" t="n">
        <v>3.2</v>
      </c>
      <c r="H738" t="n">
        <v>0</v>
      </c>
      <c r="I738" t="n">
        <v>0</v>
      </c>
      <c r="J738" t="n">
        <v>0</v>
      </c>
      <c r="K738" t="n">
        <v>0</v>
      </c>
      <c r="L738" t="n">
        <v>0</v>
      </c>
      <c r="M738" t="n">
        <v>0</v>
      </c>
      <c r="N738" t="n">
        <v>0</v>
      </c>
      <c r="O738" t="n">
        <v>0</v>
      </c>
      <c r="P738" t="n">
        <v>0</v>
      </c>
      <c r="Q738" t="n">
        <v>0</v>
      </c>
      <c r="R738" s="2" t="inlineStr"/>
    </row>
    <row r="739" ht="15" customHeight="1">
      <c r="A739" t="inlineStr">
        <is>
          <t>A 46914-2022</t>
        </is>
      </c>
      <c r="B739" s="1" t="n">
        <v>44851</v>
      </c>
      <c r="C739" s="1" t="n">
        <v>46159</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46159</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8962-2026</t>
        </is>
      </c>
      <c r="B741" s="1" t="n">
        <v>46069.41644675926</v>
      </c>
      <c r="C741" s="1" t="n">
        <v>46159</v>
      </c>
      <c r="D741" t="inlineStr">
        <is>
          <t>STOCKHOLMS LÄN</t>
        </is>
      </c>
      <c r="E741" t="inlineStr">
        <is>
          <t>NORRTÄLJE</t>
        </is>
      </c>
      <c r="F741" t="inlineStr">
        <is>
          <t>Holmen skog AB</t>
        </is>
      </c>
      <c r="G741" t="n">
        <v>4.1</v>
      </c>
      <c r="H741" t="n">
        <v>0</v>
      </c>
      <c r="I741" t="n">
        <v>0</v>
      </c>
      <c r="J741" t="n">
        <v>0</v>
      </c>
      <c r="K741" t="n">
        <v>0</v>
      </c>
      <c r="L741" t="n">
        <v>0</v>
      </c>
      <c r="M741" t="n">
        <v>0</v>
      </c>
      <c r="N741" t="n">
        <v>0</v>
      </c>
      <c r="O741" t="n">
        <v>0</v>
      </c>
      <c r="P741" t="n">
        <v>0</v>
      </c>
      <c r="Q741" t="n">
        <v>0</v>
      </c>
      <c r="R741" s="2" t="inlineStr"/>
    </row>
    <row r="742" ht="15" customHeight="1">
      <c r="A742" t="inlineStr">
        <is>
          <t>A 50143-2023</t>
        </is>
      </c>
      <c r="B742" s="1" t="n">
        <v>45215</v>
      </c>
      <c r="C742" s="1" t="n">
        <v>46159</v>
      </c>
      <c r="D742" t="inlineStr">
        <is>
          <t>STOCKHOLMS LÄN</t>
        </is>
      </c>
      <c r="E742" t="inlineStr">
        <is>
          <t>NORRTÄLJE</t>
        </is>
      </c>
      <c r="G742" t="n">
        <v>10.3</v>
      </c>
      <c r="H742" t="n">
        <v>0</v>
      </c>
      <c r="I742" t="n">
        <v>0</v>
      </c>
      <c r="J742" t="n">
        <v>0</v>
      </c>
      <c r="K742" t="n">
        <v>0</v>
      </c>
      <c r="L742" t="n">
        <v>0</v>
      </c>
      <c r="M742" t="n">
        <v>0</v>
      </c>
      <c r="N742" t="n">
        <v>0</v>
      </c>
      <c r="O742" t="n">
        <v>0</v>
      </c>
      <c r="P742" t="n">
        <v>0</v>
      </c>
      <c r="Q742" t="n">
        <v>0</v>
      </c>
      <c r="R742" s="2" t="inlineStr"/>
    </row>
    <row r="743" ht="15" customHeight="1">
      <c r="A743" t="inlineStr">
        <is>
          <t>A 56114-2025</t>
        </is>
      </c>
      <c r="B743" s="1" t="n">
        <v>45973.74474537037</v>
      </c>
      <c r="C743" s="1" t="n">
        <v>46159</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20015-2023</t>
        </is>
      </c>
      <c r="B744" s="1" t="n">
        <v>45054</v>
      </c>
      <c r="C744" s="1" t="n">
        <v>46159</v>
      </c>
      <c r="D744" t="inlineStr">
        <is>
          <t>STOCKHOLMS LÄN</t>
        </is>
      </c>
      <c r="E744" t="inlineStr">
        <is>
          <t>NORRTÄLJE</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5027-2025</t>
        </is>
      </c>
      <c r="B745" s="1" t="n">
        <v>45691.41101851852</v>
      </c>
      <c r="C745" s="1" t="n">
        <v>46159</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8315-2025</t>
        </is>
      </c>
      <c r="B746" s="1" t="n">
        <v>45708.61761574074</v>
      </c>
      <c r="C746" s="1" t="n">
        <v>46159</v>
      </c>
      <c r="D746" t="inlineStr">
        <is>
          <t>STOCKHOLMS LÄN</t>
        </is>
      </c>
      <c r="E746" t="inlineStr">
        <is>
          <t>NORRTÄLJE</t>
        </is>
      </c>
      <c r="G746" t="n">
        <v>3.9</v>
      </c>
      <c r="H746" t="n">
        <v>0</v>
      </c>
      <c r="I746" t="n">
        <v>0</v>
      </c>
      <c r="J746" t="n">
        <v>0</v>
      </c>
      <c r="K746" t="n">
        <v>0</v>
      </c>
      <c r="L746" t="n">
        <v>0</v>
      </c>
      <c r="M746" t="n">
        <v>0</v>
      </c>
      <c r="N746" t="n">
        <v>0</v>
      </c>
      <c r="O746" t="n">
        <v>0</v>
      </c>
      <c r="P746" t="n">
        <v>0</v>
      </c>
      <c r="Q746" t="n">
        <v>0</v>
      </c>
      <c r="R746" s="2" t="inlineStr"/>
    </row>
    <row r="747" ht="15" customHeight="1">
      <c r="A747" t="inlineStr">
        <is>
          <t>A 12251-2025</t>
        </is>
      </c>
      <c r="B747" s="1" t="n">
        <v>45729.60859953704</v>
      </c>
      <c r="C747" s="1" t="n">
        <v>46159</v>
      </c>
      <c r="D747" t="inlineStr">
        <is>
          <t>STOCKHOLMS LÄN</t>
        </is>
      </c>
      <c r="E747" t="inlineStr">
        <is>
          <t>NORRTÄLJE</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9720-2026</t>
        </is>
      </c>
      <c r="B748" s="1" t="n">
        <v>46072.45061342593</v>
      </c>
      <c r="C748" s="1" t="n">
        <v>46159</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10399-2026</t>
        </is>
      </c>
      <c r="B749" s="1" t="n">
        <v>46077</v>
      </c>
      <c r="C749" s="1" t="n">
        <v>46159</v>
      </c>
      <c r="D749" t="inlineStr">
        <is>
          <t>STOCKHOLMS LÄN</t>
        </is>
      </c>
      <c r="E749" t="inlineStr">
        <is>
          <t>NORRTÄLJE</t>
        </is>
      </c>
      <c r="F749" t="inlineStr">
        <is>
          <t>Övriga Aktiebolag</t>
        </is>
      </c>
      <c r="G749" t="n">
        <v>0.2</v>
      </c>
      <c r="H749" t="n">
        <v>0</v>
      </c>
      <c r="I749" t="n">
        <v>0</v>
      </c>
      <c r="J749" t="n">
        <v>0</v>
      </c>
      <c r="K749" t="n">
        <v>0</v>
      </c>
      <c r="L749" t="n">
        <v>0</v>
      </c>
      <c r="M749" t="n">
        <v>0</v>
      </c>
      <c r="N749" t="n">
        <v>0</v>
      </c>
      <c r="O749" t="n">
        <v>0</v>
      </c>
      <c r="P749" t="n">
        <v>0</v>
      </c>
      <c r="Q749" t="n">
        <v>0</v>
      </c>
      <c r="R749" s="2" t="inlineStr"/>
    </row>
    <row r="750" ht="15" customHeight="1">
      <c r="A750" t="inlineStr">
        <is>
          <t>A 17215-2026</t>
        </is>
      </c>
      <c r="B750" s="1" t="n">
        <v>46119.36524305555</v>
      </c>
      <c r="C750" s="1" t="n">
        <v>46159</v>
      </c>
      <c r="D750" t="inlineStr">
        <is>
          <t>STOCKHOLMS LÄN</t>
        </is>
      </c>
      <c r="E750" t="inlineStr">
        <is>
          <t>NORRTÄLJE</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17220-2026</t>
        </is>
      </c>
      <c r="B751" s="1" t="n">
        <v>46119.37436342592</v>
      </c>
      <c r="C751" s="1" t="n">
        <v>46159</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10429-2026</t>
        </is>
      </c>
      <c r="B752" s="1" t="n">
        <v>46077.3822337963</v>
      </c>
      <c r="C752" s="1" t="n">
        <v>46159</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54776-2023</t>
        </is>
      </c>
      <c r="B753" s="1" t="n">
        <v>45236.46369212963</v>
      </c>
      <c r="C753" s="1" t="n">
        <v>46159</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20144-2023</t>
        </is>
      </c>
      <c r="B754" s="1" t="n">
        <v>45055.43509259259</v>
      </c>
      <c r="C754" s="1" t="n">
        <v>46159</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17207-2026</t>
        </is>
      </c>
      <c r="B755" s="1" t="n">
        <v>46119.31914351852</v>
      </c>
      <c r="C755" s="1" t="n">
        <v>46159</v>
      </c>
      <c r="D755" t="inlineStr">
        <is>
          <t>STOCKHOLMS LÄN</t>
        </is>
      </c>
      <c r="E755" t="inlineStr">
        <is>
          <t>NORRTÄLJE</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13314-2025</t>
        </is>
      </c>
      <c r="B756" s="1" t="n">
        <v>45735.59287037037</v>
      </c>
      <c r="C756" s="1" t="n">
        <v>46159</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10586-2026</t>
        </is>
      </c>
      <c r="B757" s="1" t="n">
        <v>46077.68192129629</v>
      </c>
      <c r="C757" s="1" t="n">
        <v>46159</v>
      </c>
      <c r="D757" t="inlineStr">
        <is>
          <t>STOCKHOLMS LÄN</t>
        </is>
      </c>
      <c r="E757" t="inlineStr">
        <is>
          <t>NORRTÄLJE</t>
        </is>
      </c>
      <c r="F757" t="inlineStr">
        <is>
          <t>Holmen skog AB</t>
        </is>
      </c>
      <c r="G757" t="n">
        <v>3.3</v>
      </c>
      <c r="H757" t="n">
        <v>0</v>
      </c>
      <c r="I757" t="n">
        <v>0</v>
      </c>
      <c r="J757" t="n">
        <v>0</v>
      </c>
      <c r="K757" t="n">
        <v>0</v>
      </c>
      <c r="L757" t="n">
        <v>0</v>
      </c>
      <c r="M757" t="n">
        <v>0</v>
      </c>
      <c r="N757" t="n">
        <v>0</v>
      </c>
      <c r="O757" t="n">
        <v>0</v>
      </c>
      <c r="P757" t="n">
        <v>0</v>
      </c>
      <c r="Q757" t="n">
        <v>0</v>
      </c>
      <c r="R757" s="2" t="inlineStr"/>
    </row>
    <row r="758" ht="15" customHeight="1">
      <c r="A758" t="inlineStr">
        <is>
          <t>A 23056-2023</t>
        </is>
      </c>
      <c r="B758" s="1" t="n">
        <v>45075</v>
      </c>
      <c r="C758" s="1" t="n">
        <v>46159</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58142-2025</t>
        </is>
      </c>
      <c r="B759" s="1" t="n">
        <v>45982.63791666667</v>
      </c>
      <c r="C759" s="1" t="n">
        <v>46159</v>
      </c>
      <c r="D759" t="inlineStr">
        <is>
          <t>STOCKHOLMS LÄN</t>
        </is>
      </c>
      <c r="E759" t="inlineStr">
        <is>
          <t>NORRTÄLJE</t>
        </is>
      </c>
      <c r="G759" t="n">
        <v>3.3</v>
      </c>
      <c r="H759" t="n">
        <v>0</v>
      </c>
      <c r="I759" t="n">
        <v>0</v>
      </c>
      <c r="J759" t="n">
        <v>0</v>
      </c>
      <c r="K759" t="n">
        <v>0</v>
      </c>
      <c r="L759" t="n">
        <v>0</v>
      </c>
      <c r="M759" t="n">
        <v>0</v>
      </c>
      <c r="N759" t="n">
        <v>0</v>
      </c>
      <c r="O759" t="n">
        <v>0</v>
      </c>
      <c r="P759" t="n">
        <v>0</v>
      </c>
      <c r="Q759" t="n">
        <v>0</v>
      </c>
      <c r="R759" s="2" t="inlineStr"/>
    </row>
    <row r="760" ht="15" customHeight="1">
      <c r="A760" t="inlineStr">
        <is>
          <t>A 10444-2026</t>
        </is>
      </c>
      <c r="B760" s="1" t="n">
        <v>46077.42230324074</v>
      </c>
      <c r="C760" s="1" t="n">
        <v>46159</v>
      </c>
      <c r="D760" t="inlineStr">
        <is>
          <t>STOCKHOLMS LÄN</t>
        </is>
      </c>
      <c r="E760" t="inlineStr">
        <is>
          <t>NORRTÄLJE</t>
        </is>
      </c>
      <c r="F760" t="inlineStr">
        <is>
          <t>Holmen skog AB</t>
        </is>
      </c>
      <c r="G760" t="n">
        <v>4.9</v>
      </c>
      <c r="H760" t="n">
        <v>0</v>
      </c>
      <c r="I760" t="n">
        <v>0</v>
      </c>
      <c r="J760" t="n">
        <v>0</v>
      </c>
      <c r="K760" t="n">
        <v>0</v>
      </c>
      <c r="L760" t="n">
        <v>0</v>
      </c>
      <c r="M760" t="n">
        <v>0</v>
      </c>
      <c r="N760" t="n">
        <v>0</v>
      </c>
      <c r="O760" t="n">
        <v>0</v>
      </c>
      <c r="P760" t="n">
        <v>0</v>
      </c>
      <c r="Q760" t="n">
        <v>0</v>
      </c>
      <c r="R760" s="2" t="inlineStr"/>
    </row>
    <row r="761" ht="15" customHeight="1">
      <c r="A761" t="inlineStr">
        <is>
          <t>A 13172-2025</t>
        </is>
      </c>
      <c r="B761" s="1" t="n">
        <v>45735.36873842592</v>
      </c>
      <c r="C761" s="1" t="n">
        <v>46159</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46159</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19025-2025</t>
        </is>
      </c>
      <c r="B763" s="1" t="n">
        <v>45764.6359837963</v>
      </c>
      <c r="C763" s="1" t="n">
        <v>46159</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10553-2026</t>
        </is>
      </c>
      <c r="B764" s="1" t="n">
        <v>46077.62944444444</v>
      </c>
      <c r="C764" s="1" t="n">
        <v>46159</v>
      </c>
      <c r="D764" t="inlineStr">
        <is>
          <t>STOCKHOLMS LÄN</t>
        </is>
      </c>
      <c r="E764" t="inlineStr">
        <is>
          <t>NORRTÄLJE</t>
        </is>
      </c>
      <c r="G764" t="n">
        <v>4.9</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46159</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73307-2021</t>
        </is>
      </c>
      <c r="B766" s="1" t="n">
        <v>44549</v>
      </c>
      <c r="C766" s="1" t="n">
        <v>46159</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21731-2023</t>
        </is>
      </c>
      <c r="B767" s="1" t="n">
        <v>45063</v>
      </c>
      <c r="C767" s="1" t="n">
        <v>46159</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21745-2023</t>
        </is>
      </c>
      <c r="B768" s="1" t="n">
        <v>45065.55917824074</v>
      </c>
      <c r="C768" s="1" t="n">
        <v>46159</v>
      </c>
      <c r="D768" t="inlineStr">
        <is>
          <t>STOCKHOLMS LÄN</t>
        </is>
      </c>
      <c r="E768" t="inlineStr">
        <is>
          <t>NORRTÄLJE</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58403-2025</t>
        </is>
      </c>
      <c r="B769" s="1" t="n">
        <v>45985.56777777777</v>
      </c>
      <c r="C769" s="1" t="n">
        <v>46159</v>
      </c>
      <c r="D769" t="inlineStr">
        <is>
          <t>STOCKHOLMS LÄN</t>
        </is>
      </c>
      <c r="E769" t="inlineStr">
        <is>
          <t>NORRTÄLJE</t>
        </is>
      </c>
      <c r="F769" t="inlineStr">
        <is>
          <t>Naturvårdsverket</t>
        </is>
      </c>
      <c r="G769" t="n">
        <v>13.5</v>
      </c>
      <c r="H769" t="n">
        <v>0</v>
      </c>
      <c r="I769" t="n">
        <v>0</v>
      </c>
      <c r="J769" t="n">
        <v>0</v>
      </c>
      <c r="K769" t="n">
        <v>0</v>
      </c>
      <c r="L769" t="n">
        <v>0</v>
      </c>
      <c r="M769" t="n">
        <v>0</v>
      </c>
      <c r="N769" t="n">
        <v>0</v>
      </c>
      <c r="O769" t="n">
        <v>0</v>
      </c>
      <c r="P769" t="n">
        <v>0</v>
      </c>
      <c r="Q769" t="n">
        <v>0</v>
      </c>
      <c r="R769" s="2" t="inlineStr"/>
    </row>
    <row r="770" ht="15" customHeight="1">
      <c r="A770" t="inlineStr">
        <is>
          <t>A 30221-2024</t>
        </is>
      </c>
      <c r="B770" s="1" t="n">
        <v>45490.45342592592</v>
      </c>
      <c r="C770" s="1" t="n">
        <v>46159</v>
      </c>
      <c r="D770" t="inlineStr">
        <is>
          <t>STOCKHOLMS LÄN</t>
        </is>
      </c>
      <c r="E770" t="inlineStr">
        <is>
          <t>NORRTÄLJE</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26365-2024</t>
        </is>
      </c>
      <c r="B771" s="1" t="n">
        <v>45469</v>
      </c>
      <c r="C771" s="1" t="n">
        <v>46159</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17209-2026</t>
        </is>
      </c>
      <c r="B772" s="1" t="n">
        <v>46119.33341435185</v>
      </c>
      <c r="C772" s="1" t="n">
        <v>46159</v>
      </c>
      <c r="D772" t="inlineStr">
        <is>
          <t>STOCKHOLMS LÄN</t>
        </is>
      </c>
      <c r="E772" t="inlineStr">
        <is>
          <t>NORRTÄLJE</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50602-2021</t>
        </is>
      </c>
      <c r="B773" s="1" t="n">
        <v>44459</v>
      </c>
      <c r="C773" s="1" t="n">
        <v>46159</v>
      </c>
      <c r="D773" t="inlineStr">
        <is>
          <t>STOCKHOLMS LÄN</t>
        </is>
      </c>
      <c r="E773" t="inlineStr">
        <is>
          <t>NORRTÄLJE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48798-2021</t>
        </is>
      </c>
      <c r="B774" s="1" t="n">
        <v>44452</v>
      </c>
      <c r="C774" s="1" t="n">
        <v>46159</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58939-2025</t>
        </is>
      </c>
      <c r="B775" s="1" t="n">
        <v>45987.5681712963</v>
      </c>
      <c r="C775" s="1" t="n">
        <v>46159</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57788-2025</t>
        </is>
      </c>
      <c r="B776" s="1" t="n">
        <v>45981.5778125</v>
      </c>
      <c r="C776" s="1" t="n">
        <v>46159</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30283-2022</t>
        </is>
      </c>
      <c r="B777" s="1" t="n">
        <v>44760</v>
      </c>
      <c r="C777" s="1" t="n">
        <v>46159</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30290-2022</t>
        </is>
      </c>
      <c r="B778" s="1" t="n">
        <v>44760</v>
      </c>
      <c r="C778" s="1" t="n">
        <v>46159</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38985-2022</t>
        </is>
      </c>
      <c r="B779" s="1" t="n">
        <v>44816</v>
      </c>
      <c r="C779" s="1" t="n">
        <v>46159</v>
      </c>
      <c r="D779" t="inlineStr">
        <is>
          <t>STOCKHOLMS LÄN</t>
        </is>
      </c>
      <c r="E779" t="inlineStr">
        <is>
          <t>NORRTÄLJE</t>
        </is>
      </c>
      <c r="G779" t="n">
        <v>10.1</v>
      </c>
      <c r="H779" t="n">
        <v>0</v>
      </c>
      <c r="I779" t="n">
        <v>0</v>
      </c>
      <c r="J779" t="n">
        <v>0</v>
      </c>
      <c r="K779" t="n">
        <v>0</v>
      </c>
      <c r="L779" t="n">
        <v>0</v>
      </c>
      <c r="M779" t="n">
        <v>0</v>
      </c>
      <c r="N779" t="n">
        <v>0</v>
      </c>
      <c r="O779" t="n">
        <v>0</v>
      </c>
      <c r="P779" t="n">
        <v>0</v>
      </c>
      <c r="Q779" t="n">
        <v>0</v>
      </c>
      <c r="R779" s="2" t="inlineStr"/>
    </row>
    <row r="780" ht="15" customHeight="1">
      <c r="A780" t="inlineStr">
        <is>
          <t>A 25625-2023</t>
        </is>
      </c>
      <c r="B780" s="1" t="n">
        <v>45089</v>
      </c>
      <c r="C780" s="1" t="n">
        <v>46159</v>
      </c>
      <c r="D780" t="inlineStr">
        <is>
          <t>STOCKHOLMS LÄN</t>
        </is>
      </c>
      <c r="E780" t="inlineStr">
        <is>
          <t>NORRTÄLJE</t>
        </is>
      </c>
      <c r="G780" t="n">
        <v>5.5</v>
      </c>
      <c r="H780" t="n">
        <v>0</v>
      </c>
      <c r="I780" t="n">
        <v>0</v>
      </c>
      <c r="J780" t="n">
        <v>0</v>
      </c>
      <c r="K780" t="n">
        <v>0</v>
      </c>
      <c r="L780" t="n">
        <v>0</v>
      </c>
      <c r="M780" t="n">
        <v>0</v>
      </c>
      <c r="N780" t="n">
        <v>0</v>
      </c>
      <c r="O780" t="n">
        <v>0</v>
      </c>
      <c r="P780" t="n">
        <v>0</v>
      </c>
      <c r="Q780" t="n">
        <v>0</v>
      </c>
      <c r="R780" s="2" t="inlineStr"/>
    </row>
    <row r="781" ht="15" customHeight="1">
      <c r="A781" t="inlineStr">
        <is>
          <t>A 59672-2025</t>
        </is>
      </c>
      <c r="B781" s="1" t="n">
        <v>45992.45884259259</v>
      </c>
      <c r="C781" s="1" t="n">
        <v>46159</v>
      </c>
      <c r="D781" t="inlineStr">
        <is>
          <t>STOCKHOLMS LÄN</t>
        </is>
      </c>
      <c r="E781" t="inlineStr">
        <is>
          <t>NORRTÄLJE</t>
        </is>
      </c>
      <c r="G781" t="n">
        <v>4</v>
      </c>
      <c r="H781" t="n">
        <v>0</v>
      </c>
      <c r="I781" t="n">
        <v>0</v>
      </c>
      <c r="J781" t="n">
        <v>0</v>
      </c>
      <c r="K781" t="n">
        <v>0</v>
      </c>
      <c r="L781" t="n">
        <v>0</v>
      </c>
      <c r="M781" t="n">
        <v>0</v>
      </c>
      <c r="N781" t="n">
        <v>0</v>
      </c>
      <c r="O781" t="n">
        <v>0</v>
      </c>
      <c r="P781" t="n">
        <v>0</v>
      </c>
      <c r="Q781" t="n">
        <v>0</v>
      </c>
      <c r="R781" s="2" t="inlineStr"/>
    </row>
    <row r="782" ht="15" customHeight="1">
      <c r="A782" t="inlineStr">
        <is>
          <t>A 60223-2025</t>
        </is>
      </c>
      <c r="B782" s="1" t="n">
        <v>45994.54497685185</v>
      </c>
      <c r="C782" s="1" t="n">
        <v>46159</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59914-2025</t>
        </is>
      </c>
      <c r="B783" s="1" t="n">
        <v>45993.37056712963</v>
      </c>
      <c r="C783" s="1" t="n">
        <v>46159</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59041-2025</t>
        </is>
      </c>
      <c r="B784" s="1" t="n">
        <v>45988</v>
      </c>
      <c r="C784" s="1" t="n">
        <v>46159</v>
      </c>
      <c r="D784" t="inlineStr">
        <is>
          <t>STOCKHOLMS LÄN</t>
        </is>
      </c>
      <c r="E784" t="inlineStr">
        <is>
          <t>NORRTÄLJE</t>
        </is>
      </c>
      <c r="G784" t="n">
        <v>6.6</v>
      </c>
      <c r="H784" t="n">
        <v>0</v>
      </c>
      <c r="I784" t="n">
        <v>0</v>
      </c>
      <c r="J784" t="n">
        <v>0</v>
      </c>
      <c r="K784" t="n">
        <v>0</v>
      </c>
      <c r="L784" t="n">
        <v>0</v>
      </c>
      <c r="M784" t="n">
        <v>0</v>
      </c>
      <c r="N784" t="n">
        <v>0</v>
      </c>
      <c r="O784" t="n">
        <v>0</v>
      </c>
      <c r="P784" t="n">
        <v>0</v>
      </c>
      <c r="Q784" t="n">
        <v>0</v>
      </c>
      <c r="R784" s="2" t="inlineStr"/>
    </row>
    <row r="785" ht="15" customHeight="1">
      <c r="A785" t="inlineStr">
        <is>
          <t>A 14132-2025</t>
        </is>
      </c>
      <c r="B785" s="1" t="n">
        <v>45740.47550925926</v>
      </c>
      <c r="C785" s="1" t="n">
        <v>46159</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14133-2025</t>
        </is>
      </c>
      <c r="B786" s="1" t="n">
        <v>45740.47724537037</v>
      </c>
      <c r="C786" s="1" t="n">
        <v>46159</v>
      </c>
      <c r="D786" t="inlineStr">
        <is>
          <t>STOCKHOLMS LÄN</t>
        </is>
      </c>
      <c r="E786" t="inlineStr">
        <is>
          <t>NORRTÄLJE</t>
        </is>
      </c>
      <c r="G786" t="n">
        <v>0.4</v>
      </c>
      <c r="H786" t="n">
        <v>0</v>
      </c>
      <c r="I786" t="n">
        <v>0</v>
      </c>
      <c r="J786" t="n">
        <v>0</v>
      </c>
      <c r="K786" t="n">
        <v>0</v>
      </c>
      <c r="L786" t="n">
        <v>0</v>
      </c>
      <c r="M786" t="n">
        <v>0</v>
      </c>
      <c r="N786" t="n">
        <v>0</v>
      </c>
      <c r="O786" t="n">
        <v>0</v>
      </c>
      <c r="P786" t="n">
        <v>0</v>
      </c>
      <c r="Q786" t="n">
        <v>0</v>
      </c>
      <c r="R786" s="2" t="inlineStr"/>
    </row>
    <row r="787" ht="15" customHeight="1">
      <c r="A787" t="inlineStr">
        <is>
          <t>A 60214-2025</t>
        </is>
      </c>
      <c r="B787" s="1" t="n">
        <v>45994.53761574074</v>
      </c>
      <c r="C787" s="1" t="n">
        <v>46159</v>
      </c>
      <c r="D787" t="inlineStr">
        <is>
          <t>STOCKHOLMS LÄN</t>
        </is>
      </c>
      <c r="E787" t="inlineStr">
        <is>
          <t>NORRTÄLJE</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7186-2024</t>
        </is>
      </c>
      <c r="B788" s="1" t="n">
        <v>45344</v>
      </c>
      <c r="C788" s="1" t="n">
        <v>46159</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60253-2025</t>
        </is>
      </c>
      <c r="B789" s="1" t="n">
        <v>45994.59827546297</v>
      </c>
      <c r="C789" s="1" t="n">
        <v>46159</v>
      </c>
      <c r="D789" t="inlineStr">
        <is>
          <t>STOCKHOLMS LÄN</t>
        </is>
      </c>
      <c r="E789" t="inlineStr">
        <is>
          <t>NORRTÄLJE</t>
        </is>
      </c>
      <c r="F789" t="inlineStr">
        <is>
          <t>Holmen skog AB</t>
        </is>
      </c>
      <c r="G789" t="n">
        <v>3.6</v>
      </c>
      <c r="H789" t="n">
        <v>0</v>
      </c>
      <c r="I789" t="n">
        <v>0</v>
      </c>
      <c r="J789" t="n">
        <v>0</v>
      </c>
      <c r="K789" t="n">
        <v>0</v>
      </c>
      <c r="L789" t="n">
        <v>0</v>
      </c>
      <c r="M789" t="n">
        <v>0</v>
      </c>
      <c r="N789" t="n">
        <v>0</v>
      </c>
      <c r="O789" t="n">
        <v>0</v>
      </c>
      <c r="P789" t="n">
        <v>0</v>
      </c>
      <c r="Q789" t="n">
        <v>0</v>
      </c>
      <c r="R789" s="2" t="inlineStr"/>
    </row>
    <row r="790" ht="15" customHeight="1">
      <c r="A790" t="inlineStr">
        <is>
          <t>A 59907-2025</t>
        </is>
      </c>
      <c r="B790" s="1" t="n">
        <v>45993.35350694445</v>
      </c>
      <c r="C790" s="1" t="n">
        <v>46159</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59924-2025</t>
        </is>
      </c>
      <c r="B791" s="1" t="n">
        <v>45993.38928240741</v>
      </c>
      <c r="C791" s="1" t="n">
        <v>46159</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39202-2024</t>
        </is>
      </c>
      <c r="B792" s="1" t="n">
        <v>45548.72306712963</v>
      </c>
      <c r="C792" s="1" t="n">
        <v>46159</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60649-2025</t>
        </is>
      </c>
      <c r="B793" s="1" t="n">
        <v>45996.4560300926</v>
      </c>
      <c r="C793" s="1" t="n">
        <v>46159</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17651-2026</t>
        </is>
      </c>
      <c r="B794" s="1" t="n">
        <v>46121.55334490741</v>
      </c>
      <c r="C794" s="1" t="n">
        <v>46159</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53792-2023</t>
        </is>
      </c>
      <c r="B795" s="1" t="n">
        <v>45231.34144675926</v>
      </c>
      <c r="C795" s="1" t="n">
        <v>46159</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11280-2023</t>
        </is>
      </c>
      <c r="B796" s="1" t="n">
        <v>44992</v>
      </c>
      <c r="C796" s="1" t="n">
        <v>46159</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60745-2025</t>
        </is>
      </c>
      <c r="B797" s="1" t="n">
        <v>45999.37753472223</v>
      </c>
      <c r="C797" s="1" t="n">
        <v>46159</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57442-2021</t>
        </is>
      </c>
      <c r="B798" s="1" t="n">
        <v>44483</v>
      </c>
      <c r="C798" s="1" t="n">
        <v>46159</v>
      </c>
      <c r="D798" t="inlineStr">
        <is>
          <t>STOCKHOLMS LÄN</t>
        </is>
      </c>
      <c r="E798" t="inlineStr">
        <is>
          <t>NORRTÄLJE</t>
        </is>
      </c>
      <c r="G798" t="n">
        <v>3.3</v>
      </c>
      <c r="H798" t="n">
        <v>0</v>
      </c>
      <c r="I798" t="n">
        <v>0</v>
      </c>
      <c r="J798" t="n">
        <v>0</v>
      </c>
      <c r="K798" t="n">
        <v>0</v>
      </c>
      <c r="L798" t="n">
        <v>0</v>
      </c>
      <c r="M798" t="n">
        <v>0</v>
      </c>
      <c r="N798" t="n">
        <v>0</v>
      </c>
      <c r="O798" t="n">
        <v>0</v>
      </c>
      <c r="P798" t="n">
        <v>0</v>
      </c>
      <c r="Q798" t="n">
        <v>0</v>
      </c>
      <c r="R798" s="2" t="inlineStr"/>
    </row>
    <row r="799" ht="15" customHeight="1">
      <c r="A799" t="inlineStr">
        <is>
          <t>A 19952-2023</t>
        </is>
      </c>
      <c r="B799" s="1" t="n">
        <v>45054.54091435186</v>
      </c>
      <c r="C799" s="1" t="n">
        <v>46159</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19994-2023</t>
        </is>
      </c>
      <c r="B800" s="1" t="n">
        <v>45054</v>
      </c>
      <c r="C800" s="1" t="n">
        <v>46159</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60928-2025</t>
        </is>
      </c>
      <c r="B801" s="1" t="n">
        <v>45999.633125</v>
      </c>
      <c r="C801" s="1" t="n">
        <v>46159</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60948-2025</t>
        </is>
      </c>
      <c r="B802" s="1" t="n">
        <v>45999.650625</v>
      </c>
      <c r="C802" s="1" t="n">
        <v>46159</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29003-2023</t>
        </is>
      </c>
      <c r="B803" s="1" t="n">
        <v>45104</v>
      </c>
      <c r="C803" s="1" t="n">
        <v>46159</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61160-2025</t>
        </is>
      </c>
      <c r="B804" s="1" t="n">
        <v>46000.55262731481</v>
      </c>
      <c r="C804" s="1" t="n">
        <v>46159</v>
      </c>
      <c r="D804" t="inlineStr">
        <is>
          <t>STOCKHOLMS LÄN</t>
        </is>
      </c>
      <c r="E804" t="inlineStr">
        <is>
          <t>NORRTÄLJE</t>
        </is>
      </c>
      <c r="G804" t="n">
        <v>5.3</v>
      </c>
      <c r="H804" t="n">
        <v>0</v>
      </c>
      <c r="I804" t="n">
        <v>0</v>
      </c>
      <c r="J804" t="n">
        <v>0</v>
      </c>
      <c r="K804" t="n">
        <v>0</v>
      </c>
      <c r="L804" t="n">
        <v>0</v>
      </c>
      <c r="M804" t="n">
        <v>0</v>
      </c>
      <c r="N804" t="n">
        <v>0</v>
      </c>
      <c r="O804" t="n">
        <v>0</v>
      </c>
      <c r="P804" t="n">
        <v>0</v>
      </c>
      <c r="Q804" t="n">
        <v>0</v>
      </c>
      <c r="R804" s="2" t="inlineStr"/>
    </row>
    <row r="805" ht="15" customHeight="1">
      <c r="A805" t="inlineStr">
        <is>
          <t>A 15956-2023</t>
        </is>
      </c>
      <c r="B805" s="1" t="n">
        <v>45022.61003472222</v>
      </c>
      <c r="C805" s="1" t="n">
        <v>46159</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10646-2026</t>
        </is>
      </c>
      <c r="B806" s="1" t="n">
        <v>46078.34157407407</v>
      </c>
      <c r="C806" s="1" t="n">
        <v>46159</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61769-2025</t>
        </is>
      </c>
      <c r="B807" s="1" t="n">
        <v>46002.64556712963</v>
      </c>
      <c r="C807" s="1" t="n">
        <v>46159</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61764-2025</t>
        </is>
      </c>
      <c r="B808" s="1" t="n">
        <v>46002.62763888889</v>
      </c>
      <c r="C808" s="1" t="n">
        <v>46159</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13053-2022</t>
        </is>
      </c>
      <c r="B809" s="1" t="n">
        <v>44643</v>
      </c>
      <c r="C809" s="1" t="n">
        <v>46159</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61289-2025</t>
        </is>
      </c>
      <c r="B810" s="1" t="n">
        <v>46000.73659722223</v>
      </c>
      <c r="C810" s="1" t="n">
        <v>46159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61419-2025</t>
        </is>
      </c>
      <c r="B811" s="1" t="n">
        <v>46001.54137731482</v>
      </c>
      <c r="C811" s="1" t="n">
        <v>46159</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61430-2025</t>
        </is>
      </c>
      <c r="B812" s="1" t="n">
        <v>46001.55583333333</v>
      </c>
      <c r="C812" s="1" t="n">
        <v>46159</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61452-2025</t>
        </is>
      </c>
      <c r="B813" s="1" t="n">
        <v>46001.58043981482</v>
      </c>
      <c r="C813" s="1" t="n">
        <v>46159</v>
      </c>
      <c r="D813" t="inlineStr">
        <is>
          <t>STOCKHOLMS LÄN</t>
        </is>
      </c>
      <c r="E813" t="inlineStr">
        <is>
          <t>NORRTÄLJE</t>
        </is>
      </c>
      <c r="F813" t="inlineStr">
        <is>
          <t>Holmen skog AB</t>
        </is>
      </c>
      <c r="G813" t="n">
        <v>3.7</v>
      </c>
      <c r="H813" t="n">
        <v>0</v>
      </c>
      <c r="I813" t="n">
        <v>0</v>
      </c>
      <c r="J813" t="n">
        <v>0</v>
      </c>
      <c r="K813" t="n">
        <v>0</v>
      </c>
      <c r="L813" t="n">
        <v>0</v>
      </c>
      <c r="M813" t="n">
        <v>0</v>
      </c>
      <c r="N813" t="n">
        <v>0</v>
      </c>
      <c r="O813" t="n">
        <v>0</v>
      </c>
      <c r="P813" t="n">
        <v>0</v>
      </c>
      <c r="Q813" t="n">
        <v>0</v>
      </c>
      <c r="R813" s="2" t="inlineStr"/>
    </row>
    <row r="814" ht="15" customHeight="1">
      <c r="A814" t="inlineStr">
        <is>
          <t>A 3383-2023</t>
        </is>
      </c>
      <c r="B814" s="1" t="n">
        <v>44949</v>
      </c>
      <c r="C814" s="1" t="n">
        <v>46159</v>
      </c>
      <c r="D814" t="inlineStr">
        <is>
          <t>STOCKHOLMS LÄN</t>
        </is>
      </c>
      <c r="E814" t="inlineStr">
        <is>
          <t>NORRTÄLJE</t>
        </is>
      </c>
      <c r="G814" t="n">
        <v>14.6</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46159</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46159</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53499-2025</t>
        </is>
      </c>
      <c r="B817" s="1" t="n">
        <v>45960</v>
      </c>
      <c r="C817" s="1" t="n">
        <v>46159</v>
      </c>
      <c r="D817" t="inlineStr">
        <is>
          <t>STOCKHOLMS LÄN</t>
        </is>
      </c>
      <c r="E817" t="inlineStr">
        <is>
          <t>NORRTÄLJE</t>
        </is>
      </c>
      <c r="G817" t="n">
        <v>23.8</v>
      </c>
      <c r="H817" t="n">
        <v>0</v>
      </c>
      <c r="I817" t="n">
        <v>0</v>
      </c>
      <c r="J817" t="n">
        <v>0</v>
      </c>
      <c r="K817" t="n">
        <v>0</v>
      </c>
      <c r="L817" t="n">
        <v>0</v>
      </c>
      <c r="M817" t="n">
        <v>0</v>
      </c>
      <c r="N817" t="n">
        <v>0</v>
      </c>
      <c r="O817" t="n">
        <v>0</v>
      </c>
      <c r="P817" t="n">
        <v>0</v>
      </c>
      <c r="Q817" t="n">
        <v>0</v>
      </c>
      <c r="R817" s="2" t="inlineStr"/>
    </row>
    <row r="818" ht="15" customHeight="1">
      <c r="A818" t="inlineStr">
        <is>
          <t>A 5804-2025</t>
        </is>
      </c>
      <c r="B818" s="1" t="n">
        <v>45694.68207175926</v>
      </c>
      <c r="C818" s="1" t="n">
        <v>46159</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62708-2025</t>
        </is>
      </c>
      <c r="B819" s="1" t="n">
        <v>46008.50986111111</v>
      </c>
      <c r="C819" s="1" t="n">
        <v>46159</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24705-2023</t>
        </is>
      </c>
      <c r="B820" s="1" t="n">
        <v>45084.54459490741</v>
      </c>
      <c r="C820" s="1" t="n">
        <v>46159</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62689-2025</t>
        </is>
      </c>
      <c r="B821" s="1" t="n">
        <v>46008.47171296296</v>
      </c>
      <c r="C821" s="1" t="n">
        <v>46159</v>
      </c>
      <c r="D821" t="inlineStr">
        <is>
          <t>STOCKHOLMS LÄN</t>
        </is>
      </c>
      <c r="E821" t="inlineStr">
        <is>
          <t>NORRTÄLJE</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54358-2022</t>
        </is>
      </c>
      <c r="B822" s="1" t="n">
        <v>44882</v>
      </c>
      <c r="C822" s="1" t="n">
        <v>46159</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33279-2025</t>
        </is>
      </c>
      <c r="B823" s="1" t="n">
        <v>45840</v>
      </c>
      <c r="C823" s="1" t="n">
        <v>46159</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23749-2024</t>
        </is>
      </c>
      <c r="B824" s="1" t="n">
        <v>45455.33037037037</v>
      </c>
      <c r="C824" s="1" t="n">
        <v>46159</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35698-2023</t>
        </is>
      </c>
      <c r="B825" s="1" t="n">
        <v>45147</v>
      </c>
      <c r="C825" s="1" t="n">
        <v>46159</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62681-2025</t>
        </is>
      </c>
      <c r="B826" s="1" t="n">
        <v>46008.45534722223</v>
      </c>
      <c r="C826" s="1" t="n">
        <v>46159</v>
      </c>
      <c r="D826" t="inlineStr">
        <is>
          <t>STOCKHOLMS LÄN</t>
        </is>
      </c>
      <c r="E826" t="inlineStr">
        <is>
          <t>NORRTÄLJE</t>
        </is>
      </c>
      <c r="G826" t="n">
        <v>2.4</v>
      </c>
      <c r="H826" t="n">
        <v>0</v>
      </c>
      <c r="I826" t="n">
        <v>0</v>
      </c>
      <c r="J826" t="n">
        <v>0</v>
      </c>
      <c r="K826" t="n">
        <v>0</v>
      </c>
      <c r="L826" t="n">
        <v>0</v>
      </c>
      <c r="M826" t="n">
        <v>0</v>
      </c>
      <c r="N826" t="n">
        <v>0</v>
      </c>
      <c r="O826" t="n">
        <v>0</v>
      </c>
      <c r="P826" t="n">
        <v>0</v>
      </c>
      <c r="Q826" t="n">
        <v>0</v>
      </c>
      <c r="R826" s="2" t="inlineStr"/>
    </row>
    <row r="827" ht="15" customHeight="1">
      <c r="A827" t="inlineStr">
        <is>
          <t>A 73992-2021</t>
        </is>
      </c>
      <c r="B827" s="1" t="n">
        <v>44556</v>
      </c>
      <c r="C827" s="1" t="n">
        <v>46159</v>
      </c>
      <c r="D827" t="inlineStr">
        <is>
          <t>STOCKHOLMS LÄN</t>
        </is>
      </c>
      <c r="E827" t="inlineStr">
        <is>
          <t>NORRTÄLJE</t>
        </is>
      </c>
      <c r="G827" t="n">
        <v>12.5</v>
      </c>
      <c r="H827" t="n">
        <v>0</v>
      </c>
      <c r="I827" t="n">
        <v>0</v>
      </c>
      <c r="J827" t="n">
        <v>0</v>
      </c>
      <c r="K827" t="n">
        <v>0</v>
      </c>
      <c r="L827" t="n">
        <v>0</v>
      </c>
      <c r="M827" t="n">
        <v>0</v>
      </c>
      <c r="N827" t="n">
        <v>0</v>
      </c>
      <c r="O827" t="n">
        <v>0</v>
      </c>
      <c r="P827" t="n">
        <v>0</v>
      </c>
      <c r="Q827" t="n">
        <v>0</v>
      </c>
      <c r="R827" s="2" t="inlineStr"/>
    </row>
    <row r="828" ht="15" customHeight="1">
      <c r="A828" t="inlineStr">
        <is>
          <t>A 34478-2025</t>
        </is>
      </c>
      <c r="B828" s="1" t="n">
        <v>45847</v>
      </c>
      <c r="C828" s="1" t="n">
        <v>46159</v>
      </c>
      <c r="D828" t="inlineStr">
        <is>
          <t>STOCKHOLMS LÄN</t>
        </is>
      </c>
      <c r="E828" t="inlineStr">
        <is>
          <t>NORRTÄLJE</t>
        </is>
      </c>
      <c r="F828" t="inlineStr">
        <is>
          <t>Övriga Aktiebolag</t>
        </is>
      </c>
      <c r="G828" t="n">
        <v>10.8</v>
      </c>
      <c r="H828" t="n">
        <v>0</v>
      </c>
      <c r="I828" t="n">
        <v>0</v>
      </c>
      <c r="J828" t="n">
        <v>0</v>
      </c>
      <c r="K828" t="n">
        <v>0</v>
      </c>
      <c r="L828" t="n">
        <v>0</v>
      </c>
      <c r="M828" t="n">
        <v>0</v>
      </c>
      <c r="N828" t="n">
        <v>0</v>
      </c>
      <c r="O828" t="n">
        <v>0</v>
      </c>
      <c r="P828" t="n">
        <v>0</v>
      </c>
      <c r="Q828" t="n">
        <v>0</v>
      </c>
      <c r="R828" s="2" t="inlineStr"/>
    </row>
    <row r="829" ht="15" customHeight="1">
      <c r="A829" t="inlineStr">
        <is>
          <t>A 21329-2022</t>
        </is>
      </c>
      <c r="B829" s="1" t="n">
        <v>44705.60626157407</v>
      </c>
      <c r="C829" s="1" t="n">
        <v>46159</v>
      </c>
      <c r="D829" t="inlineStr">
        <is>
          <t>STOCKHOLMS LÄN</t>
        </is>
      </c>
      <c r="E829" t="inlineStr">
        <is>
          <t>NORRTÄLJE</t>
        </is>
      </c>
      <c r="G829" t="n">
        <v>4.1</v>
      </c>
      <c r="H829" t="n">
        <v>0</v>
      </c>
      <c r="I829" t="n">
        <v>0</v>
      </c>
      <c r="J829" t="n">
        <v>0</v>
      </c>
      <c r="K829" t="n">
        <v>0</v>
      </c>
      <c r="L829" t="n">
        <v>0</v>
      </c>
      <c r="M829" t="n">
        <v>0</v>
      </c>
      <c r="N829" t="n">
        <v>0</v>
      </c>
      <c r="O829" t="n">
        <v>0</v>
      </c>
      <c r="P829" t="n">
        <v>0</v>
      </c>
      <c r="Q829" t="n">
        <v>0</v>
      </c>
      <c r="R829" s="2" t="inlineStr"/>
    </row>
    <row r="830" ht="15" customHeight="1">
      <c r="A830" t="inlineStr">
        <is>
          <t>A 54276-2021</t>
        </is>
      </c>
      <c r="B830" s="1" t="n">
        <v>44470</v>
      </c>
      <c r="C830" s="1" t="n">
        <v>46159</v>
      </c>
      <c r="D830" t="inlineStr">
        <is>
          <t>STOCKHOLMS LÄN</t>
        </is>
      </c>
      <c r="E830" t="inlineStr">
        <is>
          <t>NORRTÄLJE</t>
        </is>
      </c>
      <c r="G830" t="n">
        <v>7.3</v>
      </c>
      <c r="H830" t="n">
        <v>0</v>
      </c>
      <c r="I830" t="n">
        <v>0</v>
      </c>
      <c r="J830" t="n">
        <v>0</v>
      </c>
      <c r="K830" t="n">
        <v>0</v>
      </c>
      <c r="L830" t="n">
        <v>0</v>
      </c>
      <c r="M830" t="n">
        <v>0</v>
      </c>
      <c r="N830" t="n">
        <v>0</v>
      </c>
      <c r="O830" t="n">
        <v>0</v>
      </c>
      <c r="P830" t="n">
        <v>0</v>
      </c>
      <c r="Q830" t="n">
        <v>0</v>
      </c>
      <c r="R830" s="2" t="inlineStr"/>
    </row>
    <row r="831" ht="15" customHeight="1">
      <c r="A831" t="inlineStr">
        <is>
          <t>A 10090-2022</t>
        </is>
      </c>
      <c r="B831" s="1" t="n">
        <v>44621</v>
      </c>
      <c r="C831" s="1" t="n">
        <v>46159</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62922-2025</t>
        </is>
      </c>
      <c r="B832" s="1" t="n">
        <v>46009.38064814815</v>
      </c>
      <c r="C832" s="1" t="n">
        <v>46159</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13785-2024</t>
        </is>
      </c>
      <c r="B833" s="1" t="n">
        <v>45391.3395949074</v>
      </c>
      <c r="C833" s="1" t="n">
        <v>46159</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51116-2022</t>
        </is>
      </c>
      <c r="B834" s="1" t="n">
        <v>44868.45741898148</v>
      </c>
      <c r="C834" s="1" t="n">
        <v>46159</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29972-2024</t>
        </is>
      </c>
      <c r="B835" s="1" t="n">
        <v>45485</v>
      </c>
      <c r="C835" s="1" t="n">
        <v>46159</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28809-2023</t>
        </is>
      </c>
      <c r="B836" s="1" t="n">
        <v>45104</v>
      </c>
      <c r="C836" s="1" t="n">
        <v>46159</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28813-2023</t>
        </is>
      </c>
      <c r="B837" s="1" t="n">
        <v>45104</v>
      </c>
      <c r="C837" s="1" t="n">
        <v>46159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19131-2025</t>
        </is>
      </c>
      <c r="B838" s="1" t="n">
        <v>45769</v>
      </c>
      <c r="C838" s="1" t="n">
        <v>46159</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11929-2024</t>
        </is>
      </c>
      <c r="B839" s="1" t="n">
        <v>45376.64532407407</v>
      </c>
      <c r="C839" s="1" t="n">
        <v>46159</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46159</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11648-2026</t>
        </is>
      </c>
      <c r="B841" s="1" t="n">
        <v>46084.51575231482</v>
      </c>
      <c r="C841" s="1" t="n">
        <v>46159</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45451-2024</t>
        </is>
      </c>
      <c r="B842" s="1" t="n">
        <v>45576</v>
      </c>
      <c r="C842" s="1" t="n">
        <v>46159</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17843-2024</t>
        </is>
      </c>
      <c r="B843" s="1" t="n">
        <v>45418</v>
      </c>
      <c r="C843" s="1" t="n">
        <v>46159</v>
      </c>
      <c r="D843" t="inlineStr">
        <is>
          <t>STOCKHOLMS LÄN</t>
        </is>
      </c>
      <c r="E843" t="inlineStr">
        <is>
          <t>NORRTÄLJE</t>
        </is>
      </c>
      <c r="G843" t="n">
        <v>5.4</v>
      </c>
      <c r="H843" t="n">
        <v>0</v>
      </c>
      <c r="I843" t="n">
        <v>0</v>
      </c>
      <c r="J843" t="n">
        <v>0</v>
      </c>
      <c r="K843" t="n">
        <v>0</v>
      </c>
      <c r="L843" t="n">
        <v>0</v>
      </c>
      <c r="M843" t="n">
        <v>0</v>
      </c>
      <c r="N843" t="n">
        <v>0</v>
      </c>
      <c r="O843" t="n">
        <v>0</v>
      </c>
      <c r="P843" t="n">
        <v>0</v>
      </c>
      <c r="Q843" t="n">
        <v>0</v>
      </c>
      <c r="R843" s="2" t="inlineStr"/>
    </row>
    <row r="844" ht="15" customHeight="1">
      <c r="A844" t="inlineStr">
        <is>
          <t>A 12890-2024</t>
        </is>
      </c>
      <c r="B844" s="1" t="n">
        <v>45385.36243055556</v>
      </c>
      <c r="C844" s="1" t="n">
        <v>46159</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12234-2026</t>
        </is>
      </c>
      <c r="B845" s="1" t="n">
        <v>46087.4091087963</v>
      </c>
      <c r="C845" s="1" t="n">
        <v>46159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36430-2024</t>
        </is>
      </c>
      <c r="B846" s="1" t="n">
        <v>45536</v>
      </c>
      <c r="C846" s="1" t="n">
        <v>46159</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41172-2023</t>
        </is>
      </c>
      <c r="B847" s="1" t="n">
        <v>45170</v>
      </c>
      <c r="C847" s="1" t="n">
        <v>46159</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67921-2021</t>
        </is>
      </c>
      <c r="B848" s="1" t="n">
        <v>44525</v>
      </c>
      <c r="C848" s="1" t="n">
        <v>46159</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46159</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65499-2021</t>
        </is>
      </c>
      <c r="B850" s="1" t="n">
        <v>44516</v>
      </c>
      <c r="C850" s="1" t="n">
        <v>46159</v>
      </c>
      <c r="D850" t="inlineStr">
        <is>
          <t>STOCKHOLMS LÄN</t>
        </is>
      </c>
      <c r="E850" t="inlineStr">
        <is>
          <t>NORRTÄLJE</t>
        </is>
      </c>
      <c r="F850" t="inlineStr">
        <is>
          <t>Kommuner</t>
        </is>
      </c>
      <c r="G850" t="n">
        <v>5.2</v>
      </c>
      <c r="H850" t="n">
        <v>0</v>
      </c>
      <c r="I850" t="n">
        <v>0</v>
      </c>
      <c r="J850" t="n">
        <v>0</v>
      </c>
      <c r="K850" t="n">
        <v>0</v>
      </c>
      <c r="L850" t="n">
        <v>0</v>
      </c>
      <c r="M850" t="n">
        <v>0</v>
      </c>
      <c r="N850" t="n">
        <v>0</v>
      </c>
      <c r="O850" t="n">
        <v>0</v>
      </c>
      <c r="P850" t="n">
        <v>0</v>
      </c>
      <c r="Q850" t="n">
        <v>0</v>
      </c>
      <c r="R850" s="2" t="inlineStr"/>
    </row>
    <row r="851" ht="15" customHeight="1">
      <c r="A851" t="inlineStr">
        <is>
          <t>A 65511-2021</t>
        </is>
      </c>
      <c r="B851" s="1" t="n">
        <v>44516.40674768519</v>
      </c>
      <c r="C851" s="1" t="n">
        <v>46159</v>
      </c>
      <c r="D851" t="inlineStr">
        <is>
          <t>STOCKHOLMS LÄN</t>
        </is>
      </c>
      <c r="E851" t="inlineStr">
        <is>
          <t>NORRTÄLJE</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26113-2024</t>
        </is>
      </c>
      <c r="B852" s="1" t="n">
        <v>45468.45541666666</v>
      </c>
      <c r="C852" s="1" t="n">
        <v>46159</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26116-2024</t>
        </is>
      </c>
      <c r="B853" s="1" t="n">
        <v>45468.45747685185</v>
      </c>
      <c r="C853" s="1" t="n">
        <v>46159</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19170-2026</t>
        </is>
      </c>
      <c r="B854" s="1" t="n">
        <v>46132.5859837963</v>
      </c>
      <c r="C854" s="1" t="n">
        <v>46159</v>
      </c>
      <c r="D854" t="inlineStr">
        <is>
          <t>STOCKHOLMS LÄN</t>
        </is>
      </c>
      <c r="E854" t="inlineStr">
        <is>
          <t>NORRTÄLJE</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52686-2024</t>
        </is>
      </c>
      <c r="B855" s="1" t="n">
        <v>45610.39271990741</v>
      </c>
      <c r="C855" s="1" t="n">
        <v>46159</v>
      </c>
      <c r="D855" t="inlineStr">
        <is>
          <t>STOCKHOLMS LÄN</t>
        </is>
      </c>
      <c r="E855" t="inlineStr">
        <is>
          <t>NORRTÄLJE</t>
        </is>
      </c>
      <c r="G855" t="n">
        <v>5.7</v>
      </c>
      <c r="H855" t="n">
        <v>0</v>
      </c>
      <c r="I855" t="n">
        <v>0</v>
      </c>
      <c r="J855" t="n">
        <v>0</v>
      </c>
      <c r="K855" t="n">
        <v>0</v>
      </c>
      <c r="L855" t="n">
        <v>0</v>
      </c>
      <c r="M855" t="n">
        <v>0</v>
      </c>
      <c r="N855" t="n">
        <v>0</v>
      </c>
      <c r="O855" t="n">
        <v>0</v>
      </c>
      <c r="P855" t="n">
        <v>0</v>
      </c>
      <c r="Q855" t="n">
        <v>0</v>
      </c>
      <c r="R855" s="2" t="inlineStr"/>
    </row>
    <row r="856" ht="15" customHeight="1">
      <c r="A856" t="inlineStr">
        <is>
          <t>A 19129-2026</t>
        </is>
      </c>
      <c r="B856" s="1" t="n">
        <v>46132.48601851852</v>
      </c>
      <c r="C856" s="1" t="n">
        <v>46159</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12718-2026</t>
        </is>
      </c>
      <c r="B857" s="1" t="n">
        <v>46091.60412037037</v>
      </c>
      <c r="C857" s="1" t="n">
        <v>46159</v>
      </c>
      <c r="D857" t="inlineStr">
        <is>
          <t>STOCKHOLMS LÄN</t>
        </is>
      </c>
      <c r="E857" t="inlineStr">
        <is>
          <t>NORRTÄLJE</t>
        </is>
      </c>
      <c r="F857" t="inlineStr">
        <is>
          <t>Holmen skog AB</t>
        </is>
      </c>
      <c r="G857" t="n">
        <v>1</v>
      </c>
      <c r="H857" t="n">
        <v>0</v>
      </c>
      <c r="I857" t="n">
        <v>0</v>
      </c>
      <c r="J857" t="n">
        <v>0</v>
      </c>
      <c r="K857" t="n">
        <v>0</v>
      </c>
      <c r="L857" t="n">
        <v>0</v>
      </c>
      <c r="M857" t="n">
        <v>0</v>
      </c>
      <c r="N857" t="n">
        <v>0</v>
      </c>
      <c r="O857" t="n">
        <v>0</v>
      </c>
      <c r="P857" t="n">
        <v>0</v>
      </c>
      <c r="Q857" t="n">
        <v>0</v>
      </c>
      <c r="R857" s="2" t="inlineStr"/>
    </row>
    <row r="858" ht="15" customHeight="1">
      <c r="A858" t="inlineStr">
        <is>
          <t>A 31105-2022</t>
        </is>
      </c>
      <c r="B858" s="1" t="n">
        <v>44769.66039351852</v>
      </c>
      <c r="C858" s="1" t="n">
        <v>46159</v>
      </c>
      <c r="D858" t="inlineStr">
        <is>
          <t>STOCKHOLMS LÄN</t>
        </is>
      </c>
      <c r="E858" t="inlineStr">
        <is>
          <t>NORRTÄLJE</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19352-2026</t>
        </is>
      </c>
      <c r="B859" s="1" t="n">
        <v>46133.47344907407</v>
      </c>
      <c r="C859" s="1" t="n">
        <v>46159</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12703-2026</t>
        </is>
      </c>
      <c r="B860" s="1" t="n">
        <v>46091.58175925926</v>
      </c>
      <c r="C860" s="1" t="n">
        <v>46159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19358-2026</t>
        </is>
      </c>
      <c r="B861" s="1" t="n">
        <v>46133.4978125</v>
      </c>
      <c r="C861" s="1" t="n">
        <v>46159</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62644-2023</t>
        </is>
      </c>
      <c r="B862" s="1" t="n">
        <v>45271</v>
      </c>
      <c r="C862" s="1" t="n">
        <v>46159</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60185-2024</t>
        </is>
      </c>
      <c r="B863" s="1" t="n">
        <v>45642.64634259259</v>
      </c>
      <c r="C863" s="1" t="n">
        <v>46159</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60765-2023</t>
        </is>
      </c>
      <c r="B864" s="1" t="n">
        <v>45260</v>
      </c>
      <c r="C864" s="1" t="n">
        <v>46159</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12268-2022</t>
        </is>
      </c>
      <c r="B865" s="1" t="n">
        <v>44637</v>
      </c>
      <c r="C865" s="1" t="n">
        <v>46159</v>
      </c>
      <c r="D865" t="inlineStr">
        <is>
          <t>STOCKHOLMS LÄN</t>
        </is>
      </c>
      <c r="E865" t="inlineStr">
        <is>
          <t>NORRTÄLJE</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51315-2021</t>
        </is>
      </c>
      <c r="B866" s="1" t="n">
        <v>44461</v>
      </c>
      <c r="C866" s="1" t="n">
        <v>46159</v>
      </c>
      <c r="D866" t="inlineStr">
        <is>
          <t>STOCKHOLMS LÄN</t>
        </is>
      </c>
      <c r="E866" t="inlineStr">
        <is>
          <t>NORRTÄLJE</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22008-2024</t>
        </is>
      </c>
      <c r="B867" s="1" t="n">
        <v>45443</v>
      </c>
      <c r="C867" s="1" t="n">
        <v>46159</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13122-2026</t>
        </is>
      </c>
      <c r="B868" s="1" t="n">
        <v>46093.45657407407</v>
      </c>
      <c r="C868" s="1" t="n">
        <v>46159</v>
      </c>
      <c r="D868" t="inlineStr">
        <is>
          <t>STOCKHOLMS LÄN</t>
        </is>
      </c>
      <c r="E868" t="inlineStr">
        <is>
          <t>NORRTÄLJE</t>
        </is>
      </c>
      <c r="G868" t="n">
        <v>4</v>
      </c>
      <c r="H868" t="n">
        <v>0</v>
      </c>
      <c r="I868" t="n">
        <v>0</v>
      </c>
      <c r="J868" t="n">
        <v>0</v>
      </c>
      <c r="K868" t="n">
        <v>0</v>
      </c>
      <c r="L868" t="n">
        <v>0</v>
      </c>
      <c r="M868" t="n">
        <v>0</v>
      </c>
      <c r="N868" t="n">
        <v>0</v>
      </c>
      <c r="O868" t="n">
        <v>0</v>
      </c>
      <c r="P868" t="n">
        <v>0</v>
      </c>
      <c r="Q868" t="n">
        <v>0</v>
      </c>
      <c r="R868" s="2" t="inlineStr"/>
    </row>
    <row r="869" ht="15" customHeight="1">
      <c r="A869" t="inlineStr">
        <is>
          <t>A 58277-2023</t>
        </is>
      </c>
      <c r="B869" s="1" t="n">
        <v>45245</v>
      </c>
      <c r="C869" s="1" t="n">
        <v>46159</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9480-2025</t>
        </is>
      </c>
      <c r="B870" s="1" t="n">
        <v>45715</v>
      </c>
      <c r="C870" s="1" t="n">
        <v>46159</v>
      </c>
      <c r="D870" t="inlineStr">
        <is>
          <t>STOCKHOLMS LÄN</t>
        </is>
      </c>
      <c r="E870" t="inlineStr">
        <is>
          <t>NORRTÄLJE</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13109-2026</t>
        </is>
      </c>
      <c r="B871" s="1" t="n">
        <v>46093.42730324074</v>
      </c>
      <c r="C871" s="1" t="n">
        <v>46159</v>
      </c>
      <c r="D871" t="inlineStr">
        <is>
          <t>STOCKHOLMS LÄN</t>
        </is>
      </c>
      <c r="E871" t="inlineStr">
        <is>
          <t>NORRTÄLJE</t>
        </is>
      </c>
      <c r="G871" t="n">
        <v>4</v>
      </c>
      <c r="H871" t="n">
        <v>0</v>
      </c>
      <c r="I871" t="n">
        <v>0</v>
      </c>
      <c r="J871" t="n">
        <v>0</v>
      </c>
      <c r="K871" t="n">
        <v>0</v>
      </c>
      <c r="L871" t="n">
        <v>0</v>
      </c>
      <c r="M871" t="n">
        <v>0</v>
      </c>
      <c r="N871" t="n">
        <v>0</v>
      </c>
      <c r="O871" t="n">
        <v>0</v>
      </c>
      <c r="P871" t="n">
        <v>0</v>
      </c>
      <c r="Q871" t="n">
        <v>0</v>
      </c>
      <c r="R871" s="2" t="inlineStr"/>
    </row>
    <row r="872" ht="15" customHeight="1">
      <c r="A872" t="inlineStr">
        <is>
          <t>A 4322-2023</t>
        </is>
      </c>
      <c r="B872" s="1" t="n">
        <v>44953.69298611111</v>
      </c>
      <c r="C872" s="1" t="n">
        <v>46159</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19688-2026</t>
        </is>
      </c>
      <c r="B873" s="1" t="n">
        <v>46134.67685185185</v>
      </c>
      <c r="C873" s="1" t="n">
        <v>46159</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13204-2026</t>
        </is>
      </c>
      <c r="B874" s="1" t="n">
        <v>46093.60788194444</v>
      </c>
      <c r="C874" s="1" t="n">
        <v>46159</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35916-2024</t>
        </is>
      </c>
      <c r="B875" s="1" t="n">
        <v>45533</v>
      </c>
      <c r="C875" s="1" t="n">
        <v>46159</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38889-2024</t>
        </is>
      </c>
      <c r="B876" s="1" t="n">
        <v>45547</v>
      </c>
      <c r="C876" s="1" t="n">
        <v>46159</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19759-2026</t>
        </is>
      </c>
      <c r="B877" s="1" t="n">
        <v>46135.41234953704</v>
      </c>
      <c r="C877" s="1" t="n">
        <v>46159</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3299-2022</t>
        </is>
      </c>
      <c r="B878" s="1" t="n">
        <v>44584.91001157407</v>
      </c>
      <c r="C878" s="1" t="n">
        <v>46159</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42075-2023</t>
        </is>
      </c>
      <c r="B879" s="1" t="n">
        <v>45177</v>
      </c>
      <c r="C879" s="1" t="n">
        <v>46159</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13544-2026</t>
        </is>
      </c>
      <c r="B880" s="1" t="n">
        <v>46094.68538194444</v>
      </c>
      <c r="C880" s="1" t="n">
        <v>46159</v>
      </c>
      <c r="D880" t="inlineStr">
        <is>
          <t>STOCKHOLMS LÄN</t>
        </is>
      </c>
      <c r="E880" t="inlineStr">
        <is>
          <t>NORRTÄLJE</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10676-2025</t>
        </is>
      </c>
      <c r="B881" s="1" t="n">
        <v>45721.88684027778</v>
      </c>
      <c r="C881" s="1" t="n">
        <v>46159</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13545-2026</t>
        </is>
      </c>
      <c r="B882" s="1" t="n">
        <v>46094.6911574074</v>
      </c>
      <c r="C882" s="1" t="n">
        <v>46159</v>
      </c>
      <c r="D882" t="inlineStr">
        <is>
          <t>STOCKHOLMS LÄN</t>
        </is>
      </c>
      <c r="E882" t="inlineStr">
        <is>
          <t>NORRTÄLJE</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50154-2024</t>
        </is>
      </c>
      <c r="B883" s="1" t="n">
        <v>45600.4558912037</v>
      </c>
      <c r="C883" s="1" t="n">
        <v>46159</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37273-2024</t>
        </is>
      </c>
      <c r="B884" s="1" t="n">
        <v>45540</v>
      </c>
      <c r="C884" s="1" t="n">
        <v>46159</v>
      </c>
      <c r="D884" t="inlineStr">
        <is>
          <t>STOCKHOLMS LÄN</t>
        </is>
      </c>
      <c r="E884" t="inlineStr">
        <is>
          <t>NORRTÄLJE</t>
        </is>
      </c>
      <c r="F884" t="inlineStr">
        <is>
          <t>Sveaskog</t>
        </is>
      </c>
      <c r="G884" t="n">
        <v>12.5</v>
      </c>
      <c r="H884" t="n">
        <v>0</v>
      </c>
      <c r="I884" t="n">
        <v>0</v>
      </c>
      <c r="J884" t="n">
        <v>0</v>
      </c>
      <c r="K884" t="n">
        <v>0</v>
      </c>
      <c r="L884" t="n">
        <v>0</v>
      </c>
      <c r="M884" t="n">
        <v>0</v>
      </c>
      <c r="N884" t="n">
        <v>0</v>
      </c>
      <c r="O884" t="n">
        <v>0</v>
      </c>
      <c r="P884" t="n">
        <v>0</v>
      </c>
      <c r="Q884" t="n">
        <v>0</v>
      </c>
      <c r="R884" s="2" t="inlineStr"/>
    </row>
    <row r="885" ht="15" customHeight="1">
      <c r="A885" t="inlineStr">
        <is>
          <t>A 34773-2022</t>
        </is>
      </c>
      <c r="B885" s="1" t="n">
        <v>44795</v>
      </c>
      <c r="C885" s="1" t="n">
        <v>46159</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23263-2023</t>
        </is>
      </c>
      <c r="B886" s="1" t="n">
        <v>45075</v>
      </c>
      <c r="C886" s="1" t="n">
        <v>46159</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23264-2023</t>
        </is>
      </c>
      <c r="B887" s="1" t="n">
        <v>45075</v>
      </c>
      <c r="C887" s="1" t="n">
        <v>46159</v>
      </c>
      <c r="D887" t="inlineStr">
        <is>
          <t>STOCKHOLMS LÄN</t>
        </is>
      </c>
      <c r="E887" t="inlineStr">
        <is>
          <t>NORRTÄLJE</t>
        </is>
      </c>
      <c r="G887" t="n">
        <v>2.9</v>
      </c>
      <c r="H887" t="n">
        <v>0</v>
      </c>
      <c r="I887" t="n">
        <v>0</v>
      </c>
      <c r="J887" t="n">
        <v>0</v>
      </c>
      <c r="K887" t="n">
        <v>0</v>
      </c>
      <c r="L887" t="n">
        <v>0</v>
      </c>
      <c r="M887" t="n">
        <v>0</v>
      </c>
      <c r="N887" t="n">
        <v>0</v>
      </c>
      <c r="O887" t="n">
        <v>0</v>
      </c>
      <c r="P887" t="n">
        <v>0</v>
      </c>
      <c r="Q887" t="n">
        <v>0</v>
      </c>
      <c r="R887" s="2" t="inlineStr"/>
    </row>
    <row r="888" ht="15" customHeight="1">
      <c r="A888" t="inlineStr">
        <is>
          <t>A 23267-2023</t>
        </is>
      </c>
      <c r="B888" s="1" t="n">
        <v>45075.90934027778</v>
      </c>
      <c r="C888" s="1" t="n">
        <v>46159</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25654-2023</t>
        </is>
      </c>
      <c r="B889" s="1" t="n">
        <v>45089</v>
      </c>
      <c r="C889" s="1" t="n">
        <v>46159</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47758-2023</t>
        </is>
      </c>
      <c r="B890" s="1" t="n">
        <v>45203.83891203703</v>
      </c>
      <c r="C890" s="1" t="n">
        <v>46159</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13546-2026</t>
        </is>
      </c>
      <c r="B891" s="1" t="n">
        <v>46094.69196759259</v>
      </c>
      <c r="C891" s="1" t="n">
        <v>46159</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48151-2024</t>
        </is>
      </c>
      <c r="B892" s="1" t="n">
        <v>45589.68289351852</v>
      </c>
      <c r="C892" s="1" t="n">
        <v>46159</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59477-2025</t>
        </is>
      </c>
      <c r="B893" s="1" t="n">
        <v>45989.58679398148</v>
      </c>
      <c r="C893" s="1" t="n">
        <v>46159</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5831-2022</t>
        </is>
      </c>
      <c r="B894" s="1" t="n">
        <v>44596</v>
      </c>
      <c r="C894" s="1" t="n">
        <v>46159</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58853-2024</t>
        </is>
      </c>
      <c r="B895" s="1" t="n">
        <v>45636.38974537037</v>
      </c>
      <c r="C895" s="1" t="n">
        <v>46159</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59712-2024</t>
        </is>
      </c>
      <c r="B896" s="1" t="n">
        <v>45639.45166666667</v>
      </c>
      <c r="C896" s="1" t="n">
        <v>46159</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59721-2024</t>
        </is>
      </c>
      <c r="B897" s="1" t="n">
        <v>45639.47385416667</v>
      </c>
      <c r="C897" s="1" t="n">
        <v>46159</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60884-2024</t>
        </is>
      </c>
      <c r="B898" s="1" t="n">
        <v>45644.90815972222</v>
      </c>
      <c r="C898" s="1" t="n">
        <v>46159</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23150-2024</t>
        </is>
      </c>
      <c r="B899" s="1" t="n">
        <v>45450.64643518518</v>
      </c>
      <c r="C899" s="1" t="n">
        <v>46159</v>
      </c>
      <c r="D899" t="inlineStr">
        <is>
          <t>STOCKHOLMS LÄN</t>
        </is>
      </c>
      <c r="E899" t="inlineStr">
        <is>
          <t>NORRTÄLJE</t>
        </is>
      </c>
      <c r="F899" t="inlineStr">
        <is>
          <t>Kommuner</t>
        </is>
      </c>
      <c r="G899" t="n">
        <v>2.7</v>
      </c>
      <c r="H899" t="n">
        <v>0</v>
      </c>
      <c r="I899" t="n">
        <v>0</v>
      </c>
      <c r="J899" t="n">
        <v>0</v>
      </c>
      <c r="K899" t="n">
        <v>0</v>
      </c>
      <c r="L899" t="n">
        <v>0</v>
      </c>
      <c r="M899" t="n">
        <v>0</v>
      </c>
      <c r="N899" t="n">
        <v>0</v>
      </c>
      <c r="O899" t="n">
        <v>0</v>
      </c>
      <c r="P899" t="n">
        <v>0</v>
      </c>
      <c r="Q899" t="n">
        <v>0</v>
      </c>
      <c r="R899" s="2" t="inlineStr"/>
    </row>
    <row r="900" ht="15" customHeight="1">
      <c r="A900" t="inlineStr">
        <is>
          <t>A 59878-2024</t>
        </is>
      </c>
      <c r="B900" s="1" t="n">
        <v>45640.60240740741</v>
      </c>
      <c r="C900" s="1" t="n">
        <v>46159</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50182-2024</t>
        </is>
      </c>
      <c r="B901" s="1" t="n">
        <v>45600.47275462963</v>
      </c>
      <c r="C901" s="1" t="n">
        <v>46159</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2549-2022</t>
        </is>
      </c>
      <c r="B902" s="1" t="n">
        <v>44580</v>
      </c>
      <c r="C902" s="1" t="n">
        <v>46159</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31140-2023</t>
        </is>
      </c>
      <c r="B903" s="1" t="n">
        <v>45113</v>
      </c>
      <c r="C903" s="1" t="n">
        <v>46159</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31149-2023</t>
        </is>
      </c>
      <c r="B904" s="1" t="n">
        <v>45113</v>
      </c>
      <c r="C904" s="1" t="n">
        <v>46159</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16835-2022</t>
        </is>
      </c>
      <c r="B905" s="1" t="n">
        <v>44673</v>
      </c>
      <c r="C905" s="1" t="n">
        <v>46159</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14348-2026</t>
        </is>
      </c>
      <c r="B906" s="1" t="n">
        <v>46100.34112268518</v>
      </c>
      <c r="C906" s="1" t="n">
        <v>46159</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13701-2022</t>
        </is>
      </c>
      <c r="B907" s="1" t="n">
        <v>44648</v>
      </c>
      <c r="C907" s="1" t="n">
        <v>46159</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13089-2022</t>
        </is>
      </c>
      <c r="B908" s="1" t="n">
        <v>44643</v>
      </c>
      <c r="C908" s="1" t="n">
        <v>46159</v>
      </c>
      <c r="D908" t="inlineStr">
        <is>
          <t>STOCKHOLMS LÄN</t>
        </is>
      </c>
      <c r="E908" t="inlineStr">
        <is>
          <t>NORRTÄLJE</t>
        </is>
      </c>
      <c r="G908" t="n">
        <v>4.5</v>
      </c>
      <c r="H908" t="n">
        <v>0</v>
      </c>
      <c r="I908" t="n">
        <v>0</v>
      </c>
      <c r="J908" t="n">
        <v>0</v>
      </c>
      <c r="K908" t="n">
        <v>0</v>
      </c>
      <c r="L908" t="n">
        <v>0</v>
      </c>
      <c r="M908" t="n">
        <v>0</v>
      </c>
      <c r="N908" t="n">
        <v>0</v>
      </c>
      <c r="O908" t="n">
        <v>0</v>
      </c>
      <c r="P908" t="n">
        <v>0</v>
      </c>
      <c r="Q908" t="n">
        <v>0</v>
      </c>
      <c r="R908" s="2" t="inlineStr"/>
    </row>
    <row r="909" ht="15" customHeight="1">
      <c r="A909" t="inlineStr">
        <is>
          <t>A 14475-2026</t>
        </is>
      </c>
      <c r="B909" s="1" t="n">
        <v>46100.57251157407</v>
      </c>
      <c r="C909" s="1" t="n">
        <v>46159</v>
      </c>
      <c r="D909" t="inlineStr">
        <is>
          <t>STOCKHOLMS LÄN</t>
        </is>
      </c>
      <c r="E909" t="inlineStr">
        <is>
          <t>NORRTÄLJE</t>
        </is>
      </c>
      <c r="G909" t="n">
        <v>12.3</v>
      </c>
      <c r="H909" t="n">
        <v>0</v>
      </c>
      <c r="I909" t="n">
        <v>0</v>
      </c>
      <c r="J909" t="n">
        <v>0</v>
      </c>
      <c r="K909" t="n">
        <v>0</v>
      </c>
      <c r="L909" t="n">
        <v>0</v>
      </c>
      <c r="M909" t="n">
        <v>0</v>
      </c>
      <c r="N909" t="n">
        <v>0</v>
      </c>
      <c r="O909" t="n">
        <v>0</v>
      </c>
      <c r="P909" t="n">
        <v>0</v>
      </c>
      <c r="Q909" t="n">
        <v>0</v>
      </c>
      <c r="R909" s="2" t="inlineStr"/>
    </row>
    <row r="910" ht="15" customHeight="1">
      <c r="A910" t="inlineStr">
        <is>
          <t>A 38759-2022</t>
        </is>
      </c>
      <c r="B910" s="1" t="n">
        <v>44816</v>
      </c>
      <c r="C910" s="1" t="n">
        <v>46159</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23998-2024</t>
        </is>
      </c>
      <c r="B911" s="1" t="n">
        <v>45456</v>
      </c>
      <c r="C911" s="1" t="n">
        <v>46159</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54504-2024</t>
        </is>
      </c>
      <c r="B912" s="1" t="n">
        <v>45617.58453703704</v>
      </c>
      <c r="C912" s="1" t="n">
        <v>46159</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32595-2023</t>
        </is>
      </c>
      <c r="B913" s="1" t="n">
        <v>45121</v>
      </c>
      <c r="C913" s="1" t="n">
        <v>46159</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11332-2025</t>
        </is>
      </c>
      <c r="B914" s="1" t="n">
        <v>45726.48152777777</v>
      </c>
      <c r="C914" s="1" t="n">
        <v>46159</v>
      </c>
      <c r="D914" t="inlineStr">
        <is>
          <t>STOCKHOLMS LÄN</t>
        </is>
      </c>
      <c r="E914" t="inlineStr">
        <is>
          <t>NORRTÄLJE</t>
        </is>
      </c>
      <c r="G914" t="n">
        <v>4.6</v>
      </c>
      <c r="H914" t="n">
        <v>0</v>
      </c>
      <c r="I914" t="n">
        <v>0</v>
      </c>
      <c r="J914" t="n">
        <v>0</v>
      </c>
      <c r="K914" t="n">
        <v>0</v>
      </c>
      <c r="L914" t="n">
        <v>0</v>
      </c>
      <c r="M914" t="n">
        <v>0</v>
      </c>
      <c r="N914" t="n">
        <v>0</v>
      </c>
      <c r="O914" t="n">
        <v>0</v>
      </c>
      <c r="P914" t="n">
        <v>0</v>
      </c>
      <c r="Q914" t="n">
        <v>0</v>
      </c>
      <c r="R914" s="2" t="inlineStr"/>
    </row>
    <row r="915" ht="15" customHeight="1">
      <c r="A915" t="inlineStr">
        <is>
          <t>A 13718-2022</t>
        </is>
      </c>
      <c r="B915" s="1" t="n">
        <v>44649</v>
      </c>
      <c r="C915" s="1" t="n">
        <v>46159</v>
      </c>
      <c r="D915" t="inlineStr">
        <is>
          <t>STOCKHOLMS LÄN</t>
        </is>
      </c>
      <c r="E915" t="inlineStr">
        <is>
          <t>NORRTÄLJE</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54259-2023</t>
        </is>
      </c>
      <c r="B916" s="1" t="n">
        <v>45232</v>
      </c>
      <c r="C916" s="1" t="n">
        <v>46159</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13171-2025</t>
        </is>
      </c>
      <c r="B917" s="1" t="n">
        <v>45735.36594907408</v>
      </c>
      <c r="C917" s="1" t="n">
        <v>46159</v>
      </c>
      <c r="D917" t="inlineStr">
        <is>
          <t>STOCKHOLMS LÄN</t>
        </is>
      </c>
      <c r="E917" t="inlineStr">
        <is>
          <t>NORRTÄLJE</t>
        </is>
      </c>
      <c r="G917" t="n">
        <v>5.1</v>
      </c>
      <c r="H917" t="n">
        <v>0</v>
      </c>
      <c r="I917" t="n">
        <v>0</v>
      </c>
      <c r="J917" t="n">
        <v>0</v>
      </c>
      <c r="K917" t="n">
        <v>0</v>
      </c>
      <c r="L917" t="n">
        <v>0</v>
      </c>
      <c r="M917" t="n">
        <v>0</v>
      </c>
      <c r="N917" t="n">
        <v>0</v>
      </c>
      <c r="O917" t="n">
        <v>0</v>
      </c>
      <c r="P917" t="n">
        <v>0</v>
      </c>
      <c r="Q917" t="n">
        <v>0</v>
      </c>
      <c r="R917" s="2" t="inlineStr"/>
    </row>
    <row r="918" ht="15" customHeight="1">
      <c r="A918" t="inlineStr">
        <is>
          <t>A 12299-2025</t>
        </is>
      </c>
      <c r="B918" s="1" t="n">
        <v>45729.71065972222</v>
      </c>
      <c r="C918" s="1" t="n">
        <v>46159</v>
      </c>
      <c r="D918" t="inlineStr">
        <is>
          <t>STOCKHOLMS LÄN</t>
        </is>
      </c>
      <c r="E918" t="inlineStr">
        <is>
          <t>NORRTÄLJE</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11900-2024</t>
        </is>
      </c>
      <c r="B919" s="1" t="n">
        <v>45376.55484953704</v>
      </c>
      <c r="C919" s="1" t="n">
        <v>46159</v>
      </c>
      <c r="D919" t="inlineStr">
        <is>
          <t>STOCKHOLMS LÄN</t>
        </is>
      </c>
      <c r="E919" t="inlineStr">
        <is>
          <t>NORRTÄLJE</t>
        </is>
      </c>
      <c r="G919" t="n">
        <v>4.2</v>
      </c>
      <c r="H919" t="n">
        <v>0</v>
      </c>
      <c r="I919" t="n">
        <v>0</v>
      </c>
      <c r="J919" t="n">
        <v>0</v>
      </c>
      <c r="K919" t="n">
        <v>0</v>
      </c>
      <c r="L919" t="n">
        <v>0</v>
      </c>
      <c r="M919" t="n">
        <v>0</v>
      </c>
      <c r="N919" t="n">
        <v>0</v>
      </c>
      <c r="O919" t="n">
        <v>0</v>
      </c>
      <c r="P919" t="n">
        <v>0</v>
      </c>
      <c r="Q919" t="n">
        <v>0</v>
      </c>
      <c r="R919" s="2" t="inlineStr"/>
    </row>
    <row r="920" ht="15" customHeight="1">
      <c r="A920" t="inlineStr">
        <is>
          <t>A 43300-2023</t>
        </is>
      </c>
      <c r="B920" s="1" t="n">
        <v>45183</v>
      </c>
      <c r="C920" s="1" t="n">
        <v>46159</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13276-2022</t>
        </is>
      </c>
      <c r="B921" s="1" t="n">
        <v>44644</v>
      </c>
      <c r="C921" s="1" t="n">
        <v>46159</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21753-2026</t>
        </is>
      </c>
      <c r="B922" s="1" t="n">
        <v>46149.68605324074</v>
      </c>
      <c r="C922" s="1" t="n">
        <v>46159</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17347-2026</t>
        </is>
      </c>
      <c r="B923" s="1" t="n">
        <v>46119</v>
      </c>
      <c r="C923" s="1" t="n">
        <v>46159</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11900-2022</t>
        </is>
      </c>
      <c r="B924" s="1" t="n">
        <v>44635</v>
      </c>
      <c r="C924" s="1" t="n">
        <v>46159</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14724-2022</t>
        </is>
      </c>
      <c r="B925" s="1" t="n">
        <v>44656</v>
      </c>
      <c r="C925" s="1" t="n">
        <v>46159</v>
      </c>
      <c r="D925" t="inlineStr">
        <is>
          <t>STOCKHOLMS LÄN</t>
        </is>
      </c>
      <c r="E925" t="inlineStr">
        <is>
          <t>NORRTÄLJE</t>
        </is>
      </c>
      <c r="F925" t="inlineStr">
        <is>
          <t>Sveaskog</t>
        </is>
      </c>
      <c r="G925" t="n">
        <v>9</v>
      </c>
      <c r="H925" t="n">
        <v>0</v>
      </c>
      <c r="I925" t="n">
        <v>0</v>
      </c>
      <c r="J925" t="n">
        <v>0</v>
      </c>
      <c r="K925" t="n">
        <v>0</v>
      </c>
      <c r="L925" t="n">
        <v>0</v>
      </c>
      <c r="M925" t="n">
        <v>0</v>
      </c>
      <c r="N925" t="n">
        <v>0</v>
      </c>
      <c r="O925" t="n">
        <v>0</v>
      </c>
      <c r="P925" t="n">
        <v>0</v>
      </c>
      <c r="Q925" t="n">
        <v>0</v>
      </c>
      <c r="R925" s="2" t="inlineStr"/>
    </row>
    <row r="926" ht="15" customHeight="1">
      <c r="A926" t="inlineStr">
        <is>
          <t>A 4580-2025</t>
        </is>
      </c>
      <c r="B926" s="1" t="n">
        <v>45687.5038425926</v>
      </c>
      <c r="C926" s="1" t="n">
        <v>46159</v>
      </c>
      <c r="D926" t="inlineStr">
        <is>
          <t>STOCKHOLMS LÄN</t>
        </is>
      </c>
      <c r="E926" t="inlineStr">
        <is>
          <t>NORRTÄLJE</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16202-2022</t>
        </is>
      </c>
      <c r="B927" s="1" t="n">
        <v>44670</v>
      </c>
      <c r="C927" s="1" t="n">
        <v>46159</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6003-2025</t>
        </is>
      </c>
      <c r="B928" s="1" t="n">
        <v>45695.57881944445</v>
      </c>
      <c r="C928" s="1" t="n">
        <v>46159</v>
      </c>
      <c r="D928" t="inlineStr">
        <is>
          <t>STOCKHOLMS LÄN</t>
        </is>
      </c>
      <c r="E928" t="inlineStr">
        <is>
          <t>NORRTÄLJE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52321-2024</t>
        </is>
      </c>
      <c r="B929" s="1" t="n">
        <v>45608</v>
      </c>
      <c r="C929" s="1" t="n">
        <v>46159</v>
      </c>
      <c r="D929" t="inlineStr">
        <is>
          <t>STOCKHOLMS LÄN</t>
        </is>
      </c>
      <c r="E929" t="inlineStr">
        <is>
          <t>NORRTÄLJE</t>
        </is>
      </c>
      <c r="G929" t="n">
        <v>18.1</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46159</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46159</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48633-2023</t>
        </is>
      </c>
      <c r="B932" s="1" t="n">
        <v>45208.58004629629</v>
      </c>
      <c r="C932" s="1" t="n">
        <v>46159</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47419-2023</t>
        </is>
      </c>
      <c r="B933" s="1" t="n">
        <v>45202.65660879629</v>
      </c>
      <c r="C933" s="1" t="n">
        <v>46159</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652-2025</t>
        </is>
      </c>
      <c r="B934" s="1" t="n">
        <v>45664</v>
      </c>
      <c r="C934" s="1" t="n">
        <v>46159</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10653-2022</t>
        </is>
      </c>
      <c r="B935" s="1" t="n">
        <v>44624.59434027778</v>
      </c>
      <c r="C935" s="1" t="n">
        <v>46159</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46159</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17345-2026</t>
        </is>
      </c>
      <c r="B937" s="1" t="n">
        <v>46119</v>
      </c>
      <c r="C937" s="1" t="n">
        <v>46159</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35695-2023</t>
        </is>
      </c>
      <c r="B938" s="1" t="n">
        <v>45147.65407407407</v>
      </c>
      <c r="C938" s="1" t="n">
        <v>46159</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18665-2022</t>
        </is>
      </c>
      <c r="B939" s="1" t="n">
        <v>44687</v>
      </c>
      <c r="C939" s="1" t="n">
        <v>46159</v>
      </c>
      <c r="D939" t="inlineStr">
        <is>
          <t>STOCKHOLMS LÄN</t>
        </is>
      </c>
      <c r="E939" t="inlineStr">
        <is>
          <t>NORRTÄLJE</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17574-2025</t>
        </is>
      </c>
      <c r="B940" s="1" t="n">
        <v>45757.65178240741</v>
      </c>
      <c r="C940" s="1" t="n">
        <v>46159</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20370-2025</t>
        </is>
      </c>
      <c r="B941" s="1" t="n">
        <v>45775.41451388889</v>
      </c>
      <c r="C941" s="1" t="n">
        <v>46159</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19982-2022</t>
        </is>
      </c>
      <c r="B942" s="1" t="n">
        <v>44697</v>
      </c>
      <c r="C942" s="1" t="n">
        <v>46159</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35438-2023</t>
        </is>
      </c>
      <c r="B943" s="1" t="n">
        <v>45146</v>
      </c>
      <c r="C943" s="1" t="n">
        <v>46159</v>
      </c>
      <c r="D943" t="inlineStr">
        <is>
          <t>STOCKHOLMS LÄN</t>
        </is>
      </c>
      <c r="E943" t="inlineStr">
        <is>
          <t>NORRTÄLJE</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21818-2026</t>
        </is>
      </c>
      <c r="B944" s="1" t="n">
        <v>46150.47383101852</v>
      </c>
      <c r="C944" s="1" t="n">
        <v>46159</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21786-2026</t>
        </is>
      </c>
      <c r="B945" s="1" t="n">
        <v>46150.3862037037</v>
      </c>
      <c r="C945" s="1" t="n">
        <v>46159</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21820-2026</t>
        </is>
      </c>
      <c r="B946" s="1" t="n">
        <v>46150.4799537037</v>
      </c>
      <c r="C946" s="1" t="n">
        <v>46159</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46159</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4183-2025</t>
        </is>
      </c>
      <c r="B948" s="1" t="n">
        <v>45685.44592592592</v>
      </c>
      <c r="C948" s="1" t="n">
        <v>46159</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17556-2025</t>
        </is>
      </c>
      <c r="B949" s="1" t="n">
        <v>45757.62482638889</v>
      </c>
      <c r="C949" s="1" t="n">
        <v>46159</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41335-2023</t>
        </is>
      </c>
      <c r="B950" s="1" t="n">
        <v>45174.68702546296</v>
      </c>
      <c r="C950" s="1" t="n">
        <v>46159</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4484-2025</t>
        </is>
      </c>
      <c r="B951" s="1" t="n">
        <v>45686.65545138889</v>
      </c>
      <c r="C951" s="1" t="n">
        <v>46159</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16243-2026</t>
        </is>
      </c>
      <c r="B952" s="1" t="n">
        <v>46111.45902777778</v>
      </c>
      <c r="C952" s="1" t="n">
        <v>46159</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8419-2025</t>
        </is>
      </c>
      <c r="B953" s="1" t="n">
        <v>45709.40231481481</v>
      </c>
      <c r="C953" s="1" t="n">
        <v>46159</v>
      </c>
      <c r="D953" t="inlineStr">
        <is>
          <t>STOCKHOLMS LÄN</t>
        </is>
      </c>
      <c r="E953" t="inlineStr">
        <is>
          <t>NORRTÄLJE</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21480-2022</t>
        </is>
      </c>
      <c r="B954" s="1" t="n">
        <v>44704</v>
      </c>
      <c r="C954" s="1" t="n">
        <v>46159</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1654-2025</t>
        </is>
      </c>
      <c r="B955" s="1" t="n">
        <v>45670.65921296296</v>
      </c>
      <c r="C955" s="1" t="n">
        <v>46159</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48686-2023</t>
        </is>
      </c>
      <c r="B956" s="1" t="n">
        <v>45208</v>
      </c>
      <c r="C956" s="1" t="n">
        <v>46159</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48691-2023</t>
        </is>
      </c>
      <c r="B957" s="1" t="n">
        <v>45208</v>
      </c>
      <c r="C957" s="1" t="n">
        <v>46159</v>
      </c>
      <c r="D957" t="inlineStr">
        <is>
          <t>STOCKHOLMS LÄN</t>
        </is>
      </c>
      <c r="E957" t="inlineStr">
        <is>
          <t>NORRTÄLJE</t>
        </is>
      </c>
      <c r="G957" t="n">
        <v>5.8</v>
      </c>
      <c r="H957" t="n">
        <v>0</v>
      </c>
      <c r="I957" t="n">
        <v>0</v>
      </c>
      <c r="J957" t="n">
        <v>0</v>
      </c>
      <c r="K957" t="n">
        <v>0</v>
      </c>
      <c r="L957" t="n">
        <v>0</v>
      </c>
      <c r="M957" t="n">
        <v>0</v>
      </c>
      <c r="N957" t="n">
        <v>0</v>
      </c>
      <c r="O957" t="n">
        <v>0</v>
      </c>
      <c r="P957" t="n">
        <v>0</v>
      </c>
      <c r="Q957" t="n">
        <v>0</v>
      </c>
      <c r="R957" s="2" t="inlineStr"/>
    </row>
    <row r="958" ht="15" customHeight="1">
      <c r="A958" t="inlineStr">
        <is>
          <t>A 16229-2026</t>
        </is>
      </c>
      <c r="B958" s="1" t="n">
        <v>46111.45084490741</v>
      </c>
      <c r="C958" s="1" t="n">
        <v>46159</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55243-2023</t>
        </is>
      </c>
      <c r="B959" s="1" t="n">
        <v>45237</v>
      </c>
      <c r="C959" s="1" t="n">
        <v>46159</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35210-2023</t>
        </is>
      </c>
      <c r="B960" s="1" t="n">
        <v>45145.63584490741</v>
      </c>
      <c r="C960" s="1" t="n">
        <v>46159</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21780-2026</t>
        </is>
      </c>
      <c r="B961" s="1" t="n">
        <v>46150.37418981481</v>
      </c>
      <c r="C961" s="1" t="n">
        <v>46159</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21815-2026</t>
        </is>
      </c>
      <c r="B962" s="1" t="n">
        <v>46150.47024305556</v>
      </c>
      <c r="C962" s="1" t="n">
        <v>46159</v>
      </c>
      <c r="D962" t="inlineStr">
        <is>
          <t>STOCKHOLMS LÄN</t>
        </is>
      </c>
      <c r="E962" t="inlineStr">
        <is>
          <t>NORRTÄLJE</t>
        </is>
      </c>
      <c r="G962" t="n">
        <v>2.8</v>
      </c>
      <c r="H962" t="n">
        <v>0</v>
      </c>
      <c r="I962" t="n">
        <v>0</v>
      </c>
      <c r="J962" t="n">
        <v>0</v>
      </c>
      <c r="K962" t="n">
        <v>0</v>
      </c>
      <c r="L962" t="n">
        <v>0</v>
      </c>
      <c r="M962" t="n">
        <v>0</v>
      </c>
      <c r="N962" t="n">
        <v>0</v>
      </c>
      <c r="O962" t="n">
        <v>0</v>
      </c>
      <c r="P962" t="n">
        <v>0</v>
      </c>
      <c r="Q962" t="n">
        <v>0</v>
      </c>
      <c r="R962" s="2" t="inlineStr"/>
    </row>
    <row r="963" ht="15" customHeight="1">
      <c r="A963" t="inlineStr">
        <is>
          <t>A 6678-2025</t>
        </is>
      </c>
      <c r="B963" s="1" t="n">
        <v>45700</v>
      </c>
      <c r="C963" s="1" t="n">
        <v>46159</v>
      </c>
      <c r="D963" t="inlineStr">
        <is>
          <t>STOCKHOLMS LÄN</t>
        </is>
      </c>
      <c r="E963" t="inlineStr">
        <is>
          <t>NORRTÄLJE</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17612-2022</t>
        </is>
      </c>
      <c r="B964" s="1" t="n">
        <v>44680</v>
      </c>
      <c r="C964" s="1" t="n">
        <v>46159</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58297-2023</t>
        </is>
      </c>
      <c r="B965" s="1" t="n">
        <v>45245</v>
      </c>
      <c r="C965" s="1" t="n">
        <v>46159</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17025-2026</t>
        </is>
      </c>
      <c r="B966" s="1" t="n">
        <v>46113</v>
      </c>
      <c r="C966" s="1" t="n">
        <v>46159</v>
      </c>
      <c r="D966" t="inlineStr">
        <is>
          <t>STOCKHOLMS LÄN</t>
        </is>
      </c>
      <c r="E966" t="inlineStr">
        <is>
          <t>NORRTÄLJE</t>
        </is>
      </c>
      <c r="G966" t="n">
        <v>5.4</v>
      </c>
      <c r="H966" t="n">
        <v>0</v>
      </c>
      <c r="I966" t="n">
        <v>0</v>
      </c>
      <c r="J966" t="n">
        <v>0</v>
      </c>
      <c r="K966" t="n">
        <v>0</v>
      </c>
      <c r="L966" t="n">
        <v>0</v>
      </c>
      <c r="M966" t="n">
        <v>0</v>
      </c>
      <c r="N966" t="n">
        <v>0</v>
      </c>
      <c r="O966" t="n">
        <v>0</v>
      </c>
      <c r="P966" t="n">
        <v>0</v>
      </c>
      <c r="Q966" t="n">
        <v>0</v>
      </c>
      <c r="R966" s="2" t="inlineStr"/>
    </row>
    <row r="967" ht="15" customHeight="1">
      <c r="A967" t="inlineStr">
        <is>
          <t>A 21726-2022</t>
        </is>
      </c>
      <c r="B967" s="1" t="n">
        <v>44708</v>
      </c>
      <c r="C967" s="1" t="n">
        <v>46159</v>
      </c>
      <c r="D967" t="inlineStr">
        <is>
          <t>STOCKHOLMS LÄN</t>
        </is>
      </c>
      <c r="E967" t="inlineStr">
        <is>
          <t>NORRTÄLJE</t>
        </is>
      </c>
      <c r="G967" t="n">
        <v>0.2</v>
      </c>
      <c r="H967" t="n">
        <v>0</v>
      </c>
      <c r="I967" t="n">
        <v>0</v>
      </c>
      <c r="J967" t="n">
        <v>0</v>
      </c>
      <c r="K967" t="n">
        <v>0</v>
      </c>
      <c r="L967" t="n">
        <v>0</v>
      </c>
      <c r="M967" t="n">
        <v>0</v>
      </c>
      <c r="N967" t="n">
        <v>0</v>
      </c>
      <c r="O967" t="n">
        <v>0</v>
      </c>
      <c r="P967" t="n">
        <v>0</v>
      </c>
      <c r="Q967" t="n">
        <v>0</v>
      </c>
      <c r="R967" s="2" t="inlineStr"/>
    </row>
    <row r="968" ht="15" customHeight="1">
      <c r="A968" t="inlineStr">
        <is>
          <t>A 21739-2022</t>
        </is>
      </c>
      <c r="B968" s="1" t="n">
        <v>44708.36708333333</v>
      </c>
      <c r="C968" s="1" t="n">
        <v>46159</v>
      </c>
      <c r="D968" t="inlineStr">
        <is>
          <t>STOCKHOLMS LÄN</t>
        </is>
      </c>
      <c r="E968" t="inlineStr">
        <is>
          <t>NORRTÄLJE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22618-2026</t>
        </is>
      </c>
      <c r="B969" s="1" t="n">
        <v>46155.61440972222</v>
      </c>
      <c r="C969" s="1" t="n">
        <v>46159</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28182-2022</t>
        </is>
      </c>
      <c r="B970" s="1" t="n">
        <v>44746.58530092592</v>
      </c>
      <c r="C970" s="1" t="n">
        <v>46159</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3283-2025</t>
        </is>
      </c>
      <c r="B971" s="1" t="n">
        <v>45679</v>
      </c>
      <c r="C971" s="1" t="n">
        <v>46159</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18092-2022</t>
        </is>
      </c>
      <c r="B972" s="1" t="n">
        <v>44684</v>
      </c>
      <c r="C972" s="1" t="n">
        <v>46159</v>
      </c>
      <c r="D972" t="inlineStr">
        <is>
          <t>STOCKHOLMS LÄN</t>
        </is>
      </c>
      <c r="E972" t="inlineStr">
        <is>
          <t>NORRTÄLJE</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33295-2023</t>
        </is>
      </c>
      <c r="B973" s="1" t="n">
        <v>45127.69371527778</v>
      </c>
      <c r="C973" s="1" t="n">
        <v>46159</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58404-2023</t>
        </is>
      </c>
      <c r="B974" s="1" t="n">
        <v>45245</v>
      </c>
      <c r="C974" s="1" t="n">
        <v>46159</v>
      </c>
      <c r="D974" t="inlineStr">
        <is>
          <t>STOCKHOLMS LÄN</t>
        </is>
      </c>
      <c r="E974" t="inlineStr">
        <is>
          <t>NORRTÄLJE</t>
        </is>
      </c>
      <c r="G974" t="n">
        <v>53.5</v>
      </c>
      <c r="H974" t="n">
        <v>0</v>
      </c>
      <c r="I974" t="n">
        <v>0</v>
      </c>
      <c r="J974" t="n">
        <v>0</v>
      </c>
      <c r="K974" t="n">
        <v>0</v>
      </c>
      <c r="L974" t="n">
        <v>0</v>
      </c>
      <c r="M974" t="n">
        <v>0</v>
      </c>
      <c r="N974" t="n">
        <v>0</v>
      </c>
      <c r="O974" t="n">
        <v>0</v>
      </c>
      <c r="P974" t="n">
        <v>0</v>
      </c>
      <c r="Q974" t="n">
        <v>0</v>
      </c>
      <c r="R974" s="2" t="inlineStr"/>
    </row>
    <row r="975" ht="15" customHeight="1">
      <c r="A975" t="inlineStr">
        <is>
          <t>A 27885-2022</t>
        </is>
      </c>
      <c r="B975" s="1" t="n">
        <v>44743.67418981482</v>
      </c>
      <c r="C975" s="1" t="n">
        <v>46159</v>
      </c>
      <c r="D975" t="inlineStr">
        <is>
          <t>STOCKHOLMS LÄN</t>
        </is>
      </c>
      <c r="E975" t="inlineStr">
        <is>
          <t>NORRTÄLJE</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25525-2022</t>
        </is>
      </c>
      <c r="B976" s="1" t="n">
        <v>44732</v>
      </c>
      <c r="C976" s="1" t="n">
        <v>46159</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48722-2023</t>
        </is>
      </c>
      <c r="B977" s="1" t="n">
        <v>45208.70996527778</v>
      </c>
      <c r="C977" s="1" t="n">
        <v>46159</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23801-2022</t>
        </is>
      </c>
      <c r="B978" s="1" t="n">
        <v>44722</v>
      </c>
      <c r="C978" s="1" t="n">
        <v>46159</v>
      </c>
      <c r="D978" t="inlineStr">
        <is>
          <t>STOCKHOLMS LÄN</t>
        </is>
      </c>
      <c r="E978" t="inlineStr">
        <is>
          <t>NORRTÄLJE</t>
        </is>
      </c>
      <c r="G978" t="n">
        <v>6.8</v>
      </c>
      <c r="H978" t="n">
        <v>0</v>
      </c>
      <c r="I978" t="n">
        <v>0</v>
      </c>
      <c r="J978" t="n">
        <v>0</v>
      </c>
      <c r="K978" t="n">
        <v>0</v>
      </c>
      <c r="L978" t="n">
        <v>0</v>
      </c>
      <c r="M978" t="n">
        <v>0</v>
      </c>
      <c r="N978" t="n">
        <v>0</v>
      </c>
      <c r="O978" t="n">
        <v>0</v>
      </c>
      <c r="P978" t="n">
        <v>0</v>
      </c>
      <c r="Q978" t="n">
        <v>0</v>
      </c>
      <c r="R978" s="2" t="inlineStr"/>
    </row>
    <row r="979" ht="15" customHeight="1">
      <c r="A979" t="inlineStr">
        <is>
          <t>A 33353-2023</t>
        </is>
      </c>
      <c r="B979" s="1" t="n">
        <v>45128</v>
      </c>
      <c r="C979" s="1" t="n">
        <v>46159</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46159</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46159</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9-2024</t>
        </is>
      </c>
      <c r="B982" s="1" t="n">
        <v>45293</v>
      </c>
      <c r="C982" s="1" t="n">
        <v>46159</v>
      </c>
      <c r="D982" t="inlineStr">
        <is>
          <t>STOCKHOLMS LÄN</t>
        </is>
      </c>
      <c r="E982" t="inlineStr">
        <is>
          <t>NORRTÄLJE</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51312-2023</t>
        </is>
      </c>
      <c r="B983" s="1" t="n">
        <v>45219.56697916667</v>
      </c>
      <c r="C983" s="1" t="n">
        <v>46159</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11849-2025</t>
        </is>
      </c>
      <c r="B984" s="1" t="n">
        <v>45728.38409722222</v>
      </c>
      <c r="C984" s="1" t="n">
        <v>46159</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38610-2022</t>
        </is>
      </c>
      <c r="B985" s="1" t="n">
        <v>44813.59915509259</v>
      </c>
      <c r="C985" s="1" t="n">
        <v>46159</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59468-2023</t>
        </is>
      </c>
      <c r="B986" s="1" t="n">
        <v>45254.41509259259</v>
      </c>
      <c r="C986" s="1" t="n">
        <v>46159</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18846-2022</t>
        </is>
      </c>
      <c r="B987" s="1" t="n">
        <v>44690</v>
      </c>
      <c r="C987" s="1" t="n">
        <v>46159</v>
      </c>
      <c r="D987" t="inlineStr">
        <is>
          <t>STOCKHOLMS LÄN</t>
        </is>
      </c>
      <c r="E987" t="inlineStr">
        <is>
          <t>NORRTÄLJE</t>
        </is>
      </c>
      <c r="G987" t="n">
        <v>7</v>
      </c>
      <c r="H987" t="n">
        <v>0</v>
      </c>
      <c r="I987" t="n">
        <v>0</v>
      </c>
      <c r="J987" t="n">
        <v>0</v>
      </c>
      <c r="K987" t="n">
        <v>0</v>
      </c>
      <c r="L987" t="n">
        <v>0</v>
      </c>
      <c r="M987" t="n">
        <v>0</v>
      </c>
      <c r="N987" t="n">
        <v>0</v>
      </c>
      <c r="O987" t="n">
        <v>0</v>
      </c>
      <c r="P987" t="n">
        <v>0</v>
      </c>
      <c r="Q987" t="n">
        <v>0</v>
      </c>
      <c r="R987" s="2" t="inlineStr"/>
    </row>
    <row r="988" ht="15" customHeight="1">
      <c r="A988" t="inlineStr">
        <is>
          <t>A 12535-2025</t>
        </is>
      </c>
      <c r="B988" s="1" t="n">
        <v>45730.69502314815</v>
      </c>
      <c r="C988" s="1" t="n">
        <v>46159</v>
      </c>
      <c r="D988" t="inlineStr">
        <is>
          <t>STOCKHOLMS LÄN</t>
        </is>
      </c>
      <c r="E988" t="inlineStr">
        <is>
          <t>NORRTÄLJE</t>
        </is>
      </c>
      <c r="G988" t="n">
        <v>7.1</v>
      </c>
      <c r="H988" t="n">
        <v>0</v>
      </c>
      <c r="I988" t="n">
        <v>0</v>
      </c>
      <c r="J988" t="n">
        <v>0</v>
      </c>
      <c r="K988" t="n">
        <v>0</v>
      </c>
      <c r="L988" t="n">
        <v>0</v>
      </c>
      <c r="M988" t="n">
        <v>0</v>
      </c>
      <c r="N988" t="n">
        <v>0</v>
      </c>
      <c r="O988" t="n">
        <v>0</v>
      </c>
      <c r="P988" t="n">
        <v>0</v>
      </c>
      <c r="Q988" t="n">
        <v>0</v>
      </c>
      <c r="R988" s="2" t="inlineStr"/>
    </row>
    <row r="989" ht="15" customHeight="1">
      <c r="A989" t="inlineStr">
        <is>
          <t>A 574-2023</t>
        </is>
      </c>
      <c r="B989" s="1" t="n">
        <v>44925</v>
      </c>
      <c r="C989" s="1" t="n">
        <v>46159</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37010-2022</t>
        </is>
      </c>
      <c r="B990" s="1" t="n">
        <v>44806.41576388889</v>
      </c>
      <c r="C990" s="1" t="n">
        <v>46159</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32705-2022</t>
        </is>
      </c>
      <c r="B991" s="1" t="n">
        <v>44783</v>
      </c>
      <c r="C991" s="1" t="n">
        <v>46159</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33149-2022</t>
        </is>
      </c>
      <c r="B992" s="1" t="n">
        <v>44785</v>
      </c>
      <c r="C992" s="1" t="n">
        <v>46159</v>
      </c>
      <c r="D992" t="inlineStr">
        <is>
          <t>STOCKHOLMS LÄN</t>
        </is>
      </c>
      <c r="E992" t="inlineStr">
        <is>
          <t>NORRTÄLJE</t>
        </is>
      </c>
      <c r="F992" t="inlineStr">
        <is>
          <t>Holmen skog AB</t>
        </is>
      </c>
      <c r="G992" t="n">
        <v>4.4</v>
      </c>
      <c r="H992" t="n">
        <v>0</v>
      </c>
      <c r="I992" t="n">
        <v>0</v>
      </c>
      <c r="J992" t="n">
        <v>0</v>
      </c>
      <c r="K992" t="n">
        <v>0</v>
      </c>
      <c r="L992" t="n">
        <v>0</v>
      </c>
      <c r="M992" t="n">
        <v>0</v>
      </c>
      <c r="N992" t="n">
        <v>0</v>
      </c>
      <c r="O992" t="n">
        <v>0</v>
      </c>
      <c r="P992" t="n">
        <v>0</v>
      </c>
      <c r="Q992" t="n">
        <v>0</v>
      </c>
      <c r="R992" s="2" t="inlineStr"/>
    </row>
    <row r="993" ht="15" customHeight="1">
      <c r="A993" t="inlineStr">
        <is>
          <t>A 14559-2024</t>
        </is>
      </c>
      <c r="B993" s="1" t="n">
        <v>45394.72869212963</v>
      </c>
      <c r="C993" s="1" t="n">
        <v>46159</v>
      </c>
      <c r="D993" t="inlineStr">
        <is>
          <t>STOCKHOLMS LÄN</t>
        </is>
      </c>
      <c r="E993" t="inlineStr">
        <is>
          <t>NORRTÄLJE</t>
        </is>
      </c>
      <c r="G993" t="n">
        <v>4.2</v>
      </c>
      <c r="H993" t="n">
        <v>0</v>
      </c>
      <c r="I993" t="n">
        <v>0</v>
      </c>
      <c r="J993" t="n">
        <v>0</v>
      </c>
      <c r="K993" t="n">
        <v>0</v>
      </c>
      <c r="L993" t="n">
        <v>0</v>
      </c>
      <c r="M993" t="n">
        <v>0</v>
      </c>
      <c r="N993" t="n">
        <v>0</v>
      </c>
      <c r="O993" t="n">
        <v>0</v>
      </c>
      <c r="P993" t="n">
        <v>0</v>
      </c>
      <c r="Q993" t="n">
        <v>0</v>
      </c>
      <c r="R993" s="2" t="inlineStr"/>
    </row>
    <row r="994" ht="15" customHeight="1">
      <c r="A994" t="inlineStr">
        <is>
          <t>A 11-2024</t>
        </is>
      </c>
      <c r="B994" s="1" t="n">
        <v>45293</v>
      </c>
      <c r="C994" s="1" t="n">
        <v>46159</v>
      </c>
      <c r="D994" t="inlineStr">
        <is>
          <t>STOCKHOLMS LÄN</t>
        </is>
      </c>
      <c r="E994" t="inlineStr">
        <is>
          <t>NORRTÄLJE</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15256-2023</t>
        </is>
      </c>
      <c r="B995" s="1" t="n">
        <v>45019.3959837963</v>
      </c>
      <c r="C995" s="1" t="n">
        <v>46159</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7413-2024</t>
        </is>
      </c>
      <c r="B996" s="1" t="n">
        <v>45345.6059837963</v>
      </c>
      <c r="C996" s="1" t="n">
        <v>46159</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58040-2024</t>
        </is>
      </c>
      <c r="B997" s="1" t="n">
        <v>45631.73952546297</v>
      </c>
      <c r="C997" s="1" t="n">
        <v>46159</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58041-2024</t>
        </is>
      </c>
      <c r="B998" s="1" t="n">
        <v>45631.74673611111</v>
      </c>
      <c r="C998" s="1" t="n">
        <v>46159</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31057-2022</t>
        </is>
      </c>
      <c r="B999" s="1" t="n">
        <v>44769</v>
      </c>
      <c r="C999" s="1" t="n">
        <v>46159</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25619-2022</t>
        </is>
      </c>
      <c r="B1000" s="1" t="n">
        <v>44732</v>
      </c>
      <c r="C1000" s="1" t="n">
        <v>46159</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15422-2024</t>
        </is>
      </c>
      <c r="B1001" s="1" t="n">
        <v>45401.3653125</v>
      </c>
      <c r="C1001" s="1" t="n">
        <v>46159</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48716-2023</t>
        </is>
      </c>
      <c r="B1002" s="1" t="n">
        <v>45208.69671296296</v>
      </c>
      <c r="C1002" s="1" t="n">
        <v>46159</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55369-2023</t>
        </is>
      </c>
      <c r="B1003" s="1" t="n">
        <v>45238</v>
      </c>
      <c r="C1003" s="1" t="n">
        <v>46159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20121-2022</t>
        </is>
      </c>
      <c r="B1004" s="1" t="n">
        <v>44698</v>
      </c>
      <c r="C1004" s="1" t="n">
        <v>46159</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46159</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10098-2022</t>
        </is>
      </c>
      <c r="B1006" s="1" t="n">
        <v>44621</v>
      </c>
      <c r="C1006" s="1" t="n">
        <v>46159</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49700-2023</t>
        </is>
      </c>
      <c r="B1007" s="1" t="n">
        <v>45212</v>
      </c>
      <c r="C1007" s="1" t="n">
        <v>46159</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59875-2024</t>
        </is>
      </c>
      <c r="B1008" s="1" t="n">
        <v>45640.58716435185</v>
      </c>
      <c r="C1008" s="1" t="n">
        <v>46159</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45220-2024</t>
        </is>
      </c>
      <c r="B1009" s="1" t="n">
        <v>45575</v>
      </c>
      <c r="C1009" s="1" t="n">
        <v>46159</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4658-2024</t>
        </is>
      </c>
      <c r="B1010" s="1" t="n">
        <v>45328.46336805556</v>
      </c>
      <c r="C1010" s="1" t="n">
        <v>46159</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48145-2024</t>
        </is>
      </c>
      <c r="B1011" s="1" t="n">
        <v>45589.6756712963</v>
      </c>
      <c r="C1011" s="1" t="n">
        <v>46159</v>
      </c>
      <c r="D1011" t="inlineStr">
        <is>
          <t>STOCKHOLMS LÄN</t>
        </is>
      </c>
      <c r="E1011" t="inlineStr">
        <is>
          <t>NORRTÄLJE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10642-2025</t>
        </is>
      </c>
      <c r="B1012" s="1" t="n">
        <v>45721.65858796296</v>
      </c>
      <c r="C1012" s="1" t="n">
        <v>46159</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24024-2024</t>
        </is>
      </c>
      <c r="B1013" s="1" t="n">
        <v>45456</v>
      </c>
      <c r="C1013" s="1" t="n">
        <v>46159</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35532-2024</t>
        </is>
      </c>
      <c r="B1014" s="1" t="n">
        <v>45531</v>
      </c>
      <c r="C1014" s="1" t="n">
        <v>46159</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19118-2022</t>
        </is>
      </c>
      <c r="B1015" s="1" t="n">
        <v>44691.5652662037</v>
      </c>
      <c r="C1015" s="1" t="n">
        <v>46159</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44908.77368055555</v>
      </c>
      <c r="C1016" s="1" t="n">
        <v>46159</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33226-2024</t>
        </is>
      </c>
      <c r="B1017" s="1" t="n">
        <v>45518</v>
      </c>
      <c r="C1017" s="1" t="n">
        <v>46159</v>
      </c>
      <c r="D1017" t="inlineStr">
        <is>
          <t>STOCKHOLMS LÄN</t>
        </is>
      </c>
      <c r="E1017" t="inlineStr">
        <is>
          <t>NORRTÄLJE</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16980-2023</t>
        </is>
      </c>
      <c r="B1018" s="1" t="n">
        <v>45033</v>
      </c>
      <c r="C1018" s="1" t="n">
        <v>46159</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31107-2022</t>
        </is>
      </c>
      <c r="B1019" s="1" t="n">
        <v>44769.66864583334</v>
      </c>
      <c r="C1019" s="1" t="n">
        <v>46159</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43170-2023</t>
        </is>
      </c>
      <c r="B1020" s="1" t="n">
        <v>45183</v>
      </c>
      <c r="C1020" s="1" t="n">
        <v>46159</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47626-2022</t>
        </is>
      </c>
      <c r="B1021" s="1" t="n">
        <v>44854</v>
      </c>
      <c r="C1021" s="1" t="n">
        <v>46159</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32101-2022</t>
        </is>
      </c>
      <c r="B1022" s="1" t="n">
        <v>44778.69210648148</v>
      </c>
      <c r="C1022" s="1" t="n">
        <v>46159</v>
      </c>
      <c r="D1022" t="inlineStr">
        <is>
          <t>STOCKHOLMS LÄN</t>
        </is>
      </c>
      <c r="E1022" t="inlineStr">
        <is>
          <t>NORRTÄLJE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28365-2022</t>
        </is>
      </c>
      <c r="B1023" s="1" t="n">
        <v>44747</v>
      </c>
      <c r="C1023" s="1" t="n">
        <v>46159</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42867-2022</t>
        </is>
      </c>
      <c r="B1024" s="1" t="n">
        <v>44832</v>
      </c>
      <c r="C1024" s="1" t="n">
        <v>46159</v>
      </c>
      <c r="D1024" t="inlineStr">
        <is>
          <t>STOCKHOLMS LÄN</t>
        </is>
      </c>
      <c r="E1024" t="inlineStr">
        <is>
          <t>NORRTÄLJE</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5645-2023</t>
        </is>
      </c>
      <c r="B1025" s="1" t="n">
        <v>44960.60469907407</v>
      </c>
      <c r="C1025" s="1" t="n">
        <v>46159</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17775-2022</t>
        </is>
      </c>
      <c r="B1026" s="1" t="n">
        <v>44682.78430555556</v>
      </c>
      <c r="C1026" s="1" t="n">
        <v>46159</v>
      </c>
      <c r="D1026" t="inlineStr">
        <is>
          <t>STOCKHOLMS LÄN</t>
        </is>
      </c>
      <c r="E1026" t="inlineStr">
        <is>
          <t>NORRTÄLJE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47481-2024</t>
        </is>
      </c>
      <c r="B1027" s="1" t="n">
        <v>45587</v>
      </c>
      <c r="C1027" s="1" t="n">
        <v>46159</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24933-2023</t>
        </is>
      </c>
      <c r="B1028" s="1" t="n">
        <v>45085.5309375</v>
      </c>
      <c r="C1028" s="1" t="n">
        <v>46159</v>
      </c>
      <c r="D1028" t="inlineStr">
        <is>
          <t>STOCKHOLMS LÄN</t>
        </is>
      </c>
      <c r="E1028" t="inlineStr">
        <is>
          <t>NORRTÄLJE</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11062-2024</t>
        </is>
      </c>
      <c r="B1029" s="1" t="n">
        <v>45370</v>
      </c>
      <c r="C1029" s="1" t="n">
        <v>46159</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46159</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12908-2025</t>
        </is>
      </c>
      <c r="B1031" s="1" t="n">
        <v>45733.82105324074</v>
      </c>
      <c r="C1031" s="1" t="n">
        <v>46159</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68361-2021</t>
        </is>
      </c>
      <c r="B1032" s="1" t="n">
        <v>44528.91494212963</v>
      </c>
      <c r="C1032" s="1" t="n">
        <v>46159</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50469-2022</t>
        </is>
      </c>
      <c r="B1033" s="1" t="n">
        <v>44866.49827546296</v>
      </c>
      <c r="C1033" s="1" t="n">
        <v>46159</v>
      </c>
      <c r="D1033" t="inlineStr">
        <is>
          <t>STOCKHOLMS LÄN</t>
        </is>
      </c>
      <c r="E1033" t="inlineStr">
        <is>
          <t>NORRTÄLJE</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41976-2024</t>
        </is>
      </c>
      <c r="B1034" s="1" t="n">
        <v>45561.62141203704</v>
      </c>
      <c r="C1034" s="1" t="n">
        <v>46159</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46159</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30886-2022</t>
        </is>
      </c>
      <c r="B1036" s="1" t="n">
        <v>44767.60601851852</v>
      </c>
      <c r="C1036" s="1" t="n">
        <v>46159</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58989-2021</t>
        </is>
      </c>
      <c r="B1037" s="1" t="n">
        <v>44490.02482638889</v>
      </c>
      <c r="C1037" s="1" t="n">
        <v>46159</v>
      </c>
      <c r="D1037" t="inlineStr">
        <is>
          <t>STOCKHOLMS LÄN</t>
        </is>
      </c>
      <c r="E1037" t="inlineStr">
        <is>
          <t>NORRTÄLJE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58990-2021</t>
        </is>
      </c>
      <c r="B1038" s="1" t="n">
        <v>44490.03621527777</v>
      </c>
      <c r="C1038" s="1" t="n">
        <v>46159</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11940-2023</t>
        </is>
      </c>
      <c r="B1039" s="1" t="n">
        <v>44995</v>
      </c>
      <c r="C1039" s="1" t="n">
        <v>46159</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29266-2022</t>
        </is>
      </c>
      <c r="B1040" s="1" t="n">
        <v>44750.66068287037</v>
      </c>
      <c r="C1040" s="1" t="n">
        <v>46159</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29278-2022</t>
        </is>
      </c>
      <c r="B1041" s="1" t="n">
        <v>44750</v>
      </c>
      <c r="C1041" s="1" t="n">
        <v>46159</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6401-2024</t>
        </is>
      </c>
      <c r="B1042" s="1" t="n">
        <v>45338</v>
      </c>
      <c r="C1042" s="1" t="n">
        <v>46159</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24501-2023</t>
        </is>
      </c>
      <c r="B1043" s="1" t="n">
        <v>45082</v>
      </c>
      <c r="C1043" s="1" t="n">
        <v>46159</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24520-2023</t>
        </is>
      </c>
      <c r="B1044" s="1" t="n">
        <v>45082.68922453704</v>
      </c>
      <c r="C1044" s="1" t="n">
        <v>46159</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38612-2022</t>
        </is>
      </c>
      <c r="B1045" s="1" t="n">
        <v>44813</v>
      </c>
      <c r="C1045" s="1" t="n">
        <v>46159</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46159</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26117-2024</t>
        </is>
      </c>
      <c r="B1047" s="1" t="n">
        <v>45468.45877314815</v>
      </c>
      <c r="C1047" s="1" t="n">
        <v>46159</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61113-2023</t>
        </is>
      </c>
      <c r="B1048" s="1" t="n">
        <v>45261</v>
      </c>
      <c r="C1048" s="1" t="n">
        <v>46159</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60822-2023</t>
        </is>
      </c>
      <c r="B1049" s="1" t="n">
        <v>45259</v>
      </c>
      <c r="C1049" s="1" t="n">
        <v>46159</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59310-2023</t>
        </is>
      </c>
      <c r="B1050" s="1" t="n">
        <v>45253.61146990741</v>
      </c>
      <c r="C1050" s="1" t="n">
        <v>46159</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20343-2024</t>
        </is>
      </c>
      <c r="B1051" s="1" t="n">
        <v>45435.43466435185</v>
      </c>
      <c r="C1051" s="1" t="n">
        <v>46159</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20345-2024</t>
        </is>
      </c>
      <c r="B1052" s="1" t="n">
        <v>45435.43820601852</v>
      </c>
      <c r="C1052" s="1" t="n">
        <v>46159</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55010-2024</t>
        </is>
      </c>
      <c r="B1053" s="1" t="n">
        <v>45621.34425925926</v>
      </c>
      <c r="C1053" s="1" t="n">
        <v>46159</v>
      </c>
      <c r="D1053" t="inlineStr">
        <is>
          <t>STOCKHOLMS LÄN</t>
        </is>
      </c>
      <c r="E1053" t="inlineStr">
        <is>
          <t>NORRTÄLJE</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55018-2024</t>
        </is>
      </c>
      <c r="B1054" s="1" t="n">
        <v>45621.35712962963</v>
      </c>
      <c r="C1054" s="1" t="n">
        <v>46159</v>
      </c>
      <c r="D1054" t="inlineStr">
        <is>
          <t>STOCKHOLMS LÄN</t>
        </is>
      </c>
      <c r="E1054" t="inlineStr">
        <is>
          <t>NORRTÄLJE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50113-2024</t>
        </is>
      </c>
      <c r="B1055" s="1" t="n">
        <v>45600.411875</v>
      </c>
      <c r="C1055" s="1" t="n">
        <v>46159</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20336-2024</t>
        </is>
      </c>
      <c r="B1056" s="1" t="n">
        <v>45435.43123842592</v>
      </c>
      <c r="C1056" s="1" t="n">
        <v>46159</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64899-2023</t>
        </is>
      </c>
      <c r="B1057" s="1" t="n">
        <v>45282</v>
      </c>
      <c r="C1057" s="1" t="n">
        <v>46159</v>
      </c>
      <c r="D1057" t="inlineStr">
        <is>
          <t>STOCKHOLMS LÄN</t>
        </is>
      </c>
      <c r="E1057" t="inlineStr">
        <is>
          <t>NORRTÄLJE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1847-2023</t>
        </is>
      </c>
      <c r="B1058" s="1" t="n">
        <v>44938</v>
      </c>
      <c r="C1058" s="1" t="n">
        <v>46159</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29362-2022</t>
        </is>
      </c>
      <c r="B1059" s="1" t="n">
        <v>44753</v>
      </c>
      <c r="C1059" s="1" t="n">
        <v>46159</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20291-2022</t>
        </is>
      </c>
      <c r="B1060" s="1" t="n">
        <v>44698</v>
      </c>
      <c r="C1060" s="1" t="n">
        <v>46159</v>
      </c>
      <c r="D1060" t="inlineStr">
        <is>
          <t>STOCKHOLMS LÄN</t>
        </is>
      </c>
      <c r="E1060" t="inlineStr">
        <is>
          <t>NORRTÄLJE</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12302-2025</t>
        </is>
      </c>
      <c r="B1061" s="1" t="n">
        <v>45729.72851851852</v>
      </c>
      <c r="C1061" s="1" t="n">
        <v>46159</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31926-2022</t>
        </is>
      </c>
      <c r="B1062" s="1" t="n">
        <v>44777</v>
      </c>
      <c r="C1062" s="1" t="n">
        <v>46159</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1425-2025</t>
        </is>
      </c>
      <c r="B1063" s="1" t="n">
        <v>45668.67446759259</v>
      </c>
      <c r="C1063" s="1" t="n">
        <v>46159</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1453-2025</t>
        </is>
      </c>
      <c r="B1064" s="1" t="n">
        <v>45670.3079050926</v>
      </c>
      <c r="C1064" s="1" t="n">
        <v>46159</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13860-2023</t>
        </is>
      </c>
      <c r="B1065" s="1" t="n">
        <v>45007</v>
      </c>
      <c r="C1065" s="1" t="n">
        <v>46159</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6070-2022</t>
        </is>
      </c>
      <c r="B1066" s="1" t="n">
        <v>44599.58428240741</v>
      </c>
      <c r="C1066" s="1" t="n">
        <v>46159</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9130-2025</t>
        </is>
      </c>
      <c r="B1067" s="1" t="n">
        <v>45713.92623842593</v>
      </c>
      <c r="C1067" s="1" t="n">
        <v>46159</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27828-2022</t>
        </is>
      </c>
      <c r="B1068" s="1" t="n">
        <v>44743.59765046297</v>
      </c>
      <c r="C1068" s="1" t="n">
        <v>46159</v>
      </c>
      <c r="D1068" t="inlineStr">
        <is>
          <t>STOCKHOLMS LÄN</t>
        </is>
      </c>
      <c r="E1068" t="inlineStr">
        <is>
          <t>NORRTÄLJE</t>
        </is>
      </c>
      <c r="F1068" t="inlineStr">
        <is>
          <t>Kommuner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59873-2024</t>
        </is>
      </c>
      <c r="B1069" s="1" t="n">
        <v>45640.57305555556</v>
      </c>
      <c r="C1069" s="1" t="n">
        <v>46159</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48161-2022</t>
        </is>
      </c>
      <c r="B1070" s="1" t="n">
        <v>44858</v>
      </c>
      <c r="C1070" s="1" t="n">
        <v>46159</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43150-2023</t>
        </is>
      </c>
      <c r="B1071" s="1" t="n">
        <v>45183</v>
      </c>
      <c r="C1071" s="1" t="n">
        <v>46159</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59534-2024</t>
        </is>
      </c>
      <c r="B1072" s="1" t="n">
        <v>45638.5987037037</v>
      </c>
      <c r="C1072" s="1" t="n">
        <v>46159</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23307-2024</t>
        </is>
      </c>
      <c r="B1073" s="1" t="n">
        <v>45453</v>
      </c>
      <c r="C1073" s="1" t="n">
        <v>46159</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19450-2025</t>
        </is>
      </c>
      <c r="B1074" s="1" t="n">
        <v>45770</v>
      </c>
      <c r="C1074" s="1" t="n">
        <v>46159</v>
      </c>
      <c r="D1074" t="inlineStr">
        <is>
          <t>STOCKHOLMS LÄN</t>
        </is>
      </c>
      <c r="E1074" t="inlineStr">
        <is>
          <t>NORRTÄLJE</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2281-2024</t>
        </is>
      </c>
      <c r="B1075" s="1" t="n">
        <v>45310.40628472222</v>
      </c>
      <c r="C1075" s="1" t="n">
        <v>46159</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2287-2024</t>
        </is>
      </c>
      <c r="B1076" s="1" t="n">
        <v>45310</v>
      </c>
      <c r="C1076" s="1" t="n">
        <v>46159</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20618-2022</t>
        </is>
      </c>
      <c r="B1077" s="1" t="n">
        <v>44700.50659722222</v>
      </c>
      <c r="C1077" s="1" t="n">
        <v>46159</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59504-2023</t>
        </is>
      </c>
      <c r="B1078" s="1" t="n">
        <v>45254</v>
      </c>
      <c r="C1078" s="1" t="n">
        <v>46159</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25656-2023</t>
        </is>
      </c>
      <c r="B1079" s="1" t="n">
        <v>45089</v>
      </c>
      <c r="C1079" s="1" t="n">
        <v>46159</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38049-2023</t>
        </is>
      </c>
      <c r="B1080" s="1" t="n">
        <v>45159</v>
      </c>
      <c r="C1080" s="1" t="n">
        <v>46159</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3966-2024</t>
        </is>
      </c>
      <c r="B1081" s="1" t="n">
        <v>45322</v>
      </c>
      <c r="C1081" s="1" t="n">
        <v>46159</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17348-2024</t>
        </is>
      </c>
      <c r="B1082" s="1" t="n">
        <v>45414.58650462963</v>
      </c>
      <c r="C1082" s="1" t="n">
        <v>46159</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38591-2023</t>
        </is>
      </c>
      <c r="B1083" s="1" t="n">
        <v>45162</v>
      </c>
      <c r="C1083" s="1" t="n">
        <v>46159</v>
      </c>
      <c r="D1083" t="inlineStr">
        <is>
          <t>STOCKHOLMS LÄN</t>
        </is>
      </c>
      <c r="E1083" t="inlineStr">
        <is>
          <t>NORRTÄLJE</t>
        </is>
      </c>
      <c r="F1083" t="inlineStr">
        <is>
          <t>Övriga Aktiebolag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3273-2025</t>
        </is>
      </c>
      <c r="B1084" s="1" t="n">
        <v>45679</v>
      </c>
      <c r="C1084" s="1" t="n">
        <v>46159</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34461-2023</t>
        </is>
      </c>
      <c r="B1085" s="1" t="n">
        <v>45139</v>
      </c>
      <c r="C1085" s="1" t="n">
        <v>46159</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15217-2023</t>
        </is>
      </c>
      <c r="B1086" s="1" t="n">
        <v>45019.28847222222</v>
      </c>
      <c r="C1086" s="1" t="n">
        <v>46159</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24522-2023</t>
        </is>
      </c>
      <c r="B1087" s="1" t="n">
        <v>45082.69179398148</v>
      </c>
      <c r="C1087" s="1" t="n">
        <v>46159</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29176-2024</t>
        </is>
      </c>
      <c r="B1088" s="1" t="n">
        <v>45482.53388888889</v>
      </c>
      <c r="C1088" s="1" t="n">
        <v>46159</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46159</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4438-2023</t>
        </is>
      </c>
      <c r="B1090" s="1" t="n">
        <v>44956</v>
      </c>
      <c r="C1090" s="1" t="n">
        <v>46159</v>
      </c>
      <c r="D1090" t="inlineStr">
        <is>
          <t>STOCKHOLMS LÄN</t>
        </is>
      </c>
      <c r="E1090" t="inlineStr">
        <is>
          <t>NORRTÄLJE</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24727-2023</t>
        </is>
      </c>
      <c r="B1091" s="1" t="n">
        <v>45084.57695601852</v>
      </c>
      <c r="C1091" s="1" t="n">
        <v>46159</v>
      </c>
      <c r="D1091" t="inlineStr">
        <is>
          <t>STOCKHOLMS LÄN</t>
        </is>
      </c>
      <c r="E1091" t="inlineStr">
        <is>
          <t>NORRTÄLJE</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59904-2023</t>
        </is>
      </c>
      <c r="B1092" s="1" t="n">
        <v>45257</v>
      </c>
      <c r="C1092" s="1" t="n">
        <v>46159</v>
      </c>
      <c r="D1092" t="inlineStr">
        <is>
          <t>STOCKHOLMS LÄN</t>
        </is>
      </c>
      <c r="E1092" t="inlineStr">
        <is>
          <t>NORRTÄLJE</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36308-2022</t>
        </is>
      </c>
      <c r="B1093" s="1" t="n">
        <v>44803</v>
      </c>
      <c r="C1093" s="1" t="n">
        <v>46159</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18787-2022</t>
        </is>
      </c>
      <c r="B1094" s="1" t="n">
        <v>44687</v>
      </c>
      <c r="C1094" s="1" t="n">
        <v>46159</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50108-2021</t>
        </is>
      </c>
      <c r="B1095" s="1" t="n">
        <v>44456</v>
      </c>
      <c r="C1095" s="1" t="n">
        <v>46159</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25621-2022</t>
        </is>
      </c>
      <c r="B1096" s="1" t="n">
        <v>44732</v>
      </c>
      <c r="C1096" s="1" t="n">
        <v>46159</v>
      </c>
      <c r="D1096" t="inlineStr">
        <is>
          <t>STOCKHOLMS LÄN</t>
        </is>
      </c>
      <c r="E1096" t="inlineStr">
        <is>
          <t>NORRTÄLJE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20304-2023</t>
        </is>
      </c>
      <c r="B1097" s="1" t="n">
        <v>45056</v>
      </c>
      <c r="C1097" s="1" t="n">
        <v>46159</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35235-2024</t>
        </is>
      </c>
      <c r="B1098" s="1" t="n">
        <v>45530</v>
      </c>
      <c r="C1098" s="1" t="n">
        <v>46159</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51061-2023</t>
        </is>
      </c>
      <c r="B1099" s="1" t="n">
        <v>45218.65849537037</v>
      </c>
      <c r="C1099" s="1" t="n">
        <v>46159</v>
      </c>
      <c r="D1099" t="inlineStr">
        <is>
          <t>STOCKHOLMS LÄN</t>
        </is>
      </c>
      <c r="E1099" t="inlineStr">
        <is>
          <t>NORRTÄLJE</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39213-2022</t>
        </is>
      </c>
      <c r="B1100" s="1" t="n">
        <v>44817.56120370371</v>
      </c>
      <c r="C1100" s="1" t="n">
        <v>46159</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36246-2021</t>
        </is>
      </c>
      <c r="B1101" s="1" t="n">
        <v>44390</v>
      </c>
      <c r="C1101" s="1" t="n">
        <v>46159</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15905-2023</t>
        </is>
      </c>
      <c r="B1102" s="1" t="n">
        <v>45022</v>
      </c>
      <c r="C1102" s="1" t="n">
        <v>46159</v>
      </c>
      <c r="D1102" t="inlineStr">
        <is>
          <t>STOCKHOLMS LÄN</t>
        </is>
      </c>
      <c r="E1102" t="inlineStr">
        <is>
          <t>NORRTÄLJE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11041-2025</t>
        </is>
      </c>
      <c r="B1103" s="1" t="n">
        <v>45723</v>
      </c>
      <c r="C1103" s="1" t="n">
        <v>46159</v>
      </c>
      <c r="D1103" t="inlineStr">
        <is>
          <t>STOCKHOLMS LÄN</t>
        </is>
      </c>
      <c r="E1103" t="inlineStr">
        <is>
          <t>NORRTÄLJE</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44917-2022</t>
        </is>
      </c>
      <c r="B1104" s="1" t="n">
        <v>44841.52804398148</v>
      </c>
      <c r="C1104" s="1" t="n">
        <v>46159</v>
      </c>
      <c r="D1104" t="inlineStr">
        <is>
          <t>STOCKHOLMS LÄN</t>
        </is>
      </c>
      <c r="E1104" t="inlineStr">
        <is>
          <t>NORRTÄLJE</t>
        </is>
      </c>
      <c r="F1104" t="inlineStr">
        <is>
          <t>Holmen skog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33173-2024</t>
        </is>
      </c>
      <c r="B1105" s="1" t="n">
        <v>45518</v>
      </c>
      <c r="C1105" s="1" t="n">
        <v>46159</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17551-2025</t>
        </is>
      </c>
      <c r="B1106" s="1" t="n">
        <v>45757.61421296297</v>
      </c>
      <c r="C1106" s="1" t="n">
        <v>46159</v>
      </c>
      <c r="D1106" t="inlineStr">
        <is>
          <t>STOCKHOLMS LÄN</t>
        </is>
      </c>
      <c r="E1106" t="inlineStr">
        <is>
          <t>NORRTÄLJE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10678-2025</t>
        </is>
      </c>
      <c r="B1107" s="1" t="n">
        <v>45721.89123842592</v>
      </c>
      <c r="C1107" s="1" t="n">
        <v>46159</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8370-2025</t>
        </is>
      </c>
      <c r="B1108" s="1" t="n">
        <v>45708</v>
      </c>
      <c r="C1108" s="1" t="n">
        <v>46159</v>
      </c>
      <c r="D1108" t="inlineStr">
        <is>
          <t>STOCKHOLMS LÄN</t>
        </is>
      </c>
      <c r="E1108" t="inlineStr">
        <is>
          <t>NORRTÄLJE</t>
        </is>
      </c>
      <c r="F1108" t="inlineStr">
        <is>
          <t>Övriga Aktiebolag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951-2023</t>
        </is>
      </c>
      <c r="B1109" s="1" t="n">
        <v>44934</v>
      </c>
      <c r="C1109" s="1" t="n">
        <v>46159</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32100-2022</t>
        </is>
      </c>
      <c r="B1110" s="1" t="n">
        <v>44778</v>
      </c>
      <c r="C1110" s="1" t="n">
        <v>46159</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2888-2022</t>
        </is>
      </c>
      <c r="B1111" s="1" t="n">
        <v>44581</v>
      </c>
      <c r="C1111" s="1" t="n">
        <v>46159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11902-2024</t>
        </is>
      </c>
      <c r="B1112" s="1" t="n">
        <v>45376.55704861111</v>
      </c>
      <c r="C1112" s="1" t="n">
        <v>46159</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13-2024</t>
        </is>
      </c>
      <c r="B1113" s="1" t="n">
        <v>45293.37263888889</v>
      </c>
      <c r="C1113" s="1" t="n">
        <v>46159</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58260-2023</t>
        </is>
      </c>
      <c r="B1114" s="1" t="n">
        <v>45245</v>
      </c>
      <c r="C1114" s="1" t="n">
        <v>46159</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58261-2023</t>
        </is>
      </c>
      <c r="B1115" s="1" t="n">
        <v>45245</v>
      </c>
      <c r="C1115" s="1" t="n">
        <v>46159</v>
      </c>
      <c r="D1115" t="inlineStr">
        <is>
          <t>STOCKHOLMS LÄN</t>
        </is>
      </c>
      <c r="E1115" t="inlineStr">
        <is>
          <t>NORRTÄLJE</t>
        </is>
      </c>
      <c r="G1115" t="n">
        <v>53.5</v>
      </c>
      <c r="H1115" t="n">
        <v>0</v>
      </c>
      <c r="I1115" t="n">
        <v>0</v>
      </c>
      <c r="J1115" t="n">
        <v>0</v>
      </c>
      <c r="K1115" t="n">
        <v>0</v>
      </c>
      <c r="L1115" t="n">
        <v>0</v>
      </c>
      <c r="M1115" t="n">
        <v>0</v>
      </c>
      <c r="N1115" t="n">
        <v>0</v>
      </c>
      <c r="O1115" t="n">
        <v>0</v>
      </c>
      <c r="P1115" t="n">
        <v>0</v>
      </c>
      <c r="Q1115" t="n">
        <v>0</v>
      </c>
      <c r="R1115" s="2" t="inlineStr"/>
    </row>
    <row r="1116" ht="15" customHeight="1">
      <c r="A1116" t="inlineStr">
        <is>
          <t>A 4553-2023</t>
        </is>
      </c>
      <c r="B1116" s="1" t="n">
        <v>44956.65920138889</v>
      </c>
      <c r="C1116" s="1" t="n">
        <v>46159</v>
      </c>
      <c r="D1116" t="inlineStr">
        <is>
          <t>STOCKHOLMS LÄN</t>
        </is>
      </c>
      <c r="E1116" t="inlineStr">
        <is>
          <t>NORRTÄLJE</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875-2023</t>
        </is>
      </c>
      <c r="B1117" s="1" t="n">
        <v>44931.65626157408</v>
      </c>
      <c r="C1117" s="1" t="n">
        <v>46159</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24575-2024</t>
        </is>
      </c>
      <c r="B1118" s="1" t="n">
        <v>45460.45523148148</v>
      </c>
      <c r="C1118" s="1" t="n">
        <v>46159</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19-2024</t>
        </is>
      </c>
      <c r="B1119" s="1" t="n">
        <v>45293</v>
      </c>
      <c r="C1119" s="1" t="n">
        <v>46159</v>
      </c>
      <c r="D1119" t="inlineStr">
        <is>
          <t>STOCKHOLMS LÄN</t>
        </is>
      </c>
      <c r="E1119" t="inlineStr">
        <is>
          <t>NORRTÄLJE</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11333-2025</t>
        </is>
      </c>
      <c r="B1120" s="1" t="n">
        <v>45726.48377314815</v>
      </c>
      <c r="C1120" s="1" t="n">
        <v>46159</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31827-2023</t>
        </is>
      </c>
      <c r="B1121" s="1" t="n">
        <v>45118</v>
      </c>
      <c r="C1121" s="1" t="n">
        <v>46159</v>
      </c>
      <c r="D1121" t="inlineStr">
        <is>
          <t>STOCKHOLMS LÄN</t>
        </is>
      </c>
      <c r="E1121" t="inlineStr">
        <is>
          <t>NORRTÄLJE</t>
        </is>
      </c>
      <c r="F1121" t="inlineStr">
        <is>
          <t>Kyrkan</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10973-2025</t>
        </is>
      </c>
      <c r="B1122" s="1" t="n">
        <v>45723</v>
      </c>
      <c r="C1122" s="1" t="n">
        <v>46159</v>
      </c>
      <c r="D1122" t="inlineStr">
        <is>
          <t>STOCKHOLMS LÄN</t>
        </is>
      </c>
      <c r="E1122" t="inlineStr">
        <is>
          <t>NORRTÄLJE</t>
        </is>
      </c>
      <c r="F1122" t="inlineStr">
        <is>
          <t>Övriga Aktiebolag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54496-2024</t>
        </is>
      </c>
      <c r="B1123" s="1" t="n">
        <v>45617.57439814815</v>
      </c>
      <c r="C1123" s="1" t="n">
        <v>46159</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7796-2025</t>
        </is>
      </c>
      <c r="B1124" s="1" t="n">
        <v>45706.60130787037</v>
      </c>
      <c r="C1124" s="1" t="n">
        <v>46159</v>
      </c>
      <c r="D1124" t="inlineStr">
        <is>
          <t>STOCKHOLMS LÄN</t>
        </is>
      </c>
      <c r="E1124" t="inlineStr">
        <is>
          <t>NORRTÄLJE</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59767-2022</t>
        </is>
      </c>
      <c r="B1125" s="1" t="n">
        <v>44900</v>
      </c>
      <c r="C1125" s="1" t="n">
        <v>46159</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22756-2022</t>
        </is>
      </c>
      <c r="B1126" s="1" t="n">
        <v>44714.92253472222</v>
      </c>
      <c r="C1126" s="1" t="n">
        <v>46159</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58311-2023</t>
        </is>
      </c>
      <c r="B1127" s="1" t="n">
        <v>45245</v>
      </c>
      <c r="C1127" s="1" t="n">
        <v>46159</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8739-2024</t>
        </is>
      </c>
      <c r="B1128" s="1" t="n">
        <v>45356.47784722222</v>
      </c>
      <c r="C1128" s="1" t="n">
        <v>46159</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26640-2023</t>
        </is>
      </c>
      <c r="B1129" s="1" t="n">
        <v>45092</v>
      </c>
      <c r="C1129" s="1" t="n">
        <v>46159</v>
      </c>
      <c r="D1129" t="inlineStr">
        <is>
          <t>STOCKHOLMS LÄN</t>
        </is>
      </c>
      <c r="E1129" t="inlineStr">
        <is>
          <t>NORRTÄLJE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62765-2022</t>
        </is>
      </c>
      <c r="B1130" s="1" t="n">
        <v>44637</v>
      </c>
      <c r="C1130" s="1" t="n">
        <v>46159</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38990-2022</t>
        </is>
      </c>
      <c r="B1131" s="1" t="n">
        <v>44816</v>
      </c>
      <c r="C1131" s="1" t="n">
        <v>46159</v>
      </c>
      <c r="D1131" t="inlineStr">
        <is>
          <t>STOCKHOLMS LÄN</t>
        </is>
      </c>
      <c r="E1131" t="inlineStr">
        <is>
          <t>NORRTÄLJE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17545-2025</t>
        </is>
      </c>
      <c r="B1132" s="1" t="n">
        <v>45757.60658564815</v>
      </c>
      <c r="C1132" s="1" t="n">
        <v>46159</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46159</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23265-2023</t>
        </is>
      </c>
      <c r="B1134" s="1" t="n">
        <v>45075.90703703704</v>
      </c>
      <c r="C1134" s="1" t="n">
        <v>46159</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30268-2024</t>
        </is>
      </c>
      <c r="B1135" s="1" t="n">
        <v>45490.60572916667</v>
      </c>
      <c r="C1135" s="1" t="n">
        <v>46159</v>
      </c>
      <c r="D1135" t="inlineStr">
        <is>
          <t>STOCKHOLMS LÄN</t>
        </is>
      </c>
      <c r="E1135" t="inlineStr">
        <is>
          <t>NORRTÄLJE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59535-2024</t>
        </is>
      </c>
      <c r="B1136" s="1" t="n">
        <v>45638.59979166667</v>
      </c>
      <c r="C1136" s="1" t="n">
        <v>46159</v>
      </c>
      <c r="D1136" t="inlineStr">
        <is>
          <t>STOCKHOLMS LÄN</t>
        </is>
      </c>
      <c r="E1136" t="inlineStr">
        <is>
          <t>NORRTÄLJE</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9246-2024</t>
        </is>
      </c>
      <c r="B1137" s="1" t="n">
        <v>45357</v>
      </c>
      <c r="C1137" s="1" t="n">
        <v>46159</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45058.78607638889</v>
      </c>
      <c r="C1138" s="1" t="n">
        <v>46159</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50355-2024</t>
        </is>
      </c>
      <c r="B1139" s="1" t="n">
        <v>45600.86128472222</v>
      </c>
      <c r="C1139" s="1" t="n">
        <v>46159</v>
      </c>
      <c r="D1139" t="inlineStr">
        <is>
          <t>STOCKHOLMS LÄN</t>
        </is>
      </c>
      <c r="E1139" t="inlineStr">
        <is>
          <t>NORRTÄLJE</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60694-2024</t>
        </is>
      </c>
      <c r="B1140" s="1" t="n">
        <v>45644.47878472223</v>
      </c>
      <c r="C1140" s="1" t="n">
        <v>46159</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25094-2023</t>
        </is>
      </c>
      <c r="B1141" s="1" t="n">
        <v>45086.3629050926</v>
      </c>
      <c r="C1141" s="1" t="n">
        <v>46159</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59276-2023</t>
        </is>
      </c>
      <c r="B1142" s="1" t="n">
        <v>45253.55641203704</v>
      </c>
      <c r="C1142" s="1" t="n">
        <v>46159</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13767-2025</t>
        </is>
      </c>
      <c r="B1143" s="1" t="n">
        <v>45737.43347222222</v>
      </c>
      <c r="C1143" s="1" t="n">
        <v>46159</v>
      </c>
      <c r="D1143" t="inlineStr">
        <is>
          <t>STOCKHOLMS LÄN</t>
        </is>
      </c>
      <c r="E1143" t="inlineStr">
        <is>
          <t>NORRTÄLJE</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41587-2023</t>
        </is>
      </c>
      <c r="B1144" s="1" t="n">
        <v>45175</v>
      </c>
      <c r="C1144" s="1" t="n">
        <v>46159</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27381-2024</t>
        </is>
      </c>
      <c r="B1145" s="1" t="n">
        <v>45473.94501157408</v>
      </c>
      <c r="C1145" s="1" t="n">
        <v>46159</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60529-2023</t>
        </is>
      </c>
      <c r="B1146" s="1" t="n">
        <v>45259</v>
      </c>
      <c r="C1146" s="1" t="n">
        <v>46159</v>
      </c>
      <c r="D1146" t="inlineStr">
        <is>
          <t>STOCKHOLMS LÄN</t>
        </is>
      </c>
      <c r="E1146" t="inlineStr">
        <is>
          <t>NORRTÄLJE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59326-2023</t>
        </is>
      </c>
      <c r="B1147" s="1" t="n">
        <v>45253.63089120371</v>
      </c>
      <c r="C1147" s="1" t="n">
        <v>46159</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46159</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3152-2024</t>
        </is>
      </c>
      <c r="B1149" s="1" t="n">
        <v>45316.60306712963</v>
      </c>
      <c r="C1149" s="1" t="n">
        <v>46159</v>
      </c>
      <c r="D1149" t="inlineStr">
        <is>
          <t>STOCKHOLMS LÄN</t>
        </is>
      </c>
      <c r="E1149" t="inlineStr">
        <is>
          <t>NORRTÄLJE</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46159</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20779-2025</t>
        </is>
      </c>
      <c r="B1151" s="1" t="n">
        <v>45776.59871527777</v>
      </c>
      <c r="C1151" s="1" t="n">
        <v>46159</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44836-2023</t>
        </is>
      </c>
      <c r="B1152" s="1" t="n">
        <v>45190.55609953704</v>
      </c>
      <c r="C1152" s="1" t="n">
        <v>46159</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21771-2025</t>
        </is>
      </c>
      <c r="B1153" s="1" t="n">
        <v>45783</v>
      </c>
      <c r="C1153" s="1" t="n">
        <v>46159</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21778-2025</t>
        </is>
      </c>
      <c r="B1154" s="1" t="n">
        <v>45783.66429398148</v>
      </c>
      <c r="C1154" s="1" t="n">
        <v>46159</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12902-2024</t>
        </is>
      </c>
      <c r="B1155" s="1" t="n">
        <v>45385.38146990741</v>
      </c>
      <c r="C1155" s="1" t="n">
        <v>46159</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39237-2024</t>
        </is>
      </c>
      <c r="B1156" s="1" t="n">
        <v>45549</v>
      </c>
      <c r="C1156" s="1" t="n">
        <v>46159</v>
      </c>
      <c r="D1156" t="inlineStr">
        <is>
          <t>STOCKHOLMS LÄN</t>
        </is>
      </c>
      <c r="E1156" t="inlineStr">
        <is>
          <t>NORRTÄLJE</t>
        </is>
      </c>
      <c r="G1156" t="n">
        <v>13.3</v>
      </c>
      <c r="H1156" t="n">
        <v>0</v>
      </c>
      <c r="I1156" t="n">
        <v>0</v>
      </c>
      <c r="J1156" t="n">
        <v>0</v>
      </c>
      <c r="K1156" t="n">
        <v>0</v>
      </c>
      <c r="L1156" t="n">
        <v>0</v>
      </c>
      <c r="M1156" t="n">
        <v>0</v>
      </c>
      <c r="N1156" t="n">
        <v>0</v>
      </c>
      <c r="O1156" t="n">
        <v>0</v>
      </c>
      <c r="P1156" t="n">
        <v>0</v>
      </c>
      <c r="Q1156" t="n">
        <v>0</v>
      </c>
      <c r="R1156" s="2" t="inlineStr"/>
    </row>
    <row r="1157" ht="15" customHeight="1">
      <c r="A1157" t="inlineStr">
        <is>
          <t>A 44891-2023</t>
        </is>
      </c>
      <c r="B1157" s="1" t="n">
        <v>45187</v>
      </c>
      <c r="C1157" s="1" t="n">
        <v>46159</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13268-2025</t>
        </is>
      </c>
      <c r="B1158" s="1" t="n">
        <v>45735</v>
      </c>
      <c r="C1158" s="1" t="n">
        <v>46159</v>
      </c>
      <c r="D1158" t="inlineStr">
        <is>
          <t>STOCKHOLMS LÄN</t>
        </is>
      </c>
      <c r="E1158" t="inlineStr">
        <is>
          <t>NORRTÄLJE</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8414-2025</t>
        </is>
      </c>
      <c r="B1159" s="1" t="n">
        <v>45709.39361111111</v>
      </c>
      <c r="C1159" s="1" t="n">
        <v>46159</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46159</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46159</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22202-2025</t>
        </is>
      </c>
      <c r="B1162" s="1" t="n">
        <v>45785.65300925926</v>
      </c>
      <c r="C1162" s="1" t="n">
        <v>46159</v>
      </c>
      <c r="D1162" t="inlineStr">
        <is>
          <t>STOCKHOLMS LÄN</t>
        </is>
      </c>
      <c r="E1162" t="inlineStr">
        <is>
          <t>NORRTÄLJE</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36625-2024</t>
        </is>
      </c>
      <c r="B1163" s="1" t="n">
        <v>45537</v>
      </c>
      <c r="C1163" s="1" t="n">
        <v>46159</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45746-2024</t>
        </is>
      </c>
      <c r="B1164" s="1" t="n">
        <v>45579</v>
      </c>
      <c r="C1164" s="1" t="n">
        <v>46159</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8400-2024</t>
        </is>
      </c>
      <c r="B1165" s="1" t="n">
        <v>45352.74090277778</v>
      </c>
      <c r="C1165" s="1" t="n">
        <v>46159</v>
      </c>
      <c r="D1165" t="inlineStr">
        <is>
          <t>STOCKHOLMS LÄN</t>
        </is>
      </c>
      <c r="E1165" t="inlineStr">
        <is>
          <t>NORRTÄLJE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2182-2022</t>
        </is>
      </c>
      <c r="B1166" s="1" t="n">
        <v>44578</v>
      </c>
      <c r="C1166" s="1" t="n">
        <v>46159</v>
      </c>
      <c r="D1166" t="inlineStr">
        <is>
          <t>STOCKHOLMS LÄN</t>
        </is>
      </c>
      <c r="E1166" t="inlineStr">
        <is>
          <t>NORRTÄLJE</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16620-2024</t>
        </is>
      </c>
      <c r="B1167" s="1" t="n">
        <v>45408.57707175926</v>
      </c>
      <c r="C1167" s="1" t="n">
        <v>46159</v>
      </c>
      <c r="D1167" t="inlineStr">
        <is>
          <t>STOCKHOLMS LÄN</t>
        </is>
      </c>
      <c r="E1167" t="inlineStr">
        <is>
          <t>NORRTÄLJE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22416-2025</t>
        </is>
      </c>
      <c r="B1168" s="1" t="n">
        <v>45786.55645833333</v>
      </c>
      <c r="C1168" s="1" t="n">
        <v>46159</v>
      </c>
      <c r="D1168" t="inlineStr">
        <is>
          <t>STOCKHOLMS LÄN</t>
        </is>
      </c>
      <c r="E1168" t="inlineStr">
        <is>
          <t>NORRTÄLJE</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c r="A1169" t="inlineStr">
        <is>
          <t>A 58785-2024</t>
        </is>
      </c>
      <c r="B1169" s="1" t="n">
        <v>45635.88849537037</v>
      </c>
      <c r="C1169" s="1" t="n">
        <v>46159</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2026-05-17T14:03:07Z</dcterms:created>
  <dcterms:modified xmlns:dcterms="http://purl.org/dc/terms/" xmlns:xsi="http://www.w3.org/2001/XMLSchema-instance" xsi:type="dcterms:W3CDTF">2026-05-17T14:03:08Z</dcterms:modified>
</cp:coreProperties>
</file>