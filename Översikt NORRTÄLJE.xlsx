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45688</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45688</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45688</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45688</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45688</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45688</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45688</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45688</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45688</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45688</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45688</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45688</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45688</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45688</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45688</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45688</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45688</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45688</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45688</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45688</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45688</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45688</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45688</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45688</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45688</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45688</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45688</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45688</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45688</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45688</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45688</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45688</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45688</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45688</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45688</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45688</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45688</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45688</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45688</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45688</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45688</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45688</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45688</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45688</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45688</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45688</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45688</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45688</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45688</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45688</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45688</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45688</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45688</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45688</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45688</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45688</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45688</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45688</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45688</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45688</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45688</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45688</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45688</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45688</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45688</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45688</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45688</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45688</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45688</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45688</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45688</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45688</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45688</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45688</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45688</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45688</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45688</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45688</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45688</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45688</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45688</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45688</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45688</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45688</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45688</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45688</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45688</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45688</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45688</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45688</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45688</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45688</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45688</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45688</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45688</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45688</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45688</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45688</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45688</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45688</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45688</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45688</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45688</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45688</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45688</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45688</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45688</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45688</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45688</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45688</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45688</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45688</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45688</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45688</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45688</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45688</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45688</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45688</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45688</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45688</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45688</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45688</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45688</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45688</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45688</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45688</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45688</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45688</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45688</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45688</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45688</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45688</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45688</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45688</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45688</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45688</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45688</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45688</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45688</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45688</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45688</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45688</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45688</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45688</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45688</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45688</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45688</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45688</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45688</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45688</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45688</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45688</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45688</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45688</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45688</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45688</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45688</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45688</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4532-2025</t>
        </is>
      </c>
      <c r="B200" s="1" t="n">
        <v>45687</v>
      </c>
      <c r="C200" s="1" t="n">
        <v>45688</v>
      </c>
      <c r="D200" t="inlineStr">
        <is>
          <t>STOCKHOLMS LÄN</t>
        </is>
      </c>
      <c r="E200" t="inlineStr">
        <is>
          <t>NORRTÄLJE</t>
        </is>
      </c>
      <c r="F200" t="inlineStr">
        <is>
          <t>Holmen skog AB</t>
        </is>
      </c>
      <c r="G200" t="n">
        <v>6.4</v>
      </c>
      <c r="H200" t="n">
        <v>1</v>
      </c>
      <c r="I200" t="n">
        <v>0</v>
      </c>
      <c r="J200" t="n">
        <v>0</v>
      </c>
      <c r="K200" t="n">
        <v>0</v>
      </c>
      <c r="L200" t="n">
        <v>1</v>
      </c>
      <c r="M200" t="n">
        <v>0</v>
      </c>
      <c r="N200" t="n">
        <v>0</v>
      </c>
      <c r="O200" t="n">
        <v>1</v>
      </c>
      <c r="P200" t="n">
        <v>1</v>
      </c>
      <c r="Q200" t="n">
        <v>1</v>
      </c>
      <c r="R200" s="2" t="inlineStr">
        <is>
          <t>Asknätfjäril</t>
        </is>
      </c>
      <c r="S200">
        <f>HYPERLINK("https://klasma.github.io/Logging_0188/artfynd/A 4532-2025 artfynd.xlsx", "A 4532-2025")</f>
        <v/>
      </c>
      <c r="T200">
        <f>HYPERLINK("https://klasma.github.io/Logging_0188/kartor/A 4532-2025 karta.png", "A 4532-2025")</f>
        <v/>
      </c>
      <c r="V200">
        <f>HYPERLINK("https://klasma.github.io/Logging_0188/klagomål/A 4532-2025 FSC-klagomål.docx", "A 4532-2025")</f>
        <v/>
      </c>
      <c r="W200">
        <f>HYPERLINK("https://klasma.github.io/Logging_0188/klagomålsmail/A 4532-2025 FSC-klagomål mail.docx", "A 4532-2025")</f>
        <v/>
      </c>
      <c r="X200">
        <f>HYPERLINK("https://klasma.github.io/Logging_0188/tillsyn/A 4532-2025 tillsynsbegäran.docx", "A 4532-2025")</f>
        <v/>
      </c>
      <c r="Y200">
        <f>HYPERLINK("https://klasma.github.io/Logging_0188/tillsynsmail/A 4532-2025 tillsynsbegäran mail.docx", "A 4532-2025")</f>
        <v/>
      </c>
    </row>
    <row r="201" ht="15" customHeight="1">
      <c r="A201" t="inlineStr">
        <is>
          <t>A 17752-2019</t>
        </is>
      </c>
      <c r="B201" s="1" t="n">
        <v>43556</v>
      </c>
      <c r="C201" s="1" t="n">
        <v>45688</v>
      </c>
      <c r="D201" t="inlineStr">
        <is>
          <t>STOCKHOLMS LÄN</t>
        </is>
      </c>
      <c r="E201" t="inlineStr">
        <is>
          <t>NORRTÄLJE</t>
        </is>
      </c>
      <c r="G201" t="n">
        <v>3</v>
      </c>
      <c r="H201" t="n">
        <v>0</v>
      </c>
      <c r="I201" t="n">
        <v>0</v>
      </c>
      <c r="J201" t="n">
        <v>0</v>
      </c>
      <c r="K201" t="n">
        <v>0</v>
      </c>
      <c r="L201" t="n">
        <v>0</v>
      </c>
      <c r="M201" t="n">
        <v>0</v>
      </c>
      <c r="N201" t="n">
        <v>0</v>
      </c>
      <c r="O201" t="n">
        <v>0</v>
      </c>
      <c r="P201" t="n">
        <v>0</v>
      </c>
      <c r="Q201" t="n">
        <v>0</v>
      </c>
      <c r="R201" s="2" t="inlineStr"/>
    </row>
    <row r="202" ht="15" customHeight="1">
      <c r="A202" t="inlineStr">
        <is>
          <t>A 17795-2019</t>
        </is>
      </c>
      <c r="B202" s="1" t="n">
        <v>43556</v>
      </c>
      <c r="C202" s="1" t="n">
        <v>45688</v>
      </c>
      <c r="D202" t="inlineStr">
        <is>
          <t>STOCKHOLMS LÄN</t>
        </is>
      </c>
      <c r="E202" t="inlineStr">
        <is>
          <t>NORRTÄLJE</t>
        </is>
      </c>
      <c r="G202" t="n">
        <v>0.8</v>
      </c>
      <c r="H202" t="n">
        <v>0</v>
      </c>
      <c r="I202" t="n">
        <v>0</v>
      </c>
      <c r="J202" t="n">
        <v>0</v>
      </c>
      <c r="K202" t="n">
        <v>0</v>
      </c>
      <c r="L202" t="n">
        <v>0</v>
      </c>
      <c r="M202" t="n">
        <v>0</v>
      </c>
      <c r="N202" t="n">
        <v>0</v>
      </c>
      <c r="O202" t="n">
        <v>0</v>
      </c>
      <c r="P202" t="n">
        <v>0</v>
      </c>
      <c r="Q202" t="n">
        <v>0</v>
      </c>
      <c r="R202" s="2" t="inlineStr"/>
    </row>
    <row r="203" ht="15" customHeight="1">
      <c r="A203" t="inlineStr">
        <is>
          <t>A 17757-2019</t>
        </is>
      </c>
      <c r="B203" s="1" t="n">
        <v>43556</v>
      </c>
      <c r="C203" s="1" t="n">
        <v>45688</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17963-2019</t>
        </is>
      </c>
      <c r="B204" s="1" t="n">
        <v>43557</v>
      </c>
      <c r="C204" s="1" t="n">
        <v>45688</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18378-2019</t>
        </is>
      </c>
      <c r="B205" s="1" t="n">
        <v>43559</v>
      </c>
      <c r="C205" s="1" t="n">
        <v>45688</v>
      </c>
      <c r="D205" t="inlineStr">
        <is>
          <t>STOCKHOLMS LÄN</t>
        </is>
      </c>
      <c r="E205" t="inlineStr">
        <is>
          <t>NORRTÄLJE</t>
        </is>
      </c>
      <c r="G205" t="n">
        <v>5.8</v>
      </c>
      <c r="H205" t="n">
        <v>0</v>
      </c>
      <c r="I205" t="n">
        <v>0</v>
      </c>
      <c r="J205" t="n">
        <v>0</v>
      </c>
      <c r="K205" t="n">
        <v>0</v>
      </c>
      <c r="L205" t="n">
        <v>0</v>
      </c>
      <c r="M205" t="n">
        <v>0</v>
      </c>
      <c r="N205" t="n">
        <v>0</v>
      </c>
      <c r="O205" t="n">
        <v>0</v>
      </c>
      <c r="P205" t="n">
        <v>0</v>
      </c>
      <c r="Q205" t="n">
        <v>0</v>
      </c>
      <c r="R205" s="2" t="inlineStr"/>
    </row>
    <row r="206" ht="15" customHeight="1">
      <c r="A206" t="inlineStr">
        <is>
          <t>A 18664-2019</t>
        </is>
      </c>
      <c r="B206" s="1" t="n">
        <v>43560</v>
      </c>
      <c r="C206" s="1" t="n">
        <v>45688</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18767-2019</t>
        </is>
      </c>
      <c r="B207" s="1" t="n">
        <v>43560</v>
      </c>
      <c r="C207" s="1" t="n">
        <v>45688</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18820-2019</t>
        </is>
      </c>
      <c r="B208" s="1" t="n">
        <v>43563</v>
      </c>
      <c r="C208" s="1" t="n">
        <v>45688</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18890-2019</t>
        </is>
      </c>
      <c r="B209" s="1" t="n">
        <v>43563</v>
      </c>
      <c r="C209" s="1" t="n">
        <v>45688</v>
      </c>
      <c r="D209" t="inlineStr">
        <is>
          <t>STOCKHOLMS LÄN</t>
        </is>
      </c>
      <c r="E209" t="inlineStr">
        <is>
          <t>NORRTÄLJE</t>
        </is>
      </c>
      <c r="G209" t="n">
        <v>4.7</v>
      </c>
      <c r="H209" t="n">
        <v>0</v>
      </c>
      <c r="I209" t="n">
        <v>0</v>
      </c>
      <c r="J209" t="n">
        <v>0</v>
      </c>
      <c r="K209" t="n">
        <v>0</v>
      </c>
      <c r="L209" t="n">
        <v>0</v>
      </c>
      <c r="M209" t="n">
        <v>0</v>
      </c>
      <c r="N209" t="n">
        <v>0</v>
      </c>
      <c r="O209" t="n">
        <v>0</v>
      </c>
      <c r="P209" t="n">
        <v>0</v>
      </c>
      <c r="Q209" t="n">
        <v>0</v>
      </c>
      <c r="R209" s="2" t="inlineStr"/>
    </row>
    <row r="210" ht="15" customHeight="1">
      <c r="A210" t="inlineStr">
        <is>
          <t>A 18909-2019</t>
        </is>
      </c>
      <c r="B210" s="1" t="n">
        <v>43563</v>
      </c>
      <c r="C210" s="1" t="n">
        <v>45688</v>
      </c>
      <c r="D210" t="inlineStr">
        <is>
          <t>STOCKHOLMS LÄN</t>
        </is>
      </c>
      <c r="E210" t="inlineStr">
        <is>
          <t>NORRTÄLJE</t>
        </is>
      </c>
      <c r="G210" t="n">
        <v>2.9</v>
      </c>
      <c r="H210" t="n">
        <v>0</v>
      </c>
      <c r="I210" t="n">
        <v>0</v>
      </c>
      <c r="J210" t="n">
        <v>0</v>
      </c>
      <c r="K210" t="n">
        <v>0</v>
      </c>
      <c r="L210" t="n">
        <v>0</v>
      </c>
      <c r="M210" t="n">
        <v>0</v>
      </c>
      <c r="N210" t="n">
        <v>0</v>
      </c>
      <c r="O210" t="n">
        <v>0</v>
      </c>
      <c r="P210" t="n">
        <v>0</v>
      </c>
      <c r="Q210" t="n">
        <v>0</v>
      </c>
      <c r="R210" s="2" t="inlineStr"/>
    </row>
    <row r="211" ht="15" customHeight="1">
      <c r="A211" t="inlineStr">
        <is>
          <t>A 19026-2019</t>
        </is>
      </c>
      <c r="B211" s="1" t="n">
        <v>43563</v>
      </c>
      <c r="C211" s="1" t="n">
        <v>45688</v>
      </c>
      <c r="D211" t="inlineStr">
        <is>
          <t>STOCKHOLMS LÄN</t>
        </is>
      </c>
      <c r="E211" t="inlineStr">
        <is>
          <t>NORRTÄLJE</t>
        </is>
      </c>
      <c r="G211" t="n">
        <v>4.4</v>
      </c>
      <c r="H211" t="n">
        <v>0</v>
      </c>
      <c r="I211" t="n">
        <v>0</v>
      </c>
      <c r="J211" t="n">
        <v>0</v>
      </c>
      <c r="K211" t="n">
        <v>0</v>
      </c>
      <c r="L211" t="n">
        <v>0</v>
      </c>
      <c r="M211" t="n">
        <v>0</v>
      </c>
      <c r="N211" t="n">
        <v>0</v>
      </c>
      <c r="O211" t="n">
        <v>0</v>
      </c>
      <c r="P211" t="n">
        <v>0</v>
      </c>
      <c r="Q211" t="n">
        <v>0</v>
      </c>
      <c r="R211" s="2" t="inlineStr"/>
    </row>
    <row r="212" ht="15" customHeight="1">
      <c r="A212" t="inlineStr">
        <is>
          <t>A 19014-2019</t>
        </is>
      </c>
      <c r="B212" s="1" t="n">
        <v>43563</v>
      </c>
      <c r="C212" s="1" t="n">
        <v>45688</v>
      </c>
      <c r="D212" t="inlineStr">
        <is>
          <t>STOCKHOLMS LÄN</t>
        </is>
      </c>
      <c r="E212" t="inlineStr">
        <is>
          <t>NORRTÄLJE</t>
        </is>
      </c>
      <c r="G212" t="n">
        <v>2.2</v>
      </c>
      <c r="H212" t="n">
        <v>0</v>
      </c>
      <c r="I212" t="n">
        <v>0</v>
      </c>
      <c r="J212" t="n">
        <v>0</v>
      </c>
      <c r="K212" t="n">
        <v>0</v>
      </c>
      <c r="L212" t="n">
        <v>0</v>
      </c>
      <c r="M212" t="n">
        <v>0</v>
      </c>
      <c r="N212" t="n">
        <v>0</v>
      </c>
      <c r="O212" t="n">
        <v>0</v>
      </c>
      <c r="P212" t="n">
        <v>0</v>
      </c>
      <c r="Q212" t="n">
        <v>0</v>
      </c>
      <c r="R212" s="2" t="inlineStr"/>
    </row>
    <row r="213" ht="15" customHeight="1">
      <c r="A213" t="inlineStr">
        <is>
          <t>A 19247-2019</t>
        </is>
      </c>
      <c r="B213" s="1" t="n">
        <v>43564</v>
      </c>
      <c r="C213" s="1" t="n">
        <v>45688</v>
      </c>
      <c r="D213" t="inlineStr">
        <is>
          <t>STOCKHOLMS LÄN</t>
        </is>
      </c>
      <c r="E213" t="inlineStr">
        <is>
          <t>NORRTÄLJE</t>
        </is>
      </c>
      <c r="G213" t="n">
        <v>1.8</v>
      </c>
      <c r="H213" t="n">
        <v>0</v>
      </c>
      <c r="I213" t="n">
        <v>0</v>
      </c>
      <c r="J213" t="n">
        <v>0</v>
      </c>
      <c r="K213" t="n">
        <v>0</v>
      </c>
      <c r="L213" t="n">
        <v>0</v>
      </c>
      <c r="M213" t="n">
        <v>0</v>
      </c>
      <c r="N213" t="n">
        <v>0</v>
      </c>
      <c r="O213" t="n">
        <v>0</v>
      </c>
      <c r="P213" t="n">
        <v>0</v>
      </c>
      <c r="Q213" t="n">
        <v>0</v>
      </c>
      <c r="R213" s="2" t="inlineStr"/>
    </row>
    <row r="214" ht="15" customHeight="1">
      <c r="A214" t="inlineStr">
        <is>
          <t>A 19255-2019</t>
        </is>
      </c>
      <c r="B214" s="1" t="n">
        <v>43564</v>
      </c>
      <c r="C214" s="1" t="n">
        <v>45688</v>
      </c>
      <c r="D214" t="inlineStr">
        <is>
          <t>STOCKHOLMS LÄN</t>
        </is>
      </c>
      <c r="E214" t="inlineStr">
        <is>
          <t>NORRTÄLJE</t>
        </is>
      </c>
      <c r="G214" t="n">
        <v>2.6</v>
      </c>
      <c r="H214" t="n">
        <v>0</v>
      </c>
      <c r="I214" t="n">
        <v>0</v>
      </c>
      <c r="J214" t="n">
        <v>0</v>
      </c>
      <c r="K214" t="n">
        <v>0</v>
      </c>
      <c r="L214" t="n">
        <v>0</v>
      </c>
      <c r="M214" t="n">
        <v>0</v>
      </c>
      <c r="N214" t="n">
        <v>0</v>
      </c>
      <c r="O214" t="n">
        <v>0</v>
      </c>
      <c r="P214" t="n">
        <v>0</v>
      </c>
      <c r="Q214" t="n">
        <v>0</v>
      </c>
      <c r="R214" s="2" t="inlineStr"/>
    </row>
    <row r="215" ht="15" customHeight="1">
      <c r="A215" t="inlineStr">
        <is>
          <t>A 19302-2019</t>
        </is>
      </c>
      <c r="B215" s="1" t="n">
        <v>43565</v>
      </c>
      <c r="C215" s="1" t="n">
        <v>45688</v>
      </c>
      <c r="D215" t="inlineStr">
        <is>
          <t>STOCKHOLMS LÄN</t>
        </is>
      </c>
      <c r="E215" t="inlineStr">
        <is>
          <t>NORRTÄLJE</t>
        </is>
      </c>
      <c r="F215" t="inlineStr">
        <is>
          <t>Kommuner</t>
        </is>
      </c>
      <c r="G215" t="n">
        <v>4.2</v>
      </c>
      <c r="H215" t="n">
        <v>0</v>
      </c>
      <c r="I215" t="n">
        <v>0</v>
      </c>
      <c r="J215" t="n">
        <v>0</v>
      </c>
      <c r="K215" t="n">
        <v>0</v>
      </c>
      <c r="L215" t="n">
        <v>0</v>
      </c>
      <c r="M215" t="n">
        <v>0</v>
      </c>
      <c r="N215" t="n">
        <v>0</v>
      </c>
      <c r="O215" t="n">
        <v>0</v>
      </c>
      <c r="P215" t="n">
        <v>0</v>
      </c>
      <c r="Q215" t="n">
        <v>0</v>
      </c>
      <c r="R215" s="2" t="inlineStr"/>
    </row>
    <row r="216" ht="15" customHeight="1">
      <c r="A216" t="inlineStr">
        <is>
          <t>A 19301-2019</t>
        </is>
      </c>
      <c r="B216" s="1" t="n">
        <v>43565</v>
      </c>
      <c r="C216" s="1" t="n">
        <v>45688</v>
      </c>
      <c r="D216" t="inlineStr">
        <is>
          <t>STOCKHOLMS LÄN</t>
        </is>
      </c>
      <c r="E216" t="inlineStr">
        <is>
          <t>NORRTÄLJE</t>
        </is>
      </c>
      <c r="F216" t="inlineStr">
        <is>
          <t>Kommuner</t>
        </is>
      </c>
      <c r="G216" t="n">
        <v>3.9</v>
      </c>
      <c r="H216" t="n">
        <v>0</v>
      </c>
      <c r="I216" t="n">
        <v>0</v>
      </c>
      <c r="J216" t="n">
        <v>0</v>
      </c>
      <c r="K216" t="n">
        <v>0</v>
      </c>
      <c r="L216" t="n">
        <v>0</v>
      </c>
      <c r="M216" t="n">
        <v>0</v>
      </c>
      <c r="N216" t="n">
        <v>0</v>
      </c>
      <c r="O216" t="n">
        <v>0</v>
      </c>
      <c r="P216" t="n">
        <v>0</v>
      </c>
      <c r="Q216" t="n">
        <v>0</v>
      </c>
      <c r="R216" s="2" t="inlineStr"/>
    </row>
    <row r="217" ht="15" customHeight="1">
      <c r="A217" t="inlineStr">
        <is>
          <t>A 19297-2019</t>
        </is>
      </c>
      <c r="B217" s="1" t="n">
        <v>43565</v>
      </c>
      <c r="C217" s="1" t="n">
        <v>45688</v>
      </c>
      <c r="D217" t="inlineStr">
        <is>
          <t>STOCKHOLMS LÄN</t>
        </is>
      </c>
      <c r="E217" t="inlineStr">
        <is>
          <t>NORRTÄLJE</t>
        </is>
      </c>
      <c r="F217" t="inlineStr">
        <is>
          <t>Kommuner</t>
        </is>
      </c>
      <c r="G217" t="n">
        <v>1.2</v>
      </c>
      <c r="H217" t="n">
        <v>0</v>
      </c>
      <c r="I217" t="n">
        <v>0</v>
      </c>
      <c r="J217" t="n">
        <v>0</v>
      </c>
      <c r="K217" t="n">
        <v>0</v>
      </c>
      <c r="L217" t="n">
        <v>0</v>
      </c>
      <c r="M217" t="n">
        <v>0</v>
      </c>
      <c r="N217" t="n">
        <v>0</v>
      </c>
      <c r="O217" t="n">
        <v>0</v>
      </c>
      <c r="P217" t="n">
        <v>0</v>
      </c>
      <c r="Q217" t="n">
        <v>0</v>
      </c>
      <c r="R217" s="2" t="inlineStr"/>
    </row>
    <row r="218" ht="15" customHeight="1">
      <c r="A218" t="inlineStr">
        <is>
          <t>A 19537-2019</t>
        </is>
      </c>
      <c r="B218" s="1" t="n">
        <v>43565</v>
      </c>
      <c r="C218" s="1" t="n">
        <v>45688</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19539-2019</t>
        </is>
      </c>
      <c r="B219" s="1" t="n">
        <v>43565</v>
      </c>
      <c r="C219" s="1" t="n">
        <v>45688</v>
      </c>
      <c r="D219" t="inlineStr">
        <is>
          <t>STOCKHOLMS LÄN</t>
        </is>
      </c>
      <c r="E219" t="inlineStr">
        <is>
          <t>NORRTÄLJE</t>
        </is>
      </c>
      <c r="G219" t="n">
        <v>2.4</v>
      </c>
      <c r="H219" t="n">
        <v>0</v>
      </c>
      <c r="I219" t="n">
        <v>0</v>
      </c>
      <c r="J219" t="n">
        <v>0</v>
      </c>
      <c r="K219" t="n">
        <v>0</v>
      </c>
      <c r="L219" t="n">
        <v>0</v>
      </c>
      <c r="M219" t="n">
        <v>0</v>
      </c>
      <c r="N219" t="n">
        <v>0</v>
      </c>
      <c r="O219" t="n">
        <v>0</v>
      </c>
      <c r="P219" t="n">
        <v>0</v>
      </c>
      <c r="Q219" t="n">
        <v>0</v>
      </c>
      <c r="R219" s="2" t="inlineStr"/>
    </row>
    <row r="220" ht="15" customHeight="1">
      <c r="A220" t="inlineStr">
        <is>
          <t>A 19540-2019</t>
        </is>
      </c>
      <c r="B220" s="1" t="n">
        <v>43565</v>
      </c>
      <c r="C220" s="1" t="n">
        <v>45688</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19638-2019</t>
        </is>
      </c>
      <c r="B221" s="1" t="n">
        <v>43566</v>
      </c>
      <c r="C221" s="1" t="n">
        <v>45688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19593-2019</t>
        </is>
      </c>
      <c r="B222" s="1" t="n">
        <v>43566</v>
      </c>
      <c r="C222" s="1" t="n">
        <v>45688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19872-2019</t>
        </is>
      </c>
      <c r="B223" s="1" t="n">
        <v>43567</v>
      </c>
      <c r="C223" s="1" t="n">
        <v>45688</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19811-2019</t>
        </is>
      </c>
      <c r="B224" s="1" t="n">
        <v>43567</v>
      </c>
      <c r="C224" s="1" t="n">
        <v>45688</v>
      </c>
      <c r="D224" t="inlineStr">
        <is>
          <t>STOCKHOLMS LÄN</t>
        </is>
      </c>
      <c r="E224" t="inlineStr">
        <is>
          <t>NORRTÄLJE</t>
        </is>
      </c>
      <c r="F224" t="inlineStr">
        <is>
          <t>Kommuner</t>
        </is>
      </c>
      <c r="G224" t="n">
        <v>1.6</v>
      </c>
      <c r="H224" t="n">
        <v>0</v>
      </c>
      <c r="I224" t="n">
        <v>0</v>
      </c>
      <c r="J224" t="n">
        <v>0</v>
      </c>
      <c r="K224" t="n">
        <v>0</v>
      </c>
      <c r="L224" t="n">
        <v>0</v>
      </c>
      <c r="M224" t="n">
        <v>0</v>
      </c>
      <c r="N224" t="n">
        <v>0</v>
      </c>
      <c r="O224" t="n">
        <v>0</v>
      </c>
      <c r="P224" t="n">
        <v>0</v>
      </c>
      <c r="Q224" t="n">
        <v>0</v>
      </c>
      <c r="R224" s="2" t="inlineStr"/>
    </row>
    <row r="225" ht="15" customHeight="1">
      <c r="A225" t="inlineStr">
        <is>
          <t>A 19812-2019</t>
        </is>
      </c>
      <c r="B225" s="1" t="n">
        <v>43567</v>
      </c>
      <c r="C225" s="1" t="n">
        <v>45688</v>
      </c>
      <c r="D225" t="inlineStr">
        <is>
          <t>STOCKHOLMS LÄN</t>
        </is>
      </c>
      <c r="E225" t="inlineStr">
        <is>
          <t>NORRTÄLJE</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19931-2019</t>
        </is>
      </c>
      <c r="B226" s="1" t="n">
        <v>43568</v>
      </c>
      <c r="C226" s="1" t="n">
        <v>45688</v>
      </c>
      <c r="D226" t="inlineStr">
        <is>
          <t>STOCKHOLMS LÄN</t>
        </is>
      </c>
      <c r="E226" t="inlineStr">
        <is>
          <t>NORRTÄLJE</t>
        </is>
      </c>
      <c r="G226" t="n">
        <v>4.2</v>
      </c>
      <c r="H226" t="n">
        <v>0</v>
      </c>
      <c r="I226" t="n">
        <v>0</v>
      </c>
      <c r="J226" t="n">
        <v>0</v>
      </c>
      <c r="K226" t="n">
        <v>0</v>
      </c>
      <c r="L226" t="n">
        <v>0</v>
      </c>
      <c r="M226" t="n">
        <v>0</v>
      </c>
      <c r="N226" t="n">
        <v>0</v>
      </c>
      <c r="O226" t="n">
        <v>0</v>
      </c>
      <c r="P226" t="n">
        <v>0</v>
      </c>
      <c r="Q226" t="n">
        <v>0</v>
      </c>
      <c r="R226" s="2" t="inlineStr"/>
    </row>
    <row r="227" ht="15" customHeight="1">
      <c r="A227" t="inlineStr">
        <is>
          <t>A 20033-2019</t>
        </is>
      </c>
      <c r="B227" s="1" t="n">
        <v>43570</v>
      </c>
      <c r="C227" s="1" t="n">
        <v>45688</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20020-2019</t>
        </is>
      </c>
      <c r="B228" s="1" t="n">
        <v>43570</v>
      </c>
      <c r="C228" s="1" t="n">
        <v>45688</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20051-2019</t>
        </is>
      </c>
      <c r="B229" s="1" t="n">
        <v>43570</v>
      </c>
      <c r="C229" s="1" t="n">
        <v>45688</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20137-2019</t>
        </is>
      </c>
      <c r="B230" s="1" t="n">
        <v>43570</v>
      </c>
      <c r="C230" s="1" t="n">
        <v>45688</v>
      </c>
      <c r="D230" t="inlineStr">
        <is>
          <t>STOCKHOLMS LÄN</t>
        </is>
      </c>
      <c r="E230" t="inlineStr">
        <is>
          <t>NORRTÄLJE</t>
        </is>
      </c>
      <c r="G230" t="n">
        <v>3</v>
      </c>
      <c r="H230" t="n">
        <v>0</v>
      </c>
      <c r="I230" t="n">
        <v>0</v>
      </c>
      <c r="J230" t="n">
        <v>0</v>
      </c>
      <c r="K230" t="n">
        <v>0</v>
      </c>
      <c r="L230" t="n">
        <v>0</v>
      </c>
      <c r="M230" t="n">
        <v>0</v>
      </c>
      <c r="N230" t="n">
        <v>0</v>
      </c>
      <c r="O230" t="n">
        <v>0</v>
      </c>
      <c r="P230" t="n">
        <v>0</v>
      </c>
      <c r="Q230" t="n">
        <v>0</v>
      </c>
      <c r="R230" s="2" t="inlineStr"/>
    </row>
    <row r="231" ht="15" customHeight="1">
      <c r="A231" t="inlineStr">
        <is>
          <t>A 20007-2019</t>
        </is>
      </c>
      <c r="B231" s="1" t="n">
        <v>43570</v>
      </c>
      <c r="C231" s="1" t="n">
        <v>45688</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20052-2019</t>
        </is>
      </c>
      <c r="B232" s="1" t="n">
        <v>43570</v>
      </c>
      <c r="C232" s="1" t="n">
        <v>45688</v>
      </c>
      <c r="D232" t="inlineStr">
        <is>
          <t>STOCKHOLMS LÄN</t>
        </is>
      </c>
      <c r="E232" t="inlineStr">
        <is>
          <t>NORRTÄLJE</t>
        </is>
      </c>
      <c r="G232" t="n">
        <v>0.5</v>
      </c>
      <c r="H232" t="n">
        <v>0</v>
      </c>
      <c r="I232" t="n">
        <v>0</v>
      </c>
      <c r="J232" t="n">
        <v>0</v>
      </c>
      <c r="K232" t="n">
        <v>0</v>
      </c>
      <c r="L232" t="n">
        <v>0</v>
      </c>
      <c r="M232" t="n">
        <v>0</v>
      </c>
      <c r="N232" t="n">
        <v>0</v>
      </c>
      <c r="O232" t="n">
        <v>0</v>
      </c>
      <c r="P232" t="n">
        <v>0</v>
      </c>
      <c r="Q232" t="n">
        <v>0</v>
      </c>
      <c r="R232" s="2" t="inlineStr"/>
    </row>
    <row r="233" ht="15" customHeight="1">
      <c r="A233" t="inlineStr">
        <is>
          <t>A 20159-2019</t>
        </is>
      </c>
      <c r="B233" s="1" t="n">
        <v>43570</v>
      </c>
      <c r="C233" s="1" t="n">
        <v>45688</v>
      </c>
      <c r="D233" t="inlineStr">
        <is>
          <t>STOCKHOLMS LÄN</t>
        </is>
      </c>
      <c r="E233" t="inlineStr">
        <is>
          <t>NORRTÄLJE</t>
        </is>
      </c>
      <c r="F233" t="inlineStr">
        <is>
          <t>Kommuner</t>
        </is>
      </c>
      <c r="G233" t="n">
        <v>2</v>
      </c>
      <c r="H233" t="n">
        <v>0</v>
      </c>
      <c r="I233" t="n">
        <v>0</v>
      </c>
      <c r="J233" t="n">
        <v>0</v>
      </c>
      <c r="K233" t="n">
        <v>0</v>
      </c>
      <c r="L233" t="n">
        <v>0</v>
      </c>
      <c r="M233" t="n">
        <v>0</v>
      </c>
      <c r="N233" t="n">
        <v>0</v>
      </c>
      <c r="O233" t="n">
        <v>0</v>
      </c>
      <c r="P233" t="n">
        <v>0</v>
      </c>
      <c r="Q233" t="n">
        <v>0</v>
      </c>
      <c r="R233" s="2" t="inlineStr"/>
    </row>
    <row r="234" ht="15" customHeight="1">
      <c r="A234" t="inlineStr">
        <is>
          <t>A 20181-2019</t>
        </is>
      </c>
      <c r="B234" s="1" t="n">
        <v>43570</v>
      </c>
      <c r="C234" s="1" t="n">
        <v>45688</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20184-2019</t>
        </is>
      </c>
      <c r="B235" s="1" t="n">
        <v>43570</v>
      </c>
      <c r="C235" s="1" t="n">
        <v>45688</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20193-2019</t>
        </is>
      </c>
      <c r="B236" s="1" t="n">
        <v>43570</v>
      </c>
      <c r="C236" s="1" t="n">
        <v>45688</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20090-2019</t>
        </is>
      </c>
      <c r="B237" s="1" t="n">
        <v>43570</v>
      </c>
      <c r="C237" s="1" t="n">
        <v>45688</v>
      </c>
      <c r="D237" t="inlineStr">
        <is>
          <t>STOCKHOLMS LÄN</t>
        </is>
      </c>
      <c r="E237" t="inlineStr">
        <is>
          <t>NORRTÄLJE</t>
        </is>
      </c>
      <c r="F237" t="inlineStr">
        <is>
          <t>Kommuner</t>
        </is>
      </c>
      <c r="G237" t="n">
        <v>1.3</v>
      </c>
      <c r="H237" t="n">
        <v>0</v>
      </c>
      <c r="I237" t="n">
        <v>0</v>
      </c>
      <c r="J237" t="n">
        <v>0</v>
      </c>
      <c r="K237" t="n">
        <v>0</v>
      </c>
      <c r="L237" t="n">
        <v>0</v>
      </c>
      <c r="M237" t="n">
        <v>0</v>
      </c>
      <c r="N237" t="n">
        <v>0</v>
      </c>
      <c r="O237" t="n">
        <v>0</v>
      </c>
      <c r="P237" t="n">
        <v>0</v>
      </c>
      <c r="Q237" t="n">
        <v>0</v>
      </c>
      <c r="R237" s="2" t="inlineStr"/>
    </row>
    <row r="238" ht="15" customHeight="1">
      <c r="A238" t="inlineStr">
        <is>
          <t>A 20165-2019</t>
        </is>
      </c>
      <c r="B238" s="1" t="n">
        <v>43570</v>
      </c>
      <c r="C238" s="1" t="n">
        <v>45688</v>
      </c>
      <c r="D238" t="inlineStr">
        <is>
          <t>STOCKHOLMS LÄN</t>
        </is>
      </c>
      <c r="E238" t="inlineStr">
        <is>
          <t>NORRTÄLJE</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20023-2019</t>
        </is>
      </c>
      <c r="B239" s="1" t="n">
        <v>43570</v>
      </c>
      <c r="C239" s="1" t="n">
        <v>45688</v>
      </c>
      <c r="D239" t="inlineStr">
        <is>
          <t>STOCKHOLMS LÄN</t>
        </is>
      </c>
      <c r="E239" t="inlineStr">
        <is>
          <t>NORRTÄLJE</t>
        </is>
      </c>
      <c r="G239" t="n">
        <v>5.1</v>
      </c>
      <c r="H239" t="n">
        <v>0</v>
      </c>
      <c r="I239" t="n">
        <v>0</v>
      </c>
      <c r="J239" t="n">
        <v>0</v>
      </c>
      <c r="K239" t="n">
        <v>0</v>
      </c>
      <c r="L239" t="n">
        <v>0</v>
      </c>
      <c r="M239" t="n">
        <v>0</v>
      </c>
      <c r="N239" t="n">
        <v>0</v>
      </c>
      <c r="O239" t="n">
        <v>0</v>
      </c>
      <c r="P239" t="n">
        <v>0</v>
      </c>
      <c r="Q239" t="n">
        <v>0</v>
      </c>
      <c r="R239" s="2" t="inlineStr"/>
    </row>
    <row r="240" ht="15" customHeight="1">
      <c r="A240" t="inlineStr">
        <is>
          <t>A 20531-2019</t>
        </is>
      </c>
      <c r="B240" s="1" t="n">
        <v>43572</v>
      </c>
      <c r="C240" s="1" t="n">
        <v>45688</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20743-2019</t>
        </is>
      </c>
      <c r="B241" s="1" t="n">
        <v>43573</v>
      </c>
      <c r="C241" s="1" t="n">
        <v>45688</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20809-2019</t>
        </is>
      </c>
      <c r="B242" s="1" t="n">
        <v>43573</v>
      </c>
      <c r="C242" s="1" t="n">
        <v>45688</v>
      </c>
      <c r="D242" t="inlineStr">
        <is>
          <t>STOCKHOLMS LÄN</t>
        </is>
      </c>
      <c r="E242" t="inlineStr">
        <is>
          <t>NORRTÄLJE</t>
        </is>
      </c>
      <c r="F242" t="inlineStr">
        <is>
          <t>Kommuner</t>
        </is>
      </c>
      <c r="G242" t="n">
        <v>2.2</v>
      </c>
      <c r="H242" t="n">
        <v>0</v>
      </c>
      <c r="I242" t="n">
        <v>0</v>
      </c>
      <c r="J242" t="n">
        <v>0</v>
      </c>
      <c r="K242" t="n">
        <v>0</v>
      </c>
      <c r="L242" t="n">
        <v>0</v>
      </c>
      <c r="M242" t="n">
        <v>0</v>
      </c>
      <c r="N242" t="n">
        <v>0</v>
      </c>
      <c r="O242" t="n">
        <v>0</v>
      </c>
      <c r="P242" t="n">
        <v>0</v>
      </c>
      <c r="Q242" t="n">
        <v>0</v>
      </c>
      <c r="R242" s="2" t="inlineStr"/>
    </row>
    <row r="243" ht="15" customHeight="1">
      <c r="A243" t="inlineStr">
        <is>
          <t>A 20925-2019</t>
        </is>
      </c>
      <c r="B243" s="1" t="n">
        <v>43578</v>
      </c>
      <c r="C243" s="1" t="n">
        <v>45688</v>
      </c>
      <c r="D243" t="inlineStr">
        <is>
          <t>STOCKHOLMS LÄN</t>
        </is>
      </c>
      <c r="E243" t="inlineStr">
        <is>
          <t>NORRTÄLJE</t>
        </is>
      </c>
      <c r="G243" t="n">
        <v>5</v>
      </c>
      <c r="H243" t="n">
        <v>0</v>
      </c>
      <c r="I243" t="n">
        <v>0</v>
      </c>
      <c r="J243" t="n">
        <v>0</v>
      </c>
      <c r="K243" t="n">
        <v>0</v>
      </c>
      <c r="L243" t="n">
        <v>0</v>
      </c>
      <c r="M243" t="n">
        <v>0</v>
      </c>
      <c r="N243" t="n">
        <v>0</v>
      </c>
      <c r="O243" t="n">
        <v>0</v>
      </c>
      <c r="P243" t="n">
        <v>0</v>
      </c>
      <c r="Q243" t="n">
        <v>0</v>
      </c>
      <c r="R243" s="2" t="inlineStr"/>
    </row>
    <row r="244" ht="15" customHeight="1">
      <c r="A244" t="inlineStr">
        <is>
          <t>A 21062-2019</t>
        </is>
      </c>
      <c r="B244" s="1" t="n">
        <v>43578</v>
      </c>
      <c r="C244" s="1" t="n">
        <v>45688</v>
      </c>
      <c r="D244" t="inlineStr">
        <is>
          <t>STOCKHOLMS LÄN</t>
        </is>
      </c>
      <c r="E244" t="inlineStr">
        <is>
          <t>NORRTÄLJE</t>
        </is>
      </c>
      <c r="G244" t="n">
        <v>2.7</v>
      </c>
      <c r="H244" t="n">
        <v>0</v>
      </c>
      <c r="I244" t="n">
        <v>0</v>
      </c>
      <c r="J244" t="n">
        <v>0</v>
      </c>
      <c r="K244" t="n">
        <v>0</v>
      </c>
      <c r="L244" t="n">
        <v>0</v>
      </c>
      <c r="M244" t="n">
        <v>0</v>
      </c>
      <c r="N244" t="n">
        <v>0</v>
      </c>
      <c r="O244" t="n">
        <v>0</v>
      </c>
      <c r="P244" t="n">
        <v>0</v>
      </c>
      <c r="Q244" t="n">
        <v>0</v>
      </c>
      <c r="R244" s="2" t="inlineStr"/>
    </row>
    <row r="245" ht="15" customHeight="1">
      <c r="A245" t="inlineStr">
        <is>
          <t>A 21441-2019</t>
        </is>
      </c>
      <c r="B245" s="1" t="n">
        <v>43580</v>
      </c>
      <c r="C245" s="1" t="n">
        <v>45688</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21521-2019</t>
        </is>
      </c>
      <c r="B246" s="1" t="n">
        <v>43580</v>
      </c>
      <c r="C246" s="1" t="n">
        <v>45688</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21508-2019</t>
        </is>
      </c>
      <c r="B247" s="1" t="n">
        <v>43580</v>
      </c>
      <c r="C247" s="1" t="n">
        <v>45688</v>
      </c>
      <c r="D247" t="inlineStr">
        <is>
          <t>STOCKHOLMS LÄN</t>
        </is>
      </c>
      <c r="E247" t="inlineStr">
        <is>
          <t>NORRTÄLJE</t>
        </is>
      </c>
      <c r="G247" t="n">
        <v>1.2</v>
      </c>
      <c r="H247" t="n">
        <v>0</v>
      </c>
      <c r="I247" t="n">
        <v>0</v>
      </c>
      <c r="J247" t="n">
        <v>0</v>
      </c>
      <c r="K247" t="n">
        <v>0</v>
      </c>
      <c r="L247" t="n">
        <v>0</v>
      </c>
      <c r="M247" t="n">
        <v>0</v>
      </c>
      <c r="N247" t="n">
        <v>0</v>
      </c>
      <c r="O247" t="n">
        <v>0</v>
      </c>
      <c r="P247" t="n">
        <v>0</v>
      </c>
      <c r="Q247" t="n">
        <v>0</v>
      </c>
      <c r="R247" s="2" t="inlineStr"/>
    </row>
    <row r="248" ht="15" customHeight="1">
      <c r="A248" t="inlineStr">
        <is>
          <t>A 21457-2019</t>
        </is>
      </c>
      <c r="B248" s="1" t="n">
        <v>43580</v>
      </c>
      <c r="C248" s="1" t="n">
        <v>45688</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21501-2019</t>
        </is>
      </c>
      <c r="B249" s="1" t="n">
        <v>43580</v>
      </c>
      <c r="C249" s="1" t="n">
        <v>45688</v>
      </c>
      <c r="D249" t="inlineStr">
        <is>
          <t>STOCKHOLMS LÄN</t>
        </is>
      </c>
      <c r="E249" t="inlineStr">
        <is>
          <t>NORRTÄLJE</t>
        </is>
      </c>
      <c r="G249" t="n">
        <v>3.6</v>
      </c>
      <c r="H249" t="n">
        <v>0</v>
      </c>
      <c r="I249" t="n">
        <v>0</v>
      </c>
      <c r="J249" t="n">
        <v>0</v>
      </c>
      <c r="K249" t="n">
        <v>0</v>
      </c>
      <c r="L249" t="n">
        <v>0</v>
      </c>
      <c r="M249" t="n">
        <v>0</v>
      </c>
      <c r="N249" t="n">
        <v>0</v>
      </c>
      <c r="O249" t="n">
        <v>0</v>
      </c>
      <c r="P249" t="n">
        <v>0</v>
      </c>
      <c r="Q249" t="n">
        <v>0</v>
      </c>
      <c r="R249" s="2" t="inlineStr"/>
    </row>
    <row r="250" ht="15" customHeight="1">
      <c r="A250" t="inlineStr">
        <is>
          <t>A 21616-2019</t>
        </is>
      </c>
      <c r="B250" s="1" t="n">
        <v>43581</v>
      </c>
      <c r="C250" s="1" t="n">
        <v>45688</v>
      </c>
      <c r="D250" t="inlineStr">
        <is>
          <t>STOCKHOLMS LÄN</t>
        </is>
      </c>
      <c r="E250" t="inlineStr">
        <is>
          <t>NORRTÄLJE</t>
        </is>
      </c>
      <c r="G250" t="n">
        <v>5.3</v>
      </c>
      <c r="H250" t="n">
        <v>0</v>
      </c>
      <c r="I250" t="n">
        <v>0</v>
      </c>
      <c r="J250" t="n">
        <v>0</v>
      </c>
      <c r="K250" t="n">
        <v>0</v>
      </c>
      <c r="L250" t="n">
        <v>0</v>
      </c>
      <c r="M250" t="n">
        <v>0</v>
      </c>
      <c r="N250" t="n">
        <v>0</v>
      </c>
      <c r="O250" t="n">
        <v>0</v>
      </c>
      <c r="P250" t="n">
        <v>0</v>
      </c>
      <c r="Q250" t="n">
        <v>0</v>
      </c>
      <c r="R250" s="2" t="inlineStr"/>
    </row>
    <row r="251" ht="15" customHeight="1">
      <c r="A251" t="inlineStr">
        <is>
          <t>A 21662-2019</t>
        </is>
      </c>
      <c r="B251" s="1" t="n">
        <v>43581</v>
      </c>
      <c r="C251" s="1" t="n">
        <v>45688</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21720-2019</t>
        </is>
      </c>
      <c r="B252" s="1" t="n">
        <v>43581</v>
      </c>
      <c r="C252" s="1" t="n">
        <v>45688</v>
      </c>
      <c r="D252" t="inlineStr">
        <is>
          <t>STOCKHOLMS LÄN</t>
        </is>
      </c>
      <c r="E252" t="inlineStr">
        <is>
          <t>NORRTÄLJE</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21692-2019</t>
        </is>
      </c>
      <c r="B253" s="1" t="n">
        <v>43581</v>
      </c>
      <c r="C253" s="1" t="n">
        <v>45688</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21811-2019</t>
        </is>
      </c>
      <c r="B254" s="1" t="n">
        <v>43582</v>
      </c>
      <c r="C254" s="1" t="n">
        <v>45688</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22207-2019</t>
        </is>
      </c>
      <c r="B255" s="1" t="n">
        <v>43585</v>
      </c>
      <c r="C255" s="1" t="n">
        <v>45688</v>
      </c>
      <c r="D255" t="inlineStr">
        <is>
          <t>STOCKHOLMS LÄN</t>
        </is>
      </c>
      <c r="E255" t="inlineStr">
        <is>
          <t>NORRTÄLJE</t>
        </is>
      </c>
      <c r="G255" t="n">
        <v>0.8</v>
      </c>
      <c r="H255" t="n">
        <v>0</v>
      </c>
      <c r="I255" t="n">
        <v>0</v>
      </c>
      <c r="J255" t="n">
        <v>0</v>
      </c>
      <c r="K255" t="n">
        <v>0</v>
      </c>
      <c r="L255" t="n">
        <v>0</v>
      </c>
      <c r="M255" t="n">
        <v>0</v>
      </c>
      <c r="N255" t="n">
        <v>0</v>
      </c>
      <c r="O255" t="n">
        <v>0</v>
      </c>
      <c r="P255" t="n">
        <v>0</v>
      </c>
      <c r="Q255" t="n">
        <v>0</v>
      </c>
      <c r="R255" s="2" t="inlineStr"/>
    </row>
    <row r="256" ht="15" customHeight="1">
      <c r="A256" t="inlineStr">
        <is>
          <t>A 22211-2019</t>
        </is>
      </c>
      <c r="B256" s="1" t="n">
        <v>43585</v>
      </c>
      <c r="C256" s="1" t="n">
        <v>45688</v>
      </c>
      <c r="D256" t="inlineStr">
        <is>
          <t>STOCKHOLMS LÄN</t>
        </is>
      </c>
      <c r="E256" t="inlineStr">
        <is>
          <t>NORRTÄLJE</t>
        </is>
      </c>
      <c r="G256" t="n">
        <v>6.8</v>
      </c>
      <c r="H256" t="n">
        <v>0</v>
      </c>
      <c r="I256" t="n">
        <v>0</v>
      </c>
      <c r="J256" t="n">
        <v>0</v>
      </c>
      <c r="K256" t="n">
        <v>0</v>
      </c>
      <c r="L256" t="n">
        <v>0</v>
      </c>
      <c r="M256" t="n">
        <v>0</v>
      </c>
      <c r="N256" t="n">
        <v>0</v>
      </c>
      <c r="O256" t="n">
        <v>0</v>
      </c>
      <c r="P256" t="n">
        <v>0</v>
      </c>
      <c r="Q256" t="n">
        <v>0</v>
      </c>
      <c r="R256" s="2" t="inlineStr"/>
    </row>
    <row r="257" ht="15" customHeight="1">
      <c r="A257" t="inlineStr">
        <is>
          <t>A 22254-2019</t>
        </is>
      </c>
      <c r="B257" s="1" t="n">
        <v>43585</v>
      </c>
      <c r="C257" s="1" t="n">
        <v>45688</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22218-2019</t>
        </is>
      </c>
      <c r="B258" s="1" t="n">
        <v>43585</v>
      </c>
      <c r="C258" s="1" t="n">
        <v>45688</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22331-2019</t>
        </is>
      </c>
      <c r="B259" s="1" t="n">
        <v>43586</v>
      </c>
      <c r="C259" s="1" t="n">
        <v>45688</v>
      </c>
      <c r="D259" t="inlineStr">
        <is>
          <t>STOCKHOLMS LÄN</t>
        </is>
      </c>
      <c r="E259" t="inlineStr">
        <is>
          <t>NORRTÄLJE</t>
        </is>
      </c>
      <c r="G259" t="n">
        <v>2.6</v>
      </c>
      <c r="H259" t="n">
        <v>0</v>
      </c>
      <c r="I259" t="n">
        <v>0</v>
      </c>
      <c r="J259" t="n">
        <v>0</v>
      </c>
      <c r="K259" t="n">
        <v>0</v>
      </c>
      <c r="L259" t="n">
        <v>0</v>
      </c>
      <c r="M259" t="n">
        <v>0</v>
      </c>
      <c r="N259" t="n">
        <v>0</v>
      </c>
      <c r="O259" t="n">
        <v>0</v>
      </c>
      <c r="P259" t="n">
        <v>0</v>
      </c>
      <c r="Q259" t="n">
        <v>0</v>
      </c>
      <c r="R259" s="2" t="inlineStr"/>
    </row>
    <row r="260" ht="15" customHeight="1">
      <c r="A260" t="inlineStr">
        <is>
          <t>A 22359-2019</t>
        </is>
      </c>
      <c r="B260" s="1" t="n">
        <v>43587</v>
      </c>
      <c r="C260" s="1" t="n">
        <v>45688</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22422-2019</t>
        </is>
      </c>
      <c r="B261" s="1" t="n">
        <v>43587</v>
      </c>
      <c r="C261" s="1" t="n">
        <v>45688</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22490-2019</t>
        </is>
      </c>
      <c r="B262" s="1" t="n">
        <v>43587</v>
      </c>
      <c r="C262" s="1" t="n">
        <v>45688</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22496-2019</t>
        </is>
      </c>
      <c r="B263" s="1" t="n">
        <v>43587</v>
      </c>
      <c r="C263" s="1" t="n">
        <v>45688</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23711-2019</t>
        </is>
      </c>
      <c r="B264" s="1" t="n">
        <v>43594</v>
      </c>
      <c r="C264" s="1" t="n">
        <v>45688</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23710-2019</t>
        </is>
      </c>
      <c r="B265" s="1" t="n">
        <v>43594</v>
      </c>
      <c r="C265" s="1" t="n">
        <v>45688</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23862-2019</t>
        </is>
      </c>
      <c r="B266" s="1" t="n">
        <v>43595</v>
      </c>
      <c r="C266" s="1" t="n">
        <v>45688</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23878-2019</t>
        </is>
      </c>
      <c r="B267" s="1" t="n">
        <v>43595</v>
      </c>
      <c r="C267" s="1" t="n">
        <v>45688</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23961-2019</t>
        </is>
      </c>
      <c r="B268" s="1" t="n">
        <v>43597</v>
      </c>
      <c r="C268" s="1" t="n">
        <v>45688</v>
      </c>
      <c r="D268" t="inlineStr">
        <is>
          <t>STOCKHOLMS LÄN</t>
        </is>
      </c>
      <c r="E268" t="inlineStr">
        <is>
          <t>NORRTÄLJE</t>
        </is>
      </c>
      <c r="G268" t="n">
        <v>17.6</v>
      </c>
      <c r="H268" t="n">
        <v>0</v>
      </c>
      <c r="I268" t="n">
        <v>0</v>
      </c>
      <c r="J268" t="n">
        <v>0</v>
      </c>
      <c r="K268" t="n">
        <v>0</v>
      </c>
      <c r="L268" t="n">
        <v>0</v>
      </c>
      <c r="M268" t="n">
        <v>0</v>
      </c>
      <c r="N268" t="n">
        <v>0</v>
      </c>
      <c r="O268" t="n">
        <v>0</v>
      </c>
      <c r="P268" t="n">
        <v>0</v>
      </c>
      <c r="Q268" t="n">
        <v>0</v>
      </c>
      <c r="R268" s="2" t="inlineStr"/>
    </row>
    <row r="269" ht="15" customHeight="1">
      <c r="A269" t="inlineStr">
        <is>
          <t>A 23965-2019</t>
        </is>
      </c>
      <c r="B269" s="1" t="n">
        <v>43597</v>
      </c>
      <c r="C269" s="1" t="n">
        <v>45688</v>
      </c>
      <c r="D269" t="inlineStr">
        <is>
          <t>STOCKHOLMS LÄN</t>
        </is>
      </c>
      <c r="E269" t="inlineStr">
        <is>
          <t>NORRTÄLJE</t>
        </is>
      </c>
      <c r="G269" t="n">
        <v>6.1</v>
      </c>
      <c r="H269" t="n">
        <v>0</v>
      </c>
      <c r="I269" t="n">
        <v>0</v>
      </c>
      <c r="J269" t="n">
        <v>0</v>
      </c>
      <c r="K269" t="n">
        <v>0</v>
      </c>
      <c r="L269" t="n">
        <v>0</v>
      </c>
      <c r="M269" t="n">
        <v>0</v>
      </c>
      <c r="N269" t="n">
        <v>0</v>
      </c>
      <c r="O269" t="n">
        <v>0</v>
      </c>
      <c r="P269" t="n">
        <v>0</v>
      </c>
      <c r="Q269" t="n">
        <v>0</v>
      </c>
      <c r="R269" s="2" t="inlineStr"/>
    </row>
    <row r="270" ht="15" customHeight="1">
      <c r="A270" t="inlineStr">
        <is>
          <t>A 23963-2019</t>
        </is>
      </c>
      <c r="B270" s="1" t="n">
        <v>43597</v>
      </c>
      <c r="C270" s="1" t="n">
        <v>45688</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24124-2019</t>
        </is>
      </c>
      <c r="B271" s="1" t="n">
        <v>43598</v>
      </c>
      <c r="C271" s="1" t="n">
        <v>45688</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24058-2019</t>
        </is>
      </c>
      <c r="B272" s="1" t="n">
        <v>43598</v>
      </c>
      <c r="C272" s="1" t="n">
        <v>45688</v>
      </c>
      <c r="D272" t="inlineStr">
        <is>
          <t>STOCKHOLMS LÄN</t>
        </is>
      </c>
      <c r="E272" t="inlineStr">
        <is>
          <t>NORRTÄLJE</t>
        </is>
      </c>
      <c r="G272" t="n">
        <v>2.5</v>
      </c>
      <c r="H272" t="n">
        <v>0</v>
      </c>
      <c r="I272" t="n">
        <v>0</v>
      </c>
      <c r="J272" t="n">
        <v>0</v>
      </c>
      <c r="K272" t="n">
        <v>0</v>
      </c>
      <c r="L272" t="n">
        <v>0</v>
      </c>
      <c r="M272" t="n">
        <v>0</v>
      </c>
      <c r="N272" t="n">
        <v>0</v>
      </c>
      <c r="O272" t="n">
        <v>0</v>
      </c>
      <c r="P272" t="n">
        <v>0</v>
      </c>
      <c r="Q272" t="n">
        <v>0</v>
      </c>
      <c r="R272" s="2" t="inlineStr"/>
    </row>
    <row r="273" ht="15" customHeight="1">
      <c r="A273" t="inlineStr">
        <is>
          <t>A 24562-2019</t>
        </is>
      </c>
      <c r="B273" s="1" t="n">
        <v>43600</v>
      </c>
      <c r="C273" s="1" t="n">
        <v>45688</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24721-2019</t>
        </is>
      </c>
      <c r="B274" s="1" t="n">
        <v>43601</v>
      </c>
      <c r="C274" s="1" t="n">
        <v>45688</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25284-2019</t>
        </is>
      </c>
      <c r="B275" s="1" t="n">
        <v>43605</v>
      </c>
      <c r="C275" s="1" t="n">
        <v>45688</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25535-2019</t>
        </is>
      </c>
      <c r="B276" s="1" t="n">
        <v>43606</v>
      </c>
      <c r="C276" s="1" t="n">
        <v>45688</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25316-2019</t>
        </is>
      </c>
      <c r="B277" s="1" t="n">
        <v>43606</v>
      </c>
      <c r="C277" s="1" t="n">
        <v>45688</v>
      </c>
      <c r="D277" t="inlineStr">
        <is>
          <t>STOCKHOLMS LÄN</t>
        </is>
      </c>
      <c r="E277" t="inlineStr">
        <is>
          <t>NORRTÄLJE</t>
        </is>
      </c>
      <c r="G277" t="n">
        <v>1.6</v>
      </c>
      <c r="H277" t="n">
        <v>0</v>
      </c>
      <c r="I277" t="n">
        <v>0</v>
      </c>
      <c r="J277" t="n">
        <v>0</v>
      </c>
      <c r="K277" t="n">
        <v>0</v>
      </c>
      <c r="L277" t="n">
        <v>0</v>
      </c>
      <c r="M277" t="n">
        <v>0</v>
      </c>
      <c r="N277" t="n">
        <v>0</v>
      </c>
      <c r="O277" t="n">
        <v>0</v>
      </c>
      <c r="P277" t="n">
        <v>0</v>
      </c>
      <c r="Q277" t="n">
        <v>0</v>
      </c>
      <c r="R277" s="2" t="inlineStr"/>
    </row>
    <row r="278" ht="15" customHeight="1">
      <c r="A278" t="inlineStr">
        <is>
          <t>A 26374-2019</t>
        </is>
      </c>
      <c r="B278" s="1" t="n">
        <v>43606</v>
      </c>
      <c r="C278" s="1" t="n">
        <v>45688</v>
      </c>
      <c r="D278" t="inlineStr">
        <is>
          <t>STOCKHOLMS LÄN</t>
        </is>
      </c>
      <c r="E278" t="inlineStr">
        <is>
          <t>NORRTÄLJE</t>
        </is>
      </c>
      <c r="G278" t="n">
        <v>11.6</v>
      </c>
      <c r="H278" t="n">
        <v>0</v>
      </c>
      <c r="I278" t="n">
        <v>0</v>
      </c>
      <c r="J278" t="n">
        <v>0</v>
      </c>
      <c r="K278" t="n">
        <v>0</v>
      </c>
      <c r="L278" t="n">
        <v>0</v>
      </c>
      <c r="M278" t="n">
        <v>0</v>
      </c>
      <c r="N278" t="n">
        <v>0</v>
      </c>
      <c r="O278" t="n">
        <v>0</v>
      </c>
      <c r="P278" t="n">
        <v>0</v>
      </c>
      <c r="Q278" t="n">
        <v>0</v>
      </c>
      <c r="R278" s="2" t="inlineStr"/>
    </row>
    <row r="279" ht="15" customHeight="1">
      <c r="A279" t="inlineStr">
        <is>
          <t>A 25315-2019</t>
        </is>
      </c>
      <c r="B279" s="1" t="n">
        <v>43606</v>
      </c>
      <c r="C279" s="1" t="n">
        <v>45688</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25625-2019</t>
        </is>
      </c>
      <c r="B280" s="1" t="n">
        <v>43607</v>
      </c>
      <c r="C280" s="1" t="n">
        <v>45688</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26272-2019</t>
        </is>
      </c>
      <c r="B281" s="1" t="n">
        <v>43611</v>
      </c>
      <c r="C281" s="1" t="n">
        <v>45688</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26620-2019</t>
        </is>
      </c>
      <c r="B282" s="1" t="n">
        <v>43612</v>
      </c>
      <c r="C282" s="1" t="n">
        <v>45688</v>
      </c>
      <c r="D282" t="inlineStr">
        <is>
          <t>STOCKHOLMS LÄN</t>
        </is>
      </c>
      <c r="E282" t="inlineStr">
        <is>
          <t>NORRTÄLJE</t>
        </is>
      </c>
      <c r="G282" t="n">
        <v>0.5</v>
      </c>
      <c r="H282" t="n">
        <v>0</v>
      </c>
      <c r="I282" t="n">
        <v>0</v>
      </c>
      <c r="J282" t="n">
        <v>0</v>
      </c>
      <c r="K282" t="n">
        <v>0</v>
      </c>
      <c r="L282" t="n">
        <v>0</v>
      </c>
      <c r="M282" t="n">
        <v>0</v>
      </c>
      <c r="N282" t="n">
        <v>0</v>
      </c>
      <c r="O282" t="n">
        <v>0</v>
      </c>
      <c r="P282" t="n">
        <v>0</v>
      </c>
      <c r="Q282" t="n">
        <v>0</v>
      </c>
      <c r="R282" s="2" t="inlineStr"/>
    </row>
    <row r="283" ht="15" customHeight="1">
      <c r="A283" t="inlineStr">
        <is>
          <t>A 26391-2019</t>
        </is>
      </c>
      <c r="B283" s="1" t="n">
        <v>43612</v>
      </c>
      <c r="C283" s="1" t="n">
        <v>45688</v>
      </c>
      <c r="D283" t="inlineStr">
        <is>
          <t>STOCKHOLMS LÄN</t>
        </is>
      </c>
      <c r="E283" t="inlineStr">
        <is>
          <t>NORRTÄLJE</t>
        </is>
      </c>
      <c r="G283" t="n">
        <v>1.9</v>
      </c>
      <c r="H283" t="n">
        <v>0</v>
      </c>
      <c r="I283" t="n">
        <v>0</v>
      </c>
      <c r="J283" t="n">
        <v>0</v>
      </c>
      <c r="K283" t="n">
        <v>0</v>
      </c>
      <c r="L283" t="n">
        <v>0</v>
      </c>
      <c r="M283" t="n">
        <v>0</v>
      </c>
      <c r="N283" t="n">
        <v>0</v>
      </c>
      <c r="O283" t="n">
        <v>0</v>
      </c>
      <c r="P283" t="n">
        <v>0</v>
      </c>
      <c r="Q283" t="n">
        <v>0</v>
      </c>
      <c r="R283" s="2" t="inlineStr"/>
    </row>
    <row r="284" ht="15" customHeight="1">
      <c r="A284" t="inlineStr">
        <is>
          <t>A 26933-2019</t>
        </is>
      </c>
      <c r="B284" s="1" t="n">
        <v>43613</v>
      </c>
      <c r="C284" s="1" t="n">
        <v>45688</v>
      </c>
      <c r="D284" t="inlineStr">
        <is>
          <t>STOCKHOLMS LÄN</t>
        </is>
      </c>
      <c r="E284" t="inlineStr">
        <is>
          <t>NORRTÄLJE</t>
        </is>
      </c>
      <c r="G284" t="n">
        <v>2.8</v>
      </c>
      <c r="H284" t="n">
        <v>0</v>
      </c>
      <c r="I284" t="n">
        <v>0</v>
      </c>
      <c r="J284" t="n">
        <v>0</v>
      </c>
      <c r="K284" t="n">
        <v>0</v>
      </c>
      <c r="L284" t="n">
        <v>0</v>
      </c>
      <c r="M284" t="n">
        <v>0</v>
      </c>
      <c r="N284" t="n">
        <v>0</v>
      </c>
      <c r="O284" t="n">
        <v>0</v>
      </c>
      <c r="P284" t="n">
        <v>0</v>
      </c>
      <c r="Q284" t="n">
        <v>0</v>
      </c>
      <c r="R284" s="2" t="inlineStr"/>
    </row>
    <row r="285" ht="15" customHeight="1">
      <c r="A285" t="inlineStr">
        <is>
          <t>A 26830-2019</t>
        </is>
      </c>
      <c r="B285" s="1" t="n">
        <v>43613</v>
      </c>
      <c r="C285" s="1" t="n">
        <v>45688</v>
      </c>
      <c r="D285" t="inlineStr">
        <is>
          <t>STOCKHOLMS LÄN</t>
        </is>
      </c>
      <c r="E285" t="inlineStr">
        <is>
          <t>NORRTÄLJE</t>
        </is>
      </c>
      <c r="G285" t="n">
        <v>2.1</v>
      </c>
      <c r="H285" t="n">
        <v>0</v>
      </c>
      <c r="I285" t="n">
        <v>0</v>
      </c>
      <c r="J285" t="n">
        <v>0</v>
      </c>
      <c r="K285" t="n">
        <v>0</v>
      </c>
      <c r="L285" t="n">
        <v>0</v>
      </c>
      <c r="M285" t="n">
        <v>0</v>
      </c>
      <c r="N285" t="n">
        <v>0</v>
      </c>
      <c r="O285" t="n">
        <v>0</v>
      </c>
      <c r="P285" t="n">
        <v>0</v>
      </c>
      <c r="Q285" t="n">
        <v>0</v>
      </c>
      <c r="R285" s="2" t="inlineStr"/>
    </row>
    <row r="286" ht="15" customHeight="1">
      <c r="A286" t="inlineStr">
        <is>
          <t>A 27095-2019</t>
        </is>
      </c>
      <c r="B286" s="1" t="n">
        <v>43614</v>
      </c>
      <c r="C286" s="1" t="n">
        <v>45688</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28157-2019</t>
        </is>
      </c>
      <c r="B287" s="1" t="n">
        <v>43614</v>
      </c>
      <c r="C287" s="1" t="n">
        <v>45688</v>
      </c>
      <c r="D287" t="inlineStr">
        <is>
          <t>STOCKHOLMS LÄN</t>
        </is>
      </c>
      <c r="E287" t="inlineStr">
        <is>
          <t>NORRTÄLJE</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27264-2019</t>
        </is>
      </c>
      <c r="B288" s="1" t="n">
        <v>43615</v>
      </c>
      <c r="C288" s="1" t="n">
        <v>45688</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27971-2019</t>
        </is>
      </c>
      <c r="B289" s="1" t="n">
        <v>43620</v>
      </c>
      <c r="C289" s="1" t="n">
        <v>45688</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27967-2019</t>
        </is>
      </c>
      <c r="B290" s="1" t="n">
        <v>43620</v>
      </c>
      <c r="C290" s="1" t="n">
        <v>45688</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28121-2019</t>
        </is>
      </c>
      <c r="B291" s="1" t="n">
        <v>43621</v>
      </c>
      <c r="C291" s="1" t="n">
        <v>45688</v>
      </c>
      <c r="D291" t="inlineStr">
        <is>
          <t>STOCKHOLMS LÄN</t>
        </is>
      </c>
      <c r="E291" t="inlineStr">
        <is>
          <t>NORRTÄLJE</t>
        </is>
      </c>
      <c r="F291" t="inlineStr">
        <is>
          <t>Kyrkan</t>
        </is>
      </c>
      <c r="G291" t="n">
        <v>2.5</v>
      </c>
      <c r="H291" t="n">
        <v>0</v>
      </c>
      <c r="I291" t="n">
        <v>0</v>
      </c>
      <c r="J291" t="n">
        <v>0</v>
      </c>
      <c r="K291" t="n">
        <v>0</v>
      </c>
      <c r="L291" t="n">
        <v>0</v>
      </c>
      <c r="M291" t="n">
        <v>0</v>
      </c>
      <c r="N291" t="n">
        <v>0</v>
      </c>
      <c r="O291" t="n">
        <v>0</v>
      </c>
      <c r="P291" t="n">
        <v>0</v>
      </c>
      <c r="Q291" t="n">
        <v>0</v>
      </c>
      <c r="R291" s="2" t="inlineStr"/>
    </row>
    <row r="292" ht="15" customHeight="1">
      <c r="A292" t="inlineStr">
        <is>
          <t>A 28289-2019</t>
        </is>
      </c>
      <c r="B292" s="1" t="n">
        <v>43623</v>
      </c>
      <c r="C292" s="1" t="n">
        <v>45688</v>
      </c>
      <c r="D292" t="inlineStr">
        <is>
          <t>STOCKHOLMS LÄN</t>
        </is>
      </c>
      <c r="E292" t="inlineStr">
        <is>
          <t>NORRTÄLJE</t>
        </is>
      </c>
      <c r="G292" t="n">
        <v>7.7</v>
      </c>
      <c r="H292" t="n">
        <v>0</v>
      </c>
      <c r="I292" t="n">
        <v>0</v>
      </c>
      <c r="J292" t="n">
        <v>0</v>
      </c>
      <c r="K292" t="n">
        <v>0</v>
      </c>
      <c r="L292" t="n">
        <v>0</v>
      </c>
      <c r="M292" t="n">
        <v>0</v>
      </c>
      <c r="N292" t="n">
        <v>0</v>
      </c>
      <c r="O292" t="n">
        <v>0</v>
      </c>
      <c r="P292" t="n">
        <v>0</v>
      </c>
      <c r="Q292" t="n">
        <v>0</v>
      </c>
      <c r="R292" s="2" t="inlineStr"/>
    </row>
    <row r="293" ht="15" customHeight="1">
      <c r="A293" t="inlineStr">
        <is>
          <t>A 28519-2019</t>
        </is>
      </c>
      <c r="B293" s="1" t="n">
        <v>43626</v>
      </c>
      <c r="C293" s="1" t="n">
        <v>45688</v>
      </c>
      <c r="D293" t="inlineStr">
        <is>
          <t>STOCKHOLMS LÄN</t>
        </is>
      </c>
      <c r="E293" t="inlineStr">
        <is>
          <t>NORRTÄLJE</t>
        </is>
      </c>
      <c r="G293" t="n">
        <v>3</v>
      </c>
      <c r="H293" t="n">
        <v>0</v>
      </c>
      <c r="I293" t="n">
        <v>0</v>
      </c>
      <c r="J293" t="n">
        <v>0</v>
      </c>
      <c r="K293" t="n">
        <v>0</v>
      </c>
      <c r="L293" t="n">
        <v>0</v>
      </c>
      <c r="M293" t="n">
        <v>0</v>
      </c>
      <c r="N293" t="n">
        <v>0</v>
      </c>
      <c r="O293" t="n">
        <v>0</v>
      </c>
      <c r="P293" t="n">
        <v>0</v>
      </c>
      <c r="Q293" t="n">
        <v>0</v>
      </c>
      <c r="R293" s="2" t="inlineStr"/>
    </row>
    <row r="294" ht="15" customHeight="1">
      <c r="A294" t="inlineStr">
        <is>
          <t>A 28495-2019</t>
        </is>
      </c>
      <c r="B294" s="1" t="n">
        <v>43626</v>
      </c>
      <c r="C294" s="1" t="n">
        <v>45688</v>
      </c>
      <c r="D294" t="inlineStr">
        <is>
          <t>STOCKHOLMS LÄN</t>
        </is>
      </c>
      <c r="E294" t="inlineStr">
        <is>
          <t>NORRTÄLJE</t>
        </is>
      </c>
      <c r="G294" t="n">
        <v>14.7</v>
      </c>
      <c r="H294" t="n">
        <v>0</v>
      </c>
      <c r="I294" t="n">
        <v>0</v>
      </c>
      <c r="J294" t="n">
        <v>0</v>
      </c>
      <c r="K294" t="n">
        <v>0</v>
      </c>
      <c r="L294" t="n">
        <v>0</v>
      </c>
      <c r="M294" t="n">
        <v>0</v>
      </c>
      <c r="N294" t="n">
        <v>0</v>
      </c>
      <c r="O294" t="n">
        <v>0</v>
      </c>
      <c r="P294" t="n">
        <v>0</v>
      </c>
      <c r="Q294" t="n">
        <v>0</v>
      </c>
      <c r="R294" s="2" t="inlineStr"/>
    </row>
    <row r="295" ht="15" customHeight="1">
      <c r="A295" t="inlineStr">
        <is>
          <t>A 28394-2019</t>
        </is>
      </c>
      <c r="B295" s="1" t="n">
        <v>43626</v>
      </c>
      <c r="C295" s="1" t="n">
        <v>45688</v>
      </c>
      <c r="D295" t="inlineStr">
        <is>
          <t>STOCKHOLMS LÄN</t>
        </is>
      </c>
      <c r="E295" t="inlineStr">
        <is>
          <t>NORRTÄLJE</t>
        </is>
      </c>
      <c r="G295" t="n">
        <v>2.4</v>
      </c>
      <c r="H295" t="n">
        <v>0</v>
      </c>
      <c r="I295" t="n">
        <v>0</v>
      </c>
      <c r="J295" t="n">
        <v>0</v>
      </c>
      <c r="K295" t="n">
        <v>0</v>
      </c>
      <c r="L295" t="n">
        <v>0</v>
      </c>
      <c r="M295" t="n">
        <v>0</v>
      </c>
      <c r="N295" t="n">
        <v>0</v>
      </c>
      <c r="O295" t="n">
        <v>0</v>
      </c>
      <c r="P295" t="n">
        <v>0</v>
      </c>
      <c r="Q295" t="n">
        <v>0</v>
      </c>
      <c r="R295" s="2" t="inlineStr"/>
    </row>
    <row r="296" ht="15" customHeight="1">
      <c r="A296" t="inlineStr">
        <is>
          <t>A 29260-2019</t>
        </is>
      </c>
      <c r="B296" s="1" t="n">
        <v>43629</v>
      </c>
      <c r="C296" s="1" t="n">
        <v>45688</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29312-2019</t>
        </is>
      </c>
      <c r="B297" s="1" t="n">
        <v>43629</v>
      </c>
      <c r="C297" s="1" t="n">
        <v>45688</v>
      </c>
      <c r="D297" t="inlineStr">
        <is>
          <t>STOCKHOLMS LÄN</t>
        </is>
      </c>
      <c r="E297" t="inlineStr">
        <is>
          <t>NORRTÄLJE</t>
        </is>
      </c>
      <c r="G297" t="n">
        <v>7.1</v>
      </c>
      <c r="H297" t="n">
        <v>0</v>
      </c>
      <c r="I297" t="n">
        <v>0</v>
      </c>
      <c r="J297" t="n">
        <v>0</v>
      </c>
      <c r="K297" t="n">
        <v>0</v>
      </c>
      <c r="L297" t="n">
        <v>0</v>
      </c>
      <c r="M297" t="n">
        <v>0</v>
      </c>
      <c r="N297" t="n">
        <v>0</v>
      </c>
      <c r="O297" t="n">
        <v>0</v>
      </c>
      <c r="P297" t="n">
        <v>0</v>
      </c>
      <c r="Q297" t="n">
        <v>0</v>
      </c>
      <c r="R297" s="2" t="inlineStr"/>
    </row>
    <row r="298" ht="15" customHeight="1">
      <c r="A298" t="inlineStr">
        <is>
          <t>A 29759-2019</t>
        </is>
      </c>
      <c r="B298" s="1" t="n">
        <v>43631</v>
      </c>
      <c r="C298" s="1" t="n">
        <v>45688</v>
      </c>
      <c r="D298" t="inlineStr">
        <is>
          <t>STOCKHOLMS LÄN</t>
        </is>
      </c>
      <c r="E298" t="inlineStr">
        <is>
          <t>NORRTÄLJE</t>
        </is>
      </c>
      <c r="G298" t="n">
        <v>0.8</v>
      </c>
      <c r="H298" t="n">
        <v>0</v>
      </c>
      <c r="I298" t="n">
        <v>0</v>
      </c>
      <c r="J298" t="n">
        <v>0</v>
      </c>
      <c r="K298" t="n">
        <v>0</v>
      </c>
      <c r="L298" t="n">
        <v>0</v>
      </c>
      <c r="M298" t="n">
        <v>0</v>
      </c>
      <c r="N298" t="n">
        <v>0</v>
      </c>
      <c r="O298" t="n">
        <v>0</v>
      </c>
      <c r="P298" t="n">
        <v>0</v>
      </c>
      <c r="Q298" t="n">
        <v>0</v>
      </c>
      <c r="R298" s="2" t="inlineStr"/>
    </row>
    <row r="299" ht="15" customHeight="1">
      <c r="A299" t="inlineStr">
        <is>
          <t>A 30000-2019</t>
        </is>
      </c>
      <c r="B299" s="1" t="n">
        <v>43633</v>
      </c>
      <c r="C299" s="1" t="n">
        <v>45688</v>
      </c>
      <c r="D299" t="inlineStr">
        <is>
          <t>STOCKHOLMS LÄN</t>
        </is>
      </c>
      <c r="E299" t="inlineStr">
        <is>
          <t>NORRTÄLJE</t>
        </is>
      </c>
      <c r="G299" t="n">
        <v>5.4</v>
      </c>
      <c r="H299" t="n">
        <v>0</v>
      </c>
      <c r="I299" t="n">
        <v>0</v>
      </c>
      <c r="J299" t="n">
        <v>0</v>
      </c>
      <c r="K299" t="n">
        <v>0</v>
      </c>
      <c r="L299" t="n">
        <v>0</v>
      </c>
      <c r="M299" t="n">
        <v>0</v>
      </c>
      <c r="N299" t="n">
        <v>0</v>
      </c>
      <c r="O299" t="n">
        <v>0</v>
      </c>
      <c r="P299" t="n">
        <v>0</v>
      </c>
      <c r="Q299" t="n">
        <v>0</v>
      </c>
      <c r="R299" s="2" t="inlineStr"/>
    </row>
    <row r="300" ht="15" customHeight="1">
      <c r="A300" t="inlineStr">
        <is>
          <t>A 30833-2019</t>
        </is>
      </c>
      <c r="B300" s="1" t="n">
        <v>43636</v>
      </c>
      <c r="C300" s="1" t="n">
        <v>45688</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31215-2019</t>
        </is>
      </c>
      <c r="B301" s="1" t="n">
        <v>43640</v>
      </c>
      <c r="C301" s="1" t="n">
        <v>45688</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31017-2019</t>
        </is>
      </c>
      <c r="B302" s="1" t="n">
        <v>43640</v>
      </c>
      <c r="C302" s="1" t="n">
        <v>45688</v>
      </c>
      <c r="D302" t="inlineStr">
        <is>
          <t>STOCKHOLMS LÄN</t>
        </is>
      </c>
      <c r="E302" t="inlineStr">
        <is>
          <t>NORRTÄLJE</t>
        </is>
      </c>
      <c r="G302" t="n">
        <v>3.4</v>
      </c>
      <c r="H302" t="n">
        <v>0</v>
      </c>
      <c r="I302" t="n">
        <v>0</v>
      </c>
      <c r="J302" t="n">
        <v>0</v>
      </c>
      <c r="K302" t="n">
        <v>0</v>
      </c>
      <c r="L302" t="n">
        <v>0</v>
      </c>
      <c r="M302" t="n">
        <v>0</v>
      </c>
      <c r="N302" t="n">
        <v>0</v>
      </c>
      <c r="O302" t="n">
        <v>0</v>
      </c>
      <c r="P302" t="n">
        <v>0</v>
      </c>
      <c r="Q302" t="n">
        <v>0</v>
      </c>
      <c r="R302" s="2" t="inlineStr"/>
    </row>
    <row r="303" ht="15" customHeight="1">
      <c r="A303" t="inlineStr">
        <is>
          <t>A 31966-2019</t>
        </is>
      </c>
      <c r="B303" s="1" t="n">
        <v>43643</v>
      </c>
      <c r="C303" s="1" t="n">
        <v>45688</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32725-2019</t>
        </is>
      </c>
      <c r="B304" s="1" t="n">
        <v>43647</v>
      </c>
      <c r="C304" s="1" t="n">
        <v>45688</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32726-2019</t>
        </is>
      </c>
      <c r="B305" s="1" t="n">
        <v>43647</v>
      </c>
      <c r="C305" s="1" t="n">
        <v>45688</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33207-2019</t>
        </is>
      </c>
      <c r="B306" s="1" t="n">
        <v>43649</v>
      </c>
      <c r="C306" s="1" t="n">
        <v>45688</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33955-2019</t>
        </is>
      </c>
      <c r="B307" s="1" t="n">
        <v>43654</v>
      </c>
      <c r="C307" s="1" t="n">
        <v>45688</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33966-2019</t>
        </is>
      </c>
      <c r="B308" s="1" t="n">
        <v>43654</v>
      </c>
      <c r="C308" s="1" t="n">
        <v>45688</v>
      </c>
      <c r="D308" t="inlineStr">
        <is>
          <t>STOCKHOLMS LÄN</t>
        </is>
      </c>
      <c r="E308" t="inlineStr">
        <is>
          <t>NORRTÄLJE</t>
        </is>
      </c>
      <c r="G308" t="n">
        <v>3.2</v>
      </c>
      <c r="H308" t="n">
        <v>0</v>
      </c>
      <c r="I308" t="n">
        <v>0</v>
      </c>
      <c r="J308" t="n">
        <v>0</v>
      </c>
      <c r="K308" t="n">
        <v>0</v>
      </c>
      <c r="L308" t="n">
        <v>0</v>
      </c>
      <c r="M308" t="n">
        <v>0</v>
      </c>
      <c r="N308" t="n">
        <v>0</v>
      </c>
      <c r="O308" t="n">
        <v>0</v>
      </c>
      <c r="P308" t="n">
        <v>0</v>
      </c>
      <c r="Q308" t="n">
        <v>0</v>
      </c>
      <c r="R308" s="2" t="inlineStr"/>
    </row>
    <row r="309" ht="15" customHeight="1">
      <c r="A309" t="inlineStr">
        <is>
          <t>A 35247-2019</t>
        </is>
      </c>
      <c r="B309" s="1" t="n">
        <v>43656</v>
      </c>
      <c r="C309" s="1" t="n">
        <v>45688</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35244-2019</t>
        </is>
      </c>
      <c r="B310" s="1" t="n">
        <v>43656</v>
      </c>
      <c r="C310" s="1" t="n">
        <v>45688</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35249-2019</t>
        </is>
      </c>
      <c r="B311" s="1" t="n">
        <v>43656</v>
      </c>
      <c r="C311" s="1" t="n">
        <v>45688</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35251-2019</t>
        </is>
      </c>
      <c r="B312" s="1" t="n">
        <v>43656</v>
      </c>
      <c r="C312" s="1" t="n">
        <v>45688</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35492-2019</t>
        </is>
      </c>
      <c r="B313" s="1" t="n">
        <v>43663</v>
      </c>
      <c r="C313" s="1" t="n">
        <v>45688</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35770-2019</t>
        </is>
      </c>
      <c r="B314" s="1" t="n">
        <v>43665</v>
      </c>
      <c r="C314" s="1" t="n">
        <v>45688</v>
      </c>
      <c r="D314" t="inlineStr">
        <is>
          <t>STOCKHOLMS LÄN</t>
        </is>
      </c>
      <c r="E314" t="inlineStr">
        <is>
          <t>NORRTÄLJE</t>
        </is>
      </c>
      <c r="G314" t="n">
        <v>6.3</v>
      </c>
      <c r="H314" t="n">
        <v>0</v>
      </c>
      <c r="I314" t="n">
        <v>0</v>
      </c>
      <c r="J314" t="n">
        <v>0</v>
      </c>
      <c r="K314" t="n">
        <v>0</v>
      </c>
      <c r="L314" t="n">
        <v>0</v>
      </c>
      <c r="M314" t="n">
        <v>0</v>
      </c>
      <c r="N314" t="n">
        <v>0</v>
      </c>
      <c r="O314" t="n">
        <v>0</v>
      </c>
      <c r="P314" t="n">
        <v>0</v>
      </c>
      <c r="Q314" t="n">
        <v>0</v>
      </c>
      <c r="R314" s="2" t="inlineStr"/>
    </row>
    <row r="315" ht="15" customHeight="1">
      <c r="A315" t="inlineStr">
        <is>
          <t>A 35766-2019</t>
        </is>
      </c>
      <c r="B315" s="1" t="n">
        <v>43665</v>
      </c>
      <c r="C315" s="1" t="n">
        <v>45688</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36418-2019</t>
        </is>
      </c>
      <c r="B316" s="1" t="n">
        <v>43670</v>
      </c>
      <c r="C316" s="1" t="n">
        <v>45688</v>
      </c>
      <c r="D316" t="inlineStr">
        <is>
          <t>STOCKHOLMS LÄN</t>
        </is>
      </c>
      <c r="E316" t="inlineStr">
        <is>
          <t>NORRTÄLJE</t>
        </is>
      </c>
      <c r="G316" t="n">
        <v>16.8</v>
      </c>
      <c r="H316" t="n">
        <v>0</v>
      </c>
      <c r="I316" t="n">
        <v>0</v>
      </c>
      <c r="J316" t="n">
        <v>0</v>
      </c>
      <c r="K316" t="n">
        <v>0</v>
      </c>
      <c r="L316" t="n">
        <v>0</v>
      </c>
      <c r="M316" t="n">
        <v>0</v>
      </c>
      <c r="N316" t="n">
        <v>0</v>
      </c>
      <c r="O316" t="n">
        <v>0</v>
      </c>
      <c r="P316" t="n">
        <v>0</v>
      </c>
      <c r="Q316" t="n">
        <v>0</v>
      </c>
      <c r="R316" s="2" t="inlineStr"/>
    </row>
    <row r="317" ht="15" customHeight="1">
      <c r="A317" t="inlineStr">
        <is>
          <t>A 37401-2019</t>
        </is>
      </c>
      <c r="B317" s="1" t="n">
        <v>43678</v>
      </c>
      <c r="C317" s="1" t="n">
        <v>45688</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37662-2019</t>
        </is>
      </c>
      <c r="B318" s="1" t="n">
        <v>43682</v>
      </c>
      <c r="C318" s="1" t="n">
        <v>45688</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38144-2019</t>
        </is>
      </c>
      <c r="B319" s="1" t="n">
        <v>43684</v>
      </c>
      <c r="C319" s="1" t="n">
        <v>45688</v>
      </c>
      <c r="D319" t="inlineStr">
        <is>
          <t>STOCKHOLMS LÄN</t>
        </is>
      </c>
      <c r="E319" t="inlineStr">
        <is>
          <t>NORRTÄLJE</t>
        </is>
      </c>
      <c r="G319" t="n">
        <v>3.6</v>
      </c>
      <c r="H319" t="n">
        <v>0</v>
      </c>
      <c r="I319" t="n">
        <v>0</v>
      </c>
      <c r="J319" t="n">
        <v>0</v>
      </c>
      <c r="K319" t="n">
        <v>0</v>
      </c>
      <c r="L319" t="n">
        <v>0</v>
      </c>
      <c r="M319" t="n">
        <v>0</v>
      </c>
      <c r="N319" t="n">
        <v>0</v>
      </c>
      <c r="O319" t="n">
        <v>0</v>
      </c>
      <c r="P319" t="n">
        <v>0</v>
      </c>
      <c r="Q319" t="n">
        <v>0</v>
      </c>
      <c r="R319" s="2" t="inlineStr"/>
    </row>
    <row r="320" ht="15" customHeight="1">
      <c r="A320" t="inlineStr">
        <is>
          <t>A 38139-2019</t>
        </is>
      </c>
      <c r="B320" s="1" t="n">
        <v>43684</v>
      </c>
      <c r="C320" s="1" t="n">
        <v>45688</v>
      </c>
      <c r="D320" t="inlineStr">
        <is>
          <t>STOCKHOLMS LÄN</t>
        </is>
      </c>
      <c r="E320" t="inlineStr">
        <is>
          <t>NORRTÄLJE</t>
        </is>
      </c>
      <c r="G320" t="n">
        <v>2</v>
      </c>
      <c r="H320" t="n">
        <v>0</v>
      </c>
      <c r="I320" t="n">
        <v>0</v>
      </c>
      <c r="J320" t="n">
        <v>0</v>
      </c>
      <c r="K320" t="n">
        <v>0</v>
      </c>
      <c r="L320" t="n">
        <v>0</v>
      </c>
      <c r="M320" t="n">
        <v>0</v>
      </c>
      <c r="N320" t="n">
        <v>0</v>
      </c>
      <c r="O320" t="n">
        <v>0</v>
      </c>
      <c r="P320" t="n">
        <v>0</v>
      </c>
      <c r="Q320" t="n">
        <v>0</v>
      </c>
      <c r="R320" s="2" t="inlineStr"/>
    </row>
    <row r="321" ht="15" customHeight="1">
      <c r="A321" t="inlineStr">
        <is>
          <t>A 38145-2019</t>
        </is>
      </c>
      <c r="B321" s="1" t="n">
        <v>43684</v>
      </c>
      <c r="C321" s="1" t="n">
        <v>45688</v>
      </c>
      <c r="D321" t="inlineStr">
        <is>
          <t>STOCKHOLMS LÄN</t>
        </is>
      </c>
      <c r="E321" t="inlineStr">
        <is>
          <t>NORRTÄLJE</t>
        </is>
      </c>
      <c r="G321" t="n">
        <v>9.9</v>
      </c>
      <c r="H321" t="n">
        <v>0</v>
      </c>
      <c r="I321" t="n">
        <v>0</v>
      </c>
      <c r="J321" t="n">
        <v>0</v>
      </c>
      <c r="K321" t="n">
        <v>0</v>
      </c>
      <c r="L321" t="n">
        <v>0</v>
      </c>
      <c r="M321" t="n">
        <v>0</v>
      </c>
      <c r="N321" t="n">
        <v>0</v>
      </c>
      <c r="O321" t="n">
        <v>0</v>
      </c>
      <c r="P321" t="n">
        <v>0</v>
      </c>
      <c r="Q321" t="n">
        <v>0</v>
      </c>
      <c r="R321" s="2" t="inlineStr"/>
    </row>
    <row r="322" ht="15" customHeight="1">
      <c r="A322" t="inlineStr">
        <is>
          <t>A 38140-2019</t>
        </is>
      </c>
      <c r="B322" s="1" t="n">
        <v>43684</v>
      </c>
      <c r="C322" s="1" t="n">
        <v>45688</v>
      </c>
      <c r="D322" t="inlineStr">
        <is>
          <t>STOCKHOLMS LÄN</t>
        </is>
      </c>
      <c r="E322" t="inlineStr">
        <is>
          <t>NORRTÄLJE</t>
        </is>
      </c>
      <c r="G322" t="n">
        <v>3.4</v>
      </c>
      <c r="H322" t="n">
        <v>0</v>
      </c>
      <c r="I322" t="n">
        <v>0</v>
      </c>
      <c r="J322" t="n">
        <v>0</v>
      </c>
      <c r="K322" t="n">
        <v>0</v>
      </c>
      <c r="L322" t="n">
        <v>0</v>
      </c>
      <c r="M322" t="n">
        <v>0</v>
      </c>
      <c r="N322" t="n">
        <v>0</v>
      </c>
      <c r="O322" t="n">
        <v>0</v>
      </c>
      <c r="P322" t="n">
        <v>0</v>
      </c>
      <c r="Q322" t="n">
        <v>0</v>
      </c>
      <c r="R322" s="2" t="inlineStr"/>
    </row>
    <row r="323" ht="15" customHeight="1">
      <c r="A323" t="inlineStr">
        <is>
          <t>A 38143-2019</t>
        </is>
      </c>
      <c r="B323" s="1" t="n">
        <v>43684</v>
      </c>
      <c r="C323" s="1" t="n">
        <v>45688</v>
      </c>
      <c r="D323" t="inlineStr">
        <is>
          <t>STOCKHOLMS LÄN</t>
        </is>
      </c>
      <c r="E323" t="inlineStr">
        <is>
          <t>NORRTÄLJE</t>
        </is>
      </c>
      <c r="G323" t="n">
        <v>12.7</v>
      </c>
      <c r="H323" t="n">
        <v>0</v>
      </c>
      <c r="I323" t="n">
        <v>0</v>
      </c>
      <c r="J323" t="n">
        <v>0</v>
      </c>
      <c r="K323" t="n">
        <v>0</v>
      </c>
      <c r="L323" t="n">
        <v>0</v>
      </c>
      <c r="M323" t="n">
        <v>0</v>
      </c>
      <c r="N323" t="n">
        <v>0</v>
      </c>
      <c r="O323" t="n">
        <v>0</v>
      </c>
      <c r="P323" t="n">
        <v>0</v>
      </c>
      <c r="Q323" t="n">
        <v>0</v>
      </c>
      <c r="R323" s="2" t="inlineStr"/>
    </row>
    <row r="324" ht="15" customHeight="1">
      <c r="A324" t="inlineStr">
        <is>
          <t>A 38506-2019</t>
        </is>
      </c>
      <c r="B324" s="1" t="n">
        <v>43685</v>
      </c>
      <c r="C324" s="1" t="n">
        <v>45688</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38605-2019</t>
        </is>
      </c>
      <c r="B325" s="1" t="n">
        <v>43686</v>
      </c>
      <c r="C325" s="1" t="n">
        <v>45688</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38737-2019</t>
        </is>
      </c>
      <c r="B326" s="1" t="n">
        <v>43686</v>
      </c>
      <c r="C326" s="1" t="n">
        <v>45688</v>
      </c>
      <c r="D326" t="inlineStr">
        <is>
          <t>STOCKHOLMS LÄN</t>
        </is>
      </c>
      <c r="E326" t="inlineStr">
        <is>
          <t>NORRTÄLJE</t>
        </is>
      </c>
      <c r="G326" t="n">
        <v>4.7</v>
      </c>
      <c r="H326" t="n">
        <v>0</v>
      </c>
      <c r="I326" t="n">
        <v>0</v>
      </c>
      <c r="J326" t="n">
        <v>0</v>
      </c>
      <c r="K326" t="n">
        <v>0</v>
      </c>
      <c r="L326" t="n">
        <v>0</v>
      </c>
      <c r="M326" t="n">
        <v>0</v>
      </c>
      <c r="N326" t="n">
        <v>0</v>
      </c>
      <c r="O326" t="n">
        <v>0</v>
      </c>
      <c r="P326" t="n">
        <v>0</v>
      </c>
      <c r="Q326" t="n">
        <v>0</v>
      </c>
      <c r="R326" s="2" t="inlineStr"/>
    </row>
    <row r="327" ht="15" customHeight="1">
      <c r="A327" t="inlineStr">
        <is>
          <t>A 40571-2019</t>
        </is>
      </c>
      <c r="B327" s="1" t="n">
        <v>43696</v>
      </c>
      <c r="C327" s="1" t="n">
        <v>45688</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42330-2019</t>
        </is>
      </c>
      <c r="B328" s="1" t="n">
        <v>43703</v>
      </c>
      <c r="C328" s="1" t="n">
        <v>45688</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43379-2019</t>
        </is>
      </c>
      <c r="B329" s="1" t="n">
        <v>43703</v>
      </c>
      <c r="C329" s="1" t="n">
        <v>45688</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43296-2019</t>
        </is>
      </c>
      <c r="B330" s="1" t="n">
        <v>43706</v>
      </c>
      <c r="C330" s="1" t="n">
        <v>45688</v>
      </c>
      <c r="D330" t="inlineStr">
        <is>
          <t>STOCKHOLMS LÄN</t>
        </is>
      </c>
      <c r="E330" t="inlineStr">
        <is>
          <t>NORRTÄLJE</t>
        </is>
      </c>
      <c r="F330" t="inlineStr">
        <is>
          <t>Kommuner</t>
        </is>
      </c>
      <c r="G330" t="n">
        <v>1.7</v>
      </c>
      <c r="H330" t="n">
        <v>0</v>
      </c>
      <c r="I330" t="n">
        <v>0</v>
      </c>
      <c r="J330" t="n">
        <v>0</v>
      </c>
      <c r="K330" t="n">
        <v>0</v>
      </c>
      <c r="L330" t="n">
        <v>0</v>
      </c>
      <c r="M330" t="n">
        <v>0</v>
      </c>
      <c r="N330" t="n">
        <v>0</v>
      </c>
      <c r="O330" t="n">
        <v>0</v>
      </c>
      <c r="P330" t="n">
        <v>0</v>
      </c>
      <c r="Q330" t="n">
        <v>0</v>
      </c>
      <c r="R330" s="2" t="inlineStr"/>
    </row>
    <row r="331" ht="15" customHeight="1">
      <c r="A331" t="inlineStr">
        <is>
          <t>A 44643-2019</t>
        </is>
      </c>
      <c r="B331" s="1" t="n">
        <v>43712</v>
      </c>
      <c r="C331" s="1" t="n">
        <v>45688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45463-2019</t>
        </is>
      </c>
      <c r="B332" s="1" t="n">
        <v>43714</v>
      </c>
      <c r="C332" s="1" t="n">
        <v>45688</v>
      </c>
      <c r="D332" t="inlineStr">
        <is>
          <t>STOCKHOLMS LÄN</t>
        </is>
      </c>
      <c r="E332" t="inlineStr">
        <is>
          <t>NORRTÄLJE</t>
        </is>
      </c>
      <c r="F332" t="inlineStr">
        <is>
          <t>Övriga statliga verk och myndigheter</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45477-2019</t>
        </is>
      </c>
      <c r="B333" s="1" t="n">
        <v>43714</v>
      </c>
      <c r="C333" s="1" t="n">
        <v>45688</v>
      </c>
      <c r="D333" t="inlineStr">
        <is>
          <t>STOCKHOLMS LÄN</t>
        </is>
      </c>
      <c r="E333" t="inlineStr">
        <is>
          <t>NORRTÄLJE</t>
        </is>
      </c>
      <c r="F333" t="inlineStr">
        <is>
          <t>Övriga statliga verk och myndigheter</t>
        </is>
      </c>
      <c r="G333" t="n">
        <v>8.9</v>
      </c>
      <c r="H333" t="n">
        <v>0</v>
      </c>
      <c r="I333" t="n">
        <v>0</v>
      </c>
      <c r="J333" t="n">
        <v>0</v>
      </c>
      <c r="K333" t="n">
        <v>0</v>
      </c>
      <c r="L333" t="n">
        <v>0</v>
      </c>
      <c r="M333" t="n">
        <v>0</v>
      </c>
      <c r="N333" t="n">
        <v>0</v>
      </c>
      <c r="O333" t="n">
        <v>0</v>
      </c>
      <c r="P333" t="n">
        <v>0</v>
      </c>
      <c r="Q333" t="n">
        <v>0</v>
      </c>
      <c r="R333" s="2" t="inlineStr"/>
    </row>
    <row r="334" ht="15" customHeight="1">
      <c r="A334" t="inlineStr">
        <is>
          <t>A 46327-2019</t>
        </is>
      </c>
      <c r="B334" s="1" t="n">
        <v>43718</v>
      </c>
      <c r="C334" s="1" t="n">
        <v>45688</v>
      </c>
      <c r="D334" t="inlineStr">
        <is>
          <t>STOCKHOLMS LÄN</t>
        </is>
      </c>
      <c r="E334" t="inlineStr">
        <is>
          <t>NORRTÄLJE</t>
        </is>
      </c>
      <c r="G334" t="n">
        <v>2.4</v>
      </c>
      <c r="H334" t="n">
        <v>0</v>
      </c>
      <c r="I334" t="n">
        <v>0</v>
      </c>
      <c r="J334" t="n">
        <v>0</v>
      </c>
      <c r="K334" t="n">
        <v>0</v>
      </c>
      <c r="L334" t="n">
        <v>0</v>
      </c>
      <c r="M334" t="n">
        <v>0</v>
      </c>
      <c r="N334" t="n">
        <v>0</v>
      </c>
      <c r="O334" t="n">
        <v>0</v>
      </c>
      <c r="P334" t="n">
        <v>0</v>
      </c>
      <c r="Q334" t="n">
        <v>0</v>
      </c>
      <c r="R334" s="2" t="inlineStr"/>
    </row>
    <row r="335" ht="15" customHeight="1">
      <c r="A335" t="inlineStr">
        <is>
          <t>A 47876-2019</t>
        </is>
      </c>
      <c r="B335" s="1" t="n">
        <v>43725</v>
      </c>
      <c r="C335" s="1" t="n">
        <v>45688</v>
      </c>
      <c r="D335" t="inlineStr">
        <is>
          <t>STOCKHOLMS LÄN</t>
        </is>
      </c>
      <c r="E335" t="inlineStr">
        <is>
          <t>NORRTÄLJE</t>
        </is>
      </c>
      <c r="G335" t="n">
        <v>11.4</v>
      </c>
      <c r="H335" t="n">
        <v>0</v>
      </c>
      <c r="I335" t="n">
        <v>0</v>
      </c>
      <c r="J335" t="n">
        <v>0</v>
      </c>
      <c r="K335" t="n">
        <v>0</v>
      </c>
      <c r="L335" t="n">
        <v>0</v>
      </c>
      <c r="M335" t="n">
        <v>0</v>
      </c>
      <c r="N335" t="n">
        <v>0</v>
      </c>
      <c r="O335" t="n">
        <v>0</v>
      </c>
      <c r="P335" t="n">
        <v>0</v>
      </c>
      <c r="Q335" t="n">
        <v>0</v>
      </c>
      <c r="R335" s="2" t="inlineStr"/>
    </row>
    <row r="336" ht="15" customHeight="1">
      <c r="A336" t="inlineStr">
        <is>
          <t>A 47877-2019</t>
        </is>
      </c>
      <c r="B336" s="1" t="n">
        <v>43725</v>
      </c>
      <c r="C336" s="1" t="n">
        <v>45688</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47903-2019</t>
        </is>
      </c>
      <c r="B337" s="1" t="n">
        <v>43725</v>
      </c>
      <c r="C337" s="1" t="n">
        <v>45688</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47901-2019</t>
        </is>
      </c>
      <c r="B338" s="1" t="n">
        <v>43725</v>
      </c>
      <c r="C338" s="1" t="n">
        <v>45688</v>
      </c>
      <c r="D338" t="inlineStr">
        <is>
          <t>STOCKHOLMS LÄN</t>
        </is>
      </c>
      <c r="E338" t="inlineStr">
        <is>
          <t>NORRTÄLJE</t>
        </is>
      </c>
      <c r="G338" t="n">
        <v>3</v>
      </c>
      <c r="H338" t="n">
        <v>0</v>
      </c>
      <c r="I338" t="n">
        <v>0</v>
      </c>
      <c r="J338" t="n">
        <v>0</v>
      </c>
      <c r="K338" t="n">
        <v>0</v>
      </c>
      <c r="L338" t="n">
        <v>0</v>
      </c>
      <c r="M338" t="n">
        <v>0</v>
      </c>
      <c r="N338" t="n">
        <v>0</v>
      </c>
      <c r="O338" t="n">
        <v>0</v>
      </c>
      <c r="P338" t="n">
        <v>0</v>
      </c>
      <c r="Q338" t="n">
        <v>0</v>
      </c>
      <c r="R338" s="2" t="inlineStr"/>
    </row>
    <row r="339" ht="15" customHeight="1">
      <c r="A339" t="inlineStr">
        <is>
          <t>A 47939-2019</t>
        </is>
      </c>
      <c r="B339" s="1" t="n">
        <v>43725</v>
      </c>
      <c r="C339" s="1" t="n">
        <v>45688</v>
      </c>
      <c r="D339" t="inlineStr">
        <is>
          <t>STOCKHOLMS LÄN</t>
        </is>
      </c>
      <c r="E339" t="inlineStr">
        <is>
          <t>NORRTÄLJE</t>
        </is>
      </c>
      <c r="G339" t="n">
        <v>4.5</v>
      </c>
      <c r="H339" t="n">
        <v>0</v>
      </c>
      <c r="I339" t="n">
        <v>0</v>
      </c>
      <c r="J339" t="n">
        <v>0</v>
      </c>
      <c r="K339" t="n">
        <v>0</v>
      </c>
      <c r="L339" t="n">
        <v>0</v>
      </c>
      <c r="M339" t="n">
        <v>0</v>
      </c>
      <c r="N339" t="n">
        <v>0</v>
      </c>
      <c r="O339" t="n">
        <v>0</v>
      </c>
      <c r="P339" t="n">
        <v>0</v>
      </c>
      <c r="Q339" t="n">
        <v>0</v>
      </c>
      <c r="R339" s="2" t="inlineStr"/>
    </row>
    <row r="340" ht="15" customHeight="1">
      <c r="A340" t="inlineStr">
        <is>
          <t>A 47941-2019</t>
        </is>
      </c>
      <c r="B340" s="1" t="n">
        <v>43725</v>
      </c>
      <c r="C340" s="1" t="n">
        <v>45688</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47879-2019</t>
        </is>
      </c>
      <c r="B341" s="1" t="n">
        <v>43725</v>
      </c>
      <c r="C341" s="1" t="n">
        <v>45688</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48730-2019</t>
        </is>
      </c>
      <c r="B342" s="1" t="n">
        <v>43728</v>
      </c>
      <c r="C342" s="1" t="n">
        <v>45688</v>
      </c>
      <c r="D342" t="inlineStr">
        <is>
          <t>STOCKHOLMS LÄN</t>
        </is>
      </c>
      <c r="E342" t="inlineStr">
        <is>
          <t>NORRTÄLJE</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49252-2019</t>
        </is>
      </c>
      <c r="B343" s="1" t="n">
        <v>43731</v>
      </c>
      <c r="C343" s="1" t="n">
        <v>45688</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51940-2019</t>
        </is>
      </c>
      <c r="B344" s="1" t="n">
        <v>43741</v>
      </c>
      <c r="C344" s="1" t="n">
        <v>45688</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51942-2019</t>
        </is>
      </c>
      <c r="B345" s="1" t="n">
        <v>43741</v>
      </c>
      <c r="C345" s="1" t="n">
        <v>45688</v>
      </c>
      <c r="D345" t="inlineStr">
        <is>
          <t>STOCKHOLMS LÄN</t>
        </is>
      </c>
      <c r="E345" t="inlineStr">
        <is>
          <t>NORRTÄLJE</t>
        </is>
      </c>
      <c r="G345" t="n">
        <v>5.6</v>
      </c>
      <c r="H345" t="n">
        <v>0</v>
      </c>
      <c r="I345" t="n">
        <v>0</v>
      </c>
      <c r="J345" t="n">
        <v>0</v>
      </c>
      <c r="K345" t="n">
        <v>0</v>
      </c>
      <c r="L345" t="n">
        <v>0</v>
      </c>
      <c r="M345" t="n">
        <v>0</v>
      </c>
      <c r="N345" t="n">
        <v>0</v>
      </c>
      <c r="O345" t="n">
        <v>0</v>
      </c>
      <c r="P345" t="n">
        <v>0</v>
      </c>
      <c r="Q345" t="n">
        <v>0</v>
      </c>
      <c r="R345" s="2" t="inlineStr"/>
    </row>
    <row r="346" ht="15" customHeight="1">
      <c r="A346" t="inlineStr">
        <is>
          <t>A 55481-2019</t>
        </is>
      </c>
      <c r="B346" s="1" t="n">
        <v>43759</v>
      </c>
      <c r="C346" s="1" t="n">
        <v>45688</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55891-2019</t>
        </is>
      </c>
      <c r="B347" s="1" t="n">
        <v>43761</v>
      </c>
      <c r="C347" s="1" t="n">
        <v>45688</v>
      </c>
      <c r="D347" t="inlineStr">
        <is>
          <t>STOCKHOLMS LÄN</t>
        </is>
      </c>
      <c r="E347" t="inlineStr">
        <is>
          <t>NORRTÄLJE</t>
        </is>
      </c>
      <c r="G347" t="n">
        <v>7.6</v>
      </c>
      <c r="H347" t="n">
        <v>0</v>
      </c>
      <c r="I347" t="n">
        <v>0</v>
      </c>
      <c r="J347" t="n">
        <v>0</v>
      </c>
      <c r="K347" t="n">
        <v>0</v>
      </c>
      <c r="L347" t="n">
        <v>0</v>
      </c>
      <c r="M347" t="n">
        <v>0</v>
      </c>
      <c r="N347" t="n">
        <v>0</v>
      </c>
      <c r="O347" t="n">
        <v>0</v>
      </c>
      <c r="P347" t="n">
        <v>0</v>
      </c>
      <c r="Q347" t="n">
        <v>0</v>
      </c>
      <c r="R347" s="2" t="inlineStr"/>
    </row>
    <row r="348" ht="15" customHeight="1">
      <c r="A348" t="inlineStr">
        <is>
          <t>A 56349-2019</t>
        </is>
      </c>
      <c r="B348" s="1" t="n">
        <v>43762</v>
      </c>
      <c r="C348" s="1" t="n">
        <v>45688</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57759-2019</t>
        </is>
      </c>
      <c r="B349" s="1" t="n">
        <v>43763</v>
      </c>
      <c r="C349" s="1" t="n">
        <v>45688</v>
      </c>
      <c r="D349" t="inlineStr">
        <is>
          <t>STOCKHOLMS LÄN</t>
        </is>
      </c>
      <c r="E349" t="inlineStr">
        <is>
          <t>NORRTÄLJE</t>
        </is>
      </c>
      <c r="F349" t="inlineStr">
        <is>
          <t>Övriga Aktiebolag</t>
        </is>
      </c>
      <c r="G349" t="n">
        <v>7.3</v>
      </c>
      <c r="H349" t="n">
        <v>0</v>
      </c>
      <c r="I349" t="n">
        <v>0</v>
      </c>
      <c r="J349" t="n">
        <v>0</v>
      </c>
      <c r="K349" t="n">
        <v>0</v>
      </c>
      <c r="L349" t="n">
        <v>0</v>
      </c>
      <c r="M349" t="n">
        <v>0</v>
      </c>
      <c r="N349" t="n">
        <v>0</v>
      </c>
      <c r="O349" t="n">
        <v>0</v>
      </c>
      <c r="P349" t="n">
        <v>0</v>
      </c>
      <c r="Q349" t="n">
        <v>0</v>
      </c>
      <c r="R349" s="2" t="inlineStr"/>
    </row>
    <row r="350" ht="15" customHeight="1">
      <c r="A350" t="inlineStr">
        <is>
          <t>A 57063-2019</t>
        </is>
      </c>
      <c r="B350" s="1" t="n">
        <v>43766</v>
      </c>
      <c r="C350" s="1" t="n">
        <v>45688</v>
      </c>
      <c r="D350" t="inlineStr">
        <is>
          <t>STOCKHOLMS LÄN</t>
        </is>
      </c>
      <c r="E350" t="inlineStr">
        <is>
          <t>NORRTÄLJE</t>
        </is>
      </c>
      <c r="F350" t="inlineStr">
        <is>
          <t>Kyrkan</t>
        </is>
      </c>
      <c r="G350" t="n">
        <v>1.3</v>
      </c>
      <c r="H350" t="n">
        <v>0</v>
      </c>
      <c r="I350" t="n">
        <v>0</v>
      </c>
      <c r="J350" t="n">
        <v>0</v>
      </c>
      <c r="K350" t="n">
        <v>0</v>
      </c>
      <c r="L350" t="n">
        <v>0</v>
      </c>
      <c r="M350" t="n">
        <v>0</v>
      </c>
      <c r="N350" t="n">
        <v>0</v>
      </c>
      <c r="O350" t="n">
        <v>0</v>
      </c>
      <c r="P350" t="n">
        <v>0</v>
      </c>
      <c r="Q350" t="n">
        <v>0</v>
      </c>
      <c r="R350" s="2" t="inlineStr"/>
    </row>
    <row r="351" ht="15" customHeight="1">
      <c r="A351" t="inlineStr">
        <is>
          <t>A 56950-2019</t>
        </is>
      </c>
      <c r="B351" s="1" t="n">
        <v>43766</v>
      </c>
      <c r="C351" s="1" t="n">
        <v>45688</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57605-2019</t>
        </is>
      </c>
      <c r="B352" s="1" t="n">
        <v>43768</v>
      </c>
      <c r="C352" s="1" t="n">
        <v>45688</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58064-2019</t>
        </is>
      </c>
      <c r="B353" s="1" t="n">
        <v>43769</v>
      </c>
      <c r="C353" s="1" t="n">
        <v>45688</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58631-2019</t>
        </is>
      </c>
      <c r="B354" s="1" t="n">
        <v>43773</v>
      </c>
      <c r="C354" s="1" t="n">
        <v>45688</v>
      </c>
      <c r="D354" t="inlineStr">
        <is>
          <t>STOCKHOLMS LÄN</t>
        </is>
      </c>
      <c r="E354" t="inlineStr">
        <is>
          <t>NORRTÄLJE</t>
        </is>
      </c>
      <c r="G354" t="n">
        <v>6</v>
      </c>
      <c r="H354" t="n">
        <v>0</v>
      </c>
      <c r="I354" t="n">
        <v>0</v>
      </c>
      <c r="J354" t="n">
        <v>0</v>
      </c>
      <c r="K354" t="n">
        <v>0</v>
      </c>
      <c r="L354" t="n">
        <v>0</v>
      </c>
      <c r="M354" t="n">
        <v>0</v>
      </c>
      <c r="N354" t="n">
        <v>0</v>
      </c>
      <c r="O354" t="n">
        <v>0</v>
      </c>
      <c r="P354" t="n">
        <v>0</v>
      </c>
      <c r="Q354" t="n">
        <v>0</v>
      </c>
      <c r="R354" s="2" t="inlineStr"/>
    </row>
    <row r="355" ht="15" customHeight="1">
      <c r="A355" t="inlineStr">
        <is>
          <t>A 60214-2019</t>
        </is>
      </c>
      <c r="B355" s="1" t="n">
        <v>43780</v>
      </c>
      <c r="C355" s="1" t="n">
        <v>45688</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60208-2019</t>
        </is>
      </c>
      <c r="B356" s="1" t="n">
        <v>43780</v>
      </c>
      <c r="C356" s="1" t="n">
        <v>45688</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60842-2019</t>
        </is>
      </c>
      <c r="B357" s="1" t="n">
        <v>43781</v>
      </c>
      <c r="C357" s="1" t="n">
        <v>45688</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60844-2019</t>
        </is>
      </c>
      <c r="B358" s="1" t="n">
        <v>43781</v>
      </c>
      <c r="C358" s="1" t="n">
        <v>45688</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61657-2019</t>
        </is>
      </c>
      <c r="B359" s="1" t="n">
        <v>43784</v>
      </c>
      <c r="C359" s="1" t="n">
        <v>45688</v>
      </c>
      <c r="D359" t="inlineStr">
        <is>
          <t>STOCKHOLMS LÄN</t>
        </is>
      </c>
      <c r="E359" t="inlineStr">
        <is>
          <t>NORRTÄLJE</t>
        </is>
      </c>
      <c r="G359" t="n">
        <v>5</v>
      </c>
      <c r="H359" t="n">
        <v>0</v>
      </c>
      <c r="I359" t="n">
        <v>0</v>
      </c>
      <c r="J359" t="n">
        <v>0</v>
      </c>
      <c r="K359" t="n">
        <v>0</v>
      </c>
      <c r="L359" t="n">
        <v>0</v>
      </c>
      <c r="M359" t="n">
        <v>0</v>
      </c>
      <c r="N359" t="n">
        <v>0</v>
      </c>
      <c r="O359" t="n">
        <v>0</v>
      </c>
      <c r="P359" t="n">
        <v>0</v>
      </c>
      <c r="Q359" t="n">
        <v>0</v>
      </c>
      <c r="R359" s="2" t="inlineStr"/>
    </row>
    <row r="360" ht="15" customHeight="1">
      <c r="A360" t="inlineStr">
        <is>
          <t>A 62980-2019</t>
        </is>
      </c>
      <c r="B360" s="1" t="n">
        <v>43790</v>
      </c>
      <c r="C360" s="1" t="n">
        <v>45688</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63513-2019</t>
        </is>
      </c>
      <c r="B361" s="1" t="n">
        <v>43794</v>
      </c>
      <c r="C361" s="1" t="n">
        <v>45688</v>
      </c>
      <c r="D361" t="inlineStr">
        <is>
          <t>STOCKHOLMS LÄN</t>
        </is>
      </c>
      <c r="E361" t="inlineStr">
        <is>
          <t>NORRTÄLJE</t>
        </is>
      </c>
      <c r="G361" t="n">
        <v>9</v>
      </c>
      <c r="H361" t="n">
        <v>0</v>
      </c>
      <c r="I361" t="n">
        <v>0</v>
      </c>
      <c r="J361" t="n">
        <v>0</v>
      </c>
      <c r="K361" t="n">
        <v>0</v>
      </c>
      <c r="L361" t="n">
        <v>0</v>
      </c>
      <c r="M361" t="n">
        <v>0</v>
      </c>
      <c r="N361" t="n">
        <v>0</v>
      </c>
      <c r="O361" t="n">
        <v>0</v>
      </c>
      <c r="P361" t="n">
        <v>0</v>
      </c>
      <c r="Q361" t="n">
        <v>0</v>
      </c>
      <c r="R361" s="2" t="inlineStr"/>
    </row>
    <row r="362" ht="15" customHeight="1">
      <c r="A362" t="inlineStr">
        <is>
          <t>A 63529-2019</t>
        </is>
      </c>
      <c r="B362" s="1" t="n">
        <v>43794</v>
      </c>
      <c r="C362" s="1" t="n">
        <v>45688</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63495-2019</t>
        </is>
      </c>
      <c r="B363" s="1" t="n">
        <v>43794</v>
      </c>
      <c r="C363" s="1" t="n">
        <v>45688</v>
      </c>
      <c r="D363" t="inlineStr">
        <is>
          <t>STOCKHOLMS LÄN</t>
        </is>
      </c>
      <c r="E363" t="inlineStr">
        <is>
          <t>NORRTÄLJE</t>
        </is>
      </c>
      <c r="G363" t="n">
        <v>1.8</v>
      </c>
      <c r="H363" t="n">
        <v>0</v>
      </c>
      <c r="I363" t="n">
        <v>0</v>
      </c>
      <c r="J363" t="n">
        <v>0</v>
      </c>
      <c r="K363" t="n">
        <v>0</v>
      </c>
      <c r="L363" t="n">
        <v>0</v>
      </c>
      <c r="M363" t="n">
        <v>0</v>
      </c>
      <c r="N363" t="n">
        <v>0</v>
      </c>
      <c r="O363" t="n">
        <v>0</v>
      </c>
      <c r="P363" t="n">
        <v>0</v>
      </c>
      <c r="Q363" t="n">
        <v>0</v>
      </c>
      <c r="R363" s="2" t="inlineStr"/>
    </row>
    <row r="364" ht="15" customHeight="1">
      <c r="A364" t="inlineStr">
        <is>
          <t>A 63504-2019</t>
        </is>
      </c>
      <c r="B364" s="1" t="n">
        <v>43794</v>
      </c>
      <c r="C364" s="1" t="n">
        <v>45688</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63528-2019</t>
        </is>
      </c>
      <c r="B365" s="1" t="n">
        <v>43794</v>
      </c>
      <c r="C365" s="1" t="n">
        <v>45688</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63515-2019</t>
        </is>
      </c>
      <c r="B366" s="1" t="n">
        <v>43794</v>
      </c>
      <c r="C366" s="1" t="n">
        <v>45688</v>
      </c>
      <c r="D366" t="inlineStr">
        <is>
          <t>STOCKHOLMS LÄN</t>
        </is>
      </c>
      <c r="E366" t="inlineStr">
        <is>
          <t>NORRTÄLJE</t>
        </is>
      </c>
      <c r="G366" t="n">
        <v>7.1</v>
      </c>
      <c r="H366" t="n">
        <v>0</v>
      </c>
      <c r="I366" t="n">
        <v>0</v>
      </c>
      <c r="J366" t="n">
        <v>0</v>
      </c>
      <c r="K366" t="n">
        <v>0</v>
      </c>
      <c r="L366" t="n">
        <v>0</v>
      </c>
      <c r="M366" t="n">
        <v>0</v>
      </c>
      <c r="N366" t="n">
        <v>0</v>
      </c>
      <c r="O366" t="n">
        <v>0</v>
      </c>
      <c r="P366" t="n">
        <v>0</v>
      </c>
      <c r="Q366" t="n">
        <v>0</v>
      </c>
      <c r="R366" s="2" t="inlineStr"/>
    </row>
    <row r="367" ht="15" customHeight="1">
      <c r="A367" t="inlineStr">
        <is>
          <t>A 64293-2019</t>
        </is>
      </c>
      <c r="B367" s="1" t="n">
        <v>43797</v>
      </c>
      <c r="C367" s="1" t="n">
        <v>45688</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65640-2019</t>
        </is>
      </c>
      <c r="B368" s="1" t="n">
        <v>43804</v>
      </c>
      <c r="C368" s="1" t="n">
        <v>45688</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65998-2019</t>
        </is>
      </c>
      <c r="B369" s="1" t="n">
        <v>43805</v>
      </c>
      <c r="C369" s="1" t="n">
        <v>45688</v>
      </c>
      <c r="D369" t="inlineStr">
        <is>
          <t>STOCKHOLMS LÄN</t>
        </is>
      </c>
      <c r="E369" t="inlineStr">
        <is>
          <t>NORRTÄLJE</t>
        </is>
      </c>
      <c r="G369" t="n">
        <v>6.5</v>
      </c>
      <c r="H369" t="n">
        <v>0</v>
      </c>
      <c r="I369" t="n">
        <v>0</v>
      </c>
      <c r="J369" t="n">
        <v>0</v>
      </c>
      <c r="K369" t="n">
        <v>0</v>
      </c>
      <c r="L369" t="n">
        <v>0</v>
      </c>
      <c r="M369" t="n">
        <v>0</v>
      </c>
      <c r="N369" t="n">
        <v>0</v>
      </c>
      <c r="O369" t="n">
        <v>0</v>
      </c>
      <c r="P369" t="n">
        <v>0</v>
      </c>
      <c r="Q369" t="n">
        <v>0</v>
      </c>
      <c r="R369" s="2" t="inlineStr"/>
    </row>
    <row r="370" ht="15" customHeight="1">
      <c r="A370" t="inlineStr">
        <is>
          <t>A 66604-2019</t>
        </is>
      </c>
      <c r="B370" s="1" t="n">
        <v>43809</v>
      </c>
      <c r="C370" s="1" t="n">
        <v>45688</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67158-2019</t>
        </is>
      </c>
      <c r="B371" s="1" t="n">
        <v>43811</v>
      </c>
      <c r="C371" s="1" t="n">
        <v>45688</v>
      </c>
      <c r="D371" t="inlineStr">
        <is>
          <t>STOCKHOLMS LÄN</t>
        </is>
      </c>
      <c r="E371" t="inlineStr">
        <is>
          <t>NORRTÄLJE</t>
        </is>
      </c>
      <c r="G371" t="n">
        <v>4.4</v>
      </c>
      <c r="H371" t="n">
        <v>0</v>
      </c>
      <c r="I371" t="n">
        <v>0</v>
      </c>
      <c r="J371" t="n">
        <v>0</v>
      </c>
      <c r="K371" t="n">
        <v>0</v>
      </c>
      <c r="L371" t="n">
        <v>0</v>
      </c>
      <c r="M371" t="n">
        <v>0</v>
      </c>
      <c r="N371" t="n">
        <v>0</v>
      </c>
      <c r="O371" t="n">
        <v>0</v>
      </c>
      <c r="P371" t="n">
        <v>0</v>
      </c>
      <c r="Q371" t="n">
        <v>0</v>
      </c>
      <c r="R371" s="2" t="inlineStr"/>
    </row>
    <row r="372" ht="15" customHeight="1">
      <c r="A372" t="inlineStr">
        <is>
          <t>A 67324-2019</t>
        </is>
      </c>
      <c r="B372" s="1" t="n">
        <v>43812</v>
      </c>
      <c r="C372" s="1" t="n">
        <v>45688</v>
      </c>
      <c r="D372" t="inlineStr">
        <is>
          <t>STOCKHOLMS LÄN</t>
        </is>
      </c>
      <c r="E372" t="inlineStr">
        <is>
          <t>NORRTÄLJE</t>
        </is>
      </c>
      <c r="G372" t="n">
        <v>7.7</v>
      </c>
      <c r="H372" t="n">
        <v>0</v>
      </c>
      <c r="I372" t="n">
        <v>0</v>
      </c>
      <c r="J372" t="n">
        <v>0</v>
      </c>
      <c r="K372" t="n">
        <v>0</v>
      </c>
      <c r="L372" t="n">
        <v>0</v>
      </c>
      <c r="M372" t="n">
        <v>0</v>
      </c>
      <c r="N372" t="n">
        <v>0</v>
      </c>
      <c r="O372" t="n">
        <v>0</v>
      </c>
      <c r="P372" t="n">
        <v>0</v>
      </c>
      <c r="Q372" t="n">
        <v>0</v>
      </c>
      <c r="R372" s="2" t="inlineStr"/>
    </row>
    <row r="373" ht="15" customHeight="1">
      <c r="A373" t="inlineStr">
        <is>
          <t>A 68865-2019</t>
        </is>
      </c>
      <c r="B373" s="1" t="n">
        <v>43821</v>
      </c>
      <c r="C373" s="1" t="n">
        <v>45688</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1099-2020</t>
        </is>
      </c>
      <c r="B374" s="1" t="n">
        <v>43822</v>
      </c>
      <c r="C374" s="1" t="n">
        <v>45688</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4475-2020</t>
        </is>
      </c>
      <c r="B375" s="1" t="n">
        <v>43849</v>
      </c>
      <c r="C375" s="1" t="n">
        <v>45688</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3882-2020</t>
        </is>
      </c>
      <c r="B376" s="1" t="n">
        <v>43854</v>
      </c>
      <c r="C376" s="1" t="n">
        <v>45688</v>
      </c>
      <c r="D376" t="inlineStr">
        <is>
          <t>STOCKHOLMS LÄN</t>
        </is>
      </c>
      <c r="E376" t="inlineStr">
        <is>
          <t>NORRTÄLJE</t>
        </is>
      </c>
      <c r="G376" t="n">
        <v>5.9</v>
      </c>
      <c r="H376" t="n">
        <v>0</v>
      </c>
      <c r="I376" t="n">
        <v>0</v>
      </c>
      <c r="J376" t="n">
        <v>0</v>
      </c>
      <c r="K376" t="n">
        <v>0</v>
      </c>
      <c r="L376" t="n">
        <v>0</v>
      </c>
      <c r="M376" t="n">
        <v>0</v>
      </c>
      <c r="N376" t="n">
        <v>0</v>
      </c>
      <c r="O376" t="n">
        <v>0</v>
      </c>
      <c r="P376" t="n">
        <v>0</v>
      </c>
      <c r="Q376" t="n">
        <v>0</v>
      </c>
      <c r="R376" s="2" t="inlineStr"/>
    </row>
    <row r="377" ht="15" customHeight="1">
      <c r="A377" t="inlineStr">
        <is>
          <t>A 4094-2020</t>
        </is>
      </c>
      <c r="B377" s="1" t="n">
        <v>43857</v>
      </c>
      <c r="C377" s="1" t="n">
        <v>45688</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4950-2020</t>
        </is>
      </c>
      <c r="B378" s="1" t="n">
        <v>43859</v>
      </c>
      <c r="C378" s="1" t="n">
        <v>45688</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5084-2020</t>
        </is>
      </c>
      <c r="B379" s="1" t="n">
        <v>43859</v>
      </c>
      <c r="C379" s="1" t="n">
        <v>45688</v>
      </c>
      <c r="D379" t="inlineStr">
        <is>
          <t>STOCKHOLMS LÄN</t>
        </is>
      </c>
      <c r="E379" t="inlineStr">
        <is>
          <t>NORRTÄLJE</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4952-2020</t>
        </is>
      </c>
      <c r="B380" s="1" t="n">
        <v>43859</v>
      </c>
      <c r="C380" s="1" t="n">
        <v>45688</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5735-2020</t>
        </is>
      </c>
      <c r="B381" s="1" t="n">
        <v>43863</v>
      </c>
      <c r="C381" s="1" t="n">
        <v>45688</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5733-2020</t>
        </is>
      </c>
      <c r="B382" s="1" t="n">
        <v>43863</v>
      </c>
      <c r="C382" s="1" t="n">
        <v>45688</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5739-2020</t>
        </is>
      </c>
      <c r="B383" s="1" t="n">
        <v>43863</v>
      </c>
      <c r="C383" s="1" t="n">
        <v>45688</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7471-2020</t>
        </is>
      </c>
      <c r="B384" s="1" t="n">
        <v>43871</v>
      </c>
      <c r="C384" s="1" t="n">
        <v>45688</v>
      </c>
      <c r="D384" t="inlineStr">
        <is>
          <t>STOCKHOLMS LÄN</t>
        </is>
      </c>
      <c r="E384" t="inlineStr">
        <is>
          <t>NORRTÄLJE</t>
        </is>
      </c>
      <c r="G384" t="n">
        <v>7.8</v>
      </c>
      <c r="H384" t="n">
        <v>0</v>
      </c>
      <c r="I384" t="n">
        <v>0</v>
      </c>
      <c r="J384" t="n">
        <v>0</v>
      </c>
      <c r="K384" t="n">
        <v>0</v>
      </c>
      <c r="L384" t="n">
        <v>0</v>
      </c>
      <c r="M384" t="n">
        <v>0</v>
      </c>
      <c r="N384" t="n">
        <v>0</v>
      </c>
      <c r="O384" t="n">
        <v>0</v>
      </c>
      <c r="P384" t="n">
        <v>0</v>
      </c>
      <c r="Q384" t="n">
        <v>0</v>
      </c>
      <c r="R384" s="2" t="inlineStr"/>
    </row>
    <row r="385" ht="15" customHeight="1">
      <c r="A385" t="inlineStr">
        <is>
          <t>A 9845-2020</t>
        </is>
      </c>
      <c r="B385" s="1" t="n">
        <v>43881</v>
      </c>
      <c r="C385" s="1" t="n">
        <v>45688</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10618-2020</t>
        </is>
      </c>
      <c r="B386" s="1" t="n">
        <v>43887</v>
      </c>
      <c r="C386" s="1" t="n">
        <v>45688</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11184-2020</t>
        </is>
      </c>
      <c r="B387" s="1" t="n">
        <v>43892</v>
      </c>
      <c r="C387" s="1" t="n">
        <v>45688</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11576-2020</t>
        </is>
      </c>
      <c r="B388" s="1" t="n">
        <v>43893</v>
      </c>
      <c r="C388" s="1" t="n">
        <v>45688</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12113-2020</t>
        </is>
      </c>
      <c r="B389" s="1" t="n">
        <v>43895</v>
      </c>
      <c r="C389" s="1" t="n">
        <v>45688</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12970-2020</t>
        </is>
      </c>
      <c r="B390" s="1" t="n">
        <v>43900</v>
      </c>
      <c r="C390" s="1" t="n">
        <v>45688</v>
      </c>
      <c r="D390" t="inlineStr">
        <is>
          <t>STOCKHOLMS LÄN</t>
        </is>
      </c>
      <c r="E390" t="inlineStr">
        <is>
          <t>NORRTÄLJE</t>
        </is>
      </c>
      <c r="F390" t="inlineStr">
        <is>
          <t>Kommuner</t>
        </is>
      </c>
      <c r="G390" t="n">
        <v>3</v>
      </c>
      <c r="H390" t="n">
        <v>0</v>
      </c>
      <c r="I390" t="n">
        <v>0</v>
      </c>
      <c r="J390" t="n">
        <v>0</v>
      </c>
      <c r="K390" t="n">
        <v>0</v>
      </c>
      <c r="L390" t="n">
        <v>0</v>
      </c>
      <c r="M390" t="n">
        <v>0</v>
      </c>
      <c r="N390" t="n">
        <v>0</v>
      </c>
      <c r="O390" t="n">
        <v>0</v>
      </c>
      <c r="P390" t="n">
        <v>0</v>
      </c>
      <c r="Q390" t="n">
        <v>0</v>
      </c>
      <c r="R390" s="2" t="inlineStr"/>
    </row>
    <row r="391" ht="15" customHeight="1">
      <c r="A391" t="inlineStr">
        <is>
          <t>A 13230-2020</t>
        </is>
      </c>
      <c r="B391" s="1" t="n">
        <v>43901</v>
      </c>
      <c r="C391" s="1" t="n">
        <v>45688</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13287-2020</t>
        </is>
      </c>
      <c r="B392" s="1" t="n">
        <v>43901</v>
      </c>
      <c r="C392" s="1" t="n">
        <v>45688</v>
      </c>
      <c r="D392" t="inlineStr">
        <is>
          <t>STOCKHOLMS LÄN</t>
        </is>
      </c>
      <c r="E392" t="inlineStr">
        <is>
          <t>NORRTÄLJE</t>
        </is>
      </c>
      <c r="F392" t="inlineStr">
        <is>
          <t>Kommuner</t>
        </is>
      </c>
      <c r="G392" t="n">
        <v>3.2</v>
      </c>
      <c r="H392" t="n">
        <v>0</v>
      </c>
      <c r="I392" t="n">
        <v>0</v>
      </c>
      <c r="J392" t="n">
        <v>0</v>
      </c>
      <c r="K392" t="n">
        <v>0</v>
      </c>
      <c r="L392" t="n">
        <v>0</v>
      </c>
      <c r="M392" t="n">
        <v>0</v>
      </c>
      <c r="N392" t="n">
        <v>0</v>
      </c>
      <c r="O392" t="n">
        <v>0</v>
      </c>
      <c r="P392" t="n">
        <v>0</v>
      </c>
      <c r="Q392" t="n">
        <v>0</v>
      </c>
      <c r="R392" s="2" t="inlineStr"/>
    </row>
    <row r="393" ht="15" customHeight="1">
      <c r="A393" t="inlineStr">
        <is>
          <t>A 13281-2020</t>
        </is>
      </c>
      <c r="B393" s="1" t="n">
        <v>43901</v>
      </c>
      <c r="C393" s="1" t="n">
        <v>45688</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13501-2020</t>
        </is>
      </c>
      <c r="B394" s="1" t="n">
        <v>43902</v>
      </c>
      <c r="C394" s="1" t="n">
        <v>45688</v>
      </c>
      <c r="D394" t="inlineStr">
        <is>
          <t>STOCKHOLMS LÄN</t>
        </is>
      </c>
      <c r="E394" t="inlineStr">
        <is>
          <t>NORRTÄLJE</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13506-2020</t>
        </is>
      </c>
      <c r="B395" s="1" t="n">
        <v>43902</v>
      </c>
      <c r="C395" s="1" t="n">
        <v>45688</v>
      </c>
      <c r="D395" t="inlineStr">
        <is>
          <t>STOCKHOLMS LÄN</t>
        </is>
      </c>
      <c r="E395" t="inlineStr">
        <is>
          <t>NORRTÄLJE</t>
        </is>
      </c>
      <c r="G395" t="n">
        <v>5.7</v>
      </c>
      <c r="H395" t="n">
        <v>0</v>
      </c>
      <c r="I395" t="n">
        <v>0</v>
      </c>
      <c r="J395" t="n">
        <v>0</v>
      </c>
      <c r="K395" t="n">
        <v>0</v>
      </c>
      <c r="L395" t="n">
        <v>0</v>
      </c>
      <c r="M395" t="n">
        <v>0</v>
      </c>
      <c r="N395" t="n">
        <v>0</v>
      </c>
      <c r="O395" t="n">
        <v>0</v>
      </c>
      <c r="P395" t="n">
        <v>0</v>
      </c>
      <c r="Q395" t="n">
        <v>0</v>
      </c>
      <c r="R395" s="2" t="inlineStr"/>
    </row>
    <row r="396" ht="15" customHeight="1">
      <c r="A396" t="inlineStr">
        <is>
          <t>A 14525-2020</t>
        </is>
      </c>
      <c r="B396" s="1" t="n">
        <v>43908</v>
      </c>
      <c r="C396" s="1" t="n">
        <v>45688</v>
      </c>
      <c r="D396" t="inlineStr">
        <is>
          <t>STOCKHOLMS LÄN</t>
        </is>
      </c>
      <c r="E396" t="inlineStr">
        <is>
          <t>NORRTÄLJE</t>
        </is>
      </c>
      <c r="G396" t="n">
        <v>10.2</v>
      </c>
      <c r="H396" t="n">
        <v>0</v>
      </c>
      <c r="I396" t="n">
        <v>0</v>
      </c>
      <c r="J396" t="n">
        <v>0</v>
      </c>
      <c r="K396" t="n">
        <v>0</v>
      </c>
      <c r="L396" t="n">
        <v>0</v>
      </c>
      <c r="M396" t="n">
        <v>0</v>
      </c>
      <c r="N396" t="n">
        <v>0</v>
      </c>
      <c r="O396" t="n">
        <v>0</v>
      </c>
      <c r="P396" t="n">
        <v>0</v>
      </c>
      <c r="Q396" t="n">
        <v>0</v>
      </c>
      <c r="R396" s="2" t="inlineStr"/>
    </row>
    <row r="397" ht="15" customHeight="1">
      <c r="A397" t="inlineStr">
        <is>
          <t>A 14831-2020</t>
        </is>
      </c>
      <c r="B397" s="1" t="n">
        <v>43909</v>
      </c>
      <c r="C397" s="1" t="n">
        <v>45688</v>
      </c>
      <c r="D397" t="inlineStr">
        <is>
          <t>STOCKHOLMS LÄN</t>
        </is>
      </c>
      <c r="E397" t="inlineStr">
        <is>
          <t>NORRTÄLJE</t>
        </is>
      </c>
      <c r="G397" t="n">
        <v>11.4</v>
      </c>
      <c r="H397" t="n">
        <v>0</v>
      </c>
      <c r="I397" t="n">
        <v>0</v>
      </c>
      <c r="J397" t="n">
        <v>0</v>
      </c>
      <c r="K397" t="n">
        <v>0</v>
      </c>
      <c r="L397" t="n">
        <v>0</v>
      </c>
      <c r="M397" t="n">
        <v>0</v>
      </c>
      <c r="N397" t="n">
        <v>0</v>
      </c>
      <c r="O397" t="n">
        <v>0</v>
      </c>
      <c r="P397" t="n">
        <v>0</v>
      </c>
      <c r="Q397" t="n">
        <v>0</v>
      </c>
      <c r="R397" s="2" t="inlineStr"/>
    </row>
    <row r="398" ht="15" customHeight="1">
      <c r="A398" t="inlineStr">
        <is>
          <t>A 15663-2020</t>
        </is>
      </c>
      <c r="B398" s="1" t="n">
        <v>43915</v>
      </c>
      <c r="C398" s="1" t="n">
        <v>45688</v>
      </c>
      <c r="D398" t="inlineStr">
        <is>
          <t>STOCKHOLMS LÄN</t>
        </is>
      </c>
      <c r="E398" t="inlineStr">
        <is>
          <t>NORRTÄLJE</t>
        </is>
      </c>
      <c r="G398" t="n">
        <v>11.1</v>
      </c>
      <c r="H398" t="n">
        <v>0</v>
      </c>
      <c r="I398" t="n">
        <v>0</v>
      </c>
      <c r="J398" t="n">
        <v>0</v>
      </c>
      <c r="K398" t="n">
        <v>0</v>
      </c>
      <c r="L398" t="n">
        <v>0</v>
      </c>
      <c r="M398" t="n">
        <v>0</v>
      </c>
      <c r="N398" t="n">
        <v>0</v>
      </c>
      <c r="O398" t="n">
        <v>0</v>
      </c>
      <c r="P398" t="n">
        <v>0</v>
      </c>
      <c r="Q398" t="n">
        <v>0</v>
      </c>
      <c r="R398" s="2" t="inlineStr"/>
    </row>
    <row r="399" ht="15" customHeight="1">
      <c r="A399" t="inlineStr">
        <is>
          <t>A 16273-2020</t>
        </is>
      </c>
      <c r="B399" s="1" t="n">
        <v>43917</v>
      </c>
      <c r="C399" s="1" t="n">
        <v>45688</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17965-2020</t>
        </is>
      </c>
      <c r="B400" s="1" t="n">
        <v>43925</v>
      </c>
      <c r="C400" s="1" t="n">
        <v>45688</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19258-2020</t>
        </is>
      </c>
      <c r="B401" s="1" t="n">
        <v>43937</v>
      </c>
      <c r="C401" s="1" t="n">
        <v>45688</v>
      </c>
      <c r="D401" t="inlineStr">
        <is>
          <t>STOCKHOLMS LÄN</t>
        </is>
      </c>
      <c r="E401" t="inlineStr">
        <is>
          <t>NORRTÄLJE</t>
        </is>
      </c>
      <c r="F401" t="inlineStr">
        <is>
          <t>Övriga statliga verk och myndigheter</t>
        </is>
      </c>
      <c r="G401" t="n">
        <v>2.9</v>
      </c>
      <c r="H401" t="n">
        <v>0</v>
      </c>
      <c r="I401" t="n">
        <v>0</v>
      </c>
      <c r="J401" t="n">
        <v>0</v>
      </c>
      <c r="K401" t="n">
        <v>0</v>
      </c>
      <c r="L401" t="n">
        <v>0</v>
      </c>
      <c r="M401" t="n">
        <v>0</v>
      </c>
      <c r="N401" t="n">
        <v>0</v>
      </c>
      <c r="O401" t="n">
        <v>0</v>
      </c>
      <c r="P401" t="n">
        <v>0</v>
      </c>
      <c r="Q401" t="n">
        <v>0</v>
      </c>
      <c r="R401" s="2" t="inlineStr"/>
    </row>
    <row r="402" ht="15" customHeight="1">
      <c r="A402" t="inlineStr">
        <is>
          <t>A 20257-2020</t>
        </is>
      </c>
      <c r="B402" s="1" t="n">
        <v>43944</v>
      </c>
      <c r="C402" s="1" t="n">
        <v>45688</v>
      </c>
      <c r="D402" t="inlineStr">
        <is>
          <t>STOCKHOLMS LÄN</t>
        </is>
      </c>
      <c r="E402" t="inlineStr">
        <is>
          <t>NORRTÄLJE</t>
        </is>
      </c>
      <c r="G402" t="n">
        <v>80.09999999999999</v>
      </c>
      <c r="H402" t="n">
        <v>0</v>
      </c>
      <c r="I402" t="n">
        <v>0</v>
      </c>
      <c r="J402" t="n">
        <v>0</v>
      </c>
      <c r="K402" t="n">
        <v>0</v>
      </c>
      <c r="L402" t="n">
        <v>0</v>
      </c>
      <c r="M402" t="n">
        <v>0</v>
      </c>
      <c r="N402" t="n">
        <v>0</v>
      </c>
      <c r="O402" t="n">
        <v>0</v>
      </c>
      <c r="P402" t="n">
        <v>0</v>
      </c>
      <c r="Q402" t="n">
        <v>0</v>
      </c>
      <c r="R402" s="2" t="inlineStr"/>
    </row>
    <row r="403" ht="15" customHeight="1">
      <c r="A403" t="inlineStr">
        <is>
          <t>A 21849-2020</t>
        </is>
      </c>
      <c r="B403" s="1" t="n">
        <v>43958</v>
      </c>
      <c r="C403" s="1" t="n">
        <v>45688</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21875-2020</t>
        </is>
      </c>
      <c r="B404" s="1" t="n">
        <v>43958</v>
      </c>
      <c r="C404" s="1" t="n">
        <v>45688</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23751-2020</t>
        </is>
      </c>
      <c r="B405" s="1" t="n">
        <v>43970</v>
      </c>
      <c r="C405" s="1" t="n">
        <v>45688</v>
      </c>
      <c r="D405" t="inlineStr">
        <is>
          <t>STOCKHOLMS LÄN</t>
        </is>
      </c>
      <c r="E405" t="inlineStr">
        <is>
          <t>NORRTÄLJE</t>
        </is>
      </c>
      <c r="G405" t="n">
        <v>5.6</v>
      </c>
      <c r="H405" t="n">
        <v>0</v>
      </c>
      <c r="I405" t="n">
        <v>0</v>
      </c>
      <c r="J405" t="n">
        <v>0</v>
      </c>
      <c r="K405" t="n">
        <v>0</v>
      </c>
      <c r="L405" t="n">
        <v>0</v>
      </c>
      <c r="M405" t="n">
        <v>0</v>
      </c>
      <c r="N405" t="n">
        <v>0</v>
      </c>
      <c r="O405" t="n">
        <v>0</v>
      </c>
      <c r="P405" t="n">
        <v>0</v>
      </c>
      <c r="Q405" t="n">
        <v>0</v>
      </c>
      <c r="R405" s="2" t="inlineStr"/>
    </row>
    <row r="406" ht="15" customHeight="1">
      <c r="A406" t="inlineStr">
        <is>
          <t>A 24136-2020</t>
        </is>
      </c>
      <c r="B406" s="1" t="n">
        <v>43973</v>
      </c>
      <c r="C406" s="1" t="n">
        <v>45688</v>
      </c>
      <c r="D406" t="inlineStr">
        <is>
          <t>STOCKHOLMS LÄN</t>
        </is>
      </c>
      <c r="E406" t="inlineStr">
        <is>
          <t>NORRTÄLJE</t>
        </is>
      </c>
      <c r="G406" t="n">
        <v>4.1</v>
      </c>
      <c r="H406" t="n">
        <v>0</v>
      </c>
      <c r="I406" t="n">
        <v>0</v>
      </c>
      <c r="J406" t="n">
        <v>0</v>
      </c>
      <c r="K406" t="n">
        <v>0</v>
      </c>
      <c r="L406" t="n">
        <v>0</v>
      </c>
      <c r="M406" t="n">
        <v>0</v>
      </c>
      <c r="N406" t="n">
        <v>0</v>
      </c>
      <c r="O406" t="n">
        <v>0</v>
      </c>
      <c r="P406" t="n">
        <v>0</v>
      </c>
      <c r="Q406" t="n">
        <v>0</v>
      </c>
      <c r="R406" s="2" t="inlineStr"/>
    </row>
    <row r="407" ht="15" customHeight="1">
      <c r="A407" t="inlineStr">
        <is>
          <t>A 25584-2020</t>
        </is>
      </c>
      <c r="B407" s="1" t="n">
        <v>43983</v>
      </c>
      <c r="C407" s="1" t="n">
        <v>45688</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25589-2020</t>
        </is>
      </c>
      <c r="B408" s="1" t="n">
        <v>43983</v>
      </c>
      <c r="C408" s="1" t="n">
        <v>45688</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25897-2020</t>
        </is>
      </c>
      <c r="B409" s="1" t="n">
        <v>43984</v>
      </c>
      <c r="C409" s="1" t="n">
        <v>45688</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30600-2020</t>
        </is>
      </c>
      <c r="B410" s="1" t="n">
        <v>44008</v>
      </c>
      <c r="C410" s="1" t="n">
        <v>45688</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31783-2020</t>
        </is>
      </c>
      <c r="B411" s="1" t="n">
        <v>44014</v>
      </c>
      <c r="C411" s="1" t="n">
        <v>45688</v>
      </c>
      <c r="D411" t="inlineStr">
        <is>
          <t>STOCKHOLMS LÄN</t>
        </is>
      </c>
      <c r="E411" t="inlineStr">
        <is>
          <t>NORRTÄLJE</t>
        </is>
      </c>
      <c r="G411" t="n">
        <v>4.8</v>
      </c>
      <c r="H411" t="n">
        <v>0</v>
      </c>
      <c r="I411" t="n">
        <v>0</v>
      </c>
      <c r="J411" t="n">
        <v>0</v>
      </c>
      <c r="K411" t="n">
        <v>0</v>
      </c>
      <c r="L411" t="n">
        <v>0</v>
      </c>
      <c r="M411" t="n">
        <v>0</v>
      </c>
      <c r="N411" t="n">
        <v>0</v>
      </c>
      <c r="O411" t="n">
        <v>0</v>
      </c>
      <c r="P411" t="n">
        <v>0</v>
      </c>
      <c r="Q411" t="n">
        <v>0</v>
      </c>
      <c r="R411" s="2" t="inlineStr"/>
    </row>
    <row r="412" ht="15" customHeight="1">
      <c r="A412" t="inlineStr">
        <is>
          <t>A 33749-2020</t>
        </is>
      </c>
      <c r="B412" s="1" t="n">
        <v>44026</v>
      </c>
      <c r="C412" s="1" t="n">
        <v>45688</v>
      </c>
      <c r="D412" t="inlineStr">
        <is>
          <t>STOCKHOLMS LÄN</t>
        </is>
      </c>
      <c r="E412" t="inlineStr">
        <is>
          <t>NORRTÄLJE</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34651-2020</t>
        </is>
      </c>
      <c r="B413" s="1" t="n">
        <v>44034</v>
      </c>
      <c r="C413" s="1" t="n">
        <v>45688</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34650-2020</t>
        </is>
      </c>
      <c r="B414" s="1" t="n">
        <v>44034</v>
      </c>
      <c r="C414" s="1" t="n">
        <v>45688</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36314-2020</t>
        </is>
      </c>
      <c r="B415" s="1" t="n">
        <v>44049</v>
      </c>
      <c r="C415" s="1" t="n">
        <v>45688</v>
      </c>
      <c r="D415" t="inlineStr">
        <is>
          <t>STOCKHOLMS LÄN</t>
        </is>
      </c>
      <c r="E415" t="inlineStr">
        <is>
          <t>NORRTÄLJE</t>
        </is>
      </c>
      <c r="G415" t="n">
        <v>5</v>
      </c>
      <c r="H415" t="n">
        <v>0</v>
      </c>
      <c r="I415" t="n">
        <v>0</v>
      </c>
      <c r="J415" t="n">
        <v>0</v>
      </c>
      <c r="K415" t="n">
        <v>0</v>
      </c>
      <c r="L415" t="n">
        <v>0</v>
      </c>
      <c r="M415" t="n">
        <v>0</v>
      </c>
      <c r="N415" t="n">
        <v>0</v>
      </c>
      <c r="O415" t="n">
        <v>0</v>
      </c>
      <c r="P415" t="n">
        <v>0</v>
      </c>
      <c r="Q415" t="n">
        <v>0</v>
      </c>
      <c r="R415" s="2" t="inlineStr"/>
    </row>
    <row r="416" ht="15" customHeight="1">
      <c r="A416" t="inlineStr">
        <is>
          <t>A 36359-2020</t>
        </is>
      </c>
      <c r="B416" s="1" t="n">
        <v>44049</v>
      </c>
      <c r="C416" s="1" t="n">
        <v>45688</v>
      </c>
      <c r="D416" t="inlineStr">
        <is>
          <t>STOCKHOLMS LÄN</t>
        </is>
      </c>
      <c r="E416" t="inlineStr">
        <is>
          <t>NORRTÄLJE</t>
        </is>
      </c>
      <c r="G416" t="n">
        <v>6.5</v>
      </c>
      <c r="H416" t="n">
        <v>0</v>
      </c>
      <c r="I416" t="n">
        <v>0</v>
      </c>
      <c r="J416" t="n">
        <v>0</v>
      </c>
      <c r="K416" t="n">
        <v>0</v>
      </c>
      <c r="L416" t="n">
        <v>0</v>
      </c>
      <c r="M416" t="n">
        <v>0</v>
      </c>
      <c r="N416" t="n">
        <v>0</v>
      </c>
      <c r="O416" t="n">
        <v>0</v>
      </c>
      <c r="P416" t="n">
        <v>0</v>
      </c>
      <c r="Q416" t="n">
        <v>0</v>
      </c>
      <c r="R416" s="2" t="inlineStr"/>
    </row>
    <row r="417" ht="15" customHeight="1">
      <c r="A417" t="inlineStr">
        <is>
          <t>A 40837-2020</t>
        </is>
      </c>
      <c r="B417" s="1" t="n">
        <v>44067</v>
      </c>
      <c r="C417" s="1" t="n">
        <v>45688</v>
      </c>
      <c r="D417" t="inlineStr">
        <is>
          <t>STOCKHOLMS LÄN</t>
        </is>
      </c>
      <c r="E417" t="inlineStr">
        <is>
          <t>NORRTÄLJE</t>
        </is>
      </c>
      <c r="G417" t="n">
        <v>20.6</v>
      </c>
      <c r="H417" t="n">
        <v>0</v>
      </c>
      <c r="I417" t="n">
        <v>0</v>
      </c>
      <c r="J417" t="n">
        <v>0</v>
      </c>
      <c r="K417" t="n">
        <v>0</v>
      </c>
      <c r="L417" t="n">
        <v>0</v>
      </c>
      <c r="M417" t="n">
        <v>0</v>
      </c>
      <c r="N417" t="n">
        <v>0</v>
      </c>
      <c r="O417" t="n">
        <v>0</v>
      </c>
      <c r="P417" t="n">
        <v>0</v>
      </c>
      <c r="Q417" t="n">
        <v>0</v>
      </c>
      <c r="R417" s="2" t="inlineStr"/>
    </row>
    <row r="418" ht="15" customHeight="1">
      <c r="A418" t="inlineStr">
        <is>
          <t>A 40661-2020</t>
        </is>
      </c>
      <c r="B418" s="1" t="n">
        <v>44069</v>
      </c>
      <c r="C418" s="1" t="n">
        <v>45688</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42247-2020</t>
        </is>
      </c>
      <c r="B419" s="1" t="n">
        <v>44074</v>
      </c>
      <c r="C419" s="1" t="n">
        <v>45688</v>
      </c>
      <c r="D419" t="inlineStr">
        <is>
          <t>STOCKHOLMS LÄN</t>
        </is>
      </c>
      <c r="E419" t="inlineStr">
        <is>
          <t>NORRTÄLJE</t>
        </is>
      </c>
      <c r="G419" t="n">
        <v>1.4</v>
      </c>
      <c r="H419" t="n">
        <v>0</v>
      </c>
      <c r="I419" t="n">
        <v>0</v>
      </c>
      <c r="J419" t="n">
        <v>0</v>
      </c>
      <c r="K419" t="n">
        <v>0</v>
      </c>
      <c r="L419" t="n">
        <v>0</v>
      </c>
      <c r="M419" t="n">
        <v>0</v>
      </c>
      <c r="N419" t="n">
        <v>0</v>
      </c>
      <c r="O419" t="n">
        <v>0</v>
      </c>
      <c r="P419" t="n">
        <v>0</v>
      </c>
      <c r="Q419" t="n">
        <v>0</v>
      </c>
      <c r="R419" s="2" t="inlineStr"/>
    </row>
    <row r="420" ht="15" customHeight="1">
      <c r="A420" t="inlineStr">
        <is>
          <t>A 42256-2020</t>
        </is>
      </c>
      <c r="B420" s="1" t="n">
        <v>44074</v>
      </c>
      <c r="C420" s="1" t="n">
        <v>45688</v>
      </c>
      <c r="D420" t="inlineStr">
        <is>
          <t>STOCKHOLMS LÄN</t>
        </is>
      </c>
      <c r="E420" t="inlineStr">
        <is>
          <t>NORRTÄLJE</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41694-2020</t>
        </is>
      </c>
      <c r="B421" s="1" t="n">
        <v>44074</v>
      </c>
      <c r="C421" s="1" t="n">
        <v>45688</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42365-2020</t>
        </is>
      </c>
      <c r="B422" s="1" t="n">
        <v>44076</v>
      </c>
      <c r="C422" s="1" t="n">
        <v>45688</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42361-2020</t>
        </is>
      </c>
      <c r="B423" s="1" t="n">
        <v>44076</v>
      </c>
      <c r="C423" s="1" t="n">
        <v>45688</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42455-2020</t>
        </is>
      </c>
      <c r="B424" s="1" t="n">
        <v>44076</v>
      </c>
      <c r="C424" s="1" t="n">
        <v>45688</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43751-2020</t>
        </is>
      </c>
      <c r="B425" s="1" t="n">
        <v>44082</v>
      </c>
      <c r="C425" s="1" t="n">
        <v>45688</v>
      </c>
      <c r="D425" t="inlineStr">
        <is>
          <t>STOCKHOLMS LÄN</t>
        </is>
      </c>
      <c r="E425" t="inlineStr">
        <is>
          <t>NORRTÄLJE</t>
        </is>
      </c>
      <c r="G425" t="n">
        <v>8</v>
      </c>
      <c r="H425" t="n">
        <v>0</v>
      </c>
      <c r="I425" t="n">
        <v>0</v>
      </c>
      <c r="J425" t="n">
        <v>0</v>
      </c>
      <c r="K425" t="n">
        <v>0</v>
      </c>
      <c r="L425" t="n">
        <v>0</v>
      </c>
      <c r="M425" t="n">
        <v>0</v>
      </c>
      <c r="N425" t="n">
        <v>0</v>
      </c>
      <c r="O425" t="n">
        <v>0</v>
      </c>
      <c r="P425" t="n">
        <v>0</v>
      </c>
      <c r="Q425" t="n">
        <v>0</v>
      </c>
      <c r="R425" s="2" t="inlineStr"/>
    </row>
    <row r="426" ht="15" customHeight="1">
      <c r="A426" t="inlineStr">
        <is>
          <t>A 44096-2020</t>
        </is>
      </c>
      <c r="B426" s="1" t="n">
        <v>44083</v>
      </c>
      <c r="C426" s="1" t="n">
        <v>45688</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44071-2020</t>
        </is>
      </c>
      <c r="B427" s="1" t="n">
        <v>44083</v>
      </c>
      <c r="C427" s="1" t="n">
        <v>45688</v>
      </c>
      <c r="D427" t="inlineStr">
        <is>
          <t>STOCKHOLMS LÄN</t>
        </is>
      </c>
      <c r="E427" t="inlineStr">
        <is>
          <t>NORRTÄLJE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44183-2020</t>
        </is>
      </c>
      <c r="B428" s="1" t="n">
        <v>44083</v>
      </c>
      <c r="C428" s="1" t="n">
        <v>45688</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44792-2020</t>
        </is>
      </c>
      <c r="B429" s="1" t="n">
        <v>44085</v>
      </c>
      <c r="C429" s="1" t="n">
        <v>45688</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45988-2020</t>
        </is>
      </c>
      <c r="B430" s="1" t="n">
        <v>44091</v>
      </c>
      <c r="C430" s="1" t="n">
        <v>45688</v>
      </c>
      <c r="D430" t="inlineStr">
        <is>
          <t>STOCKHOLMS LÄN</t>
        </is>
      </c>
      <c r="E430" t="inlineStr">
        <is>
          <t>NORRTÄLJE</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46556-2020</t>
        </is>
      </c>
      <c r="B431" s="1" t="n">
        <v>44095</v>
      </c>
      <c r="C431" s="1" t="n">
        <v>45688</v>
      </c>
      <c r="D431" t="inlineStr">
        <is>
          <t>STOCKHOLMS LÄN</t>
        </is>
      </c>
      <c r="E431" t="inlineStr">
        <is>
          <t>NORRTÄLJE</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47291-2020</t>
        </is>
      </c>
      <c r="B432" s="1" t="n">
        <v>44097</v>
      </c>
      <c r="C432" s="1" t="n">
        <v>45688</v>
      </c>
      <c r="D432" t="inlineStr">
        <is>
          <t>STOCKHOLMS LÄN</t>
        </is>
      </c>
      <c r="E432" t="inlineStr">
        <is>
          <t>NORRTÄLJE</t>
        </is>
      </c>
      <c r="F432" t="inlineStr">
        <is>
          <t>Holmen skog AB</t>
        </is>
      </c>
      <c r="G432" t="n">
        <v>0.8</v>
      </c>
      <c r="H432" t="n">
        <v>0</v>
      </c>
      <c r="I432" t="n">
        <v>0</v>
      </c>
      <c r="J432" t="n">
        <v>0</v>
      </c>
      <c r="K432" t="n">
        <v>0</v>
      </c>
      <c r="L432" t="n">
        <v>0</v>
      </c>
      <c r="M432" t="n">
        <v>0</v>
      </c>
      <c r="N432" t="n">
        <v>0</v>
      </c>
      <c r="O432" t="n">
        <v>0</v>
      </c>
      <c r="P432" t="n">
        <v>0</v>
      </c>
      <c r="Q432" t="n">
        <v>0</v>
      </c>
      <c r="R432" s="2" t="inlineStr"/>
    </row>
    <row r="433" ht="15" customHeight="1">
      <c r="A433" t="inlineStr">
        <is>
          <t>A 48392-2020</t>
        </is>
      </c>
      <c r="B433" s="1" t="n">
        <v>44097</v>
      </c>
      <c r="C433" s="1" t="n">
        <v>45688</v>
      </c>
      <c r="D433" t="inlineStr">
        <is>
          <t>STOCKHOLMS LÄN</t>
        </is>
      </c>
      <c r="E433" t="inlineStr">
        <is>
          <t>NORRTÄLJE</t>
        </is>
      </c>
      <c r="G433" t="n">
        <v>12.5</v>
      </c>
      <c r="H433" t="n">
        <v>0</v>
      </c>
      <c r="I433" t="n">
        <v>0</v>
      </c>
      <c r="J433" t="n">
        <v>0</v>
      </c>
      <c r="K433" t="n">
        <v>0</v>
      </c>
      <c r="L433" t="n">
        <v>0</v>
      </c>
      <c r="M433" t="n">
        <v>0</v>
      </c>
      <c r="N433" t="n">
        <v>0</v>
      </c>
      <c r="O433" t="n">
        <v>0</v>
      </c>
      <c r="P433" t="n">
        <v>0</v>
      </c>
      <c r="Q433" t="n">
        <v>0</v>
      </c>
      <c r="R433" s="2" t="inlineStr"/>
    </row>
    <row r="434" ht="15" customHeight="1">
      <c r="A434" t="inlineStr">
        <is>
          <t>A 47869-2020</t>
        </is>
      </c>
      <c r="B434" s="1" t="n">
        <v>44098</v>
      </c>
      <c r="C434" s="1" t="n">
        <v>45688</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47868-2020</t>
        </is>
      </c>
      <c r="B435" s="1" t="n">
        <v>44098</v>
      </c>
      <c r="C435" s="1" t="n">
        <v>45688</v>
      </c>
      <c r="D435" t="inlineStr">
        <is>
          <t>STOCKHOLMS LÄN</t>
        </is>
      </c>
      <c r="E435" t="inlineStr">
        <is>
          <t>NORRTÄLJE</t>
        </is>
      </c>
      <c r="G435" t="n">
        <v>4.7</v>
      </c>
      <c r="H435" t="n">
        <v>0</v>
      </c>
      <c r="I435" t="n">
        <v>0</v>
      </c>
      <c r="J435" t="n">
        <v>0</v>
      </c>
      <c r="K435" t="n">
        <v>0</v>
      </c>
      <c r="L435" t="n">
        <v>0</v>
      </c>
      <c r="M435" t="n">
        <v>0</v>
      </c>
      <c r="N435" t="n">
        <v>0</v>
      </c>
      <c r="O435" t="n">
        <v>0</v>
      </c>
      <c r="P435" t="n">
        <v>0</v>
      </c>
      <c r="Q435" t="n">
        <v>0</v>
      </c>
      <c r="R435" s="2" t="inlineStr"/>
    </row>
    <row r="436" ht="15" customHeight="1">
      <c r="A436" t="inlineStr">
        <is>
          <t>A 48066-2020</t>
        </is>
      </c>
      <c r="B436" s="1" t="n">
        <v>44100</v>
      </c>
      <c r="C436" s="1" t="n">
        <v>45688</v>
      </c>
      <c r="D436" t="inlineStr">
        <is>
          <t>STOCKHOLMS LÄN</t>
        </is>
      </c>
      <c r="E436" t="inlineStr">
        <is>
          <t>NORRTÄLJE</t>
        </is>
      </c>
      <c r="G436" t="n">
        <v>3.7</v>
      </c>
      <c r="H436" t="n">
        <v>0</v>
      </c>
      <c r="I436" t="n">
        <v>0</v>
      </c>
      <c r="J436" t="n">
        <v>0</v>
      </c>
      <c r="K436" t="n">
        <v>0</v>
      </c>
      <c r="L436" t="n">
        <v>0</v>
      </c>
      <c r="M436" t="n">
        <v>0</v>
      </c>
      <c r="N436" t="n">
        <v>0</v>
      </c>
      <c r="O436" t="n">
        <v>0</v>
      </c>
      <c r="P436" t="n">
        <v>0</v>
      </c>
      <c r="Q436" t="n">
        <v>0</v>
      </c>
      <c r="R436" s="2" t="inlineStr"/>
    </row>
    <row r="437" ht="15" customHeight="1">
      <c r="A437" t="inlineStr">
        <is>
          <t>A 48071-2020</t>
        </is>
      </c>
      <c r="B437" s="1" t="n">
        <v>44100</v>
      </c>
      <c r="C437" s="1" t="n">
        <v>45688</v>
      </c>
      <c r="D437" t="inlineStr">
        <is>
          <t>STOCKHOLMS LÄN</t>
        </is>
      </c>
      <c r="E437" t="inlineStr">
        <is>
          <t>NORRTÄLJE</t>
        </is>
      </c>
      <c r="G437" t="n">
        <v>6.8</v>
      </c>
      <c r="H437" t="n">
        <v>0</v>
      </c>
      <c r="I437" t="n">
        <v>0</v>
      </c>
      <c r="J437" t="n">
        <v>0</v>
      </c>
      <c r="K437" t="n">
        <v>0</v>
      </c>
      <c r="L437" t="n">
        <v>0</v>
      </c>
      <c r="M437" t="n">
        <v>0</v>
      </c>
      <c r="N437" t="n">
        <v>0</v>
      </c>
      <c r="O437" t="n">
        <v>0</v>
      </c>
      <c r="P437" t="n">
        <v>0</v>
      </c>
      <c r="Q437" t="n">
        <v>0</v>
      </c>
      <c r="R437" s="2" t="inlineStr"/>
    </row>
    <row r="438" ht="15" customHeight="1">
      <c r="A438" t="inlineStr">
        <is>
          <t>A 48496-2020</t>
        </is>
      </c>
      <c r="B438" s="1" t="n">
        <v>44103</v>
      </c>
      <c r="C438" s="1" t="n">
        <v>45688</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48522-2020</t>
        </is>
      </c>
      <c r="B439" s="1" t="n">
        <v>44103</v>
      </c>
      <c r="C439" s="1" t="n">
        <v>45688</v>
      </c>
      <c r="D439" t="inlineStr">
        <is>
          <t>STOCKHOLMS LÄN</t>
        </is>
      </c>
      <c r="E439" t="inlineStr">
        <is>
          <t>NORRTÄLJE</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49334-2020</t>
        </is>
      </c>
      <c r="B440" s="1" t="n">
        <v>44105</v>
      </c>
      <c r="C440" s="1" t="n">
        <v>45688</v>
      </c>
      <c r="D440" t="inlineStr">
        <is>
          <t>STOCKHOLMS LÄN</t>
        </is>
      </c>
      <c r="E440" t="inlineStr">
        <is>
          <t>NORRTÄLJE</t>
        </is>
      </c>
      <c r="G440" t="n">
        <v>1.5</v>
      </c>
      <c r="H440" t="n">
        <v>0</v>
      </c>
      <c r="I440" t="n">
        <v>0</v>
      </c>
      <c r="J440" t="n">
        <v>0</v>
      </c>
      <c r="K440" t="n">
        <v>0</v>
      </c>
      <c r="L440" t="n">
        <v>0</v>
      </c>
      <c r="M440" t="n">
        <v>0</v>
      </c>
      <c r="N440" t="n">
        <v>0</v>
      </c>
      <c r="O440" t="n">
        <v>0</v>
      </c>
      <c r="P440" t="n">
        <v>0</v>
      </c>
      <c r="Q440" t="n">
        <v>0</v>
      </c>
      <c r="R440" s="2" t="inlineStr"/>
    </row>
    <row r="441" ht="15" customHeight="1">
      <c r="A441" t="inlineStr">
        <is>
          <t>A 49327-2020</t>
        </is>
      </c>
      <c r="B441" s="1" t="n">
        <v>44105</v>
      </c>
      <c r="C441" s="1" t="n">
        <v>45688</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49898-2020</t>
        </is>
      </c>
      <c r="B442" s="1" t="n">
        <v>44108</v>
      </c>
      <c r="C442" s="1" t="n">
        <v>45688</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50497-2020</t>
        </is>
      </c>
      <c r="B443" s="1" t="n">
        <v>44110</v>
      </c>
      <c r="C443" s="1" t="n">
        <v>45688</v>
      </c>
      <c r="D443" t="inlineStr">
        <is>
          <t>STOCKHOLMS LÄN</t>
        </is>
      </c>
      <c r="E443" t="inlineStr">
        <is>
          <t>NORRTÄLJE</t>
        </is>
      </c>
      <c r="F443" t="inlineStr">
        <is>
          <t>Holmen skog AB</t>
        </is>
      </c>
      <c r="G443" t="n">
        <v>4.3</v>
      </c>
      <c r="H443" t="n">
        <v>0</v>
      </c>
      <c r="I443" t="n">
        <v>0</v>
      </c>
      <c r="J443" t="n">
        <v>0</v>
      </c>
      <c r="K443" t="n">
        <v>0</v>
      </c>
      <c r="L443" t="n">
        <v>0</v>
      </c>
      <c r="M443" t="n">
        <v>0</v>
      </c>
      <c r="N443" t="n">
        <v>0</v>
      </c>
      <c r="O443" t="n">
        <v>0</v>
      </c>
      <c r="P443" t="n">
        <v>0</v>
      </c>
      <c r="Q443" t="n">
        <v>0</v>
      </c>
      <c r="R443" s="2" t="inlineStr"/>
    </row>
    <row r="444" ht="15" customHeight="1">
      <c r="A444" t="inlineStr">
        <is>
          <t>A 50738-2020</t>
        </is>
      </c>
      <c r="B444" s="1" t="n">
        <v>44111</v>
      </c>
      <c r="C444" s="1" t="n">
        <v>45688</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50746-2020</t>
        </is>
      </c>
      <c r="B445" s="1" t="n">
        <v>44111</v>
      </c>
      <c r="C445" s="1" t="n">
        <v>45688</v>
      </c>
      <c r="D445" t="inlineStr">
        <is>
          <t>STOCKHOLMS LÄN</t>
        </is>
      </c>
      <c r="E445" t="inlineStr">
        <is>
          <t>NORRTÄLJE</t>
        </is>
      </c>
      <c r="G445" t="n">
        <v>4.9</v>
      </c>
      <c r="H445" t="n">
        <v>0</v>
      </c>
      <c r="I445" t="n">
        <v>0</v>
      </c>
      <c r="J445" t="n">
        <v>0</v>
      </c>
      <c r="K445" t="n">
        <v>0</v>
      </c>
      <c r="L445" t="n">
        <v>0</v>
      </c>
      <c r="M445" t="n">
        <v>0</v>
      </c>
      <c r="N445" t="n">
        <v>0</v>
      </c>
      <c r="O445" t="n">
        <v>0</v>
      </c>
      <c r="P445" t="n">
        <v>0</v>
      </c>
      <c r="Q445" t="n">
        <v>0</v>
      </c>
      <c r="R445" s="2" t="inlineStr"/>
    </row>
    <row r="446" ht="15" customHeight="1">
      <c r="A446" t="inlineStr">
        <is>
          <t>A 50742-2020</t>
        </is>
      </c>
      <c r="B446" s="1" t="n">
        <v>44111</v>
      </c>
      <c r="C446" s="1" t="n">
        <v>45688</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51720-2020</t>
        </is>
      </c>
      <c r="B447" s="1" t="n">
        <v>44113</v>
      </c>
      <c r="C447" s="1" t="n">
        <v>45688</v>
      </c>
      <c r="D447" t="inlineStr">
        <is>
          <t>STOCKHOLMS LÄN</t>
        </is>
      </c>
      <c r="E447" t="inlineStr">
        <is>
          <t>NORRTÄLJE</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51787-2020</t>
        </is>
      </c>
      <c r="B448" s="1" t="n">
        <v>44116</v>
      </c>
      <c r="C448" s="1" t="n">
        <v>45688</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51798-2020</t>
        </is>
      </c>
      <c r="B449" s="1" t="n">
        <v>44116</v>
      </c>
      <c r="C449" s="1" t="n">
        <v>45688</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53768-2020</t>
        </is>
      </c>
      <c r="B450" s="1" t="n">
        <v>44123</v>
      </c>
      <c r="C450" s="1" t="n">
        <v>45688</v>
      </c>
      <c r="D450" t="inlineStr">
        <is>
          <t>STOCKHOLMS LÄN</t>
        </is>
      </c>
      <c r="E450" t="inlineStr">
        <is>
          <t>NORRTÄLJE</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53652-2020</t>
        </is>
      </c>
      <c r="B451" s="1" t="n">
        <v>44124</v>
      </c>
      <c r="C451" s="1" t="n">
        <v>45688</v>
      </c>
      <c r="D451" t="inlineStr">
        <is>
          <t>STOCKHOLMS LÄN</t>
        </is>
      </c>
      <c r="E451" t="inlineStr">
        <is>
          <t>NORRTÄLJE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53690-2020</t>
        </is>
      </c>
      <c r="B452" s="1" t="n">
        <v>44124</v>
      </c>
      <c r="C452" s="1" t="n">
        <v>45688</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53607-2020</t>
        </is>
      </c>
      <c r="B453" s="1" t="n">
        <v>44124</v>
      </c>
      <c r="C453" s="1" t="n">
        <v>45688</v>
      </c>
      <c r="D453" t="inlineStr">
        <is>
          <t>STOCKHOLMS LÄN</t>
        </is>
      </c>
      <c r="E453" t="inlineStr">
        <is>
          <t>NORRTÄLJE</t>
        </is>
      </c>
      <c r="F453" t="inlineStr">
        <is>
          <t>Holmen skog AB</t>
        </is>
      </c>
      <c r="G453" t="n">
        <v>1.9</v>
      </c>
      <c r="H453" t="n">
        <v>0</v>
      </c>
      <c r="I453" t="n">
        <v>0</v>
      </c>
      <c r="J453" t="n">
        <v>0</v>
      </c>
      <c r="K453" t="n">
        <v>0</v>
      </c>
      <c r="L453" t="n">
        <v>0</v>
      </c>
      <c r="M453" t="n">
        <v>0</v>
      </c>
      <c r="N453" t="n">
        <v>0</v>
      </c>
      <c r="O453" t="n">
        <v>0</v>
      </c>
      <c r="P453" t="n">
        <v>0</v>
      </c>
      <c r="Q453" t="n">
        <v>0</v>
      </c>
      <c r="R453" s="2" t="inlineStr"/>
    </row>
    <row r="454" ht="15" customHeight="1">
      <c r="A454" t="inlineStr">
        <is>
          <t>A 55089-2020</t>
        </is>
      </c>
      <c r="B454" s="1" t="n">
        <v>44130</v>
      </c>
      <c r="C454" s="1" t="n">
        <v>45688</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55895-2020</t>
        </is>
      </c>
      <c r="B455" s="1" t="n">
        <v>44132</v>
      </c>
      <c r="C455" s="1" t="n">
        <v>45688</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55890-2020</t>
        </is>
      </c>
      <c r="B456" s="1" t="n">
        <v>44132</v>
      </c>
      <c r="C456" s="1" t="n">
        <v>45688</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55982-2020</t>
        </is>
      </c>
      <c r="B457" s="1" t="n">
        <v>44132</v>
      </c>
      <c r="C457" s="1" t="n">
        <v>45688</v>
      </c>
      <c r="D457" t="inlineStr">
        <is>
          <t>STOCKHOLMS LÄN</t>
        </is>
      </c>
      <c r="E457" t="inlineStr">
        <is>
          <t>NORRTÄLJE</t>
        </is>
      </c>
      <c r="G457" t="n">
        <v>11.3</v>
      </c>
      <c r="H457" t="n">
        <v>0</v>
      </c>
      <c r="I457" t="n">
        <v>0</v>
      </c>
      <c r="J457" t="n">
        <v>0</v>
      </c>
      <c r="K457" t="n">
        <v>0</v>
      </c>
      <c r="L457" t="n">
        <v>0</v>
      </c>
      <c r="M457" t="n">
        <v>0</v>
      </c>
      <c r="N457" t="n">
        <v>0</v>
      </c>
      <c r="O457" t="n">
        <v>0</v>
      </c>
      <c r="P457" t="n">
        <v>0</v>
      </c>
      <c r="Q457" t="n">
        <v>0</v>
      </c>
      <c r="R457" s="2" t="inlineStr"/>
    </row>
    <row r="458" ht="15" customHeight="1">
      <c r="A458" t="inlineStr">
        <is>
          <t>A 56166-2020</t>
        </is>
      </c>
      <c r="B458" s="1" t="n">
        <v>44133</v>
      </c>
      <c r="C458" s="1" t="n">
        <v>45688</v>
      </c>
      <c r="D458" t="inlineStr">
        <is>
          <t>STOCKHOLMS LÄN</t>
        </is>
      </c>
      <c r="E458" t="inlineStr">
        <is>
          <t>NORRTÄLJE</t>
        </is>
      </c>
      <c r="G458" t="n">
        <v>4.4</v>
      </c>
      <c r="H458" t="n">
        <v>0</v>
      </c>
      <c r="I458" t="n">
        <v>0</v>
      </c>
      <c r="J458" t="n">
        <v>0</v>
      </c>
      <c r="K458" t="n">
        <v>0</v>
      </c>
      <c r="L458" t="n">
        <v>0</v>
      </c>
      <c r="M458" t="n">
        <v>0</v>
      </c>
      <c r="N458" t="n">
        <v>0</v>
      </c>
      <c r="O458" t="n">
        <v>0</v>
      </c>
      <c r="P458" t="n">
        <v>0</v>
      </c>
      <c r="Q458" t="n">
        <v>0</v>
      </c>
      <c r="R458" s="2" t="inlineStr"/>
    </row>
    <row r="459" ht="15" customHeight="1">
      <c r="A459" t="inlineStr">
        <is>
          <t>A 56323-2020</t>
        </is>
      </c>
      <c r="B459" s="1" t="n">
        <v>44134</v>
      </c>
      <c r="C459" s="1" t="n">
        <v>45688</v>
      </c>
      <c r="D459" t="inlineStr">
        <is>
          <t>STOCKHOLMS LÄN</t>
        </is>
      </c>
      <c r="E459" t="inlineStr">
        <is>
          <t>NORRTÄLJE</t>
        </is>
      </c>
      <c r="G459" t="n">
        <v>2.4</v>
      </c>
      <c r="H459" t="n">
        <v>0</v>
      </c>
      <c r="I459" t="n">
        <v>0</v>
      </c>
      <c r="J459" t="n">
        <v>0</v>
      </c>
      <c r="K459" t="n">
        <v>0</v>
      </c>
      <c r="L459" t="n">
        <v>0</v>
      </c>
      <c r="M459" t="n">
        <v>0</v>
      </c>
      <c r="N459" t="n">
        <v>0</v>
      </c>
      <c r="O459" t="n">
        <v>0</v>
      </c>
      <c r="P459" t="n">
        <v>0</v>
      </c>
      <c r="Q459" t="n">
        <v>0</v>
      </c>
      <c r="R459" s="2" t="inlineStr"/>
    </row>
    <row r="460" ht="15" customHeight="1">
      <c r="A460" t="inlineStr">
        <is>
          <t>A 57216-2020</t>
        </is>
      </c>
      <c r="B460" s="1" t="n">
        <v>44139</v>
      </c>
      <c r="C460" s="1" t="n">
        <v>45688</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57957-2020</t>
        </is>
      </c>
      <c r="B461" s="1" t="n">
        <v>44143</v>
      </c>
      <c r="C461" s="1" t="n">
        <v>45688</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57987-2020</t>
        </is>
      </c>
      <c r="B462" s="1" t="n">
        <v>44143</v>
      </c>
      <c r="C462" s="1" t="n">
        <v>45688</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58493-2020</t>
        </is>
      </c>
      <c r="B463" s="1" t="n">
        <v>44145</v>
      </c>
      <c r="C463" s="1" t="n">
        <v>45688</v>
      </c>
      <c r="D463" t="inlineStr">
        <is>
          <t>STOCKHOLMS LÄN</t>
        </is>
      </c>
      <c r="E463" t="inlineStr">
        <is>
          <t>NORRTÄLJE</t>
        </is>
      </c>
      <c r="G463" t="n">
        <v>2.8</v>
      </c>
      <c r="H463" t="n">
        <v>0</v>
      </c>
      <c r="I463" t="n">
        <v>0</v>
      </c>
      <c r="J463" t="n">
        <v>0</v>
      </c>
      <c r="K463" t="n">
        <v>0</v>
      </c>
      <c r="L463" t="n">
        <v>0</v>
      </c>
      <c r="M463" t="n">
        <v>0</v>
      </c>
      <c r="N463" t="n">
        <v>0</v>
      </c>
      <c r="O463" t="n">
        <v>0</v>
      </c>
      <c r="P463" t="n">
        <v>0</v>
      </c>
      <c r="Q463" t="n">
        <v>0</v>
      </c>
      <c r="R463" s="2" t="inlineStr"/>
    </row>
    <row r="464" ht="15" customHeight="1">
      <c r="A464" t="inlineStr">
        <is>
          <t>A 58661-2020</t>
        </is>
      </c>
      <c r="B464" s="1" t="n">
        <v>44145</v>
      </c>
      <c r="C464" s="1" t="n">
        <v>45688</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58665-2020</t>
        </is>
      </c>
      <c r="B465" s="1" t="n">
        <v>44145</v>
      </c>
      <c r="C465" s="1" t="n">
        <v>45688</v>
      </c>
      <c r="D465" t="inlineStr">
        <is>
          <t>STOCKHOLMS LÄN</t>
        </is>
      </c>
      <c r="E465" t="inlineStr">
        <is>
          <t>NORRTÄLJE</t>
        </is>
      </c>
      <c r="G465" t="n">
        <v>5.2</v>
      </c>
      <c r="H465" t="n">
        <v>0</v>
      </c>
      <c r="I465" t="n">
        <v>0</v>
      </c>
      <c r="J465" t="n">
        <v>0</v>
      </c>
      <c r="K465" t="n">
        <v>0</v>
      </c>
      <c r="L465" t="n">
        <v>0</v>
      </c>
      <c r="M465" t="n">
        <v>0</v>
      </c>
      <c r="N465" t="n">
        <v>0</v>
      </c>
      <c r="O465" t="n">
        <v>0</v>
      </c>
      <c r="P465" t="n">
        <v>0</v>
      </c>
      <c r="Q465" t="n">
        <v>0</v>
      </c>
      <c r="R465" s="2" t="inlineStr"/>
    </row>
    <row r="466" ht="15" customHeight="1">
      <c r="A466" t="inlineStr">
        <is>
          <t>A 58888-2020</t>
        </is>
      </c>
      <c r="B466" s="1" t="n">
        <v>44146</v>
      </c>
      <c r="C466" s="1" t="n">
        <v>45688</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60321-2020</t>
        </is>
      </c>
      <c r="B467" s="1" t="n">
        <v>44152</v>
      </c>
      <c r="C467" s="1" t="n">
        <v>45688</v>
      </c>
      <c r="D467" t="inlineStr">
        <is>
          <t>STOCKHOLMS LÄN</t>
        </is>
      </c>
      <c r="E467" t="inlineStr">
        <is>
          <t>NORRTÄLJE</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60542-2020</t>
        </is>
      </c>
      <c r="B468" s="1" t="n">
        <v>44153</v>
      </c>
      <c r="C468" s="1" t="n">
        <v>45688</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60977-2020</t>
        </is>
      </c>
      <c r="B469" s="1" t="n">
        <v>44154</v>
      </c>
      <c r="C469" s="1" t="n">
        <v>45688</v>
      </c>
      <c r="D469" t="inlineStr">
        <is>
          <t>STOCKHOLMS LÄN</t>
        </is>
      </c>
      <c r="E469" t="inlineStr">
        <is>
          <t>NORRTÄLJE</t>
        </is>
      </c>
      <c r="F469" t="inlineStr">
        <is>
          <t>Holmen skog AB</t>
        </is>
      </c>
      <c r="G469" t="n">
        <v>0.8</v>
      </c>
      <c r="H469" t="n">
        <v>0</v>
      </c>
      <c r="I469" t="n">
        <v>0</v>
      </c>
      <c r="J469" t="n">
        <v>0</v>
      </c>
      <c r="K469" t="n">
        <v>0</v>
      </c>
      <c r="L469" t="n">
        <v>0</v>
      </c>
      <c r="M469" t="n">
        <v>0</v>
      </c>
      <c r="N469" t="n">
        <v>0</v>
      </c>
      <c r="O469" t="n">
        <v>0</v>
      </c>
      <c r="P469" t="n">
        <v>0</v>
      </c>
      <c r="Q469" t="n">
        <v>0</v>
      </c>
      <c r="R469" s="2" t="inlineStr"/>
    </row>
    <row r="470" ht="15" customHeight="1">
      <c r="A470" t="inlineStr">
        <is>
          <t>A 60891-2020</t>
        </is>
      </c>
      <c r="B470" s="1" t="n">
        <v>44154</v>
      </c>
      <c r="C470" s="1" t="n">
        <v>45688</v>
      </c>
      <c r="D470" t="inlineStr">
        <is>
          <t>STOCKHOLMS LÄN</t>
        </is>
      </c>
      <c r="E470" t="inlineStr">
        <is>
          <t>NORRTÄLJE</t>
        </is>
      </c>
      <c r="G470" t="n">
        <v>1.8</v>
      </c>
      <c r="H470" t="n">
        <v>0</v>
      </c>
      <c r="I470" t="n">
        <v>0</v>
      </c>
      <c r="J470" t="n">
        <v>0</v>
      </c>
      <c r="K470" t="n">
        <v>0</v>
      </c>
      <c r="L470" t="n">
        <v>0</v>
      </c>
      <c r="M470" t="n">
        <v>0</v>
      </c>
      <c r="N470" t="n">
        <v>0</v>
      </c>
      <c r="O470" t="n">
        <v>0</v>
      </c>
      <c r="P470" t="n">
        <v>0</v>
      </c>
      <c r="Q470" t="n">
        <v>0</v>
      </c>
      <c r="R470" s="2" t="inlineStr"/>
    </row>
    <row r="471" ht="15" customHeight="1">
      <c r="A471" t="inlineStr">
        <is>
          <t>A 60961-2020</t>
        </is>
      </c>
      <c r="B471" s="1" t="n">
        <v>44154</v>
      </c>
      <c r="C471" s="1" t="n">
        <v>45688</v>
      </c>
      <c r="D471" t="inlineStr">
        <is>
          <t>STOCKHOLMS LÄN</t>
        </is>
      </c>
      <c r="E471" t="inlineStr">
        <is>
          <t>NORRTÄLJE</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61195-2020</t>
        </is>
      </c>
      <c r="B472" s="1" t="n">
        <v>44155</v>
      </c>
      <c r="C472" s="1" t="n">
        <v>45688</v>
      </c>
      <c r="D472" t="inlineStr">
        <is>
          <t>STOCKHOLMS LÄN</t>
        </is>
      </c>
      <c r="E472" t="inlineStr">
        <is>
          <t>NORRTÄLJE</t>
        </is>
      </c>
      <c r="G472" t="n">
        <v>7.8</v>
      </c>
      <c r="H472" t="n">
        <v>0</v>
      </c>
      <c r="I472" t="n">
        <v>0</v>
      </c>
      <c r="J472" t="n">
        <v>0</v>
      </c>
      <c r="K472" t="n">
        <v>0</v>
      </c>
      <c r="L472" t="n">
        <v>0</v>
      </c>
      <c r="M472" t="n">
        <v>0</v>
      </c>
      <c r="N472" t="n">
        <v>0</v>
      </c>
      <c r="O472" t="n">
        <v>0</v>
      </c>
      <c r="P472" t="n">
        <v>0</v>
      </c>
      <c r="Q472" t="n">
        <v>0</v>
      </c>
      <c r="R472" s="2" t="inlineStr"/>
    </row>
    <row r="473" ht="15" customHeight="1">
      <c r="A473" t="inlineStr">
        <is>
          <t>A 61221-2020</t>
        </is>
      </c>
      <c r="B473" s="1" t="n">
        <v>44155</v>
      </c>
      <c r="C473" s="1" t="n">
        <v>45688</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61363-2020</t>
        </is>
      </c>
      <c r="B474" s="1" t="n">
        <v>44155</v>
      </c>
      <c r="C474" s="1" t="n">
        <v>45688</v>
      </c>
      <c r="D474" t="inlineStr">
        <is>
          <t>STOCKHOLMS LÄN</t>
        </is>
      </c>
      <c r="E474" t="inlineStr">
        <is>
          <t>NORRTÄLJE</t>
        </is>
      </c>
      <c r="G474" t="n">
        <v>2.3</v>
      </c>
      <c r="H474" t="n">
        <v>0</v>
      </c>
      <c r="I474" t="n">
        <v>0</v>
      </c>
      <c r="J474" t="n">
        <v>0</v>
      </c>
      <c r="K474" t="n">
        <v>0</v>
      </c>
      <c r="L474" t="n">
        <v>0</v>
      </c>
      <c r="M474" t="n">
        <v>0</v>
      </c>
      <c r="N474" t="n">
        <v>0</v>
      </c>
      <c r="O474" t="n">
        <v>0</v>
      </c>
      <c r="P474" t="n">
        <v>0</v>
      </c>
      <c r="Q474" t="n">
        <v>0</v>
      </c>
      <c r="R474" s="2" t="inlineStr"/>
    </row>
    <row r="475" ht="15" customHeight="1">
      <c r="A475" t="inlineStr">
        <is>
          <t>A 61469-2020</t>
        </is>
      </c>
      <c r="B475" s="1" t="n">
        <v>44155</v>
      </c>
      <c r="C475" s="1" t="n">
        <v>45688</v>
      </c>
      <c r="D475" t="inlineStr">
        <is>
          <t>STOCKHOLMS LÄN</t>
        </is>
      </c>
      <c r="E475" t="inlineStr">
        <is>
          <t>NORRTÄLJE</t>
        </is>
      </c>
      <c r="F475" t="inlineStr">
        <is>
          <t>Övriga Aktiebolag</t>
        </is>
      </c>
      <c r="G475" t="n">
        <v>2.6</v>
      </c>
      <c r="H475" t="n">
        <v>0</v>
      </c>
      <c r="I475" t="n">
        <v>0</v>
      </c>
      <c r="J475" t="n">
        <v>0</v>
      </c>
      <c r="K475" t="n">
        <v>0</v>
      </c>
      <c r="L475" t="n">
        <v>0</v>
      </c>
      <c r="M475" t="n">
        <v>0</v>
      </c>
      <c r="N475" t="n">
        <v>0</v>
      </c>
      <c r="O475" t="n">
        <v>0</v>
      </c>
      <c r="P475" t="n">
        <v>0</v>
      </c>
      <c r="Q475" t="n">
        <v>0</v>
      </c>
      <c r="R475" s="2" t="inlineStr"/>
    </row>
    <row r="476" ht="15" customHeight="1">
      <c r="A476" t="inlineStr">
        <is>
          <t>A 61192-2020</t>
        </is>
      </c>
      <c r="B476" s="1" t="n">
        <v>44155</v>
      </c>
      <c r="C476" s="1" t="n">
        <v>45688</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62460-2020</t>
        </is>
      </c>
      <c r="B477" s="1" t="n">
        <v>44160</v>
      </c>
      <c r="C477" s="1" t="n">
        <v>45688</v>
      </c>
      <c r="D477" t="inlineStr">
        <is>
          <t>STOCKHOLMS LÄN</t>
        </is>
      </c>
      <c r="E477" t="inlineStr">
        <is>
          <t>NORRTÄLJE</t>
        </is>
      </c>
      <c r="G477" t="n">
        <v>0.8</v>
      </c>
      <c r="H477" t="n">
        <v>0</v>
      </c>
      <c r="I477" t="n">
        <v>0</v>
      </c>
      <c r="J477" t="n">
        <v>0</v>
      </c>
      <c r="K477" t="n">
        <v>0</v>
      </c>
      <c r="L477" t="n">
        <v>0</v>
      </c>
      <c r="M477" t="n">
        <v>0</v>
      </c>
      <c r="N477" t="n">
        <v>0</v>
      </c>
      <c r="O477" t="n">
        <v>0</v>
      </c>
      <c r="P477" t="n">
        <v>0</v>
      </c>
      <c r="Q477" t="n">
        <v>0</v>
      </c>
      <c r="R477" s="2" t="inlineStr"/>
    </row>
    <row r="478" ht="15" customHeight="1">
      <c r="A478" t="inlineStr">
        <is>
          <t>A 62854-2020</t>
        </is>
      </c>
      <c r="B478" s="1" t="n">
        <v>44161</v>
      </c>
      <c r="C478" s="1" t="n">
        <v>45688</v>
      </c>
      <c r="D478" t="inlineStr">
        <is>
          <t>STOCKHOLMS LÄN</t>
        </is>
      </c>
      <c r="E478" t="inlineStr">
        <is>
          <t>NORRTÄLJE</t>
        </is>
      </c>
      <c r="G478" t="n">
        <v>4.7</v>
      </c>
      <c r="H478" t="n">
        <v>0</v>
      </c>
      <c r="I478" t="n">
        <v>0</v>
      </c>
      <c r="J478" t="n">
        <v>0</v>
      </c>
      <c r="K478" t="n">
        <v>0</v>
      </c>
      <c r="L478" t="n">
        <v>0</v>
      </c>
      <c r="M478" t="n">
        <v>0</v>
      </c>
      <c r="N478" t="n">
        <v>0</v>
      </c>
      <c r="O478" t="n">
        <v>0</v>
      </c>
      <c r="P478" t="n">
        <v>0</v>
      </c>
      <c r="Q478" t="n">
        <v>0</v>
      </c>
      <c r="R478" s="2" t="inlineStr"/>
    </row>
    <row r="479" ht="15" customHeight="1">
      <c r="A479" t="inlineStr">
        <is>
          <t>A 63824-2020</t>
        </is>
      </c>
      <c r="B479" s="1" t="n">
        <v>44162</v>
      </c>
      <c r="C479" s="1" t="n">
        <v>45688</v>
      </c>
      <c r="D479" t="inlineStr">
        <is>
          <t>STOCKHOLMS LÄN</t>
        </is>
      </c>
      <c r="E479" t="inlineStr">
        <is>
          <t>NORRTÄLJE</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66372-2020</t>
        </is>
      </c>
      <c r="B480" s="1" t="n">
        <v>44176</v>
      </c>
      <c r="C480" s="1" t="n">
        <v>45688</v>
      </c>
      <c r="D480" t="inlineStr">
        <is>
          <t>STOCKHOLMS LÄN</t>
        </is>
      </c>
      <c r="E480" t="inlineStr">
        <is>
          <t>NORRTÄLJE</t>
        </is>
      </c>
      <c r="G480" t="n">
        <v>1.3</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45688</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67393-2020</t>
        </is>
      </c>
      <c r="B482" s="1" t="n">
        <v>44181</v>
      </c>
      <c r="C482" s="1" t="n">
        <v>45688</v>
      </c>
      <c r="D482" t="inlineStr">
        <is>
          <t>STOCKHOLMS LÄN</t>
        </is>
      </c>
      <c r="E482" t="inlineStr">
        <is>
          <t>NORRTÄLJE</t>
        </is>
      </c>
      <c r="G482" t="n">
        <v>5.5</v>
      </c>
      <c r="H482" t="n">
        <v>0</v>
      </c>
      <c r="I482" t="n">
        <v>0</v>
      </c>
      <c r="J482" t="n">
        <v>0</v>
      </c>
      <c r="K482" t="n">
        <v>0</v>
      </c>
      <c r="L482" t="n">
        <v>0</v>
      </c>
      <c r="M482" t="n">
        <v>0</v>
      </c>
      <c r="N482" t="n">
        <v>0</v>
      </c>
      <c r="O482" t="n">
        <v>0</v>
      </c>
      <c r="P482" t="n">
        <v>0</v>
      </c>
      <c r="Q482" t="n">
        <v>0</v>
      </c>
      <c r="R482" s="2" t="inlineStr"/>
    </row>
    <row r="483" ht="15" customHeight="1">
      <c r="A483" t="inlineStr">
        <is>
          <t>A 68081-2020</t>
        </is>
      </c>
      <c r="B483" s="1" t="n">
        <v>44183</v>
      </c>
      <c r="C483" s="1" t="n">
        <v>45688</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367-2021</t>
        </is>
      </c>
      <c r="B484" s="1" t="n">
        <v>44201</v>
      </c>
      <c r="C484" s="1" t="n">
        <v>45688</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348-2021</t>
        </is>
      </c>
      <c r="B485" s="1" t="n">
        <v>44201</v>
      </c>
      <c r="C485" s="1" t="n">
        <v>45688</v>
      </c>
      <c r="D485" t="inlineStr">
        <is>
          <t>STOCKHOLMS LÄN</t>
        </is>
      </c>
      <c r="E485" t="inlineStr">
        <is>
          <t>NORRTÄLJE</t>
        </is>
      </c>
      <c r="G485" t="n">
        <v>0.1</v>
      </c>
      <c r="H485" t="n">
        <v>0</v>
      </c>
      <c r="I485" t="n">
        <v>0</v>
      </c>
      <c r="J485" t="n">
        <v>0</v>
      </c>
      <c r="K485" t="n">
        <v>0</v>
      </c>
      <c r="L485" t="n">
        <v>0</v>
      </c>
      <c r="M485" t="n">
        <v>0</v>
      </c>
      <c r="N485" t="n">
        <v>0</v>
      </c>
      <c r="O485" t="n">
        <v>0</v>
      </c>
      <c r="P485" t="n">
        <v>0</v>
      </c>
      <c r="Q485" t="n">
        <v>0</v>
      </c>
      <c r="R485" s="2" t="inlineStr"/>
    </row>
    <row r="486" ht="15" customHeight="1">
      <c r="A486" t="inlineStr">
        <is>
          <t>A 1637-2021</t>
        </is>
      </c>
      <c r="B486" s="1" t="n">
        <v>44209</v>
      </c>
      <c r="C486" s="1" t="n">
        <v>45688</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1970-2021</t>
        </is>
      </c>
      <c r="B487" s="1" t="n">
        <v>44210</v>
      </c>
      <c r="C487" s="1" t="n">
        <v>45688</v>
      </c>
      <c r="D487" t="inlineStr">
        <is>
          <t>STOCKHOLMS LÄN</t>
        </is>
      </c>
      <c r="E487" t="inlineStr">
        <is>
          <t>NORRTÄLJE</t>
        </is>
      </c>
      <c r="G487" t="n">
        <v>3.1</v>
      </c>
      <c r="H487" t="n">
        <v>0</v>
      </c>
      <c r="I487" t="n">
        <v>0</v>
      </c>
      <c r="J487" t="n">
        <v>0</v>
      </c>
      <c r="K487" t="n">
        <v>0</v>
      </c>
      <c r="L487" t="n">
        <v>0</v>
      </c>
      <c r="M487" t="n">
        <v>0</v>
      </c>
      <c r="N487" t="n">
        <v>0</v>
      </c>
      <c r="O487" t="n">
        <v>0</v>
      </c>
      <c r="P487" t="n">
        <v>0</v>
      </c>
      <c r="Q487" t="n">
        <v>0</v>
      </c>
      <c r="R487" s="2" t="inlineStr"/>
    </row>
    <row r="488" ht="15" customHeight="1">
      <c r="A488" t="inlineStr">
        <is>
          <t>A 2447-2021</t>
        </is>
      </c>
      <c r="B488" s="1" t="n">
        <v>44214</v>
      </c>
      <c r="C488" s="1" t="n">
        <v>45688</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2976-2021</t>
        </is>
      </c>
      <c r="B489" s="1" t="n">
        <v>44216</v>
      </c>
      <c r="C489" s="1" t="n">
        <v>45688</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3143-2021</t>
        </is>
      </c>
      <c r="B490" s="1" t="n">
        <v>44217</v>
      </c>
      <c r="C490" s="1" t="n">
        <v>45688</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3386-2021</t>
        </is>
      </c>
      <c r="B491" s="1" t="n">
        <v>44218</v>
      </c>
      <c r="C491" s="1" t="n">
        <v>45688</v>
      </c>
      <c r="D491" t="inlineStr">
        <is>
          <t>STOCKHOLMS LÄN</t>
        </is>
      </c>
      <c r="E491" t="inlineStr">
        <is>
          <t>NORRTÄLJE</t>
        </is>
      </c>
      <c r="G491" t="n">
        <v>8</v>
      </c>
      <c r="H491" t="n">
        <v>0</v>
      </c>
      <c r="I491" t="n">
        <v>0</v>
      </c>
      <c r="J491" t="n">
        <v>0</v>
      </c>
      <c r="K491" t="n">
        <v>0</v>
      </c>
      <c r="L491" t="n">
        <v>0</v>
      </c>
      <c r="M491" t="n">
        <v>0</v>
      </c>
      <c r="N491" t="n">
        <v>0</v>
      </c>
      <c r="O491" t="n">
        <v>0</v>
      </c>
      <c r="P491" t="n">
        <v>0</v>
      </c>
      <c r="Q491" t="n">
        <v>0</v>
      </c>
      <c r="R491" s="2" t="inlineStr"/>
    </row>
    <row r="492" ht="15" customHeight="1">
      <c r="A492" t="inlineStr">
        <is>
          <t>A 4634-2021</t>
        </is>
      </c>
      <c r="B492" s="1" t="n">
        <v>44224</v>
      </c>
      <c r="C492" s="1" t="n">
        <v>45688</v>
      </c>
      <c r="D492" t="inlineStr">
        <is>
          <t>STOCKHOLMS LÄN</t>
        </is>
      </c>
      <c r="E492" t="inlineStr">
        <is>
          <t>NORRTÄLJE</t>
        </is>
      </c>
      <c r="G492" t="n">
        <v>3.7</v>
      </c>
      <c r="H492" t="n">
        <v>0</v>
      </c>
      <c r="I492" t="n">
        <v>0</v>
      </c>
      <c r="J492" t="n">
        <v>0</v>
      </c>
      <c r="K492" t="n">
        <v>0</v>
      </c>
      <c r="L492" t="n">
        <v>0</v>
      </c>
      <c r="M492" t="n">
        <v>0</v>
      </c>
      <c r="N492" t="n">
        <v>0</v>
      </c>
      <c r="O492" t="n">
        <v>0</v>
      </c>
      <c r="P492" t="n">
        <v>0</v>
      </c>
      <c r="Q492" t="n">
        <v>0</v>
      </c>
      <c r="R492" s="2" t="inlineStr"/>
    </row>
    <row r="493" ht="15" customHeight="1">
      <c r="A493" t="inlineStr">
        <is>
          <t>A 4632-2021</t>
        </is>
      </c>
      <c r="B493" s="1" t="n">
        <v>44224</v>
      </c>
      <c r="C493" s="1" t="n">
        <v>45688</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5037-2021</t>
        </is>
      </c>
      <c r="B494" s="1" t="n">
        <v>44228</v>
      </c>
      <c r="C494" s="1" t="n">
        <v>45688</v>
      </c>
      <c r="D494" t="inlineStr">
        <is>
          <t>STOCKHOLMS LÄN</t>
        </is>
      </c>
      <c r="E494" t="inlineStr">
        <is>
          <t>NORRTÄLJE</t>
        </is>
      </c>
      <c r="F494" t="inlineStr">
        <is>
          <t>Holmen skog AB</t>
        </is>
      </c>
      <c r="G494" t="n">
        <v>3.8</v>
      </c>
      <c r="H494" t="n">
        <v>0</v>
      </c>
      <c r="I494" t="n">
        <v>0</v>
      </c>
      <c r="J494" t="n">
        <v>0</v>
      </c>
      <c r="K494" t="n">
        <v>0</v>
      </c>
      <c r="L494" t="n">
        <v>0</v>
      </c>
      <c r="M494" t="n">
        <v>0</v>
      </c>
      <c r="N494" t="n">
        <v>0</v>
      </c>
      <c r="O494" t="n">
        <v>0</v>
      </c>
      <c r="P494" t="n">
        <v>0</v>
      </c>
      <c r="Q494" t="n">
        <v>0</v>
      </c>
      <c r="R494" s="2" t="inlineStr"/>
    </row>
    <row r="495" ht="15" customHeight="1">
      <c r="A495" t="inlineStr">
        <is>
          <t>A 5562-2021</t>
        </is>
      </c>
      <c r="B495" s="1" t="n">
        <v>44230</v>
      </c>
      <c r="C495" s="1" t="n">
        <v>45688</v>
      </c>
      <c r="D495" t="inlineStr">
        <is>
          <t>STOCKHOLMS LÄN</t>
        </is>
      </c>
      <c r="E495" t="inlineStr">
        <is>
          <t>NORRTÄLJE</t>
        </is>
      </c>
      <c r="G495" t="n">
        <v>0.5</v>
      </c>
      <c r="H495" t="n">
        <v>0</v>
      </c>
      <c r="I495" t="n">
        <v>0</v>
      </c>
      <c r="J495" t="n">
        <v>0</v>
      </c>
      <c r="K495" t="n">
        <v>0</v>
      </c>
      <c r="L495" t="n">
        <v>0</v>
      </c>
      <c r="M495" t="n">
        <v>0</v>
      </c>
      <c r="N495" t="n">
        <v>0</v>
      </c>
      <c r="O495" t="n">
        <v>0</v>
      </c>
      <c r="P495" t="n">
        <v>0</v>
      </c>
      <c r="Q495" t="n">
        <v>0</v>
      </c>
      <c r="R495" s="2" t="inlineStr"/>
    </row>
    <row r="496" ht="15" customHeight="1">
      <c r="A496" t="inlineStr">
        <is>
          <t>A 5566-2021</t>
        </is>
      </c>
      <c r="B496" s="1" t="n">
        <v>44230</v>
      </c>
      <c r="C496" s="1" t="n">
        <v>45688</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5950-2021</t>
        </is>
      </c>
      <c r="B497" s="1" t="n">
        <v>44231</v>
      </c>
      <c r="C497" s="1" t="n">
        <v>45688</v>
      </c>
      <c r="D497" t="inlineStr">
        <is>
          <t>STOCKHOLMS LÄN</t>
        </is>
      </c>
      <c r="E497" t="inlineStr">
        <is>
          <t>NORRTÄLJE</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6049-2021</t>
        </is>
      </c>
      <c r="B498" s="1" t="n">
        <v>44231</v>
      </c>
      <c r="C498" s="1" t="n">
        <v>45688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7903-2021</t>
        </is>
      </c>
      <c r="B499" s="1" t="n">
        <v>44243</v>
      </c>
      <c r="C499" s="1" t="n">
        <v>45688</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7999-2021</t>
        </is>
      </c>
      <c r="B500" s="1" t="n">
        <v>44243</v>
      </c>
      <c r="C500" s="1" t="n">
        <v>45688</v>
      </c>
      <c r="D500" t="inlineStr">
        <is>
          <t>STOCKHOLMS LÄN</t>
        </is>
      </c>
      <c r="E500" t="inlineStr">
        <is>
          <t>NORRTÄLJE</t>
        </is>
      </c>
      <c r="G500" t="n">
        <v>6.8</v>
      </c>
      <c r="H500" t="n">
        <v>0</v>
      </c>
      <c r="I500" t="n">
        <v>0</v>
      </c>
      <c r="J500" t="n">
        <v>0</v>
      </c>
      <c r="K500" t="n">
        <v>0</v>
      </c>
      <c r="L500" t="n">
        <v>0</v>
      </c>
      <c r="M500" t="n">
        <v>0</v>
      </c>
      <c r="N500" t="n">
        <v>0</v>
      </c>
      <c r="O500" t="n">
        <v>0</v>
      </c>
      <c r="P500" t="n">
        <v>0</v>
      </c>
      <c r="Q500" t="n">
        <v>0</v>
      </c>
      <c r="R500" s="2" t="inlineStr"/>
    </row>
    <row r="501" ht="15" customHeight="1">
      <c r="A501" t="inlineStr">
        <is>
          <t>A 8338-2021</t>
        </is>
      </c>
      <c r="B501" s="1" t="n">
        <v>44244</v>
      </c>
      <c r="C501" s="1" t="n">
        <v>45688</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9467-2021</t>
        </is>
      </c>
      <c r="B502" s="1" t="n">
        <v>44251</v>
      </c>
      <c r="C502" s="1" t="n">
        <v>45688</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9469-2021</t>
        </is>
      </c>
      <c r="B503" s="1" t="n">
        <v>44251</v>
      </c>
      <c r="C503" s="1" t="n">
        <v>45688</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9446-2021</t>
        </is>
      </c>
      <c r="B504" s="1" t="n">
        <v>44251</v>
      </c>
      <c r="C504" s="1" t="n">
        <v>45688</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9719-2021</t>
        </is>
      </c>
      <c r="B505" s="1" t="n">
        <v>44252</v>
      </c>
      <c r="C505" s="1" t="n">
        <v>45688</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9703-2021</t>
        </is>
      </c>
      <c r="B506" s="1" t="n">
        <v>44252</v>
      </c>
      <c r="C506" s="1" t="n">
        <v>45688</v>
      </c>
      <c r="D506" t="inlineStr">
        <is>
          <t>STOCKHOLMS LÄN</t>
        </is>
      </c>
      <c r="E506" t="inlineStr">
        <is>
          <t>NORRTÄLJE</t>
        </is>
      </c>
      <c r="G506" t="n">
        <v>3.4</v>
      </c>
      <c r="H506" t="n">
        <v>0</v>
      </c>
      <c r="I506" t="n">
        <v>0</v>
      </c>
      <c r="J506" t="n">
        <v>0</v>
      </c>
      <c r="K506" t="n">
        <v>0</v>
      </c>
      <c r="L506" t="n">
        <v>0</v>
      </c>
      <c r="M506" t="n">
        <v>0</v>
      </c>
      <c r="N506" t="n">
        <v>0</v>
      </c>
      <c r="O506" t="n">
        <v>0</v>
      </c>
      <c r="P506" t="n">
        <v>0</v>
      </c>
      <c r="Q506" t="n">
        <v>0</v>
      </c>
      <c r="R506" s="2" t="inlineStr"/>
    </row>
    <row r="507" ht="15" customHeight="1">
      <c r="A507" t="inlineStr">
        <is>
          <t>A 10687-2021</t>
        </is>
      </c>
      <c r="B507" s="1" t="n">
        <v>44258</v>
      </c>
      <c r="C507" s="1" t="n">
        <v>45688</v>
      </c>
      <c r="D507" t="inlineStr">
        <is>
          <t>STOCKHOLMS LÄN</t>
        </is>
      </c>
      <c r="E507" t="inlineStr">
        <is>
          <t>NORRTÄLJE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10684-2021</t>
        </is>
      </c>
      <c r="B508" s="1" t="n">
        <v>44258</v>
      </c>
      <c r="C508" s="1" t="n">
        <v>45688</v>
      </c>
      <c r="D508" t="inlineStr">
        <is>
          <t>STOCKHOLMS LÄN</t>
        </is>
      </c>
      <c r="E508" t="inlineStr">
        <is>
          <t>NORRTÄLJE</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11122-2021</t>
        </is>
      </c>
      <c r="B509" s="1" t="n">
        <v>44260</v>
      </c>
      <c r="C509" s="1" t="n">
        <v>45688</v>
      </c>
      <c r="D509" t="inlineStr">
        <is>
          <t>STOCKHOLMS LÄN</t>
        </is>
      </c>
      <c r="E509" t="inlineStr">
        <is>
          <t>NORRTÄLJE</t>
        </is>
      </c>
      <c r="F509" t="inlineStr">
        <is>
          <t>Holmen skog AB</t>
        </is>
      </c>
      <c r="G509" t="n">
        <v>2.1</v>
      </c>
      <c r="H509" t="n">
        <v>0</v>
      </c>
      <c r="I509" t="n">
        <v>0</v>
      </c>
      <c r="J509" t="n">
        <v>0</v>
      </c>
      <c r="K509" t="n">
        <v>0</v>
      </c>
      <c r="L509" t="n">
        <v>0</v>
      </c>
      <c r="M509" t="n">
        <v>0</v>
      </c>
      <c r="N509" t="n">
        <v>0</v>
      </c>
      <c r="O509" t="n">
        <v>0</v>
      </c>
      <c r="P509" t="n">
        <v>0</v>
      </c>
      <c r="Q509" t="n">
        <v>0</v>
      </c>
      <c r="R509" s="2" t="inlineStr"/>
    </row>
    <row r="510" ht="15" customHeight="1">
      <c r="A510" t="inlineStr">
        <is>
          <t>A 11438-2021</t>
        </is>
      </c>
      <c r="B510" s="1" t="n">
        <v>44263</v>
      </c>
      <c r="C510" s="1" t="n">
        <v>45688</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11988-2021</t>
        </is>
      </c>
      <c r="B511" s="1" t="n">
        <v>44266</v>
      </c>
      <c r="C511" s="1" t="n">
        <v>45688</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12031-2021</t>
        </is>
      </c>
      <c r="B512" s="1" t="n">
        <v>44266</v>
      </c>
      <c r="C512" s="1" t="n">
        <v>45688</v>
      </c>
      <c r="D512" t="inlineStr">
        <is>
          <t>STOCKHOLMS LÄN</t>
        </is>
      </c>
      <c r="E512" t="inlineStr">
        <is>
          <t>NORRTÄLJE</t>
        </is>
      </c>
      <c r="G512" t="n">
        <v>2.6</v>
      </c>
      <c r="H512" t="n">
        <v>0</v>
      </c>
      <c r="I512" t="n">
        <v>0</v>
      </c>
      <c r="J512" t="n">
        <v>0</v>
      </c>
      <c r="K512" t="n">
        <v>0</v>
      </c>
      <c r="L512" t="n">
        <v>0</v>
      </c>
      <c r="M512" t="n">
        <v>0</v>
      </c>
      <c r="N512" t="n">
        <v>0</v>
      </c>
      <c r="O512" t="n">
        <v>0</v>
      </c>
      <c r="P512" t="n">
        <v>0</v>
      </c>
      <c r="Q512" t="n">
        <v>0</v>
      </c>
      <c r="R512" s="2" t="inlineStr"/>
    </row>
    <row r="513" ht="15" customHeight="1">
      <c r="A513" t="inlineStr">
        <is>
          <t>A 12111-2021</t>
        </is>
      </c>
      <c r="B513" s="1" t="n">
        <v>44266</v>
      </c>
      <c r="C513" s="1" t="n">
        <v>45688</v>
      </c>
      <c r="D513" t="inlineStr">
        <is>
          <t>STOCKHOLMS LÄN</t>
        </is>
      </c>
      <c r="E513" t="inlineStr">
        <is>
          <t>NORRTÄLJE</t>
        </is>
      </c>
      <c r="G513" t="n">
        <v>5.5</v>
      </c>
      <c r="H513" t="n">
        <v>0</v>
      </c>
      <c r="I513" t="n">
        <v>0</v>
      </c>
      <c r="J513" t="n">
        <v>0</v>
      </c>
      <c r="K513" t="n">
        <v>0</v>
      </c>
      <c r="L513" t="n">
        <v>0</v>
      </c>
      <c r="M513" t="n">
        <v>0</v>
      </c>
      <c r="N513" t="n">
        <v>0</v>
      </c>
      <c r="O513" t="n">
        <v>0</v>
      </c>
      <c r="P513" t="n">
        <v>0</v>
      </c>
      <c r="Q513" t="n">
        <v>0</v>
      </c>
      <c r="R513" s="2" t="inlineStr"/>
    </row>
    <row r="514" ht="15" customHeight="1">
      <c r="A514" t="inlineStr">
        <is>
          <t>A 12132-2021</t>
        </is>
      </c>
      <c r="B514" s="1" t="n">
        <v>44266</v>
      </c>
      <c r="C514" s="1" t="n">
        <v>45688</v>
      </c>
      <c r="D514" t="inlineStr">
        <is>
          <t>STOCKHOLMS LÄN</t>
        </is>
      </c>
      <c r="E514" t="inlineStr">
        <is>
          <t>NORRTÄLJE</t>
        </is>
      </c>
      <c r="G514" t="n">
        <v>4</v>
      </c>
      <c r="H514" t="n">
        <v>0</v>
      </c>
      <c r="I514" t="n">
        <v>0</v>
      </c>
      <c r="J514" t="n">
        <v>0</v>
      </c>
      <c r="K514" t="n">
        <v>0</v>
      </c>
      <c r="L514" t="n">
        <v>0</v>
      </c>
      <c r="M514" t="n">
        <v>0</v>
      </c>
      <c r="N514" t="n">
        <v>0</v>
      </c>
      <c r="O514" t="n">
        <v>0</v>
      </c>
      <c r="P514" t="n">
        <v>0</v>
      </c>
      <c r="Q514" t="n">
        <v>0</v>
      </c>
      <c r="R514" s="2" t="inlineStr"/>
    </row>
    <row r="515" ht="15" customHeight="1">
      <c r="A515" t="inlineStr">
        <is>
          <t>A 12564-2021</t>
        </is>
      </c>
      <c r="B515" s="1" t="n">
        <v>44270</v>
      </c>
      <c r="C515" s="1" t="n">
        <v>45688</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12779-2021</t>
        </is>
      </c>
      <c r="B516" s="1" t="n">
        <v>44270</v>
      </c>
      <c r="C516" s="1" t="n">
        <v>45688</v>
      </c>
      <c r="D516" t="inlineStr">
        <is>
          <t>STOCKHOLMS LÄN</t>
        </is>
      </c>
      <c r="E516" t="inlineStr">
        <is>
          <t>NORRTÄLJE</t>
        </is>
      </c>
      <c r="G516" t="n">
        <v>10.8</v>
      </c>
      <c r="H516" t="n">
        <v>0</v>
      </c>
      <c r="I516" t="n">
        <v>0</v>
      </c>
      <c r="J516" t="n">
        <v>0</v>
      </c>
      <c r="K516" t="n">
        <v>0</v>
      </c>
      <c r="L516" t="n">
        <v>0</v>
      </c>
      <c r="M516" t="n">
        <v>0</v>
      </c>
      <c r="N516" t="n">
        <v>0</v>
      </c>
      <c r="O516" t="n">
        <v>0</v>
      </c>
      <c r="P516" t="n">
        <v>0</v>
      </c>
      <c r="Q516" t="n">
        <v>0</v>
      </c>
      <c r="R516" s="2" t="inlineStr"/>
    </row>
    <row r="517" ht="15" customHeight="1">
      <c r="A517" t="inlineStr">
        <is>
          <t>A 12782-2021</t>
        </is>
      </c>
      <c r="B517" s="1" t="n">
        <v>44270</v>
      </c>
      <c r="C517" s="1" t="n">
        <v>45688</v>
      </c>
      <c r="D517" t="inlineStr">
        <is>
          <t>STOCKHOLMS LÄN</t>
        </is>
      </c>
      <c r="E517" t="inlineStr">
        <is>
          <t>NORRTÄLJE</t>
        </is>
      </c>
      <c r="G517" t="n">
        <v>3.8</v>
      </c>
      <c r="H517" t="n">
        <v>0</v>
      </c>
      <c r="I517" t="n">
        <v>0</v>
      </c>
      <c r="J517" t="n">
        <v>0</v>
      </c>
      <c r="K517" t="n">
        <v>0</v>
      </c>
      <c r="L517" t="n">
        <v>0</v>
      </c>
      <c r="M517" t="n">
        <v>0</v>
      </c>
      <c r="N517" t="n">
        <v>0</v>
      </c>
      <c r="O517" t="n">
        <v>0</v>
      </c>
      <c r="P517" t="n">
        <v>0</v>
      </c>
      <c r="Q517" t="n">
        <v>0</v>
      </c>
      <c r="R517" s="2" t="inlineStr"/>
    </row>
    <row r="518" ht="15" customHeight="1">
      <c r="A518" t="inlineStr">
        <is>
          <t>A 13051-2021</t>
        </is>
      </c>
      <c r="B518" s="1" t="n">
        <v>44272</v>
      </c>
      <c r="C518" s="1" t="n">
        <v>45688</v>
      </c>
      <c r="D518" t="inlineStr">
        <is>
          <t>STOCKHOLMS LÄN</t>
        </is>
      </c>
      <c r="E518" t="inlineStr">
        <is>
          <t>NORRTÄLJE</t>
        </is>
      </c>
      <c r="G518" t="n">
        <v>9.1</v>
      </c>
      <c r="H518" t="n">
        <v>0</v>
      </c>
      <c r="I518" t="n">
        <v>0</v>
      </c>
      <c r="J518" t="n">
        <v>0</v>
      </c>
      <c r="K518" t="n">
        <v>0</v>
      </c>
      <c r="L518" t="n">
        <v>0</v>
      </c>
      <c r="M518" t="n">
        <v>0</v>
      </c>
      <c r="N518" t="n">
        <v>0</v>
      </c>
      <c r="O518" t="n">
        <v>0</v>
      </c>
      <c r="P518" t="n">
        <v>0</v>
      </c>
      <c r="Q518" t="n">
        <v>0</v>
      </c>
      <c r="R518" s="2" t="inlineStr"/>
    </row>
    <row r="519" ht="15" customHeight="1">
      <c r="A519" t="inlineStr">
        <is>
          <t>A 13148-2021</t>
        </is>
      </c>
      <c r="B519" s="1" t="n">
        <v>44272</v>
      </c>
      <c r="C519" s="1" t="n">
        <v>45688</v>
      </c>
      <c r="D519" t="inlineStr">
        <is>
          <t>STOCKHOLMS LÄN</t>
        </is>
      </c>
      <c r="E519" t="inlineStr">
        <is>
          <t>NORRTÄLJE</t>
        </is>
      </c>
      <c r="G519" t="n">
        <v>12.4</v>
      </c>
      <c r="H519" t="n">
        <v>0</v>
      </c>
      <c r="I519" t="n">
        <v>0</v>
      </c>
      <c r="J519" t="n">
        <v>0</v>
      </c>
      <c r="K519" t="n">
        <v>0</v>
      </c>
      <c r="L519" t="n">
        <v>0</v>
      </c>
      <c r="M519" t="n">
        <v>0</v>
      </c>
      <c r="N519" t="n">
        <v>0</v>
      </c>
      <c r="O519" t="n">
        <v>0</v>
      </c>
      <c r="P519" t="n">
        <v>0</v>
      </c>
      <c r="Q519" t="n">
        <v>0</v>
      </c>
      <c r="R519" s="2" t="inlineStr"/>
    </row>
    <row r="520" ht="15" customHeight="1">
      <c r="A520" t="inlineStr">
        <is>
          <t>A 13736-2021</t>
        </is>
      </c>
      <c r="B520" s="1" t="n">
        <v>44274</v>
      </c>
      <c r="C520" s="1" t="n">
        <v>45688</v>
      </c>
      <c r="D520" t="inlineStr">
        <is>
          <t>STOCKHOLMS LÄN</t>
        </is>
      </c>
      <c r="E520" t="inlineStr">
        <is>
          <t>NORRTÄLJE</t>
        </is>
      </c>
      <c r="F520" t="inlineStr">
        <is>
          <t>Holmen skog AB</t>
        </is>
      </c>
      <c r="G520" t="n">
        <v>3.5</v>
      </c>
      <c r="H520" t="n">
        <v>0</v>
      </c>
      <c r="I520" t="n">
        <v>0</v>
      </c>
      <c r="J520" t="n">
        <v>0</v>
      </c>
      <c r="K520" t="n">
        <v>0</v>
      </c>
      <c r="L520" t="n">
        <v>0</v>
      </c>
      <c r="M520" t="n">
        <v>0</v>
      </c>
      <c r="N520" t="n">
        <v>0</v>
      </c>
      <c r="O520" t="n">
        <v>0</v>
      </c>
      <c r="P520" t="n">
        <v>0</v>
      </c>
      <c r="Q520" t="n">
        <v>0</v>
      </c>
      <c r="R520" s="2" t="inlineStr"/>
    </row>
    <row r="521" ht="15" customHeight="1">
      <c r="A521" t="inlineStr">
        <is>
          <t>A 13752-2021</t>
        </is>
      </c>
      <c r="B521" s="1" t="n">
        <v>44274</v>
      </c>
      <c r="C521" s="1" t="n">
        <v>45688</v>
      </c>
      <c r="D521" t="inlineStr">
        <is>
          <t>STOCKHOLMS LÄN</t>
        </is>
      </c>
      <c r="E521" t="inlineStr">
        <is>
          <t>NORRTÄLJE</t>
        </is>
      </c>
      <c r="F521" t="inlineStr">
        <is>
          <t>Holmen skog AB</t>
        </is>
      </c>
      <c r="G521" t="n">
        <v>0.6</v>
      </c>
      <c r="H521" t="n">
        <v>0</v>
      </c>
      <c r="I521" t="n">
        <v>0</v>
      </c>
      <c r="J521" t="n">
        <v>0</v>
      </c>
      <c r="K521" t="n">
        <v>0</v>
      </c>
      <c r="L521" t="n">
        <v>0</v>
      </c>
      <c r="M521" t="n">
        <v>0</v>
      </c>
      <c r="N521" t="n">
        <v>0</v>
      </c>
      <c r="O521" t="n">
        <v>0</v>
      </c>
      <c r="P521" t="n">
        <v>0</v>
      </c>
      <c r="Q521" t="n">
        <v>0</v>
      </c>
      <c r="R521" s="2" t="inlineStr"/>
    </row>
    <row r="522" ht="15" customHeight="1">
      <c r="A522" t="inlineStr">
        <is>
          <t>A 14381-2021</t>
        </is>
      </c>
      <c r="B522" s="1" t="n">
        <v>44279</v>
      </c>
      <c r="C522" s="1" t="n">
        <v>45688</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14922-2021</t>
        </is>
      </c>
      <c r="B523" s="1" t="n">
        <v>44281</v>
      </c>
      <c r="C523" s="1" t="n">
        <v>45688</v>
      </c>
      <c r="D523" t="inlineStr">
        <is>
          <t>STOCKHOLMS LÄN</t>
        </is>
      </c>
      <c r="E523" t="inlineStr">
        <is>
          <t>NORRTÄLJE</t>
        </is>
      </c>
      <c r="G523" t="n">
        <v>4.8</v>
      </c>
      <c r="H523" t="n">
        <v>0</v>
      </c>
      <c r="I523" t="n">
        <v>0</v>
      </c>
      <c r="J523" t="n">
        <v>0</v>
      </c>
      <c r="K523" t="n">
        <v>0</v>
      </c>
      <c r="L523" t="n">
        <v>0</v>
      </c>
      <c r="M523" t="n">
        <v>0</v>
      </c>
      <c r="N523" t="n">
        <v>0</v>
      </c>
      <c r="O523" t="n">
        <v>0</v>
      </c>
      <c r="P523" t="n">
        <v>0</v>
      </c>
      <c r="Q523" t="n">
        <v>0</v>
      </c>
      <c r="R523" s="2" t="inlineStr"/>
    </row>
    <row r="524" ht="15" customHeight="1">
      <c r="A524" t="inlineStr">
        <is>
          <t>A 14933-2021</t>
        </is>
      </c>
      <c r="B524" s="1" t="n">
        <v>44281</v>
      </c>
      <c r="C524" s="1" t="n">
        <v>45688</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15289-2021</t>
        </is>
      </c>
      <c r="B525" s="1" t="n">
        <v>44284</v>
      </c>
      <c r="C525" s="1" t="n">
        <v>45688</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15441-2021</t>
        </is>
      </c>
      <c r="B526" s="1" t="n">
        <v>44284</v>
      </c>
      <c r="C526" s="1" t="n">
        <v>45688</v>
      </c>
      <c r="D526" t="inlineStr">
        <is>
          <t>STOCKHOLMS LÄN</t>
        </is>
      </c>
      <c r="E526" t="inlineStr">
        <is>
          <t>NORRTÄLJE</t>
        </is>
      </c>
      <c r="G526" t="n">
        <v>27</v>
      </c>
      <c r="H526" t="n">
        <v>0</v>
      </c>
      <c r="I526" t="n">
        <v>0</v>
      </c>
      <c r="J526" t="n">
        <v>0</v>
      </c>
      <c r="K526" t="n">
        <v>0</v>
      </c>
      <c r="L526" t="n">
        <v>0</v>
      </c>
      <c r="M526" t="n">
        <v>0</v>
      </c>
      <c r="N526" t="n">
        <v>0</v>
      </c>
      <c r="O526" t="n">
        <v>0</v>
      </c>
      <c r="P526" t="n">
        <v>0</v>
      </c>
      <c r="Q526" t="n">
        <v>0</v>
      </c>
      <c r="R526" s="2" t="inlineStr"/>
    </row>
    <row r="527" ht="15" customHeight="1">
      <c r="A527" t="inlineStr">
        <is>
          <t>A 15552-2021</t>
        </is>
      </c>
      <c r="B527" s="1" t="n">
        <v>44285</v>
      </c>
      <c r="C527" s="1" t="n">
        <v>45688</v>
      </c>
      <c r="D527" t="inlineStr">
        <is>
          <t>STOCKHOLMS LÄN</t>
        </is>
      </c>
      <c r="E527" t="inlineStr">
        <is>
          <t>NORRTÄLJE</t>
        </is>
      </c>
      <c r="G527" t="n">
        <v>10</v>
      </c>
      <c r="H527" t="n">
        <v>0</v>
      </c>
      <c r="I527" t="n">
        <v>0</v>
      </c>
      <c r="J527" t="n">
        <v>0</v>
      </c>
      <c r="K527" t="n">
        <v>0</v>
      </c>
      <c r="L527" t="n">
        <v>0</v>
      </c>
      <c r="M527" t="n">
        <v>0</v>
      </c>
      <c r="N527" t="n">
        <v>0</v>
      </c>
      <c r="O527" t="n">
        <v>0</v>
      </c>
      <c r="P527" t="n">
        <v>0</v>
      </c>
      <c r="Q527" t="n">
        <v>0</v>
      </c>
      <c r="R527" s="2" t="inlineStr"/>
    </row>
    <row r="528" ht="15" customHeight="1">
      <c r="A528" t="inlineStr">
        <is>
          <t>A 16668-2021</t>
        </is>
      </c>
      <c r="B528" s="1" t="n">
        <v>44294</v>
      </c>
      <c r="C528" s="1" t="n">
        <v>45688</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17460-2021</t>
        </is>
      </c>
      <c r="B529" s="1" t="n">
        <v>44299</v>
      </c>
      <c r="C529" s="1" t="n">
        <v>45688</v>
      </c>
      <c r="D529" t="inlineStr">
        <is>
          <t>STOCKHOLMS LÄN</t>
        </is>
      </c>
      <c r="E529" t="inlineStr">
        <is>
          <t>NORRTÄLJE</t>
        </is>
      </c>
      <c r="G529" t="n">
        <v>3.2</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45688</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18580-2021</t>
        </is>
      </c>
      <c r="B531" s="1" t="n">
        <v>44306</v>
      </c>
      <c r="C531" s="1" t="n">
        <v>45688</v>
      </c>
      <c r="D531" t="inlineStr">
        <is>
          <t>STOCKHOLMS LÄN</t>
        </is>
      </c>
      <c r="E531" t="inlineStr">
        <is>
          <t>NORRTÄLJE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18609-2021</t>
        </is>
      </c>
      <c r="B532" s="1" t="n">
        <v>44306</v>
      </c>
      <c r="C532" s="1" t="n">
        <v>45688</v>
      </c>
      <c r="D532" t="inlineStr">
        <is>
          <t>STOCKHOLMS LÄN</t>
        </is>
      </c>
      <c r="E532" t="inlineStr">
        <is>
          <t>NORRTÄLJE</t>
        </is>
      </c>
      <c r="G532" t="n">
        <v>9.5</v>
      </c>
      <c r="H532" t="n">
        <v>0</v>
      </c>
      <c r="I532" t="n">
        <v>0</v>
      </c>
      <c r="J532" t="n">
        <v>0</v>
      </c>
      <c r="K532" t="n">
        <v>0</v>
      </c>
      <c r="L532" t="n">
        <v>0</v>
      </c>
      <c r="M532" t="n">
        <v>0</v>
      </c>
      <c r="N532" t="n">
        <v>0</v>
      </c>
      <c r="O532" t="n">
        <v>0</v>
      </c>
      <c r="P532" t="n">
        <v>0</v>
      </c>
      <c r="Q532" t="n">
        <v>0</v>
      </c>
      <c r="R532" s="2" t="inlineStr"/>
    </row>
    <row r="533" ht="15" customHeight="1">
      <c r="A533" t="inlineStr">
        <is>
          <t>A 18539-2021</t>
        </is>
      </c>
      <c r="B533" s="1" t="n">
        <v>44306</v>
      </c>
      <c r="C533" s="1" t="n">
        <v>45688</v>
      </c>
      <c r="D533" t="inlineStr">
        <is>
          <t>STOCKHOLMS LÄN</t>
        </is>
      </c>
      <c r="E533" t="inlineStr">
        <is>
          <t>NORRTÄLJE</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18570-2021</t>
        </is>
      </c>
      <c r="B534" s="1" t="n">
        <v>44306</v>
      </c>
      <c r="C534" s="1" t="n">
        <v>45688</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19283-2021</t>
        </is>
      </c>
      <c r="B535" s="1" t="n">
        <v>44309</v>
      </c>
      <c r="C535" s="1" t="n">
        <v>45688</v>
      </c>
      <c r="D535" t="inlineStr">
        <is>
          <t>STOCKHOLMS LÄN</t>
        </is>
      </c>
      <c r="E535" t="inlineStr">
        <is>
          <t>NORRTÄLJE</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19400-2021</t>
        </is>
      </c>
      <c r="B536" s="1" t="n">
        <v>44309</v>
      </c>
      <c r="C536" s="1" t="n">
        <v>45688</v>
      </c>
      <c r="D536" t="inlineStr">
        <is>
          <t>STOCKHOLMS LÄN</t>
        </is>
      </c>
      <c r="E536" t="inlineStr">
        <is>
          <t>NORRTÄLJE</t>
        </is>
      </c>
      <c r="F536" t="inlineStr">
        <is>
          <t>Kommuner</t>
        </is>
      </c>
      <c r="G536" t="n">
        <v>2.4</v>
      </c>
      <c r="H536" t="n">
        <v>0</v>
      </c>
      <c r="I536" t="n">
        <v>0</v>
      </c>
      <c r="J536" t="n">
        <v>0</v>
      </c>
      <c r="K536" t="n">
        <v>0</v>
      </c>
      <c r="L536" t="n">
        <v>0</v>
      </c>
      <c r="M536" t="n">
        <v>0</v>
      </c>
      <c r="N536" t="n">
        <v>0</v>
      </c>
      <c r="O536" t="n">
        <v>0</v>
      </c>
      <c r="P536" t="n">
        <v>0</v>
      </c>
      <c r="Q536" t="n">
        <v>0</v>
      </c>
      <c r="R536" s="2" t="inlineStr"/>
    </row>
    <row r="537" ht="15" customHeight="1">
      <c r="A537" t="inlineStr">
        <is>
          <t>A 19307-2021</t>
        </is>
      </c>
      <c r="B537" s="1" t="n">
        <v>44309</v>
      </c>
      <c r="C537" s="1" t="n">
        <v>45688</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19398-2021</t>
        </is>
      </c>
      <c r="B538" s="1" t="n">
        <v>44309</v>
      </c>
      <c r="C538" s="1" t="n">
        <v>45688</v>
      </c>
      <c r="D538" t="inlineStr">
        <is>
          <t>STOCKHOLMS LÄN</t>
        </is>
      </c>
      <c r="E538" t="inlineStr">
        <is>
          <t>NORRTÄLJE</t>
        </is>
      </c>
      <c r="F538" t="inlineStr">
        <is>
          <t>Kommuner</t>
        </is>
      </c>
      <c r="G538" t="n">
        <v>2.1</v>
      </c>
      <c r="H538" t="n">
        <v>0</v>
      </c>
      <c r="I538" t="n">
        <v>0</v>
      </c>
      <c r="J538" t="n">
        <v>0</v>
      </c>
      <c r="K538" t="n">
        <v>0</v>
      </c>
      <c r="L538" t="n">
        <v>0</v>
      </c>
      <c r="M538" t="n">
        <v>0</v>
      </c>
      <c r="N538" t="n">
        <v>0</v>
      </c>
      <c r="O538" t="n">
        <v>0</v>
      </c>
      <c r="P538" t="n">
        <v>0</v>
      </c>
      <c r="Q538" t="n">
        <v>0</v>
      </c>
      <c r="R538" s="2" t="inlineStr"/>
    </row>
    <row r="539" ht="15" customHeight="1">
      <c r="A539" t="inlineStr">
        <is>
          <t>A 20073-2021</t>
        </is>
      </c>
      <c r="B539" s="1" t="n">
        <v>44314</v>
      </c>
      <c r="C539" s="1" t="n">
        <v>45688</v>
      </c>
      <c r="D539" t="inlineStr">
        <is>
          <t>STOCKHOLMS LÄN</t>
        </is>
      </c>
      <c r="E539" t="inlineStr">
        <is>
          <t>NORRTÄLJE</t>
        </is>
      </c>
      <c r="G539" t="n">
        <v>4.6</v>
      </c>
      <c r="H539" t="n">
        <v>0</v>
      </c>
      <c r="I539" t="n">
        <v>0</v>
      </c>
      <c r="J539" t="n">
        <v>0</v>
      </c>
      <c r="K539" t="n">
        <v>0</v>
      </c>
      <c r="L539" t="n">
        <v>0</v>
      </c>
      <c r="M539" t="n">
        <v>0</v>
      </c>
      <c r="N539" t="n">
        <v>0</v>
      </c>
      <c r="O539" t="n">
        <v>0</v>
      </c>
      <c r="P539" t="n">
        <v>0</v>
      </c>
      <c r="Q539" t="n">
        <v>0</v>
      </c>
      <c r="R539" s="2" t="inlineStr"/>
    </row>
    <row r="540" ht="15" customHeight="1">
      <c r="A540" t="inlineStr">
        <is>
          <t>A 20473-2021</t>
        </is>
      </c>
      <c r="B540" s="1" t="n">
        <v>44315</v>
      </c>
      <c r="C540" s="1" t="n">
        <v>45688</v>
      </c>
      <c r="D540" t="inlineStr">
        <is>
          <t>STOCKHOLMS LÄN</t>
        </is>
      </c>
      <c r="E540" t="inlineStr">
        <is>
          <t>NORRTÄLJE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21291-2021</t>
        </is>
      </c>
      <c r="B541" s="1" t="n">
        <v>44319</v>
      </c>
      <c r="C541" s="1" t="n">
        <v>45688</v>
      </c>
      <c r="D541" t="inlineStr">
        <is>
          <t>STOCKHOLMS LÄN</t>
        </is>
      </c>
      <c r="E541" t="inlineStr">
        <is>
          <t>NORRTÄLJE</t>
        </is>
      </c>
      <c r="G541" t="n">
        <v>12.7</v>
      </c>
      <c r="H541" t="n">
        <v>0</v>
      </c>
      <c r="I541" t="n">
        <v>0</v>
      </c>
      <c r="J541" t="n">
        <v>0</v>
      </c>
      <c r="K541" t="n">
        <v>0</v>
      </c>
      <c r="L541" t="n">
        <v>0</v>
      </c>
      <c r="M541" t="n">
        <v>0</v>
      </c>
      <c r="N541" t="n">
        <v>0</v>
      </c>
      <c r="O541" t="n">
        <v>0</v>
      </c>
      <c r="P541" t="n">
        <v>0</v>
      </c>
      <c r="Q541" t="n">
        <v>0</v>
      </c>
      <c r="R541" s="2" t="inlineStr"/>
    </row>
    <row r="542" ht="15" customHeight="1">
      <c r="A542" t="inlineStr">
        <is>
          <t>A 21529-2021</t>
        </is>
      </c>
      <c r="B542" s="1" t="n">
        <v>44321</v>
      </c>
      <c r="C542" s="1" t="n">
        <v>45688</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22832-2021</t>
        </is>
      </c>
      <c r="B543" s="1" t="n">
        <v>44325</v>
      </c>
      <c r="C543" s="1" t="n">
        <v>45688</v>
      </c>
      <c r="D543" t="inlineStr">
        <is>
          <t>STOCKHOLMS LÄN</t>
        </is>
      </c>
      <c r="E543" t="inlineStr">
        <is>
          <t>NORRTÄLJE</t>
        </is>
      </c>
      <c r="G543" t="n">
        <v>6.8</v>
      </c>
      <c r="H543" t="n">
        <v>0</v>
      </c>
      <c r="I543" t="n">
        <v>0</v>
      </c>
      <c r="J543" t="n">
        <v>0</v>
      </c>
      <c r="K543" t="n">
        <v>0</v>
      </c>
      <c r="L543" t="n">
        <v>0</v>
      </c>
      <c r="M543" t="n">
        <v>0</v>
      </c>
      <c r="N543" t="n">
        <v>0</v>
      </c>
      <c r="O543" t="n">
        <v>0</v>
      </c>
      <c r="P543" t="n">
        <v>0</v>
      </c>
      <c r="Q543" t="n">
        <v>0</v>
      </c>
      <c r="R543" s="2" t="inlineStr"/>
    </row>
    <row r="544" ht="15" customHeight="1">
      <c r="A544" t="inlineStr">
        <is>
          <t>A 22816-2021</t>
        </is>
      </c>
      <c r="B544" s="1" t="n">
        <v>44325</v>
      </c>
      <c r="C544" s="1" t="n">
        <v>45688</v>
      </c>
      <c r="D544" t="inlineStr">
        <is>
          <t>STOCKHOLMS LÄN</t>
        </is>
      </c>
      <c r="E544" t="inlineStr">
        <is>
          <t>NORRTÄLJE</t>
        </is>
      </c>
      <c r="G544" t="n">
        <v>4.5</v>
      </c>
      <c r="H544" t="n">
        <v>0</v>
      </c>
      <c r="I544" t="n">
        <v>0</v>
      </c>
      <c r="J544" t="n">
        <v>0</v>
      </c>
      <c r="K544" t="n">
        <v>0</v>
      </c>
      <c r="L544" t="n">
        <v>0</v>
      </c>
      <c r="M544" t="n">
        <v>0</v>
      </c>
      <c r="N544" t="n">
        <v>0</v>
      </c>
      <c r="O544" t="n">
        <v>0</v>
      </c>
      <c r="P544" t="n">
        <v>0</v>
      </c>
      <c r="Q544" t="n">
        <v>0</v>
      </c>
      <c r="R544" s="2" t="inlineStr"/>
    </row>
    <row r="545" ht="15" customHeight="1">
      <c r="A545" t="inlineStr">
        <is>
          <t>A 22369-2021</t>
        </is>
      </c>
      <c r="B545" s="1" t="n">
        <v>44326</v>
      </c>
      <c r="C545" s="1" t="n">
        <v>45688</v>
      </c>
      <c r="D545" t="inlineStr">
        <is>
          <t>STOCKHOLMS LÄN</t>
        </is>
      </c>
      <c r="E545" t="inlineStr">
        <is>
          <t>NORRTÄLJE</t>
        </is>
      </c>
      <c r="F545" t="inlineStr">
        <is>
          <t>Holmen skog AB</t>
        </is>
      </c>
      <c r="G545" t="n">
        <v>3.4</v>
      </c>
      <c r="H545" t="n">
        <v>0</v>
      </c>
      <c r="I545" t="n">
        <v>0</v>
      </c>
      <c r="J545" t="n">
        <v>0</v>
      </c>
      <c r="K545" t="n">
        <v>0</v>
      </c>
      <c r="L545" t="n">
        <v>0</v>
      </c>
      <c r="M545" t="n">
        <v>0</v>
      </c>
      <c r="N545" t="n">
        <v>0</v>
      </c>
      <c r="O545" t="n">
        <v>0</v>
      </c>
      <c r="P545" t="n">
        <v>0</v>
      </c>
      <c r="Q545" t="n">
        <v>0</v>
      </c>
      <c r="R545" s="2" t="inlineStr"/>
    </row>
    <row r="546" ht="15" customHeight="1">
      <c r="A546" t="inlineStr">
        <is>
          <t>A 22421-2021</t>
        </is>
      </c>
      <c r="B546" s="1" t="n">
        <v>44326</v>
      </c>
      <c r="C546" s="1" t="n">
        <v>45688</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22412-2021</t>
        </is>
      </c>
      <c r="B547" s="1" t="n">
        <v>44326</v>
      </c>
      <c r="C547" s="1" t="n">
        <v>45688</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23123-2021</t>
        </is>
      </c>
      <c r="B548" s="1" t="n">
        <v>44330</v>
      </c>
      <c r="C548" s="1" t="n">
        <v>45688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23096-2021</t>
        </is>
      </c>
      <c r="B549" s="1" t="n">
        <v>44330</v>
      </c>
      <c r="C549" s="1" t="n">
        <v>45688</v>
      </c>
      <c r="D549" t="inlineStr">
        <is>
          <t>STOCKHOLMS LÄN</t>
        </is>
      </c>
      <c r="E549" t="inlineStr">
        <is>
          <t>NORRTÄLJE</t>
        </is>
      </c>
      <c r="G549" t="n">
        <v>0.3</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45688</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23453-2021</t>
        </is>
      </c>
      <c r="B551" s="1" t="n">
        <v>44333</v>
      </c>
      <c r="C551" s="1" t="n">
        <v>45688</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24082-2021</t>
        </is>
      </c>
      <c r="B552" s="1" t="n">
        <v>44336</v>
      </c>
      <c r="C552" s="1" t="n">
        <v>45688</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25463-2021</t>
        </is>
      </c>
      <c r="B553" s="1" t="n">
        <v>44342</v>
      </c>
      <c r="C553" s="1" t="n">
        <v>45688</v>
      </c>
      <c r="D553" t="inlineStr">
        <is>
          <t>STOCKHOLMS LÄN</t>
        </is>
      </c>
      <c r="E553" t="inlineStr">
        <is>
          <t>NORRTÄLJE</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27217-2021</t>
        </is>
      </c>
      <c r="B554" s="1" t="n">
        <v>44350</v>
      </c>
      <c r="C554" s="1" t="n">
        <v>45688</v>
      </c>
      <c r="D554" t="inlineStr">
        <is>
          <t>STOCKHOLMS LÄN</t>
        </is>
      </c>
      <c r="E554" t="inlineStr">
        <is>
          <t>NORRTÄLJE</t>
        </is>
      </c>
      <c r="G554" t="n">
        <v>5.5</v>
      </c>
      <c r="H554" t="n">
        <v>0</v>
      </c>
      <c r="I554" t="n">
        <v>0</v>
      </c>
      <c r="J554" t="n">
        <v>0</v>
      </c>
      <c r="K554" t="n">
        <v>0</v>
      </c>
      <c r="L554" t="n">
        <v>0</v>
      </c>
      <c r="M554" t="n">
        <v>0</v>
      </c>
      <c r="N554" t="n">
        <v>0</v>
      </c>
      <c r="O554" t="n">
        <v>0</v>
      </c>
      <c r="P554" t="n">
        <v>0</v>
      </c>
      <c r="Q554" t="n">
        <v>0</v>
      </c>
      <c r="R554" s="2" t="inlineStr"/>
    </row>
    <row r="555" ht="15" customHeight="1">
      <c r="A555" t="inlineStr">
        <is>
          <t>A 27214-2021</t>
        </is>
      </c>
      <c r="B555" s="1" t="n">
        <v>44350</v>
      </c>
      <c r="C555" s="1" t="n">
        <v>45688</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29357-2021</t>
        </is>
      </c>
      <c r="B556" s="1" t="n">
        <v>44361</v>
      </c>
      <c r="C556" s="1" t="n">
        <v>45688</v>
      </c>
      <c r="D556" t="inlineStr">
        <is>
          <t>STOCKHOLMS LÄN</t>
        </is>
      </c>
      <c r="E556" t="inlineStr">
        <is>
          <t>NORRTÄLJE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29680-2021</t>
        </is>
      </c>
      <c r="B557" s="1" t="n">
        <v>44362</v>
      </c>
      <c r="C557" s="1" t="n">
        <v>45688</v>
      </c>
      <c r="D557" t="inlineStr">
        <is>
          <t>STOCKHOLMS LÄN</t>
        </is>
      </c>
      <c r="E557" t="inlineStr">
        <is>
          <t>NORRTÄLJE</t>
        </is>
      </c>
      <c r="F557" t="inlineStr">
        <is>
          <t>Holmen skog AB</t>
        </is>
      </c>
      <c r="G557" t="n">
        <v>0.7</v>
      </c>
      <c r="H557" t="n">
        <v>0</v>
      </c>
      <c r="I557" t="n">
        <v>0</v>
      </c>
      <c r="J557" t="n">
        <v>0</v>
      </c>
      <c r="K557" t="n">
        <v>0</v>
      </c>
      <c r="L557" t="n">
        <v>0</v>
      </c>
      <c r="M557" t="n">
        <v>0</v>
      </c>
      <c r="N557" t="n">
        <v>0</v>
      </c>
      <c r="O557" t="n">
        <v>0</v>
      </c>
      <c r="P557" t="n">
        <v>0</v>
      </c>
      <c r="Q557" t="n">
        <v>0</v>
      </c>
      <c r="R557" s="2" t="inlineStr"/>
    </row>
    <row r="558" ht="15" customHeight="1">
      <c r="A558" t="inlineStr">
        <is>
          <t>A 29684-2021</t>
        </is>
      </c>
      <c r="B558" s="1" t="n">
        <v>44362</v>
      </c>
      <c r="C558" s="1" t="n">
        <v>45688</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30129-2021</t>
        </is>
      </c>
      <c r="B559" s="1" t="n">
        <v>44363</v>
      </c>
      <c r="C559" s="1" t="n">
        <v>45688</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31688-2021</t>
        </is>
      </c>
      <c r="B560" s="1" t="n">
        <v>44369</v>
      </c>
      <c r="C560" s="1" t="n">
        <v>45688</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32002-2021</t>
        </is>
      </c>
      <c r="B561" s="1" t="n">
        <v>44370</v>
      </c>
      <c r="C561" s="1" t="n">
        <v>45688</v>
      </c>
      <c r="D561" t="inlineStr">
        <is>
          <t>STOCKHOLMS LÄN</t>
        </is>
      </c>
      <c r="E561" t="inlineStr">
        <is>
          <t>NORRTÄLJE</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32051-2021</t>
        </is>
      </c>
      <c r="B562" s="1" t="n">
        <v>44370</v>
      </c>
      <c r="C562" s="1" t="n">
        <v>45688</v>
      </c>
      <c r="D562" t="inlineStr">
        <is>
          <t>STOCKHOLMS LÄN</t>
        </is>
      </c>
      <c r="E562" t="inlineStr">
        <is>
          <t>NORRTÄLJE</t>
        </is>
      </c>
      <c r="G562" t="n">
        <v>4.6</v>
      </c>
      <c r="H562" t="n">
        <v>0</v>
      </c>
      <c r="I562" t="n">
        <v>0</v>
      </c>
      <c r="J562" t="n">
        <v>0</v>
      </c>
      <c r="K562" t="n">
        <v>0</v>
      </c>
      <c r="L562" t="n">
        <v>0</v>
      </c>
      <c r="M562" t="n">
        <v>0</v>
      </c>
      <c r="N562" t="n">
        <v>0</v>
      </c>
      <c r="O562" t="n">
        <v>0</v>
      </c>
      <c r="P562" t="n">
        <v>0</v>
      </c>
      <c r="Q562" t="n">
        <v>0</v>
      </c>
      <c r="R562" s="2" t="inlineStr"/>
    </row>
    <row r="563" ht="15" customHeight="1">
      <c r="A563" t="inlineStr">
        <is>
          <t>A 32055-2021</t>
        </is>
      </c>
      <c r="B563" s="1" t="n">
        <v>44370</v>
      </c>
      <c r="C563" s="1" t="n">
        <v>45688</v>
      </c>
      <c r="D563" t="inlineStr">
        <is>
          <t>STOCKHOLMS LÄN</t>
        </is>
      </c>
      <c r="E563" t="inlineStr">
        <is>
          <t>NORRTÄLJE</t>
        </is>
      </c>
      <c r="G563" t="n">
        <v>1.2</v>
      </c>
      <c r="H563" t="n">
        <v>0</v>
      </c>
      <c r="I563" t="n">
        <v>0</v>
      </c>
      <c r="J563" t="n">
        <v>0</v>
      </c>
      <c r="K563" t="n">
        <v>0</v>
      </c>
      <c r="L563" t="n">
        <v>0</v>
      </c>
      <c r="M563" t="n">
        <v>0</v>
      </c>
      <c r="N563" t="n">
        <v>0</v>
      </c>
      <c r="O563" t="n">
        <v>0</v>
      </c>
      <c r="P563" t="n">
        <v>0</v>
      </c>
      <c r="Q563" t="n">
        <v>0</v>
      </c>
      <c r="R563" s="2" t="inlineStr"/>
    </row>
    <row r="564" ht="15" customHeight="1">
      <c r="A564" t="inlineStr">
        <is>
          <t>A 32561-2021</t>
        </is>
      </c>
      <c r="B564" s="1" t="n">
        <v>44375</v>
      </c>
      <c r="C564" s="1" t="n">
        <v>45688</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32857-2021</t>
        </is>
      </c>
      <c r="B565" s="1" t="n">
        <v>44375</v>
      </c>
      <c r="C565" s="1" t="n">
        <v>45688</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33053-2021</t>
        </is>
      </c>
      <c r="B566" s="1" t="n">
        <v>44376</v>
      </c>
      <c r="C566" s="1" t="n">
        <v>45688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33046-2021</t>
        </is>
      </c>
      <c r="B567" s="1" t="n">
        <v>44376</v>
      </c>
      <c r="C567" s="1" t="n">
        <v>45688</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33040-2021</t>
        </is>
      </c>
      <c r="B568" s="1" t="n">
        <v>44376</v>
      </c>
      <c r="C568" s="1" t="n">
        <v>45688</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34520-2021</t>
        </is>
      </c>
      <c r="B569" s="1" t="n">
        <v>44379</v>
      </c>
      <c r="C569" s="1" t="n">
        <v>45688</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34432-2021</t>
        </is>
      </c>
      <c r="B570" s="1" t="n">
        <v>44380</v>
      </c>
      <c r="C570" s="1" t="n">
        <v>45688</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34431-2021</t>
        </is>
      </c>
      <c r="B571" s="1" t="n">
        <v>44380</v>
      </c>
      <c r="C571" s="1" t="n">
        <v>45688</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34436-2021</t>
        </is>
      </c>
      <c r="B572" s="1" t="n">
        <v>44380</v>
      </c>
      <c r="C572" s="1" t="n">
        <v>45688</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34731-2021</t>
        </is>
      </c>
      <c r="B573" s="1" t="n">
        <v>44382</v>
      </c>
      <c r="C573" s="1" t="n">
        <v>45688</v>
      </c>
      <c r="D573" t="inlineStr">
        <is>
          <t>STOCKHOLMS LÄN</t>
        </is>
      </c>
      <c r="E573" t="inlineStr">
        <is>
          <t>NORRTÄLJE</t>
        </is>
      </c>
      <c r="G573" t="n">
        <v>0.2</v>
      </c>
      <c r="H573" t="n">
        <v>0</v>
      </c>
      <c r="I573" t="n">
        <v>0</v>
      </c>
      <c r="J573" t="n">
        <v>0</v>
      </c>
      <c r="K573" t="n">
        <v>0</v>
      </c>
      <c r="L573" t="n">
        <v>0</v>
      </c>
      <c r="M573" t="n">
        <v>0</v>
      </c>
      <c r="N573" t="n">
        <v>0</v>
      </c>
      <c r="O573" t="n">
        <v>0</v>
      </c>
      <c r="P573" t="n">
        <v>0</v>
      </c>
      <c r="Q573" t="n">
        <v>0</v>
      </c>
      <c r="R573" s="2" t="inlineStr"/>
    </row>
    <row r="574" ht="15" customHeight="1">
      <c r="A574" t="inlineStr">
        <is>
          <t>A 34792-2021</t>
        </is>
      </c>
      <c r="B574" s="1" t="n">
        <v>44383</v>
      </c>
      <c r="C574" s="1" t="n">
        <v>45688</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36246-2021</t>
        </is>
      </c>
      <c r="B575" s="1" t="n">
        <v>44390</v>
      </c>
      <c r="C575" s="1" t="n">
        <v>45688</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36565-2021</t>
        </is>
      </c>
      <c r="B576" s="1" t="n">
        <v>44391</v>
      </c>
      <c r="C576" s="1" t="n">
        <v>45688</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37085-2021</t>
        </is>
      </c>
      <c r="B577" s="1" t="n">
        <v>44395</v>
      </c>
      <c r="C577" s="1" t="n">
        <v>45688</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37344-2021</t>
        </is>
      </c>
      <c r="B578" s="1" t="n">
        <v>44397</v>
      </c>
      <c r="C578" s="1" t="n">
        <v>45688</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37415-2021</t>
        </is>
      </c>
      <c r="B579" s="1" t="n">
        <v>44397</v>
      </c>
      <c r="C579" s="1" t="n">
        <v>45688</v>
      </c>
      <c r="D579" t="inlineStr">
        <is>
          <t>STOCKHOLMS LÄN</t>
        </is>
      </c>
      <c r="E579" t="inlineStr">
        <is>
          <t>NORRTÄLJE</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37444-2021</t>
        </is>
      </c>
      <c r="B580" s="1" t="n">
        <v>44398</v>
      </c>
      <c r="C580" s="1" t="n">
        <v>45688</v>
      </c>
      <c r="D580" t="inlineStr">
        <is>
          <t>STOCKHOLMS LÄN</t>
        </is>
      </c>
      <c r="E580" t="inlineStr">
        <is>
          <t>NORRTÄLJE</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37462-2021</t>
        </is>
      </c>
      <c r="B581" s="1" t="n">
        <v>44398</v>
      </c>
      <c r="C581" s="1" t="n">
        <v>45688</v>
      </c>
      <c r="D581" t="inlineStr">
        <is>
          <t>STOCKHOLMS LÄN</t>
        </is>
      </c>
      <c r="E581" t="inlineStr">
        <is>
          <t>NORRTÄLJE</t>
        </is>
      </c>
      <c r="G581" t="n">
        <v>3.5</v>
      </c>
      <c r="H581" t="n">
        <v>0</v>
      </c>
      <c r="I581" t="n">
        <v>0</v>
      </c>
      <c r="J581" t="n">
        <v>0</v>
      </c>
      <c r="K581" t="n">
        <v>0</v>
      </c>
      <c r="L581" t="n">
        <v>0</v>
      </c>
      <c r="M581" t="n">
        <v>0</v>
      </c>
      <c r="N581" t="n">
        <v>0</v>
      </c>
      <c r="O581" t="n">
        <v>0</v>
      </c>
      <c r="P581" t="n">
        <v>0</v>
      </c>
      <c r="Q581" t="n">
        <v>0</v>
      </c>
      <c r="R581" s="2" t="inlineStr"/>
    </row>
    <row r="582" ht="15" customHeight="1">
      <c r="A582" t="inlineStr">
        <is>
          <t>A 37530-2021</t>
        </is>
      </c>
      <c r="B582" s="1" t="n">
        <v>44399</v>
      </c>
      <c r="C582" s="1" t="n">
        <v>45688</v>
      </c>
      <c r="D582" t="inlineStr">
        <is>
          <t>STOCKHOLMS LÄN</t>
        </is>
      </c>
      <c r="E582" t="inlineStr">
        <is>
          <t>NORRTÄLJE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37522-2021</t>
        </is>
      </c>
      <c r="B583" s="1" t="n">
        <v>44399</v>
      </c>
      <c r="C583" s="1" t="n">
        <v>45688</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37525-2021</t>
        </is>
      </c>
      <c r="B584" s="1" t="n">
        <v>44399</v>
      </c>
      <c r="C584" s="1" t="n">
        <v>45688</v>
      </c>
      <c r="D584" t="inlineStr">
        <is>
          <t>STOCKHOLMS LÄN</t>
        </is>
      </c>
      <c r="E584" t="inlineStr">
        <is>
          <t>NORRTÄLJE</t>
        </is>
      </c>
      <c r="F584" t="inlineStr">
        <is>
          <t>Holmen skog AB</t>
        </is>
      </c>
      <c r="G584" t="n">
        <v>2.5</v>
      </c>
      <c r="H584" t="n">
        <v>0</v>
      </c>
      <c r="I584" t="n">
        <v>0</v>
      </c>
      <c r="J584" t="n">
        <v>0</v>
      </c>
      <c r="K584" t="n">
        <v>0</v>
      </c>
      <c r="L584" t="n">
        <v>0</v>
      </c>
      <c r="M584" t="n">
        <v>0</v>
      </c>
      <c r="N584" t="n">
        <v>0</v>
      </c>
      <c r="O584" t="n">
        <v>0</v>
      </c>
      <c r="P584" t="n">
        <v>0</v>
      </c>
      <c r="Q584" t="n">
        <v>0</v>
      </c>
      <c r="R584" s="2" t="inlineStr"/>
    </row>
    <row r="585" ht="15" customHeight="1">
      <c r="A585" t="inlineStr">
        <is>
          <t>A 37712-2021</t>
        </is>
      </c>
      <c r="B585" s="1" t="n">
        <v>44400</v>
      </c>
      <c r="C585" s="1" t="n">
        <v>45688</v>
      </c>
      <c r="D585" t="inlineStr">
        <is>
          <t>STOCKHOLMS LÄN</t>
        </is>
      </c>
      <c r="E585" t="inlineStr">
        <is>
          <t>NORRTÄLJE</t>
        </is>
      </c>
      <c r="G585" t="n">
        <v>22.9</v>
      </c>
      <c r="H585" t="n">
        <v>0</v>
      </c>
      <c r="I585" t="n">
        <v>0</v>
      </c>
      <c r="J585" t="n">
        <v>0</v>
      </c>
      <c r="K585" t="n">
        <v>0</v>
      </c>
      <c r="L585" t="n">
        <v>0</v>
      </c>
      <c r="M585" t="n">
        <v>0</v>
      </c>
      <c r="N585" t="n">
        <v>0</v>
      </c>
      <c r="O585" t="n">
        <v>0</v>
      </c>
      <c r="P585" t="n">
        <v>0</v>
      </c>
      <c r="Q585" t="n">
        <v>0</v>
      </c>
      <c r="R585" s="2" t="inlineStr"/>
    </row>
    <row r="586" ht="15" customHeight="1">
      <c r="A586" t="inlineStr">
        <is>
          <t>A 37859-2021</t>
        </is>
      </c>
      <c r="B586" s="1" t="n">
        <v>44403</v>
      </c>
      <c r="C586" s="1" t="n">
        <v>45688</v>
      </c>
      <c r="D586" t="inlineStr">
        <is>
          <t>STOCKHOLMS LÄN</t>
        </is>
      </c>
      <c r="E586" t="inlineStr">
        <is>
          <t>NORRTÄLJE</t>
        </is>
      </c>
      <c r="F586" t="inlineStr">
        <is>
          <t>Holmen skog AB</t>
        </is>
      </c>
      <c r="G586" t="n">
        <v>6.9</v>
      </c>
      <c r="H586" t="n">
        <v>0</v>
      </c>
      <c r="I586" t="n">
        <v>0</v>
      </c>
      <c r="J586" t="n">
        <v>0</v>
      </c>
      <c r="K586" t="n">
        <v>0</v>
      </c>
      <c r="L586" t="n">
        <v>0</v>
      </c>
      <c r="M586" t="n">
        <v>0</v>
      </c>
      <c r="N586" t="n">
        <v>0</v>
      </c>
      <c r="O586" t="n">
        <v>0</v>
      </c>
      <c r="P586" t="n">
        <v>0</v>
      </c>
      <c r="Q586" t="n">
        <v>0</v>
      </c>
      <c r="R586" s="2" t="inlineStr"/>
    </row>
    <row r="587" ht="15" customHeight="1">
      <c r="A587" t="inlineStr">
        <is>
          <t>A 39157-2021</t>
        </is>
      </c>
      <c r="B587" s="1" t="n">
        <v>44412</v>
      </c>
      <c r="C587" s="1" t="n">
        <v>45688</v>
      </c>
      <c r="D587" t="inlineStr">
        <is>
          <t>STOCKHOLMS LÄN</t>
        </is>
      </c>
      <c r="E587" t="inlineStr">
        <is>
          <t>NORRTÄLJE</t>
        </is>
      </c>
      <c r="G587" t="n">
        <v>3.1</v>
      </c>
      <c r="H587" t="n">
        <v>0</v>
      </c>
      <c r="I587" t="n">
        <v>0</v>
      </c>
      <c r="J587" t="n">
        <v>0</v>
      </c>
      <c r="K587" t="n">
        <v>0</v>
      </c>
      <c r="L587" t="n">
        <v>0</v>
      </c>
      <c r="M587" t="n">
        <v>0</v>
      </c>
      <c r="N587" t="n">
        <v>0</v>
      </c>
      <c r="O587" t="n">
        <v>0</v>
      </c>
      <c r="P587" t="n">
        <v>0</v>
      </c>
      <c r="Q587" t="n">
        <v>0</v>
      </c>
      <c r="R587" s="2" t="inlineStr"/>
    </row>
    <row r="588" ht="15" customHeight="1">
      <c r="A588" t="inlineStr">
        <is>
          <t>A 39496-2021</t>
        </is>
      </c>
      <c r="B588" s="1" t="n">
        <v>44414</v>
      </c>
      <c r="C588" s="1" t="n">
        <v>45688</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v>
      </c>
      <c r="C589" s="1" t="n">
        <v>45688</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40425-2021</t>
        </is>
      </c>
      <c r="B590" s="1" t="n">
        <v>44419</v>
      </c>
      <c r="C590" s="1" t="n">
        <v>45688</v>
      </c>
      <c r="D590" t="inlineStr">
        <is>
          <t>STOCKHOLMS LÄN</t>
        </is>
      </c>
      <c r="E590" t="inlineStr">
        <is>
          <t>NORRTÄLJE</t>
        </is>
      </c>
      <c r="G590" t="n">
        <v>5</v>
      </c>
      <c r="H590" t="n">
        <v>0</v>
      </c>
      <c r="I590" t="n">
        <v>0</v>
      </c>
      <c r="J590" t="n">
        <v>0</v>
      </c>
      <c r="K590" t="n">
        <v>0</v>
      </c>
      <c r="L590" t="n">
        <v>0</v>
      </c>
      <c r="M590" t="n">
        <v>0</v>
      </c>
      <c r="N590" t="n">
        <v>0</v>
      </c>
      <c r="O590" t="n">
        <v>0</v>
      </c>
      <c r="P590" t="n">
        <v>0</v>
      </c>
      <c r="Q590" t="n">
        <v>0</v>
      </c>
      <c r="R590" s="2" t="inlineStr"/>
    </row>
    <row r="591" ht="15" customHeight="1">
      <c r="A591" t="inlineStr">
        <is>
          <t>A 40542-2021</t>
        </is>
      </c>
      <c r="B591" s="1" t="n">
        <v>44420</v>
      </c>
      <c r="C591" s="1" t="n">
        <v>45688</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40546-2021</t>
        </is>
      </c>
      <c r="B592" s="1" t="n">
        <v>44420</v>
      </c>
      <c r="C592" s="1" t="n">
        <v>45688</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41595-2021</t>
        </is>
      </c>
      <c r="B593" s="1" t="n">
        <v>44425</v>
      </c>
      <c r="C593" s="1" t="n">
        <v>45688</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41823-2021</t>
        </is>
      </c>
      <c r="B594" s="1" t="n">
        <v>44425</v>
      </c>
      <c r="C594" s="1" t="n">
        <v>45688</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41822-2021</t>
        </is>
      </c>
      <c r="B595" s="1" t="n">
        <v>44425</v>
      </c>
      <c r="C595" s="1" t="n">
        <v>45688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42396-2021</t>
        </is>
      </c>
      <c r="B596" s="1" t="n">
        <v>44427</v>
      </c>
      <c r="C596" s="1" t="n">
        <v>45688</v>
      </c>
      <c r="D596" t="inlineStr">
        <is>
          <t>STOCKHOLMS LÄN</t>
        </is>
      </c>
      <c r="E596" t="inlineStr">
        <is>
          <t>NORRTÄLJE</t>
        </is>
      </c>
      <c r="G596" t="n">
        <v>2</v>
      </c>
      <c r="H596" t="n">
        <v>0</v>
      </c>
      <c r="I596" t="n">
        <v>0</v>
      </c>
      <c r="J596" t="n">
        <v>0</v>
      </c>
      <c r="K596" t="n">
        <v>0</v>
      </c>
      <c r="L596" t="n">
        <v>0</v>
      </c>
      <c r="M596" t="n">
        <v>0</v>
      </c>
      <c r="N596" t="n">
        <v>0</v>
      </c>
      <c r="O596" t="n">
        <v>0</v>
      </c>
      <c r="P596" t="n">
        <v>0</v>
      </c>
      <c r="Q596" t="n">
        <v>0</v>
      </c>
      <c r="R596" s="2" t="inlineStr"/>
    </row>
    <row r="597" ht="15" customHeight="1">
      <c r="A597" t="inlineStr">
        <is>
          <t>A 43478-2021</t>
        </is>
      </c>
      <c r="B597" s="1" t="n">
        <v>44432</v>
      </c>
      <c r="C597" s="1" t="n">
        <v>45688</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44274-2021</t>
        </is>
      </c>
      <c r="B598" s="1" t="n">
        <v>44435</v>
      </c>
      <c r="C598" s="1" t="n">
        <v>45688</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47344-2021</t>
        </is>
      </c>
      <c r="B599" s="1" t="n">
        <v>44447</v>
      </c>
      <c r="C599" s="1" t="n">
        <v>45688</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47349-2021</t>
        </is>
      </c>
      <c r="B600" s="1" t="n">
        <v>44447</v>
      </c>
      <c r="C600" s="1" t="n">
        <v>45688</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47691-2021</t>
        </is>
      </c>
      <c r="B601" s="1" t="n">
        <v>44448</v>
      </c>
      <c r="C601" s="1" t="n">
        <v>45688</v>
      </c>
      <c r="D601" t="inlineStr">
        <is>
          <t>STOCKHOLMS LÄN</t>
        </is>
      </c>
      <c r="E601" t="inlineStr">
        <is>
          <t>NORRTÄLJE</t>
        </is>
      </c>
      <c r="G601" t="n">
        <v>2.8</v>
      </c>
      <c r="H601" t="n">
        <v>0</v>
      </c>
      <c r="I601" t="n">
        <v>0</v>
      </c>
      <c r="J601" t="n">
        <v>0</v>
      </c>
      <c r="K601" t="n">
        <v>0</v>
      </c>
      <c r="L601" t="n">
        <v>0</v>
      </c>
      <c r="M601" t="n">
        <v>0</v>
      </c>
      <c r="N601" t="n">
        <v>0</v>
      </c>
      <c r="O601" t="n">
        <v>0</v>
      </c>
      <c r="P601" t="n">
        <v>0</v>
      </c>
      <c r="Q601" t="n">
        <v>0</v>
      </c>
      <c r="R601" s="2" t="inlineStr"/>
    </row>
    <row r="602" ht="15" customHeight="1">
      <c r="A602" t="inlineStr">
        <is>
          <t>A 48384-2021</t>
        </is>
      </c>
      <c r="B602" s="1" t="n">
        <v>44451</v>
      </c>
      <c r="C602" s="1" t="n">
        <v>45688</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48798-2021</t>
        </is>
      </c>
      <c r="B603" s="1" t="n">
        <v>44452</v>
      </c>
      <c r="C603" s="1" t="n">
        <v>45688</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48932-2021</t>
        </is>
      </c>
      <c r="B604" s="1" t="n">
        <v>44453</v>
      </c>
      <c r="C604" s="1" t="n">
        <v>45688</v>
      </c>
      <c r="D604" t="inlineStr">
        <is>
          <t>STOCKHOLMS LÄN</t>
        </is>
      </c>
      <c r="E604" t="inlineStr">
        <is>
          <t>NORRTÄLJE</t>
        </is>
      </c>
      <c r="G604" t="n">
        <v>11.2</v>
      </c>
      <c r="H604" t="n">
        <v>0</v>
      </c>
      <c r="I604" t="n">
        <v>0</v>
      </c>
      <c r="J604" t="n">
        <v>0</v>
      </c>
      <c r="K604" t="n">
        <v>0</v>
      </c>
      <c r="L604" t="n">
        <v>0</v>
      </c>
      <c r="M604" t="n">
        <v>0</v>
      </c>
      <c r="N604" t="n">
        <v>0</v>
      </c>
      <c r="O604" t="n">
        <v>0</v>
      </c>
      <c r="P604" t="n">
        <v>0</v>
      </c>
      <c r="Q604" t="n">
        <v>0</v>
      </c>
      <c r="R604" s="2" t="inlineStr"/>
    </row>
    <row r="605" ht="15" customHeight="1">
      <c r="A605" t="inlineStr">
        <is>
          <t>A 49113-2021</t>
        </is>
      </c>
      <c r="B605" s="1" t="n">
        <v>44453</v>
      </c>
      <c r="C605" s="1" t="n">
        <v>45688</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50038-2021</t>
        </is>
      </c>
      <c r="B606" s="1" t="n">
        <v>44456</v>
      </c>
      <c r="C606" s="1" t="n">
        <v>45688</v>
      </c>
      <c r="D606" t="inlineStr">
        <is>
          <t>STOCKHOLMS LÄN</t>
        </is>
      </c>
      <c r="E606" t="inlineStr">
        <is>
          <t>NORRTÄLJE</t>
        </is>
      </c>
      <c r="G606" t="n">
        <v>4.2</v>
      </c>
      <c r="H606" t="n">
        <v>0</v>
      </c>
      <c r="I606" t="n">
        <v>0</v>
      </c>
      <c r="J606" t="n">
        <v>0</v>
      </c>
      <c r="K606" t="n">
        <v>0</v>
      </c>
      <c r="L606" t="n">
        <v>0</v>
      </c>
      <c r="M606" t="n">
        <v>0</v>
      </c>
      <c r="N606" t="n">
        <v>0</v>
      </c>
      <c r="O606" t="n">
        <v>0</v>
      </c>
      <c r="P606" t="n">
        <v>0</v>
      </c>
      <c r="Q606" t="n">
        <v>0</v>
      </c>
      <c r="R606" s="2" t="inlineStr"/>
    </row>
    <row r="607" ht="15" customHeight="1">
      <c r="A607" t="inlineStr">
        <is>
          <t>A 50108-2021</t>
        </is>
      </c>
      <c r="B607" s="1" t="n">
        <v>44456</v>
      </c>
      <c r="C607" s="1" t="n">
        <v>45688</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50252-2021</t>
        </is>
      </c>
      <c r="B608" s="1" t="n">
        <v>44458</v>
      </c>
      <c r="C608" s="1" t="n">
        <v>45688</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50602-2021</t>
        </is>
      </c>
      <c r="B609" s="1" t="n">
        <v>44459</v>
      </c>
      <c r="C609" s="1" t="n">
        <v>45688</v>
      </c>
      <c r="D609" t="inlineStr">
        <is>
          <t>STOCKHOLMS LÄN</t>
        </is>
      </c>
      <c r="E609" t="inlineStr">
        <is>
          <t>NORRTÄLJE</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51279-2021</t>
        </is>
      </c>
      <c r="B610" s="1" t="n">
        <v>44461</v>
      </c>
      <c r="C610" s="1" t="n">
        <v>45688</v>
      </c>
      <c r="D610" t="inlineStr">
        <is>
          <t>STOCKHOLMS LÄN</t>
        </is>
      </c>
      <c r="E610" t="inlineStr">
        <is>
          <t>NORRTÄLJE</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51315-2021</t>
        </is>
      </c>
      <c r="B611" s="1" t="n">
        <v>44461</v>
      </c>
      <c r="C611" s="1" t="n">
        <v>45688</v>
      </c>
      <c r="D611" t="inlineStr">
        <is>
          <t>STOCKHOLMS LÄN</t>
        </is>
      </c>
      <c r="E611" t="inlineStr">
        <is>
          <t>NORRTÄLJE</t>
        </is>
      </c>
      <c r="F611" t="inlineStr">
        <is>
          <t>Holmen skog AB</t>
        </is>
      </c>
      <c r="G611" t="n">
        <v>2.2</v>
      </c>
      <c r="H611" t="n">
        <v>0</v>
      </c>
      <c r="I611" t="n">
        <v>0</v>
      </c>
      <c r="J611" t="n">
        <v>0</v>
      </c>
      <c r="K611" t="n">
        <v>0</v>
      </c>
      <c r="L611" t="n">
        <v>0</v>
      </c>
      <c r="M611" t="n">
        <v>0</v>
      </c>
      <c r="N611" t="n">
        <v>0</v>
      </c>
      <c r="O611" t="n">
        <v>0</v>
      </c>
      <c r="P611" t="n">
        <v>0</v>
      </c>
      <c r="Q611" t="n">
        <v>0</v>
      </c>
      <c r="R611" s="2" t="inlineStr"/>
    </row>
    <row r="612" ht="15" customHeight="1">
      <c r="A612" t="inlineStr">
        <is>
          <t>A 52090-2021</t>
        </is>
      </c>
      <c r="B612" s="1" t="n">
        <v>44463</v>
      </c>
      <c r="C612" s="1" t="n">
        <v>45688</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52449-2021</t>
        </is>
      </c>
      <c r="B613" s="1" t="n">
        <v>44466</v>
      </c>
      <c r="C613" s="1" t="n">
        <v>45688</v>
      </c>
      <c r="D613" t="inlineStr">
        <is>
          <t>STOCKHOLMS LÄN</t>
        </is>
      </c>
      <c r="E613" t="inlineStr">
        <is>
          <t>NORRTÄLJE</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54276-2021</t>
        </is>
      </c>
      <c r="B614" s="1" t="n">
        <v>44470</v>
      </c>
      <c r="C614" s="1" t="n">
        <v>45688</v>
      </c>
      <c r="D614" t="inlineStr">
        <is>
          <t>STOCKHOLMS LÄN</t>
        </is>
      </c>
      <c r="E614" t="inlineStr">
        <is>
          <t>NORRTÄLJE</t>
        </is>
      </c>
      <c r="G614" t="n">
        <v>7.3</v>
      </c>
      <c r="H614" t="n">
        <v>0</v>
      </c>
      <c r="I614" t="n">
        <v>0</v>
      </c>
      <c r="J614" t="n">
        <v>0</v>
      </c>
      <c r="K614" t="n">
        <v>0</v>
      </c>
      <c r="L614" t="n">
        <v>0</v>
      </c>
      <c r="M614" t="n">
        <v>0</v>
      </c>
      <c r="N614" t="n">
        <v>0</v>
      </c>
      <c r="O614" t="n">
        <v>0</v>
      </c>
      <c r="P614" t="n">
        <v>0</v>
      </c>
      <c r="Q614" t="n">
        <v>0</v>
      </c>
      <c r="R614" s="2" t="inlineStr"/>
    </row>
    <row r="615" ht="15" customHeight="1">
      <c r="A615" t="inlineStr">
        <is>
          <t>A 54273-2021</t>
        </is>
      </c>
      <c r="B615" s="1" t="n">
        <v>44470</v>
      </c>
      <c r="C615" s="1" t="n">
        <v>45688</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54272-2021</t>
        </is>
      </c>
      <c r="B616" s="1" t="n">
        <v>44470</v>
      </c>
      <c r="C616" s="1" t="n">
        <v>45688</v>
      </c>
      <c r="D616" t="inlineStr">
        <is>
          <t>STOCKHOLMS LÄN</t>
        </is>
      </c>
      <c r="E616" t="inlineStr">
        <is>
          <t>NORRTÄLJE</t>
        </is>
      </c>
      <c r="G616" t="n">
        <v>5.8</v>
      </c>
      <c r="H616" t="n">
        <v>0</v>
      </c>
      <c r="I616" t="n">
        <v>0</v>
      </c>
      <c r="J616" t="n">
        <v>0</v>
      </c>
      <c r="K616" t="n">
        <v>0</v>
      </c>
      <c r="L616" t="n">
        <v>0</v>
      </c>
      <c r="M616" t="n">
        <v>0</v>
      </c>
      <c r="N616" t="n">
        <v>0</v>
      </c>
      <c r="O616" t="n">
        <v>0</v>
      </c>
      <c r="P616" t="n">
        <v>0</v>
      </c>
      <c r="Q616" t="n">
        <v>0</v>
      </c>
      <c r="R616" s="2" t="inlineStr"/>
    </row>
    <row r="617" ht="15" customHeight="1">
      <c r="A617" t="inlineStr">
        <is>
          <t>A 54396-2021</t>
        </is>
      </c>
      <c r="B617" s="1" t="n">
        <v>44472</v>
      </c>
      <c r="C617" s="1" t="n">
        <v>45688</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55058-2021</t>
        </is>
      </c>
      <c r="B618" s="1" t="n">
        <v>44474</v>
      </c>
      <c r="C618" s="1" t="n">
        <v>45688</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56219-2021</t>
        </is>
      </c>
      <c r="B619" s="1" t="n">
        <v>44477</v>
      </c>
      <c r="C619" s="1" t="n">
        <v>45688</v>
      </c>
      <c r="D619" t="inlineStr">
        <is>
          <t>STOCKHOLMS LÄN</t>
        </is>
      </c>
      <c r="E619" t="inlineStr">
        <is>
          <t>NORRTÄLJE</t>
        </is>
      </c>
      <c r="F619" t="inlineStr">
        <is>
          <t>Kommuner</t>
        </is>
      </c>
      <c r="G619" t="n">
        <v>2.3</v>
      </c>
      <c r="H619" t="n">
        <v>0</v>
      </c>
      <c r="I619" t="n">
        <v>0</v>
      </c>
      <c r="J619" t="n">
        <v>0</v>
      </c>
      <c r="K619" t="n">
        <v>0</v>
      </c>
      <c r="L619" t="n">
        <v>0</v>
      </c>
      <c r="M619" t="n">
        <v>0</v>
      </c>
      <c r="N619" t="n">
        <v>0</v>
      </c>
      <c r="O619" t="n">
        <v>0</v>
      </c>
      <c r="P619" t="n">
        <v>0</v>
      </c>
      <c r="Q619" t="n">
        <v>0</v>
      </c>
      <c r="R619" s="2" t="inlineStr"/>
    </row>
    <row r="620" ht="15" customHeight="1">
      <c r="A620" t="inlineStr">
        <is>
          <t>A 56225-2021</t>
        </is>
      </c>
      <c r="B620" s="1" t="n">
        <v>44478</v>
      </c>
      <c r="C620" s="1" t="n">
        <v>45688</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56878-2021</t>
        </is>
      </c>
      <c r="B621" s="1" t="n">
        <v>44481</v>
      </c>
      <c r="C621" s="1" t="n">
        <v>45688</v>
      </c>
      <c r="D621" t="inlineStr">
        <is>
          <t>STOCKHOLMS LÄN</t>
        </is>
      </c>
      <c r="E621" t="inlineStr">
        <is>
          <t>NORRTÄLJE</t>
        </is>
      </c>
      <c r="G621" t="n">
        <v>4.5</v>
      </c>
      <c r="H621" t="n">
        <v>0</v>
      </c>
      <c r="I621" t="n">
        <v>0</v>
      </c>
      <c r="J621" t="n">
        <v>0</v>
      </c>
      <c r="K621" t="n">
        <v>0</v>
      </c>
      <c r="L621" t="n">
        <v>0</v>
      </c>
      <c r="M621" t="n">
        <v>0</v>
      </c>
      <c r="N621" t="n">
        <v>0</v>
      </c>
      <c r="O621" t="n">
        <v>0</v>
      </c>
      <c r="P621" t="n">
        <v>0</v>
      </c>
      <c r="Q621" t="n">
        <v>0</v>
      </c>
      <c r="R621" s="2" t="inlineStr"/>
    </row>
    <row r="622" ht="15" customHeight="1">
      <c r="A622" t="inlineStr">
        <is>
          <t>A 57442-2021</t>
        </is>
      </c>
      <c r="B622" s="1" t="n">
        <v>44483</v>
      </c>
      <c r="C622" s="1" t="n">
        <v>45688</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57507-2021</t>
        </is>
      </c>
      <c r="B623" s="1" t="n">
        <v>44483</v>
      </c>
      <c r="C623" s="1" t="n">
        <v>45688</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58989-2021</t>
        </is>
      </c>
      <c r="B624" s="1" t="n">
        <v>44490</v>
      </c>
      <c r="C624" s="1" t="n">
        <v>45688</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58990-2021</t>
        </is>
      </c>
      <c r="B625" s="1" t="n">
        <v>44490</v>
      </c>
      <c r="C625" s="1" t="n">
        <v>45688</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60217-2021</t>
        </is>
      </c>
      <c r="B626" s="1" t="n">
        <v>44495</v>
      </c>
      <c r="C626" s="1" t="n">
        <v>45688</v>
      </c>
      <c r="D626" t="inlineStr">
        <is>
          <t>STOCKHOLMS LÄN</t>
        </is>
      </c>
      <c r="E626" t="inlineStr">
        <is>
          <t>NORRTÄLJE</t>
        </is>
      </c>
      <c r="G626" t="n">
        <v>4.3</v>
      </c>
      <c r="H626" t="n">
        <v>0</v>
      </c>
      <c r="I626" t="n">
        <v>0</v>
      </c>
      <c r="J626" t="n">
        <v>0</v>
      </c>
      <c r="K626" t="n">
        <v>0</v>
      </c>
      <c r="L626" t="n">
        <v>0</v>
      </c>
      <c r="M626" t="n">
        <v>0</v>
      </c>
      <c r="N626" t="n">
        <v>0</v>
      </c>
      <c r="O626" t="n">
        <v>0</v>
      </c>
      <c r="P626" t="n">
        <v>0</v>
      </c>
      <c r="Q626" t="n">
        <v>0</v>
      </c>
      <c r="R626" s="2" t="inlineStr"/>
    </row>
    <row r="627" ht="15" customHeight="1">
      <c r="A627" t="inlineStr">
        <is>
          <t>A 60184-2021</t>
        </is>
      </c>
      <c r="B627" s="1" t="n">
        <v>44495</v>
      </c>
      <c r="C627" s="1" t="n">
        <v>45688</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60186-2021</t>
        </is>
      </c>
      <c r="B628" s="1" t="n">
        <v>44495</v>
      </c>
      <c r="C628" s="1" t="n">
        <v>45688</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60209-2021</t>
        </is>
      </c>
      <c r="B629" s="1" t="n">
        <v>44495</v>
      </c>
      <c r="C629" s="1" t="n">
        <v>45688</v>
      </c>
      <c r="D629" t="inlineStr">
        <is>
          <t>STOCKHOLMS LÄN</t>
        </is>
      </c>
      <c r="E629" t="inlineStr">
        <is>
          <t>NORRTÄLJE</t>
        </is>
      </c>
      <c r="G629" t="n">
        <v>4.3</v>
      </c>
      <c r="H629" t="n">
        <v>0</v>
      </c>
      <c r="I629" t="n">
        <v>0</v>
      </c>
      <c r="J629" t="n">
        <v>0</v>
      </c>
      <c r="K629" t="n">
        <v>0</v>
      </c>
      <c r="L629" t="n">
        <v>0</v>
      </c>
      <c r="M629" t="n">
        <v>0</v>
      </c>
      <c r="N629" t="n">
        <v>0</v>
      </c>
      <c r="O629" t="n">
        <v>0</v>
      </c>
      <c r="P629" t="n">
        <v>0</v>
      </c>
      <c r="Q629" t="n">
        <v>0</v>
      </c>
      <c r="R629" s="2" t="inlineStr"/>
    </row>
    <row r="630" ht="15" customHeight="1">
      <c r="A630" t="inlineStr">
        <is>
          <t>A 60671-2021</t>
        </is>
      </c>
      <c r="B630" s="1" t="n">
        <v>44496</v>
      </c>
      <c r="C630" s="1" t="n">
        <v>45688</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v>
      </c>
      <c r="C631" s="1" t="n">
        <v>45688</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60813-2021</t>
        </is>
      </c>
      <c r="B632" s="1" t="n">
        <v>44496</v>
      </c>
      <c r="C632" s="1" t="n">
        <v>45688</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60822-2021</t>
        </is>
      </c>
      <c r="B633" s="1" t="n">
        <v>44496</v>
      </c>
      <c r="C633" s="1" t="n">
        <v>45688</v>
      </c>
      <c r="D633" t="inlineStr">
        <is>
          <t>STOCKHOLMS LÄN</t>
        </is>
      </c>
      <c r="E633" t="inlineStr">
        <is>
          <t>NORRTÄLJE</t>
        </is>
      </c>
      <c r="G633" t="n">
        <v>7.6</v>
      </c>
      <c r="H633" t="n">
        <v>0</v>
      </c>
      <c r="I633" t="n">
        <v>0</v>
      </c>
      <c r="J633" t="n">
        <v>0</v>
      </c>
      <c r="K633" t="n">
        <v>0</v>
      </c>
      <c r="L633" t="n">
        <v>0</v>
      </c>
      <c r="M633" t="n">
        <v>0</v>
      </c>
      <c r="N633" t="n">
        <v>0</v>
      </c>
      <c r="O633" t="n">
        <v>0</v>
      </c>
      <c r="P633" t="n">
        <v>0</v>
      </c>
      <c r="Q633" t="n">
        <v>0</v>
      </c>
      <c r="R633" s="2" t="inlineStr"/>
    </row>
    <row r="634" ht="15" customHeight="1">
      <c r="A634" t="inlineStr">
        <is>
          <t>A 62030-2021</t>
        </is>
      </c>
      <c r="B634" s="1" t="n">
        <v>44502</v>
      </c>
      <c r="C634" s="1" t="n">
        <v>45688</v>
      </c>
      <c r="D634" t="inlineStr">
        <is>
          <t>STOCKHOLMS LÄN</t>
        </is>
      </c>
      <c r="E634" t="inlineStr">
        <is>
          <t>NORRTÄLJE</t>
        </is>
      </c>
      <c r="G634" t="n">
        <v>4.7</v>
      </c>
      <c r="H634" t="n">
        <v>0</v>
      </c>
      <c r="I634" t="n">
        <v>0</v>
      </c>
      <c r="J634" t="n">
        <v>0</v>
      </c>
      <c r="K634" t="n">
        <v>0</v>
      </c>
      <c r="L634" t="n">
        <v>0</v>
      </c>
      <c r="M634" t="n">
        <v>0</v>
      </c>
      <c r="N634" t="n">
        <v>0</v>
      </c>
      <c r="O634" t="n">
        <v>0</v>
      </c>
      <c r="P634" t="n">
        <v>0</v>
      </c>
      <c r="Q634" t="n">
        <v>0</v>
      </c>
      <c r="R634" s="2" t="inlineStr"/>
    </row>
    <row r="635" ht="15" customHeight="1">
      <c r="A635" t="inlineStr">
        <is>
          <t>A 63530-2021</t>
        </is>
      </c>
      <c r="B635" s="1" t="n">
        <v>44508</v>
      </c>
      <c r="C635" s="1" t="n">
        <v>45688</v>
      </c>
      <c r="D635" t="inlineStr">
        <is>
          <t>STOCKHOLMS LÄN</t>
        </is>
      </c>
      <c r="E635" t="inlineStr">
        <is>
          <t>NORRTÄLJE</t>
        </is>
      </c>
      <c r="G635" t="n">
        <v>8.9</v>
      </c>
      <c r="H635" t="n">
        <v>0</v>
      </c>
      <c r="I635" t="n">
        <v>0</v>
      </c>
      <c r="J635" t="n">
        <v>0</v>
      </c>
      <c r="K635" t="n">
        <v>0</v>
      </c>
      <c r="L635" t="n">
        <v>0</v>
      </c>
      <c r="M635" t="n">
        <v>0</v>
      </c>
      <c r="N635" t="n">
        <v>0</v>
      </c>
      <c r="O635" t="n">
        <v>0</v>
      </c>
      <c r="P635" t="n">
        <v>0</v>
      </c>
      <c r="Q635" t="n">
        <v>0</v>
      </c>
      <c r="R635" s="2" t="inlineStr"/>
    </row>
    <row r="636" ht="15" customHeight="1">
      <c r="A636" t="inlineStr">
        <is>
          <t>A 64137-2021</t>
        </is>
      </c>
      <c r="B636" s="1" t="n">
        <v>44510</v>
      </c>
      <c r="C636" s="1" t="n">
        <v>45688</v>
      </c>
      <c r="D636" t="inlineStr">
        <is>
          <t>STOCKHOLMS LÄN</t>
        </is>
      </c>
      <c r="E636" t="inlineStr">
        <is>
          <t>NORRTÄLJE</t>
        </is>
      </c>
      <c r="F636" t="inlineStr">
        <is>
          <t>Holmen skog AB</t>
        </is>
      </c>
      <c r="G636" t="n">
        <v>1.5</v>
      </c>
      <c r="H636" t="n">
        <v>0</v>
      </c>
      <c r="I636" t="n">
        <v>0</v>
      </c>
      <c r="J636" t="n">
        <v>0</v>
      </c>
      <c r="K636" t="n">
        <v>0</v>
      </c>
      <c r="L636" t="n">
        <v>0</v>
      </c>
      <c r="M636" t="n">
        <v>0</v>
      </c>
      <c r="N636" t="n">
        <v>0</v>
      </c>
      <c r="O636" t="n">
        <v>0</v>
      </c>
      <c r="P636" t="n">
        <v>0</v>
      </c>
      <c r="Q636" t="n">
        <v>0</v>
      </c>
      <c r="R636" s="2" t="inlineStr"/>
    </row>
    <row r="637" ht="15" customHeight="1">
      <c r="A637" t="inlineStr">
        <is>
          <t>A 64212-2021</t>
        </is>
      </c>
      <c r="B637" s="1" t="n">
        <v>44510</v>
      </c>
      <c r="C637" s="1" t="n">
        <v>45688</v>
      </c>
      <c r="D637" t="inlineStr">
        <is>
          <t>STOCKHOLMS LÄN</t>
        </is>
      </c>
      <c r="E637" t="inlineStr">
        <is>
          <t>NORRTÄLJE</t>
        </is>
      </c>
      <c r="G637" t="n">
        <v>28.7</v>
      </c>
      <c r="H637" t="n">
        <v>0</v>
      </c>
      <c r="I637" t="n">
        <v>0</v>
      </c>
      <c r="J637" t="n">
        <v>0</v>
      </c>
      <c r="K637" t="n">
        <v>0</v>
      </c>
      <c r="L637" t="n">
        <v>0</v>
      </c>
      <c r="M637" t="n">
        <v>0</v>
      </c>
      <c r="N637" t="n">
        <v>0</v>
      </c>
      <c r="O637" t="n">
        <v>0</v>
      </c>
      <c r="P637" t="n">
        <v>0</v>
      </c>
      <c r="Q637" t="n">
        <v>0</v>
      </c>
      <c r="R637" s="2" t="inlineStr"/>
    </row>
    <row r="638" ht="15" customHeight="1">
      <c r="A638" t="inlineStr">
        <is>
          <t>A 64074-2021</t>
        </is>
      </c>
      <c r="B638" s="1" t="n">
        <v>44510</v>
      </c>
      <c r="C638" s="1" t="n">
        <v>45688</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64145-2021</t>
        </is>
      </c>
      <c r="B639" s="1" t="n">
        <v>44510</v>
      </c>
      <c r="C639" s="1" t="n">
        <v>45688</v>
      </c>
      <c r="D639" t="inlineStr">
        <is>
          <t>STOCKHOLMS LÄN</t>
        </is>
      </c>
      <c r="E639" t="inlineStr">
        <is>
          <t>NORRTÄLJE</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64600-2021</t>
        </is>
      </c>
      <c r="B640" s="1" t="n">
        <v>44511</v>
      </c>
      <c r="C640" s="1" t="n">
        <v>45688</v>
      </c>
      <c r="D640" t="inlineStr">
        <is>
          <t>STOCKHOLMS LÄN</t>
        </is>
      </c>
      <c r="E640" t="inlineStr">
        <is>
          <t>NORRTÄLJE</t>
        </is>
      </c>
      <c r="G640" t="n">
        <v>6.2</v>
      </c>
      <c r="H640" t="n">
        <v>0</v>
      </c>
      <c r="I640" t="n">
        <v>0</v>
      </c>
      <c r="J640" t="n">
        <v>0</v>
      </c>
      <c r="K640" t="n">
        <v>0</v>
      </c>
      <c r="L640" t="n">
        <v>0</v>
      </c>
      <c r="M640" t="n">
        <v>0</v>
      </c>
      <c r="N640" t="n">
        <v>0</v>
      </c>
      <c r="O640" t="n">
        <v>0</v>
      </c>
      <c r="P640" t="n">
        <v>0</v>
      </c>
      <c r="Q640" t="n">
        <v>0</v>
      </c>
      <c r="R640" s="2" t="inlineStr"/>
    </row>
    <row r="641" ht="15" customHeight="1">
      <c r="A641" t="inlineStr">
        <is>
          <t>A 64599-2021</t>
        </is>
      </c>
      <c r="B641" s="1" t="n">
        <v>44511</v>
      </c>
      <c r="C641" s="1" t="n">
        <v>45688</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64628-2021</t>
        </is>
      </c>
      <c r="B642" s="1" t="n">
        <v>44511</v>
      </c>
      <c r="C642" s="1" t="n">
        <v>45688</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64915-2021</t>
        </is>
      </c>
      <c r="B643" s="1" t="n">
        <v>44512</v>
      </c>
      <c r="C643" s="1" t="n">
        <v>45688</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65359-2021</t>
        </is>
      </c>
      <c r="B644" s="1" t="n">
        <v>44515</v>
      </c>
      <c r="C644" s="1" t="n">
        <v>45688</v>
      </c>
      <c r="D644" t="inlineStr">
        <is>
          <t>STOCKHOLMS LÄN</t>
        </is>
      </c>
      <c r="E644" t="inlineStr">
        <is>
          <t>NORRTÄLJE</t>
        </is>
      </c>
      <c r="F644" t="inlineStr">
        <is>
          <t>Kyrkan</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65499-2021</t>
        </is>
      </c>
      <c r="B645" s="1" t="n">
        <v>44516</v>
      </c>
      <c r="C645" s="1" t="n">
        <v>45688</v>
      </c>
      <c r="D645" t="inlineStr">
        <is>
          <t>STOCKHOLMS LÄN</t>
        </is>
      </c>
      <c r="E645" t="inlineStr">
        <is>
          <t>NORRTÄLJE</t>
        </is>
      </c>
      <c r="F645" t="inlineStr">
        <is>
          <t>Kommuner</t>
        </is>
      </c>
      <c r="G645" t="n">
        <v>5.2</v>
      </c>
      <c r="H645" t="n">
        <v>0</v>
      </c>
      <c r="I645" t="n">
        <v>0</v>
      </c>
      <c r="J645" t="n">
        <v>0</v>
      </c>
      <c r="K645" t="n">
        <v>0</v>
      </c>
      <c r="L645" t="n">
        <v>0</v>
      </c>
      <c r="M645" t="n">
        <v>0</v>
      </c>
      <c r="N645" t="n">
        <v>0</v>
      </c>
      <c r="O645" t="n">
        <v>0</v>
      </c>
      <c r="P645" t="n">
        <v>0</v>
      </c>
      <c r="Q645" t="n">
        <v>0</v>
      </c>
      <c r="R645" s="2" t="inlineStr"/>
    </row>
    <row r="646" ht="15" customHeight="1">
      <c r="A646" t="inlineStr">
        <is>
          <t>A 65513-2021</t>
        </is>
      </c>
      <c r="B646" s="1" t="n">
        <v>44516</v>
      </c>
      <c r="C646" s="1" t="n">
        <v>45688</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65511-2021</t>
        </is>
      </c>
      <c r="B647" s="1" t="n">
        <v>44516</v>
      </c>
      <c r="C647" s="1" t="n">
        <v>45688</v>
      </c>
      <c r="D647" t="inlineStr">
        <is>
          <t>STOCKHOLMS LÄN</t>
        </is>
      </c>
      <c r="E647" t="inlineStr">
        <is>
          <t>NORRTÄLJE</t>
        </is>
      </c>
      <c r="F647" t="inlineStr">
        <is>
          <t>Kommuner</t>
        </is>
      </c>
      <c r="G647" t="n">
        <v>2.8</v>
      </c>
      <c r="H647" t="n">
        <v>0</v>
      </c>
      <c r="I647" t="n">
        <v>0</v>
      </c>
      <c r="J647" t="n">
        <v>0</v>
      </c>
      <c r="K647" t="n">
        <v>0</v>
      </c>
      <c r="L647" t="n">
        <v>0</v>
      </c>
      <c r="M647" t="n">
        <v>0</v>
      </c>
      <c r="N647" t="n">
        <v>0</v>
      </c>
      <c r="O647" t="n">
        <v>0</v>
      </c>
      <c r="P647" t="n">
        <v>0</v>
      </c>
      <c r="Q647" t="n">
        <v>0</v>
      </c>
      <c r="R647" s="2" t="inlineStr"/>
    </row>
    <row r="648" ht="15" customHeight="1">
      <c r="A648" t="inlineStr">
        <is>
          <t>A 65501-2021</t>
        </is>
      </c>
      <c r="B648" s="1" t="n">
        <v>44516</v>
      </c>
      <c r="C648" s="1" t="n">
        <v>45688</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65509-2021</t>
        </is>
      </c>
      <c r="B649" s="1" t="n">
        <v>44516</v>
      </c>
      <c r="C649" s="1" t="n">
        <v>45688</v>
      </c>
      <c r="D649" t="inlineStr">
        <is>
          <t>STOCKHOLMS LÄN</t>
        </is>
      </c>
      <c r="E649" t="inlineStr">
        <is>
          <t>NORRTÄLJE</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65611-2021</t>
        </is>
      </c>
      <c r="B650" s="1" t="n">
        <v>44516</v>
      </c>
      <c r="C650" s="1" t="n">
        <v>45688</v>
      </c>
      <c r="D650" t="inlineStr">
        <is>
          <t>STOCKHOLMS LÄN</t>
        </is>
      </c>
      <c r="E650" t="inlineStr">
        <is>
          <t>NORRTÄLJE</t>
        </is>
      </c>
      <c r="G650" t="n">
        <v>2.5</v>
      </c>
      <c r="H650" t="n">
        <v>0</v>
      </c>
      <c r="I650" t="n">
        <v>0</v>
      </c>
      <c r="J650" t="n">
        <v>0</v>
      </c>
      <c r="K650" t="n">
        <v>0</v>
      </c>
      <c r="L650" t="n">
        <v>0</v>
      </c>
      <c r="M650" t="n">
        <v>0</v>
      </c>
      <c r="N650" t="n">
        <v>0</v>
      </c>
      <c r="O650" t="n">
        <v>0</v>
      </c>
      <c r="P650" t="n">
        <v>0</v>
      </c>
      <c r="Q650" t="n">
        <v>0</v>
      </c>
      <c r="R650" s="2" t="inlineStr"/>
    </row>
    <row r="651" ht="15" customHeight="1">
      <c r="A651" t="inlineStr">
        <is>
          <t>A 65737-2021</t>
        </is>
      </c>
      <c r="B651" s="1" t="n">
        <v>44516</v>
      </c>
      <c r="C651" s="1" t="n">
        <v>45688</v>
      </c>
      <c r="D651" t="inlineStr">
        <is>
          <t>STOCKHOLMS LÄN</t>
        </is>
      </c>
      <c r="E651" t="inlineStr">
        <is>
          <t>NORRTÄLJE</t>
        </is>
      </c>
      <c r="G651" t="n">
        <v>3</v>
      </c>
      <c r="H651" t="n">
        <v>0</v>
      </c>
      <c r="I651" t="n">
        <v>0</v>
      </c>
      <c r="J651" t="n">
        <v>0</v>
      </c>
      <c r="K651" t="n">
        <v>0</v>
      </c>
      <c r="L651" t="n">
        <v>0</v>
      </c>
      <c r="M651" t="n">
        <v>0</v>
      </c>
      <c r="N651" t="n">
        <v>0</v>
      </c>
      <c r="O651" t="n">
        <v>0</v>
      </c>
      <c r="P651" t="n">
        <v>0</v>
      </c>
      <c r="Q651" t="n">
        <v>0</v>
      </c>
      <c r="R651" s="2" t="inlineStr"/>
    </row>
    <row r="652" ht="15" customHeight="1">
      <c r="A652" t="inlineStr">
        <is>
          <t>A 66450-2021</t>
        </is>
      </c>
      <c r="B652" s="1" t="n">
        <v>44518</v>
      </c>
      <c r="C652" s="1" t="n">
        <v>45688</v>
      </c>
      <c r="D652" t="inlineStr">
        <is>
          <t>STOCKHOLMS LÄN</t>
        </is>
      </c>
      <c r="E652" t="inlineStr">
        <is>
          <t>NORRTÄLJE</t>
        </is>
      </c>
      <c r="G652" t="n">
        <v>9.1</v>
      </c>
      <c r="H652" t="n">
        <v>0</v>
      </c>
      <c r="I652" t="n">
        <v>0</v>
      </c>
      <c r="J652" t="n">
        <v>0</v>
      </c>
      <c r="K652" t="n">
        <v>0</v>
      </c>
      <c r="L652" t="n">
        <v>0</v>
      </c>
      <c r="M652" t="n">
        <v>0</v>
      </c>
      <c r="N652" t="n">
        <v>0</v>
      </c>
      <c r="O652" t="n">
        <v>0</v>
      </c>
      <c r="P652" t="n">
        <v>0</v>
      </c>
      <c r="Q652" t="n">
        <v>0</v>
      </c>
      <c r="R652" s="2" t="inlineStr"/>
    </row>
    <row r="653" ht="15" customHeight="1">
      <c r="A653" t="inlineStr">
        <is>
          <t>A 66608-2021</t>
        </is>
      </c>
      <c r="B653" s="1" t="n">
        <v>44519</v>
      </c>
      <c r="C653" s="1" t="n">
        <v>45688</v>
      </c>
      <c r="D653" t="inlineStr">
        <is>
          <t>STOCKHOLMS LÄN</t>
        </is>
      </c>
      <c r="E653" t="inlineStr">
        <is>
          <t>NORRTÄLJE</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66592-2021</t>
        </is>
      </c>
      <c r="B654" s="1" t="n">
        <v>44519</v>
      </c>
      <c r="C654" s="1" t="n">
        <v>45688</v>
      </c>
      <c r="D654" t="inlineStr">
        <is>
          <t>STOCKHOLMS LÄN</t>
        </is>
      </c>
      <c r="E654" t="inlineStr">
        <is>
          <t>NORRTÄLJE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66769-2021</t>
        </is>
      </c>
      <c r="B655" s="1" t="n">
        <v>44521</v>
      </c>
      <c r="C655" s="1" t="n">
        <v>45688</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67285-2021</t>
        </is>
      </c>
      <c r="B656" s="1" t="n">
        <v>44523</v>
      </c>
      <c r="C656" s="1" t="n">
        <v>45688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67525-2021</t>
        </is>
      </c>
      <c r="B657" s="1" t="n">
        <v>44524</v>
      </c>
      <c r="C657" s="1" t="n">
        <v>45688</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67598-2021</t>
        </is>
      </c>
      <c r="B658" s="1" t="n">
        <v>44524</v>
      </c>
      <c r="C658" s="1" t="n">
        <v>45688</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67921-2021</t>
        </is>
      </c>
      <c r="B659" s="1" t="n">
        <v>44525</v>
      </c>
      <c r="C659" s="1" t="n">
        <v>45688</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67990-2021</t>
        </is>
      </c>
      <c r="B660" s="1" t="n">
        <v>44525</v>
      </c>
      <c r="C660" s="1" t="n">
        <v>45688</v>
      </c>
      <c r="D660" t="inlineStr">
        <is>
          <t>STOCKHOLMS LÄN</t>
        </is>
      </c>
      <c r="E660" t="inlineStr">
        <is>
          <t>NORRTÄLJE</t>
        </is>
      </c>
      <c r="F660" t="inlineStr">
        <is>
          <t>Sveaskog</t>
        </is>
      </c>
      <c r="G660" t="n">
        <v>7.8</v>
      </c>
      <c r="H660" t="n">
        <v>0</v>
      </c>
      <c r="I660" t="n">
        <v>0</v>
      </c>
      <c r="J660" t="n">
        <v>0</v>
      </c>
      <c r="K660" t="n">
        <v>0</v>
      </c>
      <c r="L660" t="n">
        <v>0</v>
      </c>
      <c r="M660" t="n">
        <v>0</v>
      </c>
      <c r="N660" t="n">
        <v>0</v>
      </c>
      <c r="O660" t="n">
        <v>0</v>
      </c>
      <c r="P660" t="n">
        <v>0</v>
      </c>
      <c r="Q660" t="n">
        <v>0</v>
      </c>
      <c r="R660" s="2" t="inlineStr"/>
    </row>
    <row r="661" ht="15" customHeight="1">
      <c r="A661" t="inlineStr">
        <is>
          <t>A 67992-2021</t>
        </is>
      </c>
      <c r="B661" s="1" t="n">
        <v>44525</v>
      </c>
      <c r="C661" s="1" t="n">
        <v>45688</v>
      </c>
      <c r="D661" t="inlineStr">
        <is>
          <t>STOCKHOLMS LÄN</t>
        </is>
      </c>
      <c r="E661" t="inlineStr">
        <is>
          <t>NORRTÄLJE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67993-2021</t>
        </is>
      </c>
      <c r="B662" s="1" t="n">
        <v>44525</v>
      </c>
      <c r="C662" s="1" t="n">
        <v>45688</v>
      </c>
      <c r="D662" t="inlineStr">
        <is>
          <t>STOCKHOLMS LÄN</t>
        </is>
      </c>
      <c r="E662" t="inlineStr">
        <is>
          <t>NORRTÄLJE</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68273-2021</t>
        </is>
      </c>
      <c r="B663" s="1" t="n">
        <v>44526</v>
      </c>
      <c r="C663" s="1" t="n">
        <v>45688</v>
      </c>
      <c r="D663" t="inlineStr">
        <is>
          <t>STOCKHOLMS LÄN</t>
        </is>
      </c>
      <c r="E663" t="inlineStr">
        <is>
          <t>NORRTÄLJE</t>
        </is>
      </c>
      <c r="G663" t="n">
        <v>5.3</v>
      </c>
      <c r="H663" t="n">
        <v>0</v>
      </c>
      <c r="I663" t="n">
        <v>0</v>
      </c>
      <c r="J663" t="n">
        <v>0</v>
      </c>
      <c r="K663" t="n">
        <v>0</v>
      </c>
      <c r="L663" t="n">
        <v>0</v>
      </c>
      <c r="M663" t="n">
        <v>0</v>
      </c>
      <c r="N663" t="n">
        <v>0</v>
      </c>
      <c r="O663" t="n">
        <v>0</v>
      </c>
      <c r="P663" t="n">
        <v>0</v>
      </c>
      <c r="Q663" t="n">
        <v>0</v>
      </c>
      <c r="R663" s="2" t="inlineStr"/>
    </row>
    <row r="664" ht="15" customHeight="1">
      <c r="A664" t="inlineStr">
        <is>
          <t>A 68361-2021</t>
        </is>
      </c>
      <c r="B664" s="1" t="n">
        <v>44528</v>
      </c>
      <c r="C664" s="1" t="n">
        <v>45688</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69034-2021</t>
        </is>
      </c>
      <c r="B665" s="1" t="n">
        <v>44529</v>
      </c>
      <c r="C665" s="1" t="n">
        <v>45688</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69539-2021</t>
        </is>
      </c>
      <c r="B666" s="1" t="n">
        <v>44531</v>
      </c>
      <c r="C666" s="1" t="n">
        <v>45688</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69723-2021</t>
        </is>
      </c>
      <c r="B667" s="1" t="n">
        <v>44532</v>
      </c>
      <c r="C667" s="1" t="n">
        <v>45688</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69816-2021</t>
        </is>
      </c>
      <c r="B668" s="1" t="n">
        <v>44532</v>
      </c>
      <c r="C668" s="1" t="n">
        <v>45688</v>
      </c>
      <c r="D668" t="inlineStr">
        <is>
          <t>STOCKHOLMS LÄN</t>
        </is>
      </c>
      <c r="E668" t="inlineStr">
        <is>
          <t>NORRTÄLJE</t>
        </is>
      </c>
      <c r="G668" t="n">
        <v>4.9</v>
      </c>
      <c r="H668" t="n">
        <v>0</v>
      </c>
      <c r="I668" t="n">
        <v>0</v>
      </c>
      <c r="J668" t="n">
        <v>0</v>
      </c>
      <c r="K668" t="n">
        <v>0</v>
      </c>
      <c r="L668" t="n">
        <v>0</v>
      </c>
      <c r="M668" t="n">
        <v>0</v>
      </c>
      <c r="N668" t="n">
        <v>0</v>
      </c>
      <c r="O668" t="n">
        <v>0</v>
      </c>
      <c r="P668" t="n">
        <v>0</v>
      </c>
      <c r="Q668" t="n">
        <v>0</v>
      </c>
      <c r="R668" s="2" t="inlineStr"/>
    </row>
    <row r="669" ht="15" customHeight="1">
      <c r="A669" t="inlineStr">
        <is>
          <t>A 70170-2021</t>
        </is>
      </c>
      <c r="B669" s="1" t="n">
        <v>44533</v>
      </c>
      <c r="C669" s="1" t="n">
        <v>45688</v>
      </c>
      <c r="D669" t="inlineStr">
        <is>
          <t>STOCKHOLMS LÄN</t>
        </is>
      </c>
      <c r="E669" t="inlineStr">
        <is>
          <t>NORRTÄLJE</t>
        </is>
      </c>
      <c r="G669" t="n">
        <v>2.7</v>
      </c>
      <c r="H669" t="n">
        <v>0</v>
      </c>
      <c r="I669" t="n">
        <v>0</v>
      </c>
      <c r="J669" t="n">
        <v>0</v>
      </c>
      <c r="K669" t="n">
        <v>0</v>
      </c>
      <c r="L669" t="n">
        <v>0</v>
      </c>
      <c r="M669" t="n">
        <v>0</v>
      </c>
      <c r="N669" t="n">
        <v>0</v>
      </c>
      <c r="O669" t="n">
        <v>0</v>
      </c>
      <c r="P669" t="n">
        <v>0</v>
      </c>
      <c r="Q669" t="n">
        <v>0</v>
      </c>
      <c r="R669" s="2" t="inlineStr"/>
    </row>
    <row r="670" ht="15" customHeight="1">
      <c r="A670" t="inlineStr">
        <is>
          <t>A 69988-2021</t>
        </is>
      </c>
      <c r="B670" s="1" t="n">
        <v>44533</v>
      </c>
      <c r="C670" s="1" t="n">
        <v>45688</v>
      </c>
      <c r="D670" t="inlineStr">
        <is>
          <t>STOCKHOLMS LÄN</t>
        </is>
      </c>
      <c r="E670" t="inlineStr">
        <is>
          <t>NORRTÄLJE</t>
        </is>
      </c>
      <c r="G670" t="n">
        <v>6.3</v>
      </c>
      <c r="H670" t="n">
        <v>0</v>
      </c>
      <c r="I670" t="n">
        <v>0</v>
      </c>
      <c r="J670" t="n">
        <v>0</v>
      </c>
      <c r="K670" t="n">
        <v>0</v>
      </c>
      <c r="L670" t="n">
        <v>0</v>
      </c>
      <c r="M670" t="n">
        <v>0</v>
      </c>
      <c r="N670" t="n">
        <v>0</v>
      </c>
      <c r="O670" t="n">
        <v>0</v>
      </c>
      <c r="P670" t="n">
        <v>0</v>
      </c>
      <c r="Q670" t="n">
        <v>0</v>
      </c>
      <c r="R670" s="2" t="inlineStr"/>
    </row>
    <row r="671" ht="15" customHeight="1">
      <c r="A671" t="inlineStr">
        <is>
          <t>A 70469-2021</t>
        </is>
      </c>
      <c r="B671" s="1" t="n">
        <v>44536</v>
      </c>
      <c r="C671" s="1" t="n">
        <v>45688</v>
      </c>
      <c r="D671" t="inlineStr">
        <is>
          <t>STOCKHOLMS LÄN</t>
        </is>
      </c>
      <c r="E671" t="inlineStr">
        <is>
          <t>NORRTÄLJE</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71325-2021</t>
        </is>
      </c>
      <c r="B672" s="1" t="n">
        <v>44539</v>
      </c>
      <c r="C672" s="1" t="n">
        <v>45688</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71552-2021</t>
        </is>
      </c>
      <c r="B673" s="1" t="n">
        <v>44540</v>
      </c>
      <c r="C673" s="1" t="n">
        <v>45688</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71479-2021</t>
        </is>
      </c>
      <c r="B674" s="1" t="n">
        <v>44540</v>
      </c>
      <c r="C674" s="1" t="n">
        <v>45688</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71543-2021</t>
        </is>
      </c>
      <c r="B675" s="1" t="n">
        <v>44540</v>
      </c>
      <c r="C675" s="1" t="n">
        <v>45688</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71873-2021</t>
        </is>
      </c>
      <c r="B676" s="1" t="n">
        <v>44543</v>
      </c>
      <c r="C676" s="1" t="n">
        <v>45688</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71876-2021</t>
        </is>
      </c>
      <c r="B677" s="1" t="n">
        <v>44543</v>
      </c>
      <c r="C677" s="1" t="n">
        <v>45688</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71880-2021</t>
        </is>
      </c>
      <c r="B678" s="1" t="n">
        <v>44543</v>
      </c>
      <c r="C678" s="1" t="n">
        <v>45688</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71871-2021</t>
        </is>
      </c>
      <c r="B679" s="1" t="n">
        <v>44543</v>
      </c>
      <c r="C679" s="1" t="n">
        <v>45688</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71878-2021</t>
        </is>
      </c>
      <c r="B680" s="1" t="n">
        <v>44543</v>
      </c>
      <c r="C680" s="1" t="n">
        <v>45688</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72085-2021</t>
        </is>
      </c>
      <c r="B681" s="1" t="n">
        <v>44544</v>
      </c>
      <c r="C681" s="1" t="n">
        <v>45688</v>
      </c>
      <c r="D681" t="inlineStr">
        <is>
          <t>STOCKHOLMS LÄN</t>
        </is>
      </c>
      <c r="E681" t="inlineStr">
        <is>
          <t>NORRTÄLJE</t>
        </is>
      </c>
      <c r="G681" t="n">
        <v>4.9</v>
      </c>
      <c r="H681" t="n">
        <v>0</v>
      </c>
      <c r="I681" t="n">
        <v>0</v>
      </c>
      <c r="J681" t="n">
        <v>0</v>
      </c>
      <c r="K681" t="n">
        <v>0</v>
      </c>
      <c r="L681" t="n">
        <v>0</v>
      </c>
      <c r="M681" t="n">
        <v>0</v>
      </c>
      <c r="N681" t="n">
        <v>0</v>
      </c>
      <c r="O681" t="n">
        <v>0</v>
      </c>
      <c r="P681" t="n">
        <v>0</v>
      </c>
      <c r="Q681" t="n">
        <v>0</v>
      </c>
      <c r="R681" s="2" t="inlineStr"/>
    </row>
    <row r="682" ht="15" customHeight="1">
      <c r="A682" t="inlineStr">
        <is>
          <t>A 72202-2021</t>
        </is>
      </c>
      <c r="B682" s="1" t="n">
        <v>44544</v>
      </c>
      <c r="C682" s="1" t="n">
        <v>45688</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72308-2021</t>
        </is>
      </c>
      <c r="B683" s="1" t="n">
        <v>44545</v>
      </c>
      <c r="C683" s="1" t="n">
        <v>45688</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72343-2021</t>
        </is>
      </c>
      <c r="B684" s="1" t="n">
        <v>44545</v>
      </c>
      <c r="C684" s="1" t="n">
        <v>45688</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72357-2021</t>
        </is>
      </c>
      <c r="B685" s="1" t="n">
        <v>44545</v>
      </c>
      <c r="C685" s="1" t="n">
        <v>45688</v>
      </c>
      <c r="D685" t="inlineStr">
        <is>
          <t>STOCKHOLMS LÄN</t>
        </is>
      </c>
      <c r="E685" t="inlineStr">
        <is>
          <t>NORRTÄLJE</t>
        </is>
      </c>
      <c r="G685" t="n">
        <v>5.1</v>
      </c>
      <c r="H685" t="n">
        <v>0</v>
      </c>
      <c r="I685" t="n">
        <v>0</v>
      </c>
      <c r="J685" t="n">
        <v>0</v>
      </c>
      <c r="K685" t="n">
        <v>0</v>
      </c>
      <c r="L685" t="n">
        <v>0</v>
      </c>
      <c r="M685" t="n">
        <v>0</v>
      </c>
      <c r="N685" t="n">
        <v>0</v>
      </c>
      <c r="O685" t="n">
        <v>0</v>
      </c>
      <c r="P685" t="n">
        <v>0</v>
      </c>
      <c r="Q685" t="n">
        <v>0</v>
      </c>
      <c r="R685" s="2" t="inlineStr"/>
    </row>
    <row r="686" ht="15" customHeight="1">
      <c r="A686" t="inlineStr">
        <is>
          <t>A 72355-2021</t>
        </is>
      </c>
      <c r="B686" s="1" t="n">
        <v>44545</v>
      </c>
      <c r="C686" s="1" t="n">
        <v>45688</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72353-2021</t>
        </is>
      </c>
      <c r="B687" s="1" t="n">
        <v>44545</v>
      </c>
      <c r="C687" s="1" t="n">
        <v>45688</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72747-2021</t>
        </is>
      </c>
      <c r="B688" s="1" t="n">
        <v>44546</v>
      </c>
      <c r="C688" s="1" t="n">
        <v>45688</v>
      </c>
      <c r="D688" t="inlineStr">
        <is>
          <t>STOCKHOLMS LÄN</t>
        </is>
      </c>
      <c r="E688" t="inlineStr">
        <is>
          <t>NORRTÄLJE</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72704-2021</t>
        </is>
      </c>
      <c r="B689" s="1" t="n">
        <v>44546</v>
      </c>
      <c r="C689" s="1" t="n">
        <v>45688</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72890-2021</t>
        </is>
      </c>
      <c r="B690" s="1" t="n">
        <v>44547</v>
      </c>
      <c r="C690" s="1" t="n">
        <v>45688</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73311-2021</t>
        </is>
      </c>
      <c r="B691" s="1" t="n">
        <v>44549</v>
      </c>
      <c r="C691" s="1" t="n">
        <v>45688</v>
      </c>
      <c r="D691" t="inlineStr">
        <is>
          <t>STOCKHOLMS LÄN</t>
        </is>
      </c>
      <c r="E691" t="inlineStr">
        <is>
          <t>NORRTÄLJE</t>
        </is>
      </c>
      <c r="G691" t="n">
        <v>5.2</v>
      </c>
      <c r="H691" t="n">
        <v>0</v>
      </c>
      <c r="I691" t="n">
        <v>0</v>
      </c>
      <c r="J691" t="n">
        <v>0</v>
      </c>
      <c r="K691" t="n">
        <v>0</v>
      </c>
      <c r="L691" t="n">
        <v>0</v>
      </c>
      <c r="M691" t="n">
        <v>0</v>
      </c>
      <c r="N691" t="n">
        <v>0</v>
      </c>
      <c r="O691" t="n">
        <v>0</v>
      </c>
      <c r="P691" t="n">
        <v>0</v>
      </c>
      <c r="Q691" t="n">
        <v>0</v>
      </c>
      <c r="R691" s="2" t="inlineStr"/>
    </row>
    <row r="692" ht="15" customHeight="1">
      <c r="A692" t="inlineStr">
        <is>
          <t>A 73307-2021</t>
        </is>
      </c>
      <c r="B692" s="1" t="n">
        <v>44549</v>
      </c>
      <c r="C692" s="1" t="n">
        <v>45688</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73271-2021</t>
        </is>
      </c>
      <c r="B693" s="1" t="n">
        <v>44550</v>
      </c>
      <c r="C693" s="1" t="n">
        <v>45688</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73504-2021</t>
        </is>
      </c>
      <c r="B694" s="1" t="n">
        <v>44551</v>
      </c>
      <c r="C694" s="1" t="n">
        <v>45688</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73855-2021</t>
        </is>
      </c>
      <c r="B695" s="1" t="n">
        <v>44552</v>
      </c>
      <c r="C695" s="1" t="n">
        <v>45688</v>
      </c>
      <c r="D695" t="inlineStr">
        <is>
          <t>STOCKHOLMS LÄN</t>
        </is>
      </c>
      <c r="E695" t="inlineStr">
        <is>
          <t>NORRTÄLJE</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73992-2021</t>
        </is>
      </c>
      <c r="B696" s="1" t="n">
        <v>44556</v>
      </c>
      <c r="C696" s="1" t="n">
        <v>45688</v>
      </c>
      <c r="D696" t="inlineStr">
        <is>
          <t>STOCKHOLMS LÄN</t>
        </is>
      </c>
      <c r="E696" t="inlineStr">
        <is>
          <t>NORRTÄLJE</t>
        </is>
      </c>
      <c r="G696" t="n">
        <v>12.5</v>
      </c>
      <c r="H696" t="n">
        <v>0</v>
      </c>
      <c r="I696" t="n">
        <v>0</v>
      </c>
      <c r="J696" t="n">
        <v>0</v>
      </c>
      <c r="K696" t="n">
        <v>0</v>
      </c>
      <c r="L696" t="n">
        <v>0</v>
      </c>
      <c r="M696" t="n">
        <v>0</v>
      </c>
      <c r="N696" t="n">
        <v>0</v>
      </c>
      <c r="O696" t="n">
        <v>0</v>
      </c>
      <c r="P696" t="n">
        <v>0</v>
      </c>
      <c r="Q696" t="n">
        <v>0</v>
      </c>
      <c r="R696" s="2" t="inlineStr"/>
    </row>
    <row r="697" ht="15" customHeight="1">
      <c r="A697" t="inlineStr">
        <is>
          <t>A 73993-2021</t>
        </is>
      </c>
      <c r="B697" s="1" t="n">
        <v>44556</v>
      </c>
      <c r="C697" s="1" t="n">
        <v>45688</v>
      </c>
      <c r="D697" t="inlineStr">
        <is>
          <t>STOCKHOLMS LÄN</t>
        </is>
      </c>
      <c r="E697" t="inlineStr">
        <is>
          <t>NORRTÄLJE</t>
        </is>
      </c>
      <c r="G697" t="n">
        <v>5</v>
      </c>
      <c r="H697" t="n">
        <v>0</v>
      </c>
      <c r="I697" t="n">
        <v>0</v>
      </c>
      <c r="J697" t="n">
        <v>0</v>
      </c>
      <c r="K697" t="n">
        <v>0</v>
      </c>
      <c r="L697" t="n">
        <v>0</v>
      </c>
      <c r="M697" t="n">
        <v>0</v>
      </c>
      <c r="N697" t="n">
        <v>0</v>
      </c>
      <c r="O697" t="n">
        <v>0</v>
      </c>
      <c r="P697" t="n">
        <v>0</v>
      </c>
      <c r="Q697" t="n">
        <v>0</v>
      </c>
      <c r="R697" s="2" t="inlineStr"/>
    </row>
    <row r="698" ht="15" customHeight="1">
      <c r="A698" t="inlineStr">
        <is>
          <t>A 74468-2021</t>
        </is>
      </c>
      <c r="B698" s="1" t="n">
        <v>44560</v>
      </c>
      <c r="C698" s="1" t="n">
        <v>45688</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185-2022</t>
        </is>
      </c>
      <c r="B699" s="1" t="n">
        <v>44564</v>
      </c>
      <c r="C699" s="1" t="n">
        <v>45688</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190-2022</t>
        </is>
      </c>
      <c r="B700" s="1" t="n">
        <v>44564</v>
      </c>
      <c r="C700" s="1" t="n">
        <v>45688</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187-2022</t>
        </is>
      </c>
      <c r="B701" s="1" t="n">
        <v>44564</v>
      </c>
      <c r="C701" s="1" t="n">
        <v>45688</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77-2022</t>
        </is>
      </c>
      <c r="B702" s="1" t="n">
        <v>44564</v>
      </c>
      <c r="C702" s="1" t="n">
        <v>45688</v>
      </c>
      <c r="D702" t="inlineStr">
        <is>
          <t>STOCKHOLMS LÄN</t>
        </is>
      </c>
      <c r="E702" t="inlineStr">
        <is>
          <t>NORRTÄLJE</t>
        </is>
      </c>
      <c r="G702" t="n">
        <v>4.1</v>
      </c>
      <c r="H702" t="n">
        <v>0</v>
      </c>
      <c r="I702" t="n">
        <v>0</v>
      </c>
      <c r="J702" t="n">
        <v>0</v>
      </c>
      <c r="K702" t="n">
        <v>0</v>
      </c>
      <c r="L702" t="n">
        <v>0</v>
      </c>
      <c r="M702" t="n">
        <v>0</v>
      </c>
      <c r="N702" t="n">
        <v>0</v>
      </c>
      <c r="O702" t="n">
        <v>0</v>
      </c>
      <c r="P702" t="n">
        <v>0</v>
      </c>
      <c r="Q702" t="n">
        <v>0</v>
      </c>
      <c r="R702" s="2" t="inlineStr"/>
    </row>
    <row r="703" ht="15" customHeight="1">
      <c r="A703" t="inlineStr">
        <is>
          <t>A 1058-2022</t>
        </is>
      </c>
      <c r="B703" s="1" t="n">
        <v>44571</v>
      </c>
      <c r="C703" s="1" t="n">
        <v>45688</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1051-2022</t>
        </is>
      </c>
      <c r="B704" s="1" t="n">
        <v>44571</v>
      </c>
      <c r="C704" s="1" t="n">
        <v>45688</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1054-2022</t>
        </is>
      </c>
      <c r="B705" s="1" t="n">
        <v>44571</v>
      </c>
      <c r="C705" s="1" t="n">
        <v>45688</v>
      </c>
      <c r="D705" t="inlineStr">
        <is>
          <t>STOCKHOLMS LÄN</t>
        </is>
      </c>
      <c r="E705" t="inlineStr">
        <is>
          <t>NORRTÄLJE</t>
        </is>
      </c>
      <c r="G705" t="n">
        <v>5</v>
      </c>
      <c r="H705" t="n">
        <v>0</v>
      </c>
      <c r="I705" t="n">
        <v>0</v>
      </c>
      <c r="J705" t="n">
        <v>0</v>
      </c>
      <c r="K705" t="n">
        <v>0</v>
      </c>
      <c r="L705" t="n">
        <v>0</v>
      </c>
      <c r="M705" t="n">
        <v>0</v>
      </c>
      <c r="N705" t="n">
        <v>0</v>
      </c>
      <c r="O705" t="n">
        <v>0</v>
      </c>
      <c r="P705" t="n">
        <v>0</v>
      </c>
      <c r="Q705" t="n">
        <v>0</v>
      </c>
      <c r="R705" s="2" t="inlineStr"/>
    </row>
    <row r="706" ht="15" customHeight="1">
      <c r="A706" t="inlineStr">
        <is>
          <t>A 1229-2022</t>
        </is>
      </c>
      <c r="B706" s="1" t="n">
        <v>44572</v>
      </c>
      <c r="C706" s="1" t="n">
        <v>45688</v>
      </c>
      <c r="D706" t="inlineStr">
        <is>
          <t>STOCKHOLMS LÄN</t>
        </is>
      </c>
      <c r="E706" t="inlineStr">
        <is>
          <t>NORRTÄLJE</t>
        </is>
      </c>
      <c r="G706" t="n">
        <v>11.5</v>
      </c>
      <c r="H706" t="n">
        <v>0</v>
      </c>
      <c r="I706" t="n">
        <v>0</v>
      </c>
      <c r="J706" t="n">
        <v>0</v>
      </c>
      <c r="K706" t="n">
        <v>0</v>
      </c>
      <c r="L706" t="n">
        <v>0</v>
      </c>
      <c r="M706" t="n">
        <v>0</v>
      </c>
      <c r="N706" t="n">
        <v>0</v>
      </c>
      <c r="O706" t="n">
        <v>0</v>
      </c>
      <c r="P706" t="n">
        <v>0</v>
      </c>
      <c r="Q706" t="n">
        <v>0</v>
      </c>
      <c r="R706" s="2" t="inlineStr"/>
    </row>
    <row r="707" ht="15" customHeight="1">
      <c r="A707" t="inlineStr">
        <is>
          <t>A 1704-2022</t>
        </is>
      </c>
      <c r="B707" s="1" t="n">
        <v>44574</v>
      </c>
      <c r="C707" s="1" t="n">
        <v>45688</v>
      </c>
      <c r="D707" t="inlineStr">
        <is>
          <t>STOCKHOLMS LÄN</t>
        </is>
      </c>
      <c r="E707" t="inlineStr">
        <is>
          <t>NORRTÄLJE</t>
        </is>
      </c>
      <c r="G707" t="n">
        <v>6.2</v>
      </c>
      <c r="H707" t="n">
        <v>0</v>
      </c>
      <c r="I707" t="n">
        <v>0</v>
      </c>
      <c r="J707" t="n">
        <v>0</v>
      </c>
      <c r="K707" t="n">
        <v>0</v>
      </c>
      <c r="L707" t="n">
        <v>0</v>
      </c>
      <c r="M707" t="n">
        <v>0</v>
      </c>
      <c r="N707" t="n">
        <v>0</v>
      </c>
      <c r="O707" t="n">
        <v>0</v>
      </c>
      <c r="P707" t="n">
        <v>0</v>
      </c>
      <c r="Q707" t="n">
        <v>0</v>
      </c>
      <c r="R707" s="2" t="inlineStr"/>
    </row>
    <row r="708" ht="15" customHeight="1">
      <c r="A708" t="inlineStr">
        <is>
          <t>A 1968-2022</t>
        </is>
      </c>
      <c r="B708" s="1" t="n">
        <v>44575</v>
      </c>
      <c r="C708" s="1" t="n">
        <v>45688</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2182-2022</t>
        </is>
      </c>
      <c r="B709" s="1" t="n">
        <v>44578</v>
      </c>
      <c r="C709" s="1" t="n">
        <v>45688</v>
      </c>
      <c r="D709" t="inlineStr">
        <is>
          <t>STOCKHOLMS LÄN</t>
        </is>
      </c>
      <c r="E709" t="inlineStr">
        <is>
          <t>NORRTÄLJE</t>
        </is>
      </c>
      <c r="G709" t="n">
        <v>7.2</v>
      </c>
      <c r="H709" t="n">
        <v>0</v>
      </c>
      <c r="I709" t="n">
        <v>0</v>
      </c>
      <c r="J709" t="n">
        <v>0</v>
      </c>
      <c r="K709" t="n">
        <v>0</v>
      </c>
      <c r="L709" t="n">
        <v>0</v>
      </c>
      <c r="M709" t="n">
        <v>0</v>
      </c>
      <c r="N709" t="n">
        <v>0</v>
      </c>
      <c r="O709" t="n">
        <v>0</v>
      </c>
      <c r="P709" t="n">
        <v>0</v>
      </c>
      <c r="Q709" t="n">
        <v>0</v>
      </c>
      <c r="R709" s="2" t="inlineStr"/>
    </row>
    <row r="710" ht="15" customHeight="1">
      <c r="A710" t="inlineStr">
        <is>
          <t>A 2549-2022</t>
        </is>
      </c>
      <c r="B710" s="1" t="n">
        <v>44580</v>
      </c>
      <c r="C710" s="1" t="n">
        <v>45688</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2732-2022</t>
        </is>
      </c>
      <c r="B711" s="1" t="n">
        <v>44580</v>
      </c>
      <c r="C711" s="1" t="n">
        <v>45688</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2888-2022</t>
        </is>
      </c>
      <c r="B712" s="1" t="n">
        <v>44581</v>
      </c>
      <c r="C712" s="1" t="n">
        <v>45688</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2977-2022</t>
        </is>
      </c>
      <c r="B713" s="1" t="n">
        <v>44581</v>
      </c>
      <c r="C713" s="1" t="n">
        <v>45688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3300-2022</t>
        </is>
      </c>
      <c r="B714" s="1" t="n">
        <v>44584</v>
      </c>
      <c r="C714" s="1" t="n">
        <v>45688</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3310-2022</t>
        </is>
      </c>
      <c r="B715" s="1" t="n">
        <v>44584</v>
      </c>
      <c r="C715" s="1" t="n">
        <v>45688</v>
      </c>
      <c r="D715" t="inlineStr">
        <is>
          <t>STOCKHOLMS LÄN</t>
        </is>
      </c>
      <c r="E715" t="inlineStr">
        <is>
          <t>NORRTÄLJE</t>
        </is>
      </c>
      <c r="G715" t="n">
        <v>3.4</v>
      </c>
      <c r="H715" t="n">
        <v>0</v>
      </c>
      <c r="I715" t="n">
        <v>0</v>
      </c>
      <c r="J715" t="n">
        <v>0</v>
      </c>
      <c r="K715" t="n">
        <v>0</v>
      </c>
      <c r="L715" t="n">
        <v>0</v>
      </c>
      <c r="M715" t="n">
        <v>0</v>
      </c>
      <c r="N715" t="n">
        <v>0</v>
      </c>
      <c r="O715" t="n">
        <v>0</v>
      </c>
      <c r="P715" t="n">
        <v>0</v>
      </c>
      <c r="Q715" t="n">
        <v>0</v>
      </c>
      <c r="R715" s="2" t="inlineStr"/>
    </row>
    <row r="716" ht="15" customHeight="1">
      <c r="A716" t="inlineStr">
        <is>
          <t>A 3396-2022</t>
        </is>
      </c>
      <c r="B716" s="1" t="n">
        <v>44585</v>
      </c>
      <c r="C716" s="1" t="n">
        <v>45688</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3509-2022</t>
        </is>
      </c>
      <c r="B717" s="1" t="n">
        <v>44585</v>
      </c>
      <c r="C717" s="1" t="n">
        <v>45688</v>
      </c>
      <c r="D717" t="inlineStr">
        <is>
          <t>STOCKHOLMS LÄN</t>
        </is>
      </c>
      <c r="E717" t="inlineStr">
        <is>
          <t>NORRTÄLJE</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4860-2022</t>
        </is>
      </c>
      <c r="B718" s="1" t="n">
        <v>44592</v>
      </c>
      <c r="C718" s="1" t="n">
        <v>45688</v>
      </c>
      <c r="D718" t="inlineStr">
        <is>
          <t>STOCKHOLMS LÄN</t>
        </is>
      </c>
      <c r="E718" t="inlineStr">
        <is>
          <t>NORRTÄLJE</t>
        </is>
      </c>
      <c r="G718" t="n">
        <v>22.3</v>
      </c>
      <c r="H718" t="n">
        <v>0</v>
      </c>
      <c r="I718" t="n">
        <v>0</v>
      </c>
      <c r="J718" t="n">
        <v>0</v>
      </c>
      <c r="K718" t="n">
        <v>0</v>
      </c>
      <c r="L718" t="n">
        <v>0</v>
      </c>
      <c r="M718" t="n">
        <v>0</v>
      </c>
      <c r="N718" t="n">
        <v>0</v>
      </c>
      <c r="O718" t="n">
        <v>0</v>
      </c>
      <c r="P718" t="n">
        <v>0</v>
      </c>
      <c r="Q718" t="n">
        <v>0</v>
      </c>
      <c r="R718" s="2" t="inlineStr"/>
    </row>
    <row r="719" ht="15" customHeight="1">
      <c r="A719" t="inlineStr">
        <is>
          <t>A 5351-2022</t>
        </is>
      </c>
      <c r="B719" s="1" t="n">
        <v>44594</v>
      </c>
      <c r="C719" s="1" t="n">
        <v>45688</v>
      </c>
      <c r="D719" t="inlineStr">
        <is>
          <t>STOCKHOLMS LÄN</t>
        </is>
      </c>
      <c r="E719" t="inlineStr">
        <is>
          <t>NORRTÄLJE</t>
        </is>
      </c>
      <c r="G719" t="n">
        <v>4</v>
      </c>
      <c r="H719" t="n">
        <v>0</v>
      </c>
      <c r="I719" t="n">
        <v>0</v>
      </c>
      <c r="J719" t="n">
        <v>0</v>
      </c>
      <c r="K719" t="n">
        <v>0</v>
      </c>
      <c r="L719" t="n">
        <v>0</v>
      </c>
      <c r="M719" t="n">
        <v>0</v>
      </c>
      <c r="N719" t="n">
        <v>0</v>
      </c>
      <c r="O719" t="n">
        <v>0</v>
      </c>
      <c r="P719" t="n">
        <v>0</v>
      </c>
      <c r="Q719" t="n">
        <v>0</v>
      </c>
      <c r="R719" s="2" t="inlineStr"/>
    </row>
    <row r="720" ht="15" customHeight="1">
      <c r="A720" t="inlineStr">
        <is>
          <t>A 5513-2022</t>
        </is>
      </c>
      <c r="B720" s="1" t="n">
        <v>44595</v>
      </c>
      <c r="C720" s="1" t="n">
        <v>45688</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5611-2022</t>
        </is>
      </c>
      <c r="B721" s="1" t="n">
        <v>44595</v>
      </c>
      <c r="C721" s="1" t="n">
        <v>45688</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5831-2022</t>
        </is>
      </c>
      <c r="B722" s="1" t="n">
        <v>44596</v>
      </c>
      <c r="C722" s="1" t="n">
        <v>45688</v>
      </c>
      <c r="D722" t="inlineStr">
        <is>
          <t>STOCKHOLMS LÄN</t>
        </is>
      </c>
      <c r="E722" t="inlineStr">
        <is>
          <t>NORRTÄLJE</t>
        </is>
      </c>
      <c r="G722" t="n">
        <v>4.8</v>
      </c>
      <c r="H722" t="n">
        <v>0</v>
      </c>
      <c r="I722" t="n">
        <v>0</v>
      </c>
      <c r="J722" t="n">
        <v>0</v>
      </c>
      <c r="K722" t="n">
        <v>0</v>
      </c>
      <c r="L722" t="n">
        <v>0</v>
      </c>
      <c r="M722" t="n">
        <v>0</v>
      </c>
      <c r="N722" t="n">
        <v>0</v>
      </c>
      <c r="O722" t="n">
        <v>0</v>
      </c>
      <c r="P722" t="n">
        <v>0</v>
      </c>
      <c r="Q722" t="n">
        <v>0</v>
      </c>
      <c r="R722" s="2" t="inlineStr"/>
    </row>
    <row r="723" ht="15" customHeight="1">
      <c r="A723" t="inlineStr">
        <is>
          <t>A 5867-2022</t>
        </is>
      </c>
      <c r="B723" s="1" t="n">
        <v>44596</v>
      </c>
      <c r="C723" s="1" t="n">
        <v>45688</v>
      </c>
      <c r="D723" t="inlineStr">
        <is>
          <t>STOCKHOLMS LÄN</t>
        </is>
      </c>
      <c r="E723" t="inlineStr">
        <is>
          <t>NORRTÄLJE</t>
        </is>
      </c>
      <c r="F723" t="inlineStr">
        <is>
          <t>Naturvårdsverket</t>
        </is>
      </c>
      <c r="G723" t="n">
        <v>1.6</v>
      </c>
      <c r="H723" t="n">
        <v>0</v>
      </c>
      <c r="I723" t="n">
        <v>0</v>
      </c>
      <c r="J723" t="n">
        <v>0</v>
      </c>
      <c r="K723" t="n">
        <v>0</v>
      </c>
      <c r="L723" t="n">
        <v>0</v>
      </c>
      <c r="M723" t="n">
        <v>0</v>
      </c>
      <c r="N723" t="n">
        <v>0</v>
      </c>
      <c r="O723" t="n">
        <v>0</v>
      </c>
      <c r="P723" t="n">
        <v>0</v>
      </c>
      <c r="Q723" t="n">
        <v>0</v>
      </c>
      <c r="R723" s="2" t="inlineStr"/>
    </row>
    <row r="724" ht="15" customHeight="1">
      <c r="A724" t="inlineStr">
        <is>
          <t>A 6070-2022</t>
        </is>
      </c>
      <c r="B724" s="1" t="n">
        <v>44599</v>
      </c>
      <c r="C724" s="1" t="n">
        <v>45688</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6332-2022</t>
        </is>
      </c>
      <c r="B725" s="1" t="n">
        <v>44600</v>
      </c>
      <c r="C725" s="1" t="n">
        <v>45688</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7301-2022</t>
        </is>
      </c>
      <c r="B726" s="1" t="n">
        <v>44606</v>
      </c>
      <c r="C726" s="1" t="n">
        <v>45688</v>
      </c>
      <c r="D726" t="inlineStr">
        <is>
          <t>STOCKHOLMS LÄN</t>
        </is>
      </c>
      <c r="E726" t="inlineStr">
        <is>
          <t>NORRTÄLJE</t>
        </is>
      </c>
      <c r="G726" t="n">
        <v>6.1</v>
      </c>
      <c r="H726" t="n">
        <v>0</v>
      </c>
      <c r="I726" t="n">
        <v>0</v>
      </c>
      <c r="J726" t="n">
        <v>0</v>
      </c>
      <c r="K726" t="n">
        <v>0</v>
      </c>
      <c r="L726" t="n">
        <v>0</v>
      </c>
      <c r="M726" t="n">
        <v>0</v>
      </c>
      <c r="N726" t="n">
        <v>0</v>
      </c>
      <c r="O726" t="n">
        <v>0</v>
      </c>
      <c r="P726" t="n">
        <v>0</v>
      </c>
      <c r="Q726" t="n">
        <v>0</v>
      </c>
      <c r="R726" s="2" t="inlineStr"/>
    </row>
    <row r="727" ht="15" customHeight="1">
      <c r="A727" t="inlineStr">
        <is>
          <t>A 7565-2022</t>
        </is>
      </c>
      <c r="B727" s="1" t="n">
        <v>44607</v>
      </c>
      <c r="C727" s="1" t="n">
        <v>45688</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8049-2022</t>
        </is>
      </c>
      <c r="B728" s="1" t="n">
        <v>44609</v>
      </c>
      <c r="C728" s="1" t="n">
        <v>45688</v>
      </c>
      <c r="D728" t="inlineStr">
        <is>
          <t>STOCKHOLMS LÄN</t>
        </is>
      </c>
      <c r="E728" t="inlineStr">
        <is>
          <t>NORRTÄLJE</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8160-2022</t>
        </is>
      </c>
      <c r="B729" s="1" t="n">
        <v>44609</v>
      </c>
      <c r="C729" s="1" t="n">
        <v>45688</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8433-2022</t>
        </is>
      </c>
      <c r="B730" s="1" t="n">
        <v>44611</v>
      </c>
      <c r="C730" s="1" t="n">
        <v>45688</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9668-2022</t>
        </is>
      </c>
      <c r="B731" s="1" t="n">
        <v>44617</v>
      </c>
      <c r="C731" s="1" t="n">
        <v>45688</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9654-2022</t>
        </is>
      </c>
      <c r="B732" s="1" t="n">
        <v>44617</v>
      </c>
      <c r="C732" s="1" t="n">
        <v>45688</v>
      </c>
      <c r="D732" t="inlineStr">
        <is>
          <t>STOCKHOLMS LÄN</t>
        </is>
      </c>
      <c r="E732" t="inlineStr">
        <is>
          <t>NORRTÄLJE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9749-2022</t>
        </is>
      </c>
      <c r="B733" s="1" t="n">
        <v>44618</v>
      </c>
      <c r="C733" s="1" t="n">
        <v>45688</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9988-2022</t>
        </is>
      </c>
      <c r="B734" s="1" t="n">
        <v>44621</v>
      </c>
      <c r="C734" s="1" t="n">
        <v>45688</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10090-2022</t>
        </is>
      </c>
      <c r="B735" s="1" t="n">
        <v>44621</v>
      </c>
      <c r="C735" s="1" t="n">
        <v>45688</v>
      </c>
      <c r="D735" t="inlineStr">
        <is>
          <t>STOCKHOLMS LÄN</t>
        </is>
      </c>
      <c r="E735" t="inlineStr">
        <is>
          <t>NORRTÄLJE</t>
        </is>
      </c>
      <c r="G735" t="n">
        <v>5.2</v>
      </c>
      <c r="H735" t="n">
        <v>0</v>
      </c>
      <c r="I735" t="n">
        <v>0</v>
      </c>
      <c r="J735" t="n">
        <v>0</v>
      </c>
      <c r="K735" t="n">
        <v>0</v>
      </c>
      <c r="L735" t="n">
        <v>0</v>
      </c>
      <c r="M735" t="n">
        <v>0</v>
      </c>
      <c r="N735" t="n">
        <v>0</v>
      </c>
      <c r="O735" t="n">
        <v>0</v>
      </c>
      <c r="P735" t="n">
        <v>0</v>
      </c>
      <c r="Q735" t="n">
        <v>0</v>
      </c>
      <c r="R735" s="2" t="inlineStr"/>
    </row>
    <row r="736" ht="15" customHeight="1">
      <c r="A736" t="inlineStr">
        <is>
          <t>A 10098-2022</t>
        </is>
      </c>
      <c r="B736" s="1" t="n">
        <v>44621</v>
      </c>
      <c r="C736" s="1" t="n">
        <v>45688</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10521-2022</t>
        </is>
      </c>
      <c r="B737" s="1" t="n">
        <v>44623</v>
      </c>
      <c r="C737" s="1" t="n">
        <v>45688</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10653-2022</t>
        </is>
      </c>
      <c r="B738" s="1" t="n">
        <v>44624</v>
      </c>
      <c r="C738" s="1" t="n">
        <v>45688</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10710-2022</t>
        </is>
      </c>
      <c r="B739" s="1" t="n">
        <v>44626</v>
      </c>
      <c r="C739" s="1" t="n">
        <v>45688</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10711-2022</t>
        </is>
      </c>
      <c r="B740" s="1" t="n">
        <v>44626</v>
      </c>
      <c r="C740" s="1" t="n">
        <v>45688</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11150-2022</t>
        </is>
      </c>
      <c r="B741" s="1" t="n">
        <v>44629</v>
      </c>
      <c r="C741" s="1" t="n">
        <v>45688</v>
      </c>
      <c r="D741" t="inlineStr">
        <is>
          <t>STOCKHOLMS LÄN</t>
        </is>
      </c>
      <c r="E741" t="inlineStr">
        <is>
          <t>NORRTÄLJE</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11229-2022</t>
        </is>
      </c>
      <c r="B742" s="1" t="n">
        <v>44629</v>
      </c>
      <c r="C742" s="1" t="n">
        <v>45688</v>
      </c>
      <c r="D742" t="inlineStr">
        <is>
          <t>STOCKHOLMS LÄN</t>
        </is>
      </c>
      <c r="E742" t="inlineStr">
        <is>
          <t>NORRTÄLJE</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11533-2022</t>
        </is>
      </c>
      <c r="B743" s="1" t="n">
        <v>44631</v>
      </c>
      <c r="C743" s="1" t="n">
        <v>45688</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11821-2022</t>
        </is>
      </c>
      <c r="B744" s="1" t="n">
        <v>44634</v>
      </c>
      <c r="C744" s="1" t="n">
        <v>45688</v>
      </c>
      <c r="D744" t="inlineStr">
        <is>
          <t>STOCKHOLMS LÄN</t>
        </is>
      </c>
      <c r="E744" t="inlineStr">
        <is>
          <t>NORRTÄLJE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11900-2022</t>
        </is>
      </c>
      <c r="B745" s="1" t="n">
        <v>44635</v>
      </c>
      <c r="C745" s="1" t="n">
        <v>45688</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12355-2022</t>
        </is>
      </c>
      <c r="B746" s="1" t="n">
        <v>44637</v>
      </c>
      <c r="C746" s="1" t="n">
        <v>45688</v>
      </c>
      <c r="D746" t="inlineStr">
        <is>
          <t>STOCKHOLMS LÄN</t>
        </is>
      </c>
      <c r="E746" t="inlineStr">
        <is>
          <t>NORRTÄLJE</t>
        </is>
      </c>
      <c r="G746" t="n">
        <v>10.4</v>
      </c>
      <c r="H746" t="n">
        <v>0</v>
      </c>
      <c r="I746" t="n">
        <v>0</v>
      </c>
      <c r="J746" t="n">
        <v>0</v>
      </c>
      <c r="K746" t="n">
        <v>0</v>
      </c>
      <c r="L746" t="n">
        <v>0</v>
      </c>
      <c r="M746" t="n">
        <v>0</v>
      </c>
      <c r="N746" t="n">
        <v>0</v>
      </c>
      <c r="O746" t="n">
        <v>0</v>
      </c>
      <c r="P746" t="n">
        <v>0</v>
      </c>
      <c r="Q746" t="n">
        <v>0</v>
      </c>
      <c r="R746" s="2" t="inlineStr"/>
    </row>
    <row r="747" ht="15" customHeight="1">
      <c r="A747" t="inlineStr">
        <is>
          <t>A 12270-2022</t>
        </is>
      </c>
      <c r="B747" s="1" t="n">
        <v>44637</v>
      </c>
      <c r="C747" s="1" t="n">
        <v>45688</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12314-2022</t>
        </is>
      </c>
      <c r="B748" s="1" t="n">
        <v>44637</v>
      </c>
      <c r="C748" s="1" t="n">
        <v>45688</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12268-2022</t>
        </is>
      </c>
      <c r="B749" s="1" t="n">
        <v>44637</v>
      </c>
      <c r="C749" s="1" t="n">
        <v>45688</v>
      </c>
      <c r="D749" t="inlineStr">
        <is>
          <t>STOCKHOLMS LÄN</t>
        </is>
      </c>
      <c r="E749" t="inlineStr">
        <is>
          <t>NORRTÄLJE</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12357-2022</t>
        </is>
      </c>
      <c r="B750" s="1" t="n">
        <v>44637</v>
      </c>
      <c r="C750" s="1" t="n">
        <v>45688</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62765-2022</t>
        </is>
      </c>
      <c r="B751" s="1" t="n">
        <v>44637</v>
      </c>
      <c r="C751" s="1" t="n">
        <v>45688</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12874-2022</t>
        </is>
      </c>
      <c r="B752" s="1" t="n">
        <v>44642</v>
      </c>
      <c r="C752" s="1" t="n">
        <v>45688</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12816-2022</t>
        </is>
      </c>
      <c r="B753" s="1" t="n">
        <v>44642</v>
      </c>
      <c r="C753" s="1" t="n">
        <v>45688</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12877-2022</t>
        </is>
      </c>
      <c r="B754" s="1" t="n">
        <v>44642</v>
      </c>
      <c r="C754" s="1" t="n">
        <v>45688</v>
      </c>
      <c r="D754" t="inlineStr">
        <is>
          <t>STOCKHOLMS LÄN</t>
        </is>
      </c>
      <c r="E754" t="inlineStr">
        <is>
          <t>NORRTÄLJE</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12875-2022</t>
        </is>
      </c>
      <c r="B755" s="1" t="n">
        <v>44642</v>
      </c>
      <c r="C755" s="1" t="n">
        <v>45688</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13077-2022</t>
        </is>
      </c>
      <c r="B756" s="1" t="n">
        <v>44643</v>
      </c>
      <c r="C756" s="1" t="n">
        <v>45688</v>
      </c>
      <c r="D756" t="inlineStr">
        <is>
          <t>STOCKHOLMS LÄN</t>
        </is>
      </c>
      <c r="E756" t="inlineStr">
        <is>
          <t>NORRTÄLJE</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13053-2022</t>
        </is>
      </c>
      <c r="B757" s="1" t="n">
        <v>44643</v>
      </c>
      <c r="C757" s="1" t="n">
        <v>45688</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13089-2022</t>
        </is>
      </c>
      <c r="B758" s="1" t="n">
        <v>44643</v>
      </c>
      <c r="C758" s="1" t="n">
        <v>45688</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13106-2022</t>
        </is>
      </c>
      <c r="B759" s="1" t="n">
        <v>44644</v>
      </c>
      <c r="C759" s="1" t="n">
        <v>45688</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13278-2022</t>
        </is>
      </c>
      <c r="B760" s="1" t="n">
        <v>44644</v>
      </c>
      <c r="C760" s="1" t="n">
        <v>45688</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13276-2022</t>
        </is>
      </c>
      <c r="B761" s="1" t="n">
        <v>44644</v>
      </c>
      <c r="C761" s="1" t="n">
        <v>45688</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13395-2022</t>
        </is>
      </c>
      <c r="B762" s="1" t="n">
        <v>44645</v>
      </c>
      <c r="C762" s="1" t="n">
        <v>45688</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13696-2022</t>
        </is>
      </c>
      <c r="B763" s="1" t="n">
        <v>44648</v>
      </c>
      <c r="C763" s="1" t="n">
        <v>45688</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13701-2022</t>
        </is>
      </c>
      <c r="B764" s="1" t="n">
        <v>44648</v>
      </c>
      <c r="C764" s="1" t="n">
        <v>45688</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13718-2022</t>
        </is>
      </c>
      <c r="B765" s="1" t="n">
        <v>44649</v>
      </c>
      <c r="C765" s="1" t="n">
        <v>45688</v>
      </c>
      <c r="D765" t="inlineStr">
        <is>
          <t>STOCKHOLMS LÄN</t>
        </is>
      </c>
      <c r="E765" t="inlineStr">
        <is>
          <t>NORRTÄLJE</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14036-2022</t>
        </is>
      </c>
      <c r="B766" s="1" t="n">
        <v>44650</v>
      </c>
      <c r="C766" s="1" t="n">
        <v>45688</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14033-2022</t>
        </is>
      </c>
      <c r="B767" s="1" t="n">
        <v>44650</v>
      </c>
      <c r="C767" s="1" t="n">
        <v>45688</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14034-2022</t>
        </is>
      </c>
      <c r="B768" s="1" t="n">
        <v>44650</v>
      </c>
      <c r="C768" s="1" t="n">
        <v>45688</v>
      </c>
      <c r="D768" t="inlineStr">
        <is>
          <t>STOCKHOLMS LÄN</t>
        </is>
      </c>
      <c r="E768" t="inlineStr">
        <is>
          <t>NORRTÄLJE</t>
        </is>
      </c>
      <c r="G768" t="n">
        <v>6.1</v>
      </c>
      <c r="H768" t="n">
        <v>0</v>
      </c>
      <c r="I768" t="n">
        <v>0</v>
      </c>
      <c r="J768" t="n">
        <v>0</v>
      </c>
      <c r="K768" t="n">
        <v>0</v>
      </c>
      <c r="L768" t="n">
        <v>0</v>
      </c>
      <c r="M768" t="n">
        <v>0</v>
      </c>
      <c r="N768" t="n">
        <v>0</v>
      </c>
      <c r="O768" t="n">
        <v>0</v>
      </c>
      <c r="P768" t="n">
        <v>0</v>
      </c>
      <c r="Q768" t="n">
        <v>0</v>
      </c>
      <c r="R768" s="2" t="inlineStr"/>
    </row>
    <row r="769" ht="15" customHeight="1">
      <c r="A769" t="inlineStr">
        <is>
          <t>A 14051-2022</t>
        </is>
      </c>
      <c r="B769" s="1" t="n">
        <v>44651</v>
      </c>
      <c r="C769" s="1" t="n">
        <v>45688</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14166-2022</t>
        </is>
      </c>
      <c r="B770" s="1" t="n">
        <v>44651</v>
      </c>
      <c r="C770" s="1" t="n">
        <v>45688</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14543-2022</t>
        </is>
      </c>
      <c r="B771" s="1" t="n">
        <v>44655</v>
      </c>
      <c r="C771" s="1" t="n">
        <v>45688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14724-2022</t>
        </is>
      </c>
      <c r="B772" s="1" t="n">
        <v>44656</v>
      </c>
      <c r="C772" s="1" t="n">
        <v>45688</v>
      </c>
      <c r="D772" t="inlineStr">
        <is>
          <t>STOCKHOLMS LÄN</t>
        </is>
      </c>
      <c r="E772" t="inlineStr">
        <is>
          <t>NORRTÄLJE</t>
        </is>
      </c>
      <c r="F772" t="inlineStr">
        <is>
          <t>Sveaskog</t>
        </is>
      </c>
      <c r="G772" t="n">
        <v>9</v>
      </c>
      <c r="H772" t="n">
        <v>0</v>
      </c>
      <c r="I772" t="n">
        <v>0</v>
      </c>
      <c r="J772" t="n">
        <v>0</v>
      </c>
      <c r="K772" t="n">
        <v>0</v>
      </c>
      <c r="L772" t="n">
        <v>0</v>
      </c>
      <c r="M772" t="n">
        <v>0</v>
      </c>
      <c r="N772" t="n">
        <v>0</v>
      </c>
      <c r="O772" t="n">
        <v>0</v>
      </c>
      <c r="P772" t="n">
        <v>0</v>
      </c>
      <c r="Q772" t="n">
        <v>0</v>
      </c>
      <c r="R772" s="2" t="inlineStr"/>
    </row>
    <row r="773" ht="15" customHeight="1">
      <c r="A773" t="inlineStr">
        <is>
          <t>A 14716-2022</t>
        </is>
      </c>
      <c r="B773" s="1" t="n">
        <v>44656</v>
      </c>
      <c r="C773" s="1" t="n">
        <v>45688</v>
      </c>
      <c r="D773" t="inlineStr">
        <is>
          <t>STOCKHOLMS LÄN</t>
        </is>
      </c>
      <c r="E773" t="inlineStr">
        <is>
          <t>NORRTÄLJE</t>
        </is>
      </c>
      <c r="F773" t="inlineStr">
        <is>
          <t>Sveaskog</t>
        </is>
      </c>
      <c r="G773" t="n">
        <v>6.5</v>
      </c>
      <c r="H773" t="n">
        <v>0</v>
      </c>
      <c r="I773" t="n">
        <v>0</v>
      </c>
      <c r="J773" t="n">
        <v>0</v>
      </c>
      <c r="K773" t="n">
        <v>0</v>
      </c>
      <c r="L773" t="n">
        <v>0</v>
      </c>
      <c r="M773" t="n">
        <v>0</v>
      </c>
      <c r="N773" t="n">
        <v>0</v>
      </c>
      <c r="O773" t="n">
        <v>0</v>
      </c>
      <c r="P773" t="n">
        <v>0</v>
      </c>
      <c r="Q773" t="n">
        <v>0</v>
      </c>
      <c r="R773" s="2" t="inlineStr"/>
    </row>
    <row r="774" ht="15" customHeight="1">
      <c r="A774" t="inlineStr">
        <is>
          <t>A 14869-2022</t>
        </is>
      </c>
      <c r="B774" s="1" t="n">
        <v>44656</v>
      </c>
      <c r="C774" s="1" t="n">
        <v>45688</v>
      </c>
      <c r="D774" t="inlineStr">
        <is>
          <t>STOCKHOLMS LÄN</t>
        </is>
      </c>
      <c r="E774" t="inlineStr">
        <is>
          <t>NORRTÄLJE</t>
        </is>
      </c>
      <c r="F774" t="inlineStr">
        <is>
          <t>Holmen skog AB</t>
        </is>
      </c>
      <c r="G774" t="n">
        <v>9.1</v>
      </c>
      <c r="H774" t="n">
        <v>0</v>
      </c>
      <c r="I774" t="n">
        <v>0</v>
      </c>
      <c r="J774" t="n">
        <v>0</v>
      </c>
      <c r="K774" t="n">
        <v>0</v>
      </c>
      <c r="L774" t="n">
        <v>0</v>
      </c>
      <c r="M774" t="n">
        <v>0</v>
      </c>
      <c r="N774" t="n">
        <v>0</v>
      </c>
      <c r="O774" t="n">
        <v>0</v>
      </c>
      <c r="P774" t="n">
        <v>0</v>
      </c>
      <c r="Q774" t="n">
        <v>0</v>
      </c>
      <c r="R774" s="2" t="inlineStr"/>
    </row>
    <row r="775" ht="15" customHeight="1">
      <c r="A775" t="inlineStr">
        <is>
          <t>A 15225-2022</t>
        </is>
      </c>
      <c r="B775" s="1" t="n">
        <v>44658</v>
      </c>
      <c r="C775" s="1" t="n">
        <v>45688</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15226-2022</t>
        </is>
      </c>
      <c r="B776" s="1" t="n">
        <v>44658</v>
      </c>
      <c r="C776" s="1" t="n">
        <v>45688</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15861-2022</t>
        </is>
      </c>
      <c r="B777" s="1" t="n">
        <v>44664</v>
      </c>
      <c r="C777" s="1" t="n">
        <v>45688</v>
      </c>
      <c r="D777" t="inlineStr">
        <is>
          <t>STOCKHOLMS LÄN</t>
        </is>
      </c>
      <c r="E777" t="inlineStr">
        <is>
          <t>NORRTÄLJE</t>
        </is>
      </c>
      <c r="G777" t="n">
        <v>10.2</v>
      </c>
      <c r="H777" t="n">
        <v>0</v>
      </c>
      <c r="I777" t="n">
        <v>0</v>
      </c>
      <c r="J777" t="n">
        <v>0</v>
      </c>
      <c r="K777" t="n">
        <v>0</v>
      </c>
      <c r="L777" t="n">
        <v>0</v>
      </c>
      <c r="M777" t="n">
        <v>0</v>
      </c>
      <c r="N777" t="n">
        <v>0</v>
      </c>
      <c r="O777" t="n">
        <v>0</v>
      </c>
      <c r="P777" t="n">
        <v>0</v>
      </c>
      <c r="Q777" t="n">
        <v>0</v>
      </c>
      <c r="R777" s="2" t="inlineStr"/>
    </row>
    <row r="778" ht="15" customHeight="1">
      <c r="A778" t="inlineStr">
        <is>
          <t>A 16117-2022</t>
        </is>
      </c>
      <c r="B778" s="1" t="n">
        <v>44665</v>
      </c>
      <c r="C778" s="1" t="n">
        <v>45688</v>
      </c>
      <c r="D778" t="inlineStr">
        <is>
          <t>STOCKHOLMS LÄN</t>
        </is>
      </c>
      <c r="E778" t="inlineStr">
        <is>
          <t>NORRTÄLJE</t>
        </is>
      </c>
      <c r="G778" t="n">
        <v>8.1</v>
      </c>
      <c r="H778" t="n">
        <v>0</v>
      </c>
      <c r="I778" t="n">
        <v>0</v>
      </c>
      <c r="J778" t="n">
        <v>0</v>
      </c>
      <c r="K778" t="n">
        <v>0</v>
      </c>
      <c r="L778" t="n">
        <v>0</v>
      </c>
      <c r="M778" t="n">
        <v>0</v>
      </c>
      <c r="N778" t="n">
        <v>0</v>
      </c>
      <c r="O778" t="n">
        <v>0</v>
      </c>
      <c r="P778" t="n">
        <v>0</v>
      </c>
      <c r="Q778" t="n">
        <v>0</v>
      </c>
      <c r="R778" s="2" t="inlineStr"/>
    </row>
    <row r="779" ht="15" customHeight="1">
      <c r="A779" t="inlineStr">
        <is>
          <t>A 16119-2022</t>
        </is>
      </c>
      <c r="B779" s="1" t="n">
        <v>44665</v>
      </c>
      <c r="C779" s="1" t="n">
        <v>45688</v>
      </c>
      <c r="D779" t="inlineStr">
        <is>
          <t>STOCKHOLMS LÄN</t>
        </is>
      </c>
      <c r="E779" t="inlineStr">
        <is>
          <t>NORRTÄLJE</t>
        </is>
      </c>
      <c r="G779" t="n">
        <v>3.9</v>
      </c>
      <c r="H779" t="n">
        <v>0</v>
      </c>
      <c r="I779" t="n">
        <v>0</v>
      </c>
      <c r="J779" t="n">
        <v>0</v>
      </c>
      <c r="K779" t="n">
        <v>0</v>
      </c>
      <c r="L779" t="n">
        <v>0</v>
      </c>
      <c r="M779" t="n">
        <v>0</v>
      </c>
      <c r="N779" t="n">
        <v>0</v>
      </c>
      <c r="O779" t="n">
        <v>0</v>
      </c>
      <c r="P779" t="n">
        <v>0</v>
      </c>
      <c r="Q779" t="n">
        <v>0</v>
      </c>
      <c r="R779" s="2" t="inlineStr"/>
    </row>
    <row r="780" ht="15" customHeight="1">
      <c r="A780" t="inlineStr">
        <is>
          <t>A 16132-2022</t>
        </is>
      </c>
      <c r="B780" s="1" t="n">
        <v>44665</v>
      </c>
      <c r="C780" s="1" t="n">
        <v>45688</v>
      </c>
      <c r="D780" t="inlineStr">
        <is>
          <t>STOCKHOLMS LÄN</t>
        </is>
      </c>
      <c r="E780" t="inlineStr">
        <is>
          <t>NORRTÄLJE</t>
        </is>
      </c>
      <c r="G780" t="n">
        <v>4.4</v>
      </c>
      <c r="H780" t="n">
        <v>0</v>
      </c>
      <c r="I780" t="n">
        <v>0</v>
      </c>
      <c r="J780" t="n">
        <v>0</v>
      </c>
      <c r="K780" t="n">
        <v>0</v>
      </c>
      <c r="L780" t="n">
        <v>0</v>
      </c>
      <c r="M780" t="n">
        <v>0</v>
      </c>
      <c r="N780" t="n">
        <v>0</v>
      </c>
      <c r="O780" t="n">
        <v>0</v>
      </c>
      <c r="P780" t="n">
        <v>0</v>
      </c>
      <c r="Q780" t="n">
        <v>0</v>
      </c>
      <c r="R780" s="2" t="inlineStr"/>
    </row>
    <row r="781" ht="15" customHeight="1">
      <c r="A781" t="inlineStr">
        <is>
          <t>A 16224-2022</t>
        </is>
      </c>
      <c r="B781" s="1" t="n">
        <v>44670</v>
      </c>
      <c r="C781" s="1" t="n">
        <v>45688</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16202-2022</t>
        </is>
      </c>
      <c r="B782" s="1" t="n">
        <v>44670</v>
      </c>
      <c r="C782" s="1" t="n">
        <v>45688</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16229-2022</t>
        </is>
      </c>
      <c r="B783" s="1" t="n">
        <v>44670</v>
      </c>
      <c r="C783" s="1" t="n">
        <v>45688</v>
      </c>
      <c r="D783" t="inlineStr">
        <is>
          <t>STOCKHOLMS LÄN</t>
        </is>
      </c>
      <c r="E783" t="inlineStr">
        <is>
          <t>NORRTÄLJE</t>
        </is>
      </c>
      <c r="G783" t="n">
        <v>7.4</v>
      </c>
      <c r="H783" t="n">
        <v>0</v>
      </c>
      <c r="I783" t="n">
        <v>0</v>
      </c>
      <c r="J783" t="n">
        <v>0</v>
      </c>
      <c r="K783" t="n">
        <v>0</v>
      </c>
      <c r="L783" t="n">
        <v>0</v>
      </c>
      <c r="M783" t="n">
        <v>0</v>
      </c>
      <c r="N783" t="n">
        <v>0</v>
      </c>
      <c r="O783" t="n">
        <v>0</v>
      </c>
      <c r="P783" t="n">
        <v>0</v>
      </c>
      <c r="Q783" t="n">
        <v>0</v>
      </c>
      <c r="R783" s="2" t="inlineStr"/>
    </row>
    <row r="784" ht="15" customHeight="1">
      <c r="A784" t="inlineStr">
        <is>
          <t>A 16442-2022</t>
        </is>
      </c>
      <c r="B784" s="1" t="n">
        <v>44671</v>
      </c>
      <c r="C784" s="1" t="n">
        <v>45688</v>
      </c>
      <c r="D784" t="inlineStr">
        <is>
          <t>STOCKHOLMS LÄN</t>
        </is>
      </c>
      <c r="E784" t="inlineStr">
        <is>
          <t>NORRTÄLJE</t>
        </is>
      </c>
      <c r="G784" t="n">
        <v>4.8</v>
      </c>
      <c r="H784" t="n">
        <v>0</v>
      </c>
      <c r="I784" t="n">
        <v>0</v>
      </c>
      <c r="J784" t="n">
        <v>0</v>
      </c>
      <c r="K784" t="n">
        <v>0</v>
      </c>
      <c r="L784" t="n">
        <v>0</v>
      </c>
      <c r="M784" t="n">
        <v>0</v>
      </c>
      <c r="N784" t="n">
        <v>0</v>
      </c>
      <c r="O784" t="n">
        <v>0</v>
      </c>
      <c r="P784" t="n">
        <v>0</v>
      </c>
      <c r="Q784" t="n">
        <v>0</v>
      </c>
      <c r="R784" s="2" t="inlineStr"/>
    </row>
    <row r="785" ht="15" customHeight="1">
      <c r="A785" t="inlineStr">
        <is>
          <t>A 16534-2022</t>
        </is>
      </c>
      <c r="B785" s="1" t="n">
        <v>44672</v>
      </c>
      <c r="C785" s="1" t="n">
        <v>45688</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16835-2022</t>
        </is>
      </c>
      <c r="B786" s="1" t="n">
        <v>44673</v>
      </c>
      <c r="C786" s="1" t="n">
        <v>45688</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17391-2022</t>
        </is>
      </c>
      <c r="B787" s="1" t="n">
        <v>44678</v>
      </c>
      <c r="C787" s="1" t="n">
        <v>45688</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17388-2022</t>
        </is>
      </c>
      <c r="B788" s="1" t="n">
        <v>44678</v>
      </c>
      <c r="C788" s="1" t="n">
        <v>45688</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17390-2022</t>
        </is>
      </c>
      <c r="B789" s="1" t="n">
        <v>44678</v>
      </c>
      <c r="C789" s="1" t="n">
        <v>45688</v>
      </c>
      <c r="D789" t="inlineStr">
        <is>
          <t>STOCKHOLMS LÄN</t>
        </is>
      </c>
      <c r="E789" t="inlineStr">
        <is>
          <t>NORRTÄLJE</t>
        </is>
      </c>
      <c r="G789" t="n">
        <v>4.9</v>
      </c>
      <c r="H789" t="n">
        <v>0</v>
      </c>
      <c r="I789" t="n">
        <v>0</v>
      </c>
      <c r="J789" t="n">
        <v>0</v>
      </c>
      <c r="K789" t="n">
        <v>0</v>
      </c>
      <c r="L789" t="n">
        <v>0</v>
      </c>
      <c r="M789" t="n">
        <v>0</v>
      </c>
      <c r="N789" t="n">
        <v>0</v>
      </c>
      <c r="O789" t="n">
        <v>0</v>
      </c>
      <c r="P789" t="n">
        <v>0</v>
      </c>
      <c r="Q789" t="n">
        <v>0</v>
      </c>
      <c r="R789" s="2" t="inlineStr"/>
    </row>
    <row r="790" ht="15" customHeight="1">
      <c r="A790" t="inlineStr">
        <is>
          <t>A 17612-2022</t>
        </is>
      </c>
      <c r="B790" s="1" t="n">
        <v>44680</v>
      </c>
      <c r="C790" s="1" t="n">
        <v>45688</v>
      </c>
      <c r="D790" t="inlineStr">
        <is>
          <t>STOCKHOLMS LÄN</t>
        </is>
      </c>
      <c r="E790" t="inlineStr">
        <is>
          <t>NORRTÄLJE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17629-2022</t>
        </is>
      </c>
      <c r="B791" s="1" t="n">
        <v>44680</v>
      </c>
      <c r="C791" s="1" t="n">
        <v>45688</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17771-2022</t>
        </is>
      </c>
      <c r="B792" s="1" t="n">
        <v>44682</v>
      </c>
      <c r="C792" s="1" t="n">
        <v>45688</v>
      </c>
      <c r="D792" t="inlineStr">
        <is>
          <t>STOCKHOLMS LÄN</t>
        </is>
      </c>
      <c r="E792" t="inlineStr">
        <is>
          <t>NORRTÄLJE</t>
        </is>
      </c>
      <c r="G792" t="n">
        <v>13.3</v>
      </c>
      <c r="H792" t="n">
        <v>0</v>
      </c>
      <c r="I792" t="n">
        <v>0</v>
      </c>
      <c r="J792" t="n">
        <v>0</v>
      </c>
      <c r="K792" t="n">
        <v>0</v>
      </c>
      <c r="L792" t="n">
        <v>0</v>
      </c>
      <c r="M792" t="n">
        <v>0</v>
      </c>
      <c r="N792" t="n">
        <v>0</v>
      </c>
      <c r="O792" t="n">
        <v>0</v>
      </c>
      <c r="P792" t="n">
        <v>0</v>
      </c>
      <c r="Q792" t="n">
        <v>0</v>
      </c>
      <c r="R792" s="2" t="inlineStr"/>
    </row>
    <row r="793" ht="15" customHeight="1">
      <c r="A793" t="inlineStr">
        <is>
          <t>A 17775-2022</t>
        </is>
      </c>
      <c r="B793" s="1" t="n">
        <v>44682</v>
      </c>
      <c r="C793" s="1" t="n">
        <v>45688</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17773-2022</t>
        </is>
      </c>
      <c r="B794" s="1" t="n">
        <v>44682</v>
      </c>
      <c r="C794" s="1" t="n">
        <v>45688</v>
      </c>
      <c r="D794" t="inlineStr">
        <is>
          <t>STOCKHOLMS LÄN</t>
        </is>
      </c>
      <c r="E794" t="inlineStr">
        <is>
          <t>NORRTÄLJE</t>
        </is>
      </c>
      <c r="G794" t="n">
        <v>10.8</v>
      </c>
      <c r="H794" t="n">
        <v>0</v>
      </c>
      <c r="I794" t="n">
        <v>0</v>
      </c>
      <c r="J794" t="n">
        <v>0</v>
      </c>
      <c r="K794" t="n">
        <v>0</v>
      </c>
      <c r="L794" t="n">
        <v>0</v>
      </c>
      <c r="M794" t="n">
        <v>0</v>
      </c>
      <c r="N794" t="n">
        <v>0</v>
      </c>
      <c r="O794" t="n">
        <v>0</v>
      </c>
      <c r="P794" t="n">
        <v>0</v>
      </c>
      <c r="Q794" t="n">
        <v>0</v>
      </c>
      <c r="R794" s="2" t="inlineStr"/>
    </row>
    <row r="795" ht="15" customHeight="1">
      <c r="A795" t="inlineStr">
        <is>
          <t>A 17772-2022</t>
        </is>
      </c>
      <c r="B795" s="1" t="n">
        <v>44682</v>
      </c>
      <c r="C795" s="1" t="n">
        <v>45688</v>
      </c>
      <c r="D795" t="inlineStr">
        <is>
          <t>STOCKHOLMS LÄN</t>
        </is>
      </c>
      <c r="E795" t="inlineStr">
        <is>
          <t>NORRTÄLJE</t>
        </is>
      </c>
      <c r="G795" t="n">
        <v>4</v>
      </c>
      <c r="H795" t="n">
        <v>0</v>
      </c>
      <c r="I795" t="n">
        <v>0</v>
      </c>
      <c r="J795" t="n">
        <v>0</v>
      </c>
      <c r="K795" t="n">
        <v>0</v>
      </c>
      <c r="L795" t="n">
        <v>0</v>
      </c>
      <c r="M795" t="n">
        <v>0</v>
      </c>
      <c r="N795" t="n">
        <v>0</v>
      </c>
      <c r="O795" t="n">
        <v>0</v>
      </c>
      <c r="P795" t="n">
        <v>0</v>
      </c>
      <c r="Q795" t="n">
        <v>0</v>
      </c>
      <c r="R795" s="2" t="inlineStr"/>
    </row>
    <row r="796" ht="15" customHeight="1">
      <c r="A796" t="inlineStr">
        <is>
          <t>A 17777-2022</t>
        </is>
      </c>
      <c r="B796" s="1" t="n">
        <v>44682</v>
      </c>
      <c r="C796" s="1" t="n">
        <v>45688</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17803-2022</t>
        </is>
      </c>
      <c r="B797" s="1" t="n">
        <v>44683</v>
      </c>
      <c r="C797" s="1" t="n">
        <v>45688</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17952-2022</t>
        </is>
      </c>
      <c r="B798" s="1" t="n">
        <v>44683</v>
      </c>
      <c r="C798" s="1" t="n">
        <v>45688</v>
      </c>
      <c r="D798" t="inlineStr">
        <is>
          <t>STOCKHOLMS LÄN</t>
        </is>
      </c>
      <c r="E798" t="inlineStr">
        <is>
          <t>NORRTÄLJE</t>
        </is>
      </c>
      <c r="G798" t="n">
        <v>51.1</v>
      </c>
      <c r="H798" t="n">
        <v>0</v>
      </c>
      <c r="I798" t="n">
        <v>0</v>
      </c>
      <c r="J798" t="n">
        <v>0</v>
      </c>
      <c r="K798" t="n">
        <v>0</v>
      </c>
      <c r="L798" t="n">
        <v>0</v>
      </c>
      <c r="M798" t="n">
        <v>0</v>
      </c>
      <c r="N798" t="n">
        <v>0</v>
      </c>
      <c r="O798" t="n">
        <v>0</v>
      </c>
      <c r="P798" t="n">
        <v>0</v>
      </c>
      <c r="Q798" t="n">
        <v>0</v>
      </c>
      <c r="R798" s="2" t="inlineStr"/>
    </row>
    <row r="799" ht="15" customHeight="1">
      <c r="A799" t="inlineStr">
        <is>
          <t>A 18092-2022</t>
        </is>
      </c>
      <c r="B799" s="1" t="n">
        <v>44684</v>
      </c>
      <c r="C799" s="1" t="n">
        <v>45688</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18103-2022</t>
        </is>
      </c>
      <c r="B800" s="1" t="n">
        <v>44684</v>
      </c>
      <c r="C800" s="1" t="n">
        <v>45688</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18350-2022</t>
        </is>
      </c>
      <c r="B801" s="1" t="n">
        <v>44685</v>
      </c>
      <c r="C801" s="1" t="n">
        <v>45688</v>
      </c>
      <c r="D801" t="inlineStr">
        <is>
          <t>STOCKHOLMS LÄN</t>
        </is>
      </c>
      <c r="E801" t="inlineStr">
        <is>
          <t>NORRTÄLJE</t>
        </is>
      </c>
      <c r="F801" t="inlineStr">
        <is>
          <t>Holmen skog AB</t>
        </is>
      </c>
      <c r="G801" t="n">
        <v>7.1</v>
      </c>
      <c r="H801" t="n">
        <v>0</v>
      </c>
      <c r="I801" t="n">
        <v>0</v>
      </c>
      <c r="J801" t="n">
        <v>0</v>
      </c>
      <c r="K801" t="n">
        <v>0</v>
      </c>
      <c r="L801" t="n">
        <v>0</v>
      </c>
      <c r="M801" t="n">
        <v>0</v>
      </c>
      <c r="N801" t="n">
        <v>0</v>
      </c>
      <c r="O801" t="n">
        <v>0</v>
      </c>
      <c r="P801" t="n">
        <v>0</v>
      </c>
      <c r="Q801" t="n">
        <v>0</v>
      </c>
      <c r="R801" s="2" t="inlineStr"/>
    </row>
    <row r="802" ht="15" customHeight="1">
      <c r="A802" t="inlineStr">
        <is>
          <t>A 18546-2022</t>
        </is>
      </c>
      <c r="B802" s="1" t="n">
        <v>44686</v>
      </c>
      <c r="C802" s="1" t="n">
        <v>45688</v>
      </c>
      <c r="D802" t="inlineStr">
        <is>
          <t>STOCKHOLMS LÄN</t>
        </is>
      </c>
      <c r="E802" t="inlineStr">
        <is>
          <t>NORRTÄLJE</t>
        </is>
      </c>
      <c r="G802" t="n">
        <v>15.2</v>
      </c>
      <c r="H802" t="n">
        <v>0</v>
      </c>
      <c r="I802" t="n">
        <v>0</v>
      </c>
      <c r="J802" t="n">
        <v>0</v>
      </c>
      <c r="K802" t="n">
        <v>0</v>
      </c>
      <c r="L802" t="n">
        <v>0</v>
      </c>
      <c r="M802" t="n">
        <v>0</v>
      </c>
      <c r="N802" t="n">
        <v>0</v>
      </c>
      <c r="O802" t="n">
        <v>0</v>
      </c>
      <c r="P802" t="n">
        <v>0</v>
      </c>
      <c r="Q802" t="n">
        <v>0</v>
      </c>
      <c r="R802" s="2" t="inlineStr"/>
    </row>
    <row r="803" ht="15" customHeight="1">
      <c r="A803" t="inlineStr">
        <is>
          <t>A 18665-2022</t>
        </is>
      </c>
      <c r="B803" s="1" t="n">
        <v>44687</v>
      </c>
      <c r="C803" s="1" t="n">
        <v>45688</v>
      </c>
      <c r="D803" t="inlineStr">
        <is>
          <t>STOCKHOLMS LÄN</t>
        </is>
      </c>
      <c r="E803" t="inlineStr">
        <is>
          <t>NORRTÄLJE</t>
        </is>
      </c>
      <c r="F803" t="inlineStr">
        <is>
          <t>Kyrkan</t>
        </is>
      </c>
      <c r="G803" t="n">
        <v>1.1</v>
      </c>
      <c r="H803" t="n">
        <v>0</v>
      </c>
      <c r="I803" t="n">
        <v>0</v>
      </c>
      <c r="J803" t="n">
        <v>0</v>
      </c>
      <c r="K803" t="n">
        <v>0</v>
      </c>
      <c r="L803" t="n">
        <v>0</v>
      </c>
      <c r="M803" t="n">
        <v>0</v>
      </c>
      <c r="N803" t="n">
        <v>0</v>
      </c>
      <c r="O803" t="n">
        <v>0</v>
      </c>
      <c r="P803" t="n">
        <v>0</v>
      </c>
      <c r="Q803" t="n">
        <v>0</v>
      </c>
      <c r="R803" s="2" t="inlineStr"/>
    </row>
    <row r="804" ht="15" customHeight="1">
      <c r="A804" t="inlineStr">
        <is>
          <t>A 18787-2022</t>
        </is>
      </c>
      <c r="B804" s="1" t="n">
        <v>44687</v>
      </c>
      <c r="C804" s="1" t="n">
        <v>45688</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18846-2022</t>
        </is>
      </c>
      <c r="B805" s="1" t="n">
        <v>44690</v>
      </c>
      <c r="C805" s="1" t="n">
        <v>45688</v>
      </c>
      <c r="D805" t="inlineStr">
        <is>
          <t>STOCKHOLMS LÄN</t>
        </is>
      </c>
      <c r="E805" t="inlineStr">
        <is>
          <t>NORRTÄLJE</t>
        </is>
      </c>
      <c r="G805" t="n">
        <v>7</v>
      </c>
      <c r="H805" t="n">
        <v>0</v>
      </c>
      <c r="I805" t="n">
        <v>0</v>
      </c>
      <c r="J805" t="n">
        <v>0</v>
      </c>
      <c r="K805" t="n">
        <v>0</v>
      </c>
      <c r="L805" t="n">
        <v>0</v>
      </c>
      <c r="M805" t="n">
        <v>0</v>
      </c>
      <c r="N805" t="n">
        <v>0</v>
      </c>
      <c r="O805" t="n">
        <v>0</v>
      </c>
      <c r="P805" t="n">
        <v>0</v>
      </c>
      <c r="Q805" t="n">
        <v>0</v>
      </c>
      <c r="R805" s="2" t="inlineStr"/>
    </row>
    <row r="806" ht="15" customHeight="1">
      <c r="A806" t="inlineStr">
        <is>
          <t>A 18905-2022</t>
        </is>
      </c>
      <c r="B806" s="1" t="n">
        <v>44690</v>
      </c>
      <c r="C806" s="1" t="n">
        <v>45688</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18894-2022</t>
        </is>
      </c>
      <c r="B807" s="1" t="n">
        <v>44690</v>
      </c>
      <c r="C807" s="1" t="n">
        <v>45688</v>
      </c>
      <c r="D807" t="inlineStr">
        <is>
          <t>STOCKHOLMS LÄN</t>
        </is>
      </c>
      <c r="E807" t="inlineStr">
        <is>
          <t>NORRTÄLJE</t>
        </is>
      </c>
      <c r="G807" t="n">
        <v>3.6</v>
      </c>
      <c r="H807" t="n">
        <v>0</v>
      </c>
      <c r="I807" t="n">
        <v>0</v>
      </c>
      <c r="J807" t="n">
        <v>0</v>
      </c>
      <c r="K807" t="n">
        <v>0</v>
      </c>
      <c r="L807" t="n">
        <v>0</v>
      </c>
      <c r="M807" t="n">
        <v>0</v>
      </c>
      <c r="N807" t="n">
        <v>0</v>
      </c>
      <c r="O807" t="n">
        <v>0</v>
      </c>
      <c r="P807" t="n">
        <v>0</v>
      </c>
      <c r="Q807" t="n">
        <v>0</v>
      </c>
      <c r="R807" s="2" t="inlineStr"/>
    </row>
    <row r="808" ht="15" customHeight="1">
      <c r="A808" t="inlineStr">
        <is>
          <t>A 19116-2022</t>
        </is>
      </c>
      <c r="B808" s="1" t="n">
        <v>44691</v>
      </c>
      <c r="C808" s="1" t="n">
        <v>45688</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19118-2022</t>
        </is>
      </c>
      <c r="B809" s="1" t="n">
        <v>44691</v>
      </c>
      <c r="C809" s="1" t="n">
        <v>45688</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19580-2022</t>
        </is>
      </c>
      <c r="B810" s="1" t="n">
        <v>44693</v>
      </c>
      <c r="C810" s="1" t="n">
        <v>45688</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19729-2022</t>
        </is>
      </c>
      <c r="B811" s="1" t="n">
        <v>44694</v>
      </c>
      <c r="C811" s="1" t="n">
        <v>45688</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19728-2022</t>
        </is>
      </c>
      <c r="B812" s="1" t="n">
        <v>44694</v>
      </c>
      <c r="C812" s="1" t="n">
        <v>45688</v>
      </c>
      <c r="D812" t="inlineStr">
        <is>
          <t>STOCKHOLMS LÄN</t>
        </is>
      </c>
      <c r="E812" t="inlineStr">
        <is>
          <t>NORRTÄLJE</t>
        </is>
      </c>
      <c r="G812" t="n">
        <v>3.3</v>
      </c>
      <c r="H812" t="n">
        <v>0</v>
      </c>
      <c r="I812" t="n">
        <v>0</v>
      </c>
      <c r="J812" t="n">
        <v>0</v>
      </c>
      <c r="K812" t="n">
        <v>0</v>
      </c>
      <c r="L812" t="n">
        <v>0</v>
      </c>
      <c r="M812" t="n">
        <v>0</v>
      </c>
      <c r="N812" t="n">
        <v>0</v>
      </c>
      <c r="O812" t="n">
        <v>0</v>
      </c>
      <c r="P812" t="n">
        <v>0</v>
      </c>
      <c r="Q812" t="n">
        <v>0</v>
      </c>
      <c r="R812" s="2" t="inlineStr"/>
    </row>
    <row r="813" ht="15" customHeight="1">
      <c r="A813" t="inlineStr">
        <is>
          <t>A 19982-2022</t>
        </is>
      </c>
      <c r="B813" s="1" t="n">
        <v>44697</v>
      </c>
      <c r="C813" s="1" t="n">
        <v>45688</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19983-2022</t>
        </is>
      </c>
      <c r="B814" s="1" t="n">
        <v>44697</v>
      </c>
      <c r="C814" s="1" t="n">
        <v>45688</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20121-2022</t>
        </is>
      </c>
      <c r="B815" s="1" t="n">
        <v>44698</v>
      </c>
      <c r="C815" s="1" t="n">
        <v>45688</v>
      </c>
      <c r="D815" t="inlineStr">
        <is>
          <t>STOCKHOLMS LÄN</t>
        </is>
      </c>
      <c r="E815" t="inlineStr">
        <is>
          <t>NORRTÄLJE</t>
        </is>
      </c>
      <c r="G815" t="n">
        <v>4.2</v>
      </c>
      <c r="H815" t="n">
        <v>0</v>
      </c>
      <c r="I815" t="n">
        <v>0</v>
      </c>
      <c r="J815" t="n">
        <v>0</v>
      </c>
      <c r="K815" t="n">
        <v>0</v>
      </c>
      <c r="L815" t="n">
        <v>0</v>
      </c>
      <c r="M815" t="n">
        <v>0</v>
      </c>
      <c r="N815" t="n">
        <v>0</v>
      </c>
      <c r="O815" t="n">
        <v>0</v>
      </c>
      <c r="P815" t="n">
        <v>0</v>
      </c>
      <c r="Q815" t="n">
        <v>0</v>
      </c>
      <c r="R815" s="2" t="inlineStr"/>
    </row>
    <row r="816" ht="15" customHeight="1">
      <c r="A816" t="inlineStr">
        <is>
          <t>A 20129-2022</t>
        </is>
      </c>
      <c r="B816" s="1" t="n">
        <v>44698</v>
      </c>
      <c r="C816" s="1" t="n">
        <v>45688</v>
      </c>
      <c r="D816" t="inlineStr">
        <is>
          <t>STOCKHOLMS LÄN</t>
        </is>
      </c>
      <c r="E816" t="inlineStr">
        <is>
          <t>NORRTÄLJE</t>
        </is>
      </c>
      <c r="G816" t="n">
        <v>3.7</v>
      </c>
      <c r="H816" t="n">
        <v>0</v>
      </c>
      <c r="I816" t="n">
        <v>0</v>
      </c>
      <c r="J816" t="n">
        <v>0</v>
      </c>
      <c r="K816" t="n">
        <v>0</v>
      </c>
      <c r="L816" t="n">
        <v>0</v>
      </c>
      <c r="M816" t="n">
        <v>0</v>
      </c>
      <c r="N816" t="n">
        <v>0</v>
      </c>
      <c r="O816" t="n">
        <v>0</v>
      </c>
      <c r="P816" t="n">
        <v>0</v>
      </c>
      <c r="Q816" t="n">
        <v>0</v>
      </c>
      <c r="R816" s="2" t="inlineStr"/>
    </row>
    <row r="817" ht="15" customHeight="1">
      <c r="A817" t="inlineStr">
        <is>
          <t>A 20291-2022</t>
        </is>
      </c>
      <c r="B817" s="1" t="n">
        <v>44698</v>
      </c>
      <c r="C817" s="1" t="n">
        <v>45688</v>
      </c>
      <c r="D817" t="inlineStr">
        <is>
          <t>STOCKHOLMS LÄN</t>
        </is>
      </c>
      <c r="E817" t="inlineStr">
        <is>
          <t>NORRTÄLJE</t>
        </is>
      </c>
      <c r="F817" t="inlineStr">
        <is>
          <t>Naturvårdsverket</t>
        </is>
      </c>
      <c r="G817" t="n">
        <v>2</v>
      </c>
      <c r="H817" t="n">
        <v>0</v>
      </c>
      <c r="I817" t="n">
        <v>0</v>
      </c>
      <c r="J817" t="n">
        <v>0</v>
      </c>
      <c r="K817" t="n">
        <v>0</v>
      </c>
      <c r="L817" t="n">
        <v>0</v>
      </c>
      <c r="M817" t="n">
        <v>0</v>
      </c>
      <c r="N817" t="n">
        <v>0</v>
      </c>
      <c r="O817" t="n">
        <v>0</v>
      </c>
      <c r="P817" t="n">
        <v>0</v>
      </c>
      <c r="Q817" t="n">
        <v>0</v>
      </c>
      <c r="R817" s="2" t="inlineStr"/>
    </row>
    <row r="818" ht="15" customHeight="1">
      <c r="A818" t="inlineStr">
        <is>
          <t>A 20294-2022</t>
        </is>
      </c>
      <c r="B818" s="1" t="n">
        <v>44698</v>
      </c>
      <c r="C818" s="1" t="n">
        <v>45688</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20295-2022</t>
        </is>
      </c>
      <c r="B819" s="1" t="n">
        <v>44698</v>
      </c>
      <c r="C819" s="1" t="n">
        <v>45688</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20618-2022</t>
        </is>
      </c>
      <c r="B820" s="1" t="n">
        <v>44700</v>
      </c>
      <c r="C820" s="1" t="n">
        <v>45688</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21102-2022</t>
        </is>
      </c>
      <c r="B821" s="1" t="n">
        <v>44704</v>
      </c>
      <c r="C821" s="1" t="n">
        <v>45688</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21158-2022</t>
        </is>
      </c>
      <c r="B822" s="1" t="n">
        <v>44704</v>
      </c>
      <c r="C822" s="1" t="n">
        <v>45688</v>
      </c>
      <c r="D822" t="inlineStr">
        <is>
          <t>STOCKHOLMS LÄN</t>
        </is>
      </c>
      <c r="E822" t="inlineStr">
        <is>
          <t>NORRTÄLJE</t>
        </is>
      </c>
      <c r="G822" t="n">
        <v>17.8</v>
      </c>
      <c r="H822" t="n">
        <v>0</v>
      </c>
      <c r="I822" t="n">
        <v>0</v>
      </c>
      <c r="J822" t="n">
        <v>0</v>
      </c>
      <c r="K822" t="n">
        <v>0</v>
      </c>
      <c r="L822" t="n">
        <v>0</v>
      </c>
      <c r="M822" t="n">
        <v>0</v>
      </c>
      <c r="N822" t="n">
        <v>0</v>
      </c>
      <c r="O822" t="n">
        <v>0</v>
      </c>
      <c r="P822" t="n">
        <v>0</v>
      </c>
      <c r="Q822" t="n">
        <v>0</v>
      </c>
      <c r="R822" s="2" t="inlineStr"/>
    </row>
    <row r="823" ht="15" customHeight="1">
      <c r="A823" t="inlineStr">
        <is>
          <t>A 21174-2022</t>
        </is>
      </c>
      <c r="B823" s="1" t="n">
        <v>44704</v>
      </c>
      <c r="C823" s="1" t="n">
        <v>45688</v>
      </c>
      <c r="D823" t="inlineStr">
        <is>
          <t>STOCKHOLMS LÄN</t>
        </is>
      </c>
      <c r="E823" t="inlineStr">
        <is>
          <t>NORRTÄLJE</t>
        </is>
      </c>
      <c r="G823" t="n">
        <v>5.2</v>
      </c>
      <c r="H823" t="n">
        <v>0</v>
      </c>
      <c r="I823" t="n">
        <v>0</v>
      </c>
      <c r="J823" t="n">
        <v>0</v>
      </c>
      <c r="K823" t="n">
        <v>0</v>
      </c>
      <c r="L823" t="n">
        <v>0</v>
      </c>
      <c r="M823" t="n">
        <v>0</v>
      </c>
      <c r="N823" t="n">
        <v>0</v>
      </c>
      <c r="O823" t="n">
        <v>0</v>
      </c>
      <c r="P823" t="n">
        <v>0</v>
      </c>
      <c r="Q823" t="n">
        <v>0</v>
      </c>
      <c r="R823" s="2" t="inlineStr"/>
    </row>
    <row r="824" ht="15" customHeight="1">
      <c r="A824" t="inlineStr">
        <is>
          <t>A 21480-2022</t>
        </is>
      </c>
      <c r="B824" s="1" t="n">
        <v>44704</v>
      </c>
      <c r="C824" s="1" t="n">
        <v>45688</v>
      </c>
      <c r="D824" t="inlineStr">
        <is>
          <t>STOCKHOLMS LÄN</t>
        </is>
      </c>
      <c r="E824" t="inlineStr">
        <is>
          <t>NORRTÄLJE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21178-2022</t>
        </is>
      </c>
      <c r="B825" s="1" t="n">
        <v>44704</v>
      </c>
      <c r="C825" s="1" t="n">
        <v>45688</v>
      </c>
      <c r="D825" t="inlineStr">
        <is>
          <t>STOCKHOLMS LÄN</t>
        </is>
      </c>
      <c r="E825" t="inlineStr">
        <is>
          <t>NORRTÄLJE</t>
        </is>
      </c>
      <c r="G825" t="n">
        <v>6</v>
      </c>
      <c r="H825" t="n">
        <v>0</v>
      </c>
      <c r="I825" t="n">
        <v>0</v>
      </c>
      <c r="J825" t="n">
        <v>0</v>
      </c>
      <c r="K825" t="n">
        <v>0</v>
      </c>
      <c r="L825" t="n">
        <v>0</v>
      </c>
      <c r="M825" t="n">
        <v>0</v>
      </c>
      <c r="N825" t="n">
        <v>0</v>
      </c>
      <c r="O825" t="n">
        <v>0</v>
      </c>
      <c r="P825" t="n">
        <v>0</v>
      </c>
      <c r="Q825" t="n">
        <v>0</v>
      </c>
      <c r="R825" s="2" t="inlineStr"/>
    </row>
    <row r="826" ht="15" customHeight="1">
      <c r="A826" t="inlineStr">
        <is>
          <t>A 21329-2022</t>
        </is>
      </c>
      <c r="B826" s="1" t="n">
        <v>44705</v>
      </c>
      <c r="C826" s="1" t="n">
        <v>45688</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21739-2022</t>
        </is>
      </c>
      <c r="B827" s="1" t="n">
        <v>44708</v>
      </c>
      <c r="C827" s="1" t="n">
        <v>45688</v>
      </c>
      <c r="D827" t="inlineStr">
        <is>
          <t>STOCKHOLMS LÄN</t>
        </is>
      </c>
      <c r="E827" t="inlineStr">
        <is>
          <t>NORRTÄLJE</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21723-2022</t>
        </is>
      </c>
      <c r="B828" s="1" t="n">
        <v>44708</v>
      </c>
      <c r="C828" s="1" t="n">
        <v>45688</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21726-2022</t>
        </is>
      </c>
      <c r="B829" s="1" t="n">
        <v>44708</v>
      </c>
      <c r="C829" s="1" t="n">
        <v>45688</v>
      </c>
      <c r="D829" t="inlineStr">
        <is>
          <t>STOCKHOLMS LÄN</t>
        </is>
      </c>
      <c r="E829" t="inlineStr">
        <is>
          <t>NORRTÄLJE</t>
        </is>
      </c>
      <c r="G829" t="n">
        <v>0.2</v>
      </c>
      <c r="H829" t="n">
        <v>0</v>
      </c>
      <c r="I829" t="n">
        <v>0</v>
      </c>
      <c r="J829" t="n">
        <v>0</v>
      </c>
      <c r="K829" t="n">
        <v>0</v>
      </c>
      <c r="L829" t="n">
        <v>0</v>
      </c>
      <c r="M829" t="n">
        <v>0</v>
      </c>
      <c r="N829" t="n">
        <v>0</v>
      </c>
      <c r="O829" t="n">
        <v>0</v>
      </c>
      <c r="P829" t="n">
        <v>0</v>
      </c>
      <c r="Q829" t="n">
        <v>0</v>
      </c>
      <c r="R829" s="2" t="inlineStr"/>
    </row>
    <row r="830" ht="15" customHeight="1">
      <c r="A830" t="inlineStr">
        <is>
          <t>A 21803-2022</t>
        </is>
      </c>
      <c r="B830" s="1" t="n">
        <v>44708</v>
      </c>
      <c r="C830" s="1" t="n">
        <v>45688</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21970-2022</t>
        </is>
      </c>
      <c r="B831" s="1" t="n">
        <v>44711</v>
      </c>
      <c r="C831" s="1" t="n">
        <v>45688</v>
      </c>
      <c r="D831" t="inlineStr">
        <is>
          <t>STOCKHOLMS LÄN</t>
        </is>
      </c>
      <c r="E831" t="inlineStr">
        <is>
          <t>NORRTÄLJE</t>
        </is>
      </c>
      <c r="F831" t="inlineStr">
        <is>
          <t>Holmen skog AB</t>
        </is>
      </c>
      <c r="G831" t="n">
        <v>2.8</v>
      </c>
      <c r="H831" t="n">
        <v>0</v>
      </c>
      <c r="I831" t="n">
        <v>0</v>
      </c>
      <c r="J831" t="n">
        <v>0</v>
      </c>
      <c r="K831" t="n">
        <v>0</v>
      </c>
      <c r="L831" t="n">
        <v>0</v>
      </c>
      <c r="M831" t="n">
        <v>0</v>
      </c>
      <c r="N831" t="n">
        <v>0</v>
      </c>
      <c r="O831" t="n">
        <v>0</v>
      </c>
      <c r="P831" t="n">
        <v>0</v>
      </c>
      <c r="Q831" t="n">
        <v>0</v>
      </c>
      <c r="R831" s="2" t="inlineStr"/>
    </row>
    <row r="832" ht="15" customHeight="1">
      <c r="A832" t="inlineStr">
        <is>
          <t>A 22072-2022</t>
        </is>
      </c>
      <c r="B832" s="1" t="n">
        <v>44711</v>
      </c>
      <c r="C832" s="1" t="n">
        <v>45688</v>
      </c>
      <c r="D832" t="inlineStr">
        <is>
          <t>STOCKHOLMS LÄN</t>
        </is>
      </c>
      <c r="E832" t="inlineStr">
        <is>
          <t>NORRTÄLJE</t>
        </is>
      </c>
      <c r="G832" t="n">
        <v>9.6</v>
      </c>
      <c r="H832" t="n">
        <v>0</v>
      </c>
      <c r="I832" t="n">
        <v>0</v>
      </c>
      <c r="J832" t="n">
        <v>0</v>
      </c>
      <c r="K832" t="n">
        <v>0</v>
      </c>
      <c r="L832" t="n">
        <v>0</v>
      </c>
      <c r="M832" t="n">
        <v>0</v>
      </c>
      <c r="N832" t="n">
        <v>0</v>
      </c>
      <c r="O832" t="n">
        <v>0</v>
      </c>
      <c r="P832" t="n">
        <v>0</v>
      </c>
      <c r="Q832" t="n">
        <v>0</v>
      </c>
      <c r="R832" s="2" t="inlineStr"/>
    </row>
    <row r="833" ht="15" customHeight="1">
      <c r="A833" t="inlineStr">
        <is>
          <t>A 22071-2022</t>
        </is>
      </c>
      <c r="B833" s="1" t="n">
        <v>44711</v>
      </c>
      <c r="C833" s="1" t="n">
        <v>45688</v>
      </c>
      <c r="D833" t="inlineStr">
        <is>
          <t>STOCKHOLMS LÄN</t>
        </is>
      </c>
      <c r="E833" t="inlineStr">
        <is>
          <t>NORRTÄLJE</t>
        </is>
      </c>
      <c r="G833" t="n">
        <v>7</v>
      </c>
      <c r="H833" t="n">
        <v>0</v>
      </c>
      <c r="I833" t="n">
        <v>0</v>
      </c>
      <c r="J833" t="n">
        <v>0</v>
      </c>
      <c r="K833" t="n">
        <v>0</v>
      </c>
      <c r="L833" t="n">
        <v>0</v>
      </c>
      <c r="M833" t="n">
        <v>0</v>
      </c>
      <c r="N833" t="n">
        <v>0</v>
      </c>
      <c r="O833" t="n">
        <v>0</v>
      </c>
      <c r="P833" t="n">
        <v>0</v>
      </c>
      <c r="Q833" t="n">
        <v>0</v>
      </c>
      <c r="R833" s="2" t="inlineStr"/>
    </row>
    <row r="834" ht="15" customHeight="1">
      <c r="A834" t="inlineStr">
        <is>
          <t>A 22269-2022</t>
        </is>
      </c>
      <c r="B834" s="1" t="n">
        <v>44712</v>
      </c>
      <c r="C834" s="1" t="n">
        <v>45688</v>
      </c>
      <c r="D834" t="inlineStr">
        <is>
          <t>STOCKHOLMS LÄN</t>
        </is>
      </c>
      <c r="E834" t="inlineStr">
        <is>
          <t>NORRTÄLJE</t>
        </is>
      </c>
      <c r="G834" t="n">
        <v>4.5</v>
      </c>
      <c r="H834" t="n">
        <v>0</v>
      </c>
      <c r="I834" t="n">
        <v>0</v>
      </c>
      <c r="J834" t="n">
        <v>0</v>
      </c>
      <c r="K834" t="n">
        <v>0</v>
      </c>
      <c r="L834" t="n">
        <v>0</v>
      </c>
      <c r="M834" t="n">
        <v>0</v>
      </c>
      <c r="N834" t="n">
        <v>0</v>
      </c>
      <c r="O834" t="n">
        <v>0</v>
      </c>
      <c r="P834" t="n">
        <v>0</v>
      </c>
      <c r="Q834" t="n">
        <v>0</v>
      </c>
      <c r="R834" s="2" t="inlineStr"/>
    </row>
    <row r="835" ht="15" customHeight="1">
      <c r="A835" t="inlineStr">
        <is>
          <t>A 22316-2022</t>
        </is>
      </c>
      <c r="B835" s="1" t="n">
        <v>44712</v>
      </c>
      <c r="C835" s="1" t="n">
        <v>45688</v>
      </c>
      <c r="D835" t="inlineStr">
        <is>
          <t>STOCKHOLMS LÄN</t>
        </is>
      </c>
      <c r="E835" t="inlineStr">
        <is>
          <t>NORRTÄLJE</t>
        </is>
      </c>
      <c r="G835" t="n">
        <v>6.3</v>
      </c>
      <c r="H835" t="n">
        <v>0</v>
      </c>
      <c r="I835" t="n">
        <v>0</v>
      </c>
      <c r="J835" t="n">
        <v>0</v>
      </c>
      <c r="K835" t="n">
        <v>0</v>
      </c>
      <c r="L835" t="n">
        <v>0</v>
      </c>
      <c r="M835" t="n">
        <v>0</v>
      </c>
      <c r="N835" t="n">
        <v>0</v>
      </c>
      <c r="O835" t="n">
        <v>0</v>
      </c>
      <c r="P835" t="n">
        <v>0</v>
      </c>
      <c r="Q835" t="n">
        <v>0</v>
      </c>
      <c r="R835" s="2" t="inlineStr"/>
    </row>
    <row r="836" ht="15" customHeight="1">
      <c r="A836" t="inlineStr">
        <is>
          <t>A 22503-2022</t>
        </is>
      </c>
      <c r="B836" s="1" t="n">
        <v>44713</v>
      </c>
      <c r="C836" s="1" t="n">
        <v>45688</v>
      </c>
      <c r="D836" t="inlineStr">
        <is>
          <t>STOCKHOLMS LÄN</t>
        </is>
      </c>
      <c r="E836" t="inlineStr">
        <is>
          <t>NORRTÄLJE</t>
        </is>
      </c>
      <c r="G836" t="n">
        <v>5.1</v>
      </c>
      <c r="H836" t="n">
        <v>0</v>
      </c>
      <c r="I836" t="n">
        <v>0</v>
      </c>
      <c r="J836" t="n">
        <v>0</v>
      </c>
      <c r="K836" t="n">
        <v>0</v>
      </c>
      <c r="L836" t="n">
        <v>0</v>
      </c>
      <c r="M836" t="n">
        <v>0</v>
      </c>
      <c r="N836" t="n">
        <v>0</v>
      </c>
      <c r="O836" t="n">
        <v>0</v>
      </c>
      <c r="P836" t="n">
        <v>0</v>
      </c>
      <c r="Q836" t="n">
        <v>0</v>
      </c>
      <c r="R836" s="2" t="inlineStr"/>
    </row>
    <row r="837" ht="15" customHeight="1">
      <c r="A837" t="inlineStr">
        <is>
          <t>A 22697-2022</t>
        </is>
      </c>
      <c r="B837" s="1" t="n">
        <v>44714</v>
      </c>
      <c r="C837" s="1" t="n">
        <v>45688</v>
      </c>
      <c r="D837" t="inlineStr">
        <is>
          <t>STOCKHOLMS LÄN</t>
        </is>
      </c>
      <c r="E837" t="inlineStr">
        <is>
          <t>NORRTÄLJE</t>
        </is>
      </c>
      <c r="G837" t="n">
        <v>5.6</v>
      </c>
      <c r="H837" t="n">
        <v>0</v>
      </c>
      <c r="I837" t="n">
        <v>0</v>
      </c>
      <c r="J837" t="n">
        <v>0</v>
      </c>
      <c r="K837" t="n">
        <v>0</v>
      </c>
      <c r="L837" t="n">
        <v>0</v>
      </c>
      <c r="M837" t="n">
        <v>0</v>
      </c>
      <c r="N837" t="n">
        <v>0</v>
      </c>
      <c r="O837" t="n">
        <v>0</v>
      </c>
      <c r="P837" t="n">
        <v>0</v>
      </c>
      <c r="Q837" t="n">
        <v>0</v>
      </c>
      <c r="R837" s="2" t="inlineStr"/>
    </row>
    <row r="838" ht="15" customHeight="1">
      <c r="A838" t="inlineStr">
        <is>
          <t>A 22628-2022</t>
        </is>
      </c>
      <c r="B838" s="1" t="n">
        <v>44714</v>
      </c>
      <c r="C838" s="1" t="n">
        <v>45688</v>
      </c>
      <c r="D838" t="inlineStr">
        <is>
          <t>STOCKHOLMS LÄN</t>
        </is>
      </c>
      <c r="E838" t="inlineStr">
        <is>
          <t>NORRTÄLJE</t>
        </is>
      </c>
      <c r="G838" t="n">
        <v>11.4</v>
      </c>
      <c r="H838" t="n">
        <v>0</v>
      </c>
      <c r="I838" t="n">
        <v>0</v>
      </c>
      <c r="J838" t="n">
        <v>0</v>
      </c>
      <c r="K838" t="n">
        <v>0</v>
      </c>
      <c r="L838" t="n">
        <v>0</v>
      </c>
      <c r="M838" t="n">
        <v>0</v>
      </c>
      <c r="N838" t="n">
        <v>0</v>
      </c>
      <c r="O838" t="n">
        <v>0</v>
      </c>
      <c r="P838" t="n">
        <v>0</v>
      </c>
      <c r="Q838" t="n">
        <v>0</v>
      </c>
      <c r="R838" s="2" t="inlineStr"/>
    </row>
    <row r="839" ht="15" customHeight="1">
      <c r="A839" t="inlineStr">
        <is>
          <t>A 22636-2022</t>
        </is>
      </c>
      <c r="B839" s="1" t="n">
        <v>44714</v>
      </c>
      <c r="C839" s="1" t="n">
        <v>45688</v>
      </c>
      <c r="D839" t="inlineStr">
        <is>
          <t>STOCKHOLMS LÄN</t>
        </is>
      </c>
      <c r="E839" t="inlineStr">
        <is>
          <t>NORRTÄLJE</t>
        </is>
      </c>
      <c r="G839" t="n">
        <v>16.6</v>
      </c>
      <c r="H839" t="n">
        <v>0</v>
      </c>
      <c r="I839" t="n">
        <v>0</v>
      </c>
      <c r="J839" t="n">
        <v>0</v>
      </c>
      <c r="K839" t="n">
        <v>0</v>
      </c>
      <c r="L839" t="n">
        <v>0</v>
      </c>
      <c r="M839" t="n">
        <v>0</v>
      </c>
      <c r="N839" t="n">
        <v>0</v>
      </c>
      <c r="O839" t="n">
        <v>0</v>
      </c>
      <c r="P839" t="n">
        <v>0</v>
      </c>
      <c r="Q839" t="n">
        <v>0</v>
      </c>
      <c r="R839" s="2" t="inlineStr"/>
    </row>
    <row r="840" ht="15" customHeight="1">
      <c r="A840" t="inlineStr">
        <is>
          <t>A 22716-2022</t>
        </is>
      </c>
      <c r="B840" s="1" t="n">
        <v>44714</v>
      </c>
      <c r="C840" s="1" t="n">
        <v>45688</v>
      </c>
      <c r="D840" t="inlineStr">
        <is>
          <t>STOCKHOLMS LÄN</t>
        </is>
      </c>
      <c r="E840" t="inlineStr">
        <is>
          <t>NORRTÄLJE</t>
        </is>
      </c>
      <c r="G840" t="n">
        <v>13.5</v>
      </c>
      <c r="H840" t="n">
        <v>0</v>
      </c>
      <c r="I840" t="n">
        <v>0</v>
      </c>
      <c r="J840" t="n">
        <v>0</v>
      </c>
      <c r="K840" t="n">
        <v>0</v>
      </c>
      <c r="L840" t="n">
        <v>0</v>
      </c>
      <c r="M840" t="n">
        <v>0</v>
      </c>
      <c r="N840" t="n">
        <v>0</v>
      </c>
      <c r="O840" t="n">
        <v>0</v>
      </c>
      <c r="P840" t="n">
        <v>0</v>
      </c>
      <c r="Q840" t="n">
        <v>0</v>
      </c>
      <c r="R840" s="2" t="inlineStr"/>
    </row>
    <row r="841" ht="15" customHeight="1">
      <c r="A841" t="inlineStr">
        <is>
          <t>A 22756-2022</t>
        </is>
      </c>
      <c r="B841" s="1" t="n">
        <v>44715</v>
      </c>
      <c r="C841" s="1" t="n">
        <v>45688</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23125-2022</t>
        </is>
      </c>
      <c r="B842" s="1" t="n">
        <v>44719</v>
      </c>
      <c r="C842" s="1" t="n">
        <v>45688</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23770-2022</t>
        </is>
      </c>
      <c r="B843" s="1" t="n">
        <v>44722</v>
      </c>
      <c r="C843" s="1" t="n">
        <v>45688</v>
      </c>
      <c r="D843" t="inlineStr">
        <is>
          <t>STOCKHOLMS LÄN</t>
        </is>
      </c>
      <c r="E843" t="inlineStr">
        <is>
          <t>NORRTÄLJE</t>
        </is>
      </c>
      <c r="G843" t="n">
        <v>1.6</v>
      </c>
      <c r="H843" t="n">
        <v>0</v>
      </c>
      <c r="I843" t="n">
        <v>0</v>
      </c>
      <c r="J843" t="n">
        <v>0</v>
      </c>
      <c r="K843" t="n">
        <v>0</v>
      </c>
      <c r="L843" t="n">
        <v>0</v>
      </c>
      <c r="M843" t="n">
        <v>0</v>
      </c>
      <c r="N843" t="n">
        <v>0</v>
      </c>
      <c r="O843" t="n">
        <v>0</v>
      </c>
      <c r="P843" t="n">
        <v>0</v>
      </c>
      <c r="Q843" t="n">
        <v>0</v>
      </c>
      <c r="R843" s="2" t="inlineStr"/>
    </row>
    <row r="844" ht="15" customHeight="1">
      <c r="A844" t="inlineStr">
        <is>
          <t>A 23801-2022</t>
        </is>
      </c>
      <c r="B844" s="1" t="n">
        <v>44722</v>
      </c>
      <c r="C844" s="1" t="n">
        <v>45688</v>
      </c>
      <c r="D844" t="inlineStr">
        <is>
          <t>STOCKHOLMS LÄN</t>
        </is>
      </c>
      <c r="E844" t="inlineStr">
        <is>
          <t>NORRTÄLJE</t>
        </is>
      </c>
      <c r="G844" t="n">
        <v>6.8</v>
      </c>
      <c r="H844" t="n">
        <v>0</v>
      </c>
      <c r="I844" t="n">
        <v>0</v>
      </c>
      <c r="J844" t="n">
        <v>0</v>
      </c>
      <c r="K844" t="n">
        <v>0</v>
      </c>
      <c r="L844" t="n">
        <v>0</v>
      </c>
      <c r="M844" t="n">
        <v>0</v>
      </c>
      <c r="N844" t="n">
        <v>0</v>
      </c>
      <c r="O844" t="n">
        <v>0</v>
      </c>
      <c r="P844" t="n">
        <v>0</v>
      </c>
      <c r="Q844" t="n">
        <v>0</v>
      </c>
      <c r="R844" s="2" t="inlineStr"/>
    </row>
    <row r="845" ht="15" customHeight="1">
      <c r="A845" t="inlineStr">
        <is>
          <t>A 24101-2022</t>
        </is>
      </c>
      <c r="B845" s="1" t="n">
        <v>44725</v>
      </c>
      <c r="C845" s="1" t="n">
        <v>45688</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24162-2022</t>
        </is>
      </c>
      <c r="B846" s="1" t="n">
        <v>44725</v>
      </c>
      <c r="C846" s="1" t="n">
        <v>45688</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24167-2022</t>
        </is>
      </c>
      <c r="B847" s="1" t="n">
        <v>44725</v>
      </c>
      <c r="C847" s="1" t="n">
        <v>45688</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24152-2022</t>
        </is>
      </c>
      <c r="B848" s="1" t="n">
        <v>44725</v>
      </c>
      <c r="C848" s="1" t="n">
        <v>45688</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24534-2022</t>
        </is>
      </c>
      <c r="B849" s="1" t="n">
        <v>44727</v>
      </c>
      <c r="C849" s="1" t="n">
        <v>45688</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24977-2022</t>
        </is>
      </c>
      <c r="B850" s="1" t="n">
        <v>44728</v>
      </c>
      <c r="C850" s="1" t="n">
        <v>45688</v>
      </c>
      <c r="D850" t="inlineStr">
        <is>
          <t>STOCKHOLMS LÄN</t>
        </is>
      </c>
      <c r="E850" t="inlineStr">
        <is>
          <t>NORRTÄLJE</t>
        </is>
      </c>
      <c r="F850" t="inlineStr">
        <is>
          <t>Kyrkan</t>
        </is>
      </c>
      <c r="G850" t="n">
        <v>1</v>
      </c>
      <c r="H850" t="n">
        <v>0</v>
      </c>
      <c r="I850" t="n">
        <v>0</v>
      </c>
      <c r="J850" t="n">
        <v>0</v>
      </c>
      <c r="K850" t="n">
        <v>0</v>
      </c>
      <c r="L850" t="n">
        <v>0</v>
      </c>
      <c r="M850" t="n">
        <v>0</v>
      </c>
      <c r="N850" t="n">
        <v>0</v>
      </c>
      <c r="O850" t="n">
        <v>0</v>
      </c>
      <c r="P850" t="n">
        <v>0</v>
      </c>
      <c r="Q850" t="n">
        <v>0</v>
      </c>
      <c r="R850" s="2" t="inlineStr"/>
    </row>
    <row r="851" ht="15" customHeight="1">
      <c r="A851" t="inlineStr">
        <is>
          <t>A 25525-2022</t>
        </is>
      </c>
      <c r="B851" s="1" t="n">
        <v>44732</v>
      </c>
      <c r="C851" s="1" t="n">
        <v>45688</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25621-2022</t>
        </is>
      </c>
      <c r="B852" s="1" t="n">
        <v>44732</v>
      </c>
      <c r="C852" s="1" t="n">
        <v>45688</v>
      </c>
      <c r="D852" t="inlineStr">
        <is>
          <t>STOCKHOLMS LÄN</t>
        </is>
      </c>
      <c r="E852" t="inlineStr">
        <is>
          <t>NORRTÄLJE</t>
        </is>
      </c>
      <c r="G852" t="n">
        <v>3.1</v>
      </c>
      <c r="H852" t="n">
        <v>0</v>
      </c>
      <c r="I852" t="n">
        <v>0</v>
      </c>
      <c r="J852" t="n">
        <v>0</v>
      </c>
      <c r="K852" t="n">
        <v>0</v>
      </c>
      <c r="L852" t="n">
        <v>0</v>
      </c>
      <c r="M852" t="n">
        <v>0</v>
      </c>
      <c r="N852" t="n">
        <v>0</v>
      </c>
      <c r="O852" t="n">
        <v>0</v>
      </c>
      <c r="P852" t="n">
        <v>0</v>
      </c>
      <c r="Q852" t="n">
        <v>0</v>
      </c>
      <c r="R852" s="2" t="inlineStr"/>
    </row>
    <row r="853" ht="15" customHeight="1">
      <c r="A853" t="inlineStr">
        <is>
          <t>A 25619-2022</t>
        </is>
      </c>
      <c r="B853" s="1" t="n">
        <v>44732</v>
      </c>
      <c r="C853" s="1" t="n">
        <v>45688</v>
      </c>
      <c r="D853" t="inlineStr">
        <is>
          <t>STOCKHOLMS LÄN</t>
        </is>
      </c>
      <c r="E853" t="inlineStr">
        <is>
          <t>NORRTÄLJE</t>
        </is>
      </c>
      <c r="G853" t="n">
        <v>3.9</v>
      </c>
      <c r="H853" t="n">
        <v>0</v>
      </c>
      <c r="I853" t="n">
        <v>0</v>
      </c>
      <c r="J853" t="n">
        <v>0</v>
      </c>
      <c r="K853" t="n">
        <v>0</v>
      </c>
      <c r="L853" t="n">
        <v>0</v>
      </c>
      <c r="M853" t="n">
        <v>0</v>
      </c>
      <c r="N853" t="n">
        <v>0</v>
      </c>
      <c r="O853" t="n">
        <v>0</v>
      </c>
      <c r="P853" t="n">
        <v>0</v>
      </c>
      <c r="Q853" t="n">
        <v>0</v>
      </c>
      <c r="R853" s="2" t="inlineStr"/>
    </row>
    <row r="854" ht="15" customHeight="1">
      <c r="A854" t="inlineStr">
        <is>
          <t>A 26328-2022</t>
        </is>
      </c>
      <c r="B854" s="1" t="n">
        <v>44735</v>
      </c>
      <c r="C854" s="1" t="n">
        <v>45688</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26335-2022</t>
        </is>
      </c>
      <c r="B855" s="1" t="n">
        <v>44735</v>
      </c>
      <c r="C855" s="1" t="n">
        <v>45688</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27538-2022</t>
        </is>
      </c>
      <c r="B856" s="1" t="n">
        <v>44742</v>
      </c>
      <c r="C856" s="1" t="n">
        <v>45688</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27715-2022</t>
        </is>
      </c>
      <c r="B857" s="1" t="n">
        <v>44743</v>
      </c>
      <c r="C857" s="1" t="n">
        <v>45688</v>
      </c>
      <c r="D857" t="inlineStr">
        <is>
          <t>STOCKHOLMS LÄN</t>
        </is>
      </c>
      <c r="E857" t="inlineStr">
        <is>
          <t>NORRTÄLJE</t>
        </is>
      </c>
      <c r="G857" t="n">
        <v>2.2</v>
      </c>
      <c r="H857" t="n">
        <v>0</v>
      </c>
      <c r="I857" t="n">
        <v>0</v>
      </c>
      <c r="J857" t="n">
        <v>0</v>
      </c>
      <c r="K857" t="n">
        <v>0</v>
      </c>
      <c r="L857" t="n">
        <v>0</v>
      </c>
      <c r="M857" t="n">
        <v>0</v>
      </c>
      <c r="N857" t="n">
        <v>0</v>
      </c>
      <c r="O857" t="n">
        <v>0</v>
      </c>
      <c r="P857" t="n">
        <v>0</v>
      </c>
      <c r="Q857" t="n">
        <v>0</v>
      </c>
      <c r="R857" s="2" t="inlineStr"/>
    </row>
    <row r="858" ht="15" customHeight="1">
      <c r="A858" t="inlineStr">
        <is>
          <t>A 27827-2022</t>
        </is>
      </c>
      <c r="B858" s="1" t="n">
        <v>44743</v>
      </c>
      <c r="C858" s="1" t="n">
        <v>45688</v>
      </c>
      <c r="D858" t="inlineStr">
        <is>
          <t>STOCKHOLMS LÄN</t>
        </is>
      </c>
      <c r="E858" t="inlineStr">
        <is>
          <t>NORRTÄLJE</t>
        </is>
      </c>
      <c r="F858" t="inlineStr">
        <is>
          <t>Holmen skog AB</t>
        </is>
      </c>
      <c r="G858" t="n">
        <v>4.7</v>
      </c>
      <c r="H858" t="n">
        <v>0</v>
      </c>
      <c r="I858" t="n">
        <v>0</v>
      </c>
      <c r="J858" t="n">
        <v>0</v>
      </c>
      <c r="K858" t="n">
        <v>0</v>
      </c>
      <c r="L858" t="n">
        <v>0</v>
      </c>
      <c r="M858" t="n">
        <v>0</v>
      </c>
      <c r="N858" t="n">
        <v>0</v>
      </c>
      <c r="O858" t="n">
        <v>0</v>
      </c>
      <c r="P858" t="n">
        <v>0</v>
      </c>
      <c r="Q858" t="n">
        <v>0</v>
      </c>
      <c r="R858" s="2" t="inlineStr"/>
    </row>
    <row r="859" ht="15" customHeight="1">
      <c r="A859" t="inlineStr">
        <is>
          <t>A 27870-2022</t>
        </is>
      </c>
      <c r="B859" s="1" t="n">
        <v>44743</v>
      </c>
      <c r="C859" s="1" t="n">
        <v>45688</v>
      </c>
      <c r="D859" t="inlineStr">
        <is>
          <t>STOCKHOLMS LÄN</t>
        </is>
      </c>
      <c r="E859" t="inlineStr">
        <is>
          <t>NORRTÄLJE</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27828-2022</t>
        </is>
      </c>
      <c r="B860" s="1" t="n">
        <v>44743</v>
      </c>
      <c r="C860" s="1" t="n">
        <v>45688</v>
      </c>
      <c r="D860" t="inlineStr">
        <is>
          <t>STOCKHOLMS LÄN</t>
        </is>
      </c>
      <c r="E860" t="inlineStr">
        <is>
          <t>NORRTÄLJE</t>
        </is>
      </c>
      <c r="F860" t="inlineStr">
        <is>
          <t>Kommuner</t>
        </is>
      </c>
      <c r="G860" t="n">
        <v>1.6</v>
      </c>
      <c r="H860" t="n">
        <v>0</v>
      </c>
      <c r="I860" t="n">
        <v>0</v>
      </c>
      <c r="J860" t="n">
        <v>0</v>
      </c>
      <c r="K860" t="n">
        <v>0</v>
      </c>
      <c r="L860" t="n">
        <v>0</v>
      </c>
      <c r="M860" t="n">
        <v>0</v>
      </c>
      <c r="N860" t="n">
        <v>0</v>
      </c>
      <c r="O860" t="n">
        <v>0</v>
      </c>
      <c r="P860" t="n">
        <v>0</v>
      </c>
      <c r="Q860" t="n">
        <v>0</v>
      </c>
      <c r="R860" s="2" t="inlineStr"/>
    </row>
    <row r="861" ht="15" customHeight="1">
      <c r="A861" t="inlineStr">
        <is>
          <t>A 27824-2022</t>
        </is>
      </c>
      <c r="B861" s="1" t="n">
        <v>44743</v>
      </c>
      <c r="C861" s="1" t="n">
        <v>45688</v>
      </c>
      <c r="D861" t="inlineStr">
        <is>
          <t>STOCKHOLMS LÄN</t>
        </is>
      </c>
      <c r="E861" t="inlineStr">
        <is>
          <t>NORRTÄLJE</t>
        </is>
      </c>
      <c r="F861" t="inlineStr">
        <is>
          <t>Kommuner</t>
        </is>
      </c>
      <c r="G861" t="n">
        <v>3.1</v>
      </c>
      <c r="H861" t="n">
        <v>0</v>
      </c>
      <c r="I861" t="n">
        <v>0</v>
      </c>
      <c r="J861" t="n">
        <v>0</v>
      </c>
      <c r="K861" t="n">
        <v>0</v>
      </c>
      <c r="L861" t="n">
        <v>0</v>
      </c>
      <c r="M861" t="n">
        <v>0</v>
      </c>
      <c r="N861" t="n">
        <v>0</v>
      </c>
      <c r="O861" t="n">
        <v>0</v>
      </c>
      <c r="P861" t="n">
        <v>0</v>
      </c>
      <c r="Q861" t="n">
        <v>0</v>
      </c>
      <c r="R861" s="2" t="inlineStr"/>
    </row>
    <row r="862" ht="15" customHeight="1">
      <c r="A862" t="inlineStr">
        <is>
          <t>A 27831-2022</t>
        </is>
      </c>
      <c r="B862" s="1" t="n">
        <v>44743</v>
      </c>
      <c r="C862" s="1" t="n">
        <v>45688</v>
      </c>
      <c r="D862" t="inlineStr">
        <is>
          <t>STOCKHOLMS LÄN</t>
        </is>
      </c>
      <c r="E862" t="inlineStr">
        <is>
          <t>NORRTÄLJE</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27885-2022</t>
        </is>
      </c>
      <c r="B863" s="1" t="n">
        <v>44743</v>
      </c>
      <c r="C863" s="1" t="n">
        <v>45688</v>
      </c>
      <c r="D863" t="inlineStr">
        <is>
          <t>STOCKHOLMS LÄN</t>
        </is>
      </c>
      <c r="E863" t="inlineStr">
        <is>
          <t>NORRTÄLJE</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27867-2022</t>
        </is>
      </c>
      <c r="B864" s="1" t="n">
        <v>44743</v>
      </c>
      <c r="C864" s="1" t="n">
        <v>45688</v>
      </c>
      <c r="D864" t="inlineStr">
        <is>
          <t>STOCKHOLMS LÄN</t>
        </is>
      </c>
      <c r="E864" t="inlineStr">
        <is>
          <t>NORRTÄLJE</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28042-2022</t>
        </is>
      </c>
      <c r="B865" s="1" t="n">
        <v>44744</v>
      </c>
      <c r="C865" s="1" t="n">
        <v>45688</v>
      </c>
      <c r="D865" t="inlineStr">
        <is>
          <t>STOCKHOLMS LÄN</t>
        </is>
      </c>
      <c r="E865" t="inlineStr">
        <is>
          <t>NORRTÄLJE</t>
        </is>
      </c>
      <c r="G865" t="n">
        <v>0.2</v>
      </c>
      <c r="H865" t="n">
        <v>0</v>
      </c>
      <c r="I865" t="n">
        <v>0</v>
      </c>
      <c r="J865" t="n">
        <v>0</v>
      </c>
      <c r="K865" t="n">
        <v>0</v>
      </c>
      <c r="L865" t="n">
        <v>0</v>
      </c>
      <c r="M865" t="n">
        <v>0</v>
      </c>
      <c r="N865" t="n">
        <v>0</v>
      </c>
      <c r="O865" t="n">
        <v>0</v>
      </c>
      <c r="P865" t="n">
        <v>0</v>
      </c>
      <c r="Q865" t="n">
        <v>0</v>
      </c>
      <c r="R865" s="2" t="inlineStr"/>
    </row>
    <row r="866" ht="15" customHeight="1">
      <c r="A866" t="inlineStr">
        <is>
          <t>A 28100-2022</t>
        </is>
      </c>
      <c r="B866" s="1" t="n">
        <v>44746</v>
      </c>
      <c r="C866" s="1" t="n">
        <v>45688</v>
      </c>
      <c r="D866" t="inlineStr">
        <is>
          <t>STOCKHOLMS LÄN</t>
        </is>
      </c>
      <c r="E866" t="inlineStr">
        <is>
          <t>NORRTÄLJE</t>
        </is>
      </c>
      <c r="F866" t="inlineStr">
        <is>
          <t>Holmen skog AB</t>
        </is>
      </c>
      <c r="G866" t="n">
        <v>5.8</v>
      </c>
      <c r="H866" t="n">
        <v>0</v>
      </c>
      <c r="I866" t="n">
        <v>0</v>
      </c>
      <c r="J866" t="n">
        <v>0</v>
      </c>
      <c r="K866" t="n">
        <v>0</v>
      </c>
      <c r="L866" t="n">
        <v>0</v>
      </c>
      <c r="M866" t="n">
        <v>0</v>
      </c>
      <c r="N866" t="n">
        <v>0</v>
      </c>
      <c r="O866" t="n">
        <v>0</v>
      </c>
      <c r="P866" t="n">
        <v>0</v>
      </c>
      <c r="Q866" t="n">
        <v>0</v>
      </c>
      <c r="R866" s="2" t="inlineStr"/>
    </row>
    <row r="867" ht="15" customHeight="1">
      <c r="A867" t="inlineStr">
        <is>
          <t>A 28182-2022</t>
        </is>
      </c>
      <c r="B867" s="1" t="n">
        <v>44746</v>
      </c>
      <c r="C867" s="1" t="n">
        <v>45688</v>
      </c>
      <c r="D867" t="inlineStr">
        <is>
          <t>STOCKHOLMS LÄN</t>
        </is>
      </c>
      <c r="E867" t="inlineStr">
        <is>
          <t>NORRTÄLJE</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28209-2022</t>
        </is>
      </c>
      <c r="B868" s="1" t="n">
        <v>44746</v>
      </c>
      <c r="C868" s="1" t="n">
        <v>45688</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28365-2022</t>
        </is>
      </c>
      <c r="B869" s="1" t="n">
        <v>44747</v>
      </c>
      <c r="C869" s="1" t="n">
        <v>45688</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28900-2022</t>
        </is>
      </c>
      <c r="B870" s="1" t="n">
        <v>44749</v>
      </c>
      <c r="C870" s="1" t="n">
        <v>45688</v>
      </c>
      <c r="D870" t="inlineStr">
        <is>
          <t>STOCKHOLMS LÄN</t>
        </is>
      </c>
      <c r="E870" t="inlineStr">
        <is>
          <t>NORRTÄLJE</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28959-2022</t>
        </is>
      </c>
      <c r="B871" s="1" t="n">
        <v>44749</v>
      </c>
      <c r="C871" s="1" t="n">
        <v>45688</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29070-2022</t>
        </is>
      </c>
      <c r="B872" s="1" t="n">
        <v>44750</v>
      </c>
      <c r="C872" s="1" t="n">
        <v>45688</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29266-2022</t>
        </is>
      </c>
      <c r="B873" s="1" t="n">
        <v>44750</v>
      </c>
      <c r="C873" s="1" t="n">
        <v>45688</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29278-2022</t>
        </is>
      </c>
      <c r="B874" s="1" t="n">
        <v>44750</v>
      </c>
      <c r="C874" s="1" t="n">
        <v>45688</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29362-2022</t>
        </is>
      </c>
      <c r="B875" s="1" t="n">
        <v>44753</v>
      </c>
      <c r="C875" s="1" t="n">
        <v>45688</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29395-2022</t>
        </is>
      </c>
      <c r="B876" s="1" t="n">
        <v>44753</v>
      </c>
      <c r="C876" s="1" t="n">
        <v>45688</v>
      </c>
      <c r="D876" t="inlineStr">
        <is>
          <t>STOCKHOLMS LÄN</t>
        </is>
      </c>
      <c r="E876" t="inlineStr">
        <is>
          <t>NORRTÄLJE</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29868-2022</t>
        </is>
      </c>
      <c r="B877" s="1" t="n">
        <v>44756</v>
      </c>
      <c r="C877" s="1" t="n">
        <v>45688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30151-2022</t>
        </is>
      </c>
      <c r="B878" s="1" t="n">
        <v>44757</v>
      </c>
      <c r="C878" s="1" t="n">
        <v>45688</v>
      </c>
      <c r="D878" t="inlineStr">
        <is>
          <t>STOCKHOLMS LÄN</t>
        </is>
      </c>
      <c r="E878" t="inlineStr">
        <is>
          <t>NORRTÄLJE</t>
        </is>
      </c>
      <c r="G878" t="n">
        <v>12.6</v>
      </c>
      <c r="H878" t="n">
        <v>0</v>
      </c>
      <c r="I878" t="n">
        <v>0</v>
      </c>
      <c r="J878" t="n">
        <v>0</v>
      </c>
      <c r="K878" t="n">
        <v>0</v>
      </c>
      <c r="L878" t="n">
        <v>0</v>
      </c>
      <c r="M878" t="n">
        <v>0</v>
      </c>
      <c r="N878" t="n">
        <v>0</v>
      </c>
      <c r="O878" t="n">
        <v>0</v>
      </c>
      <c r="P878" t="n">
        <v>0</v>
      </c>
      <c r="Q878" t="n">
        <v>0</v>
      </c>
      <c r="R878" s="2" t="inlineStr"/>
    </row>
    <row r="879" ht="15" customHeight="1">
      <c r="A879" t="inlineStr">
        <is>
          <t>A 30164-2022</t>
        </is>
      </c>
      <c r="B879" s="1" t="n">
        <v>44757</v>
      </c>
      <c r="C879" s="1" t="n">
        <v>45688</v>
      </c>
      <c r="D879" t="inlineStr">
        <is>
          <t>STOCKHOLMS LÄN</t>
        </is>
      </c>
      <c r="E879" t="inlineStr">
        <is>
          <t>NORRTÄLJE</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30171-2022</t>
        </is>
      </c>
      <c r="B880" s="1" t="n">
        <v>44757</v>
      </c>
      <c r="C880" s="1" t="n">
        <v>45688</v>
      </c>
      <c r="D880" t="inlineStr">
        <is>
          <t>STOCKHOLMS LÄN</t>
        </is>
      </c>
      <c r="E880" t="inlineStr">
        <is>
          <t>NORRTÄLJE</t>
        </is>
      </c>
      <c r="F880" t="inlineStr">
        <is>
          <t>Holmen skog AB</t>
        </is>
      </c>
      <c r="G880" t="n">
        <v>6.3</v>
      </c>
      <c r="H880" t="n">
        <v>0</v>
      </c>
      <c r="I880" t="n">
        <v>0</v>
      </c>
      <c r="J880" t="n">
        <v>0</v>
      </c>
      <c r="K880" t="n">
        <v>0</v>
      </c>
      <c r="L880" t="n">
        <v>0</v>
      </c>
      <c r="M880" t="n">
        <v>0</v>
      </c>
      <c r="N880" t="n">
        <v>0</v>
      </c>
      <c r="O880" t="n">
        <v>0</v>
      </c>
      <c r="P880" t="n">
        <v>0</v>
      </c>
      <c r="Q880" t="n">
        <v>0</v>
      </c>
      <c r="R880" s="2" t="inlineStr"/>
    </row>
    <row r="881" ht="15" customHeight="1">
      <c r="A881" t="inlineStr">
        <is>
          <t>A 30283-2022</t>
        </is>
      </c>
      <c r="B881" s="1" t="n">
        <v>44760</v>
      </c>
      <c r="C881" s="1" t="n">
        <v>45688</v>
      </c>
      <c r="D881" t="inlineStr">
        <is>
          <t>STOCKHOLMS LÄN</t>
        </is>
      </c>
      <c r="E881" t="inlineStr">
        <is>
          <t>NORRTÄLJE</t>
        </is>
      </c>
      <c r="G881" t="n">
        <v>6.2</v>
      </c>
      <c r="H881" t="n">
        <v>0</v>
      </c>
      <c r="I881" t="n">
        <v>0</v>
      </c>
      <c r="J881" t="n">
        <v>0</v>
      </c>
      <c r="K881" t="n">
        <v>0</v>
      </c>
      <c r="L881" t="n">
        <v>0</v>
      </c>
      <c r="M881" t="n">
        <v>0</v>
      </c>
      <c r="N881" t="n">
        <v>0</v>
      </c>
      <c r="O881" t="n">
        <v>0</v>
      </c>
      <c r="P881" t="n">
        <v>0</v>
      </c>
      <c r="Q881" t="n">
        <v>0</v>
      </c>
      <c r="R881" s="2" t="inlineStr"/>
    </row>
    <row r="882" ht="15" customHeight="1">
      <c r="A882" t="inlineStr">
        <is>
          <t>A 30338-2022</t>
        </is>
      </c>
      <c r="B882" s="1" t="n">
        <v>44760</v>
      </c>
      <c r="C882" s="1" t="n">
        <v>45688</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30286-2022</t>
        </is>
      </c>
      <c r="B883" s="1" t="n">
        <v>44760</v>
      </c>
      <c r="C883" s="1" t="n">
        <v>45688</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30290-2022</t>
        </is>
      </c>
      <c r="B884" s="1" t="n">
        <v>44760</v>
      </c>
      <c r="C884" s="1" t="n">
        <v>45688</v>
      </c>
      <c r="D884" t="inlineStr">
        <is>
          <t>STOCKHOLMS LÄN</t>
        </is>
      </c>
      <c r="E884" t="inlineStr">
        <is>
          <t>NORRTÄLJE</t>
        </is>
      </c>
      <c r="G884" t="n">
        <v>4.8</v>
      </c>
      <c r="H884" t="n">
        <v>0</v>
      </c>
      <c r="I884" t="n">
        <v>0</v>
      </c>
      <c r="J884" t="n">
        <v>0</v>
      </c>
      <c r="K884" t="n">
        <v>0</v>
      </c>
      <c r="L884" t="n">
        <v>0</v>
      </c>
      <c r="M884" t="n">
        <v>0</v>
      </c>
      <c r="N884" t="n">
        <v>0</v>
      </c>
      <c r="O884" t="n">
        <v>0</v>
      </c>
      <c r="P884" t="n">
        <v>0</v>
      </c>
      <c r="Q884" t="n">
        <v>0</v>
      </c>
      <c r="R884" s="2" t="inlineStr"/>
    </row>
    <row r="885" ht="15" customHeight="1">
      <c r="A885" t="inlineStr">
        <is>
          <t>A 30620-2022</t>
        </is>
      </c>
      <c r="B885" s="1" t="n">
        <v>44763</v>
      </c>
      <c r="C885" s="1" t="n">
        <v>45688</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30624-2022</t>
        </is>
      </c>
      <c r="B886" s="1" t="n">
        <v>44763</v>
      </c>
      <c r="C886" s="1" t="n">
        <v>45688</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30758-2022</t>
        </is>
      </c>
      <c r="B887" s="1" t="n">
        <v>44764</v>
      </c>
      <c r="C887" s="1" t="n">
        <v>45688</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30740-2022</t>
        </is>
      </c>
      <c r="B888" s="1" t="n">
        <v>44764</v>
      </c>
      <c r="C888" s="1" t="n">
        <v>45688</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30750-2022</t>
        </is>
      </c>
      <c r="B889" s="1" t="n">
        <v>44764</v>
      </c>
      <c r="C889" s="1" t="n">
        <v>45688</v>
      </c>
      <c r="D889" t="inlineStr">
        <is>
          <t>STOCKHOLMS LÄN</t>
        </is>
      </c>
      <c r="E889" t="inlineStr">
        <is>
          <t>NORRTÄLJE</t>
        </is>
      </c>
      <c r="G889" t="n">
        <v>3.7</v>
      </c>
      <c r="H889" t="n">
        <v>0</v>
      </c>
      <c r="I889" t="n">
        <v>0</v>
      </c>
      <c r="J889" t="n">
        <v>0</v>
      </c>
      <c r="K889" t="n">
        <v>0</v>
      </c>
      <c r="L889" t="n">
        <v>0</v>
      </c>
      <c r="M889" t="n">
        <v>0</v>
      </c>
      <c r="N889" t="n">
        <v>0</v>
      </c>
      <c r="O889" t="n">
        <v>0</v>
      </c>
      <c r="P889" t="n">
        <v>0</v>
      </c>
      <c r="Q889" t="n">
        <v>0</v>
      </c>
      <c r="R889" s="2" t="inlineStr"/>
    </row>
    <row r="890" ht="15" customHeight="1">
      <c r="A890" t="inlineStr">
        <is>
          <t>A 30802-2022</t>
        </is>
      </c>
      <c r="B890" s="1" t="n">
        <v>44764</v>
      </c>
      <c r="C890" s="1" t="n">
        <v>45688</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30886-2022</t>
        </is>
      </c>
      <c r="B891" s="1" t="n">
        <v>44767</v>
      </c>
      <c r="C891" s="1" t="n">
        <v>45688</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31102-2022</t>
        </is>
      </c>
      <c r="B892" s="1" t="n">
        <v>44769</v>
      </c>
      <c r="C892" s="1" t="n">
        <v>45688</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31092-2022</t>
        </is>
      </c>
      <c r="B893" s="1" t="n">
        <v>44769</v>
      </c>
      <c r="C893" s="1" t="n">
        <v>45688</v>
      </c>
      <c r="D893" t="inlineStr">
        <is>
          <t>STOCKHOLMS LÄN</t>
        </is>
      </c>
      <c r="E893" t="inlineStr">
        <is>
          <t>NORRTÄLJE</t>
        </is>
      </c>
      <c r="G893" t="n">
        <v>1.6</v>
      </c>
      <c r="H893" t="n">
        <v>0</v>
      </c>
      <c r="I893" t="n">
        <v>0</v>
      </c>
      <c r="J893" t="n">
        <v>0</v>
      </c>
      <c r="K893" t="n">
        <v>0</v>
      </c>
      <c r="L893" t="n">
        <v>0</v>
      </c>
      <c r="M893" t="n">
        <v>0</v>
      </c>
      <c r="N893" t="n">
        <v>0</v>
      </c>
      <c r="O893" t="n">
        <v>0</v>
      </c>
      <c r="P893" t="n">
        <v>0</v>
      </c>
      <c r="Q893" t="n">
        <v>0</v>
      </c>
      <c r="R893" s="2" t="inlineStr"/>
    </row>
    <row r="894" ht="15" customHeight="1">
      <c r="A894" t="inlineStr">
        <is>
          <t>A 31052-2022</t>
        </is>
      </c>
      <c r="B894" s="1" t="n">
        <v>44769</v>
      </c>
      <c r="C894" s="1" t="n">
        <v>45688</v>
      </c>
      <c r="D894" t="inlineStr">
        <is>
          <t>STOCKHOLMS LÄN</t>
        </is>
      </c>
      <c r="E894" t="inlineStr">
        <is>
          <t>NORRTÄLJE</t>
        </is>
      </c>
      <c r="G894" t="n">
        <v>6</v>
      </c>
      <c r="H894" t="n">
        <v>0</v>
      </c>
      <c r="I894" t="n">
        <v>0</v>
      </c>
      <c r="J894" t="n">
        <v>0</v>
      </c>
      <c r="K894" t="n">
        <v>0</v>
      </c>
      <c r="L894" t="n">
        <v>0</v>
      </c>
      <c r="M894" t="n">
        <v>0</v>
      </c>
      <c r="N894" t="n">
        <v>0</v>
      </c>
      <c r="O894" t="n">
        <v>0</v>
      </c>
      <c r="P894" t="n">
        <v>0</v>
      </c>
      <c r="Q894" t="n">
        <v>0</v>
      </c>
      <c r="R894" s="2" t="inlineStr"/>
    </row>
    <row r="895" ht="15" customHeight="1">
      <c r="A895" t="inlineStr">
        <is>
          <t>A 31105-2022</t>
        </is>
      </c>
      <c r="B895" s="1" t="n">
        <v>44769</v>
      </c>
      <c r="C895" s="1" t="n">
        <v>45688</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31107-2022</t>
        </is>
      </c>
      <c r="B896" s="1" t="n">
        <v>44769</v>
      </c>
      <c r="C896" s="1" t="n">
        <v>45688</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31057-2022</t>
        </is>
      </c>
      <c r="B897" s="1" t="n">
        <v>44769</v>
      </c>
      <c r="C897" s="1" t="n">
        <v>45688</v>
      </c>
      <c r="D897" t="inlineStr">
        <is>
          <t>STOCKHOLMS LÄN</t>
        </is>
      </c>
      <c r="E897" t="inlineStr">
        <is>
          <t>NORRTÄLJE</t>
        </is>
      </c>
      <c r="G897" t="n">
        <v>6.5</v>
      </c>
      <c r="H897" t="n">
        <v>0</v>
      </c>
      <c r="I897" t="n">
        <v>0</v>
      </c>
      <c r="J897" t="n">
        <v>0</v>
      </c>
      <c r="K897" t="n">
        <v>0</v>
      </c>
      <c r="L897" t="n">
        <v>0</v>
      </c>
      <c r="M897" t="n">
        <v>0</v>
      </c>
      <c r="N897" t="n">
        <v>0</v>
      </c>
      <c r="O897" t="n">
        <v>0</v>
      </c>
      <c r="P897" t="n">
        <v>0</v>
      </c>
      <c r="Q897" t="n">
        <v>0</v>
      </c>
      <c r="R897" s="2" t="inlineStr"/>
    </row>
    <row r="898" ht="15" customHeight="1">
      <c r="A898" t="inlineStr">
        <is>
          <t>A 31236-2022</t>
        </is>
      </c>
      <c r="B898" s="1" t="n">
        <v>44771</v>
      </c>
      <c r="C898" s="1" t="n">
        <v>45688</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31281-2022</t>
        </is>
      </c>
      <c r="B899" s="1" t="n">
        <v>44771</v>
      </c>
      <c r="C899" s="1" t="n">
        <v>45688</v>
      </c>
      <c r="D899" t="inlineStr">
        <is>
          <t>STOCKHOLMS LÄN</t>
        </is>
      </c>
      <c r="E899" t="inlineStr">
        <is>
          <t>NORRTÄLJE</t>
        </is>
      </c>
      <c r="F899" t="inlineStr">
        <is>
          <t>Holmen skog AB</t>
        </is>
      </c>
      <c r="G899" t="n">
        <v>5.2</v>
      </c>
      <c r="H899" t="n">
        <v>0</v>
      </c>
      <c r="I899" t="n">
        <v>0</v>
      </c>
      <c r="J899" t="n">
        <v>0</v>
      </c>
      <c r="K899" t="n">
        <v>0</v>
      </c>
      <c r="L899" t="n">
        <v>0</v>
      </c>
      <c r="M899" t="n">
        <v>0</v>
      </c>
      <c r="N899" t="n">
        <v>0</v>
      </c>
      <c r="O899" t="n">
        <v>0</v>
      </c>
      <c r="P899" t="n">
        <v>0</v>
      </c>
      <c r="Q899" t="n">
        <v>0</v>
      </c>
      <c r="R899" s="2" t="inlineStr"/>
    </row>
    <row r="900" ht="15" customHeight="1">
      <c r="A900" t="inlineStr">
        <is>
          <t>A 31283-2022</t>
        </is>
      </c>
      <c r="B900" s="1" t="n">
        <v>44771</v>
      </c>
      <c r="C900" s="1" t="n">
        <v>45688</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31559-2022</t>
        </is>
      </c>
      <c r="B901" s="1" t="n">
        <v>44775</v>
      </c>
      <c r="C901" s="1" t="n">
        <v>45688</v>
      </c>
      <c r="D901" t="inlineStr">
        <is>
          <t>STOCKHOLMS LÄN</t>
        </is>
      </c>
      <c r="E901" t="inlineStr">
        <is>
          <t>NORRTÄLJE</t>
        </is>
      </c>
      <c r="G901" t="n">
        <v>5.6</v>
      </c>
      <c r="H901" t="n">
        <v>0</v>
      </c>
      <c r="I901" t="n">
        <v>0</v>
      </c>
      <c r="J901" t="n">
        <v>0</v>
      </c>
      <c r="K901" t="n">
        <v>0</v>
      </c>
      <c r="L901" t="n">
        <v>0</v>
      </c>
      <c r="M901" t="n">
        <v>0</v>
      </c>
      <c r="N901" t="n">
        <v>0</v>
      </c>
      <c r="O901" t="n">
        <v>0</v>
      </c>
      <c r="P901" t="n">
        <v>0</v>
      </c>
      <c r="Q901" t="n">
        <v>0</v>
      </c>
      <c r="R901" s="2" t="inlineStr"/>
    </row>
    <row r="902" ht="15" customHeight="1">
      <c r="A902" t="inlineStr">
        <is>
          <t>A 31807-2022</t>
        </is>
      </c>
      <c r="B902" s="1" t="n">
        <v>44776</v>
      </c>
      <c r="C902" s="1" t="n">
        <v>45688</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31938-2022</t>
        </is>
      </c>
      <c r="B903" s="1" t="n">
        <v>44777</v>
      </c>
      <c r="C903" s="1" t="n">
        <v>45688</v>
      </c>
      <c r="D903" t="inlineStr">
        <is>
          <t>STOCKHOLMS LÄN</t>
        </is>
      </c>
      <c r="E903" t="inlineStr">
        <is>
          <t>NORRTÄLJE</t>
        </is>
      </c>
      <c r="G903" t="n">
        <v>7.8</v>
      </c>
      <c r="H903" t="n">
        <v>0</v>
      </c>
      <c r="I903" t="n">
        <v>0</v>
      </c>
      <c r="J903" t="n">
        <v>0</v>
      </c>
      <c r="K903" t="n">
        <v>0</v>
      </c>
      <c r="L903" t="n">
        <v>0</v>
      </c>
      <c r="M903" t="n">
        <v>0</v>
      </c>
      <c r="N903" t="n">
        <v>0</v>
      </c>
      <c r="O903" t="n">
        <v>0</v>
      </c>
      <c r="P903" t="n">
        <v>0</v>
      </c>
      <c r="Q903" t="n">
        <v>0</v>
      </c>
      <c r="R903" s="2" t="inlineStr"/>
    </row>
    <row r="904" ht="15" customHeight="1">
      <c r="A904" t="inlineStr">
        <is>
          <t>A 31936-2022</t>
        </is>
      </c>
      <c r="B904" s="1" t="n">
        <v>44777</v>
      </c>
      <c r="C904" s="1" t="n">
        <v>45688</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31924-2022</t>
        </is>
      </c>
      <c r="B905" s="1" t="n">
        <v>44777</v>
      </c>
      <c r="C905" s="1" t="n">
        <v>45688</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31939-2022</t>
        </is>
      </c>
      <c r="B906" s="1" t="n">
        <v>44777</v>
      </c>
      <c r="C906" s="1" t="n">
        <v>45688</v>
      </c>
      <c r="D906" t="inlineStr">
        <is>
          <t>STOCKHOLMS LÄN</t>
        </is>
      </c>
      <c r="E906" t="inlineStr">
        <is>
          <t>NORRTÄLJE</t>
        </is>
      </c>
      <c r="G906" t="n">
        <v>13.5</v>
      </c>
      <c r="H906" t="n">
        <v>0</v>
      </c>
      <c r="I906" t="n">
        <v>0</v>
      </c>
      <c r="J906" t="n">
        <v>0</v>
      </c>
      <c r="K906" t="n">
        <v>0</v>
      </c>
      <c r="L906" t="n">
        <v>0</v>
      </c>
      <c r="M906" t="n">
        <v>0</v>
      </c>
      <c r="N906" t="n">
        <v>0</v>
      </c>
      <c r="O906" t="n">
        <v>0</v>
      </c>
      <c r="P906" t="n">
        <v>0</v>
      </c>
      <c r="Q906" t="n">
        <v>0</v>
      </c>
      <c r="R906" s="2" t="inlineStr"/>
    </row>
    <row r="907" ht="15" customHeight="1">
      <c r="A907" t="inlineStr">
        <is>
          <t>A 31926-2022</t>
        </is>
      </c>
      <c r="B907" s="1" t="n">
        <v>44777</v>
      </c>
      <c r="C907" s="1" t="n">
        <v>45688</v>
      </c>
      <c r="D907" t="inlineStr">
        <is>
          <t>STOCKHOLMS LÄN</t>
        </is>
      </c>
      <c r="E907" t="inlineStr">
        <is>
          <t>NORRTÄLJE</t>
        </is>
      </c>
      <c r="G907" t="n">
        <v>5.2</v>
      </c>
      <c r="H907" t="n">
        <v>0</v>
      </c>
      <c r="I907" t="n">
        <v>0</v>
      </c>
      <c r="J907" t="n">
        <v>0</v>
      </c>
      <c r="K907" t="n">
        <v>0</v>
      </c>
      <c r="L907" t="n">
        <v>0</v>
      </c>
      <c r="M907" t="n">
        <v>0</v>
      </c>
      <c r="N907" t="n">
        <v>0</v>
      </c>
      <c r="O907" t="n">
        <v>0</v>
      </c>
      <c r="P907" t="n">
        <v>0</v>
      </c>
      <c r="Q907" t="n">
        <v>0</v>
      </c>
      <c r="R907" s="2" t="inlineStr"/>
    </row>
    <row r="908" ht="15" customHeight="1">
      <c r="A908" t="inlineStr">
        <is>
          <t>A 31934-2022</t>
        </is>
      </c>
      <c r="B908" s="1" t="n">
        <v>44777</v>
      </c>
      <c r="C908" s="1" t="n">
        <v>45688</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32103-2022</t>
        </is>
      </c>
      <c r="B909" s="1" t="n">
        <v>44778</v>
      </c>
      <c r="C909" s="1" t="n">
        <v>45688</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32111-2022</t>
        </is>
      </c>
      <c r="B910" s="1" t="n">
        <v>44779</v>
      </c>
      <c r="C910" s="1" t="n">
        <v>45688</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32101-2022</t>
        </is>
      </c>
      <c r="B911" s="1" t="n">
        <v>44778</v>
      </c>
      <c r="C911" s="1" t="n">
        <v>45688</v>
      </c>
      <c r="D911" t="inlineStr">
        <is>
          <t>STOCKHOLMS LÄN</t>
        </is>
      </c>
      <c r="E911" t="inlineStr">
        <is>
          <t>NORRTÄLJE</t>
        </is>
      </c>
      <c r="G911" t="n">
        <v>4.4</v>
      </c>
      <c r="H911" t="n">
        <v>0</v>
      </c>
      <c r="I911" t="n">
        <v>0</v>
      </c>
      <c r="J911" t="n">
        <v>0</v>
      </c>
      <c r="K911" t="n">
        <v>0</v>
      </c>
      <c r="L911" t="n">
        <v>0</v>
      </c>
      <c r="M911" t="n">
        <v>0</v>
      </c>
      <c r="N911" t="n">
        <v>0</v>
      </c>
      <c r="O911" t="n">
        <v>0</v>
      </c>
      <c r="P911" t="n">
        <v>0</v>
      </c>
      <c r="Q911" t="n">
        <v>0</v>
      </c>
      <c r="R911" s="2" t="inlineStr"/>
    </row>
    <row r="912" ht="15" customHeight="1">
      <c r="A912" t="inlineStr">
        <is>
          <t>A 32100-2022</t>
        </is>
      </c>
      <c r="B912" s="1" t="n">
        <v>44778</v>
      </c>
      <c r="C912" s="1" t="n">
        <v>45688</v>
      </c>
      <c r="D912" t="inlineStr">
        <is>
          <t>STOCKHOLMS LÄN</t>
        </is>
      </c>
      <c r="E912" t="inlineStr">
        <is>
          <t>NORRTÄLJE</t>
        </is>
      </c>
      <c r="G912" t="n">
        <v>3.3</v>
      </c>
      <c r="H912" t="n">
        <v>0</v>
      </c>
      <c r="I912" t="n">
        <v>0</v>
      </c>
      <c r="J912" t="n">
        <v>0</v>
      </c>
      <c r="K912" t="n">
        <v>0</v>
      </c>
      <c r="L912" t="n">
        <v>0</v>
      </c>
      <c r="M912" t="n">
        <v>0</v>
      </c>
      <c r="N912" t="n">
        <v>0</v>
      </c>
      <c r="O912" t="n">
        <v>0</v>
      </c>
      <c r="P912" t="n">
        <v>0</v>
      </c>
      <c r="Q912" t="n">
        <v>0</v>
      </c>
      <c r="R912" s="2" t="inlineStr"/>
    </row>
    <row r="913" ht="15" customHeight="1">
      <c r="A913" t="inlineStr">
        <is>
          <t>A 32102-2022</t>
        </is>
      </c>
      <c r="B913" s="1" t="n">
        <v>44778</v>
      </c>
      <c r="C913" s="1" t="n">
        <v>45688</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32514-2022</t>
        </is>
      </c>
      <c r="B914" s="1" t="n">
        <v>44782</v>
      </c>
      <c r="C914" s="1" t="n">
        <v>45688</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32705-2022</t>
        </is>
      </c>
      <c r="B915" s="1" t="n">
        <v>44783</v>
      </c>
      <c r="C915" s="1" t="n">
        <v>45688</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33055-2022</t>
        </is>
      </c>
      <c r="B916" s="1" t="n">
        <v>44785</v>
      </c>
      <c r="C916" s="1" t="n">
        <v>45688</v>
      </c>
      <c r="D916" t="inlineStr">
        <is>
          <t>STOCKHOLMS LÄN</t>
        </is>
      </c>
      <c r="E916" t="inlineStr">
        <is>
          <t>NORRTÄLJE</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33149-2022</t>
        </is>
      </c>
      <c r="B917" s="1" t="n">
        <v>44785</v>
      </c>
      <c r="C917" s="1" t="n">
        <v>45688</v>
      </c>
      <c r="D917" t="inlineStr">
        <is>
          <t>STOCKHOLMS LÄN</t>
        </is>
      </c>
      <c r="E917" t="inlineStr">
        <is>
          <t>NORRTÄLJE</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33445-2022</t>
        </is>
      </c>
      <c r="B918" s="1" t="n">
        <v>44788</v>
      </c>
      <c r="C918" s="1" t="n">
        <v>45688</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33793-2022</t>
        </is>
      </c>
      <c r="B919" s="1" t="n">
        <v>44790</v>
      </c>
      <c r="C919" s="1" t="n">
        <v>45688</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33895-2022</t>
        </is>
      </c>
      <c r="B920" s="1" t="n">
        <v>44790</v>
      </c>
      <c r="C920" s="1" t="n">
        <v>45688</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34773-2022</t>
        </is>
      </c>
      <c r="B921" s="1" t="n">
        <v>44795</v>
      </c>
      <c r="C921" s="1" t="n">
        <v>45688</v>
      </c>
      <c r="D921" t="inlineStr">
        <is>
          <t>STOCKHOLMS LÄN</t>
        </is>
      </c>
      <c r="E921" t="inlineStr">
        <is>
          <t>NORRTÄLJE</t>
        </is>
      </c>
      <c r="G921" t="n">
        <v>3.9</v>
      </c>
      <c r="H921" t="n">
        <v>0</v>
      </c>
      <c r="I921" t="n">
        <v>0</v>
      </c>
      <c r="J921" t="n">
        <v>0</v>
      </c>
      <c r="K921" t="n">
        <v>0</v>
      </c>
      <c r="L921" t="n">
        <v>0</v>
      </c>
      <c r="M921" t="n">
        <v>0</v>
      </c>
      <c r="N921" t="n">
        <v>0</v>
      </c>
      <c r="O921" t="n">
        <v>0</v>
      </c>
      <c r="P921" t="n">
        <v>0</v>
      </c>
      <c r="Q921" t="n">
        <v>0</v>
      </c>
      <c r="R921" s="2" t="inlineStr"/>
    </row>
    <row r="922" ht="15" customHeight="1">
      <c r="A922" t="inlineStr">
        <is>
          <t>A 35121-2022</t>
        </is>
      </c>
      <c r="B922" s="1" t="n">
        <v>44797</v>
      </c>
      <c r="C922" s="1" t="n">
        <v>45688</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35161-2022</t>
        </is>
      </c>
      <c r="B923" s="1" t="n">
        <v>44797</v>
      </c>
      <c r="C923" s="1" t="n">
        <v>45688</v>
      </c>
      <c r="D923" t="inlineStr">
        <is>
          <t>STOCKHOLMS LÄN</t>
        </is>
      </c>
      <c r="E923" t="inlineStr">
        <is>
          <t>NORRTÄLJE</t>
        </is>
      </c>
      <c r="G923" t="n">
        <v>6</v>
      </c>
      <c r="H923" t="n">
        <v>0</v>
      </c>
      <c r="I923" t="n">
        <v>0</v>
      </c>
      <c r="J923" t="n">
        <v>0</v>
      </c>
      <c r="K923" t="n">
        <v>0</v>
      </c>
      <c r="L923" t="n">
        <v>0</v>
      </c>
      <c r="M923" t="n">
        <v>0</v>
      </c>
      <c r="N923" t="n">
        <v>0</v>
      </c>
      <c r="O923" t="n">
        <v>0</v>
      </c>
      <c r="P923" t="n">
        <v>0</v>
      </c>
      <c r="Q923" t="n">
        <v>0</v>
      </c>
      <c r="R923" s="2" t="inlineStr"/>
    </row>
    <row r="924" ht="15" customHeight="1">
      <c r="A924" t="inlineStr">
        <is>
          <t>A 35156-2022</t>
        </is>
      </c>
      <c r="B924" s="1" t="n">
        <v>44797</v>
      </c>
      <c r="C924" s="1" t="n">
        <v>45688</v>
      </c>
      <c r="D924" t="inlineStr">
        <is>
          <t>STOCKHOLMS LÄN</t>
        </is>
      </c>
      <c r="E924" t="inlineStr">
        <is>
          <t>NORRTÄLJE</t>
        </is>
      </c>
      <c r="G924" t="n">
        <v>3.6</v>
      </c>
      <c r="H924" t="n">
        <v>0</v>
      </c>
      <c r="I924" t="n">
        <v>0</v>
      </c>
      <c r="J924" t="n">
        <v>0</v>
      </c>
      <c r="K924" t="n">
        <v>0</v>
      </c>
      <c r="L924" t="n">
        <v>0</v>
      </c>
      <c r="M924" t="n">
        <v>0</v>
      </c>
      <c r="N924" t="n">
        <v>0</v>
      </c>
      <c r="O924" t="n">
        <v>0</v>
      </c>
      <c r="P924" t="n">
        <v>0</v>
      </c>
      <c r="Q924" t="n">
        <v>0</v>
      </c>
      <c r="R924" s="2" t="inlineStr"/>
    </row>
    <row r="925" ht="15" customHeight="1">
      <c r="A925" t="inlineStr">
        <is>
          <t>A 35708-2022</t>
        </is>
      </c>
      <c r="B925" s="1" t="n">
        <v>44799</v>
      </c>
      <c r="C925" s="1" t="n">
        <v>45688</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36269-2022</t>
        </is>
      </c>
      <c r="B926" s="1" t="n">
        <v>44803</v>
      </c>
      <c r="C926" s="1" t="n">
        <v>45688</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36308-2022</t>
        </is>
      </c>
      <c r="B927" s="1" t="n">
        <v>44803</v>
      </c>
      <c r="C927" s="1" t="n">
        <v>45688</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36975-2022</t>
        </is>
      </c>
      <c r="B928" s="1" t="n">
        <v>44806</v>
      </c>
      <c r="C928" s="1" t="n">
        <v>45688</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37550-2022</t>
        </is>
      </c>
      <c r="B929" s="1" t="n">
        <v>44809</v>
      </c>
      <c r="C929" s="1" t="n">
        <v>45688</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37679-2022</t>
        </is>
      </c>
      <c r="B930" s="1" t="n">
        <v>44810</v>
      </c>
      <c r="C930" s="1" t="n">
        <v>45688</v>
      </c>
      <c r="D930" t="inlineStr">
        <is>
          <t>STOCKHOLMS LÄN</t>
        </is>
      </c>
      <c r="E930" t="inlineStr">
        <is>
          <t>NORRTÄLJE</t>
        </is>
      </c>
      <c r="G930" t="n">
        <v>3.1</v>
      </c>
      <c r="H930" t="n">
        <v>0</v>
      </c>
      <c r="I930" t="n">
        <v>0</v>
      </c>
      <c r="J930" t="n">
        <v>0</v>
      </c>
      <c r="K930" t="n">
        <v>0</v>
      </c>
      <c r="L930" t="n">
        <v>0</v>
      </c>
      <c r="M930" t="n">
        <v>0</v>
      </c>
      <c r="N930" t="n">
        <v>0</v>
      </c>
      <c r="O930" t="n">
        <v>0</v>
      </c>
      <c r="P930" t="n">
        <v>0</v>
      </c>
      <c r="Q930" t="n">
        <v>0</v>
      </c>
      <c r="R930" s="2" t="inlineStr"/>
    </row>
    <row r="931" ht="15" customHeight="1">
      <c r="A931" t="inlineStr">
        <is>
          <t>A 37815-2022</t>
        </is>
      </c>
      <c r="B931" s="1" t="n">
        <v>44810</v>
      </c>
      <c r="C931" s="1" t="n">
        <v>45688</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38449-2022</t>
        </is>
      </c>
      <c r="B932" s="1" t="n">
        <v>44813</v>
      </c>
      <c r="C932" s="1" t="n">
        <v>45688</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38612-2022</t>
        </is>
      </c>
      <c r="B933" s="1" t="n">
        <v>44813</v>
      </c>
      <c r="C933" s="1" t="n">
        <v>45688</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38590-2022</t>
        </is>
      </c>
      <c r="B934" s="1" t="n">
        <v>44813</v>
      </c>
      <c r="C934" s="1" t="n">
        <v>45688</v>
      </c>
      <c r="D934" t="inlineStr">
        <is>
          <t>STOCKHOLMS LÄN</t>
        </is>
      </c>
      <c r="E934" t="inlineStr">
        <is>
          <t>NORRTÄLJE</t>
        </is>
      </c>
      <c r="G934" t="n">
        <v>5.9</v>
      </c>
      <c r="H934" t="n">
        <v>0</v>
      </c>
      <c r="I934" t="n">
        <v>0</v>
      </c>
      <c r="J934" t="n">
        <v>0</v>
      </c>
      <c r="K934" t="n">
        <v>0</v>
      </c>
      <c r="L934" t="n">
        <v>0</v>
      </c>
      <c r="M934" t="n">
        <v>0</v>
      </c>
      <c r="N934" t="n">
        <v>0</v>
      </c>
      <c r="O934" t="n">
        <v>0</v>
      </c>
      <c r="P934" t="n">
        <v>0</v>
      </c>
      <c r="Q934" t="n">
        <v>0</v>
      </c>
      <c r="R934" s="2" t="inlineStr"/>
    </row>
    <row r="935" ht="15" customHeight="1">
      <c r="A935" t="inlineStr">
        <is>
          <t>A 38610-2022</t>
        </is>
      </c>
      <c r="B935" s="1" t="n">
        <v>44813</v>
      </c>
      <c r="C935" s="1" t="n">
        <v>45688</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38720-2022</t>
        </is>
      </c>
      <c r="B936" s="1" t="n">
        <v>44815</v>
      </c>
      <c r="C936" s="1" t="n">
        <v>45688</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38721-2022</t>
        </is>
      </c>
      <c r="B937" s="1" t="n">
        <v>44815</v>
      </c>
      <c r="C937" s="1" t="n">
        <v>45688</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38927-2022</t>
        </is>
      </c>
      <c r="B938" s="1" t="n">
        <v>44816</v>
      </c>
      <c r="C938" s="1" t="n">
        <v>45688</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38759-2022</t>
        </is>
      </c>
      <c r="B939" s="1" t="n">
        <v>44816</v>
      </c>
      <c r="C939" s="1" t="n">
        <v>45688</v>
      </c>
      <c r="D939" t="inlineStr">
        <is>
          <t>STOCKHOLMS LÄN</t>
        </is>
      </c>
      <c r="E939" t="inlineStr">
        <is>
          <t>NORRTÄLJE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38990-2022</t>
        </is>
      </c>
      <c r="B940" s="1" t="n">
        <v>44816</v>
      </c>
      <c r="C940" s="1" t="n">
        <v>45688</v>
      </c>
      <c r="D940" t="inlineStr">
        <is>
          <t>STOCKHOLMS LÄN</t>
        </is>
      </c>
      <c r="E940" t="inlineStr">
        <is>
          <t>NORRTÄLJE</t>
        </is>
      </c>
      <c r="G940" t="n">
        <v>5.7</v>
      </c>
      <c r="H940" t="n">
        <v>0</v>
      </c>
      <c r="I940" t="n">
        <v>0</v>
      </c>
      <c r="J940" t="n">
        <v>0</v>
      </c>
      <c r="K940" t="n">
        <v>0</v>
      </c>
      <c r="L940" t="n">
        <v>0</v>
      </c>
      <c r="M940" t="n">
        <v>0</v>
      </c>
      <c r="N940" t="n">
        <v>0</v>
      </c>
      <c r="O940" t="n">
        <v>0</v>
      </c>
      <c r="P940" t="n">
        <v>0</v>
      </c>
      <c r="Q940" t="n">
        <v>0</v>
      </c>
      <c r="R940" s="2" t="inlineStr"/>
    </row>
    <row r="941" ht="15" customHeight="1">
      <c r="A941" t="inlineStr">
        <is>
          <t>A 38991-2022</t>
        </is>
      </c>
      <c r="B941" s="1" t="n">
        <v>44816</v>
      </c>
      <c r="C941" s="1" t="n">
        <v>45688</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38985-2022</t>
        </is>
      </c>
      <c r="B942" s="1" t="n">
        <v>44816</v>
      </c>
      <c r="C942" s="1" t="n">
        <v>45688</v>
      </c>
      <c r="D942" t="inlineStr">
        <is>
          <t>STOCKHOLMS LÄN</t>
        </is>
      </c>
      <c r="E942" t="inlineStr">
        <is>
          <t>NORRTÄLJE</t>
        </is>
      </c>
      <c r="G942" t="n">
        <v>10.1</v>
      </c>
      <c r="H942" t="n">
        <v>0</v>
      </c>
      <c r="I942" t="n">
        <v>0</v>
      </c>
      <c r="J942" t="n">
        <v>0</v>
      </c>
      <c r="K942" t="n">
        <v>0</v>
      </c>
      <c r="L942" t="n">
        <v>0</v>
      </c>
      <c r="M942" t="n">
        <v>0</v>
      </c>
      <c r="N942" t="n">
        <v>0</v>
      </c>
      <c r="O942" t="n">
        <v>0</v>
      </c>
      <c r="P942" t="n">
        <v>0</v>
      </c>
      <c r="Q942" t="n">
        <v>0</v>
      </c>
      <c r="R942" s="2" t="inlineStr"/>
    </row>
    <row r="943" ht="15" customHeight="1">
      <c r="A943" t="inlineStr">
        <is>
          <t>A 38992-2022</t>
        </is>
      </c>
      <c r="B943" s="1" t="n">
        <v>44817</v>
      </c>
      <c r="C943" s="1" t="n">
        <v>45688</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39213-2022</t>
        </is>
      </c>
      <c r="B944" s="1" t="n">
        <v>44817</v>
      </c>
      <c r="C944" s="1" t="n">
        <v>45688</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39319-2022</t>
        </is>
      </c>
      <c r="B945" s="1" t="n">
        <v>44817</v>
      </c>
      <c r="C945" s="1" t="n">
        <v>45688</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39854-2022</t>
        </is>
      </c>
      <c r="B946" s="1" t="n">
        <v>44819</v>
      </c>
      <c r="C946" s="1" t="n">
        <v>45688</v>
      </c>
      <c r="D946" t="inlineStr">
        <is>
          <t>STOCKHOLMS LÄN</t>
        </is>
      </c>
      <c r="E946" t="inlineStr">
        <is>
          <t>NORRTÄLJE</t>
        </is>
      </c>
      <c r="G946" t="n">
        <v>4.4</v>
      </c>
      <c r="H946" t="n">
        <v>0</v>
      </c>
      <c r="I946" t="n">
        <v>0</v>
      </c>
      <c r="J946" t="n">
        <v>0</v>
      </c>
      <c r="K946" t="n">
        <v>0</v>
      </c>
      <c r="L946" t="n">
        <v>0</v>
      </c>
      <c r="M946" t="n">
        <v>0</v>
      </c>
      <c r="N946" t="n">
        <v>0</v>
      </c>
      <c r="O946" t="n">
        <v>0</v>
      </c>
      <c r="P946" t="n">
        <v>0</v>
      </c>
      <c r="Q946" t="n">
        <v>0</v>
      </c>
      <c r="R946" s="2" t="inlineStr"/>
    </row>
    <row r="947" ht="15" customHeight="1">
      <c r="A947" t="inlineStr">
        <is>
          <t>A 39869-2022</t>
        </is>
      </c>
      <c r="B947" s="1" t="n">
        <v>44819</v>
      </c>
      <c r="C947" s="1" t="n">
        <v>45688</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39867-2022</t>
        </is>
      </c>
      <c r="B948" s="1" t="n">
        <v>44819</v>
      </c>
      <c r="C948" s="1" t="n">
        <v>45688</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40504-2022</t>
        </is>
      </c>
      <c r="B949" s="1" t="n">
        <v>44823</v>
      </c>
      <c r="C949" s="1" t="n">
        <v>45688</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40503-2022</t>
        </is>
      </c>
      <c r="B950" s="1" t="n">
        <v>44823</v>
      </c>
      <c r="C950" s="1" t="n">
        <v>45688</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40656-2022</t>
        </is>
      </c>
      <c r="B951" s="1" t="n">
        <v>44824</v>
      </c>
      <c r="C951" s="1" t="n">
        <v>45688</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40751-2022</t>
        </is>
      </c>
      <c r="B952" s="1" t="n">
        <v>44824</v>
      </c>
      <c r="C952" s="1" t="n">
        <v>45688</v>
      </c>
      <c r="D952" t="inlineStr">
        <is>
          <t>STOCKHOLMS LÄN</t>
        </is>
      </c>
      <c r="E952" t="inlineStr">
        <is>
          <t>NORRTÄLJE</t>
        </is>
      </c>
      <c r="G952" t="n">
        <v>6.1</v>
      </c>
      <c r="H952" t="n">
        <v>0</v>
      </c>
      <c r="I952" t="n">
        <v>0</v>
      </c>
      <c r="J952" t="n">
        <v>0</v>
      </c>
      <c r="K952" t="n">
        <v>0</v>
      </c>
      <c r="L952" t="n">
        <v>0</v>
      </c>
      <c r="M952" t="n">
        <v>0</v>
      </c>
      <c r="N952" t="n">
        <v>0</v>
      </c>
      <c r="O952" t="n">
        <v>0</v>
      </c>
      <c r="P952" t="n">
        <v>0</v>
      </c>
      <c r="Q952" t="n">
        <v>0</v>
      </c>
      <c r="R952" s="2" t="inlineStr"/>
    </row>
    <row r="953" ht="15" customHeight="1">
      <c r="A953" t="inlineStr">
        <is>
          <t>A 41398-2022</t>
        </is>
      </c>
      <c r="B953" s="1" t="n">
        <v>44826</v>
      </c>
      <c r="C953" s="1" t="n">
        <v>45688</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41320-2022</t>
        </is>
      </c>
      <c r="B954" s="1" t="n">
        <v>44826</v>
      </c>
      <c r="C954" s="1" t="n">
        <v>45688</v>
      </c>
      <c r="D954" t="inlineStr">
        <is>
          <t>STOCKHOLMS LÄN</t>
        </is>
      </c>
      <c r="E954" t="inlineStr">
        <is>
          <t>NORRTÄLJE</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42087-2022</t>
        </is>
      </c>
      <c r="B955" s="1" t="n">
        <v>44830</v>
      </c>
      <c r="C955" s="1" t="n">
        <v>45688</v>
      </c>
      <c r="D955" t="inlineStr">
        <is>
          <t>STOCKHOLMS LÄN</t>
        </is>
      </c>
      <c r="E955" t="inlineStr">
        <is>
          <t>NORRTÄLJE</t>
        </is>
      </c>
      <c r="F955" t="inlineStr">
        <is>
          <t>Holmen skog AB</t>
        </is>
      </c>
      <c r="G955" t="n">
        <v>2.2</v>
      </c>
      <c r="H955" t="n">
        <v>0</v>
      </c>
      <c r="I955" t="n">
        <v>0</v>
      </c>
      <c r="J955" t="n">
        <v>0</v>
      </c>
      <c r="K955" t="n">
        <v>0</v>
      </c>
      <c r="L955" t="n">
        <v>0</v>
      </c>
      <c r="M955" t="n">
        <v>0</v>
      </c>
      <c r="N955" t="n">
        <v>0</v>
      </c>
      <c r="O955" t="n">
        <v>0</v>
      </c>
      <c r="P955" t="n">
        <v>0</v>
      </c>
      <c r="Q955" t="n">
        <v>0</v>
      </c>
      <c r="R955" s="2" t="inlineStr"/>
    </row>
    <row r="956" ht="15" customHeight="1">
      <c r="A956" t="inlineStr">
        <is>
          <t>A 42112-2022</t>
        </is>
      </c>
      <c r="B956" s="1" t="n">
        <v>44830</v>
      </c>
      <c r="C956" s="1" t="n">
        <v>45688</v>
      </c>
      <c r="D956" t="inlineStr">
        <is>
          <t>STOCKHOLMS LÄN</t>
        </is>
      </c>
      <c r="E956" t="inlineStr">
        <is>
          <t>NORRTÄLJE</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42126-2022</t>
        </is>
      </c>
      <c r="B957" s="1" t="n">
        <v>44830</v>
      </c>
      <c r="C957" s="1" t="n">
        <v>45688</v>
      </c>
      <c r="D957" t="inlineStr">
        <is>
          <t>STOCKHOLMS LÄN</t>
        </is>
      </c>
      <c r="E957" t="inlineStr">
        <is>
          <t>NORRTÄLJE</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42867-2022</t>
        </is>
      </c>
      <c r="B958" s="1" t="n">
        <v>44832</v>
      </c>
      <c r="C958" s="1" t="n">
        <v>45688</v>
      </c>
      <c r="D958" t="inlineStr">
        <is>
          <t>STOCKHOLMS LÄN</t>
        </is>
      </c>
      <c r="E958" t="inlineStr">
        <is>
          <t>NORRTÄLJE</t>
        </is>
      </c>
      <c r="G958" t="n">
        <v>6.4</v>
      </c>
      <c r="H958" t="n">
        <v>0</v>
      </c>
      <c r="I958" t="n">
        <v>0</v>
      </c>
      <c r="J958" t="n">
        <v>0</v>
      </c>
      <c r="K958" t="n">
        <v>0</v>
      </c>
      <c r="L958" t="n">
        <v>0</v>
      </c>
      <c r="M958" t="n">
        <v>0</v>
      </c>
      <c r="N958" t="n">
        <v>0</v>
      </c>
      <c r="O958" t="n">
        <v>0</v>
      </c>
      <c r="P958" t="n">
        <v>0</v>
      </c>
      <c r="Q958" t="n">
        <v>0</v>
      </c>
      <c r="R958" s="2" t="inlineStr"/>
    </row>
    <row r="959" ht="15" customHeight="1">
      <c r="A959" t="inlineStr">
        <is>
          <t>A 42955-2022</t>
        </is>
      </c>
      <c r="B959" s="1" t="n">
        <v>44833</v>
      </c>
      <c r="C959" s="1" t="n">
        <v>45688</v>
      </c>
      <c r="D959" t="inlineStr">
        <is>
          <t>STOCKHOLMS LÄN</t>
        </is>
      </c>
      <c r="E959" t="inlineStr">
        <is>
          <t>NORRTÄLJE</t>
        </is>
      </c>
      <c r="G959" t="n">
        <v>13.1</v>
      </c>
      <c r="H959" t="n">
        <v>0</v>
      </c>
      <c r="I959" t="n">
        <v>0</v>
      </c>
      <c r="J959" t="n">
        <v>0</v>
      </c>
      <c r="K959" t="n">
        <v>0</v>
      </c>
      <c r="L959" t="n">
        <v>0</v>
      </c>
      <c r="M959" t="n">
        <v>0</v>
      </c>
      <c r="N959" t="n">
        <v>0</v>
      </c>
      <c r="O959" t="n">
        <v>0</v>
      </c>
      <c r="P959" t="n">
        <v>0</v>
      </c>
      <c r="Q959" t="n">
        <v>0</v>
      </c>
      <c r="R959" s="2" t="inlineStr"/>
    </row>
    <row r="960" ht="15" customHeight="1">
      <c r="A960" t="inlineStr">
        <is>
          <t>A 43036-2022</t>
        </is>
      </c>
      <c r="B960" s="1" t="n">
        <v>44833</v>
      </c>
      <c r="C960" s="1" t="n">
        <v>45688</v>
      </c>
      <c r="D960" t="inlineStr">
        <is>
          <t>STOCKHOLMS LÄN</t>
        </is>
      </c>
      <c r="E960" t="inlineStr">
        <is>
          <t>NORRTÄLJE</t>
        </is>
      </c>
      <c r="F960" t="inlineStr">
        <is>
          <t>Kyrkan</t>
        </is>
      </c>
      <c r="G960" t="n">
        <v>1.7</v>
      </c>
      <c r="H960" t="n">
        <v>0</v>
      </c>
      <c r="I960" t="n">
        <v>0</v>
      </c>
      <c r="J960" t="n">
        <v>0</v>
      </c>
      <c r="K960" t="n">
        <v>0</v>
      </c>
      <c r="L960" t="n">
        <v>0</v>
      </c>
      <c r="M960" t="n">
        <v>0</v>
      </c>
      <c r="N960" t="n">
        <v>0</v>
      </c>
      <c r="O960" t="n">
        <v>0</v>
      </c>
      <c r="P960" t="n">
        <v>0</v>
      </c>
      <c r="Q960" t="n">
        <v>0</v>
      </c>
      <c r="R960" s="2" t="inlineStr"/>
    </row>
    <row r="961" ht="15" customHeight="1">
      <c r="A961" t="inlineStr">
        <is>
          <t>A 43212-2022</t>
        </is>
      </c>
      <c r="B961" s="1" t="n">
        <v>44834</v>
      </c>
      <c r="C961" s="1" t="n">
        <v>45688</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43374-2022</t>
        </is>
      </c>
      <c r="B962" s="1" t="n">
        <v>44834</v>
      </c>
      <c r="C962" s="1" t="n">
        <v>45688</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43972-2022</t>
        </is>
      </c>
      <c r="B963" s="1" t="n">
        <v>44838</v>
      </c>
      <c r="C963" s="1" t="n">
        <v>45688</v>
      </c>
      <c r="D963" t="inlineStr">
        <is>
          <t>STOCKHOLMS LÄN</t>
        </is>
      </c>
      <c r="E963" t="inlineStr">
        <is>
          <t>NORRTÄLJE</t>
        </is>
      </c>
      <c r="F963" t="inlineStr">
        <is>
          <t>Holmen skog AB</t>
        </is>
      </c>
      <c r="G963" t="n">
        <v>8.6</v>
      </c>
      <c r="H963" t="n">
        <v>0</v>
      </c>
      <c r="I963" t="n">
        <v>0</v>
      </c>
      <c r="J963" t="n">
        <v>0</v>
      </c>
      <c r="K963" t="n">
        <v>0</v>
      </c>
      <c r="L963" t="n">
        <v>0</v>
      </c>
      <c r="M963" t="n">
        <v>0</v>
      </c>
      <c r="N963" t="n">
        <v>0</v>
      </c>
      <c r="O963" t="n">
        <v>0</v>
      </c>
      <c r="P963" t="n">
        <v>0</v>
      </c>
      <c r="Q963" t="n">
        <v>0</v>
      </c>
      <c r="R963" s="2" t="inlineStr"/>
    </row>
    <row r="964" ht="15" customHeight="1">
      <c r="A964" t="inlineStr">
        <is>
          <t>A 44349-2022</t>
        </is>
      </c>
      <c r="B964" s="1" t="n">
        <v>44839</v>
      </c>
      <c r="C964" s="1" t="n">
        <v>45688</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45255-2022</t>
        </is>
      </c>
      <c r="B965" s="1" t="n">
        <v>44840</v>
      </c>
      <c r="C965" s="1" t="n">
        <v>45688</v>
      </c>
      <c r="D965" t="inlineStr">
        <is>
          <t>STOCKHOLMS LÄN</t>
        </is>
      </c>
      <c r="E965" t="inlineStr">
        <is>
          <t>NORRTÄLJE</t>
        </is>
      </c>
      <c r="G965" t="n">
        <v>4.1</v>
      </c>
      <c r="H965" t="n">
        <v>0</v>
      </c>
      <c r="I965" t="n">
        <v>0</v>
      </c>
      <c r="J965" t="n">
        <v>0</v>
      </c>
      <c r="K965" t="n">
        <v>0</v>
      </c>
      <c r="L965" t="n">
        <v>0</v>
      </c>
      <c r="M965" t="n">
        <v>0</v>
      </c>
      <c r="N965" t="n">
        <v>0</v>
      </c>
      <c r="O965" t="n">
        <v>0</v>
      </c>
      <c r="P965" t="n">
        <v>0</v>
      </c>
      <c r="Q965" t="n">
        <v>0</v>
      </c>
      <c r="R965" s="2" t="inlineStr"/>
    </row>
    <row r="966" ht="15" customHeight="1">
      <c r="A966" t="inlineStr">
        <is>
          <t>A 44917-2022</t>
        </is>
      </c>
      <c r="B966" s="1" t="n">
        <v>44841</v>
      </c>
      <c r="C966" s="1" t="n">
        <v>45688</v>
      </c>
      <c r="D966" t="inlineStr">
        <is>
          <t>STOCKHOLMS LÄN</t>
        </is>
      </c>
      <c r="E966" t="inlineStr">
        <is>
          <t>NORRTÄLJE</t>
        </is>
      </c>
      <c r="F966" t="inlineStr">
        <is>
          <t>Holmen skog AB</t>
        </is>
      </c>
      <c r="G966" t="n">
        <v>3.3</v>
      </c>
      <c r="H966" t="n">
        <v>0</v>
      </c>
      <c r="I966" t="n">
        <v>0</v>
      </c>
      <c r="J966" t="n">
        <v>0</v>
      </c>
      <c r="K966" t="n">
        <v>0</v>
      </c>
      <c r="L966" t="n">
        <v>0</v>
      </c>
      <c r="M966" t="n">
        <v>0</v>
      </c>
      <c r="N966" t="n">
        <v>0</v>
      </c>
      <c r="O966" t="n">
        <v>0</v>
      </c>
      <c r="P966" t="n">
        <v>0</v>
      </c>
      <c r="Q966" t="n">
        <v>0</v>
      </c>
      <c r="R966" s="2" t="inlineStr"/>
    </row>
    <row r="967" ht="15" customHeight="1">
      <c r="A967" t="inlineStr">
        <is>
          <t>A 45541-2022</t>
        </is>
      </c>
      <c r="B967" s="1" t="n">
        <v>44845</v>
      </c>
      <c r="C967" s="1" t="n">
        <v>45688</v>
      </c>
      <c r="D967" t="inlineStr">
        <is>
          <t>STOCKHOLMS LÄN</t>
        </is>
      </c>
      <c r="E967" t="inlineStr">
        <is>
          <t>NORRTÄLJE</t>
        </is>
      </c>
      <c r="G967" t="n">
        <v>0.4</v>
      </c>
      <c r="H967" t="n">
        <v>0</v>
      </c>
      <c r="I967" t="n">
        <v>0</v>
      </c>
      <c r="J967" t="n">
        <v>0</v>
      </c>
      <c r="K967" t="n">
        <v>0</v>
      </c>
      <c r="L967" t="n">
        <v>0</v>
      </c>
      <c r="M967" t="n">
        <v>0</v>
      </c>
      <c r="N967" t="n">
        <v>0</v>
      </c>
      <c r="O967" t="n">
        <v>0</v>
      </c>
      <c r="P967" t="n">
        <v>0</v>
      </c>
      <c r="Q967" t="n">
        <v>0</v>
      </c>
      <c r="R967" s="2" t="inlineStr"/>
    </row>
    <row r="968" ht="15" customHeight="1">
      <c r="A968" t="inlineStr">
        <is>
          <t>A 45539-2022</t>
        </is>
      </c>
      <c r="B968" s="1" t="n">
        <v>44845</v>
      </c>
      <c r="C968" s="1" t="n">
        <v>45688</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45549-2022</t>
        </is>
      </c>
      <c r="B969" s="1" t="n">
        <v>44845</v>
      </c>
      <c r="C969" s="1" t="n">
        <v>45688</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46914-2022</t>
        </is>
      </c>
      <c r="B970" s="1" t="n">
        <v>44851</v>
      </c>
      <c r="C970" s="1" t="n">
        <v>45688</v>
      </c>
      <c r="D970" t="inlineStr">
        <is>
          <t>STOCKHOLMS LÄN</t>
        </is>
      </c>
      <c r="E970" t="inlineStr">
        <is>
          <t>NORRTÄLJE</t>
        </is>
      </c>
      <c r="G970" t="n">
        <v>2.4</v>
      </c>
      <c r="H970" t="n">
        <v>0</v>
      </c>
      <c r="I970" t="n">
        <v>0</v>
      </c>
      <c r="J970" t="n">
        <v>0</v>
      </c>
      <c r="K970" t="n">
        <v>0</v>
      </c>
      <c r="L970" t="n">
        <v>0</v>
      </c>
      <c r="M970" t="n">
        <v>0</v>
      </c>
      <c r="N970" t="n">
        <v>0</v>
      </c>
      <c r="O970" t="n">
        <v>0</v>
      </c>
      <c r="P970" t="n">
        <v>0</v>
      </c>
      <c r="Q970" t="n">
        <v>0</v>
      </c>
      <c r="R970" s="2" t="inlineStr"/>
    </row>
    <row r="971" ht="15" customHeight="1">
      <c r="A971" t="inlineStr">
        <is>
          <t>A 47076-2022</t>
        </is>
      </c>
      <c r="B971" s="1" t="n">
        <v>44852</v>
      </c>
      <c r="C971" s="1" t="n">
        <v>45688</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47079-2022</t>
        </is>
      </c>
      <c r="B972" s="1" t="n">
        <v>44852</v>
      </c>
      <c r="C972" s="1" t="n">
        <v>45688</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47626-2022</t>
        </is>
      </c>
      <c r="B973" s="1" t="n">
        <v>44854</v>
      </c>
      <c r="C973" s="1" t="n">
        <v>45688</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48316-2022</t>
        </is>
      </c>
      <c r="B974" s="1" t="n">
        <v>44854</v>
      </c>
      <c r="C974" s="1" t="n">
        <v>45688</v>
      </c>
      <c r="D974" t="inlineStr">
        <is>
          <t>STOCKHOLMS LÄN</t>
        </is>
      </c>
      <c r="E974" t="inlineStr">
        <is>
          <t>NORRTÄLJE</t>
        </is>
      </c>
      <c r="G974" t="n">
        <v>4.5</v>
      </c>
      <c r="H974" t="n">
        <v>0</v>
      </c>
      <c r="I974" t="n">
        <v>0</v>
      </c>
      <c r="J974" t="n">
        <v>0</v>
      </c>
      <c r="K974" t="n">
        <v>0</v>
      </c>
      <c r="L974" t="n">
        <v>0</v>
      </c>
      <c r="M974" t="n">
        <v>0</v>
      </c>
      <c r="N974" t="n">
        <v>0</v>
      </c>
      <c r="O974" t="n">
        <v>0</v>
      </c>
      <c r="P974" t="n">
        <v>0</v>
      </c>
      <c r="Q974" t="n">
        <v>0</v>
      </c>
      <c r="R974" s="2" t="inlineStr"/>
    </row>
    <row r="975" ht="15" customHeight="1">
      <c r="A975" t="inlineStr">
        <is>
          <t>A 47929-2022</t>
        </is>
      </c>
      <c r="B975" s="1" t="n">
        <v>44855</v>
      </c>
      <c r="C975" s="1" t="n">
        <v>45688</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48161-2022</t>
        </is>
      </c>
      <c r="B976" s="1" t="n">
        <v>44858</v>
      </c>
      <c r="C976" s="1" t="n">
        <v>45688</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48453-2022</t>
        </is>
      </c>
      <c r="B977" s="1" t="n">
        <v>44858</v>
      </c>
      <c r="C977" s="1" t="n">
        <v>45688</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48492-2022</t>
        </is>
      </c>
      <c r="B978" s="1" t="n">
        <v>44858</v>
      </c>
      <c r="C978" s="1" t="n">
        <v>45688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50065-2022</t>
        </is>
      </c>
      <c r="B979" s="1" t="n">
        <v>44865</v>
      </c>
      <c r="C979" s="1" t="n">
        <v>45688</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50469-2022</t>
        </is>
      </c>
      <c r="B980" s="1" t="n">
        <v>44866</v>
      </c>
      <c r="C980" s="1" t="n">
        <v>45688</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50481-2022</t>
        </is>
      </c>
      <c r="B981" s="1" t="n">
        <v>44866</v>
      </c>
      <c r="C981" s="1" t="n">
        <v>45688</v>
      </c>
      <c r="D981" t="inlineStr">
        <is>
          <t>STOCKHOLMS LÄN</t>
        </is>
      </c>
      <c r="E981" t="inlineStr">
        <is>
          <t>NORRTÄLJE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50465-2022</t>
        </is>
      </c>
      <c r="B982" s="1" t="n">
        <v>44866</v>
      </c>
      <c r="C982" s="1" t="n">
        <v>45688</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50488-2022</t>
        </is>
      </c>
      <c r="B983" s="1" t="n">
        <v>44866</v>
      </c>
      <c r="C983" s="1" t="n">
        <v>45688</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50563-2022</t>
        </is>
      </c>
      <c r="B984" s="1" t="n">
        <v>44866</v>
      </c>
      <c r="C984" s="1" t="n">
        <v>45688</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50569-2022</t>
        </is>
      </c>
      <c r="B985" s="1" t="n">
        <v>44866</v>
      </c>
      <c r="C985" s="1" t="n">
        <v>45688</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50484-2022</t>
        </is>
      </c>
      <c r="B986" s="1" t="n">
        <v>44866</v>
      </c>
      <c r="C986" s="1" t="n">
        <v>45688</v>
      </c>
      <c r="D986" t="inlineStr">
        <is>
          <t>STOCKHOLMS LÄN</t>
        </is>
      </c>
      <c r="E986" t="inlineStr">
        <is>
          <t>NORRTÄLJE</t>
        </is>
      </c>
      <c r="G986" t="n">
        <v>6.7</v>
      </c>
      <c r="H986" t="n">
        <v>0</v>
      </c>
      <c r="I986" t="n">
        <v>0</v>
      </c>
      <c r="J986" t="n">
        <v>0</v>
      </c>
      <c r="K986" t="n">
        <v>0</v>
      </c>
      <c r="L986" t="n">
        <v>0</v>
      </c>
      <c r="M986" t="n">
        <v>0</v>
      </c>
      <c r="N986" t="n">
        <v>0</v>
      </c>
      <c r="O986" t="n">
        <v>0</v>
      </c>
      <c r="P986" t="n">
        <v>0</v>
      </c>
      <c r="Q986" t="n">
        <v>0</v>
      </c>
      <c r="R986" s="2" t="inlineStr"/>
    </row>
    <row r="987" ht="15" customHeight="1">
      <c r="A987" t="inlineStr">
        <is>
          <t>A 50970-2022</t>
        </is>
      </c>
      <c r="B987" s="1" t="n">
        <v>44867</v>
      </c>
      <c r="C987" s="1" t="n">
        <v>45688</v>
      </c>
      <c r="D987" t="inlineStr">
        <is>
          <t>STOCKHOLMS LÄN</t>
        </is>
      </c>
      <c r="E987" t="inlineStr">
        <is>
          <t>NORRTÄLJE</t>
        </is>
      </c>
      <c r="G987" t="n">
        <v>9</v>
      </c>
      <c r="H987" t="n">
        <v>0</v>
      </c>
      <c r="I987" t="n">
        <v>0</v>
      </c>
      <c r="J987" t="n">
        <v>0</v>
      </c>
      <c r="K987" t="n">
        <v>0</v>
      </c>
      <c r="L987" t="n">
        <v>0</v>
      </c>
      <c r="M987" t="n">
        <v>0</v>
      </c>
      <c r="N987" t="n">
        <v>0</v>
      </c>
      <c r="O987" t="n">
        <v>0</v>
      </c>
      <c r="P987" t="n">
        <v>0</v>
      </c>
      <c r="Q987" t="n">
        <v>0</v>
      </c>
      <c r="R987" s="2" t="inlineStr"/>
    </row>
    <row r="988" ht="15" customHeight="1">
      <c r="A988" t="inlineStr">
        <is>
          <t>A 50983-2022</t>
        </is>
      </c>
      <c r="B988" s="1" t="n">
        <v>44867</v>
      </c>
      <c r="C988" s="1" t="n">
        <v>45688</v>
      </c>
      <c r="D988" t="inlineStr">
        <is>
          <t>STOCKHOLMS LÄN</t>
        </is>
      </c>
      <c r="E988" t="inlineStr">
        <is>
          <t>NORRTÄLJE</t>
        </is>
      </c>
      <c r="G988" t="n">
        <v>1.6</v>
      </c>
      <c r="H988" t="n">
        <v>0</v>
      </c>
      <c r="I988" t="n">
        <v>0</v>
      </c>
      <c r="J988" t="n">
        <v>0</v>
      </c>
      <c r="K988" t="n">
        <v>0</v>
      </c>
      <c r="L988" t="n">
        <v>0</v>
      </c>
      <c r="M988" t="n">
        <v>0</v>
      </c>
      <c r="N988" t="n">
        <v>0</v>
      </c>
      <c r="O988" t="n">
        <v>0</v>
      </c>
      <c r="P988" t="n">
        <v>0</v>
      </c>
      <c r="Q988" t="n">
        <v>0</v>
      </c>
      <c r="R988" s="2" t="inlineStr"/>
    </row>
    <row r="989" ht="15" customHeight="1">
      <c r="A989" t="inlineStr">
        <is>
          <t>A 50907-2022</t>
        </is>
      </c>
      <c r="B989" s="1" t="n">
        <v>44867</v>
      </c>
      <c r="C989" s="1" t="n">
        <v>45688</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51653-2022</t>
        </is>
      </c>
      <c r="B990" s="1" t="n">
        <v>44867</v>
      </c>
      <c r="C990" s="1" t="n">
        <v>45688</v>
      </c>
      <c r="D990" t="inlineStr">
        <is>
          <t>STOCKHOLMS LÄN</t>
        </is>
      </c>
      <c r="E990" t="inlineStr">
        <is>
          <t>NORRTÄLJE</t>
        </is>
      </c>
      <c r="G990" t="n">
        <v>6.6</v>
      </c>
      <c r="H990" t="n">
        <v>0</v>
      </c>
      <c r="I990" t="n">
        <v>0</v>
      </c>
      <c r="J990" t="n">
        <v>0</v>
      </c>
      <c r="K990" t="n">
        <v>0</v>
      </c>
      <c r="L990" t="n">
        <v>0</v>
      </c>
      <c r="M990" t="n">
        <v>0</v>
      </c>
      <c r="N990" t="n">
        <v>0</v>
      </c>
      <c r="O990" t="n">
        <v>0</v>
      </c>
      <c r="P990" t="n">
        <v>0</v>
      </c>
      <c r="Q990" t="n">
        <v>0</v>
      </c>
      <c r="R990" s="2" t="inlineStr"/>
    </row>
    <row r="991" ht="15" customHeight="1">
      <c r="A991" t="inlineStr">
        <is>
          <t>A 51116-2022</t>
        </is>
      </c>
      <c r="B991" s="1" t="n">
        <v>44868</v>
      </c>
      <c r="C991" s="1" t="n">
        <v>45688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51265-2022</t>
        </is>
      </c>
      <c r="B992" s="1" t="n">
        <v>44868</v>
      </c>
      <c r="C992" s="1" t="n">
        <v>45688</v>
      </c>
      <c r="D992" t="inlineStr">
        <is>
          <t>STOCKHOLMS LÄN</t>
        </is>
      </c>
      <c r="E992" t="inlineStr">
        <is>
          <t>NORRTÄLJE</t>
        </is>
      </c>
      <c r="G992" t="n">
        <v>3.1</v>
      </c>
      <c r="H992" t="n">
        <v>0</v>
      </c>
      <c r="I992" t="n">
        <v>0</v>
      </c>
      <c r="J992" t="n">
        <v>0</v>
      </c>
      <c r="K992" t="n">
        <v>0</v>
      </c>
      <c r="L992" t="n">
        <v>0</v>
      </c>
      <c r="M992" t="n">
        <v>0</v>
      </c>
      <c r="N992" t="n">
        <v>0</v>
      </c>
      <c r="O992" t="n">
        <v>0</v>
      </c>
      <c r="P992" t="n">
        <v>0</v>
      </c>
      <c r="Q992" t="n">
        <v>0</v>
      </c>
      <c r="R992" s="2" t="inlineStr"/>
    </row>
    <row r="993" ht="15" customHeight="1">
      <c r="A993" t="inlineStr">
        <is>
          <t>A 52139-2022</t>
        </is>
      </c>
      <c r="B993" s="1" t="n">
        <v>44868</v>
      </c>
      <c r="C993" s="1" t="n">
        <v>45688</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52133-2022</t>
        </is>
      </c>
      <c r="B994" s="1" t="n">
        <v>44868</v>
      </c>
      <c r="C994" s="1" t="n">
        <v>45688</v>
      </c>
      <c r="D994" t="inlineStr">
        <is>
          <t>STOCKHOLMS LÄN</t>
        </is>
      </c>
      <c r="E994" t="inlineStr">
        <is>
          <t>NORRTÄLJE</t>
        </is>
      </c>
      <c r="G994" t="n">
        <v>11.5</v>
      </c>
      <c r="H994" t="n">
        <v>0</v>
      </c>
      <c r="I994" t="n">
        <v>0</v>
      </c>
      <c r="J994" t="n">
        <v>0</v>
      </c>
      <c r="K994" t="n">
        <v>0</v>
      </c>
      <c r="L994" t="n">
        <v>0</v>
      </c>
      <c r="M994" t="n">
        <v>0</v>
      </c>
      <c r="N994" t="n">
        <v>0</v>
      </c>
      <c r="O994" t="n">
        <v>0</v>
      </c>
      <c r="P994" t="n">
        <v>0</v>
      </c>
      <c r="Q994" t="n">
        <v>0</v>
      </c>
      <c r="R994" s="2" t="inlineStr"/>
    </row>
    <row r="995" ht="15" customHeight="1">
      <c r="A995" t="inlineStr">
        <is>
          <t>A 52260-2022</t>
        </is>
      </c>
      <c r="B995" s="1" t="n">
        <v>44869</v>
      </c>
      <c r="C995" s="1" t="n">
        <v>45688</v>
      </c>
      <c r="D995" t="inlineStr">
        <is>
          <t>STOCKHOLMS LÄN</t>
        </is>
      </c>
      <c r="E995" t="inlineStr">
        <is>
          <t>NORRTÄLJE</t>
        </is>
      </c>
      <c r="G995" t="n">
        <v>3.1</v>
      </c>
      <c r="H995" t="n">
        <v>0</v>
      </c>
      <c r="I995" t="n">
        <v>0</v>
      </c>
      <c r="J995" t="n">
        <v>0</v>
      </c>
      <c r="K995" t="n">
        <v>0</v>
      </c>
      <c r="L995" t="n">
        <v>0</v>
      </c>
      <c r="M995" t="n">
        <v>0</v>
      </c>
      <c r="N995" t="n">
        <v>0</v>
      </c>
      <c r="O995" t="n">
        <v>0</v>
      </c>
      <c r="P995" t="n">
        <v>0</v>
      </c>
      <c r="Q995" t="n">
        <v>0</v>
      </c>
      <c r="R995" s="2" t="inlineStr"/>
    </row>
    <row r="996" ht="15" customHeight="1">
      <c r="A996" t="inlineStr">
        <is>
          <t>A 51984-2022</t>
        </is>
      </c>
      <c r="B996" s="1" t="n">
        <v>44872</v>
      </c>
      <c r="C996" s="1" t="n">
        <v>45688</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52322-2022</t>
        </is>
      </c>
      <c r="B997" s="1" t="n">
        <v>44873</v>
      </c>
      <c r="C997" s="1" t="n">
        <v>45688</v>
      </c>
      <c r="D997" t="inlineStr">
        <is>
          <t>STOCKHOLMS LÄN</t>
        </is>
      </c>
      <c r="E997" t="inlineStr">
        <is>
          <t>NORRTÄLJE</t>
        </is>
      </c>
      <c r="G997" t="n">
        <v>5.5</v>
      </c>
      <c r="H997" t="n">
        <v>0</v>
      </c>
      <c r="I997" t="n">
        <v>0</v>
      </c>
      <c r="J997" t="n">
        <v>0</v>
      </c>
      <c r="K997" t="n">
        <v>0</v>
      </c>
      <c r="L997" t="n">
        <v>0</v>
      </c>
      <c r="M997" t="n">
        <v>0</v>
      </c>
      <c r="N997" t="n">
        <v>0</v>
      </c>
      <c r="O997" t="n">
        <v>0</v>
      </c>
      <c r="P997" t="n">
        <v>0</v>
      </c>
      <c r="Q997" t="n">
        <v>0</v>
      </c>
      <c r="R997" s="2" t="inlineStr"/>
    </row>
    <row r="998" ht="15" customHeight="1">
      <c r="A998" t="inlineStr">
        <is>
          <t>A 53461-2022</t>
        </is>
      </c>
      <c r="B998" s="1" t="n">
        <v>44879</v>
      </c>
      <c r="C998" s="1" t="n">
        <v>45688</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53600-2022</t>
        </is>
      </c>
      <c r="B999" s="1" t="n">
        <v>44879</v>
      </c>
      <c r="C999" s="1" t="n">
        <v>45688</v>
      </c>
      <c r="D999" t="inlineStr">
        <is>
          <t>STOCKHOLMS LÄN</t>
        </is>
      </c>
      <c r="E999" t="inlineStr">
        <is>
          <t>NORRTÄLJE</t>
        </is>
      </c>
      <c r="G999" t="n">
        <v>4.3</v>
      </c>
      <c r="H999" t="n">
        <v>0</v>
      </c>
      <c r="I999" t="n">
        <v>0</v>
      </c>
      <c r="J999" t="n">
        <v>0</v>
      </c>
      <c r="K999" t="n">
        <v>0</v>
      </c>
      <c r="L999" t="n">
        <v>0</v>
      </c>
      <c r="M999" t="n">
        <v>0</v>
      </c>
      <c r="N999" t="n">
        <v>0</v>
      </c>
      <c r="O999" t="n">
        <v>0</v>
      </c>
      <c r="P999" t="n">
        <v>0</v>
      </c>
      <c r="Q999" t="n">
        <v>0</v>
      </c>
      <c r="R999" s="2" t="inlineStr"/>
    </row>
    <row r="1000" ht="15" customHeight="1">
      <c r="A1000" t="inlineStr">
        <is>
          <t>A 53459-2022</t>
        </is>
      </c>
      <c r="B1000" s="1" t="n">
        <v>44879</v>
      </c>
      <c r="C1000" s="1" t="n">
        <v>45688</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53884-2022</t>
        </is>
      </c>
      <c r="B1001" s="1" t="n">
        <v>44880</v>
      </c>
      <c r="C1001" s="1" t="n">
        <v>45688</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54169-2022</t>
        </is>
      </c>
      <c r="B1002" s="1" t="n">
        <v>44881</v>
      </c>
      <c r="C1002" s="1" t="n">
        <v>45688</v>
      </c>
      <c r="D1002" t="inlineStr">
        <is>
          <t>STOCKHOLMS LÄN</t>
        </is>
      </c>
      <c r="E1002" t="inlineStr">
        <is>
          <t>NORRTÄLJE</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54175-2022</t>
        </is>
      </c>
      <c r="B1003" s="1" t="n">
        <v>44881</v>
      </c>
      <c r="C1003" s="1" t="n">
        <v>45688</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54355-2022</t>
        </is>
      </c>
      <c r="B1004" s="1" t="n">
        <v>44882</v>
      </c>
      <c r="C1004" s="1" t="n">
        <v>45688</v>
      </c>
      <c r="D1004" t="inlineStr">
        <is>
          <t>STOCKHOLMS LÄN</t>
        </is>
      </c>
      <c r="E1004" t="inlineStr">
        <is>
          <t>NORRTÄLJE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54427-2022</t>
        </is>
      </c>
      <c r="B1005" s="1" t="n">
        <v>44882</v>
      </c>
      <c r="C1005" s="1" t="n">
        <v>45688</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54340-2022</t>
        </is>
      </c>
      <c r="B1006" s="1" t="n">
        <v>44882</v>
      </c>
      <c r="C1006" s="1" t="n">
        <v>45688</v>
      </c>
      <c r="D1006" t="inlineStr">
        <is>
          <t>STOCKHOLMS LÄN</t>
        </is>
      </c>
      <c r="E1006" t="inlineStr">
        <is>
          <t>NORRTÄLJE</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54358-2022</t>
        </is>
      </c>
      <c r="B1007" s="1" t="n">
        <v>44882</v>
      </c>
      <c r="C1007" s="1" t="n">
        <v>45688</v>
      </c>
      <c r="D1007" t="inlineStr">
        <is>
          <t>STOCKHOLMS LÄN</t>
        </is>
      </c>
      <c r="E1007" t="inlineStr">
        <is>
          <t>NORRTÄLJE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54354-2022</t>
        </is>
      </c>
      <c r="B1008" s="1" t="n">
        <v>44882</v>
      </c>
      <c r="C1008" s="1" t="n">
        <v>45688</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55047-2022</t>
        </is>
      </c>
      <c r="B1009" s="1" t="n">
        <v>44886</v>
      </c>
      <c r="C1009" s="1" t="n">
        <v>45688</v>
      </c>
      <c r="D1009" t="inlineStr">
        <is>
          <t>STOCKHOLMS LÄN</t>
        </is>
      </c>
      <c r="E1009" t="inlineStr">
        <is>
          <t>NORRTÄLJE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55696-2022</t>
        </is>
      </c>
      <c r="B1010" s="1" t="n">
        <v>44888</v>
      </c>
      <c r="C1010" s="1" t="n">
        <v>45688</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57037-2022</t>
        </is>
      </c>
      <c r="B1011" s="1" t="n">
        <v>44895</v>
      </c>
      <c r="C1011" s="1" t="n">
        <v>45688</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59767-2022</t>
        </is>
      </c>
      <c r="B1012" s="1" t="n">
        <v>44900</v>
      </c>
      <c r="C1012" s="1" t="n">
        <v>45688</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58302-2022</t>
        </is>
      </c>
      <c r="B1013" s="1" t="n">
        <v>44901</v>
      </c>
      <c r="C1013" s="1" t="n">
        <v>45688</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58492-2022</t>
        </is>
      </c>
      <c r="B1014" s="1" t="n">
        <v>44902</v>
      </c>
      <c r="C1014" s="1" t="n">
        <v>45688</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58543-2022</t>
        </is>
      </c>
      <c r="B1015" s="1" t="n">
        <v>44902</v>
      </c>
      <c r="C1015" s="1" t="n">
        <v>45688</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58993-2022</t>
        </is>
      </c>
      <c r="B1016" s="1" t="n">
        <v>44903</v>
      </c>
      <c r="C1016" s="1" t="n">
        <v>45688</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60525-2022</t>
        </is>
      </c>
      <c r="B1017" s="1" t="n">
        <v>44904</v>
      </c>
      <c r="C1017" s="1" t="n">
        <v>45688</v>
      </c>
      <c r="D1017" t="inlineStr">
        <is>
          <t>STOCKHOLMS LÄN</t>
        </is>
      </c>
      <c r="E1017" t="inlineStr">
        <is>
          <t>NORRTÄLJE</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59717-2022</t>
        </is>
      </c>
      <c r="B1018" s="1" t="n">
        <v>44908</v>
      </c>
      <c r="C1018" s="1" t="n">
        <v>45688</v>
      </c>
      <c r="D1018" t="inlineStr">
        <is>
          <t>STOCKHOLMS LÄN</t>
        </is>
      </c>
      <c r="E1018" t="inlineStr">
        <is>
          <t>NORRTÄLJE</t>
        </is>
      </c>
      <c r="F1018" t="inlineStr">
        <is>
          <t>Holmen skog AB</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59893-2022</t>
        </is>
      </c>
      <c r="B1019" s="1" t="n">
        <v>44908</v>
      </c>
      <c r="C1019" s="1" t="n">
        <v>45688</v>
      </c>
      <c r="D1019" t="inlineStr">
        <is>
          <t>STOCKHOLMS LÄN</t>
        </is>
      </c>
      <c r="E1019" t="inlineStr">
        <is>
          <t>NORRTÄLJE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59892-2022</t>
        </is>
      </c>
      <c r="B1020" s="1" t="n">
        <v>44908</v>
      </c>
      <c r="C1020" s="1" t="n">
        <v>45688</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60840-2022</t>
        </is>
      </c>
      <c r="B1021" s="1" t="n">
        <v>44914</v>
      </c>
      <c r="C1021" s="1" t="n">
        <v>45688</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61016-2022</t>
        </is>
      </c>
      <c r="B1022" s="1" t="n">
        <v>44914</v>
      </c>
      <c r="C1022" s="1" t="n">
        <v>45688</v>
      </c>
      <c r="D1022" t="inlineStr">
        <is>
          <t>STOCKHOLMS LÄN</t>
        </is>
      </c>
      <c r="E1022" t="inlineStr">
        <is>
          <t>NORRTÄLJE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62206-2022</t>
        </is>
      </c>
      <c r="B1023" s="1" t="n">
        <v>44922</v>
      </c>
      <c r="C1023" s="1" t="n">
        <v>45688</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62398-2022</t>
        </is>
      </c>
      <c r="B1024" s="1" t="n">
        <v>44923</v>
      </c>
      <c r="C1024" s="1" t="n">
        <v>45688</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62593-2022</t>
        </is>
      </c>
      <c r="B1025" s="1" t="n">
        <v>44925</v>
      </c>
      <c r="C1025" s="1" t="n">
        <v>45688</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576-2023</t>
        </is>
      </c>
      <c r="B1026" s="1" t="n">
        <v>44925</v>
      </c>
      <c r="C1026" s="1" t="n">
        <v>45688</v>
      </c>
      <c r="D1026" t="inlineStr">
        <is>
          <t>STOCKHOLMS LÄN</t>
        </is>
      </c>
      <c r="E1026" t="inlineStr">
        <is>
          <t>NORRTÄLJE</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574-2023</t>
        </is>
      </c>
      <c r="B1027" s="1" t="n">
        <v>44925</v>
      </c>
      <c r="C1027" s="1" t="n">
        <v>45688</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755-2023</t>
        </is>
      </c>
      <c r="B1028" s="1" t="n">
        <v>44931</v>
      </c>
      <c r="C1028" s="1" t="n">
        <v>45688</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875-2023</t>
        </is>
      </c>
      <c r="B1029" s="1" t="n">
        <v>44931</v>
      </c>
      <c r="C1029" s="1" t="n">
        <v>45688</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951-2023</t>
        </is>
      </c>
      <c r="B1030" s="1" t="n">
        <v>44934</v>
      </c>
      <c r="C1030" s="1" t="n">
        <v>45688</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1183-2023</t>
        </is>
      </c>
      <c r="B1031" s="1" t="n">
        <v>44935</v>
      </c>
      <c r="C1031" s="1" t="n">
        <v>45688</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1335-2023</t>
        </is>
      </c>
      <c r="B1032" s="1" t="n">
        <v>44936</v>
      </c>
      <c r="C1032" s="1" t="n">
        <v>45688</v>
      </c>
      <c r="D1032" t="inlineStr">
        <is>
          <t>STOCKHOLMS LÄN</t>
        </is>
      </c>
      <c r="E1032" t="inlineStr">
        <is>
          <t>NORRTÄLJE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1373-2023</t>
        </is>
      </c>
      <c r="B1033" s="1" t="n">
        <v>44936</v>
      </c>
      <c r="C1033" s="1" t="n">
        <v>45688</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1448-2023</t>
        </is>
      </c>
      <c r="B1034" s="1" t="n">
        <v>44937</v>
      </c>
      <c r="C1034" s="1" t="n">
        <v>45688</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1740-2023</t>
        </is>
      </c>
      <c r="B1035" s="1" t="n">
        <v>44938</v>
      </c>
      <c r="C1035" s="1" t="n">
        <v>45688</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1847-2023</t>
        </is>
      </c>
      <c r="B1036" s="1" t="n">
        <v>44938</v>
      </c>
      <c r="C1036" s="1" t="n">
        <v>45688</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2103-2023</t>
        </is>
      </c>
      <c r="B1037" s="1" t="n">
        <v>44939</v>
      </c>
      <c r="C1037" s="1" t="n">
        <v>45688</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2976-2023</t>
        </is>
      </c>
      <c r="B1038" s="1" t="n">
        <v>44945</v>
      </c>
      <c r="C1038" s="1" t="n">
        <v>45688</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2890-2023</t>
        </is>
      </c>
      <c r="B1039" s="1" t="n">
        <v>44945</v>
      </c>
      <c r="C1039" s="1" t="n">
        <v>45688</v>
      </c>
      <c r="D1039" t="inlineStr">
        <is>
          <t>STOCKHOLMS LÄN</t>
        </is>
      </c>
      <c r="E1039" t="inlineStr">
        <is>
          <t>NORRTÄLJE</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2982-2023</t>
        </is>
      </c>
      <c r="B1040" s="1" t="n">
        <v>44945</v>
      </c>
      <c r="C1040" s="1" t="n">
        <v>45688</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3383-2023</t>
        </is>
      </c>
      <c r="B1041" s="1" t="n">
        <v>44949</v>
      </c>
      <c r="C1041" s="1" t="n">
        <v>45688</v>
      </c>
      <c r="D1041" t="inlineStr">
        <is>
          <t>STOCKHOLMS LÄN</t>
        </is>
      </c>
      <c r="E1041" t="inlineStr">
        <is>
          <t>NORRTÄLJE</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3444-2023</t>
        </is>
      </c>
      <c r="B1042" s="1" t="n">
        <v>44949</v>
      </c>
      <c r="C1042" s="1" t="n">
        <v>45688</v>
      </c>
      <c r="D1042" t="inlineStr">
        <is>
          <t>STOCKHOLMS LÄN</t>
        </is>
      </c>
      <c r="E1042" t="inlineStr">
        <is>
          <t>NORRTÄLJE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4035-2023</t>
        </is>
      </c>
      <c r="B1043" s="1" t="n">
        <v>44952</v>
      </c>
      <c r="C1043" s="1" t="n">
        <v>45688</v>
      </c>
      <c r="D1043" t="inlineStr">
        <is>
          <t>STOCKHOLMS LÄN</t>
        </is>
      </c>
      <c r="E1043" t="inlineStr">
        <is>
          <t>NORRTÄLJE</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4058-2023</t>
        </is>
      </c>
      <c r="B1044" s="1" t="n">
        <v>44952</v>
      </c>
      <c r="C1044" s="1" t="n">
        <v>45688</v>
      </c>
      <c r="D1044" t="inlineStr">
        <is>
          <t>STOCKHOLMS LÄN</t>
        </is>
      </c>
      <c r="E1044" t="inlineStr">
        <is>
          <t>NORRTÄLJE</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4194-2023</t>
        </is>
      </c>
      <c r="B1045" s="1" t="n">
        <v>44953</v>
      </c>
      <c r="C1045" s="1" t="n">
        <v>45688</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4168-2023</t>
        </is>
      </c>
      <c r="B1046" s="1" t="n">
        <v>44953</v>
      </c>
      <c r="C1046" s="1" t="n">
        <v>45688</v>
      </c>
      <c r="D1046" t="inlineStr">
        <is>
          <t>STOCKHOLMS LÄN</t>
        </is>
      </c>
      <c r="E1046" t="inlineStr">
        <is>
          <t>NORRTÄLJE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4316-2023</t>
        </is>
      </c>
      <c r="B1047" s="1" t="n">
        <v>44953</v>
      </c>
      <c r="C1047" s="1" t="n">
        <v>45688</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4326-2023</t>
        </is>
      </c>
      <c r="B1048" s="1" t="n">
        <v>44953</v>
      </c>
      <c r="C1048" s="1" t="n">
        <v>45688</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4322-2023</t>
        </is>
      </c>
      <c r="B1049" s="1" t="n">
        <v>44953</v>
      </c>
      <c r="C1049" s="1" t="n">
        <v>45688</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4364-2023</t>
        </is>
      </c>
      <c r="B1050" s="1" t="n">
        <v>44954</v>
      </c>
      <c r="C1050" s="1" t="n">
        <v>45688</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4395-2023</t>
        </is>
      </c>
      <c r="B1051" s="1" t="n">
        <v>44956</v>
      </c>
      <c r="C1051" s="1" t="n">
        <v>45688</v>
      </c>
      <c r="D1051" t="inlineStr">
        <is>
          <t>STOCKHOLMS LÄN</t>
        </is>
      </c>
      <c r="E1051" t="inlineStr">
        <is>
          <t>NORRTÄLJE</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4438-2023</t>
        </is>
      </c>
      <c r="B1052" s="1" t="n">
        <v>44956</v>
      </c>
      <c r="C1052" s="1" t="n">
        <v>45688</v>
      </c>
      <c r="D1052" t="inlineStr">
        <is>
          <t>STOCKHOLMS LÄN</t>
        </is>
      </c>
      <c r="E1052" t="inlineStr">
        <is>
          <t>NORRTÄLJE</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4593-2023</t>
        </is>
      </c>
      <c r="B1053" s="1" t="n">
        <v>44956</v>
      </c>
      <c r="C1053" s="1" t="n">
        <v>45688</v>
      </c>
      <c r="D1053" t="inlineStr">
        <is>
          <t>STOCKHOLMS LÄN</t>
        </is>
      </c>
      <c r="E1053" t="inlineStr">
        <is>
          <t>NORRTÄLJE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4596-2023</t>
        </is>
      </c>
      <c r="B1054" s="1" t="n">
        <v>44956</v>
      </c>
      <c r="C1054" s="1" t="n">
        <v>45688</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4553-2023</t>
        </is>
      </c>
      <c r="B1055" s="1" t="n">
        <v>44956</v>
      </c>
      <c r="C1055" s="1" t="n">
        <v>45688</v>
      </c>
      <c r="D1055" t="inlineStr">
        <is>
          <t>STOCKHOLMS LÄN</t>
        </is>
      </c>
      <c r="E1055" t="inlineStr">
        <is>
          <t>NORRTÄLJE</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5137-2023</t>
        </is>
      </c>
      <c r="B1056" s="1" t="n">
        <v>44958</v>
      </c>
      <c r="C1056" s="1" t="n">
        <v>45688</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5207-2023</t>
        </is>
      </c>
      <c r="B1057" s="1" t="n">
        <v>44959</v>
      </c>
      <c r="C1057" s="1" t="n">
        <v>45688</v>
      </c>
      <c r="D1057" t="inlineStr">
        <is>
          <t>STOCKHOLMS LÄN</t>
        </is>
      </c>
      <c r="E1057" t="inlineStr">
        <is>
          <t>NORRTÄLJE</t>
        </is>
      </c>
      <c r="F1057" t="inlineStr">
        <is>
          <t>Holmen skog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5422-2023</t>
        </is>
      </c>
      <c r="B1058" s="1" t="n">
        <v>44959</v>
      </c>
      <c r="C1058" s="1" t="n">
        <v>45688</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5244-2023</t>
        </is>
      </c>
      <c r="B1059" s="1" t="n">
        <v>44959</v>
      </c>
      <c r="C1059" s="1" t="n">
        <v>45688</v>
      </c>
      <c r="D1059" t="inlineStr">
        <is>
          <t>STOCKHOLMS LÄN</t>
        </is>
      </c>
      <c r="E1059" t="inlineStr">
        <is>
          <t>NORRTÄLJE</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5423-2023</t>
        </is>
      </c>
      <c r="B1060" s="1" t="n">
        <v>44959</v>
      </c>
      <c r="C1060" s="1" t="n">
        <v>45688</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6312-2023</t>
        </is>
      </c>
      <c r="B1061" s="1" t="n">
        <v>44959</v>
      </c>
      <c r="C1061" s="1" t="n">
        <v>45688</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5645-2023</t>
        </is>
      </c>
      <c r="B1062" s="1" t="n">
        <v>44960</v>
      </c>
      <c r="C1062" s="1" t="n">
        <v>45688</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5501-2023</t>
        </is>
      </c>
      <c r="B1063" s="1" t="n">
        <v>44960</v>
      </c>
      <c r="C1063" s="1" t="n">
        <v>45688</v>
      </c>
      <c r="D1063" t="inlineStr">
        <is>
          <t>STOCKHOLMS LÄN</t>
        </is>
      </c>
      <c r="E1063" t="inlineStr">
        <is>
          <t>NORRTÄLJE</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6496-2023</t>
        </is>
      </c>
      <c r="B1064" s="1" t="n">
        <v>44960</v>
      </c>
      <c r="C1064" s="1" t="n">
        <v>45688</v>
      </c>
      <c r="D1064" t="inlineStr">
        <is>
          <t>STOCKHOLMS LÄN</t>
        </is>
      </c>
      <c r="E1064" t="inlineStr">
        <is>
          <t>NORRTÄLJE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5732-2023</t>
        </is>
      </c>
      <c r="B1065" s="1" t="n">
        <v>44962</v>
      </c>
      <c r="C1065" s="1" t="n">
        <v>45688</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5823-2023</t>
        </is>
      </c>
      <c r="B1066" s="1" t="n">
        <v>44963</v>
      </c>
      <c r="C1066" s="1" t="n">
        <v>45688</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5839-2023</t>
        </is>
      </c>
      <c r="B1067" s="1" t="n">
        <v>44963</v>
      </c>
      <c r="C1067" s="1" t="n">
        <v>45688</v>
      </c>
      <c r="D1067" t="inlineStr">
        <is>
          <t>STOCKHOLMS LÄN</t>
        </is>
      </c>
      <c r="E1067" t="inlineStr">
        <is>
          <t>NORRTÄLJE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6433-2023</t>
        </is>
      </c>
      <c r="B1068" s="1" t="n">
        <v>44965</v>
      </c>
      <c r="C1068" s="1" t="n">
        <v>45688</v>
      </c>
      <c r="D1068" t="inlineStr">
        <is>
          <t>STOCKHOLMS LÄN</t>
        </is>
      </c>
      <c r="E1068" t="inlineStr">
        <is>
          <t>NORRTÄLJE</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7230-2023</t>
        </is>
      </c>
      <c r="B1069" s="1" t="n">
        <v>44965</v>
      </c>
      <c r="C1069" s="1" t="n">
        <v>45688</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6437-2023</t>
        </is>
      </c>
      <c r="B1070" s="1" t="n">
        <v>44965</v>
      </c>
      <c r="C1070" s="1" t="n">
        <v>45688</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7093-2023</t>
        </is>
      </c>
      <c r="B1071" s="1" t="n">
        <v>44970</v>
      </c>
      <c r="C1071" s="1" t="n">
        <v>45688</v>
      </c>
      <c r="D1071" t="inlineStr">
        <is>
          <t>STOCKHOLMS LÄN</t>
        </is>
      </c>
      <c r="E1071" t="inlineStr">
        <is>
          <t>NORRTÄLJE</t>
        </is>
      </c>
      <c r="F1071" t="inlineStr">
        <is>
          <t>Sveaskog</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7190-2023</t>
        </is>
      </c>
      <c r="B1072" s="1" t="n">
        <v>44970</v>
      </c>
      <c r="C1072" s="1" t="n">
        <v>45688</v>
      </c>
      <c r="D1072" t="inlineStr">
        <is>
          <t>STOCKHOLMS LÄN</t>
        </is>
      </c>
      <c r="E1072" t="inlineStr">
        <is>
          <t>NORRTÄLJE</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7120-2023</t>
        </is>
      </c>
      <c r="B1073" s="1" t="n">
        <v>44970</v>
      </c>
      <c r="C1073" s="1" t="n">
        <v>45688</v>
      </c>
      <c r="D1073" t="inlineStr">
        <is>
          <t>STOCKHOLMS LÄN</t>
        </is>
      </c>
      <c r="E1073" t="inlineStr">
        <is>
          <t>NORRTÄLJE</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7638-2023</t>
        </is>
      </c>
      <c r="B1074" s="1" t="n">
        <v>44972</v>
      </c>
      <c r="C1074" s="1" t="n">
        <v>45688</v>
      </c>
      <c r="D1074" t="inlineStr">
        <is>
          <t>STOCKHOLMS LÄN</t>
        </is>
      </c>
      <c r="E1074" t="inlineStr">
        <is>
          <t>NORRTÄLJE</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7966-2023</t>
        </is>
      </c>
      <c r="B1075" s="1" t="n">
        <v>44973</v>
      </c>
      <c r="C1075" s="1" t="n">
        <v>45688</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7974-2023</t>
        </is>
      </c>
      <c r="B1076" s="1" t="n">
        <v>44973</v>
      </c>
      <c r="C1076" s="1" t="n">
        <v>45688</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8296-2023</t>
        </is>
      </c>
      <c r="B1077" s="1" t="n">
        <v>44974</v>
      </c>
      <c r="C1077" s="1" t="n">
        <v>45688</v>
      </c>
      <c r="D1077" t="inlineStr">
        <is>
          <t>STOCKHOLMS LÄN</t>
        </is>
      </c>
      <c r="E1077" t="inlineStr">
        <is>
          <t>NORRTÄLJE</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8586-2023</t>
        </is>
      </c>
      <c r="B1078" s="1" t="n">
        <v>44977</v>
      </c>
      <c r="C1078" s="1" t="n">
        <v>45688</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9401-2023</t>
        </is>
      </c>
      <c r="B1079" s="1" t="n">
        <v>44977</v>
      </c>
      <c r="C1079" s="1" t="n">
        <v>45688</v>
      </c>
      <c r="D1079" t="inlineStr">
        <is>
          <t>STOCKHOLMS LÄN</t>
        </is>
      </c>
      <c r="E1079" t="inlineStr">
        <is>
          <t>NORRTÄLJE</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8730-2023</t>
        </is>
      </c>
      <c r="B1080" s="1" t="n">
        <v>44978</v>
      </c>
      <c r="C1080" s="1" t="n">
        <v>45688</v>
      </c>
      <c r="D1080" t="inlineStr">
        <is>
          <t>STOCKHOLMS LÄN</t>
        </is>
      </c>
      <c r="E1080" t="inlineStr">
        <is>
          <t>NORRTÄLJE</t>
        </is>
      </c>
      <c r="F1080" t="inlineStr">
        <is>
          <t>Holmen skog AB</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8762-2023</t>
        </is>
      </c>
      <c r="B1081" s="1" t="n">
        <v>44978</v>
      </c>
      <c r="C1081" s="1" t="n">
        <v>45688</v>
      </c>
      <c r="D1081" t="inlineStr">
        <is>
          <t>STOCKHOLMS LÄN</t>
        </is>
      </c>
      <c r="E1081" t="inlineStr">
        <is>
          <t>NORRTÄLJE</t>
        </is>
      </c>
      <c r="F1081" t="inlineStr">
        <is>
          <t>Holmen skog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8899-2023</t>
        </is>
      </c>
      <c r="B1082" s="1" t="n">
        <v>44979</v>
      </c>
      <c r="C1082" s="1" t="n">
        <v>45688</v>
      </c>
      <c r="D1082" t="inlineStr">
        <is>
          <t>STOCKHOLMS LÄN</t>
        </is>
      </c>
      <c r="E1082" t="inlineStr">
        <is>
          <t>NORRTÄLJE</t>
        </is>
      </c>
      <c r="F1082" t="inlineStr">
        <is>
          <t>Naturvårdsverket</t>
        </is>
      </c>
      <c r="G1082" t="n">
        <v>14.9</v>
      </c>
      <c r="H1082" t="n">
        <v>0</v>
      </c>
      <c r="I1082" t="n">
        <v>0</v>
      </c>
      <c r="J1082" t="n">
        <v>0</v>
      </c>
      <c r="K1082" t="n">
        <v>0</v>
      </c>
      <c r="L1082" t="n">
        <v>0</v>
      </c>
      <c r="M1082" t="n">
        <v>0</v>
      </c>
      <c r="N1082" t="n">
        <v>0</v>
      </c>
      <c r="O1082" t="n">
        <v>0</v>
      </c>
      <c r="P1082" t="n">
        <v>0</v>
      </c>
      <c r="Q1082" t="n">
        <v>0</v>
      </c>
      <c r="R1082" s="2" t="inlineStr"/>
    </row>
    <row r="1083" ht="15" customHeight="1">
      <c r="A1083" t="inlineStr">
        <is>
          <t>A 9189-2023</t>
        </is>
      </c>
      <c r="B1083" s="1" t="n">
        <v>44980</v>
      </c>
      <c r="C1083" s="1" t="n">
        <v>45688</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9184-2023</t>
        </is>
      </c>
      <c r="B1084" s="1" t="n">
        <v>44980</v>
      </c>
      <c r="C1084" s="1" t="n">
        <v>45688</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9255-2023</t>
        </is>
      </c>
      <c r="B1085" s="1" t="n">
        <v>44980</v>
      </c>
      <c r="C1085" s="1" t="n">
        <v>45688</v>
      </c>
      <c r="D1085" t="inlineStr">
        <is>
          <t>STOCKHOLMS LÄN</t>
        </is>
      </c>
      <c r="E1085" t="inlineStr">
        <is>
          <t>NORRTÄLJE</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9329-2023</t>
        </is>
      </c>
      <c r="B1086" s="1" t="n">
        <v>44980</v>
      </c>
      <c r="C1086" s="1" t="n">
        <v>45688</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9793-2023</t>
        </is>
      </c>
      <c r="B1087" s="1" t="n">
        <v>44984</v>
      </c>
      <c r="C1087" s="1" t="n">
        <v>45688</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9914-2023</t>
        </is>
      </c>
      <c r="B1088" s="1" t="n">
        <v>44985</v>
      </c>
      <c r="C1088" s="1" t="n">
        <v>45688</v>
      </c>
      <c r="D1088" t="inlineStr">
        <is>
          <t>STOCKHOLMS LÄN</t>
        </is>
      </c>
      <c r="E1088" t="inlineStr">
        <is>
          <t>NORRTÄLJE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9965-2023</t>
        </is>
      </c>
      <c r="B1089" s="1" t="n">
        <v>44985</v>
      </c>
      <c r="C1089" s="1" t="n">
        <v>45688</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9995-2023</t>
        </is>
      </c>
      <c r="B1090" s="1" t="n">
        <v>44985</v>
      </c>
      <c r="C1090" s="1" t="n">
        <v>45688</v>
      </c>
      <c r="D1090" t="inlineStr">
        <is>
          <t>STOCKHOLMS LÄN</t>
        </is>
      </c>
      <c r="E1090" t="inlineStr">
        <is>
          <t>NORRTÄLJE</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10036-2023</t>
        </is>
      </c>
      <c r="B1091" s="1" t="n">
        <v>44985</v>
      </c>
      <c r="C1091" s="1" t="n">
        <v>45688</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10039-2023</t>
        </is>
      </c>
      <c r="B1092" s="1" t="n">
        <v>44985</v>
      </c>
      <c r="C1092" s="1" t="n">
        <v>45688</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9945-2023</t>
        </is>
      </c>
      <c r="B1093" s="1" t="n">
        <v>44985</v>
      </c>
      <c r="C1093" s="1" t="n">
        <v>45688</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10105-2023</t>
        </is>
      </c>
      <c r="B1094" s="1" t="n">
        <v>44986</v>
      </c>
      <c r="C1094" s="1" t="n">
        <v>45688</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10215-2023</t>
        </is>
      </c>
      <c r="B1095" s="1" t="n">
        <v>44986</v>
      </c>
      <c r="C1095" s="1" t="n">
        <v>45688</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11280-2023</t>
        </is>
      </c>
      <c r="B1096" s="1" t="n">
        <v>44992</v>
      </c>
      <c r="C1096" s="1" t="n">
        <v>45688</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11499-2023</t>
        </is>
      </c>
      <c r="B1097" s="1" t="n">
        <v>44993</v>
      </c>
      <c r="C1097" s="1" t="n">
        <v>45688</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11844-2023</t>
        </is>
      </c>
      <c r="B1098" s="1" t="n">
        <v>44995</v>
      </c>
      <c r="C1098" s="1" t="n">
        <v>45688</v>
      </c>
      <c r="D1098" t="inlineStr">
        <is>
          <t>STOCKHOLMS LÄN</t>
        </is>
      </c>
      <c r="E1098" t="inlineStr">
        <is>
          <t>NORRTÄLJE</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11940-2023</t>
        </is>
      </c>
      <c r="B1099" s="1" t="n">
        <v>44995</v>
      </c>
      <c r="C1099" s="1" t="n">
        <v>45688</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11852-2023</t>
        </is>
      </c>
      <c r="B1100" s="1" t="n">
        <v>44995</v>
      </c>
      <c r="C1100" s="1" t="n">
        <v>45688</v>
      </c>
      <c r="D1100" t="inlineStr">
        <is>
          <t>STOCKHOLMS LÄN</t>
        </is>
      </c>
      <c r="E1100" t="inlineStr">
        <is>
          <t>NORRTÄLJE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12609-2023</t>
        </is>
      </c>
      <c r="B1101" s="1" t="n">
        <v>45000</v>
      </c>
      <c r="C1101" s="1" t="n">
        <v>45688</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12756-2023</t>
        </is>
      </c>
      <c r="B1102" s="1" t="n">
        <v>45000</v>
      </c>
      <c r="C1102" s="1" t="n">
        <v>45688</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13072-2023</t>
        </is>
      </c>
      <c r="B1103" s="1" t="n">
        <v>45002</v>
      </c>
      <c r="C1103" s="1" t="n">
        <v>45688</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13354-2023</t>
        </is>
      </c>
      <c r="B1104" s="1" t="n">
        <v>45005</v>
      </c>
      <c r="C1104" s="1" t="n">
        <v>45688</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13360-2023</t>
        </is>
      </c>
      <c r="B1105" s="1" t="n">
        <v>45005</v>
      </c>
      <c r="C1105" s="1" t="n">
        <v>45688</v>
      </c>
      <c r="D1105" t="inlineStr">
        <is>
          <t>STOCKHOLMS LÄN</t>
        </is>
      </c>
      <c r="E1105" t="inlineStr">
        <is>
          <t>NORRTÄLJE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13860-2023</t>
        </is>
      </c>
      <c r="B1106" s="1" t="n">
        <v>45007</v>
      </c>
      <c r="C1106" s="1" t="n">
        <v>45688</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13957-2023</t>
        </is>
      </c>
      <c r="B1107" s="1" t="n">
        <v>45008</v>
      </c>
      <c r="C1107" s="1" t="n">
        <v>45688</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13947-2023</t>
        </is>
      </c>
      <c r="B1108" s="1" t="n">
        <v>45008</v>
      </c>
      <c r="C1108" s="1" t="n">
        <v>45688</v>
      </c>
      <c r="D1108" t="inlineStr">
        <is>
          <t>STOCKHOLMS LÄN</t>
        </is>
      </c>
      <c r="E1108" t="inlineStr">
        <is>
          <t>NORRTÄLJE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13977-2023</t>
        </is>
      </c>
      <c r="B1109" s="1" t="n">
        <v>45008</v>
      </c>
      <c r="C1109" s="1" t="n">
        <v>45688</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14135-2023</t>
        </is>
      </c>
      <c r="B1110" s="1" t="n">
        <v>45009</v>
      </c>
      <c r="C1110" s="1" t="n">
        <v>45688</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15217-2023</t>
        </is>
      </c>
      <c r="B1111" s="1" t="n">
        <v>45019</v>
      </c>
      <c r="C1111" s="1" t="n">
        <v>45688</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15256-2023</t>
        </is>
      </c>
      <c r="B1112" s="1" t="n">
        <v>45019</v>
      </c>
      <c r="C1112" s="1" t="n">
        <v>45688</v>
      </c>
      <c r="D1112" t="inlineStr">
        <is>
          <t>STOCKHOLMS LÄN</t>
        </is>
      </c>
      <c r="E1112" t="inlineStr">
        <is>
          <t>NORRTÄLJE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15447-2023</t>
        </is>
      </c>
      <c r="B1113" s="1" t="n">
        <v>45020</v>
      </c>
      <c r="C1113" s="1" t="n">
        <v>45688</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15459-2023</t>
        </is>
      </c>
      <c r="B1114" s="1" t="n">
        <v>45020</v>
      </c>
      <c r="C1114" s="1" t="n">
        <v>45688</v>
      </c>
      <c r="D1114" t="inlineStr">
        <is>
          <t>STOCKHOLMS LÄN</t>
        </is>
      </c>
      <c r="E1114" t="inlineStr">
        <is>
          <t>NORRTÄLJE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15655-2023</t>
        </is>
      </c>
      <c r="B1115" s="1" t="n">
        <v>45021</v>
      </c>
      <c r="C1115" s="1" t="n">
        <v>45688</v>
      </c>
      <c r="D1115" t="inlineStr">
        <is>
          <t>STOCKHOLMS LÄN</t>
        </is>
      </c>
      <c r="E1115" t="inlineStr">
        <is>
          <t>NORRTÄLJE</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15905-2023</t>
        </is>
      </c>
      <c r="B1116" s="1" t="n">
        <v>45022</v>
      </c>
      <c r="C1116" s="1" t="n">
        <v>45688</v>
      </c>
      <c r="D1116" t="inlineStr">
        <is>
          <t>STOCKHOLMS LÄN</t>
        </is>
      </c>
      <c r="E1116" t="inlineStr">
        <is>
          <t>NORRTÄLJE</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15915-2023</t>
        </is>
      </c>
      <c r="B1117" s="1" t="n">
        <v>45022</v>
      </c>
      <c r="C1117" s="1" t="n">
        <v>45688</v>
      </c>
      <c r="D1117" t="inlineStr">
        <is>
          <t>STOCKHOLMS LÄN</t>
        </is>
      </c>
      <c r="E1117" t="inlineStr">
        <is>
          <t>NORRTÄLJE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15956-2023</t>
        </is>
      </c>
      <c r="B1118" s="1" t="n">
        <v>45022</v>
      </c>
      <c r="C1118" s="1" t="n">
        <v>45688</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15954-2023</t>
        </is>
      </c>
      <c r="B1119" s="1" t="n">
        <v>45022</v>
      </c>
      <c r="C1119" s="1" t="n">
        <v>45688</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16006-2023</t>
        </is>
      </c>
      <c r="B1120" s="1" t="n">
        <v>45025</v>
      </c>
      <c r="C1120" s="1" t="n">
        <v>45688</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16980-2023</t>
        </is>
      </c>
      <c r="B1121" s="1" t="n">
        <v>45033</v>
      </c>
      <c r="C1121" s="1" t="n">
        <v>45688</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16977-2023</t>
        </is>
      </c>
      <c r="B1122" s="1" t="n">
        <v>45033</v>
      </c>
      <c r="C1122" s="1" t="n">
        <v>45688</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17140-2023</t>
        </is>
      </c>
      <c r="B1123" s="1" t="n">
        <v>45034</v>
      </c>
      <c r="C1123" s="1" t="n">
        <v>45688</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17133-2023</t>
        </is>
      </c>
      <c r="B1124" s="1" t="n">
        <v>45034</v>
      </c>
      <c r="C1124" s="1" t="n">
        <v>45688</v>
      </c>
      <c r="D1124" t="inlineStr">
        <is>
          <t>STOCKHOLMS LÄN</t>
        </is>
      </c>
      <c r="E1124" t="inlineStr">
        <is>
          <t>NORRTÄLJE</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17919-2023</t>
        </is>
      </c>
      <c r="B1125" s="1" t="n">
        <v>45040</v>
      </c>
      <c r="C1125" s="1" t="n">
        <v>45688</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17939-2023</t>
        </is>
      </c>
      <c r="B1126" s="1" t="n">
        <v>45040</v>
      </c>
      <c r="C1126" s="1" t="n">
        <v>45688</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17930-2023</t>
        </is>
      </c>
      <c r="B1127" s="1" t="n">
        <v>45040</v>
      </c>
      <c r="C1127" s="1" t="n">
        <v>45688</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17984-2023</t>
        </is>
      </c>
      <c r="B1128" s="1" t="n">
        <v>45040</v>
      </c>
      <c r="C1128" s="1" t="n">
        <v>45688</v>
      </c>
      <c r="D1128" t="inlineStr">
        <is>
          <t>STOCKHOLMS LÄN</t>
        </is>
      </c>
      <c r="E1128" t="inlineStr">
        <is>
          <t>NORRTÄLJE</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18023-2023</t>
        </is>
      </c>
      <c r="B1129" s="1" t="n">
        <v>45040</v>
      </c>
      <c r="C1129" s="1" t="n">
        <v>45688</v>
      </c>
      <c r="D1129" t="inlineStr">
        <is>
          <t>STOCKHOLMS LÄN</t>
        </is>
      </c>
      <c r="E1129" t="inlineStr">
        <is>
          <t>NORRTÄLJE</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18541-2023</t>
        </is>
      </c>
      <c r="B1130" s="1" t="n">
        <v>45042</v>
      </c>
      <c r="C1130" s="1" t="n">
        <v>45688</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18540-2023</t>
        </is>
      </c>
      <c r="B1131" s="1" t="n">
        <v>45042</v>
      </c>
      <c r="C1131" s="1" t="n">
        <v>45688</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18895-2023</t>
        </is>
      </c>
      <c r="B1132" s="1" t="n">
        <v>45044</v>
      </c>
      <c r="C1132" s="1" t="n">
        <v>45688</v>
      </c>
      <c r="D1132" t="inlineStr">
        <is>
          <t>STOCKHOLMS LÄN</t>
        </is>
      </c>
      <c r="E1132" t="inlineStr">
        <is>
          <t>NORRTÄLJE</t>
        </is>
      </c>
      <c r="F1132" t="inlineStr">
        <is>
          <t>Kommuner</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19074-2023</t>
        </is>
      </c>
      <c r="B1133" s="1" t="n">
        <v>45048</v>
      </c>
      <c r="C1133" s="1" t="n">
        <v>45688</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19058-2023</t>
        </is>
      </c>
      <c r="B1134" s="1" t="n">
        <v>45048</v>
      </c>
      <c r="C1134" s="1" t="n">
        <v>45688</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19702-2023</t>
        </is>
      </c>
      <c r="B1135" s="1" t="n">
        <v>45051</v>
      </c>
      <c r="C1135" s="1" t="n">
        <v>45688</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19706-2023</t>
        </is>
      </c>
      <c r="B1136" s="1" t="n">
        <v>45051</v>
      </c>
      <c r="C1136" s="1" t="n">
        <v>45688</v>
      </c>
      <c r="D1136" t="inlineStr">
        <is>
          <t>STOCKHOLMS LÄN</t>
        </is>
      </c>
      <c r="E1136" t="inlineStr">
        <is>
          <t>NORRTÄLJE</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19719-2023</t>
        </is>
      </c>
      <c r="B1137" s="1" t="n">
        <v>45051</v>
      </c>
      <c r="C1137" s="1" t="n">
        <v>45688</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19951-2023</t>
        </is>
      </c>
      <c r="B1138" s="1" t="n">
        <v>45054</v>
      </c>
      <c r="C1138" s="1" t="n">
        <v>45688</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19971-2023</t>
        </is>
      </c>
      <c r="B1139" s="1" t="n">
        <v>45054</v>
      </c>
      <c r="C1139" s="1" t="n">
        <v>45688</v>
      </c>
      <c r="D1139" t="inlineStr">
        <is>
          <t>STOCKHOLMS LÄN</t>
        </is>
      </c>
      <c r="E1139" t="inlineStr">
        <is>
          <t>NORRTÄLJE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19994-2023</t>
        </is>
      </c>
      <c r="B1140" s="1" t="n">
        <v>45054</v>
      </c>
      <c r="C1140" s="1" t="n">
        <v>45688</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19952-2023</t>
        </is>
      </c>
      <c r="B1141" s="1" t="n">
        <v>45054</v>
      </c>
      <c r="C1141" s="1" t="n">
        <v>45688</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20004-2023</t>
        </is>
      </c>
      <c r="B1142" s="1" t="n">
        <v>45054</v>
      </c>
      <c r="C1142" s="1" t="n">
        <v>45688</v>
      </c>
      <c r="D1142" t="inlineStr">
        <is>
          <t>STOCKHOLMS LÄN</t>
        </is>
      </c>
      <c r="E1142" t="inlineStr">
        <is>
          <t>NORRTÄLJE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20015-2023</t>
        </is>
      </c>
      <c r="B1143" s="1" t="n">
        <v>45054</v>
      </c>
      <c r="C1143" s="1" t="n">
        <v>45688</v>
      </c>
      <c r="D1143" t="inlineStr">
        <is>
          <t>STOCKHOLMS LÄN</t>
        </is>
      </c>
      <c r="E1143" t="inlineStr">
        <is>
          <t>NORRTÄLJE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20144-2023</t>
        </is>
      </c>
      <c r="B1144" s="1" t="n">
        <v>45055</v>
      </c>
      <c r="C1144" s="1" t="n">
        <v>45688</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20304-2023</t>
        </is>
      </c>
      <c r="B1145" s="1" t="n">
        <v>45056</v>
      </c>
      <c r="C1145" s="1" t="n">
        <v>45688</v>
      </c>
      <c r="D1145" t="inlineStr">
        <is>
          <t>STOCKHOLMS LÄN</t>
        </is>
      </c>
      <c r="E1145" t="inlineStr">
        <is>
          <t>NORRTÄLJE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20535-2023</t>
        </is>
      </c>
      <c r="B1146" s="1" t="n">
        <v>45057</v>
      </c>
      <c r="C1146" s="1" t="n">
        <v>45688</v>
      </c>
      <c r="D1146" t="inlineStr">
        <is>
          <t>STOCKHOLMS LÄN</t>
        </is>
      </c>
      <c r="E1146" t="inlineStr">
        <is>
          <t>NORRTÄLJE</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20852-2023</t>
        </is>
      </c>
      <c r="B1147" s="1" t="n">
        <v>45058</v>
      </c>
      <c r="C1147" s="1" t="n">
        <v>45688</v>
      </c>
      <c r="D1147" t="inlineStr">
        <is>
          <t>STOCKHOLMS LÄN</t>
        </is>
      </c>
      <c r="E1147" t="inlineStr">
        <is>
          <t>NORRTÄLJE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21237-2023</t>
        </is>
      </c>
      <c r="B1148" s="1" t="n">
        <v>45062</v>
      </c>
      <c r="C1148" s="1" t="n">
        <v>45688</v>
      </c>
      <c r="D1148" t="inlineStr">
        <is>
          <t>STOCKHOLMS LÄN</t>
        </is>
      </c>
      <c r="E1148" t="inlineStr">
        <is>
          <t>NORRTÄLJE</t>
        </is>
      </c>
      <c r="F1148" t="inlineStr">
        <is>
          <t>Övriga Aktiebolag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21386-2023</t>
        </is>
      </c>
      <c r="B1149" s="1" t="n">
        <v>45063</v>
      </c>
      <c r="C1149" s="1" t="n">
        <v>45688</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21435-2023</t>
        </is>
      </c>
      <c r="B1150" s="1" t="n">
        <v>45063</v>
      </c>
      <c r="C1150" s="1" t="n">
        <v>45688</v>
      </c>
      <c r="D1150" t="inlineStr">
        <is>
          <t>STOCKHOLMS LÄN</t>
        </is>
      </c>
      <c r="E1150" t="inlineStr">
        <is>
          <t>NORRTÄLJE</t>
        </is>
      </c>
      <c r="G1150" t="n">
        <v>19.1</v>
      </c>
      <c r="H1150" t="n">
        <v>0</v>
      </c>
      <c r="I1150" t="n">
        <v>0</v>
      </c>
      <c r="J1150" t="n">
        <v>0</v>
      </c>
      <c r="K1150" t="n">
        <v>0</v>
      </c>
      <c r="L1150" t="n">
        <v>0</v>
      </c>
      <c r="M1150" t="n">
        <v>0</v>
      </c>
      <c r="N1150" t="n">
        <v>0</v>
      </c>
      <c r="O1150" t="n">
        <v>0</v>
      </c>
      <c r="P1150" t="n">
        <v>0</v>
      </c>
      <c r="Q1150" t="n">
        <v>0</v>
      </c>
      <c r="R1150" s="2" t="inlineStr"/>
    </row>
    <row r="1151" ht="15" customHeight="1">
      <c r="A1151" t="inlineStr">
        <is>
          <t>A 21732-2023</t>
        </is>
      </c>
      <c r="B1151" s="1" t="n">
        <v>45063</v>
      </c>
      <c r="C1151" s="1" t="n">
        <v>45688</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21733-2023</t>
        </is>
      </c>
      <c r="B1152" s="1" t="n">
        <v>45063</v>
      </c>
      <c r="C1152" s="1" t="n">
        <v>45688</v>
      </c>
      <c r="D1152" t="inlineStr">
        <is>
          <t>STOCKHOLMS LÄN</t>
        </is>
      </c>
      <c r="E1152" t="inlineStr">
        <is>
          <t>NORRTÄLJE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21731-2023</t>
        </is>
      </c>
      <c r="B1153" s="1" t="n">
        <v>45063</v>
      </c>
      <c r="C1153" s="1" t="n">
        <v>45688</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21718-2023</t>
        </is>
      </c>
      <c r="B1154" s="1" t="n">
        <v>45065</v>
      </c>
      <c r="C1154" s="1" t="n">
        <v>45688</v>
      </c>
      <c r="D1154" t="inlineStr">
        <is>
          <t>STOCKHOLMS LÄN</t>
        </is>
      </c>
      <c r="E1154" t="inlineStr">
        <is>
          <t>NORRTÄLJE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21719-2023</t>
        </is>
      </c>
      <c r="B1155" s="1" t="n">
        <v>45065</v>
      </c>
      <c r="C1155" s="1" t="n">
        <v>45688</v>
      </c>
      <c r="D1155" t="inlineStr">
        <is>
          <t>STOCKHOLMS LÄN</t>
        </is>
      </c>
      <c r="E1155" t="inlineStr">
        <is>
          <t>NORRTÄLJE</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21745-2023</t>
        </is>
      </c>
      <c r="B1156" s="1" t="n">
        <v>45065</v>
      </c>
      <c r="C1156" s="1" t="n">
        <v>45688</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21720-2023</t>
        </is>
      </c>
      <c r="B1157" s="1" t="n">
        <v>45065</v>
      </c>
      <c r="C1157" s="1" t="n">
        <v>45688</v>
      </c>
      <c r="D1157" t="inlineStr">
        <is>
          <t>STOCKHOLMS LÄN</t>
        </is>
      </c>
      <c r="E1157" t="inlineStr">
        <is>
          <t>NORRTÄLJE</t>
        </is>
      </c>
      <c r="G1157" t="n">
        <v>13.6</v>
      </c>
      <c r="H1157" t="n">
        <v>0</v>
      </c>
      <c r="I1157" t="n">
        <v>0</v>
      </c>
      <c r="J1157" t="n">
        <v>0</v>
      </c>
      <c r="K1157" t="n">
        <v>0</v>
      </c>
      <c r="L1157" t="n">
        <v>0</v>
      </c>
      <c r="M1157" t="n">
        <v>0</v>
      </c>
      <c r="N1157" t="n">
        <v>0</v>
      </c>
      <c r="O1157" t="n">
        <v>0</v>
      </c>
      <c r="P1157" t="n">
        <v>0</v>
      </c>
      <c r="Q1157" t="n">
        <v>0</v>
      </c>
      <c r="R1157" s="2" t="inlineStr"/>
    </row>
    <row r="1158" ht="15" customHeight="1">
      <c r="A1158" t="inlineStr">
        <is>
          <t>A 21716-2023</t>
        </is>
      </c>
      <c r="B1158" s="1" t="n">
        <v>45065</v>
      </c>
      <c r="C1158" s="1" t="n">
        <v>45688</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21894-2023</t>
        </is>
      </c>
      <c r="B1159" s="1" t="n">
        <v>45068</v>
      </c>
      <c r="C1159" s="1" t="n">
        <v>45688</v>
      </c>
      <c r="D1159" t="inlineStr">
        <is>
          <t>STOCKHOLMS LÄN</t>
        </is>
      </c>
      <c r="E1159" t="inlineStr">
        <is>
          <t>NORRTÄLJE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21832-2023</t>
        </is>
      </c>
      <c r="B1160" s="1" t="n">
        <v>45068</v>
      </c>
      <c r="C1160" s="1" t="n">
        <v>45688</v>
      </c>
      <c r="D1160" t="inlineStr">
        <is>
          <t>STOCKHOLMS LÄN</t>
        </is>
      </c>
      <c r="E1160" t="inlineStr">
        <is>
          <t>NORRTÄLJE</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21825-2023</t>
        </is>
      </c>
      <c r="B1161" s="1" t="n">
        <v>45068</v>
      </c>
      <c r="C1161" s="1" t="n">
        <v>45688</v>
      </c>
      <c r="D1161" t="inlineStr">
        <is>
          <t>STOCKHOLMS LÄN</t>
        </is>
      </c>
      <c r="E1161" t="inlineStr">
        <is>
          <t>NORRTÄLJE</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21897-2023</t>
        </is>
      </c>
      <c r="B1162" s="1" t="n">
        <v>45068</v>
      </c>
      <c r="C1162" s="1" t="n">
        <v>45688</v>
      </c>
      <c r="D1162" t="inlineStr">
        <is>
          <t>STOCKHOLMS LÄN</t>
        </is>
      </c>
      <c r="E1162" t="inlineStr">
        <is>
          <t>NORRTÄLJE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21993-2023</t>
        </is>
      </c>
      <c r="B1163" s="1" t="n">
        <v>45068</v>
      </c>
      <c r="C1163" s="1" t="n">
        <v>45688</v>
      </c>
      <c r="D1163" t="inlineStr">
        <is>
          <t>STOCKHOLMS LÄN</t>
        </is>
      </c>
      <c r="E1163" t="inlineStr">
        <is>
          <t>NORRTÄLJE</t>
        </is>
      </c>
      <c r="G1163" t="n">
        <v>17.2</v>
      </c>
      <c r="H1163" t="n">
        <v>0</v>
      </c>
      <c r="I1163" t="n">
        <v>0</v>
      </c>
      <c r="J1163" t="n">
        <v>0</v>
      </c>
      <c r="K1163" t="n">
        <v>0</v>
      </c>
      <c r="L1163" t="n">
        <v>0</v>
      </c>
      <c r="M1163" t="n">
        <v>0</v>
      </c>
      <c r="N1163" t="n">
        <v>0</v>
      </c>
      <c r="O1163" t="n">
        <v>0</v>
      </c>
      <c r="P1163" t="n">
        <v>0</v>
      </c>
      <c r="Q1163" t="n">
        <v>0</v>
      </c>
      <c r="R1163" s="2" t="inlineStr"/>
    </row>
    <row r="1164" ht="15" customHeight="1">
      <c r="A1164" t="inlineStr">
        <is>
          <t>A 21961-2023</t>
        </is>
      </c>
      <c r="B1164" s="1" t="n">
        <v>45068</v>
      </c>
      <c r="C1164" s="1" t="n">
        <v>45688</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22157-2023</t>
        </is>
      </c>
      <c r="B1165" s="1" t="n">
        <v>45069</v>
      </c>
      <c r="C1165" s="1" t="n">
        <v>45688</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c r="U1165">
        <f>HYPERLINK("https://klasma.github.io/Logging_0188/knärot/A 22157-2023 karta knärot.png", "A 22157-2023")</f>
        <v/>
      </c>
      <c r="V1165">
        <f>HYPERLINK("https://klasma.github.io/Logging_0188/klagomål/A 22157-2023 FSC-klagomål.docx", "A 22157-2023")</f>
        <v/>
      </c>
      <c r="W1165">
        <f>HYPERLINK("https://klasma.github.io/Logging_0188/klagomålsmail/A 22157-2023 FSC-klagomål mail.docx", "A 22157-2023")</f>
        <v/>
      </c>
      <c r="X1165">
        <f>HYPERLINK("https://klasma.github.io/Logging_0188/tillsyn/A 22157-2023 tillsynsbegäran.docx", "A 22157-2023")</f>
        <v/>
      </c>
      <c r="Y1165">
        <f>HYPERLINK("https://klasma.github.io/Logging_0188/tillsynsmail/A 22157-2023 tillsynsbegäran mail.docx", "A 22157-2023")</f>
        <v/>
      </c>
    </row>
    <row r="1166" ht="15" customHeight="1">
      <c r="A1166" t="inlineStr">
        <is>
          <t>A 22175-2023</t>
        </is>
      </c>
      <c r="B1166" s="1" t="n">
        <v>45069</v>
      </c>
      <c r="C1166" s="1" t="n">
        <v>45688</v>
      </c>
      <c r="D1166" t="inlineStr">
        <is>
          <t>STOCKHOLMS LÄN</t>
        </is>
      </c>
      <c r="E1166" t="inlineStr">
        <is>
          <t>NORRTÄLJE</t>
        </is>
      </c>
      <c r="G1166" t="n">
        <v>32.7</v>
      </c>
      <c r="H1166" t="n">
        <v>0</v>
      </c>
      <c r="I1166" t="n">
        <v>0</v>
      </c>
      <c r="J1166" t="n">
        <v>0</v>
      </c>
      <c r="K1166" t="n">
        <v>0</v>
      </c>
      <c r="L1166" t="n">
        <v>0</v>
      </c>
      <c r="M1166" t="n">
        <v>0</v>
      </c>
      <c r="N1166" t="n">
        <v>0</v>
      </c>
      <c r="O1166" t="n">
        <v>0</v>
      </c>
      <c r="P1166" t="n">
        <v>0</v>
      </c>
      <c r="Q1166" t="n">
        <v>0</v>
      </c>
      <c r="R1166" s="2" t="inlineStr"/>
    </row>
    <row r="1167" ht="15" customHeight="1">
      <c r="A1167" t="inlineStr">
        <is>
          <t>A 22249-2023</t>
        </is>
      </c>
      <c r="B1167" s="1" t="n">
        <v>45070</v>
      </c>
      <c r="C1167" s="1" t="n">
        <v>45688</v>
      </c>
      <c r="D1167" t="inlineStr">
        <is>
          <t>STOCKHOLMS LÄN</t>
        </is>
      </c>
      <c r="E1167" t="inlineStr">
        <is>
          <t>NORRTÄLJE</t>
        </is>
      </c>
      <c r="F1167" t="inlineStr">
        <is>
          <t>Övriga Aktiebolag</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22398-2023</t>
        </is>
      </c>
      <c r="B1168" s="1" t="n">
        <v>45070</v>
      </c>
      <c r="C1168" s="1" t="n">
        <v>45688</v>
      </c>
      <c r="D1168" t="inlineStr">
        <is>
          <t>STOCKHOLMS LÄN</t>
        </is>
      </c>
      <c r="E1168" t="inlineStr">
        <is>
          <t>NORRTÄLJE</t>
        </is>
      </c>
      <c r="F1168" t="inlineStr">
        <is>
          <t>Övriga Aktiebolag</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22376-2023</t>
        </is>
      </c>
      <c r="B1169" s="1" t="n">
        <v>45070</v>
      </c>
      <c r="C1169" s="1" t="n">
        <v>45688</v>
      </c>
      <c r="D1169" t="inlineStr">
        <is>
          <t>STOCKHOLMS LÄN</t>
        </is>
      </c>
      <c r="E1169" t="inlineStr">
        <is>
          <t>NORRTÄLJE</t>
        </is>
      </c>
      <c r="F1169" t="inlineStr">
        <is>
          <t>Kommuner</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22456-2023</t>
        </is>
      </c>
      <c r="B1170" s="1" t="n">
        <v>45070</v>
      </c>
      <c r="C1170" s="1" t="n">
        <v>45688</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22378-2023</t>
        </is>
      </c>
      <c r="B1171" s="1" t="n">
        <v>45070</v>
      </c>
      <c r="C1171" s="1" t="n">
        <v>45688</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22406-2023</t>
        </is>
      </c>
      <c r="B1172" s="1" t="n">
        <v>45070</v>
      </c>
      <c r="C1172" s="1" t="n">
        <v>45688</v>
      </c>
      <c r="D1172" t="inlineStr">
        <is>
          <t>STOCKHOLMS LÄN</t>
        </is>
      </c>
      <c r="E1172" t="inlineStr">
        <is>
          <t>NORRTÄLJE</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22553-2023</t>
        </is>
      </c>
      <c r="B1173" s="1" t="n">
        <v>45071</v>
      </c>
      <c r="C1173" s="1" t="n">
        <v>45688</v>
      </c>
      <c r="D1173" t="inlineStr">
        <is>
          <t>STOCKHOLMS LÄN</t>
        </is>
      </c>
      <c r="E1173" t="inlineStr">
        <is>
          <t>NORRTÄLJE</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22962-2023</t>
        </is>
      </c>
      <c r="B1174" s="1" t="n">
        <v>45072</v>
      </c>
      <c r="C1174" s="1" t="n">
        <v>45688</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23056-2023</t>
        </is>
      </c>
      <c r="B1175" s="1" t="n">
        <v>45075</v>
      </c>
      <c r="C1175" s="1" t="n">
        <v>45688</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23060-2023</t>
        </is>
      </c>
      <c r="B1176" s="1" t="n">
        <v>45075</v>
      </c>
      <c r="C1176" s="1" t="n">
        <v>45688</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23070-2023</t>
        </is>
      </c>
      <c r="B1177" s="1" t="n">
        <v>45075</v>
      </c>
      <c r="C1177" s="1" t="n">
        <v>45688</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23130-2023</t>
        </is>
      </c>
      <c r="B1178" s="1" t="n">
        <v>45075</v>
      </c>
      <c r="C1178" s="1" t="n">
        <v>45688</v>
      </c>
      <c r="D1178" t="inlineStr">
        <is>
          <t>STOCKHOLMS LÄN</t>
        </is>
      </c>
      <c r="E1178" t="inlineStr">
        <is>
          <t>NORRTÄLJE</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23265-2023</t>
        </is>
      </c>
      <c r="B1179" s="1" t="n">
        <v>45075</v>
      </c>
      <c r="C1179" s="1" t="n">
        <v>45688</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23269-2023</t>
        </is>
      </c>
      <c r="B1180" s="1" t="n">
        <v>45075</v>
      </c>
      <c r="C1180" s="1" t="n">
        <v>45688</v>
      </c>
      <c r="D1180" t="inlineStr">
        <is>
          <t>STOCKHOLMS LÄN</t>
        </is>
      </c>
      <c r="E1180" t="inlineStr">
        <is>
          <t>NORRTÄLJE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23273-2023</t>
        </is>
      </c>
      <c r="B1181" s="1" t="n">
        <v>45076</v>
      </c>
      <c r="C1181" s="1" t="n">
        <v>45688</v>
      </c>
      <c r="D1181" t="inlineStr">
        <is>
          <t>STOCKHOLMS LÄN</t>
        </is>
      </c>
      <c r="E1181" t="inlineStr">
        <is>
          <t>NORRTÄLJE</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23134-2023</t>
        </is>
      </c>
      <c r="B1182" s="1" t="n">
        <v>45075</v>
      </c>
      <c r="C1182" s="1" t="n">
        <v>45688</v>
      </c>
      <c r="D1182" t="inlineStr">
        <is>
          <t>STOCKHOLMS LÄN</t>
        </is>
      </c>
      <c r="E1182" t="inlineStr">
        <is>
          <t>NORRTÄLJE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23263-2023</t>
        </is>
      </c>
      <c r="B1183" s="1" t="n">
        <v>45075</v>
      </c>
      <c r="C1183" s="1" t="n">
        <v>45688</v>
      </c>
      <c r="D1183" t="inlineStr">
        <is>
          <t>STOCKHOLMS LÄN</t>
        </is>
      </c>
      <c r="E1183" t="inlineStr">
        <is>
          <t>NORRTÄLJE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23267-2023</t>
        </is>
      </c>
      <c r="B1184" s="1" t="n">
        <v>45075</v>
      </c>
      <c r="C1184" s="1" t="n">
        <v>45688</v>
      </c>
      <c r="D1184" t="inlineStr">
        <is>
          <t>STOCKHOLMS LÄN</t>
        </is>
      </c>
      <c r="E1184" t="inlineStr">
        <is>
          <t>NORRTÄLJE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23271-2023</t>
        </is>
      </c>
      <c r="B1185" s="1" t="n">
        <v>45075</v>
      </c>
      <c r="C1185" s="1" t="n">
        <v>45688</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23264-2023</t>
        </is>
      </c>
      <c r="B1186" s="1" t="n">
        <v>45075</v>
      </c>
      <c r="C1186" s="1" t="n">
        <v>45688</v>
      </c>
      <c r="D1186" t="inlineStr">
        <is>
          <t>STOCKHOLMS LÄN</t>
        </is>
      </c>
      <c r="E1186" t="inlineStr">
        <is>
          <t>NORRTÄLJE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23268-2023</t>
        </is>
      </c>
      <c r="B1187" s="1" t="n">
        <v>45075</v>
      </c>
      <c r="C1187" s="1" t="n">
        <v>45688</v>
      </c>
      <c r="D1187" t="inlineStr">
        <is>
          <t>STOCKHOLMS LÄN</t>
        </is>
      </c>
      <c r="E1187" t="inlineStr">
        <is>
          <t>NORRTÄLJE</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23272-2023</t>
        </is>
      </c>
      <c r="B1188" s="1" t="n">
        <v>45075</v>
      </c>
      <c r="C1188" s="1" t="n">
        <v>45688</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23262-2023</t>
        </is>
      </c>
      <c r="B1189" s="1" t="n">
        <v>45075</v>
      </c>
      <c r="C1189" s="1" t="n">
        <v>45688</v>
      </c>
      <c r="D1189" t="inlineStr">
        <is>
          <t>STOCKHOLMS LÄN</t>
        </is>
      </c>
      <c r="E1189" t="inlineStr">
        <is>
          <t>NORRTÄLJE</t>
        </is>
      </c>
      <c r="F1189" t="inlineStr">
        <is>
          <t>Kommuner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23266-2023</t>
        </is>
      </c>
      <c r="B1190" s="1" t="n">
        <v>45075</v>
      </c>
      <c r="C1190" s="1" t="n">
        <v>45688</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23270-2023</t>
        </is>
      </c>
      <c r="B1191" s="1" t="n">
        <v>45075</v>
      </c>
      <c r="C1191" s="1" t="n">
        <v>45688</v>
      </c>
      <c r="D1191" t="inlineStr">
        <is>
          <t>STOCKHOLMS LÄN</t>
        </is>
      </c>
      <c r="E1191" t="inlineStr">
        <is>
          <t>NORRTÄLJE</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23274-2023</t>
        </is>
      </c>
      <c r="B1192" s="1" t="n">
        <v>45076</v>
      </c>
      <c r="C1192" s="1" t="n">
        <v>45688</v>
      </c>
      <c r="D1192" t="inlineStr">
        <is>
          <t>STOCKHOLMS LÄN</t>
        </is>
      </c>
      <c r="E1192" t="inlineStr">
        <is>
          <t>NORRTÄLJE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23699-2023</t>
        </is>
      </c>
      <c r="B1193" s="1" t="n">
        <v>45077</v>
      </c>
      <c r="C1193" s="1" t="n">
        <v>45688</v>
      </c>
      <c r="D1193" t="inlineStr">
        <is>
          <t>STOCKHOLMS LÄN</t>
        </is>
      </c>
      <c r="E1193" t="inlineStr">
        <is>
          <t>NORRTÄLJE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24129-2023</t>
        </is>
      </c>
      <c r="B1194" s="1" t="n">
        <v>45079</v>
      </c>
      <c r="C1194" s="1" t="n">
        <v>45688</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24330-2023</t>
        </is>
      </c>
      <c r="B1195" s="1" t="n">
        <v>45081</v>
      </c>
      <c r="C1195" s="1" t="n">
        <v>45688</v>
      </c>
      <c r="D1195" t="inlineStr">
        <is>
          <t>STOCKHOLMS LÄN</t>
        </is>
      </c>
      <c r="E1195" t="inlineStr">
        <is>
          <t>NORRTÄLJE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24520-2023</t>
        </is>
      </c>
      <c r="B1196" s="1" t="n">
        <v>45082</v>
      </c>
      <c r="C1196" s="1" t="n">
        <v>45688</v>
      </c>
      <c r="D1196" t="inlineStr">
        <is>
          <t>STOCKHOLMS LÄN</t>
        </is>
      </c>
      <c r="E1196" t="inlineStr">
        <is>
          <t>NORRTÄLJE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24501-2023</t>
        </is>
      </c>
      <c r="B1197" s="1" t="n">
        <v>45082</v>
      </c>
      <c r="C1197" s="1" t="n">
        <v>45688</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24522-2023</t>
        </is>
      </c>
      <c r="B1198" s="1" t="n">
        <v>45082</v>
      </c>
      <c r="C1198" s="1" t="n">
        <v>45688</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24705-2023</t>
        </is>
      </c>
      <c r="B1199" s="1" t="n">
        <v>45084</v>
      </c>
      <c r="C1199" s="1" t="n">
        <v>45688</v>
      </c>
      <c r="D1199" t="inlineStr">
        <is>
          <t>STOCKHOLMS LÄN</t>
        </is>
      </c>
      <c r="E1199" t="inlineStr">
        <is>
          <t>NORRTÄLJE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24727-2023</t>
        </is>
      </c>
      <c r="B1200" s="1" t="n">
        <v>45084</v>
      </c>
      <c r="C1200" s="1" t="n">
        <v>45688</v>
      </c>
      <c r="D1200" t="inlineStr">
        <is>
          <t>STOCKHOLMS LÄN</t>
        </is>
      </c>
      <c r="E1200" t="inlineStr">
        <is>
          <t>NORRTÄLJE</t>
        </is>
      </c>
      <c r="F1200" t="inlineStr">
        <is>
          <t>Holmen skog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24788-2023</t>
        </is>
      </c>
      <c r="B1201" s="1" t="n">
        <v>45084</v>
      </c>
      <c r="C1201" s="1" t="n">
        <v>45688</v>
      </c>
      <c r="D1201" t="inlineStr">
        <is>
          <t>STOCKHOLMS LÄN</t>
        </is>
      </c>
      <c r="E1201" t="inlineStr">
        <is>
          <t>NORRTÄLJE</t>
        </is>
      </c>
      <c r="F1201" t="inlineStr">
        <is>
          <t>Sveaskog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24789-2023</t>
        </is>
      </c>
      <c r="B1202" s="1" t="n">
        <v>45084</v>
      </c>
      <c r="C1202" s="1" t="n">
        <v>45688</v>
      </c>
      <c r="D1202" t="inlineStr">
        <is>
          <t>STOCKHOLMS LÄN</t>
        </is>
      </c>
      <c r="E1202" t="inlineStr">
        <is>
          <t>NORRTÄLJE</t>
        </is>
      </c>
      <c r="F1202" t="inlineStr">
        <is>
          <t>Sveaskog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24887-2023</t>
        </is>
      </c>
      <c r="B1203" s="1" t="n">
        <v>45085</v>
      </c>
      <c r="C1203" s="1" t="n">
        <v>45688</v>
      </c>
      <c r="D1203" t="inlineStr">
        <is>
          <t>STOCKHOLMS LÄN</t>
        </is>
      </c>
      <c r="E1203" t="inlineStr">
        <is>
          <t>NORRTÄLJE</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24933-2023</t>
        </is>
      </c>
      <c r="B1204" s="1" t="n">
        <v>45085</v>
      </c>
      <c r="C1204" s="1" t="n">
        <v>45688</v>
      </c>
      <c r="D1204" t="inlineStr">
        <is>
          <t>STOCKHOLMS LÄN</t>
        </is>
      </c>
      <c r="E1204" t="inlineStr">
        <is>
          <t>NORRTÄLJE</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25174-2023</t>
        </is>
      </c>
      <c r="B1205" s="1" t="n">
        <v>45086</v>
      </c>
      <c r="C1205" s="1" t="n">
        <v>45688</v>
      </c>
      <c r="D1205" t="inlineStr">
        <is>
          <t>STOCKHOLMS LÄN</t>
        </is>
      </c>
      <c r="E1205" t="inlineStr">
        <is>
          <t>NORRTÄLJE</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25094-2023</t>
        </is>
      </c>
      <c r="B1206" s="1" t="n">
        <v>45086</v>
      </c>
      <c r="C1206" s="1" t="n">
        <v>45688</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25257-2023</t>
        </is>
      </c>
      <c r="B1207" s="1" t="n">
        <v>45086</v>
      </c>
      <c r="C1207" s="1" t="n">
        <v>45688</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25614-2023</t>
        </is>
      </c>
      <c r="B1208" s="1" t="n">
        <v>45089</v>
      </c>
      <c r="C1208" s="1" t="n">
        <v>45688</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25625-2023</t>
        </is>
      </c>
      <c r="B1209" s="1" t="n">
        <v>45089</v>
      </c>
      <c r="C1209" s="1" t="n">
        <v>45688</v>
      </c>
      <c r="D1209" t="inlineStr">
        <is>
          <t>STOCKHOLMS LÄN</t>
        </is>
      </c>
      <c r="E1209" t="inlineStr">
        <is>
          <t>NORRTÄLJE</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25557-2023</t>
        </is>
      </c>
      <c r="B1210" s="1" t="n">
        <v>45089</v>
      </c>
      <c r="C1210" s="1" t="n">
        <v>45688</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25609-2023</t>
        </is>
      </c>
      <c r="B1211" s="1" t="n">
        <v>45089</v>
      </c>
      <c r="C1211" s="1" t="n">
        <v>45688</v>
      </c>
      <c r="D1211" t="inlineStr">
        <is>
          <t>STOCKHOLMS LÄN</t>
        </is>
      </c>
      <c r="E1211" t="inlineStr">
        <is>
          <t>NORRTÄLJE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25618-2023</t>
        </is>
      </c>
      <c r="B1212" s="1" t="n">
        <v>45089</v>
      </c>
      <c r="C1212" s="1" t="n">
        <v>45688</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25656-2023</t>
        </is>
      </c>
      <c r="B1213" s="1" t="n">
        <v>45089</v>
      </c>
      <c r="C1213" s="1" t="n">
        <v>45688</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25654-2023</t>
        </is>
      </c>
      <c r="B1214" s="1" t="n">
        <v>45089</v>
      </c>
      <c r="C1214" s="1" t="n">
        <v>45688</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25831-2023</t>
        </is>
      </c>
      <c r="B1215" s="1" t="n">
        <v>45090</v>
      </c>
      <c r="C1215" s="1" t="n">
        <v>45688</v>
      </c>
      <c r="D1215" t="inlineStr">
        <is>
          <t>STOCKHOLMS LÄN</t>
        </is>
      </c>
      <c r="E1215" t="inlineStr">
        <is>
          <t>NORRTÄLJE</t>
        </is>
      </c>
      <c r="F1215" t="inlineStr">
        <is>
          <t>Övriga Aktiebolag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25915-2023</t>
        </is>
      </c>
      <c r="B1216" s="1" t="n">
        <v>45090</v>
      </c>
      <c r="C1216" s="1" t="n">
        <v>45688</v>
      </c>
      <c r="D1216" t="inlineStr">
        <is>
          <t>STOCKHOLMS LÄN</t>
        </is>
      </c>
      <c r="E1216" t="inlineStr">
        <is>
          <t>NORRTÄLJE</t>
        </is>
      </c>
      <c r="F1216" t="inlineStr">
        <is>
          <t>Naturvårdsverket</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26065-2023</t>
        </is>
      </c>
      <c r="B1217" s="1" t="n">
        <v>45091</v>
      </c>
      <c r="C1217" s="1" t="n">
        <v>45688</v>
      </c>
      <c r="D1217" t="inlineStr">
        <is>
          <t>STOCKHOLMS LÄN</t>
        </is>
      </c>
      <c r="E1217" t="inlineStr">
        <is>
          <t>NORRTÄLJE</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26315-2023</t>
        </is>
      </c>
      <c r="B1218" s="1" t="n">
        <v>45091</v>
      </c>
      <c r="C1218" s="1" t="n">
        <v>45688</v>
      </c>
      <c r="D1218" t="inlineStr">
        <is>
          <t>STOCKHOLMS LÄN</t>
        </is>
      </c>
      <c r="E1218" t="inlineStr">
        <is>
          <t>NORRTÄLJE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26570-2023</t>
        </is>
      </c>
      <c r="B1219" s="1" t="n">
        <v>45092</v>
      </c>
      <c r="C1219" s="1" t="n">
        <v>45688</v>
      </c>
      <c r="D1219" t="inlineStr">
        <is>
          <t>STOCKHOLMS LÄN</t>
        </is>
      </c>
      <c r="E1219" t="inlineStr">
        <is>
          <t>NORRTÄLJE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26636-2023</t>
        </is>
      </c>
      <c r="B1220" s="1" t="n">
        <v>45092</v>
      </c>
      <c r="C1220" s="1" t="n">
        <v>45688</v>
      </c>
      <c r="D1220" t="inlineStr">
        <is>
          <t>STOCKHOLMS LÄN</t>
        </is>
      </c>
      <c r="E1220" t="inlineStr">
        <is>
          <t>NORRTÄLJE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26640-2023</t>
        </is>
      </c>
      <c r="B1221" s="1" t="n">
        <v>45092</v>
      </c>
      <c r="C1221" s="1" t="n">
        <v>45688</v>
      </c>
      <c r="D1221" t="inlineStr">
        <is>
          <t>STOCKHOLMS LÄN</t>
        </is>
      </c>
      <c r="E1221" t="inlineStr">
        <is>
          <t>NORRTÄLJE</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26637-2023</t>
        </is>
      </c>
      <c r="B1222" s="1" t="n">
        <v>45092</v>
      </c>
      <c r="C1222" s="1" t="n">
        <v>45688</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26639-2023</t>
        </is>
      </c>
      <c r="B1223" s="1" t="n">
        <v>45092</v>
      </c>
      <c r="C1223" s="1" t="n">
        <v>45688</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27651-2023</t>
        </is>
      </c>
      <c r="B1224" s="1" t="n">
        <v>45097</v>
      </c>
      <c r="C1224" s="1" t="n">
        <v>45688</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28281-2023</t>
        </is>
      </c>
      <c r="B1225" s="1" t="n">
        <v>45099</v>
      </c>
      <c r="C1225" s="1" t="n">
        <v>45688</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28820-2023</t>
        </is>
      </c>
      <c r="B1226" s="1" t="n">
        <v>45104</v>
      </c>
      <c r="C1226" s="1" t="n">
        <v>45688</v>
      </c>
      <c r="D1226" t="inlineStr">
        <is>
          <t>STOCKHOLMS LÄN</t>
        </is>
      </c>
      <c r="E1226" t="inlineStr">
        <is>
          <t>NORRTÄLJE</t>
        </is>
      </c>
      <c r="F1226" t="inlineStr">
        <is>
          <t>Kommuner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28813-2023</t>
        </is>
      </c>
      <c r="B1227" s="1" t="n">
        <v>45104</v>
      </c>
      <c r="C1227" s="1" t="n">
        <v>45688</v>
      </c>
      <c r="D1227" t="inlineStr">
        <is>
          <t>STOCKHOLMS LÄN</t>
        </is>
      </c>
      <c r="E1227" t="inlineStr">
        <is>
          <t>NORRTÄLJE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29003-2023</t>
        </is>
      </c>
      <c r="B1228" s="1" t="n">
        <v>45104</v>
      </c>
      <c r="C1228" s="1" t="n">
        <v>45688</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28816-2023</t>
        </is>
      </c>
      <c r="B1229" s="1" t="n">
        <v>45104</v>
      </c>
      <c r="C1229" s="1" t="n">
        <v>45688</v>
      </c>
      <c r="D1229" t="inlineStr">
        <is>
          <t>STOCKHOLMS LÄN</t>
        </is>
      </c>
      <c r="E1229" t="inlineStr">
        <is>
          <t>NORRTÄLJE</t>
        </is>
      </c>
      <c r="F1229" t="inlineStr">
        <is>
          <t>Kommuner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28809-2023</t>
        </is>
      </c>
      <c r="B1230" s="1" t="n">
        <v>45104</v>
      </c>
      <c r="C1230" s="1" t="n">
        <v>45688</v>
      </c>
      <c r="D1230" t="inlineStr">
        <is>
          <t>STOCKHOLMS LÄN</t>
        </is>
      </c>
      <c r="E1230" t="inlineStr">
        <is>
          <t>NORRTÄLJE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29254-2023</t>
        </is>
      </c>
      <c r="B1231" s="1" t="n">
        <v>45105</v>
      </c>
      <c r="C1231" s="1" t="n">
        <v>45688</v>
      </c>
      <c r="D1231" t="inlineStr">
        <is>
          <t>STOCKHOLMS LÄN</t>
        </is>
      </c>
      <c r="E1231" t="inlineStr">
        <is>
          <t>NORRTÄLJE</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29433-2023</t>
        </is>
      </c>
      <c r="B1232" s="1" t="n">
        <v>45106</v>
      </c>
      <c r="C1232" s="1" t="n">
        <v>45688</v>
      </c>
      <c r="D1232" t="inlineStr">
        <is>
          <t>STOCKHOLMS LÄN</t>
        </is>
      </c>
      <c r="E1232" t="inlineStr">
        <is>
          <t>NORRTÄLJE</t>
        </is>
      </c>
      <c r="F1232" t="inlineStr">
        <is>
          <t>Övriga Aktiebolag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29681-2023</t>
        </is>
      </c>
      <c r="B1233" s="1" t="n">
        <v>45107</v>
      </c>
      <c r="C1233" s="1" t="n">
        <v>45688</v>
      </c>
      <c r="D1233" t="inlineStr">
        <is>
          <t>STOCKHOLMS LÄN</t>
        </is>
      </c>
      <c r="E1233" t="inlineStr">
        <is>
          <t>NORRTÄLJE</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29710-2023</t>
        </is>
      </c>
      <c r="B1234" s="1" t="n">
        <v>45107</v>
      </c>
      <c r="C1234" s="1" t="n">
        <v>45688</v>
      </c>
      <c r="D1234" t="inlineStr">
        <is>
          <t>STOCKHOLMS LÄN</t>
        </is>
      </c>
      <c r="E1234" t="inlineStr">
        <is>
          <t>NORRTÄLJE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29714-2023</t>
        </is>
      </c>
      <c r="B1235" s="1" t="n">
        <v>45107</v>
      </c>
      <c r="C1235" s="1" t="n">
        <v>45688</v>
      </c>
      <c r="D1235" t="inlineStr">
        <is>
          <t>STOCKHOLMS LÄN</t>
        </is>
      </c>
      <c r="E1235" t="inlineStr">
        <is>
          <t>NORRTÄLJE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30116-2023</t>
        </is>
      </c>
      <c r="B1236" s="1" t="n">
        <v>45110</v>
      </c>
      <c r="C1236" s="1" t="n">
        <v>45688</v>
      </c>
      <c r="D1236" t="inlineStr">
        <is>
          <t>STOCKHOLMS LÄN</t>
        </is>
      </c>
      <c r="E1236" t="inlineStr">
        <is>
          <t>NORRTÄLJE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30281-2023</t>
        </is>
      </c>
      <c r="B1237" s="1" t="n">
        <v>45110</v>
      </c>
      <c r="C1237" s="1" t="n">
        <v>45688</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30508-2023</t>
        </is>
      </c>
      <c r="B1238" s="1" t="n">
        <v>45111</v>
      </c>
      <c r="C1238" s="1" t="n">
        <v>45688</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30496-2023</t>
        </is>
      </c>
      <c r="B1239" s="1" t="n">
        <v>45111</v>
      </c>
      <c r="C1239" s="1" t="n">
        <v>45688</v>
      </c>
      <c r="D1239" t="inlineStr">
        <is>
          <t>STOCKHOLMS LÄN</t>
        </is>
      </c>
      <c r="E1239" t="inlineStr">
        <is>
          <t>NORRTÄLJE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30516-2023</t>
        </is>
      </c>
      <c r="B1240" s="1" t="n">
        <v>45111</v>
      </c>
      <c r="C1240" s="1" t="n">
        <v>45688</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30525-2023</t>
        </is>
      </c>
      <c r="B1241" s="1" t="n">
        <v>45111</v>
      </c>
      <c r="C1241" s="1" t="n">
        <v>45688</v>
      </c>
      <c r="D1241" t="inlineStr">
        <is>
          <t>STOCKHOLMS LÄN</t>
        </is>
      </c>
      <c r="E1241" t="inlineStr">
        <is>
          <t>NORRTÄLJE</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30424-2023</t>
        </is>
      </c>
      <c r="B1242" s="1" t="n">
        <v>45111</v>
      </c>
      <c r="C1242" s="1" t="n">
        <v>45688</v>
      </c>
      <c r="D1242" t="inlineStr">
        <is>
          <t>STOCKHOLMS LÄN</t>
        </is>
      </c>
      <c r="E1242" t="inlineStr">
        <is>
          <t>NORRTÄLJE</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30425-2023</t>
        </is>
      </c>
      <c r="B1243" s="1" t="n">
        <v>45111</v>
      </c>
      <c r="C1243" s="1" t="n">
        <v>45688</v>
      </c>
      <c r="D1243" t="inlineStr">
        <is>
          <t>STOCKHOLMS LÄN</t>
        </is>
      </c>
      <c r="E1243" t="inlineStr">
        <is>
          <t>NORRTÄLJE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30731-2023</t>
        </is>
      </c>
      <c r="B1244" s="1" t="n">
        <v>45112</v>
      </c>
      <c r="C1244" s="1" t="n">
        <v>45688</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30663-2023</t>
        </is>
      </c>
      <c r="B1245" s="1" t="n">
        <v>45112</v>
      </c>
      <c r="C1245" s="1" t="n">
        <v>45688</v>
      </c>
      <c r="D1245" t="inlineStr">
        <is>
          <t>STOCKHOLMS LÄN</t>
        </is>
      </c>
      <c r="E1245" t="inlineStr">
        <is>
          <t>NORRTÄLJE</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30780-2023</t>
        </is>
      </c>
      <c r="B1246" s="1" t="n">
        <v>45112</v>
      </c>
      <c r="C1246" s="1" t="n">
        <v>45688</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30773-2023</t>
        </is>
      </c>
      <c r="B1247" s="1" t="n">
        <v>45112</v>
      </c>
      <c r="C1247" s="1" t="n">
        <v>45688</v>
      </c>
      <c r="D1247" t="inlineStr">
        <is>
          <t>STOCKHOLMS LÄN</t>
        </is>
      </c>
      <c r="E1247" t="inlineStr">
        <is>
          <t>NORRTÄLJE</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30924-2023</t>
        </is>
      </c>
      <c r="B1248" s="1" t="n">
        <v>45113</v>
      </c>
      <c r="C1248" s="1" t="n">
        <v>45688</v>
      </c>
      <c r="D1248" t="inlineStr">
        <is>
          <t>STOCKHOLMS LÄN</t>
        </is>
      </c>
      <c r="E1248" t="inlineStr">
        <is>
          <t>NORRTÄLJE</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30923-2023</t>
        </is>
      </c>
      <c r="B1249" s="1" t="n">
        <v>45113</v>
      </c>
      <c r="C1249" s="1" t="n">
        <v>45688</v>
      </c>
      <c r="D1249" t="inlineStr">
        <is>
          <t>STOCKHOLMS LÄN</t>
        </is>
      </c>
      <c r="E1249" t="inlineStr">
        <is>
          <t>NORRTÄLJE</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31140-2023</t>
        </is>
      </c>
      <c r="B1250" s="1" t="n">
        <v>45113</v>
      </c>
      <c r="C1250" s="1" t="n">
        <v>45688</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30921-2023</t>
        </is>
      </c>
      <c r="B1251" s="1" t="n">
        <v>45113</v>
      </c>
      <c r="C1251" s="1" t="n">
        <v>45688</v>
      </c>
      <c r="D1251" t="inlineStr">
        <is>
          <t>STOCKHOLMS LÄN</t>
        </is>
      </c>
      <c r="E1251" t="inlineStr">
        <is>
          <t>NORRTÄLJE</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31149-2023</t>
        </is>
      </c>
      <c r="B1252" s="1" t="n">
        <v>45113</v>
      </c>
      <c r="C1252" s="1" t="n">
        <v>45688</v>
      </c>
      <c r="D1252" t="inlineStr">
        <is>
          <t>STOCKHOLMS LÄN</t>
        </is>
      </c>
      <c r="E1252" t="inlineStr">
        <is>
          <t>NORRTÄLJE</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31153-2023</t>
        </is>
      </c>
      <c r="B1253" s="1" t="n">
        <v>45113</v>
      </c>
      <c r="C1253" s="1" t="n">
        <v>45688</v>
      </c>
      <c r="D1253" t="inlineStr">
        <is>
          <t>STOCKHOLMS LÄN</t>
        </is>
      </c>
      <c r="E1253" t="inlineStr">
        <is>
          <t>NORRTÄLJE</t>
        </is>
      </c>
      <c r="G1253" t="n">
        <v>17.5</v>
      </c>
      <c r="H1253" t="n">
        <v>0</v>
      </c>
      <c r="I1253" t="n">
        <v>0</v>
      </c>
      <c r="J1253" t="n">
        <v>0</v>
      </c>
      <c r="K1253" t="n">
        <v>0</v>
      </c>
      <c r="L1253" t="n">
        <v>0</v>
      </c>
      <c r="M1253" t="n">
        <v>0</v>
      </c>
      <c r="N1253" t="n">
        <v>0</v>
      </c>
      <c r="O1253" t="n">
        <v>0</v>
      </c>
      <c r="P1253" t="n">
        <v>0</v>
      </c>
      <c r="Q1253" t="n">
        <v>0</v>
      </c>
      <c r="R1253" s="2" t="inlineStr"/>
    </row>
    <row r="1254" ht="15" customHeight="1">
      <c r="A1254" t="inlineStr">
        <is>
          <t>A 31827-2023</t>
        </is>
      </c>
      <c r="B1254" s="1" t="n">
        <v>45118</v>
      </c>
      <c r="C1254" s="1" t="n">
        <v>45688</v>
      </c>
      <c r="D1254" t="inlineStr">
        <is>
          <t>STOCKHOLMS LÄN</t>
        </is>
      </c>
      <c r="E1254" t="inlineStr">
        <is>
          <t>NORRTÄLJE</t>
        </is>
      </c>
      <c r="F1254" t="inlineStr">
        <is>
          <t>Kyrkan</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31832-2023</t>
        </is>
      </c>
      <c r="B1255" s="1" t="n">
        <v>45118</v>
      </c>
      <c r="C1255" s="1" t="n">
        <v>45688</v>
      </c>
      <c r="D1255" t="inlineStr">
        <is>
          <t>STOCKHOLMS LÄN</t>
        </is>
      </c>
      <c r="E1255" t="inlineStr">
        <is>
          <t>NORRTÄLJE</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32071-2023</t>
        </is>
      </c>
      <c r="B1256" s="1" t="n">
        <v>45119</v>
      </c>
      <c r="C1256" s="1" t="n">
        <v>45688</v>
      </c>
      <c r="D1256" t="inlineStr">
        <is>
          <t>STOCKHOLMS LÄN</t>
        </is>
      </c>
      <c r="E1256" t="inlineStr">
        <is>
          <t>NORRTÄLJE</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32621-2023</t>
        </is>
      </c>
      <c r="B1257" s="1" t="n">
        <v>45121</v>
      </c>
      <c r="C1257" s="1" t="n">
        <v>45688</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32595-2023</t>
        </is>
      </c>
      <c r="B1258" s="1" t="n">
        <v>45121</v>
      </c>
      <c r="C1258" s="1" t="n">
        <v>45688</v>
      </c>
      <c r="D1258" t="inlineStr">
        <is>
          <t>STOCKHOLMS LÄN</t>
        </is>
      </c>
      <c r="E1258" t="inlineStr">
        <is>
          <t>NORRTÄLJE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32948-2023</t>
        </is>
      </c>
      <c r="B1259" s="1" t="n">
        <v>45125</v>
      </c>
      <c r="C1259" s="1" t="n">
        <v>45688</v>
      </c>
      <c r="D1259" t="inlineStr">
        <is>
          <t>STOCKHOLMS LÄN</t>
        </is>
      </c>
      <c r="E1259" t="inlineStr">
        <is>
          <t>NORRTÄLJE</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33025-2023</t>
        </is>
      </c>
      <c r="B1260" s="1" t="n">
        <v>45125</v>
      </c>
      <c r="C1260" s="1" t="n">
        <v>45688</v>
      </c>
      <c r="D1260" t="inlineStr">
        <is>
          <t>STOCKHOLMS LÄN</t>
        </is>
      </c>
      <c r="E1260" t="inlineStr">
        <is>
          <t>NORRTÄLJE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33130-2023</t>
        </is>
      </c>
      <c r="B1261" s="1" t="n">
        <v>45126</v>
      </c>
      <c r="C1261" s="1" t="n">
        <v>45688</v>
      </c>
      <c r="D1261" t="inlineStr">
        <is>
          <t>STOCKHOLMS LÄN</t>
        </is>
      </c>
      <c r="E1261" t="inlineStr">
        <is>
          <t>NORRTÄLJE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33295-2023</t>
        </is>
      </c>
      <c r="B1262" s="1" t="n">
        <v>45127</v>
      </c>
      <c r="C1262" s="1" t="n">
        <v>45688</v>
      </c>
      <c r="D1262" t="inlineStr">
        <is>
          <t>STOCKHOLMS LÄN</t>
        </is>
      </c>
      <c r="E1262" t="inlineStr">
        <is>
          <t>NORRTÄLJE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33270-2023</t>
        </is>
      </c>
      <c r="B1263" s="1" t="n">
        <v>45127</v>
      </c>
      <c r="C1263" s="1" t="n">
        <v>45688</v>
      </c>
      <c r="D1263" t="inlineStr">
        <is>
          <t>STOCKHOLMS LÄN</t>
        </is>
      </c>
      <c r="E1263" t="inlineStr">
        <is>
          <t>NORRTÄLJE</t>
        </is>
      </c>
      <c r="F1263" t="inlineStr">
        <is>
          <t>Holmen skog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33226-2023</t>
        </is>
      </c>
      <c r="B1264" s="1" t="n">
        <v>45127</v>
      </c>
      <c r="C1264" s="1" t="n">
        <v>45688</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33243-2023</t>
        </is>
      </c>
      <c r="B1265" s="1" t="n">
        <v>45127</v>
      </c>
      <c r="C1265" s="1" t="n">
        <v>45688</v>
      </c>
      <c r="D1265" t="inlineStr">
        <is>
          <t>STOCKHOLMS LÄN</t>
        </is>
      </c>
      <c r="E1265" t="inlineStr">
        <is>
          <t>NORRTÄLJE</t>
        </is>
      </c>
      <c r="F1265" t="inlineStr">
        <is>
          <t>Holmen skog AB</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33291-2023</t>
        </is>
      </c>
      <c r="B1266" s="1" t="n">
        <v>45127</v>
      </c>
      <c r="C1266" s="1" t="n">
        <v>45688</v>
      </c>
      <c r="D1266" t="inlineStr">
        <is>
          <t>STOCKHOLMS LÄN</t>
        </is>
      </c>
      <c r="E1266" t="inlineStr">
        <is>
          <t>NORRTÄLJE</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33353-2023</t>
        </is>
      </c>
      <c r="B1267" s="1" t="n">
        <v>45128</v>
      </c>
      <c r="C1267" s="1" t="n">
        <v>45688</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33569-2023</t>
        </is>
      </c>
      <c r="B1268" s="1" t="n">
        <v>45131</v>
      </c>
      <c r="C1268" s="1" t="n">
        <v>45688</v>
      </c>
      <c r="D1268" t="inlineStr">
        <is>
          <t>STOCKHOLMS LÄN</t>
        </is>
      </c>
      <c r="E1268" t="inlineStr">
        <is>
          <t>NORRTÄLJE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33646-2023</t>
        </is>
      </c>
      <c r="B1269" s="1" t="n">
        <v>45132</v>
      </c>
      <c r="C1269" s="1" t="n">
        <v>45688</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33641-2023</t>
        </is>
      </c>
      <c r="B1270" s="1" t="n">
        <v>45132</v>
      </c>
      <c r="C1270" s="1" t="n">
        <v>45688</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34085-2023</t>
        </is>
      </c>
      <c r="B1271" s="1" t="n">
        <v>45135</v>
      </c>
      <c r="C1271" s="1" t="n">
        <v>45688</v>
      </c>
      <c r="D1271" t="inlineStr">
        <is>
          <t>STOCKHOLMS LÄN</t>
        </is>
      </c>
      <c r="E1271" t="inlineStr">
        <is>
          <t>NORRTÄLJE</t>
        </is>
      </c>
      <c r="G1271" t="n">
        <v>10.6</v>
      </c>
      <c r="H1271" t="n">
        <v>0</v>
      </c>
      <c r="I1271" t="n">
        <v>0</v>
      </c>
      <c r="J1271" t="n">
        <v>0</v>
      </c>
      <c r="K1271" t="n">
        <v>0</v>
      </c>
      <c r="L1271" t="n">
        <v>0</v>
      </c>
      <c r="M1271" t="n">
        <v>0</v>
      </c>
      <c r="N1271" t="n">
        <v>0</v>
      </c>
      <c r="O1271" t="n">
        <v>0</v>
      </c>
      <c r="P1271" t="n">
        <v>0</v>
      </c>
      <c r="Q1271" t="n">
        <v>0</v>
      </c>
      <c r="R1271" s="2" t="inlineStr"/>
    </row>
    <row r="1272" ht="15" customHeight="1">
      <c r="A1272" t="inlineStr">
        <is>
          <t>A 34084-2023</t>
        </is>
      </c>
      <c r="B1272" s="1" t="n">
        <v>45135</v>
      </c>
      <c r="C1272" s="1" t="n">
        <v>45688</v>
      </c>
      <c r="D1272" t="inlineStr">
        <is>
          <t>STOCKHOLMS LÄN</t>
        </is>
      </c>
      <c r="E1272" t="inlineStr">
        <is>
          <t>NORRTÄLJE</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34132-2023</t>
        </is>
      </c>
      <c r="B1273" s="1" t="n">
        <v>45135</v>
      </c>
      <c r="C1273" s="1" t="n">
        <v>45688</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34391-2023</t>
        </is>
      </c>
      <c r="B1274" s="1" t="n">
        <v>45139</v>
      </c>
      <c r="C1274" s="1" t="n">
        <v>45688</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34461-2023</t>
        </is>
      </c>
      <c r="B1275" s="1" t="n">
        <v>45139</v>
      </c>
      <c r="C1275" s="1" t="n">
        <v>45688</v>
      </c>
      <c r="D1275" t="inlineStr">
        <is>
          <t>STOCKHOLMS LÄN</t>
        </is>
      </c>
      <c r="E1275" t="inlineStr">
        <is>
          <t>NORRTÄLJE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34462-2023</t>
        </is>
      </c>
      <c r="B1276" s="1" t="n">
        <v>45139</v>
      </c>
      <c r="C1276" s="1" t="n">
        <v>45688</v>
      </c>
      <c r="D1276" t="inlineStr">
        <is>
          <t>STOCKHOLMS LÄN</t>
        </is>
      </c>
      <c r="E1276" t="inlineStr">
        <is>
          <t>NORRTÄLJE</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34825-2023</t>
        </is>
      </c>
      <c r="B1277" s="1" t="n">
        <v>45141</v>
      </c>
      <c r="C1277" s="1" t="n">
        <v>45688</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35215-2023</t>
        </is>
      </c>
      <c r="B1278" s="1" t="n">
        <v>45145</v>
      </c>
      <c r="C1278" s="1" t="n">
        <v>45688</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35219-2023</t>
        </is>
      </c>
      <c r="B1279" s="1" t="n">
        <v>45145</v>
      </c>
      <c r="C1279" s="1" t="n">
        <v>45688</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35127-2023</t>
        </is>
      </c>
      <c r="B1280" s="1" t="n">
        <v>45145</v>
      </c>
      <c r="C1280" s="1" t="n">
        <v>45688</v>
      </c>
      <c r="D1280" t="inlineStr">
        <is>
          <t>STOCKHOLMS LÄN</t>
        </is>
      </c>
      <c r="E1280" t="inlineStr">
        <is>
          <t>NORRTÄLJE</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35131-2023</t>
        </is>
      </c>
      <c r="B1281" s="1" t="n">
        <v>45145</v>
      </c>
      <c r="C1281" s="1" t="n">
        <v>45688</v>
      </c>
      <c r="D1281" t="inlineStr">
        <is>
          <t>STOCKHOLMS LÄN</t>
        </is>
      </c>
      <c r="E1281" t="inlineStr">
        <is>
          <t>NORRTÄLJE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35128-2023</t>
        </is>
      </c>
      <c r="B1282" s="1" t="n">
        <v>45145</v>
      </c>
      <c r="C1282" s="1" t="n">
        <v>45688</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35210-2023</t>
        </is>
      </c>
      <c r="B1283" s="1" t="n">
        <v>45145</v>
      </c>
      <c r="C1283" s="1" t="n">
        <v>45688</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35438-2023</t>
        </is>
      </c>
      <c r="B1284" s="1" t="n">
        <v>45146</v>
      </c>
      <c r="C1284" s="1" t="n">
        <v>45688</v>
      </c>
      <c r="D1284" t="inlineStr">
        <is>
          <t>STOCKHOLMS LÄN</t>
        </is>
      </c>
      <c r="E1284" t="inlineStr">
        <is>
          <t>NORRTÄLJE</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35698-2023</t>
        </is>
      </c>
      <c r="B1285" s="1" t="n">
        <v>45147</v>
      </c>
      <c r="C1285" s="1" t="n">
        <v>45688</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35702-2023</t>
        </is>
      </c>
      <c r="B1286" s="1" t="n">
        <v>45147</v>
      </c>
      <c r="C1286" s="1" t="n">
        <v>45688</v>
      </c>
      <c r="D1286" t="inlineStr">
        <is>
          <t>STOCKHOLMS LÄN</t>
        </is>
      </c>
      <c r="E1286" t="inlineStr">
        <is>
          <t>NORRTÄLJE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35691-2023</t>
        </is>
      </c>
      <c r="B1287" s="1" t="n">
        <v>45147</v>
      </c>
      <c r="C1287" s="1" t="n">
        <v>45688</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35695-2023</t>
        </is>
      </c>
      <c r="B1288" s="1" t="n">
        <v>45147</v>
      </c>
      <c r="C1288" s="1" t="n">
        <v>45688</v>
      </c>
      <c r="D1288" t="inlineStr">
        <is>
          <t>STOCKHOLMS LÄN</t>
        </is>
      </c>
      <c r="E1288" t="inlineStr">
        <is>
          <t>NORRTÄLJE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35696-2023</t>
        </is>
      </c>
      <c r="B1289" s="1" t="n">
        <v>45147</v>
      </c>
      <c r="C1289" s="1" t="n">
        <v>45688</v>
      </c>
      <c r="D1289" t="inlineStr">
        <is>
          <t>STOCKHOLMS LÄN</t>
        </is>
      </c>
      <c r="E1289" t="inlineStr">
        <is>
          <t>NORRTÄLJE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35700-2023</t>
        </is>
      </c>
      <c r="B1290" s="1" t="n">
        <v>45147</v>
      </c>
      <c r="C1290" s="1" t="n">
        <v>45688</v>
      </c>
      <c r="D1290" t="inlineStr">
        <is>
          <t>STOCKHOLMS LÄN</t>
        </is>
      </c>
      <c r="E1290" t="inlineStr">
        <is>
          <t>NORRTÄLJE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35704-2023</t>
        </is>
      </c>
      <c r="B1291" s="1" t="n">
        <v>45147</v>
      </c>
      <c r="C1291" s="1" t="n">
        <v>45688</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35693-2023</t>
        </is>
      </c>
      <c r="B1292" s="1" t="n">
        <v>45147</v>
      </c>
      <c r="C1292" s="1" t="n">
        <v>45688</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35701-2023</t>
        </is>
      </c>
      <c r="B1293" s="1" t="n">
        <v>45147</v>
      </c>
      <c r="C1293" s="1" t="n">
        <v>45688</v>
      </c>
      <c r="D1293" t="inlineStr">
        <is>
          <t>STOCKHOLMS LÄN</t>
        </is>
      </c>
      <c r="E1293" t="inlineStr">
        <is>
          <t>NORRTÄLJE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35823-2023</t>
        </is>
      </c>
      <c r="B1294" s="1" t="n">
        <v>45148</v>
      </c>
      <c r="C1294" s="1" t="n">
        <v>45688</v>
      </c>
      <c r="D1294" t="inlineStr">
        <is>
          <t>STOCKHOLMS LÄN</t>
        </is>
      </c>
      <c r="E1294" t="inlineStr">
        <is>
          <t>NORRTÄLJE</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36253-2023</t>
        </is>
      </c>
      <c r="B1295" s="1" t="n">
        <v>45151</v>
      </c>
      <c r="C1295" s="1" t="n">
        <v>45688</v>
      </c>
      <c r="D1295" t="inlineStr">
        <is>
          <t>STOCKHOLMS LÄN</t>
        </is>
      </c>
      <c r="E1295" t="inlineStr">
        <is>
          <t>NORRTÄLJE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36257-2023</t>
        </is>
      </c>
      <c r="B1296" s="1" t="n">
        <v>45151</v>
      </c>
      <c r="C1296" s="1" t="n">
        <v>45688</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36259-2023</t>
        </is>
      </c>
      <c r="B1297" s="1" t="n">
        <v>45151</v>
      </c>
      <c r="C1297" s="1" t="n">
        <v>45688</v>
      </c>
      <c r="D1297" t="inlineStr">
        <is>
          <t>STOCKHOLMS LÄN</t>
        </is>
      </c>
      <c r="E1297" t="inlineStr">
        <is>
          <t>NORRTÄLJE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36254-2023</t>
        </is>
      </c>
      <c r="B1298" s="1" t="n">
        <v>45151</v>
      </c>
      <c r="C1298" s="1" t="n">
        <v>45688</v>
      </c>
      <c r="D1298" t="inlineStr">
        <is>
          <t>STOCKHOLMS LÄN</t>
        </is>
      </c>
      <c r="E1298" t="inlineStr">
        <is>
          <t>NORRTÄLJE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36258-2023</t>
        </is>
      </c>
      <c r="B1299" s="1" t="n">
        <v>45151</v>
      </c>
      <c r="C1299" s="1" t="n">
        <v>45688</v>
      </c>
      <c r="D1299" t="inlineStr">
        <is>
          <t>STOCKHOLMS LÄN</t>
        </is>
      </c>
      <c r="E1299" t="inlineStr">
        <is>
          <t>NORRTÄLJE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36689-2023</t>
        </is>
      </c>
      <c r="B1300" s="1" t="n">
        <v>45152</v>
      </c>
      <c r="C1300" s="1" t="n">
        <v>45688</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36865-2023</t>
        </is>
      </c>
      <c r="B1301" s="1" t="n">
        <v>45154</v>
      </c>
      <c r="C1301" s="1" t="n">
        <v>45688</v>
      </c>
      <c r="D1301" t="inlineStr">
        <is>
          <t>STOCKHOLMS LÄN</t>
        </is>
      </c>
      <c r="E1301" t="inlineStr">
        <is>
          <t>NORRTÄLJE</t>
        </is>
      </c>
      <c r="F1301" t="inlineStr">
        <is>
          <t>Kyrkan</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37139-2023</t>
        </is>
      </c>
      <c r="B1302" s="1" t="n">
        <v>45155</v>
      </c>
      <c r="C1302" s="1" t="n">
        <v>45688</v>
      </c>
      <c r="D1302" t="inlineStr">
        <is>
          <t>STOCKHOLMS LÄN</t>
        </is>
      </c>
      <c r="E1302" t="inlineStr">
        <is>
          <t>NORRTÄLJE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37136-2023</t>
        </is>
      </c>
      <c r="B1303" s="1" t="n">
        <v>45155</v>
      </c>
      <c r="C1303" s="1" t="n">
        <v>45688</v>
      </c>
      <c r="D1303" t="inlineStr">
        <is>
          <t>STOCKHOLMS LÄN</t>
        </is>
      </c>
      <c r="E1303" t="inlineStr">
        <is>
          <t>NORRTÄLJE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37147-2023</t>
        </is>
      </c>
      <c r="B1304" s="1" t="n">
        <v>45155</v>
      </c>
      <c r="C1304" s="1" t="n">
        <v>45688</v>
      </c>
      <c r="D1304" t="inlineStr">
        <is>
          <t>STOCKHOLMS LÄN</t>
        </is>
      </c>
      <c r="E1304" t="inlineStr">
        <is>
          <t>NORRTÄLJE</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37670-2023</t>
        </is>
      </c>
      <c r="B1305" s="1" t="n">
        <v>45159</v>
      </c>
      <c r="C1305" s="1" t="n">
        <v>45688</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38049-2023</t>
        </is>
      </c>
      <c r="B1306" s="1" t="n">
        <v>45159</v>
      </c>
      <c r="C1306" s="1" t="n">
        <v>45688</v>
      </c>
      <c r="D1306" t="inlineStr">
        <is>
          <t>STOCKHOLMS LÄN</t>
        </is>
      </c>
      <c r="E1306" t="inlineStr">
        <is>
          <t>NORRTÄLJE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38022-2023</t>
        </is>
      </c>
      <c r="B1307" s="1" t="n">
        <v>45160</v>
      </c>
      <c r="C1307" s="1" t="n">
        <v>45688</v>
      </c>
      <c r="D1307" t="inlineStr">
        <is>
          <t>STOCKHOLMS LÄN</t>
        </is>
      </c>
      <c r="E1307" t="inlineStr">
        <is>
          <t>NORRTÄLJE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38482-2023</t>
        </is>
      </c>
      <c r="B1308" s="1" t="n">
        <v>45162</v>
      </c>
      <c r="C1308" s="1" t="n">
        <v>45688</v>
      </c>
      <c r="D1308" t="inlineStr">
        <is>
          <t>STOCKHOLMS LÄN</t>
        </is>
      </c>
      <c r="E1308" t="inlineStr">
        <is>
          <t>NORRTÄLJE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38487-2023</t>
        </is>
      </c>
      <c r="B1309" s="1" t="n">
        <v>45162</v>
      </c>
      <c r="C1309" s="1" t="n">
        <v>45688</v>
      </c>
      <c r="D1309" t="inlineStr">
        <is>
          <t>STOCKHOLMS LÄN</t>
        </is>
      </c>
      <c r="E1309" t="inlineStr">
        <is>
          <t>NORRTÄLJE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38591-2023</t>
        </is>
      </c>
      <c r="B1310" s="1" t="n">
        <v>45162</v>
      </c>
      <c r="C1310" s="1" t="n">
        <v>45688</v>
      </c>
      <c r="D1310" t="inlineStr">
        <is>
          <t>STOCKHOLMS LÄN</t>
        </is>
      </c>
      <c r="E1310" t="inlineStr">
        <is>
          <t>NORRTÄLJE</t>
        </is>
      </c>
      <c r="F1310" t="inlineStr">
        <is>
          <t>Övriga Aktiebolag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39229-2023</t>
        </is>
      </c>
      <c r="B1311" s="1" t="n">
        <v>45166</v>
      </c>
      <c r="C1311" s="1" t="n">
        <v>45688</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39255-2023</t>
        </is>
      </c>
      <c r="B1312" s="1" t="n">
        <v>45166</v>
      </c>
      <c r="C1312" s="1" t="n">
        <v>45688</v>
      </c>
      <c r="D1312" t="inlineStr">
        <is>
          <t>STOCKHOLMS LÄN</t>
        </is>
      </c>
      <c r="E1312" t="inlineStr">
        <is>
          <t>NORRTÄLJE</t>
        </is>
      </c>
      <c r="G1312" t="n">
        <v>14.2</v>
      </c>
      <c r="H1312" t="n">
        <v>0</v>
      </c>
      <c r="I1312" t="n">
        <v>0</v>
      </c>
      <c r="J1312" t="n">
        <v>0</v>
      </c>
      <c r="K1312" t="n">
        <v>0</v>
      </c>
      <c r="L1312" t="n">
        <v>0</v>
      </c>
      <c r="M1312" t="n">
        <v>0</v>
      </c>
      <c r="N1312" t="n">
        <v>0</v>
      </c>
      <c r="O1312" t="n">
        <v>0</v>
      </c>
      <c r="P1312" t="n">
        <v>0</v>
      </c>
      <c r="Q1312" t="n">
        <v>0</v>
      </c>
      <c r="R1312" s="2" t="inlineStr"/>
    </row>
    <row r="1313" ht="15" customHeight="1">
      <c r="A1313" t="inlineStr">
        <is>
          <t>A 39879-2023</t>
        </is>
      </c>
      <c r="B1313" s="1" t="n">
        <v>45168</v>
      </c>
      <c r="C1313" s="1" t="n">
        <v>45688</v>
      </c>
      <c r="D1313" t="inlineStr">
        <is>
          <t>STOCKHOLMS LÄN</t>
        </is>
      </c>
      <c r="E1313" t="inlineStr">
        <is>
          <t>NORRTÄLJE</t>
        </is>
      </c>
      <c r="F1313" t="inlineStr">
        <is>
          <t>Holmen skog AB</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39905-2023</t>
        </is>
      </c>
      <c r="B1314" s="1" t="n">
        <v>45168</v>
      </c>
      <c r="C1314" s="1" t="n">
        <v>45688</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40139-2023</t>
        </is>
      </c>
      <c r="B1315" s="1" t="n">
        <v>45169</v>
      </c>
      <c r="C1315" s="1" t="n">
        <v>45688</v>
      </c>
      <c r="D1315" t="inlineStr">
        <is>
          <t>STOCKHOLMS LÄN</t>
        </is>
      </c>
      <c r="E1315" t="inlineStr">
        <is>
          <t>NORRTÄLJE</t>
        </is>
      </c>
      <c r="F1315" t="inlineStr">
        <is>
          <t>Kyrkan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40192-2023</t>
        </is>
      </c>
      <c r="B1316" s="1" t="n">
        <v>45169</v>
      </c>
      <c r="C1316" s="1" t="n">
        <v>45688</v>
      </c>
      <c r="D1316" t="inlineStr">
        <is>
          <t>STOCKHOLMS LÄN</t>
        </is>
      </c>
      <c r="E1316" t="inlineStr">
        <is>
          <t>NORRTÄLJE</t>
        </is>
      </c>
      <c r="F1316" t="inlineStr">
        <is>
          <t>Kyrkan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40161-2023</t>
        </is>
      </c>
      <c r="B1317" s="1" t="n">
        <v>45169</v>
      </c>
      <c r="C1317" s="1" t="n">
        <v>45688</v>
      </c>
      <c r="D1317" t="inlineStr">
        <is>
          <t>STOCKHOLMS LÄN</t>
        </is>
      </c>
      <c r="E1317" t="inlineStr">
        <is>
          <t>NORRTÄLJE</t>
        </is>
      </c>
      <c r="F1317" t="inlineStr">
        <is>
          <t>Kyrkan</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40190-2023</t>
        </is>
      </c>
      <c r="B1318" s="1" t="n">
        <v>45169</v>
      </c>
      <c r="C1318" s="1" t="n">
        <v>45688</v>
      </c>
      <c r="D1318" t="inlineStr">
        <is>
          <t>STOCKHOLMS LÄN</t>
        </is>
      </c>
      <c r="E1318" t="inlineStr">
        <is>
          <t>NORRTÄLJE</t>
        </is>
      </c>
      <c r="F1318" t="inlineStr">
        <is>
          <t>Kyrkan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40379-2023</t>
        </is>
      </c>
      <c r="B1319" s="1" t="n">
        <v>45169</v>
      </c>
      <c r="C1319" s="1" t="n">
        <v>45688</v>
      </c>
      <c r="D1319" t="inlineStr">
        <is>
          <t>STOCKHOLMS LÄN</t>
        </is>
      </c>
      <c r="E1319" t="inlineStr">
        <is>
          <t>NORRTÄLJE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41172-2023</t>
        </is>
      </c>
      <c r="B1320" s="1" t="n">
        <v>45170</v>
      </c>
      <c r="C1320" s="1" t="n">
        <v>45688</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40995-2023</t>
        </is>
      </c>
      <c r="B1321" s="1" t="n">
        <v>45173</v>
      </c>
      <c r="C1321" s="1" t="n">
        <v>45688</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41335-2023</t>
        </is>
      </c>
      <c r="B1322" s="1" t="n">
        <v>45174</v>
      </c>
      <c r="C1322" s="1" t="n">
        <v>45688</v>
      </c>
      <c r="D1322" t="inlineStr">
        <is>
          <t>STOCKHOLMS LÄN</t>
        </is>
      </c>
      <c r="E1322" t="inlineStr">
        <is>
          <t>NORRTÄLJE</t>
        </is>
      </c>
      <c r="F1322" t="inlineStr">
        <is>
          <t>Holmen skog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41587-2023</t>
        </is>
      </c>
      <c r="B1323" s="1" t="n">
        <v>45175</v>
      </c>
      <c r="C1323" s="1" t="n">
        <v>45688</v>
      </c>
      <c r="D1323" t="inlineStr">
        <is>
          <t>STOCKHOLMS LÄN</t>
        </is>
      </c>
      <c r="E1323" t="inlineStr">
        <is>
          <t>NORRTÄLJE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41716-2023</t>
        </is>
      </c>
      <c r="B1324" s="1" t="n">
        <v>45176</v>
      </c>
      <c r="C1324" s="1" t="n">
        <v>45688</v>
      </c>
      <c r="D1324" t="inlineStr">
        <is>
          <t>STOCKHOLMS LÄN</t>
        </is>
      </c>
      <c r="E1324" t="inlineStr">
        <is>
          <t>NORRTÄLJE</t>
        </is>
      </c>
      <c r="F1324" t="inlineStr">
        <is>
          <t>Kyrkan</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41715-2023</t>
        </is>
      </c>
      <c r="B1325" s="1" t="n">
        <v>45176</v>
      </c>
      <c r="C1325" s="1" t="n">
        <v>45688</v>
      </c>
      <c r="D1325" t="inlineStr">
        <is>
          <t>STOCKHOLMS LÄN</t>
        </is>
      </c>
      <c r="E1325" t="inlineStr">
        <is>
          <t>NORRTÄLJE</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41880-2023</t>
        </is>
      </c>
      <c r="B1326" s="1" t="n">
        <v>45176</v>
      </c>
      <c r="C1326" s="1" t="n">
        <v>45688</v>
      </c>
      <c r="D1326" t="inlineStr">
        <is>
          <t>STOCKHOLMS LÄN</t>
        </is>
      </c>
      <c r="E1326" t="inlineStr">
        <is>
          <t>NORRTÄLJE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42094-2023</t>
        </is>
      </c>
      <c r="B1327" s="1" t="n">
        <v>45177</v>
      </c>
      <c r="C1327" s="1" t="n">
        <v>45688</v>
      </c>
      <c r="D1327" t="inlineStr">
        <is>
          <t>STOCKHOLMS LÄN</t>
        </is>
      </c>
      <c r="E1327" t="inlineStr">
        <is>
          <t>NORRTÄLJE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42075-2023</t>
        </is>
      </c>
      <c r="B1328" s="1" t="n">
        <v>45177</v>
      </c>
      <c r="C1328" s="1" t="n">
        <v>45688</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42199-2023</t>
        </is>
      </c>
      <c r="B1329" s="1" t="n">
        <v>45179</v>
      </c>
      <c r="C1329" s="1" t="n">
        <v>45688</v>
      </c>
      <c r="D1329" t="inlineStr">
        <is>
          <t>STOCKHOLMS LÄN</t>
        </is>
      </c>
      <c r="E1329" t="inlineStr">
        <is>
          <t>NORRTÄLJE</t>
        </is>
      </c>
      <c r="F1329" t="inlineStr">
        <is>
          <t>Sveaskog</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42200-2023</t>
        </is>
      </c>
      <c r="B1330" s="1" t="n">
        <v>45179</v>
      </c>
      <c r="C1330" s="1" t="n">
        <v>45688</v>
      </c>
      <c r="D1330" t="inlineStr">
        <is>
          <t>STOCKHOLMS LÄN</t>
        </is>
      </c>
      <c r="E1330" t="inlineStr">
        <is>
          <t>NORRTÄLJE</t>
        </is>
      </c>
      <c r="F1330" t="inlineStr">
        <is>
          <t>Sveaskog</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42765-2023</t>
        </is>
      </c>
      <c r="B1331" s="1" t="n">
        <v>45181</v>
      </c>
      <c r="C1331" s="1" t="n">
        <v>45688</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42775-2023</t>
        </is>
      </c>
      <c r="B1332" s="1" t="n">
        <v>45181</v>
      </c>
      <c r="C1332" s="1" t="n">
        <v>45688</v>
      </c>
      <c r="D1332" t="inlineStr">
        <is>
          <t>STOCKHOLMS LÄN</t>
        </is>
      </c>
      <c r="E1332" t="inlineStr">
        <is>
          <t>NORRTÄLJE</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42948-2023</t>
        </is>
      </c>
      <c r="B1333" s="1" t="n">
        <v>45182</v>
      </c>
      <c r="C1333" s="1" t="n">
        <v>45688</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42977-2023</t>
        </is>
      </c>
      <c r="B1334" s="1" t="n">
        <v>45182</v>
      </c>
      <c r="C1334" s="1" t="n">
        <v>45688</v>
      </c>
      <c r="D1334" t="inlineStr">
        <is>
          <t>STOCKHOLMS LÄN</t>
        </is>
      </c>
      <c r="E1334" t="inlineStr">
        <is>
          <t>NORRTÄLJE</t>
        </is>
      </c>
      <c r="F1334" t="inlineStr">
        <is>
          <t>Sveaskog</t>
        </is>
      </c>
      <c r="G1334" t="n">
        <v>11.8</v>
      </c>
      <c r="H1334" t="n">
        <v>0</v>
      </c>
      <c r="I1334" t="n">
        <v>0</v>
      </c>
      <c r="J1334" t="n">
        <v>0</v>
      </c>
      <c r="K1334" t="n">
        <v>0</v>
      </c>
      <c r="L1334" t="n">
        <v>0</v>
      </c>
      <c r="M1334" t="n">
        <v>0</v>
      </c>
      <c r="N1334" t="n">
        <v>0</v>
      </c>
      <c r="O1334" t="n">
        <v>0</v>
      </c>
      <c r="P1334" t="n">
        <v>0</v>
      </c>
      <c r="Q1334" t="n">
        <v>0</v>
      </c>
      <c r="R1334" s="2" t="inlineStr"/>
    </row>
    <row r="1335" ht="15" customHeight="1">
      <c r="A1335" t="inlineStr">
        <is>
          <t>A 43140-2023</t>
        </is>
      </c>
      <c r="B1335" s="1" t="n">
        <v>45183</v>
      </c>
      <c r="C1335" s="1" t="n">
        <v>45688</v>
      </c>
      <c r="D1335" t="inlineStr">
        <is>
          <t>STOCKHOLMS LÄN</t>
        </is>
      </c>
      <c r="E1335" t="inlineStr">
        <is>
          <t>NORRTÄLJE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43207-2023</t>
        </is>
      </c>
      <c r="B1336" s="1" t="n">
        <v>45183</v>
      </c>
      <c r="C1336" s="1" t="n">
        <v>45688</v>
      </c>
      <c r="D1336" t="inlineStr">
        <is>
          <t>STOCKHOLMS LÄN</t>
        </is>
      </c>
      <c r="E1336" t="inlineStr">
        <is>
          <t>NORRTÄLJE</t>
        </is>
      </c>
      <c r="F1336" t="inlineStr">
        <is>
          <t>Kyrkan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43150-2023</t>
        </is>
      </c>
      <c r="B1337" s="1" t="n">
        <v>45183</v>
      </c>
      <c r="C1337" s="1" t="n">
        <v>45688</v>
      </c>
      <c r="D1337" t="inlineStr">
        <is>
          <t>STOCKHOLMS LÄN</t>
        </is>
      </c>
      <c r="E1337" t="inlineStr">
        <is>
          <t>NORRTÄLJE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43170-2023</t>
        </is>
      </c>
      <c r="B1338" s="1" t="n">
        <v>45183</v>
      </c>
      <c r="C1338" s="1" t="n">
        <v>45688</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43289-2023</t>
        </is>
      </c>
      <c r="B1339" s="1" t="n">
        <v>45183</v>
      </c>
      <c r="C1339" s="1" t="n">
        <v>45688</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43300-2023</t>
        </is>
      </c>
      <c r="B1340" s="1" t="n">
        <v>45183</v>
      </c>
      <c r="C1340" s="1" t="n">
        <v>45688</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43638-2023</t>
        </is>
      </c>
      <c r="B1341" s="1" t="n">
        <v>45186</v>
      </c>
      <c r="C1341" s="1" t="n">
        <v>45688</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43684-2023</t>
        </is>
      </c>
      <c r="B1342" s="1" t="n">
        <v>45187</v>
      </c>
      <c r="C1342" s="1" t="n">
        <v>45688</v>
      </c>
      <c r="D1342" t="inlineStr">
        <is>
          <t>STOCKHOLMS LÄN</t>
        </is>
      </c>
      <c r="E1342" t="inlineStr">
        <is>
          <t>NORRTÄLJE</t>
        </is>
      </c>
      <c r="F1342" t="inlineStr">
        <is>
          <t>Holmen skog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43836-2023</t>
        </is>
      </c>
      <c r="B1343" s="1" t="n">
        <v>45187</v>
      </c>
      <c r="C1343" s="1" t="n">
        <v>45688</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43710-2023</t>
        </is>
      </c>
      <c r="B1344" s="1" t="n">
        <v>45187</v>
      </c>
      <c r="C1344" s="1" t="n">
        <v>45688</v>
      </c>
      <c r="D1344" t="inlineStr">
        <is>
          <t>STOCKHOLMS LÄN</t>
        </is>
      </c>
      <c r="E1344" t="inlineStr">
        <is>
          <t>NORRTÄLJE</t>
        </is>
      </c>
      <c r="F1344" t="inlineStr">
        <is>
          <t>Holmen skog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44891-2023</t>
        </is>
      </c>
      <c r="B1345" s="1" t="n">
        <v>45187</v>
      </c>
      <c r="C1345" s="1" t="n">
        <v>45688</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44885-2023</t>
        </is>
      </c>
      <c r="B1346" s="1" t="n">
        <v>45187</v>
      </c>
      <c r="C1346" s="1" t="n">
        <v>45688</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44075-2023</t>
        </is>
      </c>
      <c r="B1347" s="1" t="n">
        <v>45188</v>
      </c>
      <c r="C1347" s="1" t="n">
        <v>45688</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44154-2023</t>
        </is>
      </c>
      <c r="B1348" s="1" t="n">
        <v>45188</v>
      </c>
      <c r="C1348" s="1" t="n">
        <v>45688</v>
      </c>
      <c r="D1348" t="inlineStr">
        <is>
          <t>STOCKHOLMS LÄN</t>
        </is>
      </c>
      <c r="E1348" t="inlineStr">
        <is>
          <t>NORRTÄLJE</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44571-2023</t>
        </is>
      </c>
      <c r="B1349" s="1" t="n">
        <v>45189</v>
      </c>
      <c r="C1349" s="1" t="n">
        <v>45688</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44836-2023</t>
        </is>
      </c>
      <c r="B1350" s="1" t="n">
        <v>45190</v>
      </c>
      <c r="C1350" s="1" t="n">
        <v>45688</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45173-2023</t>
        </is>
      </c>
      <c r="B1351" s="1" t="n">
        <v>45191</v>
      </c>
      <c r="C1351" s="1" t="n">
        <v>45688</v>
      </c>
      <c r="D1351" t="inlineStr">
        <is>
          <t>STOCKHOLMS LÄN</t>
        </is>
      </c>
      <c r="E1351" t="inlineStr">
        <is>
          <t>NORRTÄLJE</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45174-2023</t>
        </is>
      </c>
      <c r="B1352" s="1" t="n">
        <v>45191</v>
      </c>
      <c r="C1352" s="1" t="n">
        <v>45688</v>
      </c>
      <c r="D1352" t="inlineStr">
        <is>
          <t>STOCKHOLMS LÄN</t>
        </is>
      </c>
      <c r="E1352" t="inlineStr">
        <is>
          <t>NORRTÄLJE</t>
        </is>
      </c>
      <c r="F1352" t="inlineStr">
        <is>
          <t>Sveaskog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46161-2023</t>
        </is>
      </c>
      <c r="B1353" s="1" t="n">
        <v>45196</v>
      </c>
      <c r="C1353" s="1" t="n">
        <v>45688</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46155-2023</t>
        </is>
      </c>
      <c r="B1354" s="1" t="n">
        <v>45196</v>
      </c>
      <c r="C1354" s="1" t="n">
        <v>45688</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46621-2023</t>
        </is>
      </c>
      <c r="B1355" s="1" t="n">
        <v>45198</v>
      </c>
      <c r="C1355" s="1" t="n">
        <v>45688</v>
      </c>
      <c r="D1355" t="inlineStr">
        <is>
          <t>STOCKHOLMS LÄN</t>
        </is>
      </c>
      <c r="E1355" t="inlineStr">
        <is>
          <t>NORRTÄLJE</t>
        </is>
      </c>
      <c r="F1355" t="inlineStr">
        <is>
          <t>Holmen skog AB</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47419-2023</t>
        </is>
      </c>
      <c r="B1356" s="1" t="n">
        <v>45202</v>
      </c>
      <c r="C1356" s="1" t="n">
        <v>45688</v>
      </c>
      <c r="D1356" t="inlineStr">
        <is>
          <t>STOCKHOLMS LÄN</t>
        </is>
      </c>
      <c r="E1356" t="inlineStr">
        <is>
          <t>NORRTÄLJE</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47431-2023</t>
        </is>
      </c>
      <c r="B1357" s="1" t="n">
        <v>45202</v>
      </c>
      <c r="C1357" s="1" t="n">
        <v>45688</v>
      </c>
      <c r="D1357" t="inlineStr">
        <is>
          <t>STOCKHOLMS LÄN</t>
        </is>
      </c>
      <c r="E1357" t="inlineStr">
        <is>
          <t>NORRTÄLJE</t>
        </is>
      </c>
      <c r="F1357" t="inlineStr">
        <is>
          <t>Naturvårdsverket</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47325-2023</t>
        </is>
      </c>
      <c r="B1358" s="1" t="n">
        <v>45202</v>
      </c>
      <c r="C1358" s="1" t="n">
        <v>45688</v>
      </c>
      <c r="D1358" t="inlineStr">
        <is>
          <t>STOCKHOLMS LÄN</t>
        </is>
      </c>
      <c r="E1358" t="inlineStr">
        <is>
          <t>NORRTÄLJE</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47433-2023</t>
        </is>
      </c>
      <c r="B1359" s="1" t="n">
        <v>45202</v>
      </c>
      <c r="C1359" s="1" t="n">
        <v>45688</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47388-2023</t>
        </is>
      </c>
      <c r="B1360" s="1" t="n">
        <v>45202</v>
      </c>
      <c r="C1360" s="1" t="n">
        <v>45688</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47430-2023</t>
        </is>
      </c>
      <c r="B1361" s="1" t="n">
        <v>45202</v>
      </c>
      <c r="C1361" s="1" t="n">
        <v>45688</v>
      </c>
      <c r="D1361" t="inlineStr">
        <is>
          <t>STOCKHOLMS LÄN</t>
        </is>
      </c>
      <c r="E1361" t="inlineStr">
        <is>
          <t>NORRTÄLJE</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49775-2023</t>
        </is>
      </c>
      <c r="B1362" s="1" t="n">
        <v>45202</v>
      </c>
      <c r="C1362" s="1" t="n">
        <v>45688</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48578-2023</t>
        </is>
      </c>
      <c r="B1363" s="1" t="n">
        <v>45202</v>
      </c>
      <c r="C1363" s="1" t="n">
        <v>45688</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49774-2023</t>
        </is>
      </c>
      <c r="B1364" s="1" t="n">
        <v>45202</v>
      </c>
      <c r="C1364" s="1" t="n">
        <v>45688</v>
      </c>
      <c r="D1364" t="inlineStr">
        <is>
          <t>STOCKHOLMS LÄN</t>
        </is>
      </c>
      <c r="E1364" t="inlineStr">
        <is>
          <t>NORRTÄLJE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47672-2023</t>
        </is>
      </c>
      <c r="B1365" s="1" t="n">
        <v>45203</v>
      </c>
      <c r="C1365" s="1" t="n">
        <v>45688</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47694-2023</t>
        </is>
      </c>
      <c r="B1366" s="1" t="n">
        <v>45203</v>
      </c>
      <c r="C1366" s="1" t="n">
        <v>45688</v>
      </c>
      <c r="D1366" t="inlineStr">
        <is>
          <t>STOCKHOLMS LÄN</t>
        </is>
      </c>
      <c r="E1366" t="inlineStr">
        <is>
          <t>NORRTÄLJE</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47708-2023</t>
        </is>
      </c>
      <c r="B1367" s="1" t="n">
        <v>45203</v>
      </c>
      <c r="C1367" s="1" t="n">
        <v>45688</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47758-2023</t>
        </is>
      </c>
      <c r="B1368" s="1" t="n">
        <v>45203</v>
      </c>
      <c r="C1368" s="1" t="n">
        <v>45688</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47699-2023</t>
        </is>
      </c>
      <c r="B1369" s="1" t="n">
        <v>45203</v>
      </c>
      <c r="C1369" s="1" t="n">
        <v>45688</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47735-2023</t>
        </is>
      </c>
      <c r="B1370" s="1" t="n">
        <v>45203</v>
      </c>
      <c r="C1370" s="1" t="n">
        <v>45688</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48167-2023</t>
        </is>
      </c>
      <c r="B1371" s="1" t="n">
        <v>45205</v>
      </c>
      <c r="C1371" s="1" t="n">
        <v>45688</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48180-2023</t>
        </is>
      </c>
      <c r="B1372" s="1" t="n">
        <v>45205</v>
      </c>
      <c r="C1372" s="1" t="n">
        <v>45688</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48185-2023</t>
        </is>
      </c>
      <c r="B1373" s="1" t="n">
        <v>45205</v>
      </c>
      <c r="C1373" s="1" t="n">
        <v>45688</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48302-2023</t>
        </is>
      </c>
      <c r="B1374" s="1" t="n">
        <v>45205</v>
      </c>
      <c r="C1374" s="1" t="n">
        <v>45688</v>
      </c>
      <c r="D1374" t="inlineStr">
        <is>
          <t>STOCKHOLMS LÄN</t>
        </is>
      </c>
      <c r="E1374" t="inlineStr">
        <is>
          <t>NORRTÄLJE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48333-2023</t>
        </is>
      </c>
      <c r="B1375" s="1" t="n">
        <v>45205</v>
      </c>
      <c r="C1375" s="1" t="n">
        <v>45688</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48541-2023</t>
        </is>
      </c>
      <c r="B1376" s="1" t="n">
        <v>45208</v>
      </c>
      <c r="C1376" s="1" t="n">
        <v>45688</v>
      </c>
      <c r="D1376" t="inlineStr">
        <is>
          <t>STOCKHOLMS LÄN</t>
        </is>
      </c>
      <c r="E1376" t="inlineStr">
        <is>
          <t>NORRTÄLJE</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48552-2023</t>
        </is>
      </c>
      <c r="B1377" s="1" t="n">
        <v>45208</v>
      </c>
      <c r="C1377" s="1" t="n">
        <v>45688</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48587-2023</t>
        </is>
      </c>
      <c r="B1378" s="1" t="n">
        <v>45208</v>
      </c>
      <c r="C1378" s="1" t="n">
        <v>45688</v>
      </c>
      <c r="D1378" t="inlineStr">
        <is>
          <t>STOCKHOLMS LÄN</t>
        </is>
      </c>
      <c r="E1378" t="inlineStr">
        <is>
          <t>NORRTÄLJE</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48633-2023</t>
        </is>
      </c>
      <c r="B1379" s="1" t="n">
        <v>45208</v>
      </c>
      <c r="C1379" s="1" t="n">
        <v>45688</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48641-2023</t>
        </is>
      </c>
      <c r="B1380" s="1" t="n">
        <v>45208</v>
      </c>
      <c r="C1380" s="1" t="n">
        <v>45688</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48686-2023</t>
        </is>
      </c>
      <c r="B1381" s="1" t="n">
        <v>45208</v>
      </c>
      <c r="C1381" s="1" t="n">
        <v>45688</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48629-2023</t>
        </is>
      </c>
      <c r="B1382" s="1" t="n">
        <v>45208</v>
      </c>
      <c r="C1382" s="1" t="n">
        <v>45688</v>
      </c>
      <c r="D1382" t="inlineStr">
        <is>
          <t>STOCKHOLMS LÄN</t>
        </is>
      </c>
      <c r="E1382" t="inlineStr">
        <is>
          <t>NORRTÄLJE</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48668-2023</t>
        </is>
      </c>
      <c r="B1383" s="1" t="n">
        <v>45208</v>
      </c>
      <c r="C1383" s="1" t="n">
        <v>45688</v>
      </c>
      <c r="D1383" t="inlineStr">
        <is>
          <t>STOCKHOLMS LÄN</t>
        </is>
      </c>
      <c r="E1383" t="inlineStr">
        <is>
          <t>NORRTÄLJE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48685-2023</t>
        </is>
      </c>
      <c r="B1384" s="1" t="n">
        <v>45208</v>
      </c>
      <c r="C1384" s="1" t="n">
        <v>45688</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48691-2023</t>
        </is>
      </c>
      <c r="B1385" s="1" t="n">
        <v>45208</v>
      </c>
      <c r="C1385" s="1" t="n">
        <v>45688</v>
      </c>
      <c r="D1385" t="inlineStr">
        <is>
          <t>STOCKHOLMS LÄN</t>
        </is>
      </c>
      <c r="E1385" t="inlineStr">
        <is>
          <t>NORRTÄLJE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48701-2023</t>
        </is>
      </c>
      <c r="B1386" s="1" t="n">
        <v>45208</v>
      </c>
      <c r="C1386" s="1" t="n">
        <v>45688</v>
      </c>
      <c r="D1386" t="inlineStr">
        <is>
          <t>STOCKHOLMS LÄN</t>
        </is>
      </c>
      <c r="E1386" t="inlineStr">
        <is>
          <t>NORRTÄLJE</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48716-2023</t>
        </is>
      </c>
      <c r="B1387" s="1" t="n">
        <v>45208</v>
      </c>
      <c r="C1387" s="1" t="n">
        <v>45688</v>
      </c>
      <c r="D1387" t="inlineStr">
        <is>
          <t>STOCKHOLMS LÄN</t>
        </is>
      </c>
      <c r="E1387" t="inlineStr">
        <is>
          <t>NORRTÄLJE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48709-2023</t>
        </is>
      </c>
      <c r="B1388" s="1" t="n">
        <v>45208</v>
      </c>
      <c r="C1388" s="1" t="n">
        <v>45688</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48722-2023</t>
        </is>
      </c>
      <c r="B1389" s="1" t="n">
        <v>45208</v>
      </c>
      <c r="C1389" s="1" t="n">
        <v>45688</v>
      </c>
      <c r="D1389" t="inlineStr">
        <is>
          <t>STOCKHOLMS LÄN</t>
        </is>
      </c>
      <c r="E1389" t="inlineStr">
        <is>
          <t>NORRTÄLJE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48726-2023</t>
        </is>
      </c>
      <c r="B1390" s="1" t="n">
        <v>45208</v>
      </c>
      <c r="C1390" s="1" t="n">
        <v>45688</v>
      </c>
      <c r="D1390" t="inlineStr">
        <is>
          <t>STOCKHOLMS LÄN</t>
        </is>
      </c>
      <c r="E1390" t="inlineStr">
        <is>
          <t>NORRTÄLJE</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49169-2023</t>
        </is>
      </c>
      <c r="B1391" s="1" t="n">
        <v>45210</v>
      </c>
      <c r="C1391" s="1" t="n">
        <v>45688</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49176-2023</t>
        </is>
      </c>
      <c r="B1392" s="1" t="n">
        <v>45210</v>
      </c>
      <c r="C1392" s="1" t="n">
        <v>45688</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49224-2023</t>
        </is>
      </c>
      <c r="B1393" s="1" t="n">
        <v>45210</v>
      </c>
      <c r="C1393" s="1" t="n">
        <v>45688</v>
      </c>
      <c r="D1393" t="inlineStr">
        <is>
          <t>STOCKHOLMS LÄN</t>
        </is>
      </c>
      <c r="E1393" t="inlineStr">
        <is>
          <t>NORRTÄLJE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49696-2023</t>
        </is>
      </c>
      <c r="B1394" s="1" t="n">
        <v>45212</v>
      </c>
      <c r="C1394" s="1" t="n">
        <v>45688</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49700-2023</t>
        </is>
      </c>
      <c r="B1395" s="1" t="n">
        <v>45212</v>
      </c>
      <c r="C1395" s="1" t="n">
        <v>45688</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49694-2023</t>
        </is>
      </c>
      <c r="B1396" s="1" t="n">
        <v>45212</v>
      </c>
      <c r="C1396" s="1" t="n">
        <v>45688</v>
      </c>
      <c r="D1396" t="inlineStr">
        <is>
          <t>STOCKHOLMS LÄN</t>
        </is>
      </c>
      <c r="E1396" t="inlineStr">
        <is>
          <t>NORRTÄLJE</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50143-2023</t>
        </is>
      </c>
      <c r="B1397" s="1" t="n">
        <v>45215</v>
      </c>
      <c r="C1397" s="1" t="n">
        <v>45688</v>
      </c>
      <c r="D1397" t="inlineStr">
        <is>
          <t>STOCKHOLMS LÄN</t>
        </is>
      </c>
      <c r="E1397" t="inlineStr">
        <is>
          <t>NORRTÄLJE</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50107-2023</t>
        </is>
      </c>
      <c r="B1398" s="1" t="n">
        <v>45215</v>
      </c>
      <c r="C1398" s="1" t="n">
        <v>45688</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50033-2023</t>
        </is>
      </c>
      <c r="B1399" s="1" t="n">
        <v>45215</v>
      </c>
      <c r="C1399" s="1" t="n">
        <v>45688</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50136-2023</t>
        </is>
      </c>
      <c r="B1400" s="1" t="n">
        <v>45215</v>
      </c>
      <c r="C1400" s="1" t="n">
        <v>45688</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50150-2023</t>
        </is>
      </c>
      <c r="B1401" s="1" t="n">
        <v>45215</v>
      </c>
      <c r="C1401" s="1" t="n">
        <v>45688</v>
      </c>
      <c r="D1401" t="inlineStr">
        <is>
          <t>STOCKHOLMS LÄN</t>
        </is>
      </c>
      <c r="E1401" t="inlineStr">
        <is>
          <t>NORRTÄLJE</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50289-2023</t>
        </is>
      </c>
      <c r="B1402" s="1" t="n">
        <v>45216</v>
      </c>
      <c r="C1402" s="1" t="n">
        <v>45688</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50436-2023</t>
        </is>
      </c>
      <c r="B1403" s="1" t="n">
        <v>45216</v>
      </c>
      <c r="C1403" s="1" t="n">
        <v>45688</v>
      </c>
      <c r="D1403" t="inlineStr">
        <is>
          <t>STOCKHOLMS LÄN</t>
        </is>
      </c>
      <c r="E1403" t="inlineStr">
        <is>
          <t>NORRTÄLJE</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50690-2023</t>
        </is>
      </c>
      <c r="B1404" s="1" t="n">
        <v>45217</v>
      </c>
      <c r="C1404" s="1" t="n">
        <v>45688</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51049-2023</t>
        </is>
      </c>
      <c r="B1405" s="1" t="n">
        <v>45218</v>
      </c>
      <c r="C1405" s="1" t="n">
        <v>45688</v>
      </c>
      <c r="D1405" t="inlineStr">
        <is>
          <t>STOCKHOLMS LÄN</t>
        </is>
      </c>
      <c r="E1405" t="inlineStr">
        <is>
          <t>NORRTÄLJE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51063-2023</t>
        </is>
      </c>
      <c r="B1406" s="1" t="n">
        <v>45218</v>
      </c>
      <c r="C1406" s="1" t="n">
        <v>45688</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50880-2023</t>
        </is>
      </c>
      <c r="B1407" s="1" t="n">
        <v>45218</v>
      </c>
      <c r="C1407" s="1" t="n">
        <v>45688</v>
      </c>
      <c r="D1407" t="inlineStr">
        <is>
          <t>STOCKHOLMS LÄN</t>
        </is>
      </c>
      <c r="E1407" t="inlineStr">
        <is>
          <t>NORRTÄLJE</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51046-2023</t>
        </is>
      </c>
      <c r="B1408" s="1" t="n">
        <v>45218</v>
      </c>
      <c r="C1408" s="1" t="n">
        <v>45688</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51043-2023</t>
        </is>
      </c>
      <c r="B1409" s="1" t="n">
        <v>45218</v>
      </c>
      <c r="C1409" s="1" t="n">
        <v>45688</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51061-2023</t>
        </is>
      </c>
      <c r="B1410" s="1" t="n">
        <v>45218</v>
      </c>
      <c r="C1410" s="1" t="n">
        <v>45688</v>
      </c>
      <c r="D1410" t="inlineStr">
        <is>
          <t>STOCKHOLMS LÄN</t>
        </is>
      </c>
      <c r="E1410" t="inlineStr">
        <is>
          <t>NORRTÄLJE</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51325-2023</t>
        </is>
      </c>
      <c r="B1411" s="1" t="n">
        <v>45219</v>
      </c>
      <c r="C1411" s="1" t="n">
        <v>45688</v>
      </c>
      <c r="D1411" t="inlineStr">
        <is>
          <t>STOCKHOLMS LÄN</t>
        </is>
      </c>
      <c r="E1411" t="inlineStr">
        <is>
          <t>NORRTÄLJE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51312-2023</t>
        </is>
      </c>
      <c r="B1412" s="1" t="n">
        <v>45219</v>
      </c>
      <c r="C1412" s="1" t="n">
        <v>45688</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51597-2023</t>
        </is>
      </c>
      <c r="B1413" s="1" t="n">
        <v>45222</v>
      </c>
      <c r="C1413" s="1" t="n">
        <v>45688</v>
      </c>
      <c r="D1413" t="inlineStr">
        <is>
          <t>STOCKHOLMS LÄN</t>
        </is>
      </c>
      <c r="E1413" t="inlineStr">
        <is>
          <t>NORRTÄLJE</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51657-2023</t>
        </is>
      </c>
      <c r="B1414" s="1" t="n">
        <v>45222</v>
      </c>
      <c r="C1414" s="1" t="n">
        <v>45688</v>
      </c>
      <c r="D1414" t="inlineStr">
        <is>
          <t>STOCKHOLMS LÄN</t>
        </is>
      </c>
      <c r="E1414" t="inlineStr">
        <is>
          <t>NORRTÄLJE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51903-2023</t>
        </is>
      </c>
      <c r="B1415" s="1" t="n">
        <v>45223</v>
      </c>
      <c r="C1415" s="1" t="n">
        <v>45688</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52095-2023</t>
        </is>
      </c>
      <c r="B1416" s="1" t="n">
        <v>45223</v>
      </c>
      <c r="C1416" s="1" t="n">
        <v>45688</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51978-2023</t>
        </is>
      </c>
      <c r="B1417" s="1" t="n">
        <v>45223</v>
      </c>
      <c r="C1417" s="1" t="n">
        <v>45688</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51997-2023</t>
        </is>
      </c>
      <c r="B1418" s="1" t="n">
        <v>45223</v>
      </c>
      <c r="C1418" s="1" t="n">
        <v>45688</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52001-2023</t>
        </is>
      </c>
      <c r="B1419" s="1" t="n">
        <v>45223</v>
      </c>
      <c r="C1419" s="1" t="n">
        <v>45688</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52096-2023</t>
        </is>
      </c>
      <c r="B1420" s="1" t="n">
        <v>45223</v>
      </c>
      <c r="C1420" s="1" t="n">
        <v>45688</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53362-2023</t>
        </is>
      </c>
      <c r="B1421" s="1" t="n">
        <v>45223</v>
      </c>
      <c r="C1421" s="1" t="n">
        <v>45688</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53372-2023</t>
        </is>
      </c>
      <c r="B1422" s="1" t="n">
        <v>45223</v>
      </c>
      <c r="C1422" s="1" t="n">
        <v>45688</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52221-2023</t>
        </is>
      </c>
      <c r="B1423" s="1" t="n">
        <v>45224</v>
      </c>
      <c r="C1423" s="1" t="n">
        <v>45688</v>
      </c>
      <c r="D1423" t="inlineStr">
        <is>
          <t>STOCKHOLMS LÄN</t>
        </is>
      </c>
      <c r="E1423" t="inlineStr">
        <is>
          <t>NORRTÄLJE</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53561-2023</t>
        </is>
      </c>
      <c r="B1424" s="1" t="n">
        <v>45224</v>
      </c>
      <c r="C1424" s="1" t="n">
        <v>45688</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53556-2023</t>
        </is>
      </c>
      <c r="B1425" s="1" t="n">
        <v>45224</v>
      </c>
      <c r="C1425" s="1" t="n">
        <v>45688</v>
      </c>
      <c r="D1425" t="inlineStr">
        <is>
          <t>STOCKHOLMS LÄN</t>
        </is>
      </c>
      <c r="E1425" t="inlineStr">
        <is>
          <t>NORRTÄLJE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52570-2023</t>
        </is>
      </c>
      <c r="B1426" s="1" t="n">
        <v>45225</v>
      </c>
      <c r="C1426" s="1" t="n">
        <v>45688</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52619-2023</t>
        </is>
      </c>
      <c r="B1427" s="1" t="n">
        <v>45225</v>
      </c>
      <c r="C1427" s="1" t="n">
        <v>45688</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52875-2023</t>
        </is>
      </c>
      <c r="B1428" s="1" t="n">
        <v>45226</v>
      </c>
      <c r="C1428" s="1" t="n">
        <v>45688</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52899-2023</t>
        </is>
      </c>
      <c r="B1429" s="1" t="n">
        <v>45226</v>
      </c>
      <c r="C1429" s="1" t="n">
        <v>45688</v>
      </c>
      <c r="D1429" t="inlineStr">
        <is>
          <t>STOCKHOLMS LÄN</t>
        </is>
      </c>
      <c r="E1429" t="inlineStr">
        <is>
          <t>NORRTÄLJE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53563-2023</t>
        </is>
      </c>
      <c r="B1430" s="1" t="n">
        <v>45230</v>
      </c>
      <c r="C1430" s="1" t="n">
        <v>45688</v>
      </c>
      <c r="D1430" t="inlineStr">
        <is>
          <t>STOCKHOLMS LÄN</t>
        </is>
      </c>
      <c r="E1430" t="inlineStr">
        <is>
          <t>NORRTÄLJE</t>
        </is>
      </c>
      <c r="G1430" t="n">
        <v>17.2</v>
      </c>
      <c r="H1430" t="n">
        <v>0</v>
      </c>
      <c r="I1430" t="n">
        <v>0</v>
      </c>
      <c r="J1430" t="n">
        <v>0</v>
      </c>
      <c r="K1430" t="n">
        <v>0</v>
      </c>
      <c r="L1430" t="n">
        <v>0</v>
      </c>
      <c r="M1430" t="n">
        <v>0</v>
      </c>
      <c r="N1430" t="n">
        <v>0</v>
      </c>
      <c r="O1430" t="n">
        <v>0</v>
      </c>
      <c r="P1430" t="n">
        <v>0</v>
      </c>
      <c r="Q1430" t="n">
        <v>0</v>
      </c>
      <c r="R1430" s="2" t="inlineStr"/>
    </row>
    <row r="1431" ht="15" customHeight="1">
      <c r="A1431" t="inlineStr">
        <is>
          <t>A 53718-2023</t>
        </is>
      </c>
      <c r="B1431" s="1" t="n">
        <v>45230</v>
      </c>
      <c r="C1431" s="1" t="n">
        <v>45688</v>
      </c>
      <c r="D1431" t="inlineStr">
        <is>
          <t>STOCKHOLMS LÄN</t>
        </is>
      </c>
      <c r="E1431" t="inlineStr">
        <is>
          <t>NORRTÄLJE</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53787-2023</t>
        </is>
      </c>
      <c r="B1432" s="1" t="n">
        <v>45231</v>
      </c>
      <c r="C1432" s="1" t="n">
        <v>45688</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53792-2023</t>
        </is>
      </c>
      <c r="B1433" s="1" t="n">
        <v>45231</v>
      </c>
      <c r="C1433" s="1" t="n">
        <v>45688</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55518-2023</t>
        </is>
      </c>
      <c r="B1434" s="1" t="n">
        <v>45231</v>
      </c>
      <c r="C1434" s="1" t="n">
        <v>45688</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55533-2023</t>
        </is>
      </c>
      <c r="B1435" s="1" t="n">
        <v>45231</v>
      </c>
      <c r="C1435" s="1" t="n">
        <v>45688</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54259-2023</t>
        </is>
      </c>
      <c r="B1436" s="1" t="n">
        <v>45232</v>
      </c>
      <c r="C1436" s="1" t="n">
        <v>45688</v>
      </c>
      <c r="D1436" t="inlineStr">
        <is>
          <t>STOCKHOLMS LÄN</t>
        </is>
      </c>
      <c r="E1436" t="inlineStr">
        <is>
          <t>NORRTÄLJE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54546-2023</t>
        </is>
      </c>
      <c r="B1437" s="1" t="n">
        <v>45233</v>
      </c>
      <c r="C1437" s="1" t="n">
        <v>45688</v>
      </c>
      <c r="D1437" t="inlineStr">
        <is>
          <t>STOCKHOLMS LÄN</t>
        </is>
      </c>
      <c r="E1437" t="inlineStr">
        <is>
          <t>NORRTÄLJE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54776-2023</t>
        </is>
      </c>
      <c r="B1438" s="1" t="n">
        <v>45236</v>
      </c>
      <c r="C1438" s="1" t="n">
        <v>45688</v>
      </c>
      <c r="D1438" t="inlineStr">
        <is>
          <t>STOCKHOLMS LÄN</t>
        </is>
      </c>
      <c r="E1438" t="inlineStr">
        <is>
          <t>NORRTÄLJE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55038-2023</t>
        </is>
      </c>
      <c r="B1439" s="1" t="n">
        <v>45237</v>
      </c>
      <c r="C1439" s="1" t="n">
        <v>45688</v>
      </c>
      <c r="D1439" t="inlineStr">
        <is>
          <t>STOCKHOLMS LÄN</t>
        </is>
      </c>
      <c r="E1439" t="inlineStr">
        <is>
          <t>NORRTÄLJE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55243-2023</t>
        </is>
      </c>
      <c r="B1440" s="1" t="n">
        <v>45237</v>
      </c>
      <c r="C1440" s="1" t="n">
        <v>45688</v>
      </c>
      <c r="D1440" t="inlineStr">
        <is>
          <t>STOCKHOLMS LÄN</t>
        </is>
      </c>
      <c r="E1440" t="inlineStr">
        <is>
          <t>NORRTÄLJE</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55369-2023</t>
        </is>
      </c>
      <c r="B1441" s="1" t="n">
        <v>45238</v>
      </c>
      <c r="C1441" s="1" t="n">
        <v>45688</v>
      </c>
      <c r="D1441" t="inlineStr">
        <is>
          <t>STOCKHOLMS LÄN</t>
        </is>
      </c>
      <c r="E1441" t="inlineStr">
        <is>
          <t>NORRTÄLJE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55755-2023</t>
        </is>
      </c>
      <c r="B1442" s="1" t="n">
        <v>45239</v>
      </c>
      <c r="C1442" s="1" t="n">
        <v>45688</v>
      </c>
      <c r="D1442" t="inlineStr">
        <is>
          <t>STOCKHOLMS LÄN</t>
        </is>
      </c>
      <c r="E1442" t="inlineStr">
        <is>
          <t>NORRTÄLJE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56428-2023</t>
        </is>
      </c>
      <c r="B1443" s="1" t="n">
        <v>45243</v>
      </c>
      <c r="C1443" s="1" t="n">
        <v>45688</v>
      </c>
      <c r="D1443" t="inlineStr">
        <is>
          <t>STOCKHOLMS LÄN</t>
        </is>
      </c>
      <c r="E1443" t="inlineStr">
        <is>
          <t>NORRTÄLJE</t>
        </is>
      </c>
      <c r="F1443" t="inlineStr">
        <is>
          <t>Kyrkan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56439-2023</t>
        </is>
      </c>
      <c r="B1444" s="1" t="n">
        <v>45243</v>
      </c>
      <c r="C1444" s="1" t="n">
        <v>45688</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56445-2023</t>
        </is>
      </c>
      <c r="B1445" s="1" t="n">
        <v>45243</v>
      </c>
      <c r="C1445" s="1" t="n">
        <v>45688</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56577-2023</t>
        </is>
      </c>
      <c r="B1446" s="1" t="n">
        <v>45243</v>
      </c>
      <c r="C1446" s="1" t="n">
        <v>45688</v>
      </c>
      <c r="D1446" t="inlineStr">
        <is>
          <t>STOCKHOLMS LÄN</t>
        </is>
      </c>
      <c r="E1446" t="inlineStr">
        <is>
          <t>NORRTÄLJE</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56593-2023</t>
        </is>
      </c>
      <c r="B1447" s="1" t="n">
        <v>45243</v>
      </c>
      <c r="C1447" s="1" t="n">
        <v>45688</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56819-2023</t>
        </is>
      </c>
      <c r="B1448" s="1" t="n">
        <v>45244</v>
      </c>
      <c r="C1448" s="1" t="n">
        <v>45688</v>
      </c>
      <c r="D1448" t="inlineStr">
        <is>
          <t>STOCKHOLMS LÄN</t>
        </is>
      </c>
      <c r="E1448" t="inlineStr">
        <is>
          <t>NORRTÄLJE</t>
        </is>
      </c>
      <c r="G1448" t="n">
        <v>13.6</v>
      </c>
      <c r="H1448" t="n">
        <v>0</v>
      </c>
      <c r="I1448" t="n">
        <v>0</v>
      </c>
      <c r="J1448" t="n">
        <v>0</v>
      </c>
      <c r="K1448" t="n">
        <v>0</v>
      </c>
      <c r="L1448" t="n">
        <v>0</v>
      </c>
      <c r="M1448" t="n">
        <v>0</v>
      </c>
      <c r="N1448" t="n">
        <v>0</v>
      </c>
      <c r="O1448" t="n">
        <v>0</v>
      </c>
      <c r="P1448" t="n">
        <v>0</v>
      </c>
      <c r="Q1448" t="n">
        <v>0</v>
      </c>
      <c r="R1448" s="2" t="inlineStr"/>
    </row>
    <row r="1449" ht="15" customHeight="1">
      <c r="A1449" t="inlineStr">
        <is>
          <t>A 58261-2023</t>
        </is>
      </c>
      <c r="B1449" s="1" t="n">
        <v>45245</v>
      </c>
      <c r="C1449" s="1" t="n">
        <v>45688</v>
      </c>
      <c r="D1449" t="inlineStr">
        <is>
          <t>STOCKHOLMS LÄN</t>
        </is>
      </c>
      <c r="E1449" t="inlineStr">
        <is>
          <t>NORRTÄLJE</t>
        </is>
      </c>
      <c r="G1449" t="n">
        <v>53.5</v>
      </c>
      <c r="H1449" t="n">
        <v>0</v>
      </c>
      <c r="I1449" t="n">
        <v>0</v>
      </c>
      <c r="J1449" t="n">
        <v>0</v>
      </c>
      <c r="K1449" t="n">
        <v>0</v>
      </c>
      <c r="L1449" t="n">
        <v>0</v>
      </c>
      <c r="M1449" t="n">
        <v>0</v>
      </c>
      <c r="N1449" t="n">
        <v>0</v>
      </c>
      <c r="O1449" t="n">
        <v>0</v>
      </c>
      <c r="P1449" t="n">
        <v>0</v>
      </c>
      <c r="Q1449" t="n">
        <v>0</v>
      </c>
      <c r="R1449" s="2" t="inlineStr"/>
    </row>
    <row r="1450" ht="15" customHeight="1">
      <c r="A1450" t="inlineStr">
        <is>
          <t>A 58209-2023</t>
        </is>
      </c>
      <c r="B1450" s="1" t="n">
        <v>45245</v>
      </c>
      <c r="C1450" s="1" t="n">
        <v>45688</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58227-2023</t>
        </is>
      </c>
      <c r="B1451" s="1" t="n">
        <v>45245</v>
      </c>
      <c r="C1451" s="1" t="n">
        <v>45688</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58291-2023</t>
        </is>
      </c>
      <c r="B1452" s="1" t="n">
        <v>45245</v>
      </c>
      <c r="C1452" s="1" t="n">
        <v>45688</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58277-2023</t>
        </is>
      </c>
      <c r="B1453" s="1" t="n">
        <v>45245</v>
      </c>
      <c r="C1453" s="1" t="n">
        <v>45688</v>
      </c>
      <c r="D1453" t="inlineStr">
        <is>
          <t>STOCKHOLMS LÄN</t>
        </is>
      </c>
      <c r="E1453" t="inlineStr">
        <is>
          <t>NORRTÄLJE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58213-2023</t>
        </is>
      </c>
      <c r="B1454" s="1" t="n">
        <v>45245</v>
      </c>
      <c r="C1454" s="1" t="n">
        <v>45688</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58311-2023</t>
        </is>
      </c>
      <c r="B1455" s="1" t="n">
        <v>45245</v>
      </c>
      <c r="C1455" s="1" t="n">
        <v>45688</v>
      </c>
      <c r="D1455" t="inlineStr">
        <is>
          <t>STOCKHOLMS LÄN</t>
        </is>
      </c>
      <c r="E1455" t="inlineStr">
        <is>
          <t>NORRTÄLJE</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58300-2023</t>
        </is>
      </c>
      <c r="B1456" s="1" t="n">
        <v>45245</v>
      </c>
      <c r="C1456" s="1" t="n">
        <v>45688</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58260-2023</t>
        </is>
      </c>
      <c r="B1457" s="1" t="n">
        <v>45245</v>
      </c>
      <c r="C1457" s="1" t="n">
        <v>45688</v>
      </c>
      <c r="D1457" t="inlineStr">
        <is>
          <t>STOCKHOLMS LÄN</t>
        </is>
      </c>
      <c r="E1457" t="inlineStr">
        <is>
          <t>NORRTÄLJE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58297-2023</t>
        </is>
      </c>
      <c r="B1458" s="1" t="n">
        <v>45245</v>
      </c>
      <c r="C1458" s="1" t="n">
        <v>45688</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58306-2023</t>
        </is>
      </c>
      <c r="B1459" s="1" t="n">
        <v>45245</v>
      </c>
      <c r="C1459" s="1" t="n">
        <v>45688</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58404-2023</t>
        </is>
      </c>
      <c r="B1460" s="1" t="n">
        <v>45245</v>
      </c>
      <c r="C1460" s="1" t="n">
        <v>45688</v>
      </c>
      <c r="D1460" t="inlineStr">
        <is>
          <t>STOCKHOLMS LÄN</t>
        </is>
      </c>
      <c r="E1460" t="inlineStr">
        <is>
          <t>NORRTÄLJE</t>
        </is>
      </c>
      <c r="G1460" t="n">
        <v>53.5</v>
      </c>
      <c r="H1460" t="n">
        <v>0</v>
      </c>
      <c r="I1460" t="n">
        <v>0</v>
      </c>
      <c r="J1460" t="n">
        <v>0</v>
      </c>
      <c r="K1460" t="n">
        <v>0</v>
      </c>
      <c r="L1460" t="n">
        <v>0</v>
      </c>
      <c r="M1460" t="n">
        <v>0</v>
      </c>
      <c r="N1460" t="n">
        <v>0</v>
      </c>
      <c r="O1460" t="n">
        <v>0</v>
      </c>
      <c r="P1460" t="n">
        <v>0</v>
      </c>
      <c r="Q1460" t="n">
        <v>0</v>
      </c>
      <c r="R1460" s="2" t="inlineStr"/>
    </row>
    <row r="1461" ht="15" customHeight="1">
      <c r="A1461" t="inlineStr">
        <is>
          <t>A 58191-2023</t>
        </is>
      </c>
      <c r="B1461" s="1" t="n">
        <v>45250</v>
      </c>
      <c r="C1461" s="1" t="n">
        <v>45688</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58186-2023</t>
        </is>
      </c>
      <c r="B1462" s="1" t="n">
        <v>45250</v>
      </c>
      <c r="C1462" s="1" t="n">
        <v>45688</v>
      </c>
      <c r="D1462" t="inlineStr">
        <is>
          <t>STOCKHOLMS LÄN</t>
        </is>
      </c>
      <c r="E1462" t="inlineStr">
        <is>
          <t>NORRTÄLJE</t>
        </is>
      </c>
      <c r="F1462" t="inlineStr">
        <is>
          <t>Kyrkan</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58981-2023</t>
        </is>
      </c>
      <c r="B1463" s="1" t="n">
        <v>45250</v>
      </c>
      <c r="C1463" s="1" t="n">
        <v>45688</v>
      </c>
      <c r="D1463" t="inlineStr">
        <is>
          <t>STOCKHOLMS LÄN</t>
        </is>
      </c>
      <c r="E1463" t="inlineStr">
        <is>
          <t>NORRTÄLJE</t>
        </is>
      </c>
      <c r="F1463" t="inlineStr">
        <is>
          <t>Övriga statliga verk och myndigheter</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58601-2023</t>
        </is>
      </c>
      <c r="B1464" s="1" t="n">
        <v>45251</v>
      </c>
      <c r="C1464" s="1" t="n">
        <v>45688</v>
      </c>
      <c r="D1464" t="inlineStr">
        <is>
          <t>STOCKHOLMS LÄN</t>
        </is>
      </c>
      <c r="E1464" t="inlineStr">
        <is>
          <t>NORRTÄLJE</t>
        </is>
      </c>
      <c r="F1464" t="inlineStr">
        <is>
          <t>Holmen skog AB</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59310-2023</t>
        </is>
      </c>
      <c r="B1465" s="1" t="n">
        <v>45253</v>
      </c>
      <c r="C1465" s="1" t="n">
        <v>45688</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59326-2023</t>
        </is>
      </c>
      <c r="B1466" s="1" t="n">
        <v>45253</v>
      </c>
      <c r="C1466" s="1" t="n">
        <v>45688</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59212-2023</t>
        </is>
      </c>
      <c r="B1467" s="1" t="n">
        <v>45253</v>
      </c>
      <c r="C1467" s="1" t="n">
        <v>45688</v>
      </c>
      <c r="D1467" t="inlineStr">
        <is>
          <t>STOCKHOLMS LÄN</t>
        </is>
      </c>
      <c r="E1467" t="inlineStr">
        <is>
          <t>NORRTÄLJE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59276-2023</t>
        </is>
      </c>
      <c r="B1468" s="1" t="n">
        <v>45253</v>
      </c>
      <c r="C1468" s="1" t="n">
        <v>45688</v>
      </c>
      <c r="D1468" t="inlineStr">
        <is>
          <t>STOCKHOLMS LÄN</t>
        </is>
      </c>
      <c r="E1468" t="inlineStr">
        <is>
          <t>NORRTÄLJE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59468-2023</t>
        </is>
      </c>
      <c r="B1469" s="1" t="n">
        <v>45254</v>
      </c>
      <c r="C1469" s="1" t="n">
        <v>45688</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59499-2023</t>
        </is>
      </c>
      <c r="B1470" s="1" t="n">
        <v>45254</v>
      </c>
      <c r="C1470" s="1" t="n">
        <v>45688</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59504-2023</t>
        </is>
      </c>
      <c r="B1471" s="1" t="n">
        <v>45254</v>
      </c>
      <c r="C1471" s="1" t="n">
        <v>45688</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59676-2023</t>
        </is>
      </c>
      <c r="B1472" s="1" t="n">
        <v>45255</v>
      </c>
      <c r="C1472" s="1" t="n">
        <v>45688</v>
      </c>
      <c r="D1472" t="inlineStr">
        <is>
          <t>STOCKHOLMS LÄN</t>
        </is>
      </c>
      <c r="E1472" t="inlineStr">
        <is>
          <t>NORRTÄLJE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59904-2023</t>
        </is>
      </c>
      <c r="B1473" s="1" t="n">
        <v>45257</v>
      </c>
      <c r="C1473" s="1" t="n">
        <v>45688</v>
      </c>
      <c r="D1473" t="inlineStr">
        <is>
          <t>STOCKHOLMS LÄN</t>
        </is>
      </c>
      <c r="E1473" t="inlineStr">
        <is>
          <t>NORRTÄLJE</t>
        </is>
      </c>
      <c r="G1473" t="n">
        <v>17.4</v>
      </c>
      <c r="H1473" t="n">
        <v>0</v>
      </c>
      <c r="I1473" t="n">
        <v>0</v>
      </c>
      <c r="J1473" t="n">
        <v>0</v>
      </c>
      <c r="K1473" t="n">
        <v>0</v>
      </c>
      <c r="L1473" t="n">
        <v>0</v>
      </c>
      <c r="M1473" t="n">
        <v>0</v>
      </c>
      <c r="N1473" t="n">
        <v>0</v>
      </c>
      <c r="O1473" t="n">
        <v>0</v>
      </c>
      <c r="P1473" t="n">
        <v>0</v>
      </c>
      <c r="Q1473" t="n">
        <v>0</v>
      </c>
      <c r="R1473" s="2" t="inlineStr"/>
    </row>
    <row r="1474" ht="15" customHeight="1">
      <c r="A1474" t="inlineStr">
        <is>
          <t>A 59906-2023</t>
        </is>
      </c>
      <c r="B1474" s="1" t="n">
        <v>45257</v>
      </c>
      <c r="C1474" s="1" t="n">
        <v>45688</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59992-2023</t>
        </is>
      </c>
      <c r="B1475" s="1" t="n">
        <v>45257</v>
      </c>
      <c r="C1475" s="1" t="n">
        <v>45688</v>
      </c>
      <c r="D1475" t="inlineStr">
        <is>
          <t>STOCKHOLMS LÄN</t>
        </is>
      </c>
      <c r="E1475" t="inlineStr">
        <is>
          <t>NORRTÄLJE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60224-2023</t>
        </is>
      </c>
      <c r="B1476" s="1" t="n">
        <v>45257</v>
      </c>
      <c r="C1476" s="1" t="n">
        <v>45688</v>
      </c>
      <c r="D1476" t="inlineStr">
        <is>
          <t>STOCKHOLMS LÄN</t>
        </is>
      </c>
      <c r="E1476" t="inlineStr">
        <is>
          <t>NORRTÄLJE</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60073-2023</t>
        </is>
      </c>
      <c r="B1477" s="1" t="n">
        <v>45258</v>
      </c>
      <c r="C1477" s="1" t="n">
        <v>45688</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60492-2023</t>
        </is>
      </c>
      <c r="B1478" s="1" t="n">
        <v>45259</v>
      </c>
      <c r="C1478" s="1" t="n">
        <v>45688</v>
      </c>
      <c r="D1478" t="inlineStr">
        <is>
          <t>STOCKHOLMS LÄN</t>
        </is>
      </c>
      <c r="E1478" t="inlineStr">
        <is>
          <t>NORRTÄLJE</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60529-2023</t>
        </is>
      </c>
      <c r="B1479" s="1" t="n">
        <v>45259</v>
      </c>
      <c r="C1479" s="1" t="n">
        <v>45688</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60822-2023</t>
        </is>
      </c>
      <c r="B1480" s="1" t="n">
        <v>45259</v>
      </c>
      <c r="C1480" s="1" t="n">
        <v>45688</v>
      </c>
      <c r="D1480" t="inlineStr">
        <is>
          <t>STOCKHOLMS LÄN</t>
        </is>
      </c>
      <c r="E1480" t="inlineStr">
        <is>
          <t>NORRTÄLJE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60654-2023</t>
        </is>
      </c>
      <c r="B1481" s="1" t="n">
        <v>45260</v>
      </c>
      <c r="C1481" s="1" t="n">
        <v>45688</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60640-2023</t>
        </is>
      </c>
      <c r="B1482" s="1" t="n">
        <v>45260</v>
      </c>
      <c r="C1482" s="1" t="n">
        <v>45688</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60672-2023</t>
        </is>
      </c>
      <c r="B1483" s="1" t="n">
        <v>45260</v>
      </c>
      <c r="C1483" s="1" t="n">
        <v>45688</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60823-2023</t>
        </is>
      </c>
      <c r="B1484" s="1" t="n">
        <v>45260</v>
      </c>
      <c r="C1484" s="1" t="n">
        <v>45688</v>
      </c>
      <c r="D1484" t="inlineStr">
        <is>
          <t>STOCKHOLMS LÄN</t>
        </is>
      </c>
      <c r="E1484" t="inlineStr">
        <is>
          <t>NORRTÄLJE</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60656-2023</t>
        </is>
      </c>
      <c r="B1485" s="1" t="n">
        <v>45260</v>
      </c>
      <c r="C1485" s="1" t="n">
        <v>45688</v>
      </c>
      <c r="D1485" t="inlineStr">
        <is>
          <t>STOCKHOLMS LÄN</t>
        </is>
      </c>
      <c r="E1485" t="inlineStr">
        <is>
          <t>NORRTÄLJE</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60765-2023</t>
        </is>
      </c>
      <c r="B1486" s="1" t="n">
        <v>45260</v>
      </c>
      <c r="C1486" s="1" t="n">
        <v>45688</v>
      </c>
      <c r="D1486" t="inlineStr">
        <is>
          <t>STOCKHOLMS LÄN</t>
        </is>
      </c>
      <c r="E1486" t="inlineStr">
        <is>
          <t>NORRTÄLJE</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61113-2023</t>
        </is>
      </c>
      <c r="B1487" s="1" t="n">
        <v>45261</v>
      </c>
      <c r="C1487" s="1" t="n">
        <v>45688</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62644-2023</t>
        </is>
      </c>
      <c r="B1488" s="1" t="n">
        <v>45271</v>
      </c>
      <c r="C1488" s="1" t="n">
        <v>45688</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62998-2023</t>
        </is>
      </c>
      <c r="B1489" s="1" t="n">
        <v>45272</v>
      </c>
      <c r="C1489" s="1" t="n">
        <v>45688</v>
      </c>
      <c r="D1489" t="inlineStr">
        <is>
          <t>STOCKHOLMS LÄN</t>
        </is>
      </c>
      <c r="E1489" t="inlineStr">
        <is>
          <t>NORRTÄLJE</t>
        </is>
      </c>
      <c r="G1489" t="n">
        <v>16.3</v>
      </c>
      <c r="H1489" t="n">
        <v>0</v>
      </c>
      <c r="I1489" t="n">
        <v>0</v>
      </c>
      <c r="J1489" t="n">
        <v>0</v>
      </c>
      <c r="K1489" t="n">
        <v>0</v>
      </c>
      <c r="L1489" t="n">
        <v>0</v>
      </c>
      <c r="M1489" t="n">
        <v>0</v>
      </c>
      <c r="N1489" t="n">
        <v>0</v>
      </c>
      <c r="O1489" t="n">
        <v>0</v>
      </c>
      <c r="P1489" t="n">
        <v>0</v>
      </c>
      <c r="Q1489" t="n">
        <v>0</v>
      </c>
      <c r="R1489" s="2" t="inlineStr"/>
    </row>
    <row r="1490" ht="15" customHeight="1">
      <c r="A1490" t="inlineStr">
        <is>
          <t>A 63015-2023</t>
        </is>
      </c>
      <c r="B1490" s="1" t="n">
        <v>45272</v>
      </c>
      <c r="C1490" s="1" t="n">
        <v>45688</v>
      </c>
      <c r="D1490" t="inlineStr">
        <is>
          <t>STOCKHOLMS LÄN</t>
        </is>
      </c>
      <c r="E1490" t="inlineStr">
        <is>
          <t>NORRTÄLJE</t>
        </is>
      </c>
      <c r="G1490" t="n">
        <v>13.1</v>
      </c>
      <c r="H1490" t="n">
        <v>0</v>
      </c>
      <c r="I1490" t="n">
        <v>0</v>
      </c>
      <c r="J1490" t="n">
        <v>0</v>
      </c>
      <c r="K1490" t="n">
        <v>0</v>
      </c>
      <c r="L1490" t="n">
        <v>0</v>
      </c>
      <c r="M1490" t="n">
        <v>0</v>
      </c>
      <c r="N1490" t="n">
        <v>0</v>
      </c>
      <c r="O1490" t="n">
        <v>0</v>
      </c>
      <c r="P1490" t="n">
        <v>0</v>
      </c>
      <c r="Q1490" t="n">
        <v>0</v>
      </c>
      <c r="R1490" s="2" t="inlineStr"/>
    </row>
    <row r="1491" ht="15" customHeight="1">
      <c r="A1491" t="inlineStr">
        <is>
          <t>A 62971-2023</t>
        </is>
      </c>
      <c r="B1491" s="1" t="n">
        <v>45272</v>
      </c>
      <c r="C1491" s="1" t="n">
        <v>45688</v>
      </c>
      <c r="D1491" t="inlineStr">
        <is>
          <t>STOCKHOLMS LÄN</t>
        </is>
      </c>
      <c r="E1491" t="inlineStr">
        <is>
          <t>NORRTÄLJE</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63013-2023</t>
        </is>
      </c>
      <c r="B1492" s="1" t="n">
        <v>45272</v>
      </c>
      <c r="C1492" s="1" t="n">
        <v>45688</v>
      </c>
      <c r="D1492" t="inlineStr">
        <is>
          <t>STOCKHOLMS LÄN</t>
        </is>
      </c>
      <c r="E1492" t="inlineStr">
        <is>
          <t>NORRTÄLJE</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63161-2023</t>
        </is>
      </c>
      <c r="B1493" s="1" t="n">
        <v>45273</v>
      </c>
      <c r="C1493" s="1" t="n">
        <v>45688</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63655-2023</t>
        </is>
      </c>
      <c r="B1494" s="1" t="n">
        <v>45275</v>
      </c>
      <c r="C1494" s="1" t="n">
        <v>45688</v>
      </c>
      <c r="D1494" t="inlineStr">
        <is>
          <t>STOCKHOLMS LÄN</t>
        </is>
      </c>
      <c r="E1494" t="inlineStr">
        <is>
          <t>NORRTÄLJE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64902-2023</t>
        </is>
      </c>
      <c r="B1495" s="1" t="n">
        <v>45282</v>
      </c>
      <c r="C1495" s="1" t="n">
        <v>45688</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64899-2023</t>
        </is>
      </c>
      <c r="B1496" s="1" t="n">
        <v>45282</v>
      </c>
      <c r="C1496" s="1" t="n">
        <v>45688</v>
      </c>
      <c r="D1496" t="inlineStr">
        <is>
          <t>STOCKHOLMS LÄN</t>
        </is>
      </c>
      <c r="E1496" t="inlineStr">
        <is>
          <t>NORRTÄLJE</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9-2024</t>
        </is>
      </c>
      <c r="B1497" s="1" t="n">
        <v>45293</v>
      </c>
      <c r="C1497" s="1" t="n">
        <v>45688</v>
      </c>
      <c r="D1497" t="inlineStr">
        <is>
          <t>STOCKHOLMS LÄN</t>
        </is>
      </c>
      <c r="E1497" t="inlineStr">
        <is>
          <t>NORRTÄLJE</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13-2024</t>
        </is>
      </c>
      <c r="B1498" s="1" t="n">
        <v>45293</v>
      </c>
      <c r="C1498" s="1" t="n">
        <v>45688</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11-2024</t>
        </is>
      </c>
      <c r="B1499" s="1" t="n">
        <v>45293</v>
      </c>
      <c r="C1499" s="1" t="n">
        <v>45688</v>
      </c>
      <c r="D1499" t="inlineStr">
        <is>
          <t>STOCKHOLMS LÄN</t>
        </is>
      </c>
      <c r="E1499" t="inlineStr">
        <is>
          <t>NORRTÄLJE</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19-2024</t>
        </is>
      </c>
      <c r="B1500" s="1" t="n">
        <v>45293</v>
      </c>
      <c r="C1500" s="1" t="n">
        <v>45688</v>
      </c>
      <c r="D1500" t="inlineStr">
        <is>
          <t>STOCKHOLMS LÄN</t>
        </is>
      </c>
      <c r="E1500" t="inlineStr">
        <is>
          <t>NORRTÄLJE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329-2024</t>
        </is>
      </c>
      <c r="B1501" s="1" t="n">
        <v>45295</v>
      </c>
      <c r="C1501" s="1" t="n">
        <v>45688</v>
      </c>
      <c r="D1501" t="inlineStr">
        <is>
          <t>STOCKHOLMS LÄN</t>
        </is>
      </c>
      <c r="E1501" t="inlineStr">
        <is>
          <t>NORRTÄLJE</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498-2024</t>
        </is>
      </c>
      <c r="B1502" s="1" t="n">
        <v>45299</v>
      </c>
      <c r="C1502" s="1" t="n">
        <v>45688</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577-2024</t>
        </is>
      </c>
      <c r="B1503" s="1" t="n">
        <v>45299</v>
      </c>
      <c r="C1503" s="1" t="n">
        <v>45688</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1372-2024</t>
        </is>
      </c>
      <c r="B1504" s="1" t="n">
        <v>45303</v>
      </c>
      <c r="C1504" s="1" t="n">
        <v>45688</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1996-2024</t>
        </is>
      </c>
      <c r="B1505" s="1" t="n">
        <v>45308</v>
      </c>
      <c r="C1505" s="1" t="n">
        <v>45688</v>
      </c>
      <c r="D1505" t="inlineStr">
        <is>
          <t>STOCKHOLMS LÄN</t>
        </is>
      </c>
      <c r="E1505" t="inlineStr">
        <is>
          <t>NORRTÄLJE</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2287-2024</t>
        </is>
      </c>
      <c r="B1506" s="1" t="n">
        <v>45310</v>
      </c>
      <c r="C1506" s="1" t="n">
        <v>45688</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2281-2024</t>
        </is>
      </c>
      <c r="B1507" s="1" t="n">
        <v>45310</v>
      </c>
      <c r="C1507" s="1" t="n">
        <v>45688</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2613-2024</t>
        </is>
      </c>
      <c r="B1508" s="1" t="n">
        <v>45313</v>
      </c>
      <c r="C1508" s="1" t="n">
        <v>45688</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2611-2024</t>
        </is>
      </c>
      <c r="B1509" s="1" t="n">
        <v>45313</v>
      </c>
      <c r="C1509" s="1" t="n">
        <v>45688</v>
      </c>
      <c r="D1509" t="inlineStr">
        <is>
          <t>STOCKHOLMS LÄN</t>
        </is>
      </c>
      <c r="E1509" t="inlineStr">
        <is>
          <t>NORRTÄLJE</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3084-2024</t>
        </is>
      </c>
      <c r="B1510" s="1" t="n">
        <v>45316</v>
      </c>
      <c r="C1510" s="1" t="n">
        <v>45688</v>
      </c>
      <c r="D1510" t="inlineStr">
        <is>
          <t>STOCKHOLMS LÄN</t>
        </is>
      </c>
      <c r="E1510" t="inlineStr">
        <is>
          <t>NORRTÄLJE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3152-2024</t>
        </is>
      </c>
      <c r="B1511" s="1" t="n">
        <v>45316</v>
      </c>
      <c r="C1511" s="1" t="n">
        <v>45688</v>
      </c>
      <c r="D1511" t="inlineStr">
        <is>
          <t>STOCKHOLMS LÄN</t>
        </is>
      </c>
      <c r="E1511" t="inlineStr">
        <is>
          <t>NORRTÄLJE</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3381-2024</t>
        </is>
      </c>
      <c r="B1512" s="1" t="n">
        <v>45317</v>
      </c>
      <c r="C1512" s="1" t="n">
        <v>45688</v>
      </c>
      <c r="D1512" t="inlineStr">
        <is>
          <t>STOCKHOLMS LÄN</t>
        </is>
      </c>
      <c r="E1512" t="inlineStr">
        <is>
          <t>NORRTÄLJE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3942-2024</t>
        </is>
      </c>
      <c r="B1513" s="1" t="n">
        <v>45322</v>
      </c>
      <c r="C1513" s="1" t="n">
        <v>45688</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3966-2024</t>
        </is>
      </c>
      <c r="B1514" s="1" t="n">
        <v>45322</v>
      </c>
      <c r="C1514" s="1" t="n">
        <v>45688</v>
      </c>
      <c r="D1514" t="inlineStr">
        <is>
          <t>STOCKHOLMS LÄN</t>
        </is>
      </c>
      <c r="E1514" t="inlineStr">
        <is>
          <t>NORRTÄLJE</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4051-2024</t>
        </is>
      </c>
      <c r="B1515" s="1" t="n">
        <v>45323</v>
      </c>
      <c r="C1515" s="1" t="n">
        <v>45688</v>
      </c>
      <c r="D1515" t="inlineStr">
        <is>
          <t>STOCKHOLMS LÄN</t>
        </is>
      </c>
      <c r="E1515" t="inlineStr">
        <is>
          <t>NORRTÄLJE</t>
        </is>
      </c>
      <c r="F1515" t="inlineStr">
        <is>
          <t>Kyrkan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4542-2024</t>
        </is>
      </c>
      <c r="B1516" s="1" t="n">
        <v>45327</v>
      </c>
      <c r="C1516" s="1" t="n">
        <v>45688</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4658-2024</t>
        </is>
      </c>
      <c r="B1517" s="1" t="n">
        <v>45328</v>
      </c>
      <c r="C1517" s="1" t="n">
        <v>45688</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4730-2024</t>
        </is>
      </c>
      <c r="B1518" s="1" t="n">
        <v>45328</v>
      </c>
      <c r="C1518" s="1" t="n">
        <v>45688</v>
      </c>
      <c r="D1518" t="inlineStr">
        <is>
          <t>STOCKHOLMS LÄN</t>
        </is>
      </c>
      <c r="E1518" t="inlineStr">
        <is>
          <t>NORRTÄLJE</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5158-2024</t>
        </is>
      </c>
      <c r="B1519" s="1" t="n">
        <v>45330</v>
      </c>
      <c r="C1519" s="1" t="n">
        <v>45688</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5670-2024</t>
        </is>
      </c>
      <c r="B1520" s="1" t="n">
        <v>45334</v>
      </c>
      <c r="C1520" s="1" t="n">
        <v>45688</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5664-2024</t>
        </is>
      </c>
      <c r="B1521" s="1" t="n">
        <v>45334</v>
      </c>
      <c r="C1521" s="1" t="n">
        <v>45688</v>
      </c>
      <c r="D1521" t="inlineStr">
        <is>
          <t>STOCKHOLMS LÄN</t>
        </is>
      </c>
      <c r="E1521" t="inlineStr">
        <is>
          <t>NORRTÄLJE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5683-2024</t>
        </is>
      </c>
      <c r="B1522" s="1" t="n">
        <v>45334</v>
      </c>
      <c r="C1522" s="1" t="n">
        <v>45688</v>
      </c>
      <c r="D1522" t="inlineStr">
        <is>
          <t>STOCKHOLMS LÄN</t>
        </is>
      </c>
      <c r="E1522" t="inlineStr">
        <is>
          <t>NORRTÄLJE</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5625-2024</t>
        </is>
      </c>
      <c r="B1523" s="1" t="n">
        <v>45334</v>
      </c>
      <c r="C1523" s="1" t="n">
        <v>45688</v>
      </c>
      <c r="D1523" t="inlineStr">
        <is>
          <t>STOCKHOLMS LÄN</t>
        </is>
      </c>
      <c r="E1523" t="inlineStr">
        <is>
          <t>NORRTÄLJE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5862-2024</t>
        </is>
      </c>
      <c r="B1524" s="1" t="n">
        <v>45335</v>
      </c>
      <c r="C1524" s="1" t="n">
        <v>45688</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5831-2024</t>
        </is>
      </c>
      <c r="B1525" s="1" t="n">
        <v>45335</v>
      </c>
      <c r="C1525" s="1" t="n">
        <v>45688</v>
      </c>
      <c r="D1525" t="inlineStr">
        <is>
          <t>STOCKHOLMS LÄN</t>
        </is>
      </c>
      <c r="E1525" t="inlineStr">
        <is>
          <t>NORRTÄLJE</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5894-2024</t>
        </is>
      </c>
      <c r="B1526" s="1" t="n">
        <v>45335</v>
      </c>
      <c r="C1526" s="1" t="n">
        <v>45688</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6401-2024</t>
        </is>
      </c>
      <c r="B1527" s="1" t="n">
        <v>45338</v>
      </c>
      <c r="C1527" s="1" t="n">
        <v>45688</v>
      </c>
      <c r="D1527" t="inlineStr">
        <is>
          <t>STOCKHOLMS LÄN</t>
        </is>
      </c>
      <c r="E1527" t="inlineStr">
        <is>
          <t>NORRTÄLJE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6537-2024</t>
        </is>
      </c>
      <c r="B1528" s="1" t="n">
        <v>45341</v>
      </c>
      <c r="C1528" s="1" t="n">
        <v>45688</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7009-2024</t>
        </is>
      </c>
      <c r="B1529" s="1" t="n">
        <v>45343</v>
      </c>
      <c r="C1529" s="1" t="n">
        <v>45688</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7186-2024</t>
        </is>
      </c>
      <c r="B1530" s="1" t="n">
        <v>45344</v>
      </c>
      <c r="C1530" s="1" t="n">
        <v>45688</v>
      </c>
      <c r="D1530" t="inlineStr">
        <is>
          <t>STOCKHOLMS LÄN</t>
        </is>
      </c>
      <c r="E1530" t="inlineStr">
        <is>
          <t>NORRTÄLJE</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7408-2024</t>
        </is>
      </c>
      <c r="B1531" s="1" t="n">
        <v>45345</v>
      </c>
      <c r="C1531" s="1" t="n">
        <v>45688</v>
      </c>
      <c r="D1531" t="inlineStr">
        <is>
          <t>STOCKHOLMS LÄN</t>
        </is>
      </c>
      <c r="E1531" t="inlineStr">
        <is>
          <t>NORRTÄLJE</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7573-2024</t>
        </is>
      </c>
      <c r="B1532" s="1" t="n">
        <v>45345</v>
      </c>
      <c r="C1532" s="1" t="n">
        <v>45688</v>
      </c>
      <c r="D1532" t="inlineStr">
        <is>
          <t>STOCKHOLMS LÄN</t>
        </is>
      </c>
      <c r="E1532" t="inlineStr">
        <is>
          <t>NORRTÄLJE</t>
        </is>
      </c>
      <c r="F1532" t="inlineStr">
        <is>
          <t>Övriga Aktiebolag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7425-2024</t>
        </is>
      </c>
      <c r="B1533" s="1" t="n">
        <v>45345</v>
      </c>
      <c r="C1533" s="1" t="n">
        <v>45688</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7413-2024</t>
        </is>
      </c>
      <c r="B1534" s="1" t="n">
        <v>45345</v>
      </c>
      <c r="C1534" s="1" t="n">
        <v>45688</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7385-2024</t>
        </is>
      </c>
      <c r="B1535" s="1" t="n">
        <v>45345</v>
      </c>
      <c r="C1535" s="1" t="n">
        <v>45688</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7329-2024</t>
        </is>
      </c>
      <c r="B1536" s="1" t="n">
        <v>45345</v>
      </c>
      <c r="C1536" s="1" t="n">
        <v>45688</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7483-2024</t>
        </is>
      </c>
      <c r="B1537" s="1" t="n">
        <v>45346</v>
      </c>
      <c r="C1537" s="1" t="n">
        <v>45688</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7571-2024</t>
        </is>
      </c>
      <c r="B1538" s="1" t="n">
        <v>45348</v>
      </c>
      <c r="C1538" s="1" t="n">
        <v>45688</v>
      </c>
      <c r="D1538" t="inlineStr">
        <is>
          <t>STOCKHOLMS LÄN</t>
        </is>
      </c>
      <c r="E1538" t="inlineStr">
        <is>
          <t>NORRTÄLJE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8270-2024</t>
        </is>
      </c>
      <c r="B1539" s="1" t="n">
        <v>45352</v>
      </c>
      <c r="C1539" s="1" t="n">
        <v>45688</v>
      </c>
      <c r="D1539" t="inlineStr">
        <is>
          <t>STOCKHOLMS LÄN</t>
        </is>
      </c>
      <c r="E1539" t="inlineStr">
        <is>
          <t>NORRTÄLJE</t>
        </is>
      </c>
      <c r="F1539" t="inlineStr">
        <is>
          <t>Kyrkan</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8399-2024</t>
        </is>
      </c>
      <c r="B1540" s="1" t="n">
        <v>45352</v>
      </c>
      <c r="C1540" s="1" t="n">
        <v>45688</v>
      </c>
      <c r="D1540" t="inlineStr">
        <is>
          <t>STOCKHOLMS LÄN</t>
        </is>
      </c>
      <c r="E1540" t="inlineStr">
        <is>
          <t>NORRTÄLJE</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8365-2024</t>
        </is>
      </c>
      <c r="B1541" s="1" t="n">
        <v>45352</v>
      </c>
      <c r="C1541" s="1" t="n">
        <v>45688</v>
      </c>
      <c r="D1541" t="inlineStr">
        <is>
          <t>STOCKHOLMS LÄN</t>
        </is>
      </c>
      <c r="E1541" t="inlineStr">
        <is>
          <t>NORRTÄLJE</t>
        </is>
      </c>
      <c r="F1541" t="inlineStr">
        <is>
          <t>Naturvårdsverket</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8400-2024</t>
        </is>
      </c>
      <c r="B1542" s="1" t="n">
        <v>45352</v>
      </c>
      <c r="C1542" s="1" t="n">
        <v>45688</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8401-2024</t>
        </is>
      </c>
      <c r="B1543" s="1" t="n">
        <v>45352</v>
      </c>
      <c r="C1543" s="1" t="n">
        <v>45688</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8739-2024</t>
        </is>
      </c>
      <c r="B1544" s="1" t="n">
        <v>45356</v>
      </c>
      <c r="C1544" s="1" t="n">
        <v>45688</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8736-2024</t>
        </is>
      </c>
      <c r="B1545" s="1" t="n">
        <v>45356</v>
      </c>
      <c r="C1545" s="1" t="n">
        <v>45688</v>
      </c>
      <c r="D1545" t="inlineStr">
        <is>
          <t>STOCKHOLMS LÄN</t>
        </is>
      </c>
      <c r="E1545" t="inlineStr">
        <is>
          <t>NORRTÄLJE</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9246-2024</t>
        </is>
      </c>
      <c r="B1546" s="1" t="n">
        <v>45357</v>
      </c>
      <c r="C1546" s="1" t="n">
        <v>45688</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9300-2024</t>
        </is>
      </c>
      <c r="B1547" s="1" t="n">
        <v>45358</v>
      </c>
      <c r="C1547" s="1" t="n">
        <v>45688</v>
      </c>
      <c r="D1547" t="inlineStr">
        <is>
          <t>STOCKHOLMS LÄN</t>
        </is>
      </c>
      <c r="E1547" t="inlineStr">
        <is>
          <t>NORRTÄLJE</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9297-2024</t>
        </is>
      </c>
      <c r="B1548" s="1" t="n">
        <v>45358</v>
      </c>
      <c r="C1548" s="1" t="n">
        <v>45688</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9301-2024</t>
        </is>
      </c>
      <c r="B1549" s="1" t="n">
        <v>45358</v>
      </c>
      <c r="C1549" s="1" t="n">
        <v>45688</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9305-2024</t>
        </is>
      </c>
      <c r="B1550" s="1" t="n">
        <v>45358</v>
      </c>
      <c r="C1550" s="1" t="n">
        <v>45688</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9765-2024</t>
        </is>
      </c>
      <c r="B1551" s="1" t="n">
        <v>45362</v>
      </c>
      <c r="C1551" s="1" t="n">
        <v>45688</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9959-2024</t>
        </is>
      </c>
      <c r="B1552" s="1" t="n">
        <v>45363</v>
      </c>
      <c r="C1552" s="1" t="n">
        <v>45688</v>
      </c>
      <c r="D1552" t="inlineStr">
        <is>
          <t>STOCKHOLMS LÄN</t>
        </is>
      </c>
      <c r="E1552" t="inlineStr">
        <is>
          <t>NORRTÄLJE</t>
        </is>
      </c>
      <c r="F1552" t="inlineStr">
        <is>
          <t>Naturvårdsverket</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10258-2024</t>
        </is>
      </c>
      <c r="B1553" s="1" t="n">
        <v>45365</v>
      </c>
      <c r="C1553" s="1" t="n">
        <v>45688</v>
      </c>
      <c r="D1553" t="inlineStr">
        <is>
          <t>STOCKHOLMS LÄN</t>
        </is>
      </c>
      <c r="E1553" t="inlineStr">
        <is>
          <t>NORRTÄLJE</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10279-2024</t>
        </is>
      </c>
      <c r="B1554" s="1" t="n">
        <v>45365</v>
      </c>
      <c r="C1554" s="1" t="n">
        <v>45688</v>
      </c>
      <c r="D1554" t="inlineStr">
        <is>
          <t>STOCKHOLMS LÄN</t>
        </is>
      </c>
      <c r="E1554" t="inlineStr">
        <is>
          <t>NORRTÄLJE</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10643-2024</t>
        </is>
      </c>
      <c r="B1555" s="1" t="n">
        <v>45367</v>
      </c>
      <c r="C1555" s="1" t="n">
        <v>45688</v>
      </c>
      <c r="D1555" t="inlineStr">
        <is>
          <t>STOCKHOLMS LÄN</t>
        </is>
      </c>
      <c r="E1555" t="inlineStr">
        <is>
          <t>NORRTÄLJE</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10840-2024</t>
        </is>
      </c>
      <c r="B1556" s="1" t="n">
        <v>45369</v>
      </c>
      <c r="C1556" s="1" t="n">
        <v>45688</v>
      </c>
      <c r="D1556" t="inlineStr">
        <is>
          <t>STOCKHOLMS LÄN</t>
        </is>
      </c>
      <c r="E1556" t="inlineStr">
        <is>
          <t>NORRTÄLJE</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10810-2024</t>
        </is>
      </c>
      <c r="B1557" s="1" t="n">
        <v>45369</v>
      </c>
      <c r="C1557" s="1" t="n">
        <v>45688</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10930-2024</t>
        </is>
      </c>
      <c r="B1558" s="1" t="n">
        <v>45370</v>
      </c>
      <c r="C1558" s="1" t="n">
        <v>45688</v>
      </c>
      <c r="D1558" t="inlineStr">
        <is>
          <t>STOCKHOLMS LÄN</t>
        </is>
      </c>
      <c r="E1558" t="inlineStr">
        <is>
          <t>NORRTÄLJE</t>
        </is>
      </c>
      <c r="G1558" t="n">
        <v>8.699999999999999</v>
      </c>
      <c r="H1558" t="n">
        <v>0</v>
      </c>
      <c r="I1558" t="n">
        <v>0</v>
      </c>
      <c r="J1558" t="n">
        <v>0</v>
      </c>
      <c r="K1558" t="n">
        <v>0</v>
      </c>
      <c r="L1558" t="n">
        <v>0</v>
      </c>
      <c r="M1558" t="n">
        <v>0</v>
      </c>
      <c r="N1558" t="n">
        <v>0</v>
      </c>
      <c r="O1558" t="n">
        <v>0</v>
      </c>
      <c r="P1558" t="n">
        <v>0</v>
      </c>
      <c r="Q1558" t="n">
        <v>0</v>
      </c>
      <c r="R1558" s="2" t="inlineStr"/>
      <c r="U1558">
        <f>HYPERLINK("https://klasma.github.io/Logging_0188/knärot/A 10930-2024 karta knärot.png", "A 10930-2024")</f>
        <v/>
      </c>
      <c r="V1558">
        <f>HYPERLINK("https://klasma.github.io/Logging_0188/klagomål/A 10930-2024 FSC-klagomål.docx", "A 10930-2024")</f>
        <v/>
      </c>
      <c r="W1558">
        <f>HYPERLINK("https://klasma.github.io/Logging_0188/klagomålsmail/A 10930-2024 FSC-klagomål mail.docx", "A 10930-2024")</f>
        <v/>
      </c>
      <c r="X1558">
        <f>HYPERLINK("https://klasma.github.io/Logging_0188/tillsyn/A 10930-2024 tillsynsbegäran.docx", "A 10930-2024")</f>
        <v/>
      </c>
      <c r="Y1558">
        <f>HYPERLINK("https://klasma.github.io/Logging_0188/tillsynsmail/A 10930-2024 tillsynsbegäran mail.docx", "A 10930-2024")</f>
        <v/>
      </c>
    </row>
    <row r="1559" ht="15" customHeight="1">
      <c r="A1559" t="inlineStr">
        <is>
          <t>A 11062-2024</t>
        </is>
      </c>
      <c r="B1559" s="1" t="n">
        <v>45370</v>
      </c>
      <c r="C1559" s="1" t="n">
        <v>45688</v>
      </c>
      <c r="D1559" t="inlineStr">
        <is>
          <t>STOCKHOLMS LÄN</t>
        </is>
      </c>
      <c r="E1559" t="inlineStr">
        <is>
          <t>NORRTÄLJE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10968-2024</t>
        </is>
      </c>
      <c r="B1560" s="1" t="n">
        <v>45370</v>
      </c>
      <c r="C1560" s="1" t="n">
        <v>45688</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11902-2024</t>
        </is>
      </c>
      <c r="B1561" s="1" t="n">
        <v>45376</v>
      </c>
      <c r="C1561" s="1" t="n">
        <v>45688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11926-2024</t>
        </is>
      </c>
      <c r="B1562" s="1" t="n">
        <v>45376</v>
      </c>
      <c r="C1562" s="1" t="n">
        <v>45688</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11896-2024</t>
        </is>
      </c>
      <c r="B1563" s="1" t="n">
        <v>45376</v>
      </c>
      <c r="C1563" s="1" t="n">
        <v>45688</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11900-2024</t>
        </is>
      </c>
      <c r="B1564" s="1" t="n">
        <v>45376</v>
      </c>
      <c r="C1564" s="1" t="n">
        <v>45688</v>
      </c>
      <c r="D1564" t="inlineStr">
        <is>
          <t>STOCKHOLMS LÄN</t>
        </is>
      </c>
      <c r="E1564" t="inlineStr">
        <is>
          <t>NORRTÄLJE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11924-2024</t>
        </is>
      </c>
      <c r="B1565" s="1" t="n">
        <v>45376</v>
      </c>
      <c r="C1565" s="1" t="n">
        <v>45688</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11893-2024</t>
        </is>
      </c>
      <c r="B1566" s="1" t="n">
        <v>45376</v>
      </c>
      <c r="C1566" s="1" t="n">
        <v>45688</v>
      </c>
      <c r="D1566" t="inlineStr">
        <is>
          <t>STOCKHOLMS LÄN</t>
        </is>
      </c>
      <c r="E1566" t="inlineStr">
        <is>
          <t>NORRTÄLJE</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11901-2024</t>
        </is>
      </c>
      <c r="B1567" s="1" t="n">
        <v>45376</v>
      </c>
      <c r="C1567" s="1" t="n">
        <v>45688</v>
      </c>
      <c r="D1567" t="inlineStr">
        <is>
          <t>STOCKHOLMS LÄN</t>
        </is>
      </c>
      <c r="E1567" t="inlineStr">
        <is>
          <t>NORRTÄLJE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11929-2024</t>
        </is>
      </c>
      <c r="B1568" s="1" t="n">
        <v>45376</v>
      </c>
      <c r="C1568" s="1" t="n">
        <v>45688</v>
      </c>
      <c r="D1568" t="inlineStr">
        <is>
          <t>STOCKHOLMS LÄN</t>
        </is>
      </c>
      <c r="E1568" t="inlineStr">
        <is>
          <t>NORRTÄLJE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11996-2024</t>
        </is>
      </c>
      <c r="B1569" s="1" t="n">
        <v>45376</v>
      </c>
      <c r="C1569" s="1" t="n">
        <v>45688</v>
      </c>
      <c r="D1569" t="inlineStr">
        <is>
          <t>STOCKHOLMS LÄN</t>
        </is>
      </c>
      <c r="E1569" t="inlineStr">
        <is>
          <t>NORRTÄLJE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11997-2024</t>
        </is>
      </c>
      <c r="B1570" s="1" t="n">
        <v>45377</v>
      </c>
      <c r="C1570" s="1" t="n">
        <v>45688</v>
      </c>
      <c r="D1570" t="inlineStr">
        <is>
          <t>STOCKHOLMS LÄN</t>
        </is>
      </c>
      <c r="E1570" t="inlineStr">
        <is>
          <t>NORRTÄLJE</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12135-2024</t>
        </is>
      </c>
      <c r="B1571" s="1" t="n">
        <v>45377</v>
      </c>
      <c r="C1571" s="1" t="n">
        <v>45688</v>
      </c>
      <c r="D1571" t="inlineStr">
        <is>
          <t>STOCKHOLMS LÄN</t>
        </is>
      </c>
      <c r="E1571" t="inlineStr">
        <is>
          <t>NORRTÄLJE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12022-2024</t>
        </is>
      </c>
      <c r="B1572" s="1" t="n">
        <v>45377</v>
      </c>
      <c r="C1572" s="1" t="n">
        <v>45688</v>
      </c>
      <c r="D1572" t="inlineStr">
        <is>
          <t>STOCKHOLMS LÄN</t>
        </is>
      </c>
      <c r="E1572" t="inlineStr">
        <is>
          <t>NORRTÄLJE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12323-2024</t>
        </is>
      </c>
      <c r="B1573" s="1" t="n">
        <v>45378</v>
      </c>
      <c r="C1573" s="1" t="n">
        <v>45688</v>
      </c>
      <c r="D1573" t="inlineStr">
        <is>
          <t>STOCKHOLMS LÄN</t>
        </is>
      </c>
      <c r="E1573" t="inlineStr">
        <is>
          <t>NORRTÄLJE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12470-2024</t>
        </is>
      </c>
      <c r="B1574" s="1" t="n">
        <v>45379</v>
      </c>
      <c r="C1574" s="1" t="n">
        <v>45688</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12560-2024</t>
        </is>
      </c>
      <c r="B1575" s="1" t="n">
        <v>45379</v>
      </c>
      <c r="C1575" s="1" t="n">
        <v>45688</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12629-2024</t>
        </is>
      </c>
      <c r="B1576" s="1" t="n">
        <v>45383</v>
      </c>
      <c r="C1576" s="1" t="n">
        <v>45688</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12896-2024</t>
        </is>
      </c>
      <c r="B1577" s="1" t="n">
        <v>45385</v>
      </c>
      <c r="C1577" s="1" t="n">
        <v>45688</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12904-2024</t>
        </is>
      </c>
      <c r="B1578" s="1" t="n">
        <v>45385</v>
      </c>
      <c r="C1578" s="1" t="n">
        <v>45688</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12901-2024</t>
        </is>
      </c>
      <c r="B1579" s="1" t="n">
        <v>45385</v>
      </c>
      <c r="C1579" s="1" t="n">
        <v>45688</v>
      </c>
      <c r="D1579" t="inlineStr">
        <is>
          <t>STOCKHOLMS LÄN</t>
        </is>
      </c>
      <c r="E1579" t="inlineStr">
        <is>
          <t>NORRTÄLJE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12890-2024</t>
        </is>
      </c>
      <c r="B1580" s="1" t="n">
        <v>45385</v>
      </c>
      <c r="C1580" s="1" t="n">
        <v>45688</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12902-2024</t>
        </is>
      </c>
      <c r="B1581" s="1" t="n">
        <v>45385</v>
      </c>
      <c r="C1581" s="1" t="n">
        <v>45688</v>
      </c>
      <c r="D1581" t="inlineStr">
        <is>
          <t>STOCKHOLMS LÄN</t>
        </is>
      </c>
      <c r="E1581" t="inlineStr">
        <is>
          <t>NORRTÄLJE</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13115-2024</t>
        </is>
      </c>
      <c r="B1582" s="1" t="n">
        <v>45385</v>
      </c>
      <c r="C1582" s="1" t="n">
        <v>45688</v>
      </c>
      <c r="D1582" t="inlineStr">
        <is>
          <t>STOCKHOLMS LÄN</t>
        </is>
      </c>
      <c r="E1582" t="inlineStr">
        <is>
          <t>NORRTÄLJE</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13137-2024</t>
        </is>
      </c>
      <c r="B1583" s="1" t="n">
        <v>45386</v>
      </c>
      <c r="C1583" s="1" t="n">
        <v>45688</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13241-2024</t>
        </is>
      </c>
      <c r="B1584" s="1" t="n">
        <v>45386</v>
      </c>
      <c r="C1584" s="1" t="n">
        <v>45688</v>
      </c>
      <c r="D1584" t="inlineStr">
        <is>
          <t>STOCKHOLMS LÄN</t>
        </is>
      </c>
      <c r="E1584" t="inlineStr">
        <is>
          <t>NORRTÄLJE</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13391-2024</t>
        </is>
      </c>
      <c r="B1585" s="1" t="n">
        <v>45387</v>
      </c>
      <c r="C1585" s="1" t="n">
        <v>45688</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13785-2024</t>
        </is>
      </c>
      <c r="B1586" s="1" t="n">
        <v>45391</v>
      </c>
      <c r="C1586" s="1" t="n">
        <v>45688</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14530-2024</t>
        </is>
      </c>
      <c r="B1587" s="1" t="n">
        <v>45394</v>
      </c>
      <c r="C1587" s="1" t="n">
        <v>45688</v>
      </c>
      <c r="D1587" t="inlineStr">
        <is>
          <t>STOCKHOLMS LÄN</t>
        </is>
      </c>
      <c r="E1587" t="inlineStr">
        <is>
          <t>NORRTÄLJE</t>
        </is>
      </c>
      <c r="F1587" t="inlineStr">
        <is>
          <t>Kyrkan</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14498-2024</t>
        </is>
      </c>
      <c r="B1588" s="1" t="n">
        <v>45394</v>
      </c>
      <c r="C1588" s="1" t="n">
        <v>45688</v>
      </c>
      <c r="D1588" t="inlineStr">
        <is>
          <t>STOCKHOLMS LÄN</t>
        </is>
      </c>
      <c r="E1588" t="inlineStr">
        <is>
          <t>NORRTÄLJE</t>
        </is>
      </c>
      <c r="F1588" t="inlineStr">
        <is>
          <t>Kyrkan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14559-2024</t>
        </is>
      </c>
      <c r="B1589" s="1" t="n">
        <v>45394</v>
      </c>
      <c r="C1589" s="1" t="n">
        <v>45688</v>
      </c>
      <c r="D1589" t="inlineStr">
        <is>
          <t>STOCKHOLMS LÄN</t>
        </is>
      </c>
      <c r="E1589" t="inlineStr">
        <is>
          <t>NORRTÄLJE</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14751-2024</t>
        </is>
      </c>
      <c r="B1590" s="1" t="n">
        <v>45397</v>
      </c>
      <c r="C1590" s="1" t="n">
        <v>45688</v>
      </c>
      <c r="D1590" t="inlineStr">
        <is>
          <t>STOCKHOLMS LÄN</t>
        </is>
      </c>
      <c r="E1590" t="inlineStr">
        <is>
          <t>NORRTÄLJE</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14762-2024</t>
        </is>
      </c>
      <c r="B1591" s="1" t="n">
        <v>45397</v>
      </c>
      <c r="C1591" s="1" t="n">
        <v>45688</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15347-2024</t>
        </is>
      </c>
      <c r="B1592" s="1" t="n">
        <v>45400</v>
      </c>
      <c r="C1592" s="1" t="n">
        <v>45688</v>
      </c>
      <c r="D1592" t="inlineStr">
        <is>
          <t>STOCKHOLMS LÄN</t>
        </is>
      </c>
      <c r="E1592" t="inlineStr">
        <is>
          <t>NORRTÄLJE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15317-2024</t>
        </is>
      </c>
      <c r="B1593" s="1" t="n">
        <v>45400</v>
      </c>
      <c r="C1593" s="1" t="n">
        <v>45688</v>
      </c>
      <c r="D1593" t="inlineStr">
        <is>
          <t>STOCKHOLMS LÄN</t>
        </is>
      </c>
      <c r="E1593" t="inlineStr">
        <is>
          <t>NORRTÄLJE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15429-2024</t>
        </is>
      </c>
      <c r="B1594" s="1" t="n">
        <v>45401</v>
      </c>
      <c r="C1594" s="1" t="n">
        <v>45688</v>
      </c>
      <c r="D1594" t="inlineStr">
        <is>
          <t>STOCKHOLMS LÄN</t>
        </is>
      </c>
      <c r="E1594" t="inlineStr">
        <is>
          <t>NORRTÄLJE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15422-2024</t>
        </is>
      </c>
      <c r="B1595" s="1" t="n">
        <v>45401</v>
      </c>
      <c r="C1595" s="1" t="n">
        <v>45688</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15470-2024</t>
        </is>
      </c>
      <c r="B1596" s="1" t="n">
        <v>45401</v>
      </c>
      <c r="C1596" s="1" t="n">
        <v>45688</v>
      </c>
      <c r="D1596" t="inlineStr">
        <is>
          <t>STOCKHOLMS LÄN</t>
        </is>
      </c>
      <c r="E1596" t="inlineStr">
        <is>
          <t>NORRTÄLJE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15428-2024</t>
        </is>
      </c>
      <c r="B1597" s="1" t="n">
        <v>45401</v>
      </c>
      <c r="C1597" s="1" t="n">
        <v>45688</v>
      </c>
      <c r="D1597" t="inlineStr">
        <is>
          <t>STOCKHOLMS LÄN</t>
        </is>
      </c>
      <c r="E1597" t="inlineStr">
        <is>
          <t>NORRTÄLJE</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15415-2024</t>
        </is>
      </c>
      <c r="B1598" s="1" t="n">
        <v>45401</v>
      </c>
      <c r="C1598" s="1" t="n">
        <v>45688</v>
      </c>
      <c r="D1598" t="inlineStr">
        <is>
          <t>STOCKHOLMS LÄN</t>
        </is>
      </c>
      <c r="E1598" t="inlineStr">
        <is>
          <t>NORRTÄLJE</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15956-2024</t>
        </is>
      </c>
      <c r="B1599" s="1" t="n">
        <v>45405</v>
      </c>
      <c r="C1599" s="1" t="n">
        <v>45688</v>
      </c>
      <c r="D1599" t="inlineStr">
        <is>
          <t>STOCKHOLMS LÄN</t>
        </is>
      </c>
      <c r="E1599" t="inlineStr">
        <is>
          <t>NORRTÄLJE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15978-2024</t>
        </is>
      </c>
      <c r="B1600" s="1" t="n">
        <v>45405</v>
      </c>
      <c r="C1600" s="1" t="n">
        <v>45688</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16072-2024</t>
        </is>
      </c>
      <c r="B1601" s="1" t="n">
        <v>45406</v>
      </c>
      <c r="C1601" s="1" t="n">
        <v>45688</v>
      </c>
      <c r="D1601" t="inlineStr">
        <is>
          <t>STOCKHOLMS LÄN</t>
        </is>
      </c>
      <c r="E1601" t="inlineStr">
        <is>
          <t>NORRTÄLJE</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16071-2024</t>
        </is>
      </c>
      <c r="B1602" s="1" t="n">
        <v>45406</v>
      </c>
      <c r="C1602" s="1" t="n">
        <v>45688</v>
      </c>
      <c r="D1602" t="inlineStr">
        <is>
          <t>STOCKHOLMS LÄN</t>
        </is>
      </c>
      <c r="E1602" t="inlineStr">
        <is>
          <t>NORRTÄLJE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16075-2024</t>
        </is>
      </c>
      <c r="B1603" s="1" t="n">
        <v>45406</v>
      </c>
      <c r="C1603" s="1" t="n">
        <v>45688</v>
      </c>
      <c r="D1603" t="inlineStr">
        <is>
          <t>STOCKHOLMS LÄN</t>
        </is>
      </c>
      <c r="E1603" t="inlineStr">
        <is>
          <t>NORRTÄLJE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16620-2024</t>
        </is>
      </c>
      <c r="B1604" s="1" t="n">
        <v>45408</v>
      </c>
      <c r="C1604" s="1" t="n">
        <v>45688</v>
      </c>
      <c r="D1604" t="inlineStr">
        <is>
          <t>STOCKHOLMS LÄN</t>
        </is>
      </c>
      <c r="E1604" t="inlineStr">
        <is>
          <t>NORRTÄLJE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16852-2024</t>
        </is>
      </c>
      <c r="B1605" s="1" t="n">
        <v>45411</v>
      </c>
      <c r="C1605" s="1" t="n">
        <v>45688</v>
      </c>
      <c r="D1605" t="inlineStr">
        <is>
          <t>STOCKHOLMS LÄN</t>
        </is>
      </c>
      <c r="E1605" t="inlineStr">
        <is>
          <t>NORRTÄLJE</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17013-2024</t>
        </is>
      </c>
      <c r="B1606" s="1" t="n">
        <v>45412</v>
      </c>
      <c r="C1606" s="1" t="n">
        <v>45688</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17039-2024</t>
        </is>
      </c>
      <c r="B1607" s="1" t="n">
        <v>45412</v>
      </c>
      <c r="C1607" s="1" t="n">
        <v>45688</v>
      </c>
      <c r="D1607" t="inlineStr">
        <is>
          <t>STOCKHOLMS LÄN</t>
        </is>
      </c>
      <c r="E1607" t="inlineStr">
        <is>
          <t>NORRTÄLJE</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17348-2024</t>
        </is>
      </c>
      <c r="B1608" s="1" t="n">
        <v>45414</v>
      </c>
      <c r="C1608" s="1" t="n">
        <v>45688</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17304-2024</t>
        </is>
      </c>
      <c r="B1609" s="1" t="n">
        <v>45414</v>
      </c>
      <c r="C1609" s="1" t="n">
        <v>45688</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17354-2024</t>
        </is>
      </c>
      <c r="B1610" s="1" t="n">
        <v>45414</v>
      </c>
      <c r="C1610" s="1" t="n">
        <v>45688</v>
      </c>
      <c r="D1610" t="inlineStr">
        <is>
          <t>STOCKHOLMS LÄN</t>
        </is>
      </c>
      <c r="E1610" t="inlineStr">
        <is>
          <t>NORRTÄLJE</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17385-2024</t>
        </is>
      </c>
      <c r="B1611" s="1" t="n">
        <v>45414</v>
      </c>
      <c r="C1611" s="1" t="n">
        <v>45688</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17382-2024</t>
        </is>
      </c>
      <c r="B1612" s="1" t="n">
        <v>45414</v>
      </c>
      <c r="C1612" s="1" t="n">
        <v>45688</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17397-2024</t>
        </is>
      </c>
      <c r="B1613" s="1" t="n">
        <v>45414</v>
      </c>
      <c r="C1613" s="1" t="n">
        <v>45688</v>
      </c>
      <c r="D1613" t="inlineStr">
        <is>
          <t>STOCKHOLMS LÄN</t>
        </is>
      </c>
      <c r="E1613" t="inlineStr">
        <is>
          <t>NORRTÄLJE</t>
        </is>
      </c>
      <c r="F1613" t="inlineStr">
        <is>
          <t>Holmen skog AB</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17554-2024</t>
        </is>
      </c>
      <c r="B1614" s="1" t="n">
        <v>45415</v>
      </c>
      <c r="C1614" s="1" t="n">
        <v>45688</v>
      </c>
      <c r="D1614" t="inlineStr">
        <is>
          <t>STOCKHOLMS LÄN</t>
        </is>
      </c>
      <c r="E1614" t="inlineStr">
        <is>
          <t>NORRTÄLJE</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17775-2024</t>
        </is>
      </c>
      <c r="B1615" s="1" t="n">
        <v>45418</v>
      </c>
      <c r="C1615" s="1" t="n">
        <v>45688</v>
      </c>
      <c r="D1615" t="inlineStr">
        <is>
          <t>STOCKHOLMS LÄN</t>
        </is>
      </c>
      <c r="E1615" t="inlineStr">
        <is>
          <t>NORRTÄLJE</t>
        </is>
      </c>
      <c r="F1615" t="inlineStr">
        <is>
          <t>Holmen skog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17785-2024</t>
        </is>
      </c>
      <c r="B1616" s="1" t="n">
        <v>45418</v>
      </c>
      <c r="C1616" s="1" t="n">
        <v>45688</v>
      </c>
      <c r="D1616" t="inlineStr">
        <is>
          <t>STOCKHOLMS LÄN</t>
        </is>
      </c>
      <c r="E1616" t="inlineStr">
        <is>
          <t>NORRTÄLJE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17843-2024</t>
        </is>
      </c>
      <c r="B1617" s="1" t="n">
        <v>45418</v>
      </c>
      <c r="C1617" s="1" t="n">
        <v>45688</v>
      </c>
      <c r="D1617" t="inlineStr">
        <is>
          <t>STOCKHOLMS LÄN</t>
        </is>
      </c>
      <c r="E1617" t="inlineStr">
        <is>
          <t>NORRTÄLJE</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18331-2024</t>
        </is>
      </c>
      <c r="B1618" s="1" t="n">
        <v>45422</v>
      </c>
      <c r="C1618" s="1" t="n">
        <v>45688</v>
      </c>
      <c r="D1618" t="inlineStr">
        <is>
          <t>STOCKHOLMS LÄN</t>
        </is>
      </c>
      <c r="E1618" t="inlineStr">
        <is>
          <t>NORRTÄLJE</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18285-2024</t>
        </is>
      </c>
      <c r="B1619" s="1" t="n">
        <v>45422</v>
      </c>
      <c r="C1619" s="1" t="n">
        <v>45688</v>
      </c>
      <c r="D1619" t="inlineStr">
        <is>
          <t>STOCKHOLMS LÄN</t>
        </is>
      </c>
      <c r="E1619" t="inlineStr">
        <is>
          <t>NORRTÄLJE</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18287-2024</t>
        </is>
      </c>
      <c r="B1620" s="1" t="n">
        <v>45422</v>
      </c>
      <c r="C1620" s="1" t="n">
        <v>45688</v>
      </c>
      <c r="D1620" t="inlineStr">
        <is>
          <t>STOCKHOLMS LÄN</t>
        </is>
      </c>
      <c r="E1620" t="inlineStr">
        <is>
          <t>NORRTÄLJE</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19058-2024</t>
        </is>
      </c>
      <c r="B1621" s="1" t="n">
        <v>45427</v>
      </c>
      <c r="C1621" s="1" t="n">
        <v>45688</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19057-2024</t>
        </is>
      </c>
      <c r="B1622" s="1" t="n">
        <v>45427</v>
      </c>
      <c r="C1622" s="1" t="n">
        <v>45688</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19150-2024</t>
        </is>
      </c>
      <c r="B1623" s="1" t="n">
        <v>45428</v>
      </c>
      <c r="C1623" s="1" t="n">
        <v>45688</v>
      </c>
      <c r="D1623" t="inlineStr">
        <is>
          <t>STOCKHOLMS LÄN</t>
        </is>
      </c>
      <c r="E1623" t="inlineStr">
        <is>
          <t>NORRTÄLJE</t>
        </is>
      </c>
      <c r="F1623" t="inlineStr">
        <is>
          <t>Holmen skog AB</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19915-2024</t>
        </is>
      </c>
      <c r="B1624" s="1" t="n">
        <v>45433</v>
      </c>
      <c r="C1624" s="1" t="n">
        <v>45688</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19919-2024</t>
        </is>
      </c>
      <c r="B1625" s="1" t="n">
        <v>45433</v>
      </c>
      <c r="C1625" s="1" t="n">
        <v>45688</v>
      </c>
      <c r="D1625" t="inlineStr">
        <is>
          <t>STOCKHOLMS LÄN</t>
        </is>
      </c>
      <c r="E1625" t="inlineStr">
        <is>
          <t>NORRTÄLJE</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20336-2024</t>
        </is>
      </c>
      <c r="B1626" s="1" t="n">
        <v>45435</v>
      </c>
      <c r="C1626" s="1" t="n">
        <v>45688</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20345-2024</t>
        </is>
      </c>
      <c r="B1627" s="1" t="n">
        <v>45435</v>
      </c>
      <c r="C1627" s="1" t="n">
        <v>45688</v>
      </c>
      <c r="D1627" t="inlineStr">
        <is>
          <t>STOCKHOLMS LÄN</t>
        </is>
      </c>
      <c r="E1627" t="inlineStr">
        <is>
          <t>NORRTÄLJE</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20343-2024</t>
        </is>
      </c>
      <c r="B1628" s="1" t="n">
        <v>45435</v>
      </c>
      <c r="C1628" s="1" t="n">
        <v>45688</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20393-2024</t>
        </is>
      </c>
      <c r="B1629" s="1" t="n">
        <v>45435</v>
      </c>
      <c r="C1629" s="1" t="n">
        <v>45688</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20445-2024</t>
        </is>
      </c>
      <c r="B1630" s="1" t="n">
        <v>45435</v>
      </c>
      <c r="C1630" s="1" t="n">
        <v>45688</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20428-2024</t>
        </is>
      </c>
      <c r="B1631" s="1" t="n">
        <v>45435</v>
      </c>
      <c r="C1631" s="1" t="n">
        <v>45688</v>
      </c>
      <c r="D1631" t="inlineStr">
        <is>
          <t>STOCKHOLMS LÄN</t>
        </is>
      </c>
      <c r="E1631" t="inlineStr">
        <is>
          <t>NORRTÄLJE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20460-2024</t>
        </is>
      </c>
      <c r="B1632" s="1" t="n">
        <v>45435</v>
      </c>
      <c r="C1632" s="1" t="n">
        <v>45688</v>
      </c>
      <c r="D1632" t="inlineStr">
        <is>
          <t>STOCKHOLMS LÄN</t>
        </is>
      </c>
      <c r="E1632" t="inlineStr">
        <is>
          <t>NORRTÄLJE</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20464-2024</t>
        </is>
      </c>
      <c r="B1633" s="1" t="n">
        <v>45435</v>
      </c>
      <c r="C1633" s="1" t="n">
        <v>45688</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20431-2024</t>
        </is>
      </c>
      <c r="B1634" s="1" t="n">
        <v>45435</v>
      </c>
      <c r="C1634" s="1" t="n">
        <v>45688</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20680-2024</t>
        </is>
      </c>
      <c r="B1635" s="1" t="n">
        <v>45436</v>
      </c>
      <c r="C1635" s="1" t="n">
        <v>45688</v>
      </c>
      <c r="D1635" t="inlineStr">
        <is>
          <t>STOCKHOLMS LÄN</t>
        </is>
      </c>
      <c r="E1635" t="inlineStr">
        <is>
          <t>NORRTÄLJE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20698-2024</t>
        </is>
      </c>
      <c r="B1636" s="1" t="n">
        <v>45436</v>
      </c>
      <c r="C1636" s="1" t="n">
        <v>45688</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20730-2024</t>
        </is>
      </c>
      <c r="B1637" s="1" t="n">
        <v>45436</v>
      </c>
      <c r="C1637" s="1" t="n">
        <v>45688</v>
      </c>
      <c r="D1637" t="inlineStr">
        <is>
          <t>STOCKHOLMS LÄN</t>
        </is>
      </c>
      <c r="E1637" t="inlineStr">
        <is>
          <t>NORRTÄLJE</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20825-2024</t>
        </is>
      </c>
      <c r="B1638" s="1" t="n">
        <v>45439</v>
      </c>
      <c r="C1638" s="1" t="n">
        <v>45688</v>
      </c>
      <c r="D1638" t="inlineStr">
        <is>
          <t>STOCKHOLMS LÄN</t>
        </is>
      </c>
      <c r="E1638" t="inlineStr">
        <is>
          <t>NORRTÄLJE</t>
        </is>
      </c>
      <c r="F1638" t="inlineStr">
        <is>
          <t>Holmen skog AB</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20836-2024</t>
        </is>
      </c>
      <c r="B1639" s="1" t="n">
        <v>45439</v>
      </c>
      <c r="C1639" s="1" t="n">
        <v>45688</v>
      </c>
      <c r="D1639" t="inlineStr">
        <is>
          <t>STOCKHOLMS LÄN</t>
        </is>
      </c>
      <c r="E1639" t="inlineStr">
        <is>
          <t>NORRTÄLJE</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21066-2024</t>
        </is>
      </c>
      <c r="B1640" s="1" t="n">
        <v>45439</v>
      </c>
      <c r="C1640" s="1" t="n">
        <v>45688</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21729-2024</t>
        </is>
      </c>
      <c r="B1641" s="1" t="n">
        <v>45442</v>
      </c>
      <c r="C1641" s="1" t="n">
        <v>45688</v>
      </c>
      <c r="D1641" t="inlineStr">
        <is>
          <t>STOCKHOLMS LÄN</t>
        </is>
      </c>
      <c r="E1641" t="inlineStr">
        <is>
          <t>NORRTÄLJE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21696-2024</t>
        </is>
      </c>
      <c r="B1642" s="1" t="n">
        <v>45442</v>
      </c>
      <c r="C1642" s="1" t="n">
        <v>45688</v>
      </c>
      <c r="D1642" t="inlineStr">
        <is>
          <t>STOCKHOLMS LÄN</t>
        </is>
      </c>
      <c r="E1642" t="inlineStr">
        <is>
          <t>NORRTÄLJE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22008-2024</t>
        </is>
      </c>
      <c r="B1643" s="1" t="n">
        <v>45443</v>
      </c>
      <c r="C1643" s="1" t="n">
        <v>45688</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22232-2024</t>
        </is>
      </c>
      <c r="B1644" s="1" t="n">
        <v>45446</v>
      </c>
      <c r="C1644" s="1" t="n">
        <v>45688</v>
      </c>
      <c r="D1644" t="inlineStr">
        <is>
          <t>STOCKHOLMS LÄN</t>
        </is>
      </c>
      <c r="E1644" t="inlineStr">
        <is>
          <t>NORRTÄLJE</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22190-2024</t>
        </is>
      </c>
      <c r="B1645" s="1" t="n">
        <v>45446</v>
      </c>
      <c r="C1645" s="1" t="n">
        <v>45688</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22231-2024</t>
        </is>
      </c>
      <c r="B1646" s="1" t="n">
        <v>45446</v>
      </c>
      <c r="C1646" s="1" t="n">
        <v>45688</v>
      </c>
      <c r="D1646" t="inlineStr">
        <is>
          <t>STOCKHOLMS LÄN</t>
        </is>
      </c>
      <c r="E1646" t="inlineStr">
        <is>
          <t>NORRTÄLJE</t>
        </is>
      </c>
      <c r="F1646" t="inlineStr">
        <is>
          <t>Holmen skog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22833-2024</t>
        </is>
      </c>
      <c r="B1647" s="1" t="n">
        <v>45448</v>
      </c>
      <c r="C1647" s="1" t="n">
        <v>45688</v>
      </c>
      <c r="D1647" t="inlineStr">
        <is>
          <t>STOCKHOLMS LÄN</t>
        </is>
      </c>
      <c r="E1647" t="inlineStr">
        <is>
          <t>NORRTÄLJE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23018-2024</t>
        </is>
      </c>
      <c r="B1648" s="1" t="n">
        <v>45450</v>
      </c>
      <c r="C1648" s="1" t="n">
        <v>45688</v>
      </c>
      <c r="D1648" t="inlineStr">
        <is>
          <t>STOCKHOLMS LÄN</t>
        </is>
      </c>
      <c r="E1648" t="inlineStr">
        <is>
          <t>NORRTÄLJE</t>
        </is>
      </c>
      <c r="G1648" t="n">
        <v>10.2</v>
      </c>
      <c r="H1648" t="n">
        <v>0</v>
      </c>
      <c r="I1648" t="n">
        <v>0</v>
      </c>
      <c r="J1648" t="n">
        <v>0</v>
      </c>
      <c r="K1648" t="n">
        <v>0</v>
      </c>
      <c r="L1648" t="n">
        <v>0</v>
      </c>
      <c r="M1648" t="n">
        <v>0</v>
      </c>
      <c r="N1648" t="n">
        <v>0</v>
      </c>
      <c r="O1648" t="n">
        <v>0</v>
      </c>
      <c r="P1648" t="n">
        <v>0</v>
      </c>
      <c r="Q1648" t="n">
        <v>0</v>
      </c>
      <c r="R1648" s="2" t="inlineStr"/>
    </row>
    <row r="1649" ht="15" customHeight="1">
      <c r="A1649" t="inlineStr">
        <is>
          <t>A 23149-2024</t>
        </is>
      </c>
      <c r="B1649" s="1" t="n">
        <v>45450</v>
      </c>
      <c r="C1649" s="1" t="n">
        <v>45688</v>
      </c>
      <c r="D1649" t="inlineStr">
        <is>
          <t>STOCKHOLMS LÄN</t>
        </is>
      </c>
      <c r="E1649" t="inlineStr">
        <is>
          <t>NORRTÄLJE</t>
        </is>
      </c>
      <c r="F1649" t="inlineStr">
        <is>
          <t>Kommuner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23150-2024</t>
        </is>
      </c>
      <c r="B1650" s="1" t="n">
        <v>45450</v>
      </c>
      <c r="C1650" s="1" t="n">
        <v>45688</v>
      </c>
      <c r="D1650" t="inlineStr">
        <is>
          <t>STOCKHOLMS LÄN</t>
        </is>
      </c>
      <c r="E1650" t="inlineStr">
        <is>
          <t>NORRTÄLJE</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23151-2024</t>
        </is>
      </c>
      <c r="B1651" s="1" t="n">
        <v>45450</v>
      </c>
      <c r="C1651" s="1" t="n">
        <v>45688</v>
      </c>
      <c r="D1651" t="inlineStr">
        <is>
          <t>STOCKHOLMS LÄN</t>
        </is>
      </c>
      <c r="E1651" t="inlineStr">
        <is>
          <t>NORRTÄLJE</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23307-2024</t>
        </is>
      </c>
      <c r="B1652" s="1" t="n">
        <v>45453</v>
      </c>
      <c r="C1652" s="1" t="n">
        <v>45688</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23683-2024</t>
        </is>
      </c>
      <c r="B1653" s="1" t="n">
        <v>45454</v>
      </c>
      <c r="C1653" s="1" t="n">
        <v>45688</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23692-2024</t>
        </is>
      </c>
      <c r="B1654" s="1" t="n">
        <v>45454</v>
      </c>
      <c r="C1654" s="1" t="n">
        <v>45688</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23572-2024</t>
        </is>
      </c>
      <c r="B1655" s="1" t="n">
        <v>45454</v>
      </c>
      <c r="C1655" s="1" t="n">
        <v>45688</v>
      </c>
      <c r="D1655" t="inlineStr">
        <is>
          <t>STOCKHOLMS LÄN</t>
        </is>
      </c>
      <c r="E1655" t="inlineStr">
        <is>
          <t>NORRTÄLJE</t>
        </is>
      </c>
      <c r="F1655" t="inlineStr">
        <is>
          <t>Kyrkan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23749-2024</t>
        </is>
      </c>
      <c r="B1656" s="1" t="n">
        <v>45455</v>
      </c>
      <c r="C1656" s="1" t="n">
        <v>45688</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23755-2024</t>
        </is>
      </c>
      <c r="B1657" s="1" t="n">
        <v>45455</v>
      </c>
      <c r="C1657" s="1" t="n">
        <v>45688</v>
      </c>
      <c r="D1657" t="inlineStr">
        <is>
          <t>STOCKHOLMS LÄN</t>
        </is>
      </c>
      <c r="E1657" t="inlineStr">
        <is>
          <t>NORRTÄLJE</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23998-2024</t>
        </is>
      </c>
      <c r="B1658" s="1" t="n">
        <v>45456</v>
      </c>
      <c r="C1658" s="1" t="n">
        <v>45688</v>
      </c>
      <c r="D1658" t="inlineStr">
        <is>
          <t>STOCKHOLMS LÄN</t>
        </is>
      </c>
      <c r="E1658" t="inlineStr">
        <is>
          <t>NORRTÄLJE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24027-2024</t>
        </is>
      </c>
      <c r="B1659" s="1" t="n">
        <v>45456</v>
      </c>
      <c r="C1659" s="1" t="n">
        <v>45688</v>
      </c>
      <c r="D1659" t="inlineStr">
        <is>
          <t>STOCKHOLMS LÄN</t>
        </is>
      </c>
      <c r="E1659" t="inlineStr">
        <is>
          <t>NORRTÄLJE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24024-2024</t>
        </is>
      </c>
      <c r="B1660" s="1" t="n">
        <v>45456</v>
      </c>
      <c r="C1660" s="1" t="n">
        <v>45688</v>
      </c>
      <c r="D1660" t="inlineStr">
        <is>
          <t>STOCKHOLMS LÄN</t>
        </is>
      </c>
      <c r="E1660" t="inlineStr">
        <is>
          <t>NORRTÄLJE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23991-2024</t>
        </is>
      </c>
      <c r="B1661" s="1" t="n">
        <v>45456</v>
      </c>
      <c r="C1661" s="1" t="n">
        <v>45688</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24021-2024</t>
        </is>
      </c>
      <c r="B1662" s="1" t="n">
        <v>45456</v>
      </c>
      <c r="C1662" s="1" t="n">
        <v>45688</v>
      </c>
      <c r="D1662" t="inlineStr">
        <is>
          <t>STOCKHOLMS LÄN</t>
        </is>
      </c>
      <c r="E1662" t="inlineStr">
        <is>
          <t>NORRTÄLJE</t>
        </is>
      </c>
      <c r="G1662" t="n">
        <v>17.5</v>
      </c>
      <c r="H1662" t="n">
        <v>0</v>
      </c>
      <c r="I1662" t="n">
        <v>0</v>
      </c>
      <c r="J1662" t="n">
        <v>0</v>
      </c>
      <c r="K1662" t="n">
        <v>0</v>
      </c>
      <c r="L1662" t="n">
        <v>0</v>
      </c>
      <c r="M1662" t="n">
        <v>0</v>
      </c>
      <c r="N1662" t="n">
        <v>0</v>
      </c>
      <c r="O1662" t="n">
        <v>0</v>
      </c>
      <c r="P1662" t="n">
        <v>0</v>
      </c>
      <c r="Q1662" t="n">
        <v>0</v>
      </c>
      <c r="R1662" s="2" t="inlineStr"/>
    </row>
    <row r="1663" ht="15" customHeight="1">
      <c r="A1663" t="inlineStr">
        <is>
          <t>A 24022-2024</t>
        </is>
      </c>
      <c r="B1663" s="1" t="n">
        <v>45456</v>
      </c>
      <c r="C1663" s="1" t="n">
        <v>45688</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24245-2024</t>
        </is>
      </c>
      <c r="B1664" s="1" t="n">
        <v>45457</v>
      </c>
      <c r="C1664" s="1" t="n">
        <v>45688</v>
      </c>
      <c r="D1664" t="inlineStr">
        <is>
          <t>STOCKHOLMS LÄN</t>
        </is>
      </c>
      <c r="E1664" t="inlineStr">
        <is>
          <t>NORRTÄLJE</t>
        </is>
      </c>
      <c r="F1664" t="inlineStr">
        <is>
          <t>Holmen skog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24357-2024</t>
        </is>
      </c>
      <c r="B1665" s="1" t="n">
        <v>45457</v>
      </c>
      <c r="C1665" s="1" t="n">
        <v>45688</v>
      </c>
      <c r="D1665" t="inlineStr">
        <is>
          <t>STOCKHOLMS LÄN</t>
        </is>
      </c>
      <c r="E1665" t="inlineStr">
        <is>
          <t>NORRTÄLJE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24731-2024</t>
        </is>
      </c>
      <c r="B1666" s="1" t="n">
        <v>45460</v>
      </c>
      <c r="C1666" s="1" t="n">
        <v>45688</v>
      </c>
      <c r="D1666" t="inlineStr">
        <is>
          <t>STOCKHOLMS LÄN</t>
        </is>
      </c>
      <c r="E1666" t="inlineStr">
        <is>
          <t>NORRTÄLJE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24575-2024</t>
        </is>
      </c>
      <c r="B1667" s="1" t="n">
        <v>45460</v>
      </c>
      <c r="C1667" s="1" t="n">
        <v>45688</v>
      </c>
      <c r="D1667" t="inlineStr">
        <is>
          <t>STOCKHOLMS LÄN</t>
        </is>
      </c>
      <c r="E1667" t="inlineStr">
        <is>
          <t>NORRTÄLJE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24563-2024</t>
        </is>
      </c>
      <c r="B1668" s="1" t="n">
        <v>45460</v>
      </c>
      <c r="C1668" s="1" t="n">
        <v>45688</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24610-2024</t>
        </is>
      </c>
      <c r="B1669" s="1" t="n">
        <v>45460</v>
      </c>
      <c r="C1669" s="1" t="n">
        <v>45688</v>
      </c>
      <c r="D1669" t="inlineStr">
        <is>
          <t>STOCKHOLMS LÄN</t>
        </is>
      </c>
      <c r="E1669" t="inlineStr">
        <is>
          <t>NORRTÄLJE</t>
        </is>
      </c>
      <c r="G1669" t="n">
        <v>18.4</v>
      </c>
      <c r="H1669" t="n">
        <v>0</v>
      </c>
      <c r="I1669" t="n">
        <v>0</v>
      </c>
      <c r="J1669" t="n">
        <v>0</v>
      </c>
      <c r="K1669" t="n">
        <v>0</v>
      </c>
      <c r="L1669" t="n">
        <v>0</v>
      </c>
      <c r="M1669" t="n">
        <v>0</v>
      </c>
      <c r="N1669" t="n">
        <v>0</v>
      </c>
      <c r="O1669" t="n">
        <v>0</v>
      </c>
      <c r="P1669" t="n">
        <v>0</v>
      </c>
      <c r="Q1669" t="n">
        <v>0</v>
      </c>
      <c r="R1669" s="2" t="inlineStr"/>
    </row>
    <row r="1670" ht="15" customHeight="1">
      <c r="A1670" t="inlineStr">
        <is>
          <t>A 24730-2024</t>
        </is>
      </c>
      <c r="B1670" s="1" t="n">
        <v>45460</v>
      </c>
      <c r="C1670" s="1" t="n">
        <v>45688</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25301-2024</t>
        </is>
      </c>
      <c r="B1671" s="1" t="n">
        <v>45462</v>
      </c>
      <c r="C1671" s="1" t="n">
        <v>45688</v>
      </c>
      <c r="D1671" t="inlineStr">
        <is>
          <t>STOCKHOLMS LÄN</t>
        </is>
      </c>
      <c r="E1671" t="inlineStr">
        <is>
          <t>NORRTÄLJE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25055-2024</t>
        </is>
      </c>
      <c r="B1672" s="1" t="n">
        <v>45462</v>
      </c>
      <c r="C1672" s="1" t="n">
        <v>45688</v>
      </c>
      <c r="D1672" t="inlineStr">
        <is>
          <t>STOCKHOLMS LÄN</t>
        </is>
      </c>
      <c r="E1672" t="inlineStr">
        <is>
          <t>NORRTÄLJE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25565-2024</t>
        </is>
      </c>
      <c r="B1673" s="1" t="n">
        <v>45463</v>
      </c>
      <c r="C1673" s="1" t="n">
        <v>45688</v>
      </c>
      <c r="D1673" t="inlineStr">
        <is>
          <t>STOCKHOLMS LÄN</t>
        </is>
      </c>
      <c r="E1673" t="inlineStr">
        <is>
          <t>NORRTÄLJE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25681-2024</t>
        </is>
      </c>
      <c r="B1674" s="1" t="n">
        <v>45463</v>
      </c>
      <c r="C1674" s="1" t="n">
        <v>45688</v>
      </c>
      <c r="D1674" t="inlineStr">
        <is>
          <t>STOCKHOLMS LÄN</t>
        </is>
      </c>
      <c r="E1674" t="inlineStr">
        <is>
          <t>NORRTÄLJE</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25817-2024</t>
        </is>
      </c>
      <c r="B1675" s="1" t="n">
        <v>45467</v>
      </c>
      <c r="C1675" s="1" t="n">
        <v>45688</v>
      </c>
      <c r="D1675" t="inlineStr">
        <is>
          <t>STOCKHOLMS LÄN</t>
        </is>
      </c>
      <c r="E1675" t="inlineStr">
        <is>
          <t>NORRTÄLJE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26116-2024</t>
        </is>
      </c>
      <c r="B1676" s="1" t="n">
        <v>45468</v>
      </c>
      <c r="C1676" s="1" t="n">
        <v>45688</v>
      </c>
      <c r="D1676" t="inlineStr">
        <is>
          <t>STOCKHOLMS LÄN</t>
        </is>
      </c>
      <c r="E1676" t="inlineStr">
        <is>
          <t>NORRTÄLJE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26115-2024</t>
        </is>
      </c>
      <c r="B1677" s="1" t="n">
        <v>45468</v>
      </c>
      <c r="C1677" s="1" t="n">
        <v>45688</v>
      </c>
      <c r="D1677" t="inlineStr">
        <is>
          <t>STOCKHOLMS LÄN</t>
        </is>
      </c>
      <c r="E1677" t="inlineStr">
        <is>
          <t>NORRTÄLJE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26067-2024</t>
        </is>
      </c>
      <c r="B1678" s="1" t="n">
        <v>45468</v>
      </c>
      <c r="C1678" s="1" t="n">
        <v>45688</v>
      </c>
      <c r="D1678" t="inlineStr">
        <is>
          <t>STOCKHOLMS LÄN</t>
        </is>
      </c>
      <c r="E1678" t="inlineStr">
        <is>
          <t>NORRTÄLJE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26117-2024</t>
        </is>
      </c>
      <c r="B1679" s="1" t="n">
        <v>45468</v>
      </c>
      <c r="C1679" s="1" t="n">
        <v>45688</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26113-2024</t>
        </is>
      </c>
      <c r="B1680" s="1" t="n">
        <v>45468</v>
      </c>
      <c r="C1680" s="1" t="n">
        <v>45688</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26090-2024</t>
        </is>
      </c>
      <c r="B1681" s="1" t="n">
        <v>45468</v>
      </c>
      <c r="C1681" s="1" t="n">
        <v>45688</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26355-2024</t>
        </is>
      </c>
      <c r="B1682" s="1" t="n">
        <v>45469</v>
      </c>
      <c r="C1682" s="1" t="n">
        <v>45688</v>
      </c>
      <c r="D1682" t="inlineStr">
        <is>
          <t>STOCKHOLMS LÄN</t>
        </is>
      </c>
      <c r="E1682" t="inlineStr">
        <is>
          <t>NORRTÄLJE</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26359-2024</t>
        </is>
      </c>
      <c r="B1683" s="1" t="n">
        <v>45469</v>
      </c>
      <c r="C1683" s="1" t="n">
        <v>45688</v>
      </c>
      <c r="D1683" t="inlineStr">
        <is>
          <t>STOCKHOLMS LÄN</t>
        </is>
      </c>
      <c r="E1683" t="inlineStr">
        <is>
          <t>NORRTÄLJE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26365-2024</t>
        </is>
      </c>
      <c r="B1684" s="1" t="n">
        <v>45469</v>
      </c>
      <c r="C1684" s="1" t="n">
        <v>45688</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26526-2024</t>
        </is>
      </c>
      <c r="B1685" s="1" t="n">
        <v>45469</v>
      </c>
      <c r="C1685" s="1" t="n">
        <v>45688</v>
      </c>
      <c r="D1685" t="inlineStr">
        <is>
          <t>STOCKHOLMS LÄN</t>
        </is>
      </c>
      <c r="E1685" t="inlineStr">
        <is>
          <t>NORRTÄLJE</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26407-2024</t>
        </is>
      </c>
      <c r="B1686" s="1" t="n">
        <v>45469</v>
      </c>
      <c r="C1686" s="1" t="n">
        <v>45688</v>
      </c>
      <c r="D1686" t="inlineStr">
        <is>
          <t>STOCKHOLMS LÄN</t>
        </is>
      </c>
      <c r="E1686" t="inlineStr">
        <is>
          <t>NORRTÄLJE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26600-2024</t>
        </is>
      </c>
      <c r="B1687" s="1" t="n">
        <v>45469</v>
      </c>
      <c r="C1687" s="1" t="n">
        <v>45688</v>
      </c>
      <c r="D1687" t="inlineStr">
        <is>
          <t>STOCKHOLMS LÄN</t>
        </is>
      </c>
      <c r="E1687" t="inlineStr">
        <is>
          <t>NORRTÄLJE</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26612-2024</t>
        </is>
      </c>
      <c r="B1688" s="1" t="n">
        <v>45469</v>
      </c>
      <c r="C1688" s="1" t="n">
        <v>45688</v>
      </c>
      <c r="D1688" t="inlineStr">
        <is>
          <t>STOCKHOLMS LÄN</t>
        </is>
      </c>
      <c r="E1688" t="inlineStr">
        <is>
          <t>NORRTÄLJE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26644-2024</t>
        </is>
      </c>
      <c r="B1689" s="1" t="n">
        <v>45469</v>
      </c>
      <c r="C1689" s="1" t="n">
        <v>45688</v>
      </c>
      <c r="D1689" t="inlineStr">
        <is>
          <t>STOCKHOLMS LÄN</t>
        </is>
      </c>
      <c r="E1689" t="inlineStr">
        <is>
          <t>NORRTÄLJE</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26668-2024</t>
        </is>
      </c>
      <c r="B1690" s="1" t="n">
        <v>45469</v>
      </c>
      <c r="C1690" s="1" t="n">
        <v>45688</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26698-2024</t>
        </is>
      </c>
      <c r="B1691" s="1" t="n">
        <v>45470</v>
      </c>
      <c r="C1691" s="1" t="n">
        <v>45688</v>
      </c>
      <c r="D1691" t="inlineStr">
        <is>
          <t>STOCKHOLMS LÄN</t>
        </is>
      </c>
      <c r="E1691" t="inlineStr">
        <is>
          <t>NORRTÄLJE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27059-2024</t>
        </is>
      </c>
      <c r="B1692" s="1" t="n">
        <v>45471</v>
      </c>
      <c r="C1692" s="1" t="n">
        <v>45688</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27248-2024</t>
        </is>
      </c>
      <c r="B1693" s="1" t="n">
        <v>45471</v>
      </c>
      <c r="C1693" s="1" t="n">
        <v>45688</v>
      </c>
      <c r="D1693" t="inlineStr">
        <is>
          <t>STOCKHOLMS LÄN</t>
        </is>
      </c>
      <c r="E1693" t="inlineStr">
        <is>
          <t>NORRTÄLJE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27381-2024</t>
        </is>
      </c>
      <c r="B1694" s="1" t="n">
        <v>45474</v>
      </c>
      <c r="C1694" s="1" t="n">
        <v>45688</v>
      </c>
      <c r="D1694" t="inlineStr">
        <is>
          <t>STOCKHOLMS LÄN</t>
        </is>
      </c>
      <c r="E1694" t="inlineStr">
        <is>
          <t>NORRTÄLJE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27831-2024</t>
        </is>
      </c>
      <c r="B1695" s="1" t="n">
        <v>45475</v>
      </c>
      <c r="C1695" s="1" t="n">
        <v>45688</v>
      </c>
      <c r="D1695" t="inlineStr">
        <is>
          <t>STOCKHOLMS LÄN</t>
        </is>
      </c>
      <c r="E1695" t="inlineStr">
        <is>
          <t>NORRTÄLJE</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28190-2024</t>
        </is>
      </c>
      <c r="B1696" s="1" t="n">
        <v>45477</v>
      </c>
      <c r="C1696" s="1" t="n">
        <v>45688</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28245-2024</t>
        </is>
      </c>
      <c r="B1697" s="1" t="n">
        <v>45477</v>
      </c>
      <c r="C1697" s="1" t="n">
        <v>45688</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28200-2024</t>
        </is>
      </c>
      <c r="B1698" s="1" t="n">
        <v>45477</v>
      </c>
      <c r="C1698" s="1" t="n">
        <v>45688</v>
      </c>
      <c r="D1698" t="inlineStr">
        <is>
          <t>STOCKHOLMS LÄN</t>
        </is>
      </c>
      <c r="E1698" t="inlineStr">
        <is>
          <t>NORRTÄLJE</t>
        </is>
      </c>
      <c r="F1698" t="inlineStr">
        <is>
          <t>Kyrkan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28603-2024</t>
        </is>
      </c>
      <c r="B1699" s="1" t="n">
        <v>45478</v>
      </c>
      <c r="C1699" s="1" t="n">
        <v>45688</v>
      </c>
      <c r="D1699" t="inlineStr">
        <is>
          <t>STOCKHOLMS LÄN</t>
        </is>
      </c>
      <c r="E1699" t="inlineStr">
        <is>
          <t>NORRTÄLJE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28764-2024</t>
        </is>
      </c>
      <c r="B1700" s="1" t="n">
        <v>45478</v>
      </c>
      <c r="C1700" s="1" t="n">
        <v>45688</v>
      </c>
      <c r="D1700" t="inlineStr">
        <is>
          <t>STOCKHOLMS LÄN</t>
        </is>
      </c>
      <c r="E1700" t="inlineStr">
        <is>
          <t>NORRTÄLJE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29210-2024</t>
        </is>
      </c>
      <c r="B1701" s="1" t="n">
        <v>45482</v>
      </c>
      <c r="C1701" s="1" t="n">
        <v>45688</v>
      </c>
      <c r="D1701" t="inlineStr">
        <is>
          <t>STOCKHOLMS LÄN</t>
        </is>
      </c>
      <c r="E1701" t="inlineStr">
        <is>
          <t>NORRTÄLJE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29176-2024</t>
        </is>
      </c>
      <c r="B1702" s="1" t="n">
        <v>45482</v>
      </c>
      <c r="C1702" s="1" t="n">
        <v>45688</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29369-2024</t>
        </is>
      </c>
      <c r="B1703" s="1" t="n">
        <v>45483</v>
      </c>
      <c r="C1703" s="1" t="n">
        <v>45688</v>
      </c>
      <c r="D1703" t="inlineStr">
        <is>
          <t>STOCKHOLMS LÄN</t>
        </is>
      </c>
      <c r="E1703" t="inlineStr">
        <is>
          <t>NORRTÄLJE</t>
        </is>
      </c>
      <c r="G1703" t="n">
        <v>15.9</v>
      </c>
      <c r="H1703" t="n">
        <v>0</v>
      </c>
      <c r="I1703" t="n">
        <v>0</v>
      </c>
      <c r="J1703" t="n">
        <v>0</v>
      </c>
      <c r="K1703" t="n">
        <v>0</v>
      </c>
      <c r="L1703" t="n">
        <v>0</v>
      </c>
      <c r="M1703" t="n">
        <v>0</v>
      </c>
      <c r="N1703" t="n">
        <v>0</v>
      </c>
      <c r="O1703" t="n">
        <v>0</v>
      </c>
      <c r="P1703" t="n">
        <v>0</v>
      </c>
      <c r="Q1703" t="n">
        <v>0</v>
      </c>
      <c r="R1703" s="2" t="inlineStr"/>
    </row>
    <row r="1704" ht="15" customHeight="1">
      <c r="A1704" t="inlineStr">
        <is>
          <t>A 29419-2024</t>
        </is>
      </c>
      <c r="B1704" s="1" t="n">
        <v>45483</v>
      </c>
      <c r="C1704" s="1" t="n">
        <v>45688</v>
      </c>
      <c r="D1704" t="inlineStr">
        <is>
          <t>STOCKHOLMS LÄN</t>
        </is>
      </c>
      <c r="E1704" t="inlineStr">
        <is>
          <t>NORRTÄLJE</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29504-2024</t>
        </is>
      </c>
      <c r="B1705" s="1" t="n">
        <v>45484</v>
      </c>
      <c r="C1705" s="1" t="n">
        <v>45688</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29589-2024</t>
        </is>
      </c>
      <c r="B1706" s="1" t="n">
        <v>45484</v>
      </c>
      <c r="C1706" s="1" t="n">
        <v>45688</v>
      </c>
      <c r="D1706" t="inlineStr">
        <is>
          <t>STOCKHOLMS LÄN</t>
        </is>
      </c>
      <c r="E1706" t="inlineStr">
        <is>
          <t>NORRTÄLJE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29583-2024</t>
        </is>
      </c>
      <c r="B1707" s="1" t="n">
        <v>45484</v>
      </c>
      <c r="C1707" s="1" t="n">
        <v>45688</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29578-2024</t>
        </is>
      </c>
      <c r="B1708" s="1" t="n">
        <v>45484</v>
      </c>
      <c r="C1708" s="1" t="n">
        <v>45688</v>
      </c>
      <c r="D1708" t="inlineStr">
        <is>
          <t>STOCKHOLMS LÄN</t>
        </is>
      </c>
      <c r="E1708" t="inlineStr">
        <is>
          <t>NORRTÄLJE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29505-2024</t>
        </is>
      </c>
      <c r="B1709" s="1" t="n">
        <v>45484</v>
      </c>
      <c r="C1709" s="1" t="n">
        <v>45688</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29972-2024</t>
        </is>
      </c>
      <c r="B1710" s="1" t="n">
        <v>45485</v>
      </c>
      <c r="C1710" s="1" t="n">
        <v>45688</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29841-2024</t>
        </is>
      </c>
      <c r="B1711" s="1" t="n">
        <v>45485</v>
      </c>
      <c r="C1711" s="1" t="n">
        <v>45688</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30108-2024</t>
        </is>
      </c>
      <c r="B1712" s="1" t="n">
        <v>45487</v>
      </c>
      <c r="C1712" s="1" t="n">
        <v>45688</v>
      </c>
      <c r="D1712" t="inlineStr">
        <is>
          <t>STOCKHOLMS LÄN</t>
        </is>
      </c>
      <c r="E1712" t="inlineStr">
        <is>
          <t>NORRTÄLJE</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30033-2024</t>
        </is>
      </c>
      <c r="B1713" s="1" t="n">
        <v>45488</v>
      </c>
      <c r="C1713" s="1" t="n">
        <v>45688</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29994-2024</t>
        </is>
      </c>
      <c r="B1714" s="1" t="n">
        <v>45488</v>
      </c>
      <c r="C1714" s="1" t="n">
        <v>45688</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30096-2024</t>
        </is>
      </c>
      <c r="B1715" s="1" t="n">
        <v>45489</v>
      </c>
      <c r="C1715" s="1" t="n">
        <v>45688</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30221-2024</t>
        </is>
      </c>
      <c r="B1716" s="1" t="n">
        <v>45490</v>
      </c>
      <c r="C1716" s="1" t="n">
        <v>45688</v>
      </c>
      <c r="D1716" t="inlineStr">
        <is>
          <t>STOCKHOLMS LÄN</t>
        </is>
      </c>
      <c r="E1716" t="inlineStr">
        <is>
          <t>NORRTÄLJE</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30268-2024</t>
        </is>
      </c>
      <c r="B1717" s="1" t="n">
        <v>45490</v>
      </c>
      <c r="C1717" s="1" t="n">
        <v>45688</v>
      </c>
      <c r="D1717" t="inlineStr">
        <is>
          <t>STOCKHOLMS LÄN</t>
        </is>
      </c>
      <c r="E1717" t="inlineStr">
        <is>
          <t>NORRTÄLJE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30323-2024</t>
        </is>
      </c>
      <c r="B1718" s="1" t="n">
        <v>45490</v>
      </c>
      <c r="C1718" s="1" t="n">
        <v>45688</v>
      </c>
      <c r="D1718" t="inlineStr">
        <is>
          <t>STOCKHOLMS LÄN</t>
        </is>
      </c>
      <c r="E1718" t="inlineStr">
        <is>
          <t>NORRTÄLJE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30396-2024</t>
        </is>
      </c>
      <c r="B1719" s="1" t="n">
        <v>45491</v>
      </c>
      <c r="C1719" s="1" t="n">
        <v>45688</v>
      </c>
      <c r="D1719" t="inlineStr">
        <is>
          <t>STOCKHOLMS LÄN</t>
        </is>
      </c>
      <c r="E1719" t="inlineStr">
        <is>
          <t>NORRTÄLJE</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30553-2024</t>
        </is>
      </c>
      <c r="B1720" s="1" t="n">
        <v>45492</v>
      </c>
      <c r="C1720" s="1" t="n">
        <v>45688</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30666-2024</t>
        </is>
      </c>
      <c r="B1721" s="1" t="n">
        <v>45495</v>
      </c>
      <c r="C1721" s="1" t="n">
        <v>45688</v>
      </c>
      <c r="D1721" t="inlineStr">
        <is>
          <t>STOCKHOLMS LÄN</t>
        </is>
      </c>
      <c r="E1721" t="inlineStr">
        <is>
          <t>NORRTÄLJE</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30963-2024</t>
        </is>
      </c>
      <c r="B1722" s="1" t="n">
        <v>45499</v>
      </c>
      <c r="C1722" s="1" t="n">
        <v>45688</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30995-2024</t>
        </is>
      </c>
      <c r="B1723" s="1" t="n">
        <v>45499</v>
      </c>
      <c r="C1723" s="1" t="n">
        <v>45688</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31027-2024</t>
        </is>
      </c>
      <c r="B1724" s="1" t="n">
        <v>45501</v>
      </c>
      <c r="C1724" s="1" t="n">
        <v>45688</v>
      </c>
      <c r="D1724" t="inlineStr">
        <is>
          <t>STOCKHOLMS LÄN</t>
        </is>
      </c>
      <c r="E1724" t="inlineStr">
        <is>
          <t>NORRTÄLJE</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31228-2024</t>
        </is>
      </c>
      <c r="B1725" s="1" t="n">
        <v>45503</v>
      </c>
      <c r="C1725" s="1" t="n">
        <v>45688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31232-2024</t>
        </is>
      </c>
      <c r="B1726" s="1" t="n">
        <v>45503</v>
      </c>
      <c r="C1726" s="1" t="n">
        <v>45688</v>
      </c>
      <c r="D1726" t="inlineStr">
        <is>
          <t>STOCKHOLMS LÄN</t>
        </is>
      </c>
      <c r="E1726" t="inlineStr">
        <is>
          <t>NORRTÄLJE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31343-2024</t>
        </is>
      </c>
      <c r="B1727" s="1" t="n">
        <v>45504</v>
      </c>
      <c r="C1727" s="1" t="n">
        <v>45688</v>
      </c>
      <c r="D1727" t="inlineStr">
        <is>
          <t>STOCKHOLMS LÄN</t>
        </is>
      </c>
      <c r="E1727" t="inlineStr">
        <is>
          <t>NORRTÄLJE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31311-2024</t>
        </is>
      </c>
      <c r="B1728" s="1" t="n">
        <v>45504</v>
      </c>
      <c r="C1728" s="1" t="n">
        <v>45688</v>
      </c>
      <c r="D1728" t="inlineStr">
        <is>
          <t>STOCKHOLMS LÄN</t>
        </is>
      </c>
      <c r="E1728" t="inlineStr">
        <is>
          <t>NORRTÄLJE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31279-2024</t>
        </is>
      </c>
      <c r="B1729" s="1" t="n">
        <v>45504</v>
      </c>
      <c r="C1729" s="1" t="n">
        <v>45688</v>
      </c>
      <c r="D1729" t="inlineStr">
        <is>
          <t>STOCKHOLMS LÄN</t>
        </is>
      </c>
      <c r="E1729" t="inlineStr">
        <is>
          <t>NORRTÄLJE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32874-2024</t>
        </is>
      </c>
      <c r="B1730" s="1" t="n">
        <v>45516</v>
      </c>
      <c r="C1730" s="1" t="n">
        <v>45688</v>
      </c>
      <c r="D1730" t="inlineStr">
        <is>
          <t>STOCKHOLMS LÄN</t>
        </is>
      </c>
      <c r="E1730" t="inlineStr">
        <is>
          <t>NORRTÄLJE</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32706-2024</t>
        </is>
      </c>
      <c r="B1731" s="1" t="n">
        <v>45516</v>
      </c>
      <c r="C1731" s="1" t="n">
        <v>45688</v>
      </c>
      <c r="D1731" t="inlineStr">
        <is>
          <t>STOCKHOLMS LÄN</t>
        </is>
      </c>
      <c r="E1731" t="inlineStr">
        <is>
          <t>NORRTÄLJE</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33173-2024</t>
        </is>
      </c>
      <c r="B1732" s="1" t="n">
        <v>45518</v>
      </c>
      <c r="C1732" s="1" t="n">
        <v>45688</v>
      </c>
      <c r="D1732" t="inlineStr">
        <is>
          <t>STOCKHOLMS LÄN</t>
        </is>
      </c>
      <c r="E1732" t="inlineStr">
        <is>
          <t>NORRTÄLJE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33226-2024</t>
        </is>
      </c>
      <c r="B1733" s="1" t="n">
        <v>45518</v>
      </c>
      <c r="C1733" s="1" t="n">
        <v>45688</v>
      </c>
      <c r="D1733" t="inlineStr">
        <is>
          <t>STOCKHOLMS LÄN</t>
        </is>
      </c>
      <c r="E1733" t="inlineStr">
        <is>
          <t>NORRTÄLJE</t>
        </is>
      </c>
      <c r="G1733" t="n">
        <v>13.8</v>
      </c>
      <c r="H1733" t="n">
        <v>0</v>
      </c>
      <c r="I1733" t="n">
        <v>0</v>
      </c>
      <c r="J1733" t="n">
        <v>0</v>
      </c>
      <c r="K1733" t="n">
        <v>0</v>
      </c>
      <c r="L1733" t="n">
        <v>0</v>
      </c>
      <c r="M1733" t="n">
        <v>0</v>
      </c>
      <c r="N1733" t="n">
        <v>0</v>
      </c>
      <c r="O1733" t="n">
        <v>0</v>
      </c>
      <c r="P1733" t="n">
        <v>0</v>
      </c>
      <c r="Q1733" t="n">
        <v>0</v>
      </c>
      <c r="R1733" s="2" t="inlineStr"/>
    </row>
    <row r="1734" ht="15" customHeight="1">
      <c r="A1734" t="inlineStr">
        <is>
          <t>A 33175-2024</t>
        </is>
      </c>
      <c r="B1734" s="1" t="n">
        <v>45518</v>
      </c>
      <c r="C1734" s="1" t="n">
        <v>45688</v>
      </c>
      <c r="D1734" t="inlineStr">
        <is>
          <t>STOCKHOLMS LÄN</t>
        </is>
      </c>
      <c r="E1734" t="inlineStr">
        <is>
          <t>NORRTÄLJE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33385-2024</t>
        </is>
      </c>
      <c r="B1735" s="1" t="n">
        <v>45519</v>
      </c>
      <c r="C1735" s="1" t="n">
        <v>45688</v>
      </c>
      <c r="D1735" t="inlineStr">
        <is>
          <t>STOCKHOLMS LÄN</t>
        </is>
      </c>
      <c r="E1735" t="inlineStr">
        <is>
          <t>NORRTÄLJE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33592-2024</t>
        </is>
      </c>
      <c r="B1736" s="1" t="n">
        <v>45520</v>
      </c>
      <c r="C1736" s="1" t="n">
        <v>45688</v>
      </c>
      <c r="D1736" t="inlineStr">
        <is>
          <t>STOCKHOLMS LÄN</t>
        </is>
      </c>
      <c r="E1736" t="inlineStr">
        <is>
          <t>NORRTÄLJE</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33878-2024</t>
        </is>
      </c>
      <c r="B1737" s="1" t="n">
        <v>45522</v>
      </c>
      <c r="C1737" s="1" t="n">
        <v>45688</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34295-2024</t>
        </is>
      </c>
      <c r="B1738" s="1" t="n">
        <v>45524</v>
      </c>
      <c r="C1738" s="1" t="n">
        <v>45688</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34444-2024</t>
        </is>
      </c>
      <c r="B1739" s="1" t="n">
        <v>45525</v>
      </c>
      <c r="C1739" s="1" t="n">
        <v>45688</v>
      </c>
      <c r="D1739" t="inlineStr">
        <is>
          <t>STOCKHOLMS LÄN</t>
        </is>
      </c>
      <c r="E1739" t="inlineStr">
        <is>
          <t>NORRTÄLJE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34547-2024</t>
        </is>
      </c>
      <c r="B1740" s="1" t="n">
        <v>45525</v>
      </c>
      <c r="C1740" s="1" t="n">
        <v>45688</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34583-2024</t>
        </is>
      </c>
      <c r="B1741" s="1" t="n">
        <v>45526</v>
      </c>
      <c r="C1741" s="1" t="n">
        <v>45688</v>
      </c>
      <c r="D1741" t="inlineStr">
        <is>
          <t>STOCKHOLMS LÄN</t>
        </is>
      </c>
      <c r="E1741" t="inlineStr">
        <is>
          <t>NORRTÄLJE</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35239-2024</t>
        </is>
      </c>
      <c r="B1742" s="1" t="n">
        <v>45530</v>
      </c>
      <c r="C1742" s="1" t="n">
        <v>45688</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35235-2024</t>
        </is>
      </c>
      <c r="B1743" s="1" t="n">
        <v>45530</v>
      </c>
      <c r="C1743" s="1" t="n">
        <v>45688</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35532-2024</t>
        </is>
      </c>
      <c r="B1744" s="1" t="n">
        <v>45531</v>
      </c>
      <c r="C1744" s="1" t="n">
        <v>45688</v>
      </c>
      <c r="D1744" t="inlineStr">
        <is>
          <t>STOCKHOLMS LÄN</t>
        </is>
      </c>
      <c r="E1744" t="inlineStr">
        <is>
          <t>NORRTÄLJE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35467-2024</t>
        </is>
      </c>
      <c r="B1745" s="1" t="n">
        <v>45531</v>
      </c>
      <c r="C1745" s="1" t="n">
        <v>45688</v>
      </c>
      <c r="D1745" t="inlineStr">
        <is>
          <t>STOCKHOLMS LÄN</t>
        </is>
      </c>
      <c r="E1745" t="inlineStr">
        <is>
          <t>NORRTÄLJE</t>
        </is>
      </c>
      <c r="F1745" t="inlineStr">
        <is>
          <t>Holmen skog AB</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35640-2024</t>
        </is>
      </c>
      <c r="B1746" s="1" t="n">
        <v>45531</v>
      </c>
      <c r="C1746" s="1" t="n">
        <v>45688</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35719-2024</t>
        </is>
      </c>
      <c r="B1747" s="1" t="n">
        <v>45532</v>
      </c>
      <c r="C1747" s="1" t="n">
        <v>45688</v>
      </c>
      <c r="D1747" t="inlineStr">
        <is>
          <t>STOCKHOLMS LÄN</t>
        </is>
      </c>
      <c r="E1747" t="inlineStr">
        <is>
          <t>NORRTÄLJE</t>
        </is>
      </c>
      <c r="F1747" t="inlineStr">
        <is>
          <t>Holmen skog AB</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35782-2024</t>
        </is>
      </c>
      <c r="B1748" s="1" t="n">
        <v>45532</v>
      </c>
      <c r="C1748" s="1" t="n">
        <v>45688</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35647-2024</t>
        </is>
      </c>
      <c r="B1749" s="1" t="n">
        <v>45532</v>
      </c>
      <c r="C1749" s="1" t="n">
        <v>45688</v>
      </c>
      <c r="D1749" t="inlineStr">
        <is>
          <t>STOCKHOLMS LÄN</t>
        </is>
      </c>
      <c r="E1749" t="inlineStr">
        <is>
          <t>NORRTÄLJE</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35916-2024</t>
        </is>
      </c>
      <c r="B1750" s="1" t="n">
        <v>45533</v>
      </c>
      <c r="C1750" s="1" t="n">
        <v>45688</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36157-2024</t>
        </is>
      </c>
      <c r="B1751" s="1" t="n">
        <v>45534</v>
      </c>
      <c r="C1751" s="1" t="n">
        <v>45688</v>
      </c>
      <c r="D1751" t="inlineStr">
        <is>
          <t>STOCKHOLMS LÄN</t>
        </is>
      </c>
      <c r="E1751" t="inlineStr">
        <is>
          <t>NORRTÄLJE</t>
        </is>
      </c>
      <c r="F1751" t="inlineStr">
        <is>
          <t>Övriga Aktiebolag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36430-2024</t>
        </is>
      </c>
      <c r="B1752" s="1" t="n">
        <v>45536</v>
      </c>
      <c r="C1752" s="1" t="n">
        <v>45688</v>
      </c>
      <c r="D1752" t="inlineStr">
        <is>
          <t>STOCKHOLMS LÄN</t>
        </is>
      </c>
      <c r="E1752" t="inlineStr">
        <is>
          <t>NORRTÄLJE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36556-2024</t>
        </is>
      </c>
      <c r="B1753" s="1" t="n">
        <v>45537</v>
      </c>
      <c r="C1753" s="1" t="n">
        <v>45688</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36625-2024</t>
        </is>
      </c>
      <c r="B1754" s="1" t="n">
        <v>45537</v>
      </c>
      <c r="C1754" s="1" t="n">
        <v>45688</v>
      </c>
      <c r="D1754" t="inlineStr">
        <is>
          <t>STOCKHOLMS LÄN</t>
        </is>
      </c>
      <c r="E1754" t="inlineStr">
        <is>
          <t>NORRTÄLJE</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37273-2024</t>
        </is>
      </c>
      <c r="B1755" s="1" t="n">
        <v>45540</v>
      </c>
      <c r="C1755" s="1" t="n">
        <v>45688</v>
      </c>
      <c r="D1755" t="inlineStr">
        <is>
          <t>STOCKHOLMS LÄN</t>
        </is>
      </c>
      <c r="E1755" t="inlineStr">
        <is>
          <t>NORRTÄLJE</t>
        </is>
      </c>
      <c r="F1755" t="inlineStr">
        <is>
          <t>Sveaskog</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37663-2024</t>
        </is>
      </c>
      <c r="B1756" s="1" t="n">
        <v>45541</v>
      </c>
      <c r="C1756" s="1" t="n">
        <v>45688</v>
      </c>
      <c r="D1756" t="inlineStr">
        <is>
          <t>STOCKHOLMS LÄN</t>
        </is>
      </c>
      <c r="E1756" t="inlineStr">
        <is>
          <t>NORRTÄLJE</t>
        </is>
      </c>
      <c r="F1756" t="inlineStr">
        <is>
          <t>Holmen skog AB</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37684-2024</t>
        </is>
      </c>
      <c r="B1757" s="1" t="n">
        <v>45541</v>
      </c>
      <c r="C1757" s="1" t="n">
        <v>45688</v>
      </c>
      <c r="D1757" t="inlineStr">
        <is>
          <t>STOCKHOLMS LÄN</t>
        </is>
      </c>
      <c r="E1757" t="inlineStr">
        <is>
          <t>NORRTÄLJE</t>
        </is>
      </c>
      <c r="F1757" t="inlineStr">
        <is>
          <t>Holmen skog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37980-2024</t>
        </is>
      </c>
      <c r="B1758" s="1" t="n">
        <v>45544</v>
      </c>
      <c r="C1758" s="1" t="n">
        <v>45688</v>
      </c>
      <c r="D1758" t="inlineStr">
        <is>
          <t>STOCKHOLMS LÄN</t>
        </is>
      </c>
      <c r="E1758" t="inlineStr">
        <is>
          <t>NORRTÄLJE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38073-2024</t>
        </is>
      </c>
      <c r="B1759" s="1" t="n">
        <v>45544</v>
      </c>
      <c r="C1759" s="1" t="n">
        <v>45688</v>
      </c>
      <c r="D1759" t="inlineStr">
        <is>
          <t>STOCKHOLMS LÄN</t>
        </is>
      </c>
      <c r="E1759" t="inlineStr">
        <is>
          <t>NORRTÄLJE</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38878-2024</t>
        </is>
      </c>
      <c r="B1760" s="1" t="n">
        <v>45547</v>
      </c>
      <c r="C1760" s="1" t="n">
        <v>45688</v>
      </c>
      <c r="D1760" t="inlineStr">
        <is>
          <t>STOCKHOLMS LÄN</t>
        </is>
      </c>
      <c r="E1760" t="inlineStr">
        <is>
          <t>NORRTÄLJE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38889-2024</t>
        </is>
      </c>
      <c r="B1761" s="1" t="n">
        <v>45547</v>
      </c>
      <c r="C1761" s="1" t="n">
        <v>45688</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39203-2024</t>
        </is>
      </c>
      <c r="B1762" s="1" t="n">
        <v>45548</v>
      </c>
      <c r="C1762" s="1" t="n">
        <v>45688</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39202-2024</t>
        </is>
      </c>
      <c r="B1763" s="1" t="n">
        <v>45548</v>
      </c>
      <c r="C1763" s="1" t="n">
        <v>45688</v>
      </c>
      <c r="D1763" t="inlineStr">
        <is>
          <t>STOCKHOLMS LÄN</t>
        </is>
      </c>
      <c r="E1763" t="inlineStr">
        <is>
          <t>NORRTÄLJE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39238-2024</t>
        </is>
      </c>
      <c r="B1764" s="1" t="n">
        <v>45549</v>
      </c>
      <c r="C1764" s="1" t="n">
        <v>45688</v>
      </c>
      <c r="D1764" t="inlineStr">
        <is>
          <t>STOCKHOLMS LÄN</t>
        </is>
      </c>
      <c r="E1764" t="inlineStr">
        <is>
          <t>NORRTÄLJE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39237-2024</t>
        </is>
      </c>
      <c r="B1765" s="1" t="n">
        <v>45549</v>
      </c>
      <c r="C1765" s="1" t="n">
        <v>45688</v>
      </c>
      <c r="D1765" t="inlineStr">
        <is>
          <t>STOCKHOLMS LÄN</t>
        </is>
      </c>
      <c r="E1765" t="inlineStr">
        <is>
          <t>NORRTÄLJE</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39669-2024</t>
        </is>
      </c>
      <c r="B1766" s="1" t="n">
        <v>45552</v>
      </c>
      <c r="C1766" s="1" t="n">
        <v>45688</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39667-2024</t>
        </is>
      </c>
      <c r="B1767" s="1" t="n">
        <v>45552</v>
      </c>
      <c r="C1767" s="1" t="n">
        <v>45688</v>
      </c>
      <c r="D1767" t="inlineStr">
        <is>
          <t>STOCKHOLMS LÄN</t>
        </is>
      </c>
      <c r="E1767" t="inlineStr">
        <is>
          <t>NORRTÄLJE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39913-2024</t>
        </is>
      </c>
      <c r="B1768" s="1" t="n">
        <v>45553</v>
      </c>
      <c r="C1768" s="1" t="n">
        <v>45688</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40175-2024</t>
        </is>
      </c>
      <c r="B1769" s="1" t="n">
        <v>45554</v>
      </c>
      <c r="C1769" s="1" t="n">
        <v>45688</v>
      </c>
      <c r="D1769" t="inlineStr">
        <is>
          <t>STOCKHOLMS LÄN</t>
        </is>
      </c>
      <c r="E1769" t="inlineStr">
        <is>
          <t>NORRTÄLJE</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40761-2024</t>
        </is>
      </c>
      <c r="B1770" s="1" t="n">
        <v>45558</v>
      </c>
      <c r="C1770" s="1" t="n">
        <v>45688</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41219-2024</t>
        </is>
      </c>
      <c r="B1771" s="1" t="n">
        <v>45559</v>
      </c>
      <c r="C1771" s="1" t="n">
        <v>45688</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41218-2024</t>
        </is>
      </c>
      <c r="B1772" s="1" t="n">
        <v>45559</v>
      </c>
      <c r="C1772" s="1" t="n">
        <v>45688</v>
      </c>
      <c r="D1772" t="inlineStr">
        <is>
          <t>STOCKHOLMS LÄN</t>
        </is>
      </c>
      <c r="E1772" t="inlineStr">
        <is>
          <t>NORRTÄLJE</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41243-2024</t>
        </is>
      </c>
      <c r="B1773" s="1" t="n">
        <v>45559</v>
      </c>
      <c r="C1773" s="1" t="n">
        <v>45688</v>
      </c>
      <c r="D1773" t="inlineStr">
        <is>
          <t>STOCKHOLMS LÄN</t>
        </is>
      </c>
      <c r="E1773" t="inlineStr">
        <is>
          <t>NORRTÄLJE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41253-2024</t>
        </is>
      </c>
      <c r="B1774" s="1" t="n">
        <v>45559</v>
      </c>
      <c r="C1774" s="1" t="n">
        <v>45688</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41310-2024</t>
        </is>
      </c>
      <c r="B1775" s="1" t="n">
        <v>45559</v>
      </c>
      <c r="C1775" s="1" t="n">
        <v>45688</v>
      </c>
      <c r="D1775" t="inlineStr">
        <is>
          <t>STOCKHOLMS LÄN</t>
        </is>
      </c>
      <c r="E1775" t="inlineStr">
        <is>
          <t>NORRTÄLJE</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41342-2024</t>
        </is>
      </c>
      <c r="B1776" s="1" t="n">
        <v>45559</v>
      </c>
      <c r="C1776" s="1" t="n">
        <v>45688</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41976-2024</t>
        </is>
      </c>
      <c r="B1777" s="1" t="n">
        <v>45561</v>
      </c>
      <c r="C1777" s="1" t="n">
        <v>45688</v>
      </c>
      <c r="D1777" t="inlineStr">
        <is>
          <t>STOCKHOLMS LÄN</t>
        </is>
      </c>
      <c r="E1777" t="inlineStr">
        <is>
          <t>NORRTÄLJE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44032-2024</t>
        </is>
      </c>
      <c r="B1778" s="1" t="n">
        <v>45572</v>
      </c>
      <c r="C1778" s="1" t="n">
        <v>45688</v>
      </c>
      <c r="D1778" t="inlineStr">
        <is>
          <t>STOCKHOLMS LÄN</t>
        </is>
      </c>
      <c r="E1778" t="inlineStr">
        <is>
          <t>NORRTÄLJE</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44776-2024</t>
        </is>
      </c>
      <c r="B1779" s="1" t="n">
        <v>45574</v>
      </c>
      <c r="C1779" s="1" t="n">
        <v>45688</v>
      </c>
      <c r="D1779" t="inlineStr">
        <is>
          <t>STOCKHOLMS LÄN</t>
        </is>
      </c>
      <c r="E1779" t="inlineStr">
        <is>
          <t>NORRTÄLJE</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44821-2024</t>
        </is>
      </c>
      <c r="B1780" s="1" t="n">
        <v>45574</v>
      </c>
      <c r="C1780" s="1" t="n">
        <v>45688</v>
      </c>
      <c r="D1780" t="inlineStr">
        <is>
          <t>STOCKHOLMS LÄN</t>
        </is>
      </c>
      <c r="E1780" t="inlineStr">
        <is>
          <t>NORRTÄLJE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45220-2024</t>
        </is>
      </c>
      <c r="B1781" s="1" t="n">
        <v>45575</v>
      </c>
      <c r="C1781" s="1" t="n">
        <v>45688</v>
      </c>
      <c r="D1781" t="inlineStr">
        <is>
          <t>STOCKHOLMS LÄN</t>
        </is>
      </c>
      <c r="E1781" t="inlineStr">
        <is>
          <t>NORRTÄLJE</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45254-2024</t>
        </is>
      </c>
      <c r="B1782" s="1" t="n">
        <v>45576</v>
      </c>
      <c r="C1782" s="1" t="n">
        <v>45688</v>
      </c>
      <c r="D1782" t="inlineStr">
        <is>
          <t>STOCKHOLMS LÄN</t>
        </is>
      </c>
      <c r="E1782" t="inlineStr">
        <is>
          <t>NORRTÄLJE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45451-2024</t>
        </is>
      </c>
      <c r="B1783" s="1" t="n">
        <v>45576</v>
      </c>
      <c r="C1783" s="1" t="n">
        <v>45688</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45247-2024</t>
        </is>
      </c>
      <c r="B1784" s="1" t="n">
        <v>45576</v>
      </c>
      <c r="C1784" s="1" t="n">
        <v>45688</v>
      </c>
      <c r="D1784" t="inlineStr">
        <is>
          <t>STOCKHOLMS LÄN</t>
        </is>
      </c>
      <c r="E1784" t="inlineStr">
        <is>
          <t>NORRTÄLJE</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45739-2024</t>
        </is>
      </c>
      <c r="B1785" s="1" t="n">
        <v>45579</v>
      </c>
      <c r="C1785" s="1" t="n">
        <v>45688</v>
      </c>
      <c r="D1785" t="inlineStr">
        <is>
          <t>STOCKHOLMS LÄN</t>
        </is>
      </c>
      <c r="E1785" t="inlineStr">
        <is>
          <t>NORRTÄLJE</t>
        </is>
      </c>
      <c r="G1785" t="n">
        <v>21.9</v>
      </c>
      <c r="H1785" t="n">
        <v>0</v>
      </c>
      <c r="I1785" t="n">
        <v>0</v>
      </c>
      <c r="J1785" t="n">
        <v>0</v>
      </c>
      <c r="K1785" t="n">
        <v>0</v>
      </c>
      <c r="L1785" t="n">
        <v>0</v>
      </c>
      <c r="M1785" t="n">
        <v>0</v>
      </c>
      <c r="N1785" t="n">
        <v>0</v>
      </c>
      <c r="O1785" t="n">
        <v>0</v>
      </c>
      <c r="P1785" t="n">
        <v>0</v>
      </c>
      <c r="Q1785" t="n">
        <v>0</v>
      </c>
      <c r="R1785" s="2" t="inlineStr"/>
    </row>
    <row r="1786" ht="15" customHeight="1">
      <c r="A1786" t="inlineStr">
        <is>
          <t>A 45746-2024</t>
        </is>
      </c>
      <c r="B1786" s="1" t="n">
        <v>45579</v>
      </c>
      <c r="C1786" s="1" t="n">
        <v>45688</v>
      </c>
      <c r="D1786" t="inlineStr">
        <is>
          <t>STOCKHOLMS LÄN</t>
        </is>
      </c>
      <c r="E1786" t="inlineStr">
        <is>
          <t>NORRTÄLJE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46073-2024</t>
        </is>
      </c>
      <c r="B1787" s="1" t="n">
        <v>45581</v>
      </c>
      <c r="C1787" s="1" t="n">
        <v>45688</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46326-2024</t>
        </is>
      </c>
      <c r="B1788" s="1" t="n">
        <v>45581</v>
      </c>
      <c r="C1788" s="1" t="n">
        <v>45688</v>
      </c>
      <c r="D1788" t="inlineStr">
        <is>
          <t>STOCKHOLMS LÄN</t>
        </is>
      </c>
      <c r="E1788" t="inlineStr">
        <is>
          <t>NORRTÄLJE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46071-2024</t>
        </is>
      </c>
      <c r="B1789" s="1" t="n">
        <v>45581</v>
      </c>
      <c r="C1789" s="1" t="n">
        <v>45688</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46333-2024</t>
        </is>
      </c>
      <c r="B1790" s="1" t="n">
        <v>45581</v>
      </c>
      <c r="C1790" s="1" t="n">
        <v>45688</v>
      </c>
      <c r="D1790" t="inlineStr">
        <is>
          <t>STOCKHOLMS LÄN</t>
        </is>
      </c>
      <c r="E1790" t="inlineStr">
        <is>
          <t>NORRTÄLJE</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46448-2024</t>
        </is>
      </c>
      <c r="B1791" s="1" t="n">
        <v>45582</v>
      </c>
      <c r="C1791" s="1" t="n">
        <v>45688</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46988-2024</t>
        </is>
      </c>
      <c r="B1792" s="1" t="n">
        <v>45586</v>
      </c>
      <c r="C1792" s="1" t="n">
        <v>45688</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47257-2024</t>
        </is>
      </c>
      <c r="B1793" s="1" t="n">
        <v>45586</v>
      </c>
      <c r="C1793" s="1" t="n">
        <v>45688</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47259-2024</t>
        </is>
      </c>
      <c r="B1794" s="1" t="n">
        <v>45586</v>
      </c>
      <c r="C1794" s="1" t="n">
        <v>45688</v>
      </c>
      <c r="D1794" t="inlineStr">
        <is>
          <t>STOCKHOLMS LÄN</t>
        </is>
      </c>
      <c r="E1794" t="inlineStr">
        <is>
          <t>NORRTÄLJE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47521-2024</t>
        </is>
      </c>
      <c r="B1795" s="1" t="n">
        <v>45587</v>
      </c>
      <c r="C1795" s="1" t="n">
        <v>45688</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47481-2024</t>
        </is>
      </c>
      <c r="B1796" s="1" t="n">
        <v>45587</v>
      </c>
      <c r="C1796" s="1" t="n">
        <v>45688</v>
      </c>
      <c r="D1796" t="inlineStr">
        <is>
          <t>STOCKHOLMS LÄN</t>
        </is>
      </c>
      <c r="E1796" t="inlineStr">
        <is>
          <t>NORRTÄLJE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48145-2024</t>
        </is>
      </c>
      <c r="B1797" s="1" t="n">
        <v>45589</v>
      </c>
      <c r="C1797" s="1" t="n">
        <v>45688</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48151-2024</t>
        </is>
      </c>
      <c r="B1798" s="1" t="n">
        <v>45589</v>
      </c>
      <c r="C1798" s="1" t="n">
        <v>45688</v>
      </c>
      <c r="D1798" t="inlineStr">
        <is>
          <t>STOCKHOLMS LÄN</t>
        </is>
      </c>
      <c r="E1798" t="inlineStr">
        <is>
          <t>NORRTÄLJE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48564-2024</t>
        </is>
      </c>
      <c r="B1799" s="1" t="n">
        <v>45593</v>
      </c>
      <c r="C1799" s="1" t="n">
        <v>45688</v>
      </c>
      <c r="D1799" t="inlineStr">
        <is>
          <t>STOCKHOLMS LÄN</t>
        </is>
      </c>
      <c r="E1799" t="inlineStr">
        <is>
          <t>NORRTÄLJE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48548-2024</t>
        </is>
      </c>
      <c r="B1800" s="1" t="n">
        <v>45593</v>
      </c>
      <c r="C1800" s="1" t="n">
        <v>45688</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48852-2024</t>
        </is>
      </c>
      <c r="B1801" s="1" t="n">
        <v>45593</v>
      </c>
      <c r="C1801" s="1" t="n">
        <v>45688</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48850-2024</t>
        </is>
      </c>
      <c r="B1802" s="1" t="n">
        <v>45593</v>
      </c>
      <c r="C1802" s="1" t="n">
        <v>45688</v>
      </c>
      <c r="D1802" t="inlineStr">
        <is>
          <t>STOCKHOLMS LÄN</t>
        </is>
      </c>
      <c r="E1802" t="inlineStr">
        <is>
          <t>NORRTÄLJE</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48851-2024</t>
        </is>
      </c>
      <c r="B1803" s="1" t="n">
        <v>45593</v>
      </c>
      <c r="C1803" s="1" t="n">
        <v>45688</v>
      </c>
      <c r="D1803" t="inlineStr">
        <is>
          <t>STOCKHOLMS LÄN</t>
        </is>
      </c>
      <c r="E1803" t="inlineStr">
        <is>
          <t>NORRTÄLJE</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49949-2024</t>
        </is>
      </c>
      <c r="B1804" s="1" t="n">
        <v>45597</v>
      </c>
      <c r="C1804" s="1" t="n">
        <v>45688</v>
      </c>
      <c r="D1804" t="inlineStr">
        <is>
          <t>STOCKHOLMS LÄN</t>
        </is>
      </c>
      <c r="E1804" t="inlineStr">
        <is>
          <t>NORRTÄLJE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50113-2024</t>
        </is>
      </c>
      <c r="B1805" s="1" t="n">
        <v>45600</v>
      </c>
      <c r="C1805" s="1" t="n">
        <v>45688</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50355-2024</t>
        </is>
      </c>
      <c r="B1806" s="1" t="n">
        <v>45600</v>
      </c>
      <c r="C1806" s="1" t="n">
        <v>45688</v>
      </c>
      <c r="D1806" t="inlineStr">
        <is>
          <t>STOCKHOLMS LÄN</t>
        </is>
      </c>
      <c r="E1806" t="inlineStr">
        <is>
          <t>NORRTÄLJE</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50154-2024</t>
        </is>
      </c>
      <c r="B1807" s="1" t="n">
        <v>45600</v>
      </c>
      <c r="C1807" s="1" t="n">
        <v>45688</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50182-2024</t>
        </is>
      </c>
      <c r="B1808" s="1" t="n">
        <v>45600</v>
      </c>
      <c r="C1808" s="1" t="n">
        <v>45688</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50534-2024</t>
        </is>
      </c>
      <c r="B1809" s="1" t="n">
        <v>45601</v>
      </c>
      <c r="C1809" s="1" t="n">
        <v>45688</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52287-2024</t>
        </is>
      </c>
      <c r="B1810" s="1" t="n">
        <v>45608</v>
      </c>
      <c r="C1810" s="1" t="n">
        <v>45688</v>
      </c>
      <c r="D1810" t="inlineStr">
        <is>
          <t>STOCKHOLMS LÄN</t>
        </is>
      </c>
      <c r="E1810" t="inlineStr">
        <is>
          <t>NORRTÄLJE</t>
        </is>
      </c>
      <c r="F1810" t="inlineStr">
        <is>
          <t>Holmen skog AB</t>
        </is>
      </c>
      <c r="G1810" t="n">
        <v>16.1</v>
      </c>
      <c r="H1810" t="n">
        <v>0</v>
      </c>
      <c r="I1810" t="n">
        <v>0</v>
      </c>
      <c r="J1810" t="n">
        <v>0</v>
      </c>
      <c r="K1810" t="n">
        <v>0</v>
      </c>
      <c r="L1810" t="n">
        <v>0</v>
      </c>
      <c r="M1810" t="n">
        <v>0</v>
      </c>
      <c r="N1810" t="n">
        <v>0</v>
      </c>
      <c r="O1810" t="n">
        <v>0</v>
      </c>
      <c r="P1810" t="n">
        <v>0</v>
      </c>
      <c r="Q1810" t="n">
        <v>0</v>
      </c>
      <c r="R1810" s="2" t="inlineStr"/>
    </row>
    <row r="1811" ht="15" customHeight="1">
      <c r="A1811" t="inlineStr">
        <is>
          <t>A 52321-2024</t>
        </is>
      </c>
      <c r="B1811" s="1" t="n">
        <v>45608</v>
      </c>
      <c r="C1811" s="1" t="n">
        <v>45688</v>
      </c>
      <c r="D1811" t="inlineStr">
        <is>
          <t>STOCKHOLMS LÄN</t>
        </is>
      </c>
      <c r="E1811" t="inlineStr">
        <is>
          <t>NORRTÄLJE</t>
        </is>
      </c>
      <c r="G1811" t="n">
        <v>18.1</v>
      </c>
      <c r="H1811" t="n">
        <v>0</v>
      </c>
      <c r="I1811" t="n">
        <v>0</v>
      </c>
      <c r="J1811" t="n">
        <v>0</v>
      </c>
      <c r="K1811" t="n">
        <v>0</v>
      </c>
      <c r="L1811" t="n">
        <v>0</v>
      </c>
      <c r="M1811" t="n">
        <v>0</v>
      </c>
      <c r="N1811" t="n">
        <v>0</v>
      </c>
      <c r="O1811" t="n">
        <v>0</v>
      </c>
      <c r="P1811" t="n">
        <v>0</v>
      </c>
      <c r="Q1811" t="n">
        <v>0</v>
      </c>
      <c r="R1811" s="2" t="inlineStr"/>
    </row>
    <row r="1812" ht="15" customHeight="1">
      <c r="A1812" t="inlineStr">
        <is>
          <t>A 52407-2024</t>
        </is>
      </c>
      <c r="B1812" s="1" t="n">
        <v>45609</v>
      </c>
      <c r="C1812" s="1" t="n">
        <v>45688</v>
      </c>
      <c r="D1812" t="inlineStr">
        <is>
          <t>STOCKHOLMS LÄN</t>
        </is>
      </c>
      <c r="E1812" t="inlineStr">
        <is>
          <t>NORRTÄLJE</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52615-2024</t>
        </is>
      </c>
      <c r="B1813" s="1" t="n">
        <v>45609</v>
      </c>
      <c r="C1813" s="1" t="n">
        <v>45688</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52614-2024</t>
        </is>
      </c>
      <c r="B1814" s="1" t="n">
        <v>45609</v>
      </c>
      <c r="C1814" s="1" t="n">
        <v>45688</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52618-2024</t>
        </is>
      </c>
      <c r="B1815" s="1" t="n">
        <v>45609</v>
      </c>
      <c r="C1815" s="1" t="n">
        <v>45688</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52593-2024</t>
        </is>
      </c>
      <c r="B1816" s="1" t="n">
        <v>45609</v>
      </c>
      <c r="C1816" s="1" t="n">
        <v>45688</v>
      </c>
      <c r="D1816" t="inlineStr">
        <is>
          <t>STOCKHOLMS LÄN</t>
        </is>
      </c>
      <c r="E1816" t="inlineStr">
        <is>
          <t>NORRTÄLJE</t>
        </is>
      </c>
      <c r="F1816" t="inlineStr">
        <is>
          <t>Holmen skog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52617-2024</t>
        </is>
      </c>
      <c r="B1817" s="1" t="n">
        <v>45609</v>
      </c>
      <c r="C1817" s="1" t="n">
        <v>45688</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52715-2024</t>
        </is>
      </c>
      <c r="B1818" s="1" t="n">
        <v>45610</v>
      </c>
      <c r="C1818" s="1" t="n">
        <v>45688</v>
      </c>
      <c r="D1818" t="inlineStr">
        <is>
          <t>STOCKHOLMS LÄN</t>
        </is>
      </c>
      <c r="E1818" t="inlineStr">
        <is>
          <t>NORRTÄLJE</t>
        </is>
      </c>
      <c r="G1818" t="n">
        <v>11.1</v>
      </c>
      <c r="H1818" t="n">
        <v>0</v>
      </c>
      <c r="I1818" t="n">
        <v>0</v>
      </c>
      <c r="J1818" t="n">
        <v>0</v>
      </c>
      <c r="K1818" t="n">
        <v>0</v>
      </c>
      <c r="L1818" t="n">
        <v>0</v>
      </c>
      <c r="M1818" t="n">
        <v>0</v>
      </c>
      <c r="N1818" t="n">
        <v>0</v>
      </c>
      <c r="O1818" t="n">
        <v>0</v>
      </c>
      <c r="P1818" t="n">
        <v>0</v>
      </c>
      <c r="Q1818" t="n">
        <v>0</v>
      </c>
      <c r="R1818" s="2" t="inlineStr"/>
      <c r="U1818">
        <f>HYPERLINK("https://klasma.github.io/Logging_0188/knärot/A 52715-2024 karta knärot.png", "A 52715-2024")</f>
        <v/>
      </c>
      <c r="V1818">
        <f>HYPERLINK("https://klasma.github.io/Logging_0188/klagomål/A 52715-2024 FSC-klagomål.docx", "A 52715-2024")</f>
        <v/>
      </c>
      <c r="W1818">
        <f>HYPERLINK("https://klasma.github.io/Logging_0188/klagomålsmail/A 52715-2024 FSC-klagomål mail.docx", "A 52715-2024")</f>
        <v/>
      </c>
      <c r="X1818">
        <f>HYPERLINK("https://klasma.github.io/Logging_0188/tillsyn/A 52715-2024 tillsynsbegäran.docx", "A 52715-2024")</f>
        <v/>
      </c>
      <c r="Y1818">
        <f>HYPERLINK("https://klasma.github.io/Logging_0188/tillsynsmail/A 52715-2024 tillsynsbegäran mail.docx", "A 52715-2024")</f>
        <v/>
      </c>
    </row>
    <row r="1819" ht="15" customHeight="1">
      <c r="A1819" t="inlineStr">
        <is>
          <t>A 52743-2024</t>
        </is>
      </c>
      <c r="B1819" s="1" t="n">
        <v>45610</v>
      </c>
      <c r="C1819" s="1" t="n">
        <v>45688</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52686-2024</t>
        </is>
      </c>
      <c r="B1820" s="1" t="n">
        <v>45610</v>
      </c>
      <c r="C1820" s="1" t="n">
        <v>45688</v>
      </c>
      <c r="D1820" t="inlineStr">
        <is>
          <t>STOCKHOLMS LÄN</t>
        </is>
      </c>
      <c r="E1820" t="inlineStr">
        <is>
          <t>NORRTÄLJE</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53312-2024</t>
        </is>
      </c>
      <c r="B1821" s="1" t="n">
        <v>45614</v>
      </c>
      <c r="C1821" s="1" t="n">
        <v>45688</v>
      </c>
      <c r="D1821" t="inlineStr">
        <is>
          <t>STOCKHOLMS LÄN</t>
        </is>
      </c>
      <c r="E1821" t="inlineStr">
        <is>
          <t>NORRTÄLJE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53305-2024</t>
        </is>
      </c>
      <c r="B1822" s="1" t="n">
        <v>45614</v>
      </c>
      <c r="C1822" s="1" t="n">
        <v>45688</v>
      </c>
      <c r="D1822" t="inlineStr">
        <is>
          <t>STOCKHOLMS LÄN</t>
        </is>
      </c>
      <c r="E1822" t="inlineStr">
        <is>
          <t>NORRTÄLJE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54113-2024</t>
        </is>
      </c>
      <c r="B1823" s="1" t="n">
        <v>45616</v>
      </c>
      <c r="C1823" s="1" t="n">
        <v>45688</v>
      </c>
      <c r="D1823" t="inlineStr">
        <is>
          <t>STOCKHOLMS LÄN</t>
        </is>
      </c>
      <c r="E1823" t="inlineStr">
        <is>
          <t>NORRTÄLJE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54315-2024</t>
        </is>
      </c>
      <c r="B1824" s="1" t="n">
        <v>45617</v>
      </c>
      <c r="C1824" s="1" t="n">
        <v>45688</v>
      </c>
      <c r="D1824" t="inlineStr">
        <is>
          <t>STOCKHOLMS LÄN</t>
        </is>
      </c>
      <c r="E1824" t="inlineStr">
        <is>
          <t>NORRTÄLJE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54558-2024</t>
        </is>
      </c>
      <c r="B1825" s="1" t="n">
        <v>45617</v>
      </c>
      <c r="C1825" s="1" t="n">
        <v>45688</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54496-2024</t>
        </is>
      </c>
      <c r="B1826" s="1" t="n">
        <v>45617</v>
      </c>
      <c r="C1826" s="1" t="n">
        <v>45688</v>
      </c>
      <c r="D1826" t="inlineStr">
        <is>
          <t>STOCKHOLMS LÄN</t>
        </is>
      </c>
      <c r="E1826" t="inlineStr">
        <is>
          <t>NORRTÄLJE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54504-2024</t>
        </is>
      </c>
      <c r="B1827" s="1" t="n">
        <v>45617</v>
      </c>
      <c r="C1827" s="1" t="n">
        <v>45688</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45688</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55010-2024</t>
        </is>
      </c>
      <c r="B1829" s="1" t="n">
        <v>45621</v>
      </c>
      <c r="C1829" s="1" t="n">
        <v>45688</v>
      </c>
      <c r="D1829" t="inlineStr">
        <is>
          <t>STOCKHOLMS LÄN</t>
        </is>
      </c>
      <c r="E1829" t="inlineStr">
        <is>
          <t>NORRTÄLJE</t>
        </is>
      </c>
      <c r="F1829" t="inlineStr">
        <is>
          <t>Sveaskog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55287-2024</t>
        </is>
      </c>
      <c r="B1830" s="1" t="n">
        <v>45621</v>
      </c>
      <c r="C1830" s="1" t="n">
        <v>45688</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55012-2024</t>
        </is>
      </c>
      <c r="B1831" s="1" t="n">
        <v>45621</v>
      </c>
      <c r="C1831" s="1" t="n">
        <v>45688</v>
      </c>
      <c r="D1831" t="inlineStr">
        <is>
          <t>STOCKHOLMS LÄN</t>
        </is>
      </c>
      <c r="E1831" t="inlineStr">
        <is>
          <t>NORRTÄLJE</t>
        </is>
      </c>
      <c r="F1831" t="inlineStr">
        <is>
          <t>Sveaskog</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55952-2024</t>
        </is>
      </c>
      <c r="B1832" s="1" t="n">
        <v>45623</v>
      </c>
      <c r="C1832" s="1" t="n">
        <v>45688</v>
      </c>
      <c r="D1832" t="inlineStr">
        <is>
          <t>STOCKHOLMS LÄN</t>
        </is>
      </c>
      <c r="E1832" t="inlineStr">
        <is>
          <t>NORRTÄLJE</t>
        </is>
      </c>
      <c r="F1832" t="inlineStr">
        <is>
          <t>Holmen skog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56631-2024</t>
        </is>
      </c>
      <c r="B1833" s="1" t="n">
        <v>45625</v>
      </c>
      <c r="C1833" s="1" t="n">
        <v>45688</v>
      </c>
      <c r="D1833" t="inlineStr">
        <is>
          <t>STOCKHOLMS LÄN</t>
        </is>
      </c>
      <c r="E1833" t="inlineStr">
        <is>
          <t>NORRTÄLJE</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57155-2024</t>
        </is>
      </c>
      <c r="B1834" s="1" t="n">
        <v>45629</v>
      </c>
      <c r="C1834" s="1" t="n">
        <v>45688</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57353-2024</t>
        </is>
      </c>
      <c r="B1835" s="1" t="n">
        <v>45629</v>
      </c>
      <c r="C1835" s="1" t="n">
        <v>45688</v>
      </c>
      <c r="D1835" t="inlineStr">
        <is>
          <t>STOCKHOLMS LÄN</t>
        </is>
      </c>
      <c r="E1835" t="inlineStr">
        <is>
          <t>NORRTÄLJE</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57602-2024</t>
        </is>
      </c>
      <c r="B1836" s="1" t="n">
        <v>45630</v>
      </c>
      <c r="C1836" s="1" t="n">
        <v>45688</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58040-2024</t>
        </is>
      </c>
      <c r="B1837" s="1" t="n">
        <v>45631</v>
      </c>
      <c r="C1837" s="1" t="n">
        <v>45688</v>
      </c>
      <c r="D1837" t="inlineStr">
        <is>
          <t>STOCKHOLMS LÄN</t>
        </is>
      </c>
      <c r="E1837" t="inlineStr">
        <is>
          <t>NORRTÄLJE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58041-2024</t>
        </is>
      </c>
      <c r="B1838" s="1" t="n">
        <v>45631</v>
      </c>
      <c r="C1838" s="1" t="n">
        <v>45688</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58530-2024</t>
        </is>
      </c>
      <c r="B1839" s="1" t="n">
        <v>45635</v>
      </c>
      <c r="C1839" s="1" t="n">
        <v>45688</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58785-2024</t>
        </is>
      </c>
      <c r="B1840" s="1" t="n">
        <v>45635</v>
      </c>
      <c r="C1840" s="1" t="n">
        <v>45688</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58863-2024</t>
        </is>
      </c>
      <c r="B1841" s="1" t="n">
        <v>45636</v>
      </c>
      <c r="C1841" s="1" t="n">
        <v>45688</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58853-2024</t>
        </is>
      </c>
      <c r="B1842" s="1" t="n">
        <v>45636</v>
      </c>
      <c r="C1842" s="1" t="n">
        <v>45688</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59091-2024</t>
        </is>
      </c>
      <c r="B1843" s="1" t="n">
        <v>45637</v>
      </c>
      <c r="C1843" s="1" t="n">
        <v>45688</v>
      </c>
      <c r="D1843" t="inlineStr">
        <is>
          <t>STOCKHOLMS LÄN</t>
        </is>
      </c>
      <c r="E1843" t="inlineStr">
        <is>
          <t>NORRTÄLJE</t>
        </is>
      </c>
      <c r="F1843" t="inlineStr">
        <is>
          <t>Övriga Aktiebolag</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59274-2024</t>
        </is>
      </c>
      <c r="B1844" s="1" t="n">
        <v>45637</v>
      </c>
      <c r="C1844" s="1" t="n">
        <v>45688</v>
      </c>
      <c r="D1844" t="inlineStr">
        <is>
          <t>STOCKHOLMS LÄN</t>
        </is>
      </c>
      <c r="E1844" t="inlineStr">
        <is>
          <t>NORRTÄLJE</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59534-2024</t>
        </is>
      </c>
      <c r="B1845" s="1" t="n">
        <v>45638</v>
      </c>
      <c r="C1845" s="1" t="n">
        <v>45688</v>
      </c>
      <c r="D1845" t="inlineStr">
        <is>
          <t>STOCKHOLMS LÄN</t>
        </is>
      </c>
      <c r="E1845" t="inlineStr">
        <is>
          <t>NORRTÄLJE</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59535-2024</t>
        </is>
      </c>
      <c r="B1846" s="1" t="n">
        <v>45638</v>
      </c>
      <c r="C1846" s="1" t="n">
        <v>45688</v>
      </c>
      <c r="D1846" t="inlineStr">
        <is>
          <t>STOCKHOLMS LÄN</t>
        </is>
      </c>
      <c r="E1846" t="inlineStr">
        <is>
          <t>NORRTÄLJE</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59721-2024</t>
        </is>
      </c>
      <c r="B1847" s="1" t="n">
        <v>45639</v>
      </c>
      <c r="C1847" s="1" t="n">
        <v>45688</v>
      </c>
      <c r="D1847" t="inlineStr">
        <is>
          <t>STOCKHOLMS LÄN</t>
        </is>
      </c>
      <c r="E1847" t="inlineStr">
        <is>
          <t>NORRTÄLJE</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59712-2024</t>
        </is>
      </c>
      <c r="B1848" s="1" t="n">
        <v>45639</v>
      </c>
      <c r="C1848" s="1" t="n">
        <v>45688</v>
      </c>
      <c r="D1848" t="inlineStr">
        <is>
          <t>STOCKHOLMS LÄN</t>
        </is>
      </c>
      <c r="E1848" t="inlineStr">
        <is>
          <t>NORRTÄLJE</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59876-2024</t>
        </is>
      </c>
      <c r="B1849" s="1" t="n">
        <v>45640</v>
      </c>
      <c r="C1849" s="1" t="n">
        <v>45688</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59875-2024</t>
        </is>
      </c>
      <c r="B1850" s="1" t="n">
        <v>45640</v>
      </c>
      <c r="C1850" s="1" t="n">
        <v>45688</v>
      </c>
      <c r="D1850" t="inlineStr">
        <is>
          <t>STOCKHOLMS LÄN</t>
        </is>
      </c>
      <c r="E1850" t="inlineStr">
        <is>
          <t>NORRTÄLJE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59873-2024</t>
        </is>
      </c>
      <c r="B1851" s="1" t="n">
        <v>45640</v>
      </c>
      <c r="C1851" s="1" t="n">
        <v>45688</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59877-2024</t>
        </is>
      </c>
      <c r="B1852" s="1" t="n">
        <v>45640</v>
      </c>
      <c r="C1852" s="1" t="n">
        <v>45688</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59874-2024</t>
        </is>
      </c>
      <c r="B1853" s="1" t="n">
        <v>45640</v>
      </c>
      <c r="C1853" s="1" t="n">
        <v>45688</v>
      </c>
      <c r="D1853" t="inlineStr">
        <is>
          <t>STOCKHOLMS LÄN</t>
        </is>
      </c>
      <c r="E1853" t="inlineStr">
        <is>
          <t>NORRTÄLJE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59878-2024</t>
        </is>
      </c>
      <c r="B1854" s="1" t="n">
        <v>45640</v>
      </c>
      <c r="C1854" s="1" t="n">
        <v>45688</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45688</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60166-2024</t>
        </is>
      </c>
      <c r="B1856" s="1" t="n">
        <v>45642</v>
      </c>
      <c r="C1856" s="1" t="n">
        <v>45688</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60160-2024</t>
        </is>
      </c>
      <c r="B1857" s="1" t="n">
        <v>45642</v>
      </c>
      <c r="C1857" s="1" t="n">
        <v>45688</v>
      </c>
      <c r="D1857" t="inlineStr">
        <is>
          <t>STOCKHOLMS LÄN</t>
        </is>
      </c>
      <c r="E1857" t="inlineStr">
        <is>
          <t>NORRTÄLJE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60317-2024</t>
        </is>
      </c>
      <c r="B1858" s="1" t="n">
        <v>45643</v>
      </c>
      <c r="C1858" s="1" t="n">
        <v>45688</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60694-2024</t>
        </is>
      </c>
      <c r="B1859" s="1" t="n">
        <v>45644</v>
      </c>
      <c r="C1859" s="1" t="n">
        <v>45688</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60884-2024</t>
        </is>
      </c>
      <c r="B1860" s="1" t="n">
        <v>45644</v>
      </c>
      <c r="C1860" s="1" t="n">
        <v>45688</v>
      </c>
      <c r="D1860" t="inlineStr">
        <is>
          <t>STOCKHOLMS LÄN</t>
        </is>
      </c>
      <c r="E1860" t="inlineStr">
        <is>
          <t>NORRTÄLJE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61516-2024</t>
        </is>
      </c>
      <c r="B1861" s="1" t="n">
        <v>45646</v>
      </c>
      <c r="C1861" s="1" t="n">
        <v>45688</v>
      </c>
      <c r="D1861" t="inlineStr">
        <is>
          <t>STOCKHOLMS LÄN</t>
        </is>
      </c>
      <c r="E1861" t="inlineStr">
        <is>
          <t>NORRTÄLJE</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62129-2024</t>
        </is>
      </c>
      <c r="B1862" s="1" t="n">
        <v>45646</v>
      </c>
      <c r="C1862" s="1" t="n">
        <v>45688</v>
      </c>
      <c r="D1862" t="inlineStr">
        <is>
          <t>STOCKHOLMS LÄN</t>
        </is>
      </c>
      <c r="E1862" t="inlineStr">
        <is>
          <t>NORRTÄLJE</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62168-2024</t>
        </is>
      </c>
      <c r="B1863" s="1" t="n">
        <v>45657</v>
      </c>
      <c r="C1863" s="1" t="n">
        <v>45688</v>
      </c>
      <c r="D1863" t="inlineStr">
        <is>
          <t>STOCKHOLMS LÄN</t>
        </is>
      </c>
      <c r="E1863" t="inlineStr">
        <is>
          <t>NORRTÄLJE</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19-2025</t>
        </is>
      </c>
      <c r="B1864" s="1" t="n">
        <v>45658</v>
      </c>
      <c r="C1864" s="1" t="n">
        <v>45688</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22-2025</t>
        </is>
      </c>
      <c r="B1865" s="1" t="n">
        <v>45658</v>
      </c>
      <c r="C1865" s="1" t="n">
        <v>45688</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652-2025</t>
        </is>
      </c>
      <c r="B1866" s="1" t="n">
        <v>45664</v>
      </c>
      <c r="C1866" s="1" t="n">
        <v>45688</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520-2025</t>
        </is>
      </c>
      <c r="B1867" s="1" t="n">
        <v>45664</v>
      </c>
      <c r="C1867" s="1" t="n">
        <v>45688</v>
      </c>
      <c r="D1867" t="inlineStr">
        <is>
          <t>STOCKHOLMS LÄN</t>
        </is>
      </c>
      <c r="E1867" t="inlineStr">
        <is>
          <t>NORRTÄLJE</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827-2025</t>
        </is>
      </c>
      <c r="B1868" s="1" t="n">
        <v>45665</v>
      </c>
      <c r="C1868" s="1" t="n">
        <v>45688</v>
      </c>
      <c r="D1868" t="inlineStr">
        <is>
          <t>STOCKHOLMS LÄN</t>
        </is>
      </c>
      <c r="E1868" t="inlineStr">
        <is>
          <t>NORRTÄLJE</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824-2025</t>
        </is>
      </c>
      <c r="B1869" s="1" t="n">
        <v>45665</v>
      </c>
      <c r="C1869" s="1" t="n">
        <v>45688</v>
      </c>
      <c r="D1869" t="inlineStr">
        <is>
          <t>STOCKHOLMS LÄN</t>
        </is>
      </c>
      <c r="E1869" t="inlineStr">
        <is>
          <t>NORRTÄLJE</t>
        </is>
      </c>
      <c r="F1869" t="inlineStr">
        <is>
          <t>Övriga Aktiebolag</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1283-2025</t>
        </is>
      </c>
      <c r="B1870" s="1" t="n">
        <v>45667</v>
      </c>
      <c r="C1870" s="1" t="n">
        <v>45688</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1360-2025</t>
        </is>
      </c>
      <c r="B1871" s="1" t="n">
        <v>45667</v>
      </c>
      <c r="C1871" s="1" t="n">
        <v>45688</v>
      </c>
      <c r="D1871" t="inlineStr">
        <is>
          <t>STOCKHOLMS LÄN</t>
        </is>
      </c>
      <c r="E1871" t="inlineStr">
        <is>
          <t>NORRTÄLJE</t>
        </is>
      </c>
      <c r="F1871" t="inlineStr">
        <is>
          <t>Kyrkan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1425-2025</t>
        </is>
      </c>
      <c r="B1872" s="1" t="n">
        <v>45668</v>
      </c>
      <c r="C1872" s="1" t="n">
        <v>45688</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1453-2025</t>
        </is>
      </c>
      <c r="B1873" s="1" t="n">
        <v>45670</v>
      </c>
      <c r="C1873" s="1" t="n">
        <v>45688</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45688</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1890-2025</t>
        </is>
      </c>
      <c r="B1875" s="1" t="n">
        <v>45671</v>
      </c>
      <c r="C1875" s="1" t="n">
        <v>45688</v>
      </c>
      <c r="D1875" t="inlineStr">
        <is>
          <t>STOCKHOLMS LÄN</t>
        </is>
      </c>
      <c r="E1875" t="inlineStr">
        <is>
          <t>NORRTÄLJE</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45688</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45688</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2627-2025</t>
        </is>
      </c>
      <c r="B1878" s="1" t="n">
        <v>45675</v>
      </c>
      <c r="C1878" s="1" t="n">
        <v>45688</v>
      </c>
      <c r="D1878" t="inlineStr">
        <is>
          <t>STOCKHOLMS LÄN</t>
        </is>
      </c>
      <c r="E1878" t="inlineStr">
        <is>
          <t>NORRTÄLJE</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3117-2025</t>
        </is>
      </c>
      <c r="B1879" s="1" t="n">
        <v>45678</v>
      </c>
      <c r="C1879" s="1" t="n">
        <v>45688</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3273-2025</t>
        </is>
      </c>
      <c r="B1880" s="1" t="n">
        <v>45679</v>
      </c>
      <c r="C1880" s="1" t="n">
        <v>45688</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45688</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3426-2025</t>
        </is>
      </c>
      <c r="B1882" s="1" t="n">
        <v>45680</v>
      </c>
      <c r="C1882" s="1" t="n">
        <v>45688</v>
      </c>
      <c r="D1882" t="inlineStr">
        <is>
          <t>STOCKHOLMS LÄN</t>
        </is>
      </c>
      <c r="E1882" t="inlineStr">
        <is>
          <t>NORRTÄLJE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45688</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4148-2025</t>
        </is>
      </c>
      <c r="B1884" s="1" t="n">
        <v>45685</v>
      </c>
      <c r="C1884" s="1" t="n">
        <v>45688</v>
      </c>
      <c r="D1884" t="inlineStr">
        <is>
          <t>STOCKHOLMS LÄN</t>
        </is>
      </c>
      <c r="E1884" t="inlineStr">
        <is>
          <t>NORRTÄLJE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4164-2025</t>
        </is>
      </c>
      <c r="B1885" s="1" t="n">
        <v>45685</v>
      </c>
      <c r="C1885" s="1" t="n">
        <v>45688</v>
      </c>
      <c r="D1885" t="inlineStr">
        <is>
          <t>STOCKHOLMS LÄN</t>
        </is>
      </c>
      <c r="E1885" t="inlineStr">
        <is>
          <t>NORRTÄLJE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45688</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45688</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4350-2025</t>
        </is>
      </c>
      <c r="B1888" s="1" t="n">
        <v>45686</v>
      </c>
      <c r="C1888" s="1" t="n">
        <v>45688</v>
      </c>
      <c r="D1888" t="inlineStr">
        <is>
          <t>STOCKHOLMS LÄN</t>
        </is>
      </c>
      <c r="E1888" t="inlineStr">
        <is>
          <t>NORRTÄLJE</t>
        </is>
      </c>
      <c r="F1888" t="inlineStr">
        <is>
          <t>Övriga Aktiebolag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4498-2025</t>
        </is>
      </c>
      <c r="B1889" s="1" t="n">
        <v>45686</v>
      </c>
      <c r="C1889" s="1" t="n">
        <v>45688</v>
      </c>
      <c r="D1889" t="inlineStr">
        <is>
          <t>STOCKHOLMS LÄN</t>
        </is>
      </c>
      <c r="E1889" t="inlineStr">
        <is>
          <t>NORRTÄLJE</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45688</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45688</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4581-2025</t>
        </is>
      </c>
      <c r="B1892" s="1" t="n">
        <v>45687</v>
      </c>
      <c r="C1892" s="1" t="n">
        <v>45688</v>
      </c>
      <c r="D1892" t="inlineStr">
        <is>
          <t>STOCKHOLMS LÄN</t>
        </is>
      </c>
      <c r="E1892" t="inlineStr">
        <is>
          <t>NORRTÄLJE</t>
        </is>
      </c>
      <c r="F1892" t="inlineStr">
        <is>
          <t>Holmen skog AB</t>
        </is>
      </c>
      <c r="G1892" t="n">
        <v>2.8</v>
      </c>
      <c r="H1892" t="n">
        <v>0</v>
      </c>
      <c r="I1892" t="n">
        <v>0</v>
      </c>
      <c r="J1892" t="n">
        <v>0</v>
      </c>
      <c r="K1892" t="n">
        <v>0</v>
      </c>
      <c r="L1892" t="n">
        <v>0</v>
      </c>
      <c r="M1892" t="n">
        <v>0</v>
      </c>
      <c r="N1892" t="n">
        <v>0</v>
      </c>
      <c r="O1892" t="n">
        <v>0</v>
      </c>
      <c r="P1892" t="n">
        <v>0</v>
      </c>
      <c r="Q1892" t="n">
        <v>0</v>
      </c>
      <c r="R1892" s="2" t="inlineStr"/>
    </row>
    <row r="1893">
      <c r="A1893" t="inlineStr">
        <is>
          <t>A 4580-2025</t>
        </is>
      </c>
      <c r="B1893" s="1" t="n">
        <v>45687</v>
      </c>
      <c r="C1893" s="1" t="n">
        <v>45688</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2025-01-31T22:05:52Z</dcterms:created>
  <dcterms:modified xmlns:dcterms="http://purl.org/dc/terms/" xmlns:xsi="http://www.w3.org/2001/XMLSchema-instance" xsi:type="dcterms:W3CDTF">2025-01-31T22:05:53Z</dcterms:modified>
</cp:coreProperties>
</file>