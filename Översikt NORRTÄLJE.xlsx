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46203</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46203</v>
      </c>
      <c r="D3" t="inlineStr">
        <is>
          <t>STOCKHOLMS LÄN</t>
        </is>
      </c>
      <c r="E3" t="inlineStr">
        <is>
          <t>NORRTÄLJE</t>
        </is>
      </c>
      <c r="G3" t="n">
        <v>9.199999999999999</v>
      </c>
      <c r="H3" t="n">
        <v>4</v>
      </c>
      <c r="I3" t="n">
        <v>16</v>
      </c>
      <c r="J3" t="n">
        <v>23</v>
      </c>
      <c r="K3" t="n">
        <v>11</v>
      </c>
      <c r="L3" t="n">
        <v>6</v>
      </c>
      <c r="M3" t="n">
        <v>0</v>
      </c>
      <c r="N3" t="n">
        <v>0</v>
      </c>
      <c r="O3" t="n">
        <v>40</v>
      </c>
      <c r="P3" t="n">
        <v>17</v>
      </c>
      <c r="Q3" t="n">
        <v>58</v>
      </c>
      <c r="R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v>
      </c>
      <c r="C4" s="1" t="n">
        <v>46203</v>
      </c>
      <c r="D4" t="inlineStr">
        <is>
          <t>STOCKHOLMS LÄN</t>
        </is>
      </c>
      <c r="E4" t="inlineStr">
        <is>
          <t>NORRTÄLJE</t>
        </is>
      </c>
      <c r="G4" t="n">
        <v>35.4</v>
      </c>
      <c r="H4" t="n">
        <v>7</v>
      </c>
      <c r="I4" t="n">
        <v>25</v>
      </c>
      <c r="J4" t="n">
        <v>16</v>
      </c>
      <c r="K4" t="n">
        <v>3</v>
      </c>
      <c r="L4" t="n">
        <v>1</v>
      </c>
      <c r="M4" t="n">
        <v>0</v>
      </c>
      <c r="N4" t="n">
        <v>0</v>
      </c>
      <c r="O4" t="n">
        <v>20</v>
      </c>
      <c r="P4" t="n">
        <v>4</v>
      </c>
      <c r="Q4" t="n">
        <v>50</v>
      </c>
      <c r="R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46203</v>
      </c>
      <c r="D5" t="inlineStr">
        <is>
          <t>STOCKHOLMS LÄN</t>
        </is>
      </c>
      <c r="E5" t="inlineStr">
        <is>
          <t>NORRTÄLJE</t>
        </is>
      </c>
      <c r="G5" t="n">
        <v>10.8</v>
      </c>
      <c r="H5" t="n">
        <v>6</v>
      </c>
      <c r="I5" t="n">
        <v>12</v>
      </c>
      <c r="J5" t="n">
        <v>10</v>
      </c>
      <c r="K5" t="n">
        <v>7</v>
      </c>
      <c r="L5" t="n">
        <v>4</v>
      </c>
      <c r="M5" t="n">
        <v>0</v>
      </c>
      <c r="N5" t="n">
        <v>0</v>
      </c>
      <c r="O5" t="n">
        <v>21</v>
      </c>
      <c r="P5" t="n">
        <v>11</v>
      </c>
      <c r="Q5" t="n">
        <v>36</v>
      </c>
      <c r="R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v>
      </c>
      <c r="C6" s="1" t="n">
        <v>46203</v>
      </c>
      <c r="D6" t="inlineStr">
        <is>
          <t>STOCKHOLMS LÄN</t>
        </is>
      </c>
      <c r="E6" t="inlineStr">
        <is>
          <t>NORRTÄLJE</t>
        </is>
      </c>
      <c r="F6" t="inlineStr">
        <is>
          <t>Holmen skog AB</t>
        </is>
      </c>
      <c r="G6" t="n">
        <v>7.9</v>
      </c>
      <c r="H6" t="n">
        <v>4</v>
      </c>
      <c r="I6" t="n">
        <v>10</v>
      </c>
      <c r="J6" t="n">
        <v>16</v>
      </c>
      <c r="K6" t="n">
        <v>7</v>
      </c>
      <c r="L6" t="n">
        <v>0</v>
      </c>
      <c r="M6" t="n">
        <v>0</v>
      </c>
      <c r="N6" t="n">
        <v>0</v>
      </c>
      <c r="O6" t="n">
        <v>23</v>
      </c>
      <c r="P6" t="n">
        <v>7</v>
      </c>
      <c r="Q6" t="n">
        <v>35</v>
      </c>
      <c r="R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9472-2025</t>
        </is>
      </c>
      <c r="B7" s="1" t="n">
        <v>45715</v>
      </c>
      <c r="C7" s="1" t="n">
        <v>46203</v>
      </c>
      <c r="D7" t="inlineStr">
        <is>
          <t>STOCKHOLMS LÄN</t>
        </is>
      </c>
      <c r="E7" t="inlineStr">
        <is>
          <t>NORRTÄLJE</t>
        </is>
      </c>
      <c r="G7" t="n">
        <v>11.9</v>
      </c>
      <c r="H7" t="n">
        <v>5</v>
      </c>
      <c r="I7" t="n">
        <v>10</v>
      </c>
      <c r="J7" t="n">
        <v>9</v>
      </c>
      <c r="K7" t="n">
        <v>7</v>
      </c>
      <c r="L7" t="n">
        <v>2</v>
      </c>
      <c r="M7" t="n">
        <v>0</v>
      </c>
      <c r="N7" t="n">
        <v>0</v>
      </c>
      <c r="O7" t="n">
        <v>18</v>
      </c>
      <c r="P7" t="n">
        <v>9</v>
      </c>
      <c r="Q7" t="n">
        <v>32</v>
      </c>
      <c r="R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25731-2025</t>
        </is>
      </c>
      <c r="B8" s="1" t="n">
        <v>45800</v>
      </c>
      <c r="C8" s="1" t="n">
        <v>46203</v>
      </c>
      <c r="D8" t="inlineStr">
        <is>
          <t>STOCKHOLMS LÄN</t>
        </is>
      </c>
      <c r="E8" t="inlineStr">
        <is>
          <t>NORRTÄLJE</t>
        </is>
      </c>
      <c r="G8" t="n">
        <v>11.9</v>
      </c>
      <c r="H8" t="n">
        <v>8</v>
      </c>
      <c r="I8" t="n">
        <v>10</v>
      </c>
      <c r="J8" t="n">
        <v>10</v>
      </c>
      <c r="K8" t="n">
        <v>3</v>
      </c>
      <c r="L8" t="n">
        <v>0</v>
      </c>
      <c r="M8" t="n">
        <v>0</v>
      </c>
      <c r="N8" t="n">
        <v>0</v>
      </c>
      <c r="O8" t="n">
        <v>13</v>
      </c>
      <c r="P8" t="n">
        <v>3</v>
      </c>
      <c r="Q8" t="n">
        <v>31</v>
      </c>
      <c r="R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8">
        <f>HYPERLINK("https://klasma.github.io/Logging_0188/artfynd/A 25731-2025 artfynd.xlsx", "A 25731-2025")</f>
        <v/>
      </c>
      <c r="T8">
        <f>HYPERLINK("https://klasma.github.io/Logging_0188/kartor/A 25731-2025 karta.png", "A 25731-2025")</f>
        <v/>
      </c>
      <c r="U8">
        <f>HYPERLINK("https://klasma.github.io/Logging_0188/knärot/A 25731-2025 karta knärot.png", "A 25731-2025")</f>
        <v/>
      </c>
      <c r="V8">
        <f>HYPERLINK("https://klasma.github.io/Logging_0188/klagomål/A 25731-2025 FSC-klagomål.docx", "A 25731-2025")</f>
        <v/>
      </c>
      <c r="W8">
        <f>HYPERLINK("https://klasma.github.io/Logging_0188/klagomålsmail/A 25731-2025 FSC-klagomål mail.docx", "A 25731-2025")</f>
        <v/>
      </c>
      <c r="X8">
        <f>HYPERLINK("https://klasma.github.io/Logging_0188/tillsyn/A 25731-2025 tillsynsbegäran.docx", "A 25731-2025")</f>
        <v/>
      </c>
      <c r="Y8">
        <f>HYPERLINK("https://klasma.github.io/Logging_0188/tillsynsmail/A 25731-2025 tillsynsbegäran mail.docx", "A 25731-2025")</f>
        <v/>
      </c>
      <c r="Z8">
        <f>HYPERLINK("https://klasma.github.io/Logging_0188/fåglar/A 25731-2025 prioriterade fågelarter.docx", "A 25731-2025")</f>
        <v/>
      </c>
    </row>
    <row r="9" ht="15" customHeight="1">
      <c r="A9" t="inlineStr">
        <is>
          <t>A 56024-2025</t>
        </is>
      </c>
      <c r="B9" s="1" t="n">
        <v>45973</v>
      </c>
      <c r="C9" s="1" t="n">
        <v>46203</v>
      </c>
      <c r="D9" t="inlineStr">
        <is>
          <t>STOCKHOLMS LÄN</t>
        </is>
      </c>
      <c r="E9" t="inlineStr">
        <is>
          <t>NORRTÄLJE</t>
        </is>
      </c>
      <c r="F9" t="inlineStr">
        <is>
          <t>Kommuner</t>
        </is>
      </c>
      <c r="G9" t="n">
        <v>10.6</v>
      </c>
      <c r="H9" t="n">
        <v>12</v>
      </c>
      <c r="I9" t="n">
        <v>4</v>
      </c>
      <c r="J9" t="n">
        <v>12</v>
      </c>
      <c r="K9" t="n">
        <v>8</v>
      </c>
      <c r="L9" t="n">
        <v>0</v>
      </c>
      <c r="M9" t="n">
        <v>0</v>
      </c>
      <c r="N9" t="n">
        <v>0</v>
      </c>
      <c r="O9" t="n">
        <v>20</v>
      </c>
      <c r="P9" t="n">
        <v>8</v>
      </c>
      <c r="Q9" t="n">
        <v>29</v>
      </c>
      <c r="R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9">
        <f>HYPERLINK("https://klasma.github.io/Logging_0188/artfynd/A 56024-2025 artfynd.xlsx", "A 56024-2025")</f>
        <v/>
      </c>
      <c r="T9">
        <f>HYPERLINK("https://klasma.github.io/Logging_0188/kartor/A 56024-2025 karta.png", "A 56024-2025")</f>
        <v/>
      </c>
      <c r="V9">
        <f>HYPERLINK("https://klasma.github.io/Logging_0188/klagomål/A 56024-2025 FSC-klagomål.docx", "A 56024-2025")</f>
        <v/>
      </c>
      <c r="W9">
        <f>HYPERLINK("https://klasma.github.io/Logging_0188/klagomålsmail/A 56024-2025 FSC-klagomål mail.docx", "A 56024-2025")</f>
        <v/>
      </c>
      <c r="X9">
        <f>HYPERLINK("https://klasma.github.io/Logging_0188/tillsyn/A 56024-2025 tillsynsbegäran.docx", "A 56024-2025")</f>
        <v/>
      </c>
      <c r="Y9">
        <f>HYPERLINK("https://klasma.github.io/Logging_0188/tillsynsmail/A 56024-2025 tillsynsbegäran mail.docx", "A 56024-2025")</f>
        <v/>
      </c>
      <c r="Z9">
        <f>HYPERLINK("https://klasma.github.io/Logging_0188/fåglar/A 56024-2025 prioriterade fågelarter.docx", "A 56024-2025")</f>
        <v/>
      </c>
    </row>
    <row r="10" ht="15" customHeight="1">
      <c r="A10" t="inlineStr">
        <is>
          <t>A 21837-2025</t>
        </is>
      </c>
      <c r="B10" s="1" t="n">
        <v>45784</v>
      </c>
      <c r="C10" s="1" t="n">
        <v>46203</v>
      </c>
      <c r="D10" t="inlineStr">
        <is>
          <t>STOCKHOLMS LÄN</t>
        </is>
      </c>
      <c r="E10" t="inlineStr">
        <is>
          <t>NORRTÄLJE</t>
        </is>
      </c>
      <c r="G10" t="n">
        <v>6.4</v>
      </c>
      <c r="H10" t="n">
        <v>5</v>
      </c>
      <c r="I10" t="n">
        <v>6</v>
      </c>
      <c r="J10" t="n">
        <v>13</v>
      </c>
      <c r="K10" t="n">
        <v>3</v>
      </c>
      <c r="L10" t="n">
        <v>0</v>
      </c>
      <c r="M10" t="n">
        <v>0</v>
      </c>
      <c r="N10" t="n">
        <v>0</v>
      </c>
      <c r="O10" t="n">
        <v>17</v>
      </c>
      <c r="P10" t="n">
        <v>3</v>
      </c>
      <c r="Q10" t="n">
        <v>27</v>
      </c>
      <c r="R1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30156-2022</t>
        </is>
      </c>
      <c r="B11" s="1" t="n">
        <v>44757</v>
      </c>
      <c r="C11" s="1" t="n">
        <v>46203</v>
      </c>
      <c r="D11" t="inlineStr">
        <is>
          <t>STOCKHOLMS LÄN</t>
        </is>
      </c>
      <c r="E11" t="inlineStr">
        <is>
          <t>NORRTÄLJE</t>
        </is>
      </c>
      <c r="G11" t="n">
        <v>4.3</v>
      </c>
      <c r="H11" t="n">
        <v>1</v>
      </c>
      <c r="I11" t="n">
        <v>12</v>
      </c>
      <c r="J11" t="n">
        <v>9</v>
      </c>
      <c r="K11" t="n">
        <v>2</v>
      </c>
      <c r="L11" t="n">
        <v>2</v>
      </c>
      <c r="M11" t="n">
        <v>0</v>
      </c>
      <c r="N11" t="n">
        <v>0</v>
      </c>
      <c r="O11" t="n">
        <v>14</v>
      </c>
      <c r="P11" t="n">
        <v>4</v>
      </c>
      <c r="Q11" t="n">
        <v>26</v>
      </c>
      <c r="R1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60019-2022</t>
        </is>
      </c>
      <c r="B12" s="1" t="n">
        <v>44909</v>
      </c>
      <c r="C12" s="1" t="n">
        <v>46203</v>
      </c>
      <c r="D12" t="inlineStr">
        <is>
          <t>STOCKHOLMS LÄN</t>
        </is>
      </c>
      <c r="E12" t="inlineStr">
        <is>
          <t>NORRTÄLJE</t>
        </is>
      </c>
      <c r="G12" t="n">
        <v>6.7</v>
      </c>
      <c r="H12" t="n">
        <v>4</v>
      </c>
      <c r="I12" t="n">
        <v>9</v>
      </c>
      <c r="J12" t="n">
        <v>8</v>
      </c>
      <c r="K12" t="n">
        <v>1</v>
      </c>
      <c r="L12" t="n">
        <v>5</v>
      </c>
      <c r="M12" t="n">
        <v>0</v>
      </c>
      <c r="N12" t="n">
        <v>0</v>
      </c>
      <c r="O12" t="n">
        <v>14</v>
      </c>
      <c r="P12" t="n">
        <v>6</v>
      </c>
      <c r="Q12" t="n">
        <v>25</v>
      </c>
      <c r="R12"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17645-2026</t>
        </is>
      </c>
      <c r="B13" s="1" t="n">
        <v>46121</v>
      </c>
      <c r="C13" s="1" t="n">
        <v>46203</v>
      </c>
      <c r="D13" t="inlineStr">
        <is>
          <t>STOCKHOLMS LÄN</t>
        </is>
      </c>
      <c r="E13" t="inlineStr">
        <is>
          <t>NORRTÄLJE</t>
        </is>
      </c>
      <c r="G13" t="n">
        <v>8.199999999999999</v>
      </c>
      <c r="H13" t="n">
        <v>8</v>
      </c>
      <c r="I13" t="n">
        <v>6</v>
      </c>
      <c r="J13" t="n">
        <v>5</v>
      </c>
      <c r="K13" t="n">
        <v>3</v>
      </c>
      <c r="L13" t="n">
        <v>1</v>
      </c>
      <c r="M13" t="n">
        <v>0</v>
      </c>
      <c r="N13" t="n">
        <v>0</v>
      </c>
      <c r="O13" t="n">
        <v>9</v>
      </c>
      <c r="P13" t="n">
        <v>4</v>
      </c>
      <c r="Q13" t="n">
        <v>23</v>
      </c>
      <c r="R13"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13">
        <f>HYPERLINK("https://klasma.github.io/Logging_0188/artfynd/A 17645-2026 artfynd.xlsx", "A 17645-2026")</f>
        <v/>
      </c>
      <c r="T13">
        <f>HYPERLINK("https://klasma.github.io/Logging_0188/kartor/A 17645-2026 karta.png", "A 17645-2026")</f>
        <v/>
      </c>
      <c r="U13">
        <f>HYPERLINK("https://klasma.github.io/Logging_0188/knärot/A 17645-2026 karta knärot.png", "A 17645-2026")</f>
        <v/>
      </c>
      <c r="V13">
        <f>HYPERLINK("https://klasma.github.io/Logging_0188/klagomål/A 17645-2026 FSC-klagomål.docx", "A 17645-2026")</f>
        <v/>
      </c>
      <c r="W13">
        <f>HYPERLINK("https://klasma.github.io/Logging_0188/klagomålsmail/A 17645-2026 FSC-klagomål mail.docx", "A 17645-2026")</f>
        <v/>
      </c>
      <c r="X13">
        <f>HYPERLINK("https://klasma.github.io/Logging_0188/tillsyn/A 17645-2026 tillsynsbegäran.docx", "A 17645-2026")</f>
        <v/>
      </c>
      <c r="Y13">
        <f>HYPERLINK("https://klasma.github.io/Logging_0188/tillsynsmail/A 17645-2026 tillsynsbegäran mail.docx", "A 17645-2026")</f>
        <v/>
      </c>
      <c r="Z13">
        <f>HYPERLINK("https://klasma.github.io/Logging_0188/fåglar/A 17645-2026 prioriterade fågelarter.docx", "A 17645-2026")</f>
        <v/>
      </c>
    </row>
    <row r="14" ht="15" customHeight="1">
      <c r="A14" t="inlineStr">
        <is>
          <t>A 21927-2025</t>
        </is>
      </c>
      <c r="B14" s="1" t="n">
        <v>45784</v>
      </c>
      <c r="C14" s="1" t="n">
        <v>46203</v>
      </c>
      <c r="D14" t="inlineStr">
        <is>
          <t>STOCKHOLMS LÄN</t>
        </is>
      </c>
      <c r="E14" t="inlineStr">
        <is>
          <t>NORRTÄLJE</t>
        </is>
      </c>
      <c r="G14" t="n">
        <v>3.4</v>
      </c>
      <c r="H14" t="n">
        <v>5</v>
      </c>
      <c r="I14" t="n">
        <v>6</v>
      </c>
      <c r="J14" t="n">
        <v>8</v>
      </c>
      <c r="K14" t="n">
        <v>3</v>
      </c>
      <c r="L14" t="n">
        <v>0</v>
      </c>
      <c r="M14" t="n">
        <v>0</v>
      </c>
      <c r="N14" t="n">
        <v>0</v>
      </c>
      <c r="O14" t="n">
        <v>12</v>
      </c>
      <c r="P14" t="n">
        <v>3</v>
      </c>
      <c r="Q14" t="n">
        <v>22</v>
      </c>
      <c r="R1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14">
        <f>HYPERLINK("https://klasma.github.io/Logging_0188/artfynd/A 21927-2025 artfynd.xlsx", "A 21927-2025")</f>
        <v/>
      </c>
      <c r="T14">
        <f>HYPERLINK("https://klasma.github.io/Logging_0188/kartor/A 21927-2025 karta.png", "A 21927-2025")</f>
        <v/>
      </c>
      <c r="V14">
        <f>HYPERLINK("https://klasma.github.io/Logging_0188/klagomål/A 21927-2025 FSC-klagomål.docx", "A 21927-2025")</f>
        <v/>
      </c>
      <c r="W14">
        <f>HYPERLINK("https://klasma.github.io/Logging_0188/klagomålsmail/A 21927-2025 FSC-klagomål mail.docx", "A 21927-2025")</f>
        <v/>
      </c>
      <c r="X14">
        <f>HYPERLINK("https://klasma.github.io/Logging_0188/tillsyn/A 21927-2025 tillsynsbegäran.docx", "A 21927-2025")</f>
        <v/>
      </c>
      <c r="Y14">
        <f>HYPERLINK("https://klasma.github.io/Logging_0188/tillsynsmail/A 21927-2025 tillsynsbegäran mail.docx", "A 21927-2025")</f>
        <v/>
      </c>
      <c r="Z14">
        <f>HYPERLINK("https://klasma.github.io/Logging_0188/fåglar/A 21927-2025 prioriterade fågelarter.docx", "A 21927-2025")</f>
        <v/>
      </c>
    </row>
    <row r="15" ht="15" customHeight="1">
      <c r="A15" t="inlineStr">
        <is>
          <t>A 52797-2023</t>
        </is>
      </c>
      <c r="B15" s="1" t="n">
        <v>45226</v>
      </c>
      <c r="C15" s="1" t="n">
        <v>46203</v>
      </c>
      <c r="D15" t="inlineStr">
        <is>
          <t>STOCKHOLMS LÄN</t>
        </is>
      </c>
      <c r="E15" t="inlineStr">
        <is>
          <t>NORRTÄLJE</t>
        </is>
      </c>
      <c r="G15" t="n">
        <v>5.3</v>
      </c>
      <c r="H15" t="n">
        <v>4</v>
      </c>
      <c r="I15" t="n">
        <v>8</v>
      </c>
      <c r="J15" t="n">
        <v>9</v>
      </c>
      <c r="K15" t="n">
        <v>1</v>
      </c>
      <c r="L15" t="n">
        <v>0</v>
      </c>
      <c r="M15" t="n">
        <v>0</v>
      </c>
      <c r="N15" t="n">
        <v>0</v>
      </c>
      <c r="O15" t="n">
        <v>10</v>
      </c>
      <c r="P15" t="n">
        <v>1</v>
      </c>
      <c r="Q15" t="n">
        <v>21</v>
      </c>
      <c r="R1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46203</v>
      </c>
      <c r="D16" t="inlineStr">
        <is>
          <t>STOCKHOLMS LÄN</t>
        </is>
      </c>
      <c r="E16" t="inlineStr">
        <is>
          <t>NORRTÄLJE</t>
        </is>
      </c>
      <c r="G16" t="n">
        <v>5.9</v>
      </c>
      <c r="H16" t="n">
        <v>4</v>
      </c>
      <c r="I16" t="n">
        <v>9</v>
      </c>
      <c r="J16" t="n">
        <v>6</v>
      </c>
      <c r="K16" t="n">
        <v>1</v>
      </c>
      <c r="L16" t="n">
        <v>0</v>
      </c>
      <c r="M16" t="n">
        <v>0</v>
      </c>
      <c r="N16" t="n">
        <v>0</v>
      </c>
      <c r="O16" t="n">
        <v>7</v>
      </c>
      <c r="P16" t="n">
        <v>1</v>
      </c>
      <c r="Q16" t="n">
        <v>19</v>
      </c>
      <c r="R16"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28785-2026</t>
        </is>
      </c>
      <c r="B17" s="1" t="n">
        <v>46198</v>
      </c>
      <c r="C17" s="1" t="n">
        <v>46203</v>
      </c>
      <c r="D17" t="inlineStr">
        <is>
          <t>STOCKHOLMS LÄN</t>
        </is>
      </c>
      <c r="E17" t="inlineStr">
        <is>
          <t>NORRTÄLJE</t>
        </is>
      </c>
      <c r="G17" t="n">
        <v>5</v>
      </c>
      <c r="H17" t="n">
        <v>0</v>
      </c>
      <c r="I17" t="n">
        <v>5</v>
      </c>
      <c r="J17" t="n">
        <v>6</v>
      </c>
      <c r="K17" t="n">
        <v>5</v>
      </c>
      <c r="L17" t="n">
        <v>1</v>
      </c>
      <c r="M17" t="n">
        <v>0</v>
      </c>
      <c r="N17" t="n">
        <v>0</v>
      </c>
      <c r="O17" t="n">
        <v>12</v>
      </c>
      <c r="P17" t="n">
        <v>6</v>
      </c>
      <c r="Q17" t="n">
        <v>17</v>
      </c>
      <c r="R1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17">
        <f>HYPERLINK("https://klasma.github.io/Logging_0188/artfynd/A 28785-2026 artfynd.xlsx", "A 28785-2026")</f>
        <v/>
      </c>
      <c r="T17">
        <f>HYPERLINK("https://klasma.github.io/Logging_0188/kartor/A 28785-2026 karta.png", "A 28785-2026")</f>
        <v/>
      </c>
      <c r="V17">
        <f>HYPERLINK("https://klasma.github.io/Logging_0188/klagomål/A 28785-2026 FSC-klagomål.docx", "A 28785-2026")</f>
        <v/>
      </c>
      <c r="W17">
        <f>HYPERLINK("https://klasma.github.io/Logging_0188/klagomålsmail/A 28785-2026 FSC-klagomål mail.docx", "A 28785-2026")</f>
        <v/>
      </c>
      <c r="X17">
        <f>HYPERLINK("https://klasma.github.io/Logging_0188/tillsyn/A 28785-2026 tillsynsbegäran.docx", "A 28785-2026")</f>
        <v/>
      </c>
      <c r="Y17">
        <f>HYPERLINK("https://klasma.github.io/Logging_0188/tillsynsmail/A 28785-2026 tillsynsbegäran mail.docx", "A 28785-2026")</f>
        <v/>
      </c>
    </row>
    <row r="18" ht="15" customHeight="1">
      <c r="A18" t="inlineStr">
        <is>
          <t>A 34521-2025</t>
        </is>
      </c>
      <c r="B18" s="1" t="n">
        <v>45847</v>
      </c>
      <c r="C18" s="1" t="n">
        <v>46203</v>
      </c>
      <c r="D18" t="inlineStr">
        <is>
          <t>STOCKHOLMS LÄN</t>
        </is>
      </c>
      <c r="E18" t="inlineStr">
        <is>
          <t>NORRTÄLJE</t>
        </is>
      </c>
      <c r="G18" t="n">
        <v>4.3</v>
      </c>
      <c r="H18" t="n">
        <v>1</v>
      </c>
      <c r="I18" t="n">
        <v>5</v>
      </c>
      <c r="J18" t="n">
        <v>6</v>
      </c>
      <c r="K18" t="n">
        <v>2</v>
      </c>
      <c r="L18" t="n">
        <v>1</v>
      </c>
      <c r="M18" t="n">
        <v>0</v>
      </c>
      <c r="N18" t="n">
        <v>0</v>
      </c>
      <c r="O18" t="n">
        <v>9</v>
      </c>
      <c r="P18" t="n">
        <v>3</v>
      </c>
      <c r="Q18" t="n">
        <v>15</v>
      </c>
      <c r="R18" s="2" t="inlineStr">
        <is>
          <t>Violgubbe
Fläckfingersvamp
Läderdoftande fingersvamp
Blek fingersvamp
Kandelabersvamp
Kattfotslav
Motaggsvamp
Skarp dropptaggsvamp
Vedtrappmossa
Anisspindling
Korallblylav
Olivspindling
Stor aspticka
Vanlig rörsvepemossa
Spillkråka</t>
        </is>
      </c>
      <c r="S18">
        <f>HYPERLINK("https://klasma.github.io/Logging_0188/artfynd/A 34521-2025 artfynd.xlsx", "A 34521-2025")</f>
        <v/>
      </c>
      <c r="T18">
        <f>HYPERLINK("https://klasma.github.io/Logging_0188/kartor/A 34521-2025 karta.png", "A 34521-2025")</f>
        <v/>
      </c>
      <c r="V18">
        <f>HYPERLINK("https://klasma.github.io/Logging_0188/klagomål/A 34521-2025 FSC-klagomål.docx", "A 34521-2025")</f>
        <v/>
      </c>
      <c r="W18">
        <f>HYPERLINK("https://klasma.github.io/Logging_0188/klagomålsmail/A 34521-2025 FSC-klagomål mail.docx", "A 34521-2025")</f>
        <v/>
      </c>
      <c r="X18">
        <f>HYPERLINK("https://klasma.github.io/Logging_0188/tillsyn/A 34521-2025 tillsynsbegäran.docx", "A 34521-2025")</f>
        <v/>
      </c>
      <c r="Y18">
        <f>HYPERLINK("https://klasma.github.io/Logging_0188/tillsynsmail/A 34521-2025 tillsynsbegäran mail.docx", "A 34521-2025")</f>
        <v/>
      </c>
      <c r="Z18">
        <f>HYPERLINK("https://klasma.github.io/Logging_0188/fåglar/A 34521-2025 prioriterade fågelarter.docx", "A 34521-2025")</f>
        <v/>
      </c>
    </row>
    <row r="19" ht="15" customHeight="1">
      <c r="A19" t="inlineStr">
        <is>
          <t>A 639-2026</t>
        </is>
      </c>
      <c r="B19" s="1" t="n">
        <v>46029</v>
      </c>
      <c r="C19" s="1" t="n">
        <v>46203</v>
      </c>
      <c r="D19" t="inlineStr">
        <is>
          <t>STOCKHOLMS LÄN</t>
        </is>
      </c>
      <c r="E19" t="inlineStr">
        <is>
          <t>NORRTÄLJE</t>
        </is>
      </c>
      <c r="G19" t="n">
        <v>24.7</v>
      </c>
      <c r="H19" t="n">
        <v>14</v>
      </c>
      <c r="I19" t="n">
        <v>0</v>
      </c>
      <c r="J19" t="n">
        <v>7</v>
      </c>
      <c r="K19" t="n">
        <v>1</v>
      </c>
      <c r="L19" t="n">
        <v>0</v>
      </c>
      <c r="M19" t="n">
        <v>0</v>
      </c>
      <c r="N19" t="n">
        <v>0</v>
      </c>
      <c r="O19" t="n">
        <v>8</v>
      </c>
      <c r="P19" t="n">
        <v>1</v>
      </c>
      <c r="Q19" t="n">
        <v>14</v>
      </c>
      <c r="R19" s="2" t="inlineStr">
        <is>
          <t>Stare
Enkelbeckasin
Entita
Gulsparv
Järnsparv
Nordfladdermus
Rödvingetrast
Talltita
Blåsippa
Grönsiska
Kråka
Kungsfågel
Större brunfladdermus
Ärtsångare</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10430-2026</t>
        </is>
      </c>
      <c r="B20" s="1" t="n">
        <v>46077</v>
      </c>
      <c r="C20" s="1" t="n">
        <v>46203</v>
      </c>
      <c r="D20" t="inlineStr">
        <is>
          <t>STOCKHOLMS LÄN</t>
        </is>
      </c>
      <c r="E20" t="inlineStr">
        <is>
          <t>NORRTÄLJE</t>
        </is>
      </c>
      <c r="G20" t="n">
        <v>2</v>
      </c>
      <c r="H20" t="n">
        <v>0</v>
      </c>
      <c r="I20" t="n">
        <v>3</v>
      </c>
      <c r="J20" t="n">
        <v>6</v>
      </c>
      <c r="K20" t="n">
        <v>3</v>
      </c>
      <c r="L20" t="n">
        <v>0</v>
      </c>
      <c r="M20" t="n">
        <v>0</v>
      </c>
      <c r="N20" t="n">
        <v>0</v>
      </c>
      <c r="O20" t="n">
        <v>9</v>
      </c>
      <c r="P20" t="n">
        <v>3</v>
      </c>
      <c r="Q20" t="n">
        <v>12</v>
      </c>
      <c r="R20" s="2" t="inlineStr">
        <is>
          <t>Duvspindling
Granrotspindling
Stor odörspindling
Bittermusseron
Fjällig taggsvamp s.str.
Kryddspindling
Odörspindling
Persiljespindling
Skarp dropptaggsvamp
Anisspindling
Olivspindling
Svavelriska</t>
        </is>
      </c>
      <c r="S20">
        <f>HYPERLINK("https://klasma.github.io/Logging_0188/artfynd/A 10430-2026 artfynd.xlsx", "A 10430-2026")</f>
        <v/>
      </c>
      <c r="T20">
        <f>HYPERLINK("https://klasma.github.io/Logging_0188/kartor/A 10430-2026 karta.png", "A 10430-2026")</f>
        <v/>
      </c>
      <c r="V20">
        <f>HYPERLINK("https://klasma.github.io/Logging_0188/klagomål/A 10430-2026 FSC-klagomål.docx", "A 10430-2026")</f>
        <v/>
      </c>
      <c r="W20">
        <f>HYPERLINK("https://klasma.github.io/Logging_0188/klagomålsmail/A 10430-2026 FSC-klagomål mail.docx", "A 10430-2026")</f>
        <v/>
      </c>
      <c r="X20">
        <f>HYPERLINK("https://klasma.github.io/Logging_0188/tillsyn/A 10430-2026 tillsynsbegäran.docx", "A 10430-2026")</f>
        <v/>
      </c>
      <c r="Y20">
        <f>HYPERLINK("https://klasma.github.io/Logging_0188/tillsynsmail/A 10430-2026 tillsynsbegäran mail.docx", "A 10430-2026")</f>
        <v/>
      </c>
    </row>
    <row r="21" ht="15" customHeight="1">
      <c r="A21" t="inlineStr">
        <is>
          <t>A 17785-2024</t>
        </is>
      </c>
      <c r="B21" s="1" t="n">
        <v>45418</v>
      </c>
      <c r="C21" s="1" t="n">
        <v>46203</v>
      </c>
      <c r="D21" t="inlineStr">
        <is>
          <t>STOCKHOLMS LÄN</t>
        </is>
      </c>
      <c r="E21" t="inlineStr">
        <is>
          <t>NORRTÄLJE</t>
        </is>
      </c>
      <c r="G21" t="n">
        <v>1</v>
      </c>
      <c r="H21" t="n">
        <v>11</v>
      </c>
      <c r="I21" t="n">
        <v>0</v>
      </c>
      <c r="J21" t="n">
        <v>3</v>
      </c>
      <c r="K21" t="n">
        <v>5</v>
      </c>
      <c r="L21" t="n">
        <v>1</v>
      </c>
      <c r="M21" t="n">
        <v>0</v>
      </c>
      <c r="N21" t="n">
        <v>0</v>
      </c>
      <c r="O21" t="n">
        <v>9</v>
      </c>
      <c r="P21" t="n">
        <v>6</v>
      </c>
      <c r="Q21" t="n">
        <v>11</v>
      </c>
      <c r="R21" s="2" t="inlineStr">
        <is>
          <t>Kornknarr
Blå kärrhök
Gräshoppsångare
Stare
Svart rödstjärt
Tornseglare
Flodsångare
Göktyta
Sädesärla
Ljungpipare
Svartvit flugsnappare</t>
        </is>
      </c>
      <c r="S21">
        <f>HYPERLINK("https://klasma.github.io/Logging_0188/artfynd/A 17785-2024 artfynd.xlsx", "A 17785-2024")</f>
        <v/>
      </c>
      <c r="T21">
        <f>HYPERLINK("https://klasma.github.io/Logging_0188/kartor/A 17785-2024 karta.png", "A 17785-2024")</f>
        <v/>
      </c>
      <c r="V21">
        <f>HYPERLINK("https://klasma.github.io/Logging_0188/klagomål/A 17785-2024 FSC-klagomål.docx", "A 17785-2024")</f>
        <v/>
      </c>
      <c r="W21">
        <f>HYPERLINK("https://klasma.github.io/Logging_0188/klagomålsmail/A 17785-2024 FSC-klagomål mail.docx", "A 17785-2024")</f>
        <v/>
      </c>
      <c r="X21">
        <f>HYPERLINK("https://klasma.github.io/Logging_0188/tillsyn/A 17785-2024 tillsynsbegäran.docx", "A 17785-2024")</f>
        <v/>
      </c>
      <c r="Y21">
        <f>HYPERLINK("https://klasma.github.io/Logging_0188/tillsynsmail/A 17785-2024 tillsynsbegäran mail.docx", "A 17785-2024")</f>
        <v/>
      </c>
      <c r="Z21">
        <f>HYPERLINK("https://klasma.github.io/Logging_0188/fåglar/A 17785-2024 prioriterade fågelarter.docx", "A 17785-2024")</f>
        <v/>
      </c>
    </row>
    <row r="22" ht="15" customHeight="1">
      <c r="A22" t="inlineStr">
        <is>
          <t>A 25732-2025</t>
        </is>
      </c>
      <c r="B22" s="1" t="n">
        <v>45800</v>
      </c>
      <c r="C22" s="1" t="n">
        <v>46203</v>
      </c>
      <c r="D22" t="inlineStr">
        <is>
          <t>STOCKHOLMS LÄN</t>
        </is>
      </c>
      <c r="E22" t="inlineStr">
        <is>
          <t>NORRTÄLJE</t>
        </is>
      </c>
      <c r="G22" t="n">
        <v>7.4</v>
      </c>
      <c r="H22" t="n">
        <v>5</v>
      </c>
      <c r="I22" t="n">
        <v>3</v>
      </c>
      <c r="J22" t="n">
        <v>4</v>
      </c>
      <c r="K22" t="n">
        <v>2</v>
      </c>
      <c r="L22" t="n">
        <v>0</v>
      </c>
      <c r="M22" t="n">
        <v>0</v>
      </c>
      <c r="N22" t="n">
        <v>0</v>
      </c>
      <c r="O22" t="n">
        <v>6</v>
      </c>
      <c r="P22" t="n">
        <v>2</v>
      </c>
      <c r="Q22" t="n">
        <v>11</v>
      </c>
      <c r="R22" s="2" t="inlineStr">
        <is>
          <t>Knärot
Skrovlig taggsvamp
Blå taggsvamp
Dropptaggsvamp
Motaggsvamp
Talltita
Björksplintborre
Grönpyrola
Plattlummer
Spillkråka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50326-2024</t>
        </is>
      </c>
      <c r="B23" s="1" t="n">
        <v>45600</v>
      </c>
      <c r="C23" s="1" t="n">
        <v>46203</v>
      </c>
      <c r="D23" t="inlineStr">
        <is>
          <t>STOCKHOLMS LÄN</t>
        </is>
      </c>
      <c r="E23" t="inlineStr">
        <is>
          <t>NORRTÄLJE</t>
        </is>
      </c>
      <c r="G23" t="n">
        <v>23.9</v>
      </c>
      <c r="H23" t="n">
        <v>5</v>
      </c>
      <c r="I23" t="n">
        <v>5</v>
      </c>
      <c r="J23" t="n">
        <v>2</v>
      </c>
      <c r="K23" t="n">
        <v>0</v>
      </c>
      <c r="L23" t="n">
        <v>0</v>
      </c>
      <c r="M23" t="n">
        <v>0</v>
      </c>
      <c r="N23" t="n">
        <v>0</v>
      </c>
      <c r="O23" t="n">
        <v>2</v>
      </c>
      <c r="P23" t="n">
        <v>0</v>
      </c>
      <c r="Q23" t="n">
        <v>11</v>
      </c>
      <c r="R23" s="2" t="inlineStr">
        <is>
          <t>Sommarfibbla
Vårärt
Nästrot
Slät lönnlav
Svart trolldruva
Tibast
Tvåblad
Blåsippa
Tandrot
Fläcknycklar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73093-2021</t>
        </is>
      </c>
      <c r="B24" s="1" t="n">
        <v>44550</v>
      </c>
      <c r="C24" s="1" t="n">
        <v>46203</v>
      </c>
      <c r="D24" t="inlineStr">
        <is>
          <t>STOCKHOLMS LÄN</t>
        </is>
      </c>
      <c r="E24" t="inlineStr">
        <is>
          <t>NORRTÄLJE</t>
        </is>
      </c>
      <c r="G24" t="n">
        <v>5.1</v>
      </c>
      <c r="H24" t="n">
        <v>8</v>
      </c>
      <c r="I24" t="n">
        <v>6</v>
      </c>
      <c r="J24" t="n">
        <v>1</v>
      </c>
      <c r="K24" t="n">
        <v>0</v>
      </c>
      <c r="L24" t="n">
        <v>0</v>
      </c>
      <c r="M24" t="n">
        <v>0</v>
      </c>
      <c r="N24" t="n">
        <v>0</v>
      </c>
      <c r="O24" t="n">
        <v>1</v>
      </c>
      <c r="P24" t="n">
        <v>0</v>
      </c>
      <c r="Q24" t="n">
        <v>11</v>
      </c>
      <c r="R24" s="2" t="inlineStr">
        <is>
          <t>Rödvingetrast
Guckusko
Myskmadra
Nästrot
Skogsknipprot
Tibast
Vätteros
Blåsippa
Spillkråka
Grönsiska
Nattviol</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3472-2023</t>
        </is>
      </c>
      <c r="B25" s="1" t="n">
        <v>44949</v>
      </c>
      <c r="C25" s="1" t="n">
        <v>46203</v>
      </c>
      <c r="D25" t="inlineStr">
        <is>
          <t>STOCKHOLMS LÄN</t>
        </is>
      </c>
      <c r="E25" t="inlineStr">
        <is>
          <t>NORRTÄLJE</t>
        </is>
      </c>
      <c r="G25" t="n">
        <v>26.3</v>
      </c>
      <c r="H25" t="n">
        <v>1</v>
      </c>
      <c r="I25" t="n">
        <v>6</v>
      </c>
      <c r="J25" t="n">
        <v>3</v>
      </c>
      <c r="K25" t="n">
        <v>1</v>
      </c>
      <c r="L25" t="n">
        <v>0</v>
      </c>
      <c r="M25" t="n">
        <v>0</v>
      </c>
      <c r="N25" t="n">
        <v>0</v>
      </c>
      <c r="O25" t="n">
        <v>4</v>
      </c>
      <c r="P25" t="n">
        <v>1</v>
      </c>
      <c r="Q25" t="n">
        <v>11</v>
      </c>
      <c r="R25" s="2" t="inlineStr">
        <is>
          <t>Blackticka
Tallticka
Ullticka
Vårärt
Aspvedgnagare
Platt fjädermossa
Rävticka
Rökmusseron
Stor aspticka
Svavelriska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1054-2022</t>
        </is>
      </c>
      <c r="B26" s="1" t="n">
        <v>44571</v>
      </c>
      <c r="C26" s="1" t="n">
        <v>46203</v>
      </c>
      <c r="D26" t="inlineStr">
        <is>
          <t>STOCKHOLMS LÄN</t>
        </is>
      </c>
      <c r="E26" t="inlineStr">
        <is>
          <t>NORRTÄLJE</t>
        </is>
      </c>
      <c r="G26" t="n">
        <v>5</v>
      </c>
      <c r="H26" t="n">
        <v>1</v>
      </c>
      <c r="I26" t="n">
        <v>5</v>
      </c>
      <c r="J26" t="n">
        <v>5</v>
      </c>
      <c r="K26" t="n">
        <v>0</v>
      </c>
      <c r="L26" t="n">
        <v>0</v>
      </c>
      <c r="M26" t="n">
        <v>0</v>
      </c>
      <c r="N26" t="n">
        <v>0</v>
      </c>
      <c r="O26" t="n">
        <v>5</v>
      </c>
      <c r="P26" t="n">
        <v>0</v>
      </c>
      <c r="Q26" t="n">
        <v>10</v>
      </c>
      <c r="R26" s="2" t="inlineStr">
        <is>
          <t>Fjällig taggsvamp s.str.
Fyrflikig jordstjärna
Kryddspindling
Odörspindling
Äggspindling
Anisspindling
Olivspindling
Rödgul trumpetsvamp
Skogsknipprot
Svavelriska</t>
        </is>
      </c>
      <c r="S26">
        <f>HYPERLINK("https://klasma.github.io/Logging_0188/artfynd/A 1054-2022 artfynd.xlsx", "A 1054-2022")</f>
        <v/>
      </c>
      <c r="T26">
        <f>HYPERLINK("https://klasma.github.io/Logging_0188/kartor/A 1054-2022 karta.png", "A 1054-2022")</f>
        <v/>
      </c>
      <c r="V26">
        <f>HYPERLINK("https://klasma.github.io/Logging_0188/klagomål/A 1054-2022 FSC-klagomål.docx", "A 1054-2022")</f>
        <v/>
      </c>
      <c r="W26">
        <f>HYPERLINK("https://klasma.github.io/Logging_0188/klagomålsmail/A 1054-2022 FSC-klagomål mail.docx", "A 1054-2022")</f>
        <v/>
      </c>
      <c r="X26">
        <f>HYPERLINK("https://klasma.github.io/Logging_0188/tillsyn/A 1054-2022 tillsynsbegäran.docx", "A 1054-2022")</f>
        <v/>
      </c>
      <c r="Y26">
        <f>HYPERLINK("https://klasma.github.io/Logging_0188/tillsynsmail/A 1054-2022 tillsynsbegäran mail.docx", "A 1054-2022")</f>
        <v/>
      </c>
    </row>
    <row r="27" ht="15" customHeight="1">
      <c r="A27" t="inlineStr">
        <is>
          <t>A 20722-2024</t>
        </is>
      </c>
      <c r="B27" s="1" t="n">
        <v>45436</v>
      </c>
      <c r="C27" s="1" t="n">
        <v>46203</v>
      </c>
      <c r="D27" t="inlineStr">
        <is>
          <t>STOCKHOLMS LÄN</t>
        </is>
      </c>
      <c r="E27" t="inlineStr">
        <is>
          <t>NORRTÄLJE</t>
        </is>
      </c>
      <c r="G27" t="n">
        <v>5.2</v>
      </c>
      <c r="H27" t="n">
        <v>4</v>
      </c>
      <c r="I27" t="n">
        <v>2</v>
      </c>
      <c r="J27" t="n">
        <v>2</v>
      </c>
      <c r="K27" t="n">
        <v>3</v>
      </c>
      <c r="L27" t="n">
        <v>0</v>
      </c>
      <c r="M27" t="n">
        <v>0</v>
      </c>
      <c r="N27" t="n">
        <v>0</v>
      </c>
      <c r="O27" t="n">
        <v>5</v>
      </c>
      <c r="P27" t="n">
        <v>3</v>
      </c>
      <c r="Q27" t="n">
        <v>10</v>
      </c>
      <c r="R27" s="2" t="inlineStr">
        <is>
          <t>Garnlav
Gränsticka
Knärot
Kattfotslav
Ullticka
Bronshjon
Vågbandad barkbock
Blåsippa
Spillkråka
Svartvit flugsnappare</t>
        </is>
      </c>
      <c r="S27">
        <f>HYPERLINK("https://klasma.github.io/Logging_0188/artfynd/A 20722-2024 artfynd.xlsx", "A 20722-2024")</f>
        <v/>
      </c>
      <c r="T27">
        <f>HYPERLINK("https://klasma.github.io/Logging_0188/kartor/A 20722-2024 karta.png", "A 20722-2024")</f>
        <v/>
      </c>
      <c r="U27">
        <f>HYPERLINK("https://klasma.github.io/Logging_0188/knärot/A 20722-2024 karta knärot.png", "A 20722-2024")</f>
        <v/>
      </c>
      <c r="V27">
        <f>HYPERLINK("https://klasma.github.io/Logging_0188/klagomål/A 20722-2024 FSC-klagomål.docx", "A 20722-2024")</f>
        <v/>
      </c>
      <c r="W27">
        <f>HYPERLINK("https://klasma.github.io/Logging_0188/klagomålsmail/A 20722-2024 FSC-klagomål mail.docx", "A 20722-2024")</f>
        <v/>
      </c>
      <c r="X27">
        <f>HYPERLINK("https://klasma.github.io/Logging_0188/tillsyn/A 20722-2024 tillsynsbegäran.docx", "A 20722-2024")</f>
        <v/>
      </c>
      <c r="Y27">
        <f>HYPERLINK("https://klasma.github.io/Logging_0188/tillsynsmail/A 20722-2024 tillsynsbegäran mail.docx", "A 20722-2024")</f>
        <v/>
      </c>
      <c r="Z27">
        <f>HYPERLINK("https://klasma.github.io/Logging_0188/fåglar/A 20722-2024 prioriterade fågelarter.docx", "A 20722-2024")</f>
        <v/>
      </c>
    </row>
    <row r="28" ht="15" customHeight="1">
      <c r="A28" t="inlineStr">
        <is>
          <t>A 15925-2026</t>
        </is>
      </c>
      <c r="B28" s="1" t="n">
        <v>46107</v>
      </c>
      <c r="C28" s="1" t="n">
        <v>46203</v>
      </c>
      <c r="D28" t="inlineStr">
        <is>
          <t>STOCKHOLMS LÄN</t>
        </is>
      </c>
      <c r="E28" t="inlineStr">
        <is>
          <t>NORRTÄLJE</t>
        </is>
      </c>
      <c r="G28" t="n">
        <v>2.9</v>
      </c>
      <c r="H28" t="n">
        <v>4</v>
      </c>
      <c r="I28" t="n">
        <v>3</v>
      </c>
      <c r="J28" t="n">
        <v>3</v>
      </c>
      <c r="K28" t="n">
        <v>1</v>
      </c>
      <c r="L28" t="n">
        <v>0</v>
      </c>
      <c r="M28" t="n">
        <v>0</v>
      </c>
      <c r="N28" t="n">
        <v>0</v>
      </c>
      <c r="O28" t="n">
        <v>4</v>
      </c>
      <c r="P28" t="n">
        <v>1</v>
      </c>
      <c r="Q28" t="n">
        <v>10</v>
      </c>
      <c r="R28" s="2" t="inlineStr">
        <is>
          <t>Knärot
Fjällig taggsvamp s.str.
Sårläka
Ullticka
Kamjordstjärna
Svart trolldruva
Svavelriska
Blåsippa
Spillkråka
Tofsmes</t>
        </is>
      </c>
      <c r="S28">
        <f>HYPERLINK("https://klasma.github.io/Logging_0188/artfynd/A 15925-2026 artfynd.xlsx", "A 15925-2026")</f>
        <v/>
      </c>
      <c r="T28">
        <f>HYPERLINK("https://klasma.github.io/Logging_0188/kartor/A 15925-2026 karta.png", "A 15925-2026")</f>
        <v/>
      </c>
      <c r="U28">
        <f>HYPERLINK("https://klasma.github.io/Logging_0188/knärot/A 15925-2026 karta knärot.png", "A 15925-2026")</f>
        <v/>
      </c>
      <c r="V28">
        <f>HYPERLINK("https://klasma.github.io/Logging_0188/klagomål/A 15925-2026 FSC-klagomål.docx", "A 15925-2026")</f>
        <v/>
      </c>
      <c r="W28">
        <f>HYPERLINK("https://klasma.github.io/Logging_0188/klagomålsmail/A 15925-2026 FSC-klagomål mail.docx", "A 15925-2026")</f>
        <v/>
      </c>
      <c r="X28">
        <f>HYPERLINK("https://klasma.github.io/Logging_0188/tillsyn/A 15925-2026 tillsynsbegäran.docx", "A 15925-2026")</f>
        <v/>
      </c>
      <c r="Y28">
        <f>HYPERLINK("https://klasma.github.io/Logging_0188/tillsynsmail/A 15925-2026 tillsynsbegäran mail.docx", "A 15925-2026")</f>
        <v/>
      </c>
      <c r="Z28">
        <f>HYPERLINK("https://klasma.github.io/Logging_0188/fåglar/A 15925-2026 prioriterade fågelarter.docx", "A 15925-2026")</f>
        <v/>
      </c>
    </row>
    <row r="29" ht="15" customHeight="1">
      <c r="A29" t="inlineStr">
        <is>
          <t>A 44847-2023</t>
        </is>
      </c>
      <c r="B29" s="1" t="n">
        <v>45190</v>
      </c>
      <c r="C29" s="1" t="n">
        <v>46203</v>
      </c>
      <c r="D29" t="inlineStr">
        <is>
          <t>STOCKHOLMS LÄN</t>
        </is>
      </c>
      <c r="E29" t="inlineStr">
        <is>
          <t>NORRTÄLJE</t>
        </is>
      </c>
      <c r="G29" t="n">
        <v>8.5</v>
      </c>
      <c r="H29" t="n">
        <v>10</v>
      </c>
      <c r="I29" t="n">
        <v>0</v>
      </c>
      <c r="J29" t="n">
        <v>2</v>
      </c>
      <c r="K29" t="n">
        <v>3</v>
      </c>
      <c r="L29" t="n">
        <v>2</v>
      </c>
      <c r="M29" t="n">
        <v>0</v>
      </c>
      <c r="N29" t="n">
        <v>0</v>
      </c>
      <c r="O29" t="n">
        <v>7</v>
      </c>
      <c r="P29" t="n">
        <v>5</v>
      </c>
      <c r="Q29" t="n">
        <v>10</v>
      </c>
      <c r="R29" s="2" t="inlineStr">
        <is>
          <t>Ejder
Havstrut
Gråtrut
Knärot
Stare
Skrattmås
Strandskata
Grönsiska
Havsörn
Kråka</t>
        </is>
      </c>
      <c r="S29">
        <f>HYPERLINK("https://klasma.github.io/Logging_0188/artfynd/A 44847-2023 artfynd.xlsx", "A 44847-2023")</f>
        <v/>
      </c>
      <c r="T29">
        <f>HYPERLINK("https://klasma.github.io/Logging_0188/kartor/A 44847-2023 karta.png", "A 44847-2023")</f>
        <v/>
      </c>
      <c r="U29">
        <f>HYPERLINK("https://klasma.github.io/Logging_0188/knärot/A 44847-2023 karta knärot.png", "A 44847-2023")</f>
        <v/>
      </c>
      <c r="V29">
        <f>HYPERLINK("https://klasma.github.io/Logging_0188/klagomål/A 44847-2023 FSC-klagomål.docx", "A 44847-2023")</f>
        <v/>
      </c>
      <c r="W29">
        <f>HYPERLINK("https://klasma.github.io/Logging_0188/klagomålsmail/A 44847-2023 FSC-klagomål mail.docx", "A 44847-2023")</f>
        <v/>
      </c>
      <c r="X29">
        <f>HYPERLINK("https://klasma.github.io/Logging_0188/tillsyn/A 44847-2023 tillsynsbegäran.docx", "A 44847-2023")</f>
        <v/>
      </c>
      <c r="Y29">
        <f>HYPERLINK("https://klasma.github.io/Logging_0188/tillsynsmail/A 44847-2023 tillsynsbegäran mail.docx", "A 44847-2023")</f>
        <v/>
      </c>
      <c r="Z29">
        <f>HYPERLINK("https://klasma.github.io/Logging_0188/fåglar/A 44847-2023 prioriterade fågelarter.docx", "A 44847-2023")</f>
        <v/>
      </c>
    </row>
    <row r="30" ht="15" customHeight="1">
      <c r="A30" t="inlineStr">
        <is>
          <t>A 52526-2025</t>
        </is>
      </c>
      <c r="B30" s="1" t="n">
        <v>45954</v>
      </c>
      <c r="C30" s="1" t="n">
        <v>46203</v>
      </c>
      <c r="D30" t="inlineStr">
        <is>
          <t>STOCKHOLMS LÄN</t>
        </is>
      </c>
      <c r="E30" t="inlineStr">
        <is>
          <t>NORRTÄLJE</t>
        </is>
      </c>
      <c r="F30" t="inlineStr">
        <is>
          <t>Sveaskog</t>
        </is>
      </c>
      <c r="G30" t="n">
        <v>2.9</v>
      </c>
      <c r="H30" t="n">
        <v>9</v>
      </c>
      <c r="I30" t="n">
        <v>0</v>
      </c>
      <c r="J30" t="n">
        <v>4</v>
      </c>
      <c r="K30" t="n">
        <v>0</v>
      </c>
      <c r="L30" t="n">
        <v>0</v>
      </c>
      <c r="M30" t="n">
        <v>0</v>
      </c>
      <c r="N30" t="n">
        <v>0</v>
      </c>
      <c r="O30" t="n">
        <v>4</v>
      </c>
      <c r="P30" t="n">
        <v>0</v>
      </c>
      <c r="Q30" t="n">
        <v>9</v>
      </c>
      <c r="R30" s="2" t="inlineStr">
        <is>
          <t>Järnsparv
Kricka
Rödvingetrast
Talltita
Gröngöling
Grönsiska
Kungsfågel
Orre
Slaguggla</t>
        </is>
      </c>
      <c r="S30">
        <f>HYPERLINK("https://klasma.github.io/Logging_0188/artfynd/A 52526-2025 artfynd.xlsx", "A 52526-2025")</f>
        <v/>
      </c>
      <c r="T30">
        <f>HYPERLINK("https://klasma.github.io/Logging_0188/kartor/A 52526-2025 karta.png", "A 52526-2025")</f>
        <v/>
      </c>
      <c r="V30">
        <f>HYPERLINK("https://klasma.github.io/Logging_0188/klagomål/A 52526-2025 FSC-klagomål.docx", "A 52526-2025")</f>
        <v/>
      </c>
      <c r="W30">
        <f>HYPERLINK("https://klasma.github.io/Logging_0188/klagomålsmail/A 52526-2025 FSC-klagomål mail.docx", "A 52526-2025")</f>
        <v/>
      </c>
      <c r="X30">
        <f>HYPERLINK("https://klasma.github.io/Logging_0188/tillsyn/A 52526-2025 tillsynsbegäran.docx", "A 52526-2025")</f>
        <v/>
      </c>
      <c r="Y30">
        <f>HYPERLINK("https://klasma.github.io/Logging_0188/tillsynsmail/A 52526-2025 tillsynsbegäran mail.docx", "A 52526-2025")</f>
        <v/>
      </c>
      <c r="Z30">
        <f>HYPERLINK("https://klasma.github.io/Logging_0188/fåglar/A 52526-2025 prioriterade fågelarter.docx", "A 52526-2025")</f>
        <v/>
      </c>
    </row>
    <row r="31" ht="15" customHeight="1">
      <c r="A31" t="inlineStr">
        <is>
          <t>A 47274-2024</t>
        </is>
      </c>
      <c r="B31" s="1" t="n">
        <v>45586</v>
      </c>
      <c r="C31" s="1" t="n">
        <v>46203</v>
      </c>
      <c r="D31" t="inlineStr">
        <is>
          <t>STOCKHOLMS LÄN</t>
        </is>
      </c>
      <c r="E31" t="inlineStr">
        <is>
          <t>NORRTÄLJE</t>
        </is>
      </c>
      <c r="G31" t="n">
        <v>20.1</v>
      </c>
      <c r="H31" t="n">
        <v>2</v>
      </c>
      <c r="I31" t="n">
        <v>2</v>
      </c>
      <c r="J31" t="n">
        <v>5</v>
      </c>
      <c r="K31" t="n">
        <v>1</v>
      </c>
      <c r="L31" t="n">
        <v>0</v>
      </c>
      <c r="M31" t="n">
        <v>0</v>
      </c>
      <c r="N31" t="n">
        <v>0</v>
      </c>
      <c r="O31" t="n">
        <v>6</v>
      </c>
      <c r="P31" t="n">
        <v>1</v>
      </c>
      <c r="Q31" t="n">
        <v>9</v>
      </c>
      <c r="R31" s="2" t="inlineStr">
        <is>
          <t>Knärot
Dropptaggsvamp
Grönhjon
Motaggsvamp
Ullticka
Vedskivlav
Grönpyrola
Svavelriska
Blåsippa</t>
        </is>
      </c>
      <c r="S31">
        <f>HYPERLINK("https://klasma.github.io/Logging_0188/artfynd/A 47274-2024 artfynd.xlsx", "A 47274-2024")</f>
        <v/>
      </c>
      <c r="T31">
        <f>HYPERLINK("https://klasma.github.io/Logging_0188/kartor/A 47274-2024 karta.png", "A 47274-2024")</f>
        <v/>
      </c>
      <c r="U31">
        <f>HYPERLINK("https://klasma.github.io/Logging_0188/knärot/A 47274-2024 karta knärot.png", "A 47274-2024")</f>
        <v/>
      </c>
      <c r="V31">
        <f>HYPERLINK("https://klasma.github.io/Logging_0188/klagomål/A 47274-2024 FSC-klagomål.docx", "A 47274-2024")</f>
        <v/>
      </c>
      <c r="W31">
        <f>HYPERLINK("https://klasma.github.io/Logging_0188/klagomålsmail/A 47274-2024 FSC-klagomål mail.docx", "A 47274-2024")</f>
        <v/>
      </c>
      <c r="X31">
        <f>HYPERLINK("https://klasma.github.io/Logging_0188/tillsyn/A 47274-2024 tillsynsbegäran.docx", "A 47274-2024")</f>
        <v/>
      </c>
      <c r="Y31">
        <f>HYPERLINK("https://klasma.github.io/Logging_0188/tillsynsmail/A 47274-2024 tillsynsbegäran mail.docx", "A 47274-2024")</f>
        <v/>
      </c>
    </row>
    <row r="32" ht="15" customHeight="1">
      <c r="A32" t="inlineStr">
        <is>
          <t>A 26081-2026</t>
        </is>
      </c>
      <c r="B32" s="1" t="n">
        <v>46181</v>
      </c>
      <c r="C32" s="1" t="n">
        <v>46203</v>
      </c>
      <c r="D32" t="inlineStr">
        <is>
          <t>STOCKHOLMS LÄN</t>
        </is>
      </c>
      <c r="E32" t="inlineStr">
        <is>
          <t>NORRTÄLJE</t>
        </is>
      </c>
      <c r="G32" t="n">
        <v>13.9</v>
      </c>
      <c r="H32" t="n">
        <v>1</v>
      </c>
      <c r="I32" t="n">
        <v>3</v>
      </c>
      <c r="J32" t="n">
        <v>4</v>
      </c>
      <c r="K32" t="n">
        <v>0</v>
      </c>
      <c r="L32" t="n">
        <v>1</v>
      </c>
      <c r="M32" t="n">
        <v>0</v>
      </c>
      <c r="N32" t="n">
        <v>0</v>
      </c>
      <c r="O32" t="n">
        <v>5</v>
      </c>
      <c r="P32" t="n">
        <v>1</v>
      </c>
      <c r="Q32" t="n">
        <v>9</v>
      </c>
      <c r="R32" s="2" t="inlineStr">
        <is>
          <t>Koppartaggsvamp
Dofttaggsvamp
Fjällig taggsvamp s.str.
Orange taggsvamp
Ullticka
Grönpyrola
Kamjordstjärna
Svavelriska
Blåsippa</t>
        </is>
      </c>
      <c r="S32">
        <f>HYPERLINK("https://klasma.github.io/Logging_0188/artfynd/A 26081-2026 artfynd.xlsx", "A 26081-2026")</f>
        <v/>
      </c>
      <c r="T32">
        <f>HYPERLINK("https://klasma.github.io/Logging_0188/kartor/A 26081-2026 karta.png", "A 26081-2026")</f>
        <v/>
      </c>
      <c r="V32">
        <f>HYPERLINK("https://klasma.github.io/Logging_0188/klagomål/A 26081-2026 FSC-klagomål.docx", "A 26081-2026")</f>
        <v/>
      </c>
      <c r="W32">
        <f>HYPERLINK("https://klasma.github.io/Logging_0188/klagomålsmail/A 26081-2026 FSC-klagomål mail.docx", "A 26081-2026")</f>
        <v/>
      </c>
      <c r="X32">
        <f>HYPERLINK("https://klasma.github.io/Logging_0188/tillsyn/A 26081-2026 tillsynsbegäran.docx", "A 26081-2026")</f>
        <v/>
      </c>
      <c r="Y32">
        <f>HYPERLINK("https://klasma.github.io/Logging_0188/tillsynsmail/A 26081-2026 tillsynsbegäran mail.docx", "A 26081-2026")</f>
        <v/>
      </c>
    </row>
    <row r="33" ht="15" customHeight="1">
      <c r="A33" t="inlineStr">
        <is>
          <t>A 61099-2025</t>
        </is>
      </c>
      <c r="B33" s="1" t="n">
        <v>46000</v>
      </c>
      <c r="C33" s="1" t="n">
        <v>46203</v>
      </c>
      <c r="D33" t="inlineStr">
        <is>
          <t>STOCKHOLMS LÄN</t>
        </is>
      </c>
      <c r="E33" t="inlineStr">
        <is>
          <t>NORRTÄLJE</t>
        </is>
      </c>
      <c r="G33" t="n">
        <v>9.5</v>
      </c>
      <c r="H33" t="n">
        <v>5</v>
      </c>
      <c r="I33" t="n">
        <v>2</v>
      </c>
      <c r="J33" t="n">
        <v>2</v>
      </c>
      <c r="K33" t="n">
        <v>1</v>
      </c>
      <c r="L33" t="n">
        <v>0</v>
      </c>
      <c r="M33" t="n">
        <v>0</v>
      </c>
      <c r="N33" t="n">
        <v>0</v>
      </c>
      <c r="O33" t="n">
        <v>3</v>
      </c>
      <c r="P33" t="n">
        <v>1</v>
      </c>
      <c r="Q33" t="n">
        <v>9</v>
      </c>
      <c r="R33" s="2" t="inlineStr">
        <is>
          <t>Knärot
Tallkötticka
Vedtrappmossa
Skogshakmossa
Stubbspretmossa
Blåsippa
Spillkråka
Kungsfågel
Nattviol</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52815-2021</t>
        </is>
      </c>
      <c r="B34" s="1" t="n">
        <v>44467</v>
      </c>
      <c r="C34" s="1" t="n">
        <v>46203</v>
      </c>
      <c r="D34" t="inlineStr">
        <is>
          <t>STOCKHOLMS LÄN</t>
        </is>
      </c>
      <c r="E34" t="inlineStr">
        <is>
          <t>NORRTÄLJE</t>
        </is>
      </c>
      <c r="G34" t="n">
        <v>2.8</v>
      </c>
      <c r="H34" t="n">
        <v>0</v>
      </c>
      <c r="I34" t="n">
        <v>1</v>
      </c>
      <c r="J34" t="n">
        <v>3</v>
      </c>
      <c r="K34" t="n">
        <v>2</v>
      </c>
      <c r="L34" t="n">
        <v>3</v>
      </c>
      <c r="M34" t="n">
        <v>0</v>
      </c>
      <c r="N34" t="n">
        <v>0</v>
      </c>
      <c r="O34" t="n">
        <v>8</v>
      </c>
      <c r="P34" t="n">
        <v>5</v>
      </c>
      <c r="Q34" t="n">
        <v>9</v>
      </c>
      <c r="R34" s="2" t="inlineStr">
        <is>
          <t>Koppartaggsvamp
Raggtaggsvamp
Spricktaggsvamp
Gul lammticka
Svartfjällig musseron
Bittermusseron
Fjällig taggsvamp s.str.
Flattoppad klubbsvamp
Diskvaxskivling</t>
        </is>
      </c>
      <c r="S34">
        <f>HYPERLINK("https://klasma.github.io/Logging_0188/artfynd/A 52815-2021 artfynd.xlsx", "A 52815-2021")</f>
        <v/>
      </c>
      <c r="T34">
        <f>HYPERLINK("https://klasma.github.io/Logging_0188/kartor/A 52815-2021 karta.png", "A 52815-2021")</f>
        <v/>
      </c>
      <c r="V34">
        <f>HYPERLINK("https://klasma.github.io/Logging_0188/klagomål/A 52815-2021 FSC-klagomål.docx", "A 52815-2021")</f>
        <v/>
      </c>
      <c r="W34">
        <f>HYPERLINK("https://klasma.github.io/Logging_0188/klagomålsmail/A 52815-2021 FSC-klagomål mail.docx", "A 52815-2021")</f>
        <v/>
      </c>
      <c r="X34">
        <f>HYPERLINK("https://klasma.github.io/Logging_0188/tillsyn/A 52815-2021 tillsynsbegäran.docx", "A 52815-2021")</f>
        <v/>
      </c>
      <c r="Y34">
        <f>HYPERLINK("https://klasma.github.io/Logging_0188/tillsynsmail/A 52815-2021 tillsynsbegäran mail.docx", "A 52815-2021")</f>
        <v/>
      </c>
    </row>
    <row r="35" ht="15" customHeight="1">
      <c r="A35" t="inlineStr">
        <is>
          <t>A 45811-2022</t>
        </is>
      </c>
      <c r="B35" s="1" t="n">
        <v>44846</v>
      </c>
      <c r="C35" s="1" t="n">
        <v>46203</v>
      </c>
      <c r="D35" t="inlineStr">
        <is>
          <t>STOCKHOLMS LÄN</t>
        </is>
      </c>
      <c r="E35" t="inlineStr">
        <is>
          <t>NORRTÄLJE</t>
        </is>
      </c>
      <c r="G35" t="n">
        <v>0.8</v>
      </c>
      <c r="H35" t="n">
        <v>1</v>
      </c>
      <c r="I35" t="n">
        <v>6</v>
      </c>
      <c r="J35" t="n">
        <v>0</v>
      </c>
      <c r="K35" t="n">
        <v>0</v>
      </c>
      <c r="L35" t="n">
        <v>2</v>
      </c>
      <c r="M35" t="n">
        <v>0</v>
      </c>
      <c r="N35" t="n">
        <v>0</v>
      </c>
      <c r="O35" t="n">
        <v>2</v>
      </c>
      <c r="P35" t="n">
        <v>2</v>
      </c>
      <c r="Q35" t="n">
        <v>8</v>
      </c>
      <c r="R35" s="2" t="inlineStr">
        <is>
          <t>Ask
Skogsalm
Hässleklocka
Myskmadra
Skogsknipprot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46203</v>
      </c>
      <c r="D36" t="inlineStr">
        <is>
          <t>STOCKHOLMS LÄN</t>
        </is>
      </c>
      <c r="E36" t="inlineStr">
        <is>
          <t>NORRTÄLJE</t>
        </is>
      </c>
      <c r="G36" t="n">
        <v>15.8</v>
      </c>
      <c r="H36" t="n">
        <v>2</v>
      </c>
      <c r="I36" t="n">
        <v>5</v>
      </c>
      <c r="J36" t="n">
        <v>2</v>
      </c>
      <c r="K36" t="n">
        <v>0</v>
      </c>
      <c r="L36" t="n">
        <v>0</v>
      </c>
      <c r="M36" t="n">
        <v>0</v>
      </c>
      <c r="N36" t="n">
        <v>0</v>
      </c>
      <c r="O36" t="n">
        <v>2</v>
      </c>
      <c r="P36" t="n">
        <v>0</v>
      </c>
      <c r="Q36" t="n">
        <v>8</v>
      </c>
      <c r="R36" s="2" t="inlineStr">
        <is>
          <t>Kandelabersvamp
Vårärt
Kragjordstjärna
Skogsknipprot
Svart trolldruva
Svavelriska
Tibast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46203</v>
      </c>
      <c r="D37" t="inlineStr">
        <is>
          <t>STOCKHOLMS LÄN</t>
        </is>
      </c>
      <c r="E37" t="inlineStr">
        <is>
          <t>NORRTÄLJE</t>
        </is>
      </c>
      <c r="G37" t="n">
        <v>5.5</v>
      </c>
      <c r="H37" t="n">
        <v>1</v>
      </c>
      <c r="I37" t="n">
        <v>2</v>
      </c>
      <c r="J37" t="n">
        <v>3</v>
      </c>
      <c r="K37" t="n">
        <v>1</v>
      </c>
      <c r="L37" t="n">
        <v>1</v>
      </c>
      <c r="M37" t="n">
        <v>0</v>
      </c>
      <c r="N37" t="n">
        <v>0</v>
      </c>
      <c r="O37" t="n">
        <v>5</v>
      </c>
      <c r="P37" t="n">
        <v>2</v>
      </c>
      <c r="Q37" t="n">
        <v>8</v>
      </c>
      <c r="R37" s="2" t="inlineStr">
        <is>
          <t>Violgubbe
Grangråticka
Fjällig taggsvamp s.str.
Skarp dropptaggsvamp
Sotvaxskivling
Anisspindling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24534-2022</t>
        </is>
      </c>
      <c r="B38" s="1" t="n">
        <v>44727</v>
      </c>
      <c r="C38" s="1" t="n">
        <v>46203</v>
      </c>
      <c r="D38" t="inlineStr">
        <is>
          <t>STOCKHOLMS LÄN</t>
        </is>
      </c>
      <c r="E38" t="inlineStr">
        <is>
          <t>NORRTÄLJE</t>
        </is>
      </c>
      <c r="G38" t="n">
        <v>2.8</v>
      </c>
      <c r="H38" t="n">
        <v>1</v>
      </c>
      <c r="I38" t="n">
        <v>4</v>
      </c>
      <c r="J38" t="n">
        <v>0</v>
      </c>
      <c r="K38" t="n">
        <v>2</v>
      </c>
      <c r="L38" t="n">
        <v>1</v>
      </c>
      <c r="M38" t="n">
        <v>0</v>
      </c>
      <c r="N38" t="n">
        <v>0</v>
      </c>
      <c r="O38" t="n">
        <v>3</v>
      </c>
      <c r="P38" t="n">
        <v>3</v>
      </c>
      <c r="Q38" t="n">
        <v>7</v>
      </c>
      <c r="R38" s="2" t="inlineStr">
        <is>
          <t>Asknätfjäril
Aspgelélav
Läderlappslav
Fällmossa
Granbarkgnagare
Platt fjädermossa
Tibast</t>
        </is>
      </c>
      <c r="S38">
        <f>HYPERLINK("https://klasma.github.io/Logging_0188/artfynd/A 24534-2022 artfynd.xlsx", "A 24534-2022")</f>
        <v/>
      </c>
      <c r="T38">
        <f>HYPERLINK("https://klasma.github.io/Logging_0188/kartor/A 24534-2022 karta.png", "A 24534-2022")</f>
        <v/>
      </c>
      <c r="V38">
        <f>HYPERLINK("https://klasma.github.io/Logging_0188/klagomål/A 24534-2022 FSC-klagomål.docx", "A 24534-2022")</f>
        <v/>
      </c>
      <c r="W38">
        <f>HYPERLINK("https://klasma.github.io/Logging_0188/klagomålsmail/A 24534-2022 FSC-klagomål mail.docx", "A 24534-2022")</f>
        <v/>
      </c>
      <c r="X38">
        <f>HYPERLINK("https://klasma.github.io/Logging_0188/tillsyn/A 24534-2022 tillsynsbegäran.docx", "A 24534-2022")</f>
        <v/>
      </c>
      <c r="Y38">
        <f>HYPERLINK("https://klasma.github.io/Logging_0188/tillsynsmail/A 24534-2022 tillsynsbegäran mail.docx", "A 24534-2022")</f>
        <v/>
      </c>
    </row>
    <row r="39" ht="15" customHeight="1">
      <c r="A39" t="inlineStr">
        <is>
          <t>A 62715-2025</t>
        </is>
      </c>
      <c r="B39" s="1" t="n">
        <v>46008</v>
      </c>
      <c r="C39" s="1" t="n">
        <v>46203</v>
      </c>
      <c r="D39" t="inlineStr">
        <is>
          <t>STOCKHOLMS LÄN</t>
        </is>
      </c>
      <c r="E39" t="inlineStr">
        <is>
          <t>NORRTÄLJE</t>
        </is>
      </c>
      <c r="G39" t="n">
        <v>0.8</v>
      </c>
      <c r="H39" t="n">
        <v>1</v>
      </c>
      <c r="I39" t="n">
        <v>4</v>
      </c>
      <c r="J39" t="n">
        <v>2</v>
      </c>
      <c r="K39" t="n">
        <v>0</v>
      </c>
      <c r="L39" t="n">
        <v>0</v>
      </c>
      <c r="M39" t="n">
        <v>0</v>
      </c>
      <c r="N39" t="n">
        <v>0</v>
      </c>
      <c r="O39" t="n">
        <v>2</v>
      </c>
      <c r="P39" t="n">
        <v>0</v>
      </c>
      <c r="Q39" t="n">
        <v>7</v>
      </c>
      <c r="R39" s="2" t="inlineStr">
        <is>
          <t>Gullpudra
Sårläka
Bronshjon
Granbarkgnagare
Jättesvampmal
Svavelriska
Blåsippa</t>
        </is>
      </c>
      <c r="S39">
        <f>HYPERLINK("https://klasma.github.io/Logging_0188/artfynd/A 62715-2025 artfynd.xlsx", "A 62715-2025")</f>
        <v/>
      </c>
      <c r="T39">
        <f>HYPERLINK("https://klasma.github.io/Logging_0188/kartor/A 62715-2025 karta.png", "A 62715-2025")</f>
        <v/>
      </c>
      <c r="V39">
        <f>HYPERLINK("https://klasma.github.io/Logging_0188/klagomål/A 62715-2025 FSC-klagomål.docx", "A 62715-2025")</f>
        <v/>
      </c>
      <c r="W39">
        <f>HYPERLINK("https://klasma.github.io/Logging_0188/klagomålsmail/A 62715-2025 FSC-klagomål mail.docx", "A 62715-2025")</f>
        <v/>
      </c>
      <c r="X39">
        <f>HYPERLINK("https://klasma.github.io/Logging_0188/tillsyn/A 62715-2025 tillsynsbegäran.docx", "A 62715-2025")</f>
        <v/>
      </c>
      <c r="Y39">
        <f>HYPERLINK("https://klasma.github.io/Logging_0188/tillsynsmail/A 62715-2025 tillsynsbegäran mail.docx", "A 62715-2025")</f>
        <v/>
      </c>
    </row>
    <row r="40" ht="15" customHeight="1">
      <c r="A40" t="inlineStr">
        <is>
          <t>A 34524-2025</t>
        </is>
      </c>
      <c r="B40" s="1" t="n">
        <v>45847</v>
      </c>
      <c r="C40" s="1" t="n">
        <v>46203</v>
      </c>
      <c r="D40" t="inlineStr">
        <is>
          <t>STOCKHOLMS LÄN</t>
        </is>
      </c>
      <c r="E40" t="inlineStr">
        <is>
          <t>NORRTÄLJE</t>
        </is>
      </c>
      <c r="G40" t="n">
        <v>3.3</v>
      </c>
      <c r="H40" t="n">
        <v>0</v>
      </c>
      <c r="I40" t="n">
        <v>4</v>
      </c>
      <c r="J40" t="n">
        <v>3</v>
      </c>
      <c r="K40" t="n">
        <v>0</v>
      </c>
      <c r="L40" t="n">
        <v>0</v>
      </c>
      <c r="M40" t="n">
        <v>0</v>
      </c>
      <c r="N40" t="n">
        <v>0</v>
      </c>
      <c r="O40" t="n">
        <v>3</v>
      </c>
      <c r="P40" t="n">
        <v>0</v>
      </c>
      <c r="Q40" t="n">
        <v>7</v>
      </c>
      <c r="R40" s="2" t="inlineStr">
        <is>
          <t>Kattfotslav
Tallticka
Vedtrappmossa
Bronshjon
Kornknutmossa
Stubbspretmossa
Vanlig rörsvepemossa</t>
        </is>
      </c>
      <c r="S40">
        <f>HYPERLINK("https://klasma.github.io/Logging_0188/artfynd/A 34524-2025 artfynd.xlsx", "A 34524-2025")</f>
        <v/>
      </c>
      <c r="T40">
        <f>HYPERLINK("https://klasma.github.io/Logging_0188/kartor/A 34524-2025 karta.png", "A 34524-2025")</f>
        <v/>
      </c>
      <c r="V40">
        <f>HYPERLINK("https://klasma.github.io/Logging_0188/klagomål/A 34524-2025 FSC-klagomål.docx", "A 34524-2025")</f>
        <v/>
      </c>
      <c r="W40">
        <f>HYPERLINK("https://klasma.github.io/Logging_0188/klagomålsmail/A 34524-2025 FSC-klagomål mail.docx", "A 34524-2025")</f>
        <v/>
      </c>
      <c r="X40">
        <f>HYPERLINK("https://klasma.github.io/Logging_0188/tillsyn/A 34524-2025 tillsynsbegäran.docx", "A 34524-2025")</f>
        <v/>
      </c>
      <c r="Y40">
        <f>HYPERLINK("https://klasma.github.io/Logging_0188/tillsynsmail/A 34524-2025 tillsynsbegäran mail.docx", "A 34524-2025")</f>
        <v/>
      </c>
    </row>
    <row r="41" ht="15" customHeight="1">
      <c r="A41" t="inlineStr">
        <is>
          <t>A 22190-2024</t>
        </is>
      </c>
      <c r="B41" s="1" t="n">
        <v>45446</v>
      </c>
      <c r="C41" s="1" t="n">
        <v>46203</v>
      </c>
      <c r="D41" t="inlineStr">
        <is>
          <t>STOCKHOLMS LÄN</t>
        </is>
      </c>
      <c r="E41" t="inlineStr">
        <is>
          <t>NORRTÄLJE</t>
        </is>
      </c>
      <c r="G41" t="n">
        <v>2.8</v>
      </c>
      <c r="H41" t="n">
        <v>7</v>
      </c>
      <c r="I41" t="n">
        <v>1</v>
      </c>
      <c r="J41" t="n">
        <v>1</v>
      </c>
      <c r="K41" t="n">
        <v>1</v>
      </c>
      <c r="L41" t="n">
        <v>0</v>
      </c>
      <c r="M41" t="n">
        <v>0</v>
      </c>
      <c r="N41" t="n">
        <v>0</v>
      </c>
      <c r="O41" t="n">
        <v>2</v>
      </c>
      <c r="P41" t="n">
        <v>1</v>
      </c>
      <c r="Q41" t="n">
        <v>7</v>
      </c>
      <c r="R41" s="2" t="inlineStr">
        <is>
          <t>Grönfink
Björktrast
Skogsknipprot
Röd glada
Svartvit flugsnappare
Åkergroda
Vanlig groda</t>
        </is>
      </c>
      <c r="S41">
        <f>HYPERLINK("https://klasma.github.io/Logging_0188/artfynd/A 22190-2024 artfynd.xlsx", "A 22190-2024")</f>
        <v/>
      </c>
      <c r="T41">
        <f>HYPERLINK("https://klasma.github.io/Logging_0188/kartor/A 22190-2024 karta.png", "A 22190-2024")</f>
        <v/>
      </c>
      <c r="V41">
        <f>HYPERLINK("https://klasma.github.io/Logging_0188/klagomål/A 22190-2024 FSC-klagomål.docx", "A 22190-2024")</f>
        <v/>
      </c>
      <c r="W41">
        <f>HYPERLINK("https://klasma.github.io/Logging_0188/klagomålsmail/A 22190-2024 FSC-klagomål mail.docx", "A 22190-2024")</f>
        <v/>
      </c>
      <c r="X41">
        <f>HYPERLINK("https://klasma.github.io/Logging_0188/tillsyn/A 22190-2024 tillsynsbegäran.docx", "A 22190-2024")</f>
        <v/>
      </c>
      <c r="Y41">
        <f>HYPERLINK("https://klasma.github.io/Logging_0188/tillsynsmail/A 22190-2024 tillsynsbegäran mail.docx", "A 22190-2024")</f>
        <v/>
      </c>
      <c r="Z41">
        <f>HYPERLINK("https://klasma.github.io/Logging_0188/fåglar/A 22190-2024 prioriterade fågelarter.docx", "A 22190-2024")</f>
        <v/>
      </c>
    </row>
    <row r="42" ht="15" customHeight="1">
      <c r="A42" t="inlineStr">
        <is>
          <t>A 15913-2026</t>
        </is>
      </c>
      <c r="B42" s="1" t="n">
        <v>46107</v>
      </c>
      <c r="C42" s="1" t="n">
        <v>46203</v>
      </c>
      <c r="D42" t="inlineStr">
        <is>
          <t>STOCKHOLMS LÄN</t>
        </is>
      </c>
      <c r="E42" t="inlineStr">
        <is>
          <t>NORRTÄLJE</t>
        </is>
      </c>
      <c r="G42" t="n">
        <v>4.2</v>
      </c>
      <c r="H42" t="n">
        <v>5</v>
      </c>
      <c r="I42" t="n">
        <v>1</v>
      </c>
      <c r="J42" t="n">
        <v>3</v>
      </c>
      <c r="K42" t="n">
        <v>1</v>
      </c>
      <c r="L42" t="n">
        <v>0</v>
      </c>
      <c r="M42" t="n">
        <v>0</v>
      </c>
      <c r="N42" t="n">
        <v>0</v>
      </c>
      <c r="O42" t="n">
        <v>4</v>
      </c>
      <c r="P42" t="n">
        <v>1</v>
      </c>
      <c r="Q42" t="n">
        <v>7</v>
      </c>
      <c r="R42" s="2" t="inlineStr">
        <is>
          <t>Knärot
Fjällig taggsvamp s.str.
Talltita
Vårärt
Nästrot
Blåsippa
Nattviol</t>
        </is>
      </c>
      <c r="S42">
        <f>HYPERLINK("https://klasma.github.io/Logging_0188/artfynd/A 15913-2026 artfynd.xlsx", "A 15913-2026")</f>
        <v/>
      </c>
      <c r="T42">
        <f>HYPERLINK("https://klasma.github.io/Logging_0188/kartor/A 15913-2026 karta.png", "A 15913-2026")</f>
        <v/>
      </c>
      <c r="U42">
        <f>HYPERLINK("https://klasma.github.io/Logging_0188/knärot/A 15913-2026 karta knärot.png", "A 15913-2026")</f>
        <v/>
      </c>
      <c r="V42">
        <f>HYPERLINK("https://klasma.github.io/Logging_0188/klagomål/A 15913-2026 FSC-klagomål.docx", "A 15913-2026")</f>
        <v/>
      </c>
      <c r="W42">
        <f>HYPERLINK("https://klasma.github.io/Logging_0188/klagomålsmail/A 15913-2026 FSC-klagomål mail.docx", "A 15913-2026")</f>
        <v/>
      </c>
      <c r="X42">
        <f>HYPERLINK("https://klasma.github.io/Logging_0188/tillsyn/A 15913-2026 tillsynsbegäran.docx", "A 15913-2026")</f>
        <v/>
      </c>
      <c r="Y42">
        <f>HYPERLINK("https://klasma.github.io/Logging_0188/tillsynsmail/A 15913-2026 tillsynsbegäran mail.docx", "A 15913-2026")</f>
        <v/>
      </c>
      <c r="Z42">
        <f>HYPERLINK("https://klasma.github.io/Logging_0188/fåglar/A 15913-2026 prioriterade fågelarter.docx", "A 15913-2026")</f>
        <v/>
      </c>
    </row>
    <row r="43" ht="15" customHeight="1">
      <c r="A43" t="inlineStr">
        <is>
          <t>A 21922-2023</t>
        </is>
      </c>
      <c r="B43" s="1" t="n">
        <v>45068</v>
      </c>
      <c r="C43" s="1" t="n">
        <v>46203</v>
      </c>
      <c r="D43" t="inlineStr">
        <is>
          <t>STOCKHOLMS LÄN</t>
        </is>
      </c>
      <c r="E43" t="inlineStr">
        <is>
          <t>NORRTÄLJE</t>
        </is>
      </c>
      <c r="G43" t="n">
        <v>4.9</v>
      </c>
      <c r="H43" t="n">
        <v>3</v>
      </c>
      <c r="I43" t="n">
        <v>2</v>
      </c>
      <c r="J43" t="n">
        <v>3</v>
      </c>
      <c r="K43" t="n">
        <v>0</v>
      </c>
      <c r="L43" t="n">
        <v>0</v>
      </c>
      <c r="M43" t="n">
        <v>0</v>
      </c>
      <c r="N43" t="n">
        <v>0</v>
      </c>
      <c r="O43" t="n">
        <v>3</v>
      </c>
      <c r="P43" t="n">
        <v>0</v>
      </c>
      <c r="Q43" t="n">
        <v>7</v>
      </c>
      <c r="R43" s="2" t="inlineStr">
        <is>
          <t>Adam och eva
Jungfrulin
Solvända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46203</v>
      </c>
      <c r="D44" t="inlineStr">
        <is>
          <t>STOCKHOLMS LÄN</t>
        </is>
      </c>
      <c r="E44" t="inlineStr">
        <is>
          <t>NORRTÄLJE</t>
        </is>
      </c>
      <c r="G44" t="n">
        <v>5.1</v>
      </c>
      <c r="H44" t="n">
        <v>6</v>
      </c>
      <c r="I44" t="n">
        <v>0</v>
      </c>
      <c r="J44" t="n">
        <v>2</v>
      </c>
      <c r="K44" t="n">
        <v>0</v>
      </c>
      <c r="L44" t="n">
        <v>0</v>
      </c>
      <c r="M44" t="n">
        <v>0</v>
      </c>
      <c r="N44" t="n">
        <v>0</v>
      </c>
      <c r="O44" t="n">
        <v>2</v>
      </c>
      <c r="P44" t="n">
        <v>0</v>
      </c>
      <c r="Q44" t="n">
        <v>7</v>
      </c>
      <c r="R44" s="2" t="inlineStr">
        <is>
          <t>Jungfrulin
Nordfladdermus
Dvärgpipistrell
Gråskimlig fladdermus
Större brunfladdermus
Trollpipistrell
Gullviva</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15278-2024</t>
        </is>
      </c>
      <c r="B45" s="1" t="n">
        <v>45400</v>
      </c>
      <c r="C45" s="1" t="n">
        <v>46203</v>
      </c>
      <c r="D45" t="inlineStr">
        <is>
          <t>STOCKHOLMS LÄN</t>
        </is>
      </c>
      <c r="E45" t="inlineStr">
        <is>
          <t>NORRTÄLJE</t>
        </is>
      </c>
      <c r="G45" t="n">
        <v>7.4</v>
      </c>
      <c r="H45" t="n">
        <v>2</v>
      </c>
      <c r="I45" t="n">
        <v>2</v>
      </c>
      <c r="J45" t="n">
        <v>3</v>
      </c>
      <c r="K45" t="n">
        <v>1</v>
      </c>
      <c r="L45" t="n">
        <v>0</v>
      </c>
      <c r="M45" t="n">
        <v>0</v>
      </c>
      <c r="N45" t="n">
        <v>0</v>
      </c>
      <c r="O45" t="n">
        <v>4</v>
      </c>
      <c r="P45" t="n">
        <v>1</v>
      </c>
      <c r="Q45" t="n">
        <v>7</v>
      </c>
      <c r="R45" s="2" t="inlineStr">
        <is>
          <t>Knärot
Fjällig taggsvamp s.str.
Kattfotslav
Ullticka
Grönpyrola
Vedticka
Blåsippa</t>
        </is>
      </c>
      <c r="S45">
        <f>HYPERLINK("https://klasma.github.io/Logging_0188/artfynd/A 15278-2024 artfynd.xlsx", "A 15278-2024")</f>
        <v/>
      </c>
      <c r="T45">
        <f>HYPERLINK("https://klasma.github.io/Logging_0188/kartor/A 15278-2024 karta.png", "A 15278-2024")</f>
        <v/>
      </c>
      <c r="U45">
        <f>HYPERLINK("https://klasma.github.io/Logging_0188/knärot/A 15278-2024 karta knärot.png", "A 15278-2024")</f>
        <v/>
      </c>
      <c r="V45">
        <f>HYPERLINK("https://klasma.github.io/Logging_0188/klagomål/A 15278-2024 FSC-klagomål.docx", "A 15278-2024")</f>
        <v/>
      </c>
      <c r="W45">
        <f>HYPERLINK("https://klasma.github.io/Logging_0188/klagomålsmail/A 15278-2024 FSC-klagomål mail.docx", "A 15278-2024")</f>
        <v/>
      </c>
      <c r="X45">
        <f>HYPERLINK("https://klasma.github.io/Logging_0188/tillsyn/A 15278-2024 tillsynsbegäran.docx", "A 15278-2024")</f>
        <v/>
      </c>
      <c r="Y45">
        <f>HYPERLINK("https://klasma.github.io/Logging_0188/tillsynsmail/A 15278-2024 tillsynsbegäran mail.docx", "A 15278-2024")</f>
        <v/>
      </c>
    </row>
    <row r="46" ht="15" customHeight="1">
      <c r="A46" t="inlineStr">
        <is>
          <t>A 72111-2021</t>
        </is>
      </c>
      <c r="B46" s="1" t="n">
        <v>44544</v>
      </c>
      <c r="C46" s="1" t="n">
        <v>46203</v>
      </c>
      <c r="D46" t="inlineStr">
        <is>
          <t>STOCKHOLMS LÄN</t>
        </is>
      </c>
      <c r="E46" t="inlineStr">
        <is>
          <t>NORRTÄLJE</t>
        </is>
      </c>
      <c r="G46" t="n">
        <v>5.1</v>
      </c>
      <c r="H46" t="n">
        <v>1</v>
      </c>
      <c r="I46" t="n">
        <v>1</v>
      </c>
      <c r="J46" t="n">
        <v>4</v>
      </c>
      <c r="K46" t="n">
        <v>1</v>
      </c>
      <c r="L46" t="n">
        <v>0</v>
      </c>
      <c r="M46" t="n">
        <v>0</v>
      </c>
      <c r="N46" t="n">
        <v>0</v>
      </c>
      <c r="O46" t="n">
        <v>5</v>
      </c>
      <c r="P46" t="n">
        <v>1</v>
      </c>
      <c r="Q46" t="n">
        <v>7</v>
      </c>
      <c r="R46" s="2" t="inlineStr">
        <is>
          <t>Grangråticka
Lunglav
Oxtungssvamp
Sårläka
Vårärt
Scharlakansvårskål agg.
Blåsippa</t>
        </is>
      </c>
      <c r="S46">
        <f>HYPERLINK("https://klasma.github.io/Logging_0188/artfynd/A 72111-2021 artfynd.xlsx", "A 72111-2021")</f>
        <v/>
      </c>
      <c r="T46">
        <f>HYPERLINK("https://klasma.github.io/Logging_0188/kartor/A 72111-2021 karta.png", "A 72111-2021")</f>
        <v/>
      </c>
      <c r="V46">
        <f>HYPERLINK("https://klasma.github.io/Logging_0188/klagomål/A 72111-2021 FSC-klagomål.docx", "A 72111-2021")</f>
        <v/>
      </c>
      <c r="W46">
        <f>HYPERLINK("https://klasma.github.io/Logging_0188/klagomålsmail/A 72111-2021 FSC-klagomål mail.docx", "A 72111-2021")</f>
        <v/>
      </c>
      <c r="X46">
        <f>HYPERLINK("https://klasma.github.io/Logging_0188/tillsyn/A 72111-2021 tillsynsbegäran.docx", "A 72111-2021")</f>
        <v/>
      </c>
      <c r="Y46">
        <f>HYPERLINK("https://klasma.github.io/Logging_0188/tillsynsmail/A 72111-2021 tillsynsbegäran mail.docx", "A 72111-2021")</f>
        <v/>
      </c>
    </row>
    <row r="47" ht="15" customHeight="1">
      <c r="A47" t="inlineStr">
        <is>
          <t>A 13933-2022</t>
        </is>
      </c>
      <c r="B47" s="1" t="n">
        <v>44650</v>
      </c>
      <c r="C47" s="1" t="n">
        <v>46203</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48370-2025</t>
        </is>
      </c>
      <c r="B48" s="1" t="n">
        <v>45933</v>
      </c>
      <c r="C48" s="1" t="n">
        <v>46203</v>
      </c>
      <c r="D48" t="inlineStr">
        <is>
          <t>STOCKHOLMS LÄN</t>
        </is>
      </c>
      <c r="E48" t="inlineStr">
        <is>
          <t>NORRTÄLJE</t>
        </is>
      </c>
      <c r="G48" t="n">
        <v>4.5</v>
      </c>
      <c r="H48" t="n">
        <v>4</v>
      </c>
      <c r="I48" t="n">
        <v>1</v>
      </c>
      <c r="J48" t="n">
        <v>0</v>
      </c>
      <c r="K48" t="n">
        <v>2</v>
      </c>
      <c r="L48" t="n">
        <v>0</v>
      </c>
      <c r="M48" t="n">
        <v>0</v>
      </c>
      <c r="N48" t="n">
        <v>0</v>
      </c>
      <c r="O48" t="n">
        <v>2</v>
      </c>
      <c r="P48" t="n">
        <v>2</v>
      </c>
      <c r="Q48" t="n">
        <v>6</v>
      </c>
      <c r="R48" s="2" t="inlineStr">
        <is>
          <t>Gulyxne
Igelkott
Källmossa
Dubbelnycklar
Kärrknipprot
Ängsnycklar</t>
        </is>
      </c>
      <c r="S48">
        <f>HYPERLINK("https://klasma.github.io/Logging_0188/artfynd/A 48370-2025 artfynd.xlsx", "A 48370-2025")</f>
        <v/>
      </c>
      <c r="T48">
        <f>HYPERLINK("https://klasma.github.io/Logging_0188/kartor/A 48370-2025 karta.png", "A 48370-2025")</f>
        <v/>
      </c>
      <c r="V48">
        <f>HYPERLINK("https://klasma.github.io/Logging_0188/klagomål/A 48370-2025 FSC-klagomål.docx", "A 48370-2025")</f>
        <v/>
      </c>
      <c r="W48">
        <f>HYPERLINK("https://klasma.github.io/Logging_0188/klagomålsmail/A 48370-2025 FSC-klagomål mail.docx", "A 48370-2025")</f>
        <v/>
      </c>
      <c r="X48">
        <f>HYPERLINK("https://klasma.github.io/Logging_0188/tillsyn/A 48370-2025 tillsynsbegäran.docx", "A 48370-2025")</f>
        <v/>
      </c>
      <c r="Y48">
        <f>HYPERLINK("https://klasma.github.io/Logging_0188/tillsynsmail/A 48370-2025 tillsynsbegäran mail.docx", "A 48370-2025")</f>
        <v/>
      </c>
    </row>
    <row r="49" ht="15" customHeight="1">
      <c r="A49" t="inlineStr">
        <is>
          <t>A 34528-2025</t>
        </is>
      </c>
      <c r="B49" s="1" t="n">
        <v>45847</v>
      </c>
      <c r="C49" s="1" t="n">
        <v>46203</v>
      </c>
      <c r="D49" t="inlineStr">
        <is>
          <t>STOCKHOLMS LÄN</t>
        </is>
      </c>
      <c r="E49" t="inlineStr">
        <is>
          <t>NORRTÄLJE</t>
        </is>
      </c>
      <c r="G49" t="n">
        <v>1</v>
      </c>
      <c r="H49" t="n">
        <v>1</v>
      </c>
      <c r="I49" t="n">
        <v>1</v>
      </c>
      <c r="J49" t="n">
        <v>3</v>
      </c>
      <c r="K49" t="n">
        <v>0</v>
      </c>
      <c r="L49" t="n">
        <v>1</v>
      </c>
      <c r="M49" t="n">
        <v>0</v>
      </c>
      <c r="N49" t="n">
        <v>0</v>
      </c>
      <c r="O49" t="n">
        <v>4</v>
      </c>
      <c r="P49" t="n">
        <v>1</v>
      </c>
      <c r="Q49" t="n">
        <v>6</v>
      </c>
      <c r="R49" s="2" t="inlineStr">
        <is>
          <t>Gyllenfingersvamp
Fjällig taggsvamp s.str.
Gammelgransskål
Motaggsvamp
Svavelriska
Spillkråka</t>
        </is>
      </c>
      <c r="S49">
        <f>HYPERLINK("https://klasma.github.io/Logging_0188/artfynd/A 34528-2025 artfynd.xlsx", "A 34528-2025")</f>
        <v/>
      </c>
      <c r="T49">
        <f>HYPERLINK("https://klasma.github.io/Logging_0188/kartor/A 34528-2025 karta.png", "A 34528-2025")</f>
        <v/>
      </c>
      <c r="V49">
        <f>HYPERLINK("https://klasma.github.io/Logging_0188/klagomål/A 34528-2025 FSC-klagomål.docx", "A 34528-2025")</f>
        <v/>
      </c>
      <c r="W49">
        <f>HYPERLINK("https://klasma.github.io/Logging_0188/klagomålsmail/A 34528-2025 FSC-klagomål mail.docx", "A 34528-2025")</f>
        <v/>
      </c>
      <c r="X49">
        <f>HYPERLINK("https://klasma.github.io/Logging_0188/tillsyn/A 34528-2025 tillsynsbegäran.docx", "A 34528-2025")</f>
        <v/>
      </c>
      <c r="Y49">
        <f>HYPERLINK("https://klasma.github.io/Logging_0188/tillsynsmail/A 34528-2025 tillsynsbegäran mail.docx", "A 34528-2025")</f>
        <v/>
      </c>
      <c r="Z49">
        <f>HYPERLINK("https://klasma.github.io/Logging_0188/fåglar/A 34528-2025 prioriterade fågelarter.docx", "A 34528-2025")</f>
        <v/>
      </c>
    </row>
    <row r="50" ht="15" customHeight="1">
      <c r="A50" t="inlineStr">
        <is>
          <t>A 53608-2025</t>
        </is>
      </c>
      <c r="B50" s="1" t="n">
        <v>45960</v>
      </c>
      <c r="C50" s="1" t="n">
        <v>46203</v>
      </c>
      <c r="D50" t="inlineStr">
        <is>
          <t>STOCKHOLMS LÄN</t>
        </is>
      </c>
      <c r="E50" t="inlineStr">
        <is>
          <t>NORRTÄLJE</t>
        </is>
      </c>
      <c r="F50" t="inlineStr">
        <is>
          <t>Holmen skog AB</t>
        </is>
      </c>
      <c r="G50" t="n">
        <v>3.2</v>
      </c>
      <c r="H50" t="n">
        <v>3</v>
      </c>
      <c r="I50" t="n">
        <v>2</v>
      </c>
      <c r="J50" t="n">
        <v>1</v>
      </c>
      <c r="K50" t="n">
        <v>0</v>
      </c>
      <c r="L50" t="n">
        <v>1</v>
      </c>
      <c r="M50" t="n">
        <v>0</v>
      </c>
      <c r="N50" t="n">
        <v>0</v>
      </c>
      <c r="O50" t="n">
        <v>2</v>
      </c>
      <c r="P50" t="n">
        <v>1</v>
      </c>
      <c r="Q50" t="n">
        <v>6</v>
      </c>
      <c r="R50" s="2" t="inlineStr">
        <is>
          <t>Asknätfjäril
Hålskenknäppare
Björksplintborre
Robust tickgnagare
Spillkråka
Orre</t>
        </is>
      </c>
      <c r="S50">
        <f>HYPERLINK("https://klasma.github.io/Logging_0188/artfynd/A 53608-2025 artfynd.xlsx", "A 53608-2025")</f>
        <v/>
      </c>
      <c r="T50">
        <f>HYPERLINK("https://klasma.github.io/Logging_0188/kartor/A 53608-2025 karta.png", "A 53608-2025")</f>
        <v/>
      </c>
      <c r="V50">
        <f>HYPERLINK("https://klasma.github.io/Logging_0188/klagomål/A 53608-2025 FSC-klagomål.docx", "A 53608-2025")</f>
        <v/>
      </c>
      <c r="W50">
        <f>HYPERLINK("https://klasma.github.io/Logging_0188/klagomålsmail/A 53608-2025 FSC-klagomål mail.docx", "A 53608-2025")</f>
        <v/>
      </c>
      <c r="X50">
        <f>HYPERLINK("https://klasma.github.io/Logging_0188/tillsyn/A 53608-2025 tillsynsbegäran.docx", "A 53608-2025")</f>
        <v/>
      </c>
      <c r="Y50">
        <f>HYPERLINK("https://klasma.github.io/Logging_0188/tillsynsmail/A 53608-2025 tillsynsbegäran mail.docx", "A 53608-2025")</f>
        <v/>
      </c>
      <c r="Z50">
        <f>HYPERLINK("https://klasma.github.io/Logging_0188/fåglar/A 53608-2025 prioriterade fågelarter.docx", "A 53608-2025")</f>
        <v/>
      </c>
    </row>
    <row r="51" ht="15" customHeight="1">
      <c r="A51" t="inlineStr">
        <is>
          <t>A 58676-2021</t>
        </is>
      </c>
      <c r="B51" s="1" t="n">
        <v>44489</v>
      </c>
      <c r="C51" s="1" t="n">
        <v>46203</v>
      </c>
      <c r="D51" t="inlineStr">
        <is>
          <t>STOCKHOLMS LÄN</t>
        </is>
      </c>
      <c r="E51" t="inlineStr">
        <is>
          <t>NORRTÄLJE</t>
        </is>
      </c>
      <c r="G51" t="n">
        <v>0.6</v>
      </c>
      <c r="H51" t="n">
        <v>4</v>
      </c>
      <c r="I51" t="n">
        <v>1</v>
      </c>
      <c r="J51" t="n">
        <v>1</v>
      </c>
      <c r="K51" t="n">
        <v>0</v>
      </c>
      <c r="L51" t="n">
        <v>0</v>
      </c>
      <c r="M51" t="n">
        <v>0</v>
      </c>
      <c r="N51" t="n">
        <v>0</v>
      </c>
      <c r="O51" t="n">
        <v>1</v>
      </c>
      <c r="P51" t="n">
        <v>0</v>
      </c>
      <c r="Q51" t="n">
        <v>5</v>
      </c>
      <c r="R51" s="2" t="inlineStr">
        <is>
          <t>Backklöver
Tvåblad
Blåsippa
Grönvit nattviol
Nattviol</t>
        </is>
      </c>
      <c r="S51">
        <f>HYPERLINK("https://klasma.github.io/Logging_0188/artfynd/A 58676-2021 artfynd.xlsx", "A 58676-2021")</f>
        <v/>
      </c>
      <c r="T51">
        <f>HYPERLINK("https://klasma.github.io/Logging_0188/kartor/A 58676-2021 karta.png", "A 58676-2021")</f>
        <v/>
      </c>
      <c r="V51">
        <f>HYPERLINK("https://klasma.github.io/Logging_0188/klagomål/A 58676-2021 FSC-klagomål.docx", "A 58676-2021")</f>
        <v/>
      </c>
      <c r="W51">
        <f>HYPERLINK("https://klasma.github.io/Logging_0188/klagomålsmail/A 58676-2021 FSC-klagomål mail.docx", "A 58676-2021")</f>
        <v/>
      </c>
      <c r="X51">
        <f>HYPERLINK("https://klasma.github.io/Logging_0188/tillsyn/A 58676-2021 tillsynsbegäran.docx", "A 58676-2021")</f>
        <v/>
      </c>
      <c r="Y51">
        <f>HYPERLINK("https://klasma.github.io/Logging_0188/tillsynsmail/A 58676-2021 tillsynsbegäran mail.docx", "A 58676-2021")</f>
        <v/>
      </c>
    </row>
    <row r="52" ht="15" customHeight="1">
      <c r="A52" t="inlineStr">
        <is>
          <t>A 22071-2022</t>
        </is>
      </c>
      <c r="B52" s="1" t="n">
        <v>44711</v>
      </c>
      <c r="C52" s="1" t="n">
        <v>46203</v>
      </c>
      <c r="D52" t="inlineStr">
        <is>
          <t>STOCKHOLMS LÄN</t>
        </is>
      </c>
      <c r="E52" t="inlineStr">
        <is>
          <t>NORRTÄLJE</t>
        </is>
      </c>
      <c r="G52" t="n">
        <v>7</v>
      </c>
      <c r="H52" t="n">
        <v>1</v>
      </c>
      <c r="I52" t="n">
        <v>1</v>
      </c>
      <c r="J52" t="n">
        <v>3</v>
      </c>
      <c r="K52" t="n">
        <v>0</v>
      </c>
      <c r="L52" t="n">
        <v>0</v>
      </c>
      <c r="M52" t="n">
        <v>0</v>
      </c>
      <c r="N52" t="n">
        <v>0</v>
      </c>
      <c r="O52" t="n">
        <v>3</v>
      </c>
      <c r="P52" t="n">
        <v>0</v>
      </c>
      <c r="Q52" t="n">
        <v>5</v>
      </c>
      <c r="R52" s="2" t="inlineStr">
        <is>
          <t>Kattfotslav
Slåtterfibbla
Vedskivlav
Björksplintborre
Spillkråka</t>
        </is>
      </c>
      <c r="S52">
        <f>HYPERLINK("https://klasma.github.io/Logging_0188/artfynd/A 22071-2022 artfynd.xlsx", "A 22071-2022")</f>
        <v/>
      </c>
      <c r="T52">
        <f>HYPERLINK("https://klasma.github.io/Logging_0188/kartor/A 22071-2022 karta.png", "A 22071-2022")</f>
        <v/>
      </c>
      <c r="V52">
        <f>HYPERLINK("https://klasma.github.io/Logging_0188/klagomål/A 22071-2022 FSC-klagomål.docx", "A 22071-2022")</f>
        <v/>
      </c>
      <c r="W52">
        <f>HYPERLINK("https://klasma.github.io/Logging_0188/klagomålsmail/A 22071-2022 FSC-klagomål mail.docx", "A 22071-2022")</f>
        <v/>
      </c>
      <c r="X52">
        <f>HYPERLINK("https://klasma.github.io/Logging_0188/tillsyn/A 22071-2022 tillsynsbegäran.docx", "A 22071-2022")</f>
        <v/>
      </c>
      <c r="Y52">
        <f>HYPERLINK("https://klasma.github.io/Logging_0188/tillsynsmail/A 22071-2022 tillsynsbegäran mail.docx", "A 22071-2022")</f>
        <v/>
      </c>
      <c r="Z52">
        <f>HYPERLINK("https://klasma.github.io/Logging_0188/fåglar/A 22071-2022 prioriterade fågelarter.docx", "A 22071-2022")</f>
        <v/>
      </c>
    </row>
    <row r="53" ht="15" customHeight="1">
      <c r="A53" t="inlineStr">
        <is>
          <t>A 21730-2025</t>
        </is>
      </c>
      <c r="B53" s="1" t="n">
        <v>45783</v>
      </c>
      <c r="C53" s="1" t="n">
        <v>46203</v>
      </c>
      <c r="D53" t="inlineStr">
        <is>
          <t>STOCKHOLMS LÄN</t>
        </is>
      </c>
      <c r="E53" t="inlineStr">
        <is>
          <t>NORRTÄLJE</t>
        </is>
      </c>
      <c r="G53" t="n">
        <v>4.2</v>
      </c>
      <c r="H53" t="n">
        <v>2</v>
      </c>
      <c r="I53" t="n">
        <v>3</v>
      </c>
      <c r="J53" t="n">
        <v>0</v>
      </c>
      <c r="K53" t="n">
        <v>0</v>
      </c>
      <c r="L53" t="n">
        <v>0</v>
      </c>
      <c r="M53" t="n">
        <v>0</v>
      </c>
      <c r="N53" t="n">
        <v>0</v>
      </c>
      <c r="O53" t="n">
        <v>0</v>
      </c>
      <c r="P53" t="n">
        <v>0</v>
      </c>
      <c r="Q53" t="n">
        <v>5</v>
      </c>
      <c r="R53" s="2" t="inlineStr">
        <is>
          <t>Blåmossa
Brandticka
Skogsbräsma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26703-2025</t>
        </is>
      </c>
      <c r="B54" s="1" t="n">
        <v>45810</v>
      </c>
      <c r="C54" s="1" t="n">
        <v>46203</v>
      </c>
      <c r="D54" t="inlineStr">
        <is>
          <t>STOCKHOLMS LÄN</t>
        </is>
      </c>
      <c r="E54" t="inlineStr">
        <is>
          <t>NORRTÄLJE</t>
        </is>
      </c>
      <c r="G54" t="n">
        <v>1.8</v>
      </c>
      <c r="H54" t="n">
        <v>1</v>
      </c>
      <c r="I54" t="n">
        <v>1</v>
      </c>
      <c r="J54" t="n">
        <v>1</v>
      </c>
      <c r="K54" t="n">
        <v>2</v>
      </c>
      <c r="L54" t="n">
        <v>0</v>
      </c>
      <c r="M54" t="n">
        <v>0</v>
      </c>
      <c r="N54" t="n">
        <v>0</v>
      </c>
      <c r="O54" t="n">
        <v>3</v>
      </c>
      <c r="P54" t="n">
        <v>2</v>
      </c>
      <c r="Q54" t="n">
        <v>5</v>
      </c>
      <c r="R54" s="2" t="inlineStr">
        <is>
          <t>Aspgelélav
Grangråticka
Fjällig taggsvamp s.str.
Svavelriska
Blåsippa</t>
        </is>
      </c>
      <c r="S54">
        <f>HYPERLINK("https://klasma.github.io/Logging_0188/artfynd/A 26703-2025 artfynd.xlsx", "A 26703-2025")</f>
        <v/>
      </c>
      <c r="T54">
        <f>HYPERLINK("https://klasma.github.io/Logging_0188/kartor/A 26703-2025 karta.png", "A 26703-2025")</f>
        <v/>
      </c>
      <c r="V54">
        <f>HYPERLINK("https://klasma.github.io/Logging_0188/klagomål/A 26703-2025 FSC-klagomål.docx", "A 26703-2025")</f>
        <v/>
      </c>
      <c r="W54">
        <f>HYPERLINK("https://klasma.github.io/Logging_0188/klagomålsmail/A 26703-2025 FSC-klagomål mail.docx", "A 26703-2025")</f>
        <v/>
      </c>
      <c r="X54">
        <f>HYPERLINK("https://klasma.github.io/Logging_0188/tillsyn/A 26703-2025 tillsynsbegäran.docx", "A 26703-2025")</f>
        <v/>
      </c>
      <c r="Y54">
        <f>HYPERLINK("https://klasma.github.io/Logging_0188/tillsynsmail/A 26703-2025 tillsynsbegäran mail.docx", "A 26703-2025")</f>
        <v/>
      </c>
    </row>
    <row r="55" ht="15" customHeight="1">
      <c r="A55" t="inlineStr">
        <is>
          <t>A 29972-2024</t>
        </is>
      </c>
      <c r="B55" s="1" t="n">
        <v>45485</v>
      </c>
      <c r="C55" s="1" t="n">
        <v>46203</v>
      </c>
      <c r="D55" t="inlineStr">
        <is>
          <t>STOCKHOLMS LÄN</t>
        </is>
      </c>
      <c r="E55" t="inlineStr">
        <is>
          <t>NORRTÄLJE</t>
        </is>
      </c>
      <c r="G55" t="n">
        <v>1.1</v>
      </c>
      <c r="H55" t="n">
        <v>1</v>
      </c>
      <c r="I55" t="n">
        <v>2</v>
      </c>
      <c r="J55" t="n">
        <v>1</v>
      </c>
      <c r="K55" t="n">
        <v>0</v>
      </c>
      <c r="L55" t="n">
        <v>1</v>
      </c>
      <c r="M55" t="n">
        <v>0</v>
      </c>
      <c r="N55" t="n">
        <v>0</v>
      </c>
      <c r="O55" t="n">
        <v>2</v>
      </c>
      <c r="P55" t="n">
        <v>1</v>
      </c>
      <c r="Q55" t="n">
        <v>5</v>
      </c>
      <c r="R55" s="2" t="inlineStr">
        <is>
          <t>Ask
Sårläka
Bronshjon
Granbarkgnagare
Blåsippa</t>
        </is>
      </c>
      <c r="S55">
        <f>HYPERLINK("https://klasma.github.io/Logging_0188/artfynd/A 29972-2024 artfynd.xlsx", "A 29972-2024")</f>
        <v/>
      </c>
      <c r="T55">
        <f>HYPERLINK("https://klasma.github.io/Logging_0188/kartor/A 29972-2024 karta.png", "A 29972-2024")</f>
        <v/>
      </c>
      <c r="V55">
        <f>HYPERLINK("https://klasma.github.io/Logging_0188/klagomål/A 29972-2024 FSC-klagomål.docx", "A 29972-2024")</f>
        <v/>
      </c>
      <c r="W55">
        <f>HYPERLINK("https://klasma.github.io/Logging_0188/klagomålsmail/A 29972-2024 FSC-klagomål mail.docx", "A 29972-2024")</f>
        <v/>
      </c>
      <c r="X55">
        <f>HYPERLINK("https://klasma.github.io/Logging_0188/tillsyn/A 29972-2024 tillsynsbegäran.docx", "A 29972-2024")</f>
        <v/>
      </c>
      <c r="Y55">
        <f>HYPERLINK("https://klasma.github.io/Logging_0188/tillsynsmail/A 29972-2024 tillsynsbegäran mail.docx", "A 29972-2024")</f>
        <v/>
      </c>
    </row>
    <row r="56" ht="15" customHeight="1">
      <c r="A56" t="inlineStr">
        <is>
          <t>A 652-2025</t>
        </is>
      </c>
      <c r="B56" s="1" t="n">
        <v>45664</v>
      </c>
      <c r="C56" s="1" t="n">
        <v>46203</v>
      </c>
      <c r="D56" t="inlineStr">
        <is>
          <t>STOCKHOLMS LÄN</t>
        </is>
      </c>
      <c r="E56" t="inlineStr">
        <is>
          <t>NORRTÄLJE</t>
        </is>
      </c>
      <c r="G56" t="n">
        <v>2.5</v>
      </c>
      <c r="H56" t="n">
        <v>5</v>
      </c>
      <c r="I56" t="n">
        <v>0</v>
      </c>
      <c r="J56" t="n">
        <v>2</v>
      </c>
      <c r="K56" t="n">
        <v>0</v>
      </c>
      <c r="L56" t="n">
        <v>0</v>
      </c>
      <c r="M56" t="n">
        <v>0</v>
      </c>
      <c r="N56" t="n">
        <v>0</v>
      </c>
      <c r="O56" t="n">
        <v>2</v>
      </c>
      <c r="P56" t="n">
        <v>0</v>
      </c>
      <c r="Q56" t="n">
        <v>5</v>
      </c>
      <c r="R56" s="2" t="inlineStr">
        <is>
          <t>Fransfladdermus
Nordfladdermus
Dvärgpipistrell
Större brunfladdermus
Vattenfladdermus</t>
        </is>
      </c>
      <c r="S56">
        <f>HYPERLINK("https://klasma.github.io/Logging_0188/artfynd/A 652-2025 artfynd.xlsx", "A 652-2025")</f>
        <v/>
      </c>
      <c r="T56">
        <f>HYPERLINK("https://klasma.github.io/Logging_0188/kartor/A 652-2025 karta.png", "A 652-2025")</f>
        <v/>
      </c>
      <c r="V56">
        <f>HYPERLINK("https://klasma.github.io/Logging_0188/klagomål/A 652-2025 FSC-klagomål.docx", "A 652-2025")</f>
        <v/>
      </c>
      <c r="W56">
        <f>HYPERLINK("https://klasma.github.io/Logging_0188/klagomålsmail/A 652-2025 FSC-klagomål mail.docx", "A 652-2025")</f>
        <v/>
      </c>
      <c r="X56">
        <f>HYPERLINK("https://klasma.github.io/Logging_0188/tillsyn/A 652-2025 tillsynsbegäran.docx", "A 652-2025")</f>
        <v/>
      </c>
      <c r="Y56">
        <f>HYPERLINK("https://klasma.github.io/Logging_0188/tillsynsmail/A 652-2025 tillsynsbegäran mail.docx", "A 652-2025")</f>
        <v/>
      </c>
    </row>
    <row r="57" ht="15" customHeight="1">
      <c r="A57" t="inlineStr">
        <is>
          <t>A 38591-2023</t>
        </is>
      </c>
      <c r="B57" s="1" t="n">
        <v>45162</v>
      </c>
      <c r="C57" s="1" t="n">
        <v>46203</v>
      </c>
      <c r="D57" t="inlineStr">
        <is>
          <t>STOCKHOLMS LÄN</t>
        </is>
      </c>
      <c r="E57" t="inlineStr">
        <is>
          <t>NORRTÄLJE</t>
        </is>
      </c>
      <c r="F57" t="inlineStr">
        <is>
          <t>Övriga Aktiebolag</t>
        </is>
      </c>
      <c r="G57" t="n">
        <v>3.1</v>
      </c>
      <c r="H57" t="n">
        <v>2</v>
      </c>
      <c r="I57" t="n">
        <v>0</v>
      </c>
      <c r="J57" t="n">
        <v>2</v>
      </c>
      <c r="K57" t="n">
        <v>1</v>
      </c>
      <c r="L57" t="n">
        <v>1</v>
      </c>
      <c r="M57" t="n">
        <v>0</v>
      </c>
      <c r="N57" t="n">
        <v>0</v>
      </c>
      <c r="O57" t="n">
        <v>4</v>
      </c>
      <c r="P57" t="n">
        <v>2</v>
      </c>
      <c r="Q57" t="n">
        <v>5</v>
      </c>
      <c r="R57" s="2" t="inlineStr">
        <is>
          <t>Brun mårfältmätare
Porfyrljusmott
Brunflammig fältmätare
Sädesärla
Trädlärka</t>
        </is>
      </c>
      <c r="S57">
        <f>HYPERLINK("https://klasma.github.io/Logging_0188/artfynd/A 38591-2023 artfynd.xlsx", "A 38591-2023")</f>
        <v/>
      </c>
      <c r="T57">
        <f>HYPERLINK("https://klasma.github.io/Logging_0188/kartor/A 38591-2023 karta.png", "A 38591-2023")</f>
        <v/>
      </c>
      <c r="V57">
        <f>HYPERLINK("https://klasma.github.io/Logging_0188/klagomål/A 38591-2023 FSC-klagomål.docx", "A 38591-2023")</f>
        <v/>
      </c>
      <c r="W57">
        <f>HYPERLINK("https://klasma.github.io/Logging_0188/klagomålsmail/A 38591-2023 FSC-klagomål mail.docx", "A 38591-2023")</f>
        <v/>
      </c>
      <c r="X57">
        <f>HYPERLINK("https://klasma.github.io/Logging_0188/tillsyn/A 38591-2023 tillsynsbegäran.docx", "A 38591-2023")</f>
        <v/>
      </c>
      <c r="Y57">
        <f>HYPERLINK("https://klasma.github.io/Logging_0188/tillsynsmail/A 38591-2023 tillsynsbegäran mail.docx", "A 38591-2023")</f>
        <v/>
      </c>
      <c r="Z57">
        <f>HYPERLINK("https://klasma.github.io/Logging_0188/fåglar/A 38591-2023 prioriterade fågelarter.docx", "A 38591-2023")</f>
        <v/>
      </c>
    </row>
    <row r="58" ht="15" customHeight="1">
      <c r="A58" t="inlineStr">
        <is>
          <t>A 4438-2023</t>
        </is>
      </c>
      <c r="B58" s="1" t="n">
        <v>44956</v>
      </c>
      <c r="C58" s="1" t="n">
        <v>46203</v>
      </c>
      <c r="D58" t="inlineStr">
        <is>
          <t>STOCKHOLMS LÄN</t>
        </is>
      </c>
      <c r="E58" t="inlineStr">
        <is>
          <t>NORRTÄLJE</t>
        </is>
      </c>
      <c r="G58" t="n">
        <v>9.199999999999999</v>
      </c>
      <c r="H58" t="n">
        <v>2</v>
      </c>
      <c r="I58" t="n">
        <v>0</v>
      </c>
      <c r="J58" t="n">
        <v>1</v>
      </c>
      <c r="K58" t="n">
        <v>0</v>
      </c>
      <c r="L58" t="n">
        <v>2</v>
      </c>
      <c r="M58" t="n">
        <v>0</v>
      </c>
      <c r="N58" t="n">
        <v>0</v>
      </c>
      <c r="O58" t="n">
        <v>3</v>
      </c>
      <c r="P58" t="n">
        <v>2</v>
      </c>
      <c r="Q58" t="n">
        <v>5</v>
      </c>
      <c r="R58" s="2" t="inlineStr">
        <is>
          <t>Ask
Skogsalm
Jungfrulin
Blåsippa
Spillkråka</t>
        </is>
      </c>
      <c r="S58">
        <f>HYPERLINK("https://klasma.github.io/Logging_0188/artfynd/A 4438-2023 artfynd.xlsx", "A 4438-2023")</f>
        <v/>
      </c>
      <c r="T58">
        <f>HYPERLINK("https://klasma.github.io/Logging_0188/kartor/A 4438-2023 karta.png", "A 4438-2023")</f>
        <v/>
      </c>
      <c r="V58">
        <f>HYPERLINK("https://klasma.github.io/Logging_0188/klagomål/A 4438-2023 FSC-klagomål.docx", "A 4438-2023")</f>
        <v/>
      </c>
      <c r="W58">
        <f>HYPERLINK("https://klasma.github.io/Logging_0188/klagomålsmail/A 4438-2023 FSC-klagomål mail.docx", "A 4438-2023")</f>
        <v/>
      </c>
      <c r="X58">
        <f>HYPERLINK("https://klasma.github.io/Logging_0188/tillsyn/A 4438-2023 tillsynsbegäran.docx", "A 4438-2023")</f>
        <v/>
      </c>
      <c r="Y58">
        <f>HYPERLINK("https://klasma.github.io/Logging_0188/tillsynsmail/A 4438-2023 tillsynsbegäran mail.docx", "A 4438-2023")</f>
        <v/>
      </c>
      <c r="Z58">
        <f>HYPERLINK("https://klasma.github.io/Logging_0188/fåglar/A 4438-2023 prioriterade fågelarter.docx", "A 4438-2023")</f>
        <v/>
      </c>
    </row>
    <row r="59" ht="15" customHeight="1">
      <c r="A59" t="inlineStr">
        <is>
          <t>A 28836-2022</t>
        </is>
      </c>
      <c r="B59" s="1" t="n">
        <v>44749</v>
      </c>
      <c r="C59" s="1" t="n">
        <v>46203</v>
      </c>
      <c r="D59" t="inlineStr">
        <is>
          <t>STOCKHOLMS LÄN</t>
        </is>
      </c>
      <c r="E59" t="inlineStr">
        <is>
          <t>NORRTÄLJE</t>
        </is>
      </c>
      <c r="G59" t="n">
        <v>25</v>
      </c>
      <c r="H59" t="n">
        <v>3</v>
      </c>
      <c r="I59" t="n">
        <v>0</v>
      </c>
      <c r="J59" t="n">
        <v>1</v>
      </c>
      <c r="K59" t="n">
        <v>0</v>
      </c>
      <c r="L59" t="n">
        <v>0</v>
      </c>
      <c r="M59" t="n">
        <v>0</v>
      </c>
      <c r="N59" t="n">
        <v>0</v>
      </c>
      <c r="O59" t="n">
        <v>1</v>
      </c>
      <c r="P59" t="n">
        <v>0</v>
      </c>
      <c r="Q59" t="n">
        <v>4</v>
      </c>
      <c r="R59" s="2" t="inlineStr">
        <is>
          <t>Backklöver
Svartvit flugsnappare
Skogsödla
Grönvit nattviol</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row>
    <row r="60" ht="15" customHeight="1">
      <c r="A60" t="inlineStr">
        <is>
          <t>A 41276-2025</t>
        </is>
      </c>
      <c r="B60" s="1" t="n">
        <v>45898</v>
      </c>
      <c r="C60" s="1" t="n">
        <v>46203</v>
      </c>
      <c r="D60" t="inlineStr">
        <is>
          <t>STOCKHOLMS LÄN</t>
        </is>
      </c>
      <c r="E60" t="inlineStr">
        <is>
          <t>NORRTÄLJE</t>
        </is>
      </c>
      <c r="G60" t="n">
        <v>3.2</v>
      </c>
      <c r="H60" t="n">
        <v>1</v>
      </c>
      <c r="I60" t="n">
        <v>1</v>
      </c>
      <c r="J60" t="n">
        <v>1</v>
      </c>
      <c r="K60" t="n">
        <v>0</v>
      </c>
      <c r="L60" t="n">
        <v>1</v>
      </c>
      <c r="M60" t="n">
        <v>0</v>
      </c>
      <c r="N60" t="n">
        <v>0</v>
      </c>
      <c r="O60" t="n">
        <v>2</v>
      </c>
      <c r="P60" t="n">
        <v>1</v>
      </c>
      <c r="Q60" t="n">
        <v>4</v>
      </c>
      <c r="R60" s="2" t="inlineStr">
        <is>
          <t>Ask
Vårärt
Underviol
Blåsippa</t>
        </is>
      </c>
      <c r="S60">
        <f>HYPERLINK("https://klasma.github.io/Logging_0188/artfynd/A 41276-2025 artfynd.xlsx", "A 41276-2025")</f>
        <v/>
      </c>
      <c r="T60">
        <f>HYPERLINK("https://klasma.github.io/Logging_0188/kartor/A 41276-2025 karta.png", "A 41276-2025")</f>
        <v/>
      </c>
      <c r="V60">
        <f>HYPERLINK("https://klasma.github.io/Logging_0188/klagomål/A 41276-2025 FSC-klagomål.docx", "A 41276-2025")</f>
        <v/>
      </c>
      <c r="W60">
        <f>HYPERLINK("https://klasma.github.io/Logging_0188/klagomålsmail/A 41276-2025 FSC-klagomål mail.docx", "A 41276-2025")</f>
        <v/>
      </c>
      <c r="X60">
        <f>HYPERLINK("https://klasma.github.io/Logging_0188/tillsyn/A 41276-2025 tillsynsbegäran.docx", "A 41276-2025")</f>
        <v/>
      </c>
      <c r="Y60">
        <f>HYPERLINK("https://klasma.github.io/Logging_0188/tillsynsmail/A 41276-2025 tillsynsbegäran mail.docx", "A 41276-2025")</f>
        <v/>
      </c>
    </row>
    <row r="61" ht="15" customHeight="1">
      <c r="A61" t="inlineStr">
        <is>
          <t>A 30687-2025</t>
        </is>
      </c>
      <c r="B61" s="1" t="n">
        <v>45831</v>
      </c>
      <c r="C61" s="1" t="n">
        <v>46203</v>
      </c>
      <c r="D61" t="inlineStr">
        <is>
          <t>STOCKHOLMS LÄN</t>
        </is>
      </c>
      <c r="E61" t="inlineStr">
        <is>
          <t>NORRTÄLJE</t>
        </is>
      </c>
      <c r="G61" t="n">
        <v>6.7</v>
      </c>
      <c r="H61" t="n">
        <v>1</v>
      </c>
      <c r="I61" t="n">
        <v>2</v>
      </c>
      <c r="J61" t="n">
        <v>1</v>
      </c>
      <c r="K61" t="n">
        <v>0</v>
      </c>
      <c r="L61" t="n">
        <v>0</v>
      </c>
      <c r="M61" t="n">
        <v>0</v>
      </c>
      <c r="N61" t="n">
        <v>0</v>
      </c>
      <c r="O61" t="n">
        <v>1</v>
      </c>
      <c r="P61" t="n">
        <v>0</v>
      </c>
      <c r="Q61" t="n">
        <v>4</v>
      </c>
      <c r="R61" s="2" t="inlineStr">
        <is>
          <t>Kandelabersvamp
Stinkbrosking
Svart trolldruva
Blåsippa</t>
        </is>
      </c>
      <c r="S61">
        <f>HYPERLINK("https://klasma.github.io/Logging_0188/artfynd/A 30687-2025 artfynd.xlsx", "A 30687-2025")</f>
        <v/>
      </c>
      <c r="T61">
        <f>HYPERLINK("https://klasma.github.io/Logging_0188/kartor/A 30687-2025 karta.png", "A 30687-2025")</f>
        <v/>
      </c>
      <c r="V61">
        <f>HYPERLINK("https://klasma.github.io/Logging_0188/klagomål/A 30687-2025 FSC-klagomål.docx", "A 30687-2025")</f>
        <v/>
      </c>
      <c r="W61">
        <f>HYPERLINK("https://klasma.github.io/Logging_0188/klagomålsmail/A 30687-2025 FSC-klagomål mail.docx", "A 30687-2025")</f>
        <v/>
      </c>
      <c r="X61">
        <f>HYPERLINK("https://klasma.github.io/Logging_0188/tillsyn/A 30687-2025 tillsynsbegäran.docx", "A 30687-2025")</f>
        <v/>
      </c>
      <c r="Y61">
        <f>HYPERLINK("https://klasma.github.io/Logging_0188/tillsynsmail/A 30687-2025 tillsynsbegäran mail.docx", "A 30687-2025")</f>
        <v/>
      </c>
    </row>
    <row r="62" ht="15" customHeight="1">
      <c r="A62" t="inlineStr">
        <is>
          <t>A 47898-2022</t>
        </is>
      </c>
      <c r="B62" s="1" t="n">
        <v>44855</v>
      </c>
      <c r="C62" s="1" t="n">
        <v>46203</v>
      </c>
      <c r="D62" t="inlineStr">
        <is>
          <t>STOCKHOLMS LÄN</t>
        </is>
      </c>
      <c r="E62" t="inlineStr">
        <is>
          <t>NORRTÄLJE</t>
        </is>
      </c>
      <c r="G62" t="n">
        <v>6.7</v>
      </c>
      <c r="H62" t="n">
        <v>2</v>
      </c>
      <c r="I62" t="n">
        <v>1</v>
      </c>
      <c r="J62" t="n">
        <v>1</v>
      </c>
      <c r="K62" t="n">
        <v>2</v>
      </c>
      <c r="L62" t="n">
        <v>0</v>
      </c>
      <c r="M62" t="n">
        <v>0</v>
      </c>
      <c r="N62" t="n">
        <v>0</v>
      </c>
      <c r="O62" t="n">
        <v>3</v>
      </c>
      <c r="P62" t="n">
        <v>2</v>
      </c>
      <c r="Q62" t="n">
        <v>4</v>
      </c>
      <c r="R62" s="2" t="inlineStr">
        <is>
          <t>Hällebräcka
Mindre bastardsvärmare
Backklöver
Guckusko</t>
        </is>
      </c>
      <c r="S62">
        <f>HYPERLINK("https://klasma.github.io/Logging_0188/artfynd/A 47898-2022 artfynd.xlsx", "A 47898-2022")</f>
        <v/>
      </c>
      <c r="T62">
        <f>HYPERLINK("https://klasma.github.io/Logging_0188/kartor/A 47898-2022 karta.png", "A 47898-2022")</f>
        <v/>
      </c>
      <c r="V62">
        <f>HYPERLINK("https://klasma.github.io/Logging_0188/klagomål/A 47898-2022 FSC-klagomål.docx", "A 47898-2022")</f>
        <v/>
      </c>
      <c r="W62">
        <f>HYPERLINK("https://klasma.github.io/Logging_0188/klagomålsmail/A 47898-2022 FSC-klagomål mail.docx", "A 47898-2022")</f>
        <v/>
      </c>
      <c r="X62">
        <f>HYPERLINK("https://klasma.github.io/Logging_0188/tillsyn/A 47898-2022 tillsynsbegäran.docx", "A 47898-2022")</f>
        <v/>
      </c>
      <c r="Y62">
        <f>HYPERLINK("https://klasma.github.io/Logging_0188/tillsynsmail/A 47898-2022 tillsynsbegäran mail.docx", "A 47898-2022")</f>
        <v/>
      </c>
    </row>
    <row r="63" ht="15" customHeight="1">
      <c r="A63" t="inlineStr">
        <is>
          <t>A 54110-2024</t>
        </is>
      </c>
      <c r="B63" s="1" t="n">
        <v>45616</v>
      </c>
      <c r="C63" s="1" t="n">
        <v>46203</v>
      </c>
      <c r="D63" t="inlineStr">
        <is>
          <t>STOCKHOLMS LÄN</t>
        </is>
      </c>
      <c r="E63" t="inlineStr">
        <is>
          <t>NORRTÄLJE</t>
        </is>
      </c>
      <c r="G63" t="n">
        <v>6.7</v>
      </c>
      <c r="H63" t="n">
        <v>2</v>
      </c>
      <c r="I63" t="n">
        <v>0</v>
      </c>
      <c r="J63" t="n">
        <v>2</v>
      </c>
      <c r="K63" t="n">
        <v>0</v>
      </c>
      <c r="L63" t="n">
        <v>0</v>
      </c>
      <c r="M63" t="n">
        <v>0</v>
      </c>
      <c r="N63" t="n">
        <v>0</v>
      </c>
      <c r="O63" t="n">
        <v>2</v>
      </c>
      <c r="P63" t="n">
        <v>0</v>
      </c>
      <c r="Q63" t="n">
        <v>4</v>
      </c>
      <c r="R63" s="2" t="inlineStr">
        <is>
          <t>Jungfrulin
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29185-2025</t>
        </is>
      </c>
      <c r="B64" s="1" t="n">
        <v>45821</v>
      </c>
      <c r="C64" s="1" t="n">
        <v>46203</v>
      </c>
      <c r="D64" t="inlineStr">
        <is>
          <t>STOCKHOLMS LÄN</t>
        </is>
      </c>
      <c r="E64" t="inlineStr">
        <is>
          <t>NORRTÄLJE</t>
        </is>
      </c>
      <c r="F64" t="inlineStr">
        <is>
          <t>Övriga Aktiebolag</t>
        </is>
      </c>
      <c r="G64" t="n">
        <v>8.5</v>
      </c>
      <c r="H64" t="n">
        <v>3</v>
      </c>
      <c r="I64" t="n">
        <v>0</v>
      </c>
      <c r="J64" t="n">
        <v>1</v>
      </c>
      <c r="K64" t="n">
        <v>0</v>
      </c>
      <c r="L64" t="n">
        <v>0</v>
      </c>
      <c r="M64" t="n">
        <v>0</v>
      </c>
      <c r="N64" t="n">
        <v>0</v>
      </c>
      <c r="O64" t="n">
        <v>1</v>
      </c>
      <c r="P64" t="n">
        <v>0</v>
      </c>
      <c r="Q64" t="n">
        <v>4</v>
      </c>
      <c r="R64" s="2" t="inlineStr">
        <is>
          <t>Vårärt
Blåsippa
Tjäder
Fläcknycklar</t>
        </is>
      </c>
      <c r="S64">
        <f>HYPERLINK("https://klasma.github.io/Logging_0188/artfynd/A 29185-2025 artfynd.xlsx", "A 29185-2025")</f>
        <v/>
      </c>
      <c r="T64">
        <f>HYPERLINK("https://klasma.github.io/Logging_0188/kartor/A 29185-2025 karta.png", "A 29185-2025")</f>
        <v/>
      </c>
      <c r="V64">
        <f>HYPERLINK("https://klasma.github.io/Logging_0188/klagomål/A 29185-2025 FSC-klagomål.docx", "A 29185-2025")</f>
        <v/>
      </c>
      <c r="W64">
        <f>HYPERLINK("https://klasma.github.io/Logging_0188/klagomålsmail/A 29185-2025 FSC-klagomål mail.docx", "A 29185-2025")</f>
        <v/>
      </c>
      <c r="X64">
        <f>HYPERLINK("https://klasma.github.io/Logging_0188/tillsyn/A 29185-2025 tillsynsbegäran.docx", "A 29185-2025")</f>
        <v/>
      </c>
      <c r="Y64">
        <f>HYPERLINK("https://klasma.github.io/Logging_0188/tillsynsmail/A 29185-2025 tillsynsbegäran mail.docx", "A 29185-2025")</f>
        <v/>
      </c>
      <c r="Z64">
        <f>HYPERLINK("https://klasma.github.io/Logging_0188/fåglar/A 29185-2025 prioriterade fågelarter.docx", "A 29185-2025")</f>
        <v/>
      </c>
    </row>
    <row r="65" ht="15" customHeight="1">
      <c r="A65" t="inlineStr">
        <is>
          <t>A 32103-2022</t>
        </is>
      </c>
      <c r="B65" s="1" t="n">
        <v>44778</v>
      </c>
      <c r="C65" s="1" t="n">
        <v>46203</v>
      </c>
      <c r="D65" t="inlineStr">
        <is>
          <t>STOCKHOLMS LÄN</t>
        </is>
      </c>
      <c r="E65" t="inlineStr">
        <is>
          <t>NORRTÄLJE</t>
        </is>
      </c>
      <c r="G65" t="n">
        <v>3.4</v>
      </c>
      <c r="H65" t="n">
        <v>4</v>
      </c>
      <c r="I65" t="n">
        <v>0</v>
      </c>
      <c r="J65" t="n">
        <v>1</v>
      </c>
      <c r="K65" t="n">
        <v>1</v>
      </c>
      <c r="L65" t="n">
        <v>1</v>
      </c>
      <c r="M65" t="n">
        <v>0</v>
      </c>
      <c r="N65" t="n">
        <v>0</v>
      </c>
      <c r="O65" t="n">
        <v>3</v>
      </c>
      <c r="P65" t="n">
        <v>2</v>
      </c>
      <c r="Q65" t="n">
        <v>4</v>
      </c>
      <c r="R65" s="2" t="inlineStr">
        <is>
          <t>Kornknarr
Gräshoppsångare
Rörsångare
Näktergal</t>
        </is>
      </c>
      <c r="S65">
        <f>HYPERLINK("https://klasma.github.io/Logging_0188/artfynd/A 32103-2022 artfynd.xlsx", "A 32103-2022")</f>
        <v/>
      </c>
      <c r="T65">
        <f>HYPERLINK("https://klasma.github.io/Logging_0188/kartor/A 32103-2022 karta.png", "A 32103-2022")</f>
        <v/>
      </c>
      <c r="V65">
        <f>HYPERLINK("https://klasma.github.io/Logging_0188/klagomål/A 32103-2022 FSC-klagomål.docx", "A 32103-2022")</f>
        <v/>
      </c>
      <c r="W65">
        <f>HYPERLINK("https://klasma.github.io/Logging_0188/klagomålsmail/A 32103-2022 FSC-klagomål mail.docx", "A 32103-2022")</f>
        <v/>
      </c>
      <c r="X65">
        <f>HYPERLINK("https://klasma.github.io/Logging_0188/tillsyn/A 32103-2022 tillsynsbegäran.docx", "A 32103-2022")</f>
        <v/>
      </c>
      <c r="Y65">
        <f>HYPERLINK("https://klasma.github.io/Logging_0188/tillsynsmail/A 32103-2022 tillsynsbegäran mail.docx", "A 32103-2022")</f>
        <v/>
      </c>
      <c r="Z65">
        <f>HYPERLINK("https://klasma.github.io/Logging_0188/fåglar/A 32103-2022 prioriterade fågelarter.docx", "A 32103-2022")</f>
        <v/>
      </c>
    </row>
    <row r="66" ht="15" customHeight="1">
      <c r="A66" t="inlineStr">
        <is>
          <t>A 17952-2022</t>
        </is>
      </c>
      <c r="B66" s="1" t="n">
        <v>44683</v>
      </c>
      <c r="C66" s="1" t="n">
        <v>46203</v>
      </c>
      <c r="D66" t="inlineStr">
        <is>
          <t>STOCKHOLMS LÄN</t>
        </is>
      </c>
      <c r="E66" t="inlineStr">
        <is>
          <t>NORRTÄLJE</t>
        </is>
      </c>
      <c r="G66" t="n">
        <v>51.1</v>
      </c>
      <c r="H66" t="n">
        <v>3</v>
      </c>
      <c r="I66" t="n">
        <v>0</v>
      </c>
      <c r="J66" t="n">
        <v>2</v>
      </c>
      <c r="K66" t="n">
        <v>1</v>
      </c>
      <c r="L66" t="n">
        <v>0</v>
      </c>
      <c r="M66" t="n">
        <v>0</v>
      </c>
      <c r="N66" t="n">
        <v>0</v>
      </c>
      <c r="O66" t="n">
        <v>3</v>
      </c>
      <c r="P66" t="n">
        <v>1</v>
      </c>
      <c r="Q66" t="n">
        <v>4</v>
      </c>
      <c r="R66" s="2" t="inlineStr">
        <is>
          <t>Kattunvisslare
Mindre hackspett
Talltita
Revlummer</t>
        </is>
      </c>
      <c r="S66">
        <f>HYPERLINK("https://klasma.github.io/Logging_0188/artfynd/A 17952-2022 artfynd.xlsx", "A 17952-2022")</f>
        <v/>
      </c>
      <c r="T66">
        <f>HYPERLINK("https://klasma.github.io/Logging_0188/kartor/A 17952-2022 karta.png", "A 17952-2022")</f>
        <v/>
      </c>
      <c r="V66">
        <f>HYPERLINK("https://klasma.github.io/Logging_0188/klagomål/A 17952-2022 FSC-klagomål.docx", "A 17952-2022")</f>
        <v/>
      </c>
      <c r="W66">
        <f>HYPERLINK("https://klasma.github.io/Logging_0188/klagomålsmail/A 17952-2022 FSC-klagomål mail.docx", "A 17952-2022")</f>
        <v/>
      </c>
      <c r="X66">
        <f>HYPERLINK("https://klasma.github.io/Logging_0188/tillsyn/A 17952-2022 tillsynsbegäran.docx", "A 17952-2022")</f>
        <v/>
      </c>
      <c r="Y66">
        <f>HYPERLINK("https://klasma.github.io/Logging_0188/tillsynsmail/A 17952-2022 tillsynsbegäran mail.docx", "A 17952-2022")</f>
        <v/>
      </c>
      <c r="Z66">
        <f>HYPERLINK("https://klasma.github.io/Logging_0188/fåglar/A 17952-2022 prioriterade fågelarter.docx", "A 17952-2022")</f>
        <v/>
      </c>
    </row>
    <row r="67" ht="15" customHeight="1">
      <c r="A67" t="inlineStr">
        <is>
          <t>A 25913-2026</t>
        </is>
      </c>
      <c r="B67" s="1" t="n">
        <v>46178</v>
      </c>
      <c r="C67" s="1" t="n">
        <v>46203</v>
      </c>
      <c r="D67" t="inlineStr">
        <is>
          <t>STOCKHOLMS LÄN</t>
        </is>
      </c>
      <c r="E67" t="inlineStr">
        <is>
          <t>NORRTÄLJE</t>
        </is>
      </c>
      <c r="G67" t="n">
        <v>10.3</v>
      </c>
      <c r="H67" t="n">
        <v>3</v>
      </c>
      <c r="I67" t="n">
        <v>0</v>
      </c>
      <c r="J67" t="n">
        <v>1</v>
      </c>
      <c r="K67" t="n">
        <v>1</v>
      </c>
      <c r="L67" t="n">
        <v>0</v>
      </c>
      <c r="M67" t="n">
        <v>0</v>
      </c>
      <c r="N67" t="n">
        <v>0</v>
      </c>
      <c r="O67" t="n">
        <v>2</v>
      </c>
      <c r="P67" t="n">
        <v>1</v>
      </c>
      <c r="Q67" t="n">
        <v>4</v>
      </c>
      <c r="R67" s="2" t="inlineStr">
        <is>
          <t>Igelkott
Talltita
Grönsiska
Havsörn</t>
        </is>
      </c>
      <c r="S67">
        <f>HYPERLINK("https://klasma.github.io/Logging_0188/artfynd/A 25913-2026 artfynd.xlsx", "A 25913-2026")</f>
        <v/>
      </c>
      <c r="T67">
        <f>HYPERLINK("https://klasma.github.io/Logging_0188/kartor/A 25913-2026 karta.png", "A 25913-2026")</f>
        <v/>
      </c>
      <c r="V67">
        <f>HYPERLINK("https://klasma.github.io/Logging_0188/klagomål/A 25913-2026 FSC-klagomål.docx", "A 25913-2026")</f>
        <v/>
      </c>
      <c r="W67">
        <f>HYPERLINK("https://klasma.github.io/Logging_0188/klagomålsmail/A 25913-2026 FSC-klagomål mail.docx", "A 25913-2026")</f>
        <v/>
      </c>
      <c r="X67">
        <f>HYPERLINK("https://klasma.github.io/Logging_0188/tillsyn/A 25913-2026 tillsynsbegäran.docx", "A 25913-2026")</f>
        <v/>
      </c>
      <c r="Y67">
        <f>HYPERLINK("https://klasma.github.io/Logging_0188/tillsynsmail/A 25913-2026 tillsynsbegäran mail.docx", "A 25913-2026")</f>
        <v/>
      </c>
      <c r="Z67">
        <f>HYPERLINK("https://klasma.github.io/Logging_0188/fåglar/A 25913-2026 prioriterade fågelarter.docx", "A 25913-2026")</f>
        <v/>
      </c>
    </row>
    <row r="68" ht="15" customHeight="1">
      <c r="A68" t="inlineStr">
        <is>
          <t>A 24535-2023</t>
        </is>
      </c>
      <c r="B68" s="1" t="n">
        <v>45082</v>
      </c>
      <c r="C68" s="1" t="n">
        <v>46203</v>
      </c>
      <c r="D68" t="inlineStr">
        <is>
          <t>STOCKHOLMS LÄN</t>
        </is>
      </c>
      <c r="E68" t="inlineStr">
        <is>
          <t>NORRTÄLJE</t>
        </is>
      </c>
      <c r="F68" t="inlineStr">
        <is>
          <t>Kommuner</t>
        </is>
      </c>
      <c r="G68" t="n">
        <v>2</v>
      </c>
      <c r="H68" t="n">
        <v>3</v>
      </c>
      <c r="I68" t="n">
        <v>2</v>
      </c>
      <c r="J68" t="n">
        <v>0</v>
      </c>
      <c r="K68" t="n">
        <v>0</v>
      </c>
      <c r="L68" t="n">
        <v>0</v>
      </c>
      <c r="M68" t="n">
        <v>0</v>
      </c>
      <c r="N68" t="n">
        <v>0</v>
      </c>
      <c r="O68" t="n">
        <v>0</v>
      </c>
      <c r="P68" t="n">
        <v>0</v>
      </c>
      <c r="Q68" t="n">
        <v>4</v>
      </c>
      <c r="R68" s="2" t="inlineStr">
        <is>
          <t>Nästrot
Svavelriska
Blåsippa
Mindre flugsnappare</t>
        </is>
      </c>
      <c r="S68">
        <f>HYPERLINK("https://klasma.github.io/Logging_0188/artfynd/A 24535-2023 artfynd.xlsx", "A 24535-2023")</f>
        <v/>
      </c>
      <c r="T68">
        <f>HYPERLINK("https://klasma.github.io/Logging_0188/kartor/A 24535-2023 karta.png", "A 24535-2023")</f>
        <v/>
      </c>
      <c r="V68">
        <f>HYPERLINK("https://klasma.github.io/Logging_0188/klagomål/A 24535-2023 FSC-klagomål.docx", "A 24535-2023")</f>
        <v/>
      </c>
      <c r="W68">
        <f>HYPERLINK("https://klasma.github.io/Logging_0188/klagomålsmail/A 24535-2023 FSC-klagomål mail.docx", "A 24535-2023")</f>
        <v/>
      </c>
      <c r="X68">
        <f>HYPERLINK("https://klasma.github.io/Logging_0188/tillsyn/A 24535-2023 tillsynsbegäran.docx", "A 24535-2023")</f>
        <v/>
      </c>
      <c r="Y68">
        <f>HYPERLINK("https://klasma.github.io/Logging_0188/tillsynsmail/A 24535-2023 tillsynsbegäran mail.docx", "A 24535-2023")</f>
        <v/>
      </c>
      <c r="Z68">
        <f>HYPERLINK("https://klasma.github.io/Logging_0188/fåglar/A 24535-2023 prioriterade fågelarter.docx", "A 24535-2023")</f>
        <v/>
      </c>
    </row>
    <row r="69" ht="15" customHeight="1">
      <c r="A69" t="inlineStr">
        <is>
          <t>A 72305-2021</t>
        </is>
      </c>
      <c r="B69" s="1" t="n">
        <v>44545</v>
      </c>
      <c r="C69" s="1" t="n">
        <v>46203</v>
      </c>
      <c r="D69" t="inlineStr">
        <is>
          <t>STOCKHOLMS LÄN</t>
        </is>
      </c>
      <c r="E69" t="inlineStr">
        <is>
          <t>NORRTÄLJE</t>
        </is>
      </c>
      <c r="G69" t="n">
        <v>1.5</v>
      </c>
      <c r="H69" t="n">
        <v>1</v>
      </c>
      <c r="I69" t="n">
        <v>1</v>
      </c>
      <c r="J69" t="n">
        <v>2</v>
      </c>
      <c r="K69" t="n">
        <v>0</v>
      </c>
      <c r="L69" t="n">
        <v>0</v>
      </c>
      <c r="M69" t="n">
        <v>0</v>
      </c>
      <c r="N69" t="n">
        <v>0</v>
      </c>
      <c r="O69" t="n">
        <v>2</v>
      </c>
      <c r="P69" t="n">
        <v>0</v>
      </c>
      <c r="Q69" t="n">
        <v>4</v>
      </c>
      <c r="R69" s="2" t="inlineStr">
        <is>
          <t>Sårläka
Vårärt
Svart trolldruva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44709-2022</t>
        </is>
      </c>
      <c r="B70" s="1" t="n">
        <v>44839</v>
      </c>
      <c r="C70" s="1" t="n">
        <v>46203</v>
      </c>
      <c r="D70" t="inlineStr">
        <is>
          <t>STOCKHOLMS LÄN</t>
        </is>
      </c>
      <c r="E70" t="inlineStr">
        <is>
          <t>NORRTÄLJE</t>
        </is>
      </c>
      <c r="G70" t="n">
        <v>16.3</v>
      </c>
      <c r="H70" t="n">
        <v>3</v>
      </c>
      <c r="I70" t="n">
        <v>0</v>
      </c>
      <c r="J70" t="n">
        <v>2</v>
      </c>
      <c r="K70" t="n">
        <v>0</v>
      </c>
      <c r="L70" t="n">
        <v>0</v>
      </c>
      <c r="M70" t="n">
        <v>0</v>
      </c>
      <c r="N70" t="n">
        <v>0</v>
      </c>
      <c r="O70" t="n">
        <v>2</v>
      </c>
      <c r="P70" t="n">
        <v>0</v>
      </c>
      <c r="Q70" t="n">
        <v>4</v>
      </c>
      <c r="R70" s="2" t="inlineStr">
        <is>
          <t>Enkelbeckasin
Jungfrulin
Spillkråka
Orre</t>
        </is>
      </c>
      <c r="S70">
        <f>HYPERLINK("https://klasma.github.io/Logging_0188/artfynd/A 44709-2022 artfynd.xlsx", "A 44709-2022")</f>
        <v/>
      </c>
      <c r="T70">
        <f>HYPERLINK("https://klasma.github.io/Logging_0188/kartor/A 44709-2022 karta.png", "A 44709-2022")</f>
        <v/>
      </c>
      <c r="V70">
        <f>HYPERLINK("https://klasma.github.io/Logging_0188/klagomål/A 44709-2022 FSC-klagomål.docx", "A 44709-2022")</f>
        <v/>
      </c>
      <c r="W70">
        <f>HYPERLINK("https://klasma.github.io/Logging_0188/klagomålsmail/A 44709-2022 FSC-klagomål mail.docx", "A 44709-2022")</f>
        <v/>
      </c>
      <c r="X70">
        <f>HYPERLINK("https://klasma.github.io/Logging_0188/tillsyn/A 44709-2022 tillsynsbegäran.docx", "A 44709-2022")</f>
        <v/>
      </c>
      <c r="Y70">
        <f>HYPERLINK("https://klasma.github.io/Logging_0188/tillsynsmail/A 44709-2022 tillsynsbegäran mail.docx", "A 44709-2022")</f>
        <v/>
      </c>
      <c r="Z70">
        <f>HYPERLINK("https://klasma.github.io/Logging_0188/fåglar/A 44709-2022 prioriterade fågelarter.docx", "A 44709-2022")</f>
        <v/>
      </c>
    </row>
    <row r="71" ht="15" customHeight="1">
      <c r="A71" t="inlineStr">
        <is>
          <t>A 27870-2022</t>
        </is>
      </c>
      <c r="B71" s="1" t="n">
        <v>44743</v>
      </c>
      <c r="C71" s="1" t="n">
        <v>46203</v>
      </c>
      <c r="D71" t="inlineStr">
        <is>
          <t>STOCKHOLMS LÄN</t>
        </is>
      </c>
      <c r="E71" t="inlineStr">
        <is>
          <t>NORRTÄLJE</t>
        </is>
      </c>
      <c r="F71" t="inlineStr">
        <is>
          <t>Holmen skog AB</t>
        </is>
      </c>
      <c r="G71" t="n">
        <v>1.8</v>
      </c>
      <c r="H71" t="n">
        <v>3</v>
      </c>
      <c r="I71" t="n">
        <v>0</v>
      </c>
      <c r="J71" t="n">
        <v>1</v>
      </c>
      <c r="K71" t="n">
        <v>0</v>
      </c>
      <c r="L71" t="n">
        <v>1</v>
      </c>
      <c r="M71" t="n">
        <v>0</v>
      </c>
      <c r="N71" t="n">
        <v>0</v>
      </c>
      <c r="O71" t="n">
        <v>2</v>
      </c>
      <c r="P71" t="n">
        <v>1</v>
      </c>
      <c r="Q71" t="n">
        <v>4</v>
      </c>
      <c r="R71" s="2" t="inlineStr">
        <is>
          <t>Ask
Nordfladdermus
Dvärgpipistrell
Större brunfladdermus</t>
        </is>
      </c>
      <c r="S71">
        <f>HYPERLINK("https://klasma.github.io/Logging_0188/artfynd/A 27870-2022 artfynd.xlsx", "A 27870-2022")</f>
        <v/>
      </c>
      <c r="T71">
        <f>HYPERLINK("https://klasma.github.io/Logging_0188/kartor/A 27870-2022 karta.png", "A 27870-2022")</f>
        <v/>
      </c>
      <c r="V71">
        <f>HYPERLINK("https://klasma.github.io/Logging_0188/klagomål/A 27870-2022 FSC-klagomål.docx", "A 27870-2022")</f>
        <v/>
      </c>
      <c r="W71">
        <f>HYPERLINK("https://klasma.github.io/Logging_0188/klagomålsmail/A 27870-2022 FSC-klagomål mail.docx", "A 27870-2022")</f>
        <v/>
      </c>
      <c r="X71">
        <f>HYPERLINK("https://klasma.github.io/Logging_0188/tillsyn/A 27870-2022 tillsynsbegäran.docx", "A 27870-2022")</f>
        <v/>
      </c>
      <c r="Y71">
        <f>HYPERLINK("https://klasma.github.io/Logging_0188/tillsynsmail/A 27870-2022 tillsynsbegäran mail.docx", "A 27870-2022")</f>
        <v/>
      </c>
    </row>
    <row r="72" ht="15" customHeight="1">
      <c r="A72" t="inlineStr">
        <is>
          <t>A 51980-2022</t>
        </is>
      </c>
      <c r="B72" s="1" t="n">
        <v>44872</v>
      </c>
      <c r="C72" s="1" t="n">
        <v>46203</v>
      </c>
      <c r="D72" t="inlineStr">
        <is>
          <t>STOCKHOLMS LÄN</t>
        </is>
      </c>
      <c r="E72" t="inlineStr">
        <is>
          <t>NORRTÄLJE</t>
        </is>
      </c>
      <c r="G72" t="n">
        <v>7.9</v>
      </c>
      <c r="H72" t="n">
        <v>2</v>
      </c>
      <c r="I72" t="n">
        <v>4</v>
      </c>
      <c r="J72" t="n">
        <v>0</v>
      </c>
      <c r="K72" t="n">
        <v>0</v>
      </c>
      <c r="L72" t="n">
        <v>0</v>
      </c>
      <c r="M72" t="n">
        <v>0</v>
      </c>
      <c r="N72" t="n">
        <v>0</v>
      </c>
      <c r="O72" t="n">
        <v>0</v>
      </c>
      <c r="P72" t="n">
        <v>0</v>
      </c>
      <c r="Q72" t="n">
        <v>4</v>
      </c>
      <c r="R72" s="2" t="inlineStr">
        <is>
          <t>Rödgul trumpetsvamp
Skogsknipprot
Trådfräken
Tvåblad</t>
        </is>
      </c>
      <c r="S72">
        <f>HYPERLINK("https://klasma.github.io/Logging_0188/artfynd/A 51980-2022 artfynd.xlsx", "A 51980-2022")</f>
        <v/>
      </c>
      <c r="T72">
        <f>HYPERLINK("https://klasma.github.io/Logging_0188/kartor/A 51980-2022 karta.png", "A 51980-2022")</f>
        <v/>
      </c>
      <c r="V72">
        <f>HYPERLINK("https://klasma.github.io/Logging_0188/klagomål/A 51980-2022 FSC-klagomål.docx", "A 51980-2022")</f>
        <v/>
      </c>
      <c r="W72">
        <f>HYPERLINK("https://klasma.github.io/Logging_0188/klagomålsmail/A 51980-2022 FSC-klagomål mail.docx", "A 51980-2022")</f>
        <v/>
      </c>
      <c r="X72">
        <f>HYPERLINK("https://klasma.github.io/Logging_0188/tillsyn/A 51980-2022 tillsynsbegäran.docx", "A 51980-2022")</f>
        <v/>
      </c>
      <c r="Y72">
        <f>HYPERLINK("https://klasma.github.io/Logging_0188/tillsynsmail/A 51980-2022 tillsynsbegäran mail.docx", "A 51980-2022")</f>
        <v/>
      </c>
    </row>
    <row r="73" ht="15" customHeight="1">
      <c r="A73" t="inlineStr">
        <is>
          <t>A 45113-2022</t>
        </is>
      </c>
      <c r="B73" s="1" t="n">
        <v>44843</v>
      </c>
      <c r="C73" s="1" t="n">
        <v>46203</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30693-2022</t>
        </is>
      </c>
      <c r="B74" s="1" t="n">
        <v>44763</v>
      </c>
      <c r="C74" s="1" t="n">
        <v>46203</v>
      </c>
      <c r="D74" t="inlineStr">
        <is>
          <t>STOCKHOLMS LÄN</t>
        </is>
      </c>
      <c r="E74" t="inlineStr">
        <is>
          <t>NORRTÄLJE</t>
        </is>
      </c>
      <c r="F74" t="inlineStr">
        <is>
          <t>Sveaskog</t>
        </is>
      </c>
      <c r="G74" t="n">
        <v>3.4</v>
      </c>
      <c r="H74" t="n">
        <v>3</v>
      </c>
      <c r="I74" t="n">
        <v>0</v>
      </c>
      <c r="J74" t="n">
        <v>1</v>
      </c>
      <c r="K74" t="n">
        <v>0</v>
      </c>
      <c r="L74" t="n">
        <v>0</v>
      </c>
      <c r="M74" t="n">
        <v>0</v>
      </c>
      <c r="N74" t="n">
        <v>0</v>
      </c>
      <c r="O74" t="n">
        <v>1</v>
      </c>
      <c r="P74" t="n">
        <v>0</v>
      </c>
      <c r="Q74" t="n">
        <v>3</v>
      </c>
      <c r="R74" s="2" t="inlineStr">
        <is>
          <t>Gulsparv
Slaguggla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52776-2025</t>
        </is>
      </c>
      <c r="B75" s="1" t="n">
        <v>45957</v>
      </c>
      <c r="C75" s="1" t="n">
        <v>46203</v>
      </c>
      <c r="D75" t="inlineStr">
        <is>
          <t>STOCKHOLMS LÄN</t>
        </is>
      </c>
      <c r="E75" t="inlineStr">
        <is>
          <t>NORRTÄLJE</t>
        </is>
      </c>
      <c r="F75" t="inlineStr">
        <is>
          <t>Sveaskog</t>
        </is>
      </c>
      <c r="G75" t="n">
        <v>2.5</v>
      </c>
      <c r="H75" t="n">
        <v>3</v>
      </c>
      <c r="I75" t="n">
        <v>0</v>
      </c>
      <c r="J75" t="n">
        <v>0</v>
      </c>
      <c r="K75" t="n">
        <v>0</v>
      </c>
      <c r="L75" t="n">
        <v>0</v>
      </c>
      <c r="M75" t="n">
        <v>0</v>
      </c>
      <c r="N75" t="n">
        <v>0</v>
      </c>
      <c r="O75" t="n">
        <v>0</v>
      </c>
      <c r="P75" t="n">
        <v>0</v>
      </c>
      <c r="Q75" t="n">
        <v>3</v>
      </c>
      <c r="R75" s="2" t="inlineStr">
        <is>
          <t>Slaguggla
Sångsvan
Trana</t>
        </is>
      </c>
      <c r="S75">
        <f>HYPERLINK("https://klasma.github.io/Logging_0188/artfynd/A 52776-2025 artfynd.xlsx", "A 52776-2025")</f>
        <v/>
      </c>
      <c r="T75">
        <f>HYPERLINK("https://klasma.github.io/Logging_0188/kartor/A 52776-2025 karta.png", "A 52776-2025")</f>
        <v/>
      </c>
      <c r="V75">
        <f>HYPERLINK("https://klasma.github.io/Logging_0188/klagomål/A 52776-2025 FSC-klagomål.docx", "A 52776-2025")</f>
        <v/>
      </c>
      <c r="W75">
        <f>HYPERLINK("https://klasma.github.io/Logging_0188/klagomålsmail/A 52776-2025 FSC-klagomål mail.docx", "A 52776-2025")</f>
        <v/>
      </c>
      <c r="X75">
        <f>HYPERLINK("https://klasma.github.io/Logging_0188/tillsyn/A 52776-2025 tillsynsbegäran.docx", "A 52776-2025")</f>
        <v/>
      </c>
      <c r="Y75">
        <f>HYPERLINK("https://klasma.github.io/Logging_0188/tillsynsmail/A 52776-2025 tillsynsbegäran mail.docx", "A 52776-2025")</f>
        <v/>
      </c>
      <c r="Z75">
        <f>HYPERLINK("https://klasma.github.io/Logging_0188/fåglar/A 52776-2025 prioriterade fågelarter.docx", "A 52776-2025")</f>
        <v/>
      </c>
    </row>
    <row r="76" ht="15" customHeight="1">
      <c r="A76" t="inlineStr">
        <is>
          <t>A 40192-2023</t>
        </is>
      </c>
      <c r="B76" s="1" t="n">
        <v>45169</v>
      </c>
      <c r="C76" s="1" t="n">
        <v>46203</v>
      </c>
      <c r="D76" t="inlineStr">
        <is>
          <t>STOCKHOLMS LÄN</t>
        </is>
      </c>
      <c r="E76" t="inlineStr">
        <is>
          <t>NORRTÄLJE</t>
        </is>
      </c>
      <c r="F76" t="inlineStr">
        <is>
          <t>Kyrkan</t>
        </is>
      </c>
      <c r="G76" t="n">
        <v>0.7</v>
      </c>
      <c r="H76" t="n">
        <v>3</v>
      </c>
      <c r="I76" t="n">
        <v>0</v>
      </c>
      <c r="J76" t="n">
        <v>0</v>
      </c>
      <c r="K76" t="n">
        <v>0</v>
      </c>
      <c r="L76" t="n">
        <v>0</v>
      </c>
      <c r="M76" t="n">
        <v>0</v>
      </c>
      <c r="N76" t="n">
        <v>0</v>
      </c>
      <c r="O76" t="n">
        <v>0</v>
      </c>
      <c r="P76" t="n">
        <v>0</v>
      </c>
      <c r="Q76" t="n">
        <v>3</v>
      </c>
      <c r="R76" s="2" t="inlineStr">
        <is>
          <t>Grönsiska
Skogsduva
Törnskata</t>
        </is>
      </c>
      <c r="S76">
        <f>HYPERLINK("https://klasma.github.io/Logging_0188/artfynd/A 40192-2023 artfynd.xlsx", "A 40192-2023")</f>
        <v/>
      </c>
      <c r="T76">
        <f>HYPERLINK("https://klasma.github.io/Logging_0188/kartor/A 40192-2023 karta.png", "A 40192-2023")</f>
        <v/>
      </c>
      <c r="V76">
        <f>HYPERLINK("https://klasma.github.io/Logging_0188/klagomål/A 40192-2023 FSC-klagomål.docx", "A 40192-2023")</f>
        <v/>
      </c>
      <c r="W76">
        <f>HYPERLINK("https://klasma.github.io/Logging_0188/klagomålsmail/A 40192-2023 FSC-klagomål mail.docx", "A 40192-2023")</f>
        <v/>
      </c>
      <c r="X76">
        <f>HYPERLINK("https://klasma.github.io/Logging_0188/tillsyn/A 40192-2023 tillsynsbegäran.docx", "A 40192-2023")</f>
        <v/>
      </c>
      <c r="Y76">
        <f>HYPERLINK("https://klasma.github.io/Logging_0188/tillsynsmail/A 40192-2023 tillsynsbegäran mail.docx", "A 40192-2023")</f>
        <v/>
      </c>
      <c r="Z76">
        <f>HYPERLINK("https://klasma.github.io/Logging_0188/fåglar/A 40192-2023 prioriterade fågelarter.docx", "A 40192-2023")</f>
        <v/>
      </c>
    </row>
    <row r="77" ht="15" customHeight="1">
      <c r="A77" t="inlineStr">
        <is>
          <t>A 364-2026</t>
        </is>
      </c>
      <c r="B77" s="1" t="n">
        <v>46027</v>
      </c>
      <c r="C77" s="1" t="n">
        <v>46203</v>
      </c>
      <c r="D77" t="inlineStr">
        <is>
          <t>STOCKHOLMS LÄN</t>
        </is>
      </c>
      <c r="E77" t="inlineStr">
        <is>
          <t>NORRTÄLJE</t>
        </is>
      </c>
      <c r="F77" t="inlineStr">
        <is>
          <t>Holmen skog AB</t>
        </is>
      </c>
      <c r="G77" t="n">
        <v>4.3</v>
      </c>
      <c r="H77" t="n">
        <v>2</v>
      </c>
      <c r="I77" t="n">
        <v>1</v>
      </c>
      <c r="J77" t="n">
        <v>1</v>
      </c>
      <c r="K77" t="n">
        <v>0</v>
      </c>
      <c r="L77" t="n">
        <v>1</v>
      </c>
      <c r="M77" t="n">
        <v>0</v>
      </c>
      <c r="N77" t="n">
        <v>0</v>
      </c>
      <c r="O77" t="n">
        <v>2</v>
      </c>
      <c r="P77" t="n">
        <v>1</v>
      </c>
      <c r="Q77" t="n">
        <v>3</v>
      </c>
      <c r="R77" s="2" t="inlineStr">
        <is>
          <t>Asknätfjäril
Vårärt
Guckusko</t>
        </is>
      </c>
      <c r="S77">
        <f>HYPERLINK("https://klasma.github.io/Logging_0188/artfynd/A 364-2026 artfynd.xlsx", "A 364-2026")</f>
        <v/>
      </c>
      <c r="T77">
        <f>HYPERLINK("https://klasma.github.io/Logging_0188/kartor/A 364-2026 karta.png", "A 364-2026")</f>
        <v/>
      </c>
      <c r="V77">
        <f>HYPERLINK("https://klasma.github.io/Logging_0188/klagomål/A 364-2026 FSC-klagomål.docx", "A 364-2026")</f>
        <v/>
      </c>
      <c r="W77">
        <f>HYPERLINK("https://klasma.github.io/Logging_0188/klagomålsmail/A 364-2026 FSC-klagomål mail.docx", "A 364-2026")</f>
        <v/>
      </c>
      <c r="X77">
        <f>HYPERLINK("https://klasma.github.io/Logging_0188/tillsyn/A 364-2026 tillsynsbegäran.docx", "A 364-2026")</f>
        <v/>
      </c>
      <c r="Y77">
        <f>HYPERLINK("https://klasma.github.io/Logging_0188/tillsynsmail/A 364-2026 tillsynsbegäran mail.docx", "A 364-2026")</f>
        <v/>
      </c>
    </row>
    <row r="78" ht="15" customHeight="1">
      <c r="A78" t="inlineStr">
        <is>
          <t>A 9914-2023</t>
        </is>
      </c>
      <c r="B78" s="1" t="n">
        <v>44985</v>
      </c>
      <c r="C78" s="1" t="n">
        <v>46203</v>
      </c>
      <c r="D78" t="inlineStr">
        <is>
          <t>STOCKHOLMS LÄN</t>
        </is>
      </c>
      <c r="E78" t="inlineStr">
        <is>
          <t>NORRTÄLJE</t>
        </is>
      </c>
      <c r="G78" t="n">
        <v>4.2</v>
      </c>
      <c r="H78" t="n">
        <v>0</v>
      </c>
      <c r="I78" t="n">
        <v>2</v>
      </c>
      <c r="J78" t="n">
        <v>1</v>
      </c>
      <c r="K78" t="n">
        <v>0</v>
      </c>
      <c r="L78" t="n">
        <v>0</v>
      </c>
      <c r="M78" t="n">
        <v>0</v>
      </c>
      <c r="N78" t="n">
        <v>0</v>
      </c>
      <c r="O78" t="n">
        <v>1</v>
      </c>
      <c r="P78" t="n">
        <v>0</v>
      </c>
      <c r="Q78" t="n">
        <v>3</v>
      </c>
      <c r="R78" s="2" t="inlineStr">
        <is>
          <t>Orange taggsvamp
Olivspindling
Zontaggsvamp</t>
        </is>
      </c>
      <c r="S78">
        <f>HYPERLINK("https://klasma.github.io/Logging_0188/artfynd/A 9914-2023 artfynd.xlsx", "A 9914-2023")</f>
        <v/>
      </c>
      <c r="T78">
        <f>HYPERLINK("https://klasma.github.io/Logging_0188/kartor/A 9914-2023 karta.png", "A 9914-2023")</f>
        <v/>
      </c>
      <c r="V78">
        <f>HYPERLINK("https://klasma.github.io/Logging_0188/klagomål/A 9914-2023 FSC-klagomål.docx", "A 9914-2023")</f>
        <v/>
      </c>
      <c r="W78">
        <f>HYPERLINK("https://klasma.github.io/Logging_0188/klagomålsmail/A 9914-2023 FSC-klagomål mail.docx", "A 9914-2023")</f>
        <v/>
      </c>
      <c r="X78">
        <f>HYPERLINK("https://klasma.github.io/Logging_0188/tillsyn/A 9914-2023 tillsynsbegäran.docx", "A 9914-2023")</f>
        <v/>
      </c>
      <c r="Y78">
        <f>HYPERLINK("https://klasma.github.io/Logging_0188/tillsynsmail/A 9914-2023 tillsynsbegäran mail.docx", "A 9914-2023")</f>
        <v/>
      </c>
    </row>
    <row r="79" ht="15" customHeight="1">
      <c r="A79" t="inlineStr">
        <is>
          <t>A 20185-2022</t>
        </is>
      </c>
      <c r="B79" s="1" t="n">
        <v>44698</v>
      </c>
      <c r="C79" s="1" t="n">
        <v>46203</v>
      </c>
      <c r="D79" t="inlineStr">
        <is>
          <t>STOCKHOLMS LÄN</t>
        </is>
      </c>
      <c r="E79" t="inlineStr">
        <is>
          <t>NORRTÄLJE</t>
        </is>
      </c>
      <c r="G79" t="n">
        <v>8.4</v>
      </c>
      <c r="H79" t="n">
        <v>1</v>
      </c>
      <c r="I79" t="n">
        <v>2</v>
      </c>
      <c r="J79" t="n">
        <v>0</v>
      </c>
      <c r="K79" t="n">
        <v>0</v>
      </c>
      <c r="L79" t="n">
        <v>0</v>
      </c>
      <c r="M79" t="n">
        <v>0</v>
      </c>
      <c r="N79" t="n">
        <v>0</v>
      </c>
      <c r="O79" t="n">
        <v>0</v>
      </c>
      <c r="P79" t="n">
        <v>0</v>
      </c>
      <c r="Q79" t="n">
        <v>3</v>
      </c>
      <c r="R79" s="2" t="inlineStr">
        <is>
          <t>Gullgröppa
Vedticka
Tallbit</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15886-2026</t>
        </is>
      </c>
      <c r="B80" s="1" t="n">
        <v>46107</v>
      </c>
      <c r="C80" s="1" t="n">
        <v>46203</v>
      </c>
      <c r="D80" t="inlineStr">
        <is>
          <t>STOCKHOLMS LÄN</t>
        </is>
      </c>
      <c r="E80" t="inlineStr">
        <is>
          <t>NORRTÄLJE</t>
        </is>
      </c>
      <c r="G80" t="n">
        <v>1.3</v>
      </c>
      <c r="H80" t="n">
        <v>2</v>
      </c>
      <c r="I80" t="n">
        <v>0</v>
      </c>
      <c r="J80" t="n">
        <v>1</v>
      </c>
      <c r="K80" t="n">
        <v>1</v>
      </c>
      <c r="L80" t="n">
        <v>0</v>
      </c>
      <c r="M80" t="n">
        <v>0</v>
      </c>
      <c r="N80" t="n">
        <v>0</v>
      </c>
      <c r="O80" t="n">
        <v>2</v>
      </c>
      <c r="P80" t="n">
        <v>1</v>
      </c>
      <c r="Q80" t="n">
        <v>3</v>
      </c>
      <c r="R80" s="2" t="inlineStr">
        <is>
          <t>Grönfink
Backklöver
Trädlärka</t>
        </is>
      </c>
      <c r="S80">
        <f>HYPERLINK("https://klasma.github.io/Logging_0188/artfynd/A 15886-2026 artfynd.xlsx", "A 15886-2026")</f>
        <v/>
      </c>
      <c r="T80">
        <f>HYPERLINK("https://klasma.github.io/Logging_0188/kartor/A 15886-2026 karta.png", "A 15886-2026")</f>
        <v/>
      </c>
      <c r="V80">
        <f>HYPERLINK("https://klasma.github.io/Logging_0188/klagomål/A 15886-2026 FSC-klagomål.docx", "A 15886-2026")</f>
        <v/>
      </c>
      <c r="W80">
        <f>HYPERLINK("https://klasma.github.io/Logging_0188/klagomålsmail/A 15886-2026 FSC-klagomål mail.docx", "A 15886-2026")</f>
        <v/>
      </c>
      <c r="X80">
        <f>HYPERLINK("https://klasma.github.io/Logging_0188/tillsyn/A 15886-2026 tillsynsbegäran.docx", "A 15886-2026")</f>
        <v/>
      </c>
      <c r="Y80">
        <f>HYPERLINK("https://klasma.github.io/Logging_0188/tillsynsmail/A 15886-2026 tillsynsbegäran mail.docx", "A 15886-2026")</f>
        <v/>
      </c>
      <c r="Z80">
        <f>HYPERLINK("https://klasma.github.io/Logging_0188/fåglar/A 15886-2026 prioriterade fågelarter.docx", "A 15886-2026")</f>
        <v/>
      </c>
    </row>
    <row r="81" ht="15" customHeight="1">
      <c r="A81" t="inlineStr">
        <is>
          <t>A 23548-2026</t>
        </is>
      </c>
      <c r="B81" s="1" t="n">
        <v>46163</v>
      </c>
      <c r="C81" s="1" t="n">
        <v>46203</v>
      </c>
      <c r="D81" t="inlineStr">
        <is>
          <t>STOCKHOLMS LÄN</t>
        </is>
      </c>
      <c r="E81" t="inlineStr">
        <is>
          <t>NORRTÄLJE</t>
        </is>
      </c>
      <c r="G81" t="n">
        <v>2.3</v>
      </c>
      <c r="H81" t="n">
        <v>2</v>
      </c>
      <c r="I81" t="n">
        <v>0</v>
      </c>
      <c r="J81" t="n">
        <v>1</v>
      </c>
      <c r="K81" t="n">
        <v>0</v>
      </c>
      <c r="L81" t="n">
        <v>0</v>
      </c>
      <c r="M81" t="n">
        <v>0</v>
      </c>
      <c r="N81" t="n">
        <v>0</v>
      </c>
      <c r="O81" t="n">
        <v>1</v>
      </c>
      <c r="P81" t="n">
        <v>0</v>
      </c>
      <c r="Q81" t="n">
        <v>3</v>
      </c>
      <c r="R81" s="2" t="inlineStr">
        <is>
          <t>Backklöver
Nattviol × grönvit nattviol
Ängsnattviol × grönvit nattviol</t>
        </is>
      </c>
      <c r="S81">
        <f>HYPERLINK("https://klasma.github.io/Logging_0188/artfynd/A 23548-2026 artfynd.xlsx", "A 23548-2026")</f>
        <v/>
      </c>
      <c r="T81">
        <f>HYPERLINK("https://klasma.github.io/Logging_0188/kartor/A 23548-2026 karta.png", "A 23548-2026")</f>
        <v/>
      </c>
      <c r="V81">
        <f>HYPERLINK("https://klasma.github.io/Logging_0188/klagomål/A 23548-2026 FSC-klagomål.docx", "A 23548-2026")</f>
        <v/>
      </c>
      <c r="W81">
        <f>HYPERLINK("https://klasma.github.io/Logging_0188/klagomålsmail/A 23548-2026 FSC-klagomål mail.docx", "A 23548-2026")</f>
        <v/>
      </c>
      <c r="X81">
        <f>HYPERLINK("https://klasma.github.io/Logging_0188/tillsyn/A 23548-2026 tillsynsbegäran.docx", "A 23548-2026")</f>
        <v/>
      </c>
      <c r="Y81">
        <f>HYPERLINK("https://klasma.github.io/Logging_0188/tillsynsmail/A 23548-2026 tillsynsbegäran mail.docx", "A 23548-2026")</f>
        <v/>
      </c>
    </row>
    <row r="82" ht="15" customHeight="1">
      <c r="A82" t="inlineStr">
        <is>
          <t>A 16870-2025</t>
        </is>
      </c>
      <c r="B82" s="1" t="n">
        <v>45754</v>
      </c>
      <c r="C82" s="1" t="n">
        <v>46203</v>
      </c>
      <c r="D82" t="inlineStr">
        <is>
          <t>STOCKHOLMS LÄN</t>
        </is>
      </c>
      <c r="E82" t="inlineStr">
        <is>
          <t>NORRTÄLJE</t>
        </is>
      </c>
      <c r="G82" t="n">
        <v>24.6</v>
      </c>
      <c r="H82" t="n">
        <v>1</v>
      </c>
      <c r="I82" t="n">
        <v>0</v>
      </c>
      <c r="J82" t="n">
        <v>0</v>
      </c>
      <c r="K82" t="n">
        <v>0</v>
      </c>
      <c r="L82" t="n">
        <v>0</v>
      </c>
      <c r="M82" t="n">
        <v>0</v>
      </c>
      <c r="N82" t="n">
        <v>0</v>
      </c>
      <c r="O82" t="n">
        <v>0</v>
      </c>
      <c r="P82" t="n">
        <v>0</v>
      </c>
      <c r="Q82" t="n">
        <v>3</v>
      </c>
      <c r="R82" s="2" t="inlineStr">
        <is>
          <t>Getrams
Kärrviol
Vanlig groda</t>
        </is>
      </c>
      <c r="S82">
        <f>HYPERLINK("https://klasma.github.io/Logging_0188/artfynd/A 16870-2025 artfynd.xlsx", "A 16870-2025")</f>
        <v/>
      </c>
      <c r="T82">
        <f>HYPERLINK("https://klasma.github.io/Logging_0188/kartor/A 16870-2025 karta.png", "A 16870-2025")</f>
        <v/>
      </c>
      <c r="V82">
        <f>HYPERLINK("https://klasma.github.io/Logging_0188/klagomål/A 16870-2025 FSC-klagomål.docx", "A 16870-2025")</f>
        <v/>
      </c>
      <c r="W82">
        <f>HYPERLINK("https://klasma.github.io/Logging_0188/klagomålsmail/A 16870-2025 FSC-klagomål mail.docx", "A 16870-2025")</f>
        <v/>
      </c>
      <c r="X82">
        <f>HYPERLINK("https://klasma.github.io/Logging_0188/tillsyn/A 16870-2025 tillsynsbegäran.docx", "A 16870-2025")</f>
        <v/>
      </c>
      <c r="Y82">
        <f>HYPERLINK("https://klasma.github.io/Logging_0188/tillsynsmail/A 16870-2025 tillsynsbegäran mail.docx", "A 16870-2025")</f>
        <v/>
      </c>
    </row>
    <row r="83" ht="15" customHeight="1">
      <c r="A83" t="inlineStr">
        <is>
          <t>A 33546-2025</t>
        </is>
      </c>
      <c r="B83" s="1" t="n">
        <v>45841</v>
      </c>
      <c r="C83" s="1" t="n">
        <v>46203</v>
      </c>
      <c r="D83" t="inlineStr">
        <is>
          <t>STOCKHOLMS LÄN</t>
        </is>
      </c>
      <c r="E83" t="inlineStr">
        <is>
          <t>NORRTÄLJE</t>
        </is>
      </c>
      <c r="G83" t="n">
        <v>7.2</v>
      </c>
      <c r="H83" t="n">
        <v>1</v>
      </c>
      <c r="I83" t="n">
        <v>3</v>
      </c>
      <c r="J83" t="n">
        <v>0</v>
      </c>
      <c r="K83" t="n">
        <v>0</v>
      </c>
      <c r="L83" t="n">
        <v>0</v>
      </c>
      <c r="M83" t="n">
        <v>0</v>
      </c>
      <c r="N83" t="n">
        <v>0</v>
      </c>
      <c r="O83" t="n">
        <v>0</v>
      </c>
      <c r="P83" t="n">
        <v>0</v>
      </c>
      <c r="Q83" t="n">
        <v>3</v>
      </c>
      <c r="R83" s="2" t="inlineStr">
        <is>
          <t>Fällmossa
Nästrot
Platt fjädermossa</t>
        </is>
      </c>
      <c r="S83">
        <f>HYPERLINK("https://klasma.github.io/Logging_0188/artfynd/A 33546-2025 artfynd.xlsx", "A 33546-2025")</f>
        <v/>
      </c>
      <c r="T83">
        <f>HYPERLINK("https://klasma.github.io/Logging_0188/kartor/A 33546-2025 karta.png", "A 33546-2025")</f>
        <v/>
      </c>
      <c r="V83">
        <f>HYPERLINK("https://klasma.github.io/Logging_0188/klagomål/A 33546-2025 FSC-klagomål.docx", "A 33546-2025")</f>
        <v/>
      </c>
      <c r="W83">
        <f>HYPERLINK("https://klasma.github.io/Logging_0188/klagomålsmail/A 33546-2025 FSC-klagomål mail.docx", "A 33546-2025")</f>
        <v/>
      </c>
      <c r="X83">
        <f>HYPERLINK("https://klasma.github.io/Logging_0188/tillsyn/A 33546-2025 tillsynsbegäran.docx", "A 33546-2025")</f>
        <v/>
      </c>
      <c r="Y83">
        <f>HYPERLINK("https://klasma.github.io/Logging_0188/tillsynsmail/A 33546-2025 tillsynsbegäran mail.docx", "A 33546-2025")</f>
        <v/>
      </c>
    </row>
    <row r="84" ht="15" customHeight="1">
      <c r="A84" t="inlineStr">
        <is>
          <t>A 26399-2026</t>
        </is>
      </c>
      <c r="B84" s="1" t="n">
        <v>46183</v>
      </c>
      <c r="C84" s="1" t="n">
        <v>46203</v>
      </c>
      <c r="D84" t="inlineStr">
        <is>
          <t>STOCKHOLMS LÄN</t>
        </is>
      </c>
      <c r="E84" t="inlineStr">
        <is>
          <t>NORRTÄLJE</t>
        </is>
      </c>
      <c r="G84" t="n">
        <v>7.4</v>
      </c>
      <c r="H84" t="n">
        <v>1</v>
      </c>
      <c r="I84" t="n">
        <v>1</v>
      </c>
      <c r="J84" t="n">
        <v>1</v>
      </c>
      <c r="K84" t="n">
        <v>0</v>
      </c>
      <c r="L84" t="n">
        <v>1</v>
      </c>
      <c r="M84" t="n">
        <v>0</v>
      </c>
      <c r="N84" t="n">
        <v>0</v>
      </c>
      <c r="O84" t="n">
        <v>2</v>
      </c>
      <c r="P84" t="n">
        <v>1</v>
      </c>
      <c r="Q84" t="n">
        <v>3</v>
      </c>
      <c r="R84" s="2" t="inlineStr">
        <is>
          <t>Asknätfjäril
Spinnfingersvamp
Stor aspticka</t>
        </is>
      </c>
      <c r="S84">
        <f>HYPERLINK("https://klasma.github.io/Logging_0188/artfynd/A 26399-2026 artfynd.xlsx", "A 26399-2026")</f>
        <v/>
      </c>
      <c r="T84">
        <f>HYPERLINK("https://klasma.github.io/Logging_0188/kartor/A 26399-2026 karta.png", "A 26399-2026")</f>
        <v/>
      </c>
      <c r="V84">
        <f>HYPERLINK("https://klasma.github.io/Logging_0188/klagomål/A 26399-2026 FSC-klagomål.docx", "A 26399-2026")</f>
        <v/>
      </c>
      <c r="W84">
        <f>HYPERLINK("https://klasma.github.io/Logging_0188/klagomålsmail/A 26399-2026 FSC-klagomål mail.docx", "A 26399-2026")</f>
        <v/>
      </c>
      <c r="X84">
        <f>HYPERLINK("https://klasma.github.io/Logging_0188/tillsyn/A 26399-2026 tillsynsbegäran.docx", "A 26399-2026")</f>
        <v/>
      </c>
      <c r="Y84">
        <f>HYPERLINK("https://klasma.github.io/Logging_0188/tillsynsmail/A 26399-2026 tillsynsbegäran mail.docx", "A 26399-2026")</f>
        <v/>
      </c>
    </row>
    <row r="85" ht="15" customHeight="1">
      <c r="A85" t="inlineStr">
        <is>
          <t>A 26525-2026</t>
        </is>
      </c>
      <c r="B85" s="1" t="n">
        <v>46183</v>
      </c>
      <c r="C85" s="1" t="n">
        <v>46203</v>
      </c>
      <c r="D85" t="inlineStr">
        <is>
          <t>STOCKHOLMS LÄN</t>
        </is>
      </c>
      <c r="E85" t="inlineStr">
        <is>
          <t>NORRTÄLJE</t>
        </is>
      </c>
      <c r="G85" t="n">
        <v>2.4</v>
      </c>
      <c r="H85" t="n">
        <v>0</v>
      </c>
      <c r="I85" t="n">
        <v>1</v>
      </c>
      <c r="J85" t="n">
        <v>2</v>
      </c>
      <c r="K85" t="n">
        <v>0</v>
      </c>
      <c r="L85" t="n">
        <v>0</v>
      </c>
      <c r="M85" t="n">
        <v>0</v>
      </c>
      <c r="N85" t="n">
        <v>0</v>
      </c>
      <c r="O85" t="n">
        <v>2</v>
      </c>
      <c r="P85" t="n">
        <v>0</v>
      </c>
      <c r="Q85" t="n">
        <v>3</v>
      </c>
      <c r="R85" s="2" t="inlineStr">
        <is>
          <t>Fjällig taggsvamp s.str.
Skarp dropptaggsvamp
Olivspindling</t>
        </is>
      </c>
      <c r="S85">
        <f>HYPERLINK("https://klasma.github.io/Logging_0188/artfynd/A 26525-2026 artfynd.xlsx", "A 26525-2026")</f>
        <v/>
      </c>
      <c r="T85">
        <f>HYPERLINK("https://klasma.github.io/Logging_0188/kartor/A 26525-2026 karta.png", "A 26525-2026")</f>
        <v/>
      </c>
      <c r="V85">
        <f>HYPERLINK("https://klasma.github.io/Logging_0188/klagomål/A 26525-2026 FSC-klagomål.docx", "A 26525-2026")</f>
        <v/>
      </c>
      <c r="W85">
        <f>HYPERLINK("https://klasma.github.io/Logging_0188/klagomålsmail/A 26525-2026 FSC-klagomål mail.docx", "A 26525-2026")</f>
        <v/>
      </c>
      <c r="X85">
        <f>HYPERLINK("https://klasma.github.io/Logging_0188/tillsyn/A 26525-2026 tillsynsbegäran.docx", "A 26525-2026")</f>
        <v/>
      </c>
      <c r="Y85">
        <f>HYPERLINK("https://klasma.github.io/Logging_0188/tillsynsmail/A 26525-2026 tillsynsbegäran mail.docx", "A 26525-2026")</f>
        <v/>
      </c>
    </row>
    <row r="86" ht="15" customHeight="1">
      <c r="A86" t="inlineStr">
        <is>
          <t>A 19829-2022</t>
        </is>
      </c>
      <c r="B86" s="1" t="n">
        <v>44695</v>
      </c>
      <c r="C86" s="1" t="n">
        <v>46203</v>
      </c>
      <c r="D86" t="inlineStr">
        <is>
          <t>STOCKHOLMS LÄN</t>
        </is>
      </c>
      <c r="E86" t="inlineStr">
        <is>
          <t>NORRTÄLJE</t>
        </is>
      </c>
      <c r="G86" t="n">
        <v>2</v>
      </c>
      <c r="H86" t="n">
        <v>3</v>
      </c>
      <c r="I86" t="n">
        <v>3</v>
      </c>
      <c r="J86" t="n">
        <v>0</v>
      </c>
      <c r="K86" t="n">
        <v>0</v>
      </c>
      <c r="L86" t="n">
        <v>0</v>
      </c>
      <c r="M86" t="n">
        <v>0</v>
      </c>
      <c r="N86" t="n">
        <v>0</v>
      </c>
      <c r="O86" t="n">
        <v>0</v>
      </c>
      <c r="P86" t="n">
        <v>0</v>
      </c>
      <c r="Q86" t="n">
        <v>3</v>
      </c>
      <c r="R86" s="2" t="inlineStr">
        <is>
          <t>Guckusko
Skogsknipprot
Tvåblad</t>
        </is>
      </c>
      <c r="S86">
        <f>HYPERLINK("https://klasma.github.io/Logging_0188/artfynd/A 19829-2022 artfynd.xlsx", "A 19829-2022")</f>
        <v/>
      </c>
      <c r="T86">
        <f>HYPERLINK("https://klasma.github.io/Logging_0188/kartor/A 19829-2022 karta.png", "A 19829-2022")</f>
        <v/>
      </c>
      <c r="V86">
        <f>HYPERLINK("https://klasma.github.io/Logging_0188/klagomål/A 19829-2022 FSC-klagomål.docx", "A 19829-2022")</f>
        <v/>
      </c>
      <c r="W86">
        <f>HYPERLINK("https://klasma.github.io/Logging_0188/klagomålsmail/A 19829-2022 FSC-klagomål mail.docx", "A 19829-2022")</f>
        <v/>
      </c>
      <c r="X86">
        <f>HYPERLINK("https://klasma.github.io/Logging_0188/tillsyn/A 19829-2022 tillsynsbegäran.docx", "A 19829-2022")</f>
        <v/>
      </c>
      <c r="Y86">
        <f>HYPERLINK("https://klasma.github.io/Logging_0188/tillsynsmail/A 19829-2022 tillsynsbegäran mail.docx", "A 19829-2022")</f>
        <v/>
      </c>
    </row>
    <row r="87" ht="15" customHeight="1">
      <c r="A87" t="inlineStr">
        <is>
          <t>A 52360-2024</t>
        </is>
      </c>
      <c r="B87" s="1" t="n">
        <v>45609</v>
      </c>
      <c r="C87" s="1" t="n">
        <v>46203</v>
      </c>
      <c r="D87" t="inlineStr">
        <is>
          <t>STOCKHOLMS LÄN</t>
        </is>
      </c>
      <c r="E87" t="inlineStr">
        <is>
          <t>NORRTÄLJE</t>
        </is>
      </c>
      <c r="G87" t="n">
        <v>2.2</v>
      </c>
      <c r="H87" t="n">
        <v>2</v>
      </c>
      <c r="I87" t="n">
        <v>1</v>
      </c>
      <c r="J87" t="n">
        <v>0</v>
      </c>
      <c r="K87" t="n">
        <v>0</v>
      </c>
      <c r="L87" t="n">
        <v>0</v>
      </c>
      <c r="M87" t="n">
        <v>0</v>
      </c>
      <c r="N87" t="n">
        <v>0</v>
      </c>
      <c r="O87" t="n">
        <v>0</v>
      </c>
      <c r="P87" t="n">
        <v>0</v>
      </c>
      <c r="Q87" t="n">
        <v>3</v>
      </c>
      <c r="R87" s="2" t="inlineStr">
        <is>
          <t>Brandticka
Blåsippa
Revlummer</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50618-2022</t>
        </is>
      </c>
      <c r="B88" s="1" t="n">
        <v>44866</v>
      </c>
      <c r="C88" s="1" t="n">
        <v>46203</v>
      </c>
      <c r="D88" t="inlineStr">
        <is>
          <t>STOCKHOLMS LÄN</t>
        </is>
      </c>
      <c r="E88" t="inlineStr">
        <is>
          <t>NORRTÄLJE</t>
        </is>
      </c>
      <c r="G88" t="n">
        <v>7.8</v>
      </c>
      <c r="H88" t="n">
        <v>2</v>
      </c>
      <c r="I88" t="n">
        <v>1</v>
      </c>
      <c r="J88" t="n">
        <v>1</v>
      </c>
      <c r="K88" t="n">
        <v>0</v>
      </c>
      <c r="L88" t="n">
        <v>0</v>
      </c>
      <c r="M88" t="n">
        <v>0</v>
      </c>
      <c r="N88" t="n">
        <v>0</v>
      </c>
      <c r="O88" t="n">
        <v>1</v>
      </c>
      <c r="P88" t="n">
        <v>0</v>
      </c>
      <c r="Q88" t="n">
        <v>3</v>
      </c>
      <c r="R88" s="2" t="inlineStr">
        <is>
          <t>Vårärt
Skogsknipprot
Blåsippa</t>
        </is>
      </c>
      <c r="S88">
        <f>HYPERLINK("https://klasma.github.io/Logging_0188/artfynd/A 50618-2022 artfynd.xlsx", "A 50618-2022")</f>
        <v/>
      </c>
      <c r="T88">
        <f>HYPERLINK("https://klasma.github.io/Logging_0188/kartor/A 50618-2022 karta.png", "A 50618-2022")</f>
        <v/>
      </c>
      <c r="V88">
        <f>HYPERLINK("https://klasma.github.io/Logging_0188/klagomål/A 50618-2022 FSC-klagomål.docx", "A 50618-2022")</f>
        <v/>
      </c>
      <c r="W88">
        <f>HYPERLINK("https://klasma.github.io/Logging_0188/klagomålsmail/A 50618-2022 FSC-klagomål mail.docx", "A 50618-2022")</f>
        <v/>
      </c>
      <c r="X88">
        <f>HYPERLINK("https://klasma.github.io/Logging_0188/tillsyn/A 50618-2022 tillsynsbegäran.docx", "A 50618-2022")</f>
        <v/>
      </c>
      <c r="Y88">
        <f>HYPERLINK("https://klasma.github.io/Logging_0188/tillsynsmail/A 50618-2022 tillsynsbegäran mail.docx", "A 50618-2022")</f>
        <v/>
      </c>
    </row>
    <row r="89" ht="15" customHeight="1">
      <c r="A89" t="inlineStr">
        <is>
          <t>A 14365-2025</t>
        </is>
      </c>
      <c r="B89" s="1" t="n">
        <v>45741</v>
      </c>
      <c r="C89" s="1" t="n">
        <v>46203</v>
      </c>
      <c r="D89" t="inlineStr">
        <is>
          <t>STOCKHOLMS LÄN</t>
        </is>
      </c>
      <c r="E89" t="inlineStr">
        <is>
          <t>NORRTÄLJE</t>
        </is>
      </c>
      <c r="G89" t="n">
        <v>2.4</v>
      </c>
      <c r="H89" t="n">
        <v>1</v>
      </c>
      <c r="I89" t="n">
        <v>1</v>
      </c>
      <c r="J89" t="n">
        <v>2</v>
      </c>
      <c r="K89" t="n">
        <v>0</v>
      </c>
      <c r="L89" t="n">
        <v>0</v>
      </c>
      <c r="M89" t="n">
        <v>0</v>
      </c>
      <c r="N89" t="n">
        <v>0</v>
      </c>
      <c r="O89" t="n">
        <v>2</v>
      </c>
      <c r="P89" t="n">
        <v>0</v>
      </c>
      <c r="Q89" t="n">
        <v>3</v>
      </c>
      <c r="R89" s="2" t="inlineStr">
        <is>
          <t>Adam och eva
Jungfrulin
Underviol</t>
        </is>
      </c>
      <c r="S89">
        <f>HYPERLINK("https://klasma.github.io/Logging_0188/artfynd/A 14365-2025 artfynd.xlsx", "A 14365-2025")</f>
        <v/>
      </c>
      <c r="T89">
        <f>HYPERLINK("https://klasma.github.io/Logging_0188/kartor/A 14365-2025 karta.png", "A 14365-2025")</f>
        <v/>
      </c>
      <c r="V89">
        <f>HYPERLINK("https://klasma.github.io/Logging_0188/klagomål/A 14365-2025 FSC-klagomål.docx", "A 14365-2025")</f>
        <v/>
      </c>
      <c r="W89">
        <f>HYPERLINK("https://klasma.github.io/Logging_0188/klagomålsmail/A 14365-2025 FSC-klagomål mail.docx", "A 14365-2025")</f>
        <v/>
      </c>
      <c r="X89">
        <f>HYPERLINK("https://klasma.github.io/Logging_0188/tillsyn/A 14365-2025 tillsynsbegäran.docx", "A 14365-2025")</f>
        <v/>
      </c>
      <c r="Y89">
        <f>HYPERLINK("https://klasma.github.io/Logging_0188/tillsynsmail/A 14365-2025 tillsynsbegäran mail.docx", "A 14365-2025")</f>
        <v/>
      </c>
    </row>
    <row r="90" ht="15" customHeight="1">
      <c r="A90" t="inlineStr">
        <is>
          <t>A 31281-2022</t>
        </is>
      </c>
      <c r="B90" s="1" t="n">
        <v>44771</v>
      </c>
      <c r="C90" s="1" t="n">
        <v>46203</v>
      </c>
      <c r="D90" t="inlineStr">
        <is>
          <t>STOCKHOLMS LÄN</t>
        </is>
      </c>
      <c r="E90" t="inlineStr">
        <is>
          <t>NORRTÄLJE</t>
        </is>
      </c>
      <c r="F90" t="inlineStr">
        <is>
          <t>Holmen skog AB</t>
        </is>
      </c>
      <c r="G90" t="n">
        <v>5.2</v>
      </c>
      <c r="H90" t="n">
        <v>3</v>
      </c>
      <c r="I90" t="n">
        <v>0</v>
      </c>
      <c r="J90" t="n">
        <v>0</v>
      </c>
      <c r="K90" t="n">
        <v>0</v>
      </c>
      <c r="L90" t="n">
        <v>0</v>
      </c>
      <c r="M90" t="n">
        <v>0</v>
      </c>
      <c r="N90" t="n">
        <v>0</v>
      </c>
      <c r="O90" t="n">
        <v>0</v>
      </c>
      <c r="P90" t="n">
        <v>0</v>
      </c>
      <c r="Q90" t="n">
        <v>3</v>
      </c>
      <c r="R90" s="2" t="inlineStr">
        <is>
          <t>Nattskärra
Kråka
Näktergal</t>
        </is>
      </c>
      <c r="S90">
        <f>HYPERLINK("https://klasma.github.io/Logging_0188/artfynd/A 31281-2022 artfynd.xlsx", "A 31281-2022")</f>
        <v/>
      </c>
      <c r="T90">
        <f>HYPERLINK("https://klasma.github.io/Logging_0188/kartor/A 31281-2022 karta.png", "A 31281-2022")</f>
        <v/>
      </c>
      <c r="V90">
        <f>HYPERLINK("https://klasma.github.io/Logging_0188/klagomål/A 31281-2022 FSC-klagomål.docx", "A 31281-2022")</f>
        <v/>
      </c>
      <c r="W90">
        <f>HYPERLINK("https://klasma.github.io/Logging_0188/klagomålsmail/A 31281-2022 FSC-klagomål mail.docx", "A 31281-2022")</f>
        <v/>
      </c>
      <c r="X90">
        <f>HYPERLINK("https://klasma.github.io/Logging_0188/tillsyn/A 31281-2022 tillsynsbegäran.docx", "A 31281-2022")</f>
        <v/>
      </c>
      <c r="Y90">
        <f>HYPERLINK("https://klasma.github.io/Logging_0188/tillsynsmail/A 31281-2022 tillsynsbegäran mail.docx", "A 31281-2022")</f>
        <v/>
      </c>
      <c r="Z90">
        <f>HYPERLINK("https://klasma.github.io/Logging_0188/fåglar/A 31281-2022 prioriterade fågelarter.docx", "A 31281-2022")</f>
        <v/>
      </c>
    </row>
    <row r="91" ht="15" customHeight="1">
      <c r="A91" t="inlineStr">
        <is>
          <t>A 27827-2022</t>
        </is>
      </c>
      <c r="B91" s="1" t="n">
        <v>44743</v>
      </c>
      <c r="C91" s="1" t="n">
        <v>46203</v>
      </c>
      <c r="D91" t="inlineStr">
        <is>
          <t>STOCKHOLMS LÄN</t>
        </is>
      </c>
      <c r="E91" t="inlineStr">
        <is>
          <t>NORRTÄLJE</t>
        </is>
      </c>
      <c r="F91" t="inlineStr">
        <is>
          <t>Holmen skog AB</t>
        </is>
      </c>
      <c r="G91" t="n">
        <v>4.7</v>
      </c>
      <c r="H91" t="n">
        <v>1</v>
      </c>
      <c r="I91" t="n">
        <v>0</v>
      </c>
      <c r="J91" t="n">
        <v>2</v>
      </c>
      <c r="K91" t="n">
        <v>0</v>
      </c>
      <c r="L91" t="n">
        <v>1</v>
      </c>
      <c r="M91" t="n">
        <v>0</v>
      </c>
      <c r="N91" t="n">
        <v>0</v>
      </c>
      <c r="O91" t="n">
        <v>3</v>
      </c>
      <c r="P91" t="n">
        <v>1</v>
      </c>
      <c r="Q91" t="n">
        <v>3</v>
      </c>
      <c r="R91" s="2" t="inlineStr">
        <is>
          <t>Ask
Berggräsfjäril
Nordfladdermus</t>
        </is>
      </c>
      <c r="S91">
        <f>HYPERLINK("https://klasma.github.io/Logging_0188/artfynd/A 27827-2022 artfynd.xlsx", "A 27827-2022")</f>
        <v/>
      </c>
      <c r="T91">
        <f>HYPERLINK("https://klasma.github.io/Logging_0188/kartor/A 27827-2022 karta.png", "A 27827-2022")</f>
        <v/>
      </c>
      <c r="V91">
        <f>HYPERLINK("https://klasma.github.io/Logging_0188/klagomål/A 27827-2022 FSC-klagomål.docx", "A 27827-2022")</f>
        <v/>
      </c>
      <c r="W91">
        <f>HYPERLINK("https://klasma.github.io/Logging_0188/klagomålsmail/A 27827-2022 FSC-klagomål mail.docx", "A 27827-2022")</f>
        <v/>
      </c>
      <c r="X91">
        <f>HYPERLINK("https://klasma.github.io/Logging_0188/tillsyn/A 27827-2022 tillsynsbegäran.docx", "A 27827-2022")</f>
        <v/>
      </c>
      <c r="Y91">
        <f>HYPERLINK("https://klasma.github.io/Logging_0188/tillsynsmail/A 27827-2022 tillsynsbegäran mail.docx", "A 27827-2022")</f>
        <v/>
      </c>
    </row>
    <row r="92" ht="15" customHeight="1">
      <c r="A92" t="inlineStr">
        <is>
          <t>A 5351-2022</t>
        </is>
      </c>
      <c r="B92" s="1" t="n">
        <v>44594</v>
      </c>
      <c r="C92" s="1" t="n">
        <v>46203</v>
      </c>
      <c r="D92" t="inlineStr">
        <is>
          <t>STOCKHOLMS LÄN</t>
        </is>
      </c>
      <c r="E92" t="inlineStr">
        <is>
          <t>NORRTÄLJE</t>
        </is>
      </c>
      <c r="G92" t="n">
        <v>4</v>
      </c>
      <c r="H92" t="n">
        <v>1</v>
      </c>
      <c r="I92" t="n">
        <v>0</v>
      </c>
      <c r="J92" t="n">
        <v>0</v>
      </c>
      <c r="K92" t="n">
        <v>0</v>
      </c>
      <c r="L92" t="n">
        <v>1</v>
      </c>
      <c r="M92" t="n">
        <v>0</v>
      </c>
      <c r="N92" t="n">
        <v>0</v>
      </c>
      <c r="O92" t="n">
        <v>1</v>
      </c>
      <c r="P92" t="n">
        <v>1</v>
      </c>
      <c r="Q92" t="n">
        <v>2</v>
      </c>
      <c r="R92" s="2" t="inlineStr">
        <is>
          <t>Ask
Gullviva</t>
        </is>
      </c>
      <c r="S92">
        <f>HYPERLINK("https://klasma.github.io/Logging_0188/artfynd/A 5351-2022 artfynd.xlsx", "A 5351-2022")</f>
        <v/>
      </c>
      <c r="T92">
        <f>HYPERLINK("https://klasma.github.io/Logging_0188/kartor/A 5351-2022 karta.png", "A 5351-2022")</f>
        <v/>
      </c>
      <c r="V92">
        <f>HYPERLINK("https://klasma.github.io/Logging_0188/klagomål/A 5351-2022 FSC-klagomål.docx", "A 5351-2022")</f>
        <v/>
      </c>
      <c r="W92">
        <f>HYPERLINK("https://klasma.github.io/Logging_0188/klagomålsmail/A 5351-2022 FSC-klagomål mail.docx", "A 5351-2022")</f>
        <v/>
      </c>
      <c r="X92">
        <f>HYPERLINK("https://klasma.github.io/Logging_0188/tillsyn/A 5351-2022 tillsynsbegäran.docx", "A 5351-2022")</f>
        <v/>
      </c>
      <c r="Y92">
        <f>HYPERLINK("https://klasma.github.io/Logging_0188/tillsynsmail/A 5351-2022 tillsynsbegäran mail.docx", "A 5351-2022")</f>
        <v/>
      </c>
    </row>
    <row r="93" ht="15" customHeight="1">
      <c r="A93" t="inlineStr">
        <is>
          <t>A 53884-2022</t>
        </is>
      </c>
      <c r="B93" s="1" t="n">
        <v>44880</v>
      </c>
      <c r="C93" s="1" t="n">
        <v>46203</v>
      </c>
      <c r="D93" t="inlineStr">
        <is>
          <t>STOCKHOLMS LÄN</t>
        </is>
      </c>
      <c r="E93" t="inlineStr">
        <is>
          <t>NORRTÄLJE</t>
        </is>
      </c>
      <c r="G93" t="n">
        <v>0.6</v>
      </c>
      <c r="H93" t="n">
        <v>0</v>
      </c>
      <c r="I93" t="n">
        <v>0</v>
      </c>
      <c r="J93" t="n">
        <v>1</v>
      </c>
      <c r="K93" t="n">
        <v>1</v>
      </c>
      <c r="L93" t="n">
        <v>0</v>
      </c>
      <c r="M93" t="n">
        <v>0</v>
      </c>
      <c r="N93" t="n">
        <v>0</v>
      </c>
      <c r="O93" t="n">
        <v>2</v>
      </c>
      <c r="P93" t="n">
        <v>1</v>
      </c>
      <c r="Q93" t="n">
        <v>2</v>
      </c>
      <c r="R93" s="2" t="inlineStr">
        <is>
          <t>Hartmansstarr
Backklöver</t>
        </is>
      </c>
      <c r="S93">
        <f>HYPERLINK("https://klasma.github.io/Logging_0188/artfynd/A 53884-2022 artfynd.xlsx", "A 53884-2022")</f>
        <v/>
      </c>
      <c r="T93">
        <f>HYPERLINK("https://klasma.github.io/Logging_0188/kartor/A 53884-2022 karta.png", "A 53884-2022")</f>
        <v/>
      </c>
      <c r="V93">
        <f>HYPERLINK("https://klasma.github.io/Logging_0188/klagomål/A 53884-2022 FSC-klagomål.docx", "A 53884-2022")</f>
        <v/>
      </c>
      <c r="W93">
        <f>HYPERLINK("https://klasma.github.io/Logging_0188/klagomålsmail/A 53884-2022 FSC-klagomål mail.docx", "A 53884-2022")</f>
        <v/>
      </c>
      <c r="X93">
        <f>HYPERLINK("https://klasma.github.io/Logging_0188/tillsyn/A 53884-2022 tillsynsbegäran.docx", "A 53884-2022")</f>
        <v/>
      </c>
      <c r="Y93">
        <f>HYPERLINK("https://klasma.github.io/Logging_0188/tillsynsmail/A 53884-2022 tillsynsbegäran mail.docx", "A 53884-2022")</f>
        <v/>
      </c>
    </row>
    <row r="94" ht="15" customHeight="1">
      <c r="A94" t="inlineStr">
        <is>
          <t>A 62030-2021</t>
        </is>
      </c>
      <c r="B94" s="1" t="n">
        <v>44502</v>
      </c>
      <c r="C94" s="1" t="n">
        <v>46203</v>
      </c>
      <c r="D94" t="inlineStr">
        <is>
          <t>STOCKHOLMS LÄN</t>
        </is>
      </c>
      <c r="E94" t="inlineStr">
        <is>
          <t>NORRTÄLJE</t>
        </is>
      </c>
      <c r="G94" t="n">
        <v>4.7</v>
      </c>
      <c r="H94" t="n">
        <v>2</v>
      </c>
      <c r="I94" t="n">
        <v>1</v>
      </c>
      <c r="J94" t="n">
        <v>0</v>
      </c>
      <c r="K94" t="n">
        <v>0</v>
      </c>
      <c r="L94" t="n">
        <v>0</v>
      </c>
      <c r="M94" t="n">
        <v>0</v>
      </c>
      <c r="N94" t="n">
        <v>0</v>
      </c>
      <c r="O94" t="n">
        <v>0</v>
      </c>
      <c r="P94" t="n">
        <v>0</v>
      </c>
      <c r="Q94" t="n">
        <v>2</v>
      </c>
      <c r="R94" s="2" t="inlineStr">
        <is>
          <t>Tvåblad
Slaguggla</t>
        </is>
      </c>
      <c r="S94">
        <f>HYPERLINK("https://klasma.github.io/Logging_0188/artfynd/A 62030-2021 artfynd.xlsx", "A 62030-2021")</f>
        <v/>
      </c>
      <c r="T94">
        <f>HYPERLINK("https://klasma.github.io/Logging_0188/kartor/A 62030-2021 karta.png", "A 62030-2021")</f>
        <v/>
      </c>
      <c r="V94">
        <f>HYPERLINK("https://klasma.github.io/Logging_0188/klagomål/A 62030-2021 FSC-klagomål.docx", "A 62030-2021")</f>
        <v/>
      </c>
      <c r="W94">
        <f>HYPERLINK("https://klasma.github.io/Logging_0188/klagomålsmail/A 62030-2021 FSC-klagomål mail.docx", "A 62030-2021")</f>
        <v/>
      </c>
      <c r="X94">
        <f>HYPERLINK("https://klasma.github.io/Logging_0188/tillsyn/A 62030-2021 tillsynsbegäran.docx", "A 62030-2021")</f>
        <v/>
      </c>
      <c r="Y94">
        <f>HYPERLINK("https://klasma.github.io/Logging_0188/tillsynsmail/A 62030-2021 tillsynsbegäran mail.docx", "A 62030-2021")</f>
        <v/>
      </c>
      <c r="Z94">
        <f>HYPERLINK("https://klasma.github.io/Logging_0188/fåglar/A 62030-2021 prioriterade fågelarter.docx", "A 62030-2021")</f>
        <v/>
      </c>
    </row>
    <row r="95" ht="15" customHeight="1">
      <c r="A95" t="inlineStr">
        <is>
          <t>A 41823-2021</t>
        </is>
      </c>
      <c r="B95" s="1" t="n">
        <v>44425</v>
      </c>
      <c r="C95" s="1" t="n">
        <v>46203</v>
      </c>
      <c r="D95" t="inlineStr">
        <is>
          <t>STOCKHOLMS LÄN</t>
        </is>
      </c>
      <c r="E95" t="inlineStr">
        <is>
          <t>NORRTÄLJE</t>
        </is>
      </c>
      <c r="G95" t="n">
        <v>2.4</v>
      </c>
      <c r="H95" t="n">
        <v>0</v>
      </c>
      <c r="I95" t="n">
        <v>0</v>
      </c>
      <c r="J95" t="n">
        <v>1</v>
      </c>
      <c r="K95" t="n">
        <v>1</v>
      </c>
      <c r="L95" t="n">
        <v>0</v>
      </c>
      <c r="M95" t="n">
        <v>0</v>
      </c>
      <c r="N95" t="n">
        <v>0</v>
      </c>
      <c r="O95" t="n">
        <v>2</v>
      </c>
      <c r="P95" t="n">
        <v>1</v>
      </c>
      <c r="Q95" t="n">
        <v>2</v>
      </c>
      <c r="R95" s="2" t="inlineStr">
        <is>
          <t>Fläckfingersvamp
Orange taggsvamp</t>
        </is>
      </c>
      <c r="S95">
        <f>HYPERLINK("https://klasma.github.io/Logging_0188/artfynd/A 41823-2021 artfynd.xlsx", "A 41823-2021")</f>
        <v/>
      </c>
      <c r="T95">
        <f>HYPERLINK("https://klasma.github.io/Logging_0188/kartor/A 41823-2021 karta.png", "A 41823-2021")</f>
        <v/>
      </c>
      <c r="V95">
        <f>HYPERLINK("https://klasma.github.io/Logging_0188/klagomål/A 41823-2021 FSC-klagomål.docx", "A 41823-2021")</f>
        <v/>
      </c>
      <c r="W95">
        <f>HYPERLINK("https://klasma.github.io/Logging_0188/klagomålsmail/A 41823-2021 FSC-klagomål mail.docx", "A 41823-2021")</f>
        <v/>
      </c>
      <c r="X95">
        <f>HYPERLINK("https://klasma.github.io/Logging_0188/tillsyn/A 41823-2021 tillsynsbegäran.docx", "A 41823-2021")</f>
        <v/>
      </c>
      <c r="Y95">
        <f>HYPERLINK("https://klasma.github.io/Logging_0188/tillsynsmail/A 41823-2021 tillsynsbegäran mail.docx", "A 41823-2021")</f>
        <v/>
      </c>
    </row>
    <row r="96" ht="15" customHeight="1">
      <c r="A96" t="inlineStr">
        <is>
          <t>A 38991-2022</t>
        </is>
      </c>
      <c r="B96" s="1" t="n">
        <v>44816</v>
      </c>
      <c r="C96" s="1" t="n">
        <v>46203</v>
      </c>
      <c r="D96" t="inlineStr">
        <is>
          <t>STOCKHOLMS LÄN</t>
        </is>
      </c>
      <c r="E96" t="inlineStr">
        <is>
          <t>NORRTÄLJE</t>
        </is>
      </c>
      <c r="G96" t="n">
        <v>1.9</v>
      </c>
      <c r="H96" t="n">
        <v>0</v>
      </c>
      <c r="I96" t="n">
        <v>2</v>
      </c>
      <c r="J96" t="n">
        <v>0</v>
      </c>
      <c r="K96" t="n">
        <v>0</v>
      </c>
      <c r="L96" t="n">
        <v>0</v>
      </c>
      <c r="M96" t="n">
        <v>0</v>
      </c>
      <c r="N96" t="n">
        <v>0</v>
      </c>
      <c r="O96" t="n">
        <v>0</v>
      </c>
      <c r="P96" t="n">
        <v>0</v>
      </c>
      <c r="Q96" t="n">
        <v>2</v>
      </c>
      <c r="R96" s="2" t="inlineStr">
        <is>
          <t>Bronshjon
Grovticka</t>
        </is>
      </c>
      <c r="S96">
        <f>HYPERLINK("https://klasma.github.io/Logging_0188/artfynd/A 38991-2022 artfynd.xlsx", "A 38991-2022")</f>
        <v/>
      </c>
      <c r="T96">
        <f>HYPERLINK("https://klasma.github.io/Logging_0188/kartor/A 38991-2022 karta.png", "A 38991-2022")</f>
        <v/>
      </c>
      <c r="V96">
        <f>HYPERLINK("https://klasma.github.io/Logging_0188/klagomål/A 38991-2022 FSC-klagomål.docx", "A 38991-2022")</f>
        <v/>
      </c>
      <c r="W96">
        <f>HYPERLINK("https://klasma.github.io/Logging_0188/klagomålsmail/A 38991-2022 FSC-klagomål mail.docx", "A 38991-2022")</f>
        <v/>
      </c>
      <c r="X96">
        <f>HYPERLINK("https://klasma.github.io/Logging_0188/tillsyn/A 38991-2022 tillsynsbegäran.docx", "A 38991-2022")</f>
        <v/>
      </c>
      <c r="Y96">
        <f>HYPERLINK("https://klasma.github.io/Logging_0188/tillsynsmail/A 38991-2022 tillsynsbegäran mail.docx", "A 38991-2022")</f>
        <v/>
      </c>
    </row>
    <row r="97" ht="15" customHeight="1">
      <c r="A97" t="inlineStr">
        <is>
          <t>A 51220-2023</t>
        </is>
      </c>
      <c r="B97" s="1" t="n">
        <v>45219</v>
      </c>
      <c r="C97" s="1" t="n">
        <v>46203</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50097-2025</t>
        </is>
      </c>
      <c r="B98" s="1" t="n">
        <v>45943</v>
      </c>
      <c r="C98" s="1" t="n">
        <v>46203</v>
      </c>
      <c r="D98" t="inlineStr">
        <is>
          <t>STOCKHOLMS LÄN</t>
        </is>
      </c>
      <c r="E98" t="inlineStr">
        <is>
          <t>NORRTÄLJE</t>
        </is>
      </c>
      <c r="F98" t="inlineStr">
        <is>
          <t>Holmen skog AB</t>
        </is>
      </c>
      <c r="G98" t="n">
        <v>12</v>
      </c>
      <c r="H98" t="n">
        <v>1</v>
      </c>
      <c r="I98" t="n">
        <v>0</v>
      </c>
      <c r="J98" t="n">
        <v>1</v>
      </c>
      <c r="K98" t="n">
        <v>0</v>
      </c>
      <c r="L98" t="n">
        <v>1</v>
      </c>
      <c r="M98" t="n">
        <v>0</v>
      </c>
      <c r="N98" t="n">
        <v>0</v>
      </c>
      <c r="O98" t="n">
        <v>2</v>
      </c>
      <c r="P98" t="n">
        <v>1</v>
      </c>
      <c r="Q98" t="n">
        <v>2</v>
      </c>
      <c r="R98" s="2" t="inlineStr">
        <is>
          <t>Asknätfjäril
Kattfotslav</t>
        </is>
      </c>
      <c r="S98">
        <f>HYPERLINK("https://klasma.github.io/Logging_0188/artfynd/A 50097-2025 artfynd.xlsx", "A 50097-2025")</f>
        <v/>
      </c>
      <c r="T98">
        <f>HYPERLINK("https://klasma.github.io/Logging_0188/kartor/A 50097-2025 karta.png", "A 50097-2025")</f>
        <v/>
      </c>
      <c r="V98">
        <f>HYPERLINK("https://klasma.github.io/Logging_0188/klagomål/A 50097-2025 FSC-klagomål.docx", "A 50097-2025")</f>
        <v/>
      </c>
      <c r="W98">
        <f>HYPERLINK("https://klasma.github.io/Logging_0188/klagomålsmail/A 50097-2025 FSC-klagomål mail.docx", "A 50097-2025")</f>
        <v/>
      </c>
      <c r="X98">
        <f>HYPERLINK("https://klasma.github.io/Logging_0188/tillsyn/A 50097-2025 tillsynsbegäran.docx", "A 50097-2025")</f>
        <v/>
      </c>
      <c r="Y98">
        <f>HYPERLINK("https://klasma.github.io/Logging_0188/tillsynsmail/A 50097-2025 tillsynsbegäran mail.docx", "A 50097-2025")</f>
        <v/>
      </c>
    </row>
    <row r="99" ht="15" customHeight="1">
      <c r="A99" t="inlineStr">
        <is>
          <t>A 50697-2025</t>
        </is>
      </c>
      <c r="B99" s="1" t="n">
        <v>45945</v>
      </c>
      <c r="C99" s="1" t="n">
        <v>46203</v>
      </c>
      <c r="D99" t="inlineStr">
        <is>
          <t>STOCKHOLMS LÄN</t>
        </is>
      </c>
      <c r="E99" t="inlineStr">
        <is>
          <t>NORRTÄLJE</t>
        </is>
      </c>
      <c r="G99" t="n">
        <v>5.5</v>
      </c>
      <c r="H99" t="n">
        <v>0</v>
      </c>
      <c r="I99" t="n">
        <v>0</v>
      </c>
      <c r="J99" t="n">
        <v>2</v>
      </c>
      <c r="K99" t="n">
        <v>0</v>
      </c>
      <c r="L99" t="n">
        <v>0</v>
      </c>
      <c r="M99" t="n">
        <v>0</v>
      </c>
      <c r="N99" t="n">
        <v>0</v>
      </c>
      <c r="O99" t="n">
        <v>2</v>
      </c>
      <c r="P99" t="n">
        <v>0</v>
      </c>
      <c r="Q99" t="n">
        <v>2</v>
      </c>
      <c r="R99" s="2" t="inlineStr">
        <is>
          <t>Skogsklocka
Småflikig brosklav</t>
        </is>
      </c>
      <c r="S99">
        <f>HYPERLINK("https://klasma.github.io/Logging_0188/artfynd/A 50697-2025 artfynd.xlsx", "A 50697-2025")</f>
        <v/>
      </c>
      <c r="T99">
        <f>HYPERLINK("https://klasma.github.io/Logging_0188/kartor/A 50697-2025 karta.png", "A 50697-2025")</f>
        <v/>
      </c>
      <c r="V99">
        <f>HYPERLINK("https://klasma.github.io/Logging_0188/klagomål/A 50697-2025 FSC-klagomål.docx", "A 50697-2025")</f>
        <v/>
      </c>
      <c r="W99">
        <f>HYPERLINK("https://klasma.github.io/Logging_0188/klagomålsmail/A 50697-2025 FSC-klagomål mail.docx", "A 50697-2025")</f>
        <v/>
      </c>
      <c r="X99">
        <f>HYPERLINK("https://klasma.github.io/Logging_0188/tillsyn/A 50697-2025 tillsynsbegäran.docx", "A 50697-2025")</f>
        <v/>
      </c>
      <c r="Y99">
        <f>HYPERLINK("https://klasma.github.io/Logging_0188/tillsynsmail/A 50697-2025 tillsynsbegäran mail.docx", "A 50697-2025")</f>
        <v/>
      </c>
    </row>
    <row r="100" ht="15" customHeight="1">
      <c r="A100" t="inlineStr">
        <is>
          <t>A 12629-2024</t>
        </is>
      </c>
      <c r="B100" s="1" t="n">
        <v>45383</v>
      </c>
      <c r="C100" s="1" t="n">
        <v>46203</v>
      </c>
      <c r="D100" t="inlineStr">
        <is>
          <t>STOCKHOLMS LÄN</t>
        </is>
      </c>
      <c r="E100" t="inlineStr">
        <is>
          <t>NORRTÄLJE</t>
        </is>
      </c>
      <c r="G100" t="n">
        <v>2.6</v>
      </c>
      <c r="H100" t="n">
        <v>2</v>
      </c>
      <c r="I100" t="n">
        <v>0</v>
      </c>
      <c r="J100" t="n">
        <v>1</v>
      </c>
      <c r="K100" t="n">
        <v>0</v>
      </c>
      <c r="L100" t="n">
        <v>0</v>
      </c>
      <c r="M100" t="n">
        <v>0</v>
      </c>
      <c r="N100" t="n">
        <v>0</v>
      </c>
      <c r="O100" t="n">
        <v>1</v>
      </c>
      <c r="P100" t="n">
        <v>0</v>
      </c>
      <c r="Q100" t="n">
        <v>2</v>
      </c>
      <c r="R100" s="2" t="inlineStr">
        <is>
          <t>Mindre hackspett
Sävsparv</t>
        </is>
      </c>
      <c r="S100">
        <f>HYPERLINK("https://klasma.github.io/Logging_0188/artfynd/A 12629-2024 artfynd.xlsx", "A 12629-2024")</f>
        <v/>
      </c>
      <c r="T100">
        <f>HYPERLINK("https://klasma.github.io/Logging_0188/kartor/A 12629-2024 karta.png", "A 12629-2024")</f>
        <v/>
      </c>
      <c r="V100">
        <f>HYPERLINK("https://klasma.github.io/Logging_0188/klagomål/A 12629-2024 FSC-klagomål.docx", "A 12629-2024")</f>
        <v/>
      </c>
      <c r="W100">
        <f>HYPERLINK("https://klasma.github.io/Logging_0188/klagomålsmail/A 12629-2024 FSC-klagomål mail.docx", "A 12629-2024")</f>
        <v/>
      </c>
      <c r="X100">
        <f>HYPERLINK("https://klasma.github.io/Logging_0188/tillsyn/A 12629-2024 tillsynsbegäran.docx", "A 12629-2024")</f>
        <v/>
      </c>
      <c r="Y100">
        <f>HYPERLINK("https://klasma.github.io/Logging_0188/tillsynsmail/A 12629-2024 tillsynsbegäran mail.docx", "A 12629-2024")</f>
        <v/>
      </c>
      <c r="Z100">
        <f>HYPERLINK("https://klasma.github.io/Logging_0188/fåglar/A 12629-2024 prioriterade fågelarter.docx", "A 12629-2024")</f>
        <v/>
      </c>
    </row>
    <row r="101" ht="15" customHeight="1">
      <c r="A101" t="inlineStr">
        <is>
          <t>A 53716-2025</t>
        </is>
      </c>
      <c r="B101" s="1" t="n">
        <v>45960</v>
      </c>
      <c r="C101" s="1" t="n">
        <v>46203</v>
      </c>
      <c r="D101" t="inlineStr">
        <is>
          <t>STOCKHOLMS LÄN</t>
        </is>
      </c>
      <c r="E101" t="inlineStr">
        <is>
          <t>NORRTÄLJE</t>
        </is>
      </c>
      <c r="G101" t="n">
        <v>3.4</v>
      </c>
      <c r="H101" t="n">
        <v>0</v>
      </c>
      <c r="I101" t="n">
        <v>1</v>
      </c>
      <c r="J101" t="n">
        <v>0</v>
      </c>
      <c r="K101" t="n">
        <v>1</v>
      </c>
      <c r="L101" t="n">
        <v>0</v>
      </c>
      <c r="M101" t="n">
        <v>0</v>
      </c>
      <c r="N101" t="n">
        <v>0</v>
      </c>
      <c r="O101" t="n">
        <v>1</v>
      </c>
      <c r="P101" t="n">
        <v>1</v>
      </c>
      <c r="Q101" t="n">
        <v>2</v>
      </c>
      <c r="R101" s="2" t="inlineStr">
        <is>
          <t>Fältgentiana
Fjällig jordtunga</t>
        </is>
      </c>
      <c r="S101">
        <f>HYPERLINK("https://klasma.github.io/Logging_0188/artfynd/A 53716-2025 artfynd.xlsx", "A 53716-2025")</f>
        <v/>
      </c>
      <c r="T101">
        <f>HYPERLINK("https://klasma.github.io/Logging_0188/kartor/A 53716-2025 karta.png", "A 53716-2025")</f>
        <v/>
      </c>
      <c r="V101">
        <f>HYPERLINK("https://klasma.github.io/Logging_0188/klagomål/A 53716-2025 FSC-klagomål.docx", "A 53716-2025")</f>
        <v/>
      </c>
      <c r="W101">
        <f>HYPERLINK("https://klasma.github.io/Logging_0188/klagomålsmail/A 53716-2025 FSC-klagomål mail.docx", "A 53716-2025")</f>
        <v/>
      </c>
      <c r="X101">
        <f>HYPERLINK("https://klasma.github.io/Logging_0188/tillsyn/A 53716-2025 tillsynsbegäran.docx", "A 53716-2025")</f>
        <v/>
      </c>
      <c r="Y101">
        <f>HYPERLINK("https://klasma.github.io/Logging_0188/tillsynsmail/A 53716-2025 tillsynsbegäran mail.docx", "A 53716-2025")</f>
        <v/>
      </c>
    </row>
    <row r="102" ht="15" customHeight="1">
      <c r="A102" t="inlineStr">
        <is>
          <t>A 35649-2023</t>
        </is>
      </c>
      <c r="B102" s="1" t="n">
        <v>45146</v>
      </c>
      <c r="C102" s="1" t="n">
        <v>46203</v>
      </c>
      <c r="D102" t="inlineStr">
        <is>
          <t>STOCKHOLMS LÄN</t>
        </is>
      </c>
      <c r="E102" t="inlineStr">
        <is>
          <t>NORRTÄLJE</t>
        </is>
      </c>
      <c r="G102" t="n">
        <v>25.1</v>
      </c>
      <c r="H102" t="n">
        <v>0</v>
      </c>
      <c r="I102" t="n">
        <v>0</v>
      </c>
      <c r="J102" t="n">
        <v>2</v>
      </c>
      <c r="K102" t="n">
        <v>0</v>
      </c>
      <c r="L102" t="n">
        <v>0</v>
      </c>
      <c r="M102" t="n">
        <v>0</v>
      </c>
      <c r="N102" t="n">
        <v>0</v>
      </c>
      <c r="O102" t="n">
        <v>2</v>
      </c>
      <c r="P102" t="n">
        <v>0</v>
      </c>
      <c r="Q102" t="n">
        <v>2</v>
      </c>
      <c r="R102" s="2" t="inlineStr">
        <is>
          <t>Majviva
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41218-2024</t>
        </is>
      </c>
      <c r="B103" s="1" t="n">
        <v>45559</v>
      </c>
      <c r="C103" s="1" t="n">
        <v>46203</v>
      </c>
      <c r="D103" t="inlineStr">
        <is>
          <t>STOCKHOLMS LÄN</t>
        </is>
      </c>
      <c r="E103" t="inlineStr">
        <is>
          <t>NORRTÄLJE</t>
        </is>
      </c>
      <c r="G103" t="n">
        <v>6</v>
      </c>
      <c r="H103" t="n">
        <v>1</v>
      </c>
      <c r="I103" t="n">
        <v>0</v>
      </c>
      <c r="J103" t="n">
        <v>0</v>
      </c>
      <c r="K103" t="n">
        <v>1</v>
      </c>
      <c r="L103" t="n">
        <v>0</v>
      </c>
      <c r="M103" t="n">
        <v>0</v>
      </c>
      <c r="N103" t="n">
        <v>0</v>
      </c>
      <c r="O103" t="n">
        <v>1</v>
      </c>
      <c r="P103" t="n">
        <v>1</v>
      </c>
      <c r="Q103" t="n">
        <v>2</v>
      </c>
      <c r="R103" s="2" t="inlineStr">
        <is>
          <t>Igelkott
Näktergal</t>
        </is>
      </c>
      <c r="S103">
        <f>HYPERLINK("https://klasma.github.io/Logging_0188/artfynd/A 41218-2024 artfynd.xlsx", "A 41218-2024")</f>
        <v/>
      </c>
      <c r="T103">
        <f>HYPERLINK("https://klasma.github.io/Logging_0188/kartor/A 41218-2024 karta.png", "A 41218-2024")</f>
        <v/>
      </c>
      <c r="V103">
        <f>HYPERLINK("https://klasma.github.io/Logging_0188/klagomål/A 41218-2024 FSC-klagomål.docx", "A 41218-2024")</f>
        <v/>
      </c>
      <c r="W103">
        <f>HYPERLINK("https://klasma.github.io/Logging_0188/klagomålsmail/A 41218-2024 FSC-klagomål mail.docx", "A 41218-2024")</f>
        <v/>
      </c>
      <c r="X103">
        <f>HYPERLINK("https://klasma.github.io/Logging_0188/tillsyn/A 41218-2024 tillsynsbegäran.docx", "A 41218-2024")</f>
        <v/>
      </c>
      <c r="Y103">
        <f>HYPERLINK("https://klasma.github.io/Logging_0188/tillsynsmail/A 41218-2024 tillsynsbegäran mail.docx", "A 41218-2024")</f>
        <v/>
      </c>
      <c r="Z103">
        <f>HYPERLINK("https://klasma.github.io/Logging_0188/fåglar/A 41218-2024 prioriterade fågelarter.docx", "A 41218-2024")</f>
        <v/>
      </c>
    </row>
    <row r="104" ht="15" customHeight="1">
      <c r="A104" t="inlineStr">
        <is>
          <t>A 25669-2025</t>
        </is>
      </c>
      <c r="B104" s="1" t="n">
        <v>45803</v>
      </c>
      <c r="C104" s="1" t="n">
        <v>46203</v>
      </c>
      <c r="D104" t="inlineStr">
        <is>
          <t>STOCKHOLMS LÄN</t>
        </is>
      </c>
      <c r="E104" t="inlineStr">
        <is>
          <t>NORRTÄLJE</t>
        </is>
      </c>
      <c r="F104" t="inlineStr">
        <is>
          <t>Holmen skog AB</t>
        </is>
      </c>
      <c r="G104" t="n">
        <v>3.1</v>
      </c>
      <c r="H104" t="n">
        <v>2</v>
      </c>
      <c r="I104" t="n">
        <v>0</v>
      </c>
      <c r="J104" t="n">
        <v>0</v>
      </c>
      <c r="K104" t="n">
        <v>0</v>
      </c>
      <c r="L104" t="n">
        <v>0</v>
      </c>
      <c r="M104" t="n">
        <v>0</v>
      </c>
      <c r="N104" t="n">
        <v>0</v>
      </c>
      <c r="O104" t="n">
        <v>0</v>
      </c>
      <c r="P104" t="n">
        <v>0</v>
      </c>
      <c r="Q104" t="n">
        <v>2</v>
      </c>
      <c r="R104" s="2" t="inlineStr">
        <is>
          <t>Tjäder
Revlummer</t>
        </is>
      </c>
      <c r="S104">
        <f>HYPERLINK("https://klasma.github.io/Logging_0188/artfynd/A 25669-2025 artfynd.xlsx", "A 25669-2025")</f>
        <v/>
      </c>
      <c r="T104">
        <f>HYPERLINK("https://klasma.github.io/Logging_0188/kartor/A 25669-2025 karta.png", "A 25669-2025")</f>
        <v/>
      </c>
      <c r="V104">
        <f>HYPERLINK("https://klasma.github.io/Logging_0188/klagomål/A 25669-2025 FSC-klagomål.docx", "A 25669-2025")</f>
        <v/>
      </c>
      <c r="W104">
        <f>HYPERLINK("https://klasma.github.io/Logging_0188/klagomålsmail/A 25669-2025 FSC-klagomål mail.docx", "A 25669-2025")</f>
        <v/>
      </c>
      <c r="X104">
        <f>HYPERLINK("https://klasma.github.io/Logging_0188/tillsyn/A 25669-2025 tillsynsbegäran.docx", "A 25669-2025")</f>
        <v/>
      </c>
      <c r="Y104">
        <f>HYPERLINK("https://klasma.github.io/Logging_0188/tillsynsmail/A 25669-2025 tillsynsbegäran mail.docx", "A 25669-2025")</f>
        <v/>
      </c>
      <c r="Z104">
        <f>HYPERLINK("https://klasma.github.io/Logging_0188/fåglar/A 25669-2025 prioriterade fågelarter.docx", "A 25669-2025")</f>
        <v/>
      </c>
    </row>
    <row r="105" ht="15" customHeight="1">
      <c r="A105" t="inlineStr">
        <is>
          <t>A 4595-2023</t>
        </is>
      </c>
      <c r="B105" s="1" t="n">
        <v>44956</v>
      </c>
      <c r="C105" s="1" t="n">
        <v>46203</v>
      </c>
      <c r="D105" t="inlineStr">
        <is>
          <t>STOCKHOLMS LÄN</t>
        </is>
      </c>
      <c r="E105" t="inlineStr">
        <is>
          <t>NORRTÄLJE</t>
        </is>
      </c>
      <c r="G105" t="n">
        <v>0.6</v>
      </c>
      <c r="H105" t="n">
        <v>1</v>
      </c>
      <c r="I105" t="n">
        <v>1</v>
      </c>
      <c r="J105" t="n">
        <v>0</v>
      </c>
      <c r="K105" t="n">
        <v>0</v>
      </c>
      <c r="L105" t="n">
        <v>0</v>
      </c>
      <c r="M105" t="n">
        <v>0</v>
      </c>
      <c r="N105" t="n">
        <v>0</v>
      </c>
      <c r="O105" t="n">
        <v>0</v>
      </c>
      <c r="P105" t="n">
        <v>0</v>
      </c>
      <c r="Q105" t="n">
        <v>2</v>
      </c>
      <c r="R105" s="2" t="inlineStr">
        <is>
          <t>Hasselticka
Blåsippa</t>
        </is>
      </c>
      <c r="S105">
        <f>HYPERLINK("https://klasma.github.io/Logging_0188/artfynd/A 4595-2023 artfynd.xlsx", "A 4595-2023")</f>
        <v/>
      </c>
      <c r="T105">
        <f>HYPERLINK("https://klasma.github.io/Logging_0188/kartor/A 4595-2023 karta.png", "A 4595-2023")</f>
        <v/>
      </c>
      <c r="V105">
        <f>HYPERLINK("https://klasma.github.io/Logging_0188/klagomål/A 4595-2023 FSC-klagomål.docx", "A 4595-2023")</f>
        <v/>
      </c>
      <c r="W105">
        <f>HYPERLINK("https://klasma.github.io/Logging_0188/klagomålsmail/A 4595-2023 FSC-klagomål mail.docx", "A 4595-2023")</f>
        <v/>
      </c>
      <c r="X105">
        <f>HYPERLINK("https://klasma.github.io/Logging_0188/tillsyn/A 4595-2023 tillsynsbegäran.docx", "A 4595-2023")</f>
        <v/>
      </c>
      <c r="Y105">
        <f>HYPERLINK("https://klasma.github.io/Logging_0188/tillsynsmail/A 4595-2023 tillsynsbegäran mail.docx", "A 4595-2023")</f>
        <v/>
      </c>
    </row>
    <row r="106" ht="15" customHeight="1">
      <c r="A106" t="inlineStr">
        <is>
          <t>A 55058-2021</t>
        </is>
      </c>
      <c r="B106" s="1" t="n">
        <v>44474</v>
      </c>
      <c r="C106" s="1" t="n">
        <v>46203</v>
      </c>
      <c r="D106" t="inlineStr">
        <is>
          <t>STOCKHOLMS LÄN</t>
        </is>
      </c>
      <c r="E106" t="inlineStr">
        <is>
          <t>NORRTÄLJE</t>
        </is>
      </c>
      <c r="G106" t="n">
        <v>1.9</v>
      </c>
      <c r="H106" t="n">
        <v>0</v>
      </c>
      <c r="I106" t="n">
        <v>1</v>
      </c>
      <c r="J106" t="n">
        <v>1</v>
      </c>
      <c r="K106" t="n">
        <v>0</v>
      </c>
      <c r="L106" t="n">
        <v>0</v>
      </c>
      <c r="M106" t="n">
        <v>0</v>
      </c>
      <c r="N106" t="n">
        <v>0</v>
      </c>
      <c r="O106" t="n">
        <v>1</v>
      </c>
      <c r="P106" t="n">
        <v>0</v>
      </c>
      <c r="Q106" t="n">
        <v>2</v>
      </c>
      <c r="R106" s="2" t="inlineStr">
        <is>
          <t>Tallkötticka
Blodvaxing</t>
        </is>
      </c>
      <c r="S106">
        <f>HYPERLINK("https://klasma.github.io/Logging_0188/artfynd/A 55058-2021 artfynd.xlsx", "A 55058-2021")</f>
        <v/>
      </c>
      <c r="T106">
        <f>HYPERLINK("https://klasma.github.io/Logging_0188/kartor/A 55058-2021 karta.png", "A 55058-2021")</f>
        <v/>
      </c>
      <c r="V106">
        <f>HYPERLINK("https://klasma.github.io/Logging_0188/klagomål/A 55058-2021 FSC-klagomål.docx", "A 55058-2021")</f>
        <v/>
      </c>
      <c r="W106">
        <f>HYPERLINK("https://klasma.github.io/Logging_0188/klagomålsmail/A 55058-2021 FSC-klagomål mail.docx", "A 55058-2021")</f>
        <v/>
      </c>
      <c r="X106">
        <f>HYPERLINK("https://klasma.github.io/Logging_0188/tillsyn/A 55058-2021 tillsynsbegäran.docx", "A 55058-2021")</f>
        <v/>
      </c>
      <c r="Y106">
        <f>HYPERLINK("https://klasma.github.io/Logging_0188/tillsynsmail/A 55058-2021 tillsynsbegäran mail.docx", "A 55058-2021")</f>
        <v/>
      </c>
    </row>
    <row r="107" ht="15" customHeight="1">
      <c r="A107" t="inlineStr">
        <is>
          <t>A 22456-2023</t>
        </is>
      </c>
      <c r="B107" s="1" t="n">
        <v>45070</v>
      </c>
      <c r="C107" s="1" t="n">
        <v>46203</v>
      </c>
      <c r="D107" t="inlineStr">
        <is>
          <t>STOCKHOLMS LÄN</t>
        </is>
      </c>
      <c r="E107" t="inlineStr">
        <is>
          <t>NORRTÄLJE</t>
        </is>
      </c>
      <c r="G107" t="n">
        <v>3.1</v>
      </c>
      <c r="H107" t="n">
        <v>1</v>
      </c>
      <c r="I107" t="n">
        <v>1</v>
      </c>
      <c r="J107" t="n">
        <v>0</v>
      </c>
      <c r="K107" t="n">
        <v>0</v>
      </c>
      <c r="L107" t="n">
        <v>1</v>
      </c>
      <c r="M107" t="n">
        <v>0</v>
      </c>
      <c r="N107" t="n">
        <v>0</v>
      </c>
      <c r="O107" t="n">
        <v>1</v>
      </c>
      <c r="P107" t="n">
        <v>1</v>
      </c>
      <c r="Q107" t="n">
        <v>2</v>
      </c>
      <c r="R107" s="2" t="inlineStr">
        <is>
          <t>Asknätfjäril
Underviol</t>
        </is>
      </c>
      <c r="S107">
        <f>HYPERLINK("https://klasma.github.io/Logging_0188/artfynd/A 22456-2023 artfynd.xlsx", "A 22456-2023")</f>
        <v/>
      </c>
      <c r="T107">
        <f>HYPERLINK("https://klasma.github.io/Logging_0188/kartor/A 22456-2023 karta.png", "A 22456-2023")</f>
        <v/>
      </c>
      <c r="V107">
        <f>HYPERLINK("https://klasma.github.io/Logging_0188/klagomål/A 22456-2023 FSC-klagomål.docx", "A 22456-2023")</f>
        <v/>
      </c>
      <c r="W107">
        <f>HYPERLINK("https://klasma.github.io/Logging_0188/klagomålsmail/A 22456-2023 FSC-klagomål mail.docx", "A 22456-2023")</f>
        <v/>
      </c>
      <c r="X107">
        <f>HYPERLINK("https://klasma.github.io/Logging_0188/tillsyn/A 22456-2023 tillsynsbegäran.docx", "A 22456-2023")</f>
        <v/>
      </c>
      <c r="Y107">
        <f>HYPERLINK("https://klasma.github.io/Logging_0188/tillsynsmail/A 22456-2023 tillsynsbegäran mail.docx", "A 22456-2023")</f>
        <v/>
      </c>
    </row>
    <row r="108" ht="15" customHeight="1">
      <c r="A108" t="inlineStr">
        <is>
          <t>A 26207-2026</t>
        </is>
      </c>
      <c r="B108" s="1" t="n">
        <v>46182</v>
      </c>
      <c r="C108" s="1" t="n">
        <v>46203</v>
      </c>
      <c r="D108" t="inlineStr">
        <is>
          <t>STOCKHOLMS LÄN</t>
        </is>
      </c>
      <c r="E108" t="inlineStr">
        <is>
          <t>NORRTÄLJE</t>
        </is>
      </c>
      <c r="G108" t="n">
        <v>4.2</v>
      </c>
      <c r="H108" t="n">
        <v>2</v>
      </c>
      <c r="I108" t="n">
        <v>0</v>
      </c>
      <c r="J108" t="n">
        <v>1</v>
      </c>
      <c r="K108" t="n">
        <v>0</v>
      </c>
      <c r="L108" t="n">
        <v>0</v>
      </c>
      <c r="M108" t="n">
        <v>0</v>
      </c>
      <c r="N108" t="n">
        <v>0</v>
      </c>
      <c r="O108" t="n">
        <v>1</v>
      </c>
      <c r="P108" t="n">
        <v>0</v>
      </c>
      <c r="Q108" t="n">
        <v>2</v>
      </c>
      <c r="R108" s="2" t="inlineStr">
        <is>
          <t>Björktrast
Grönsiska</t>
        </is>
      </c>
      <c r="S108">
        <f>HYPERLINK("https://klasma.github.io/Logging_0188/artfynd/A 26207-2026 artfynd.xlsx", "A 26207-2026")</f>
        <v/>
      </c>
      <c r="T108">
        <f>HYPERLINK("https://klasma.github.io/Logging_0188/kartor/A 26207-2026 karta.png", "A 26207-2026")</f>
        <v/>
      </c>
      <c r="V108">
        <f>HYPERLINK("https://klasma.github.io/Logging_0188/klagomål/A 26207-2026 FSC-klagomål.docx", "A 26207-2026")</f>
        <v/>
      </c>
      <c r="W108">
        <f>HYPERLINK("https://klasma.github.io/Logging_0188/klagomålsmail/A 26207-2026 FSC-klagomål mail.docx", "A 26207-2026")</f>
        <v/>
      </c>
      <c r="X108">
        <f>HYPERLINK("https://klasma.github.io/Logging_0188/tillsyn/A 26207-2026 tillsynsbegäran.docx", "A 26207-2026")</f>
        <v/>
      </c>
      <c r="Y108">
        <f>HYPERLINK("https://klasma.github.io/Logging_0188/tillsynsmail/A 26207-2026 tillsynsbegäran mail.docx", "A 26207-2026")</f>
        <v/>
      </c>
      <c r="Z108">
        <f>HYPERLINK("https://klasma.github.io/Logging_0188/fåglar/A 26207-2026 prioriterade fågelarter.docx", "A 26207-2026")</f>
        <v/>
      </c>
    </row>
    <row r="109" ht="15" customHeight="1">
      <c r="A109" t="inlineStr">
        <is>
          <t>A 26221-2026</t>
        </is>
      </c>
      <c r="B109" s="1" t="n">
        <v>46182</v>
      </c>
      <c r="C109" s="1" t="n">
        <v>46203</v>
      </c>
      <c r="D109" t="inlineStr">
        <is>
          <t>STOCKHOLMS LÄN</t>
        </is>
      </c>
      <c r="E109" t="inlineStr">
        <is>
          <t>NORRTÄLJE</t>
        </is>
      </c>
      <c r="G109" t="n">
        <v>4.1</v>
      </c>
      <c r="H109" t="n">
        <v>2</v>
      </c>
      <c r="I109" t="n">
        <v>0</v>
      </c>
      <c r="J109" t="n">
        <v>1</v>
      </c>
      <c r="K109" t="n">
        <v>0</v>
      </c>
      <c r="L109" t="n">
        <v>0</v>
      </c>
      <c r="M109" t="n">
        <v>0</v>
      </c>
      <c r="N109" t="n">
        <v>0</v>
      </c>
      <c r="O109" t="n">
        <v>1</v>
      </c>
      <c r="P109" t="n">
        <v>0</v>
      </c>
      <c r="Q109" t="n">
        <v>2</v>
      </c>
      <c r="R109" s="2" t="inlineStr">
        <is>
          <t>Duvhök
Havsörn</t>
        </is>
      </c>
      <c r="S109">
        <f>HYPERLINK("https://klasma.github.io/Logging_0188/artfynd/A 26221-2026 artfynd.xlsx", "A 26221-2026")</f>
        <v/>
      </c>
      <c r="T109">
        <f>HYPERLINK("https://klasma.github.io/Logging_0188/kartor/A 26221-2026 karta.png", "A 26221-2026")</f>
        <v/>
      </c>
      <c r="V109">
        <f>HYPERLINK("https://klasma.github.io/Logging_0188/klagomål/A 26221-2026 FSC-klagomål.docx", "A 26221-2026")</f>
        <v/>
      </c>
      <c r="W109">
        <f>HYPERLINK("https://klasma.github.io/Logging_0188/klagomålsmail/A 26221-2026 FSC-klagomål mail.docx", "A 26221-2026")</f>
        <v/>
      </c>
      <c r="X109">
        <f>HYPERLINK("https://klasma.github.io/Logging_0188/tillsyn/A 26221-2026 tillsynsbegäran.docx", "A 26221-2026")</f>
        <v/>
      </c>
      <c r="Y109">
        <f>HYPERLINK("https://klasma.github.io/Logging_0188/tillsynsmail/A 26221-2026 tillsynsbegäran mail.docx", "A 26221-2026")</f>
        <v/>
      </c>
      <c r="Z109">
        <f>HYPERLINK("https://klasma.github.io/Logging_0188/fåglar/A 26221-2026 prioriterade fågelarter.docx", "A 26221-2026")</f>
        <v/>
      </c>
    </row>
    <row r="110" ht="15" customHeight="1">
      <c r="A110" t="inlineStr">
        <is>
          <t>A 26418-2026</t>
        </is>
      </c>
      <c r="B110" s="1" t="n">
        <v>46183</v>
      </c>
      <c r="C110" s="1" t="n">
        <v>46203</v>
      </c>
      <c r="D110" t="inlineStr">
        <is>
          <t>STOCKHOLMS LÄN</t>
        </is>
      </c>
      <c r="E110" t="inlineStr">
        <is>
          <t>NORRTÄLJE</t>
        </is>
      </c>
      <c r="G110" t="n">
        <v>2.2</v>
      </c>
      <c r="H110" t="n">
        <v>2</v>
      </c>
      <c r="I110" t="n">
        <v>1</v>
      </c>
      <c r="J110" t="n">
        <v>0</v>
      </c>
      <c r="K110" t="n">
        <v>0</v>
      </c>
      <c r="L110" t="n">
        <v>0</v>
      </c>
      <c r="M110" t="n">
        <v>0</v>
      </c>
      <c r="N110" t="n">
        <v>0</v>
      </c>
      <c r="O110" t="n">
        <v>0</v>
      </c>
      <c r="P110" t="n">
        <v>0</v>
      </c>
      <c r="Q110" t="n">
        <v>2</v>
      </c>
      <c r="R110" s="2" t="inlineStr">
        <is>
          <t>Korallrot
Brudsporre</t>
        </is>
      </c>
      <c r="S110">
        <f>HYPERLINK("https://klasma.github.io/Logging_0188/artfynd/A 26418-2026 artfynd.xlsx", "A 26418-2026")</f>
        <v/>
      </c>
      <c r="T110">
        <f>HYPERLINK("https://klasma.github.io/Logging_0188/kartor/A 26418-2026 karta.png", "A 26418-2026")</f>
        <v/>
      </c>
      <c r="V110">
        <f>HYPERLINK("https://klasma.github.io/Logging_0188/klagomål/A 26418-2026 FSC-klagomål.docx", "A 26418-2026")</f>
        <v/>
      </c>
      <c r="W110">
        <f>HYPERLINK("https://klasma.github.io/Logging_0188/klagomålsmail/A 26418-2026 FSC-klagomål mail.docx", "A 26418-2026")</f>
        <v/>
      </c>
      <c r="X110">
        <f>HYPERLINK("https://klasma.github.io/Logging_0188/tillsyn/A 26418-2026 tillsynsbegäran.docx", "A 26418-2026")</f>
        <v/>
      </c>
      <c r="Y110">
        <f>HYPERLINK("https://klasma.github.io/Logging_0188/tillsynsmail/A 26418-2026 tillsynsbegäran mail.docx", "A 26418-2026")</f>
        <v/>
      </c>
    </row>
    <row r="111" ht="15" customHeight="1">
      <c r="A111" t="inlineStr">
        <is>
          <t>A 21821-2026</t>
        </is>
      </c>
      <c r="B111" s="1" t="n">
        <v>46150</v>
      </c>
      <c r="C111" s="1" t="n">
        <v>46203</v>
      </c>
      <c r="D111" t="inlineStr">
        <is>
          <t>STOCKHOLMS LÄN</t>
        </is>
      </c>
      <c r="E111" t="inlineStr">
        <is>
          <t>NORRTÄLJE</t>
        </is>
      </c>
      <c r="G111" t="n">
        <v>2.6</v>
      </c>
      <c r="H111" t="n">
        <v>1</v>
      </c>
      <c r="I111" t="n">
        <v>0</v>
      </c>
      <c r="J111" t="n">
        <v>0</v>
      </c>
      <c r="K111" t="n">
        <v>2</v>
      </c>
      <c r="L111" t="n">
        <v>0</v>
      </c>
      <c r="M111" t="n">
        <v>0</v>
      </c>
      <c r="N111" t="n">
        <v>0</v>
      </c>
      <c r="O111" t="n">
        <v>2</v>
      </c>
      <c r="P111" t="n">
        <v>2</v>
      </c>
      <c r="Q111" t="n">
        <v>2</v>
      </c>
      <c r="R111" s="2" t="inlineStr">
        <is>
          <t>Bredgentiana
Fältgentiana</t>
        </is>
      </c>
      <c r="S111">
        <f>HYPERLINK("https://klasma.github.io/Logging_0188/artfynd/A 21821-2026 artfynd.xlsx", "A 21821-2026")</f>
        <v/>
      </c>
      <c r="T111">
        <f>HYPERLINK("https://klasma.github.io/Logging_0188/kartor/A 21821-2026 karta.png", "A 21821-2026")</f>
        <v/>
      </c>
      <c r="V111">
        <f>HYPERLINK("https://klasma.github.io/Logging_0188/klagomål/A 21821-2026 FSC-klagomål.docx", "A 21821-2026")</f>
        <v/>
      </c>
      <c r="W111">
        <f>HYPERLINK("https://klasma.github.io/Logging_0188/klagomålsmail/A 21821-2026 FSC-klagomål mail.docx", "A 21821-2026")</f>
        <v/>
      </c>
      <c r="X111">
        <f>HYPERLINK("https://klasma.github.io/Logging_0188/tillsyn/A 21821-2026 tillsynsbegäran.docx", "A 21821-2026")</f>
        <v/>
      </c>
      <c r="Y111">
        <f>HYPERLINK("https://klasma.github.io/Logging_0188/tillsynsmail/A 21821-2026 tillsynsbegäran mail.docx", "A 21821-2026")</f>
        <v/>
      </c>
    </row>
    <row r="112" ht="15" customHeight="1">
      <c r="A112" t="inlineStr">
        <is>
          <t>A 21781-2026</t>
        </is>
      </c>
      <c r="B112" s="1" t="n">
        <v>46150</v>
      </c>
      <c r="C112" s="1" t="n">
        <v>46203</v>
      </c>
      <c r="D112" t="inlineStr">
        <is>
          <t>STOCKHOLMS LÄN</t>
        </is>
      </c>
      <c r="E112" t="inlineStr">
        <is>
          <t>NORRTÄLJE</t>
        </is>
      </c>
      <c r="G112" t="n">
        <v>6.2</v>
      </c>
      <c r="H112" t="n">
        <v>1</v>
      </c>
      <c r="I112" t="n">
        <v>0</v>
      </c>
      <c r="J112" t="n">
        <v>1</v>
      </c>
      <c r="K112" t="n">
        <v>1</v>
      </c>
      <c r="L112" t="n">
        <v>0</v>
      </c>
      <c r="M112" t="n">
        <v>0</v>
      </c>
      <c r="N112" t="n">
        <v>0</v>
      </c>
      <c r="O112" t="n">
        <v>2</v>
      </c>
      <c r="P112" t="n">
        <v>1</v>
      </c>
      <c r="Q112" t="n">
        <v>2</v>
      </c>
      <c r="R112" s="2" t="inlineStr">
        <is>
          <t>Hällebräcka
Slåtterfibbla</t>
        </is>
      </c>
      <c r="S112">
        <f>HYPERLINK("https://klasma.github.io/Logging_0188/artfynd/A 21781-2026 artfynd.xlsx", "A 21781-2026")</f>
        <v/>
      </c>
      <c r="T112">
        <f>HYPERLINK("https://klasma.github.io/Logging_0188/kartor/A 21781-2026 karta.png", "A 21781-2026")</f>
        <v/>
      </c>
      <c r="V112">
        <f>HYPERLINK("https://klasma.github.io/Logging_0188/klagomål/A 21781-2026 FSC-klagomål.docx", "A 21781-2026")</f>
        <v/>
      </c>
      <c r="W112">
        <f>HYPERLINK("https://klasma.github.io/Logging_0188/klagomålsmail/A 21781-2026 FSC-klagomål mail.docx", "A 21781-2026")</f>
        <v/>
      </c>
      <c r="X112">
        <f>HYPERLINK("https://klasma.github.io/Logging_0188/tillsyn/A 21781-2026 tillsynsbegäran.docx", "A 21781-2026")</f>
        <v/>
      </c>
      <c r="Y112">
        <f>HYPERLINK("https://klasma.github.io/Logging_0188/tillsynsmail/A 21781-2026 tillsynsbegäran mail.docx", "A 21781-2026")</f>
        <v/>
      </c>
    </row>
    <row r="113" ht="15" customHeight="1">
      <c r="A113" t="inlineStr">
        <is>
          <t>A 39202-2024</t>
        </is>
      </c>
      <c r="B113" s="1" t="n">
        <v>45548</v>
      </c>
      <c r="C113" s="1" t="n">
        <v>46203</v>
      </c>
      <c r="D113" t="inlineStr">
        <is>
          <t>STOCKHOLMS LÄN</t>
        </is>
      </c>
      <c r="E113" t="inlineStr">
        <is>
          <t>NORRTÄLJE</t>
        </is>
      </c>
      <c r="G113" t="n">
        <v>1.9</v>
      </c>
      <c r="H113" t="n">
        <v>0</v>
      </c>
      <c r="I113" t="n">
        <v>0</v>
      </c>
      <c r="J113" t="n">
        <v>0</v>
      </c>
      <c r="K113" t="n">
        <v>2</v>
      </c>
      <c r="L113" t="n">
        <v>0</v>
      </c>
      <c r="M113" t="n">
        <v>0</v>
      </c>
      <c r="N113" t="n">
        <v>0</v>
      </c>
      <c r="O113" t="n">
        <v>2</v>
      </c>
      <c r="P113" t="n">
        <v>2</v>
      </c>
      <c r="Q113" t="n">
        <v>2</v>
      </c>
      <c r="R113" s="2" t="inlineStr">
        <is>
          <t>Mindre bastardsvärmare
Sexfläckig bastardsvärmare</t>
        </is>
      </c>
      <c r="S113">
        <f>HYPERLINK("https://klasma.github.io/Logging_0188/artfynd/A 39202-2024 artfynd.xlsx", "A 39202-2024")</f>
        <v/>
      </c>
      <c r="T113">
        <f>HYPERLINK("https://klasma.github.io/Logging_0188/kartor/A 39202-2024 karta.png", "A 39202-2024")</f>
        <v/>
      </c>
      <c r="V113">
        <f>HYPERLINK("https://klasma.github.io/Logging_0188/klagomål/A 39202-2024 FSC-klagomål.docx", "A 39202-2024")</f>
        <v/>
      </c>
      <c r="W113">
        <f>HYPERLINK("https://klasma.github.io/Logging_0188/klagomålsmail/A 39202-2024 FSC-klagomål mail.docx", "A 39202-2024")</f>
        <v/>
      </c>
      <c r="X113">
        <f>HYPERLINK("https://klasma.github.io/Logging_0188/tillsyn/A 39202-2024 tillsynsbegäran.docx", "A 39202-2024")</f>
        <v/>
      </c>
      <c r="Y113">
        <f>HYPERLINK("https://klasma.github.io/Logging_0188/tillsynsmail/A 39202-2024 tillsynsbegäran mail.docx", "A 39202-2024")</f>
        <v/>
      </c>
    </row>
    <row r="114" ht="15" customHeight="1">
      <c r="A114" t="inlineStr">
        <is>
          <t>A 26635-2023</t>
        </is>
      </c>
      <c r="B114" s="1" t="n">
        <v>45092</v>
      </c>
      <c r="C114" s="1" t="n">
        <v>46203</v>
      </c>
      <c r="D114" t="inlineStr">
        <is>
          <t>STOCKHOLMS LÄN</t>
        </is>
      </c>
      <c r="E114" t="inlineStr">
        <is>
          <t>NORRTÄLJE</t>
        </is>
      </c>
      <c r="G114" t="n">
        <v>3.1</v>
      </c>
      <c r="H114" t="n">
        <v>1</v>
      </c>
      <c r="I114" t="n">
        <v>0</v>
      </c>
      <c r="J114" t="n">
        <v>0</v>
      </c>
      <c r="K114" t="n">
        <v>0</v>
      </c>
      <c r="L114" t="n">
        <v>0</v>
      </c>
      <c r="M114" t="n">
        <v>0</v>
      </c>
      <c r="N114" t="n">
        <v>0</v>
      </c>
      <c r="O114" t="n">
        <v>0</v>
      </c>
      <c r="P114" t="n">
        <v>0</v>
      </c>
      <c r="Q114" t="n">
        <v>2</v>
      </c>
      <c r="R114" s="2" t="inlineStr">
        <is>
          <t>Stjärnstarr
Fläcknycklar</t>
        </is>
      </c>
      <c r="S114">
        <f>HYPERLINK("https://klasma.github.io/Logging_0188/artfynd/A 26635-2023 artfynd.xlsx", "A 26635-2023")</f>
        <v/>
      </c>
      <c r="T114">
        <f>HYPERLINK("https://klasma.github.io/Logging_0188/kartor/A 26635-2023 karta.png", "A 26635-2023")</f>
        <v/>
      </c>
      <c r="V114">
        <f>HYPERLINK("https://klasma.github.io/Logging_0188/klagomål/A 26635-2023 FSC-klagomål.docx", "A 26635-2023")</f>
        <v/>
      </c>
      <c r="W114">
        <f>HYPERLINK("https://klasma.github.io/Logging_0188/klagomålsmail/A 26635-2023 FSC-klagomål mail.docx", "A 26635-2023")</f>
        <v/>
      </c>
      <c r="X114">
        <f>HYPERLINK("https://klasma.github.io/Logging_0188/tillsyn/A 26635-2023 tillsynsbegäran.docx", "A 26635-2023")</f>
        <v/>
      </c>
      <c r="Y114">
        <f>HYPERLINK("https://klasma.github.io/Logging_0188/tillsynsmail/A 26635-2023 tillsynsbegäran mail.docx", "A 26635-2023")</f>
        <v/>
      </c>
    </row>
    <row r="115" ht="15" customHeight="1">
      <c r="A115" t="inlineStr">
        <is>
          <t>A 22157-2023</t>
        </is>
      </c>
      <c r="B115" s="1" t="n">
        <v>45069</v>
      </c>
      <c r="C115" s="1" t="n">
        <v>46203</v>
      </c>
      <c r="D115" t="inlineStr">
        <is>
          <t>STOCKHOLMS LÄN</t>
        </is>
      </c>
      <c r="E115" t="inlineStr">
        <is>
          <t>NORRTÄLJE</t>
        </is>
      </c>
      <c r="G115" t="n">
        <v>0.6</v>
      </c>
      <c r="H115" t="n">
        <v>1</v>
      </c>
      <c r="I115" t="n">
        <v>1</v>
      </c>
      <c r="J115" t="n">
        <v>0</v>
      </c>
      <c r="K115" t="n">
        <v>1</v>
      </c>
      <c r="L115" t="n">
        <v>0</v>
      </c>
      <c r="M115" t="n">
        <v>0</v>
      </c>
      <c r="N115" t="n">
        <v>0</v>
      </c>
      <c r="O115" t="n">
        <v>1</v>
      </c>
      <c r="P115" t="n">
        <v>1</v>
      </c>
      <c r="Q115" t="n">
        <v>2</v>
      </c>
      <c r="R115" s="2" t="inlineStr">
        <is>
          <t>Knärot
Grönpyrola</t>
        </is>
      </c>
      <c r="S115">
        <f>HYPERLINK("https://klasma.github.io/Logging_0188/artfynd/A 22157-2023 artfynd.xlsx", "A 22157-2023")</f>
        <v/>
      </c>
      <c r="T115">
        <f>HYPERLINK("https://klasma.github.io/Logging_0188/kartor/A 22157-2023 karta.png", "A 22157-2023")</f>
        <v/>
      </c>
      <c r="U115">
        <f>HYPERLINK("https://klasma.github.io/Logging_0188/knärot/A 22157-2023 karta knärot.png", "A 22157-2023")</f>
        <v/>
      </c>
      <c r="V115">
        <f>HYPERLINK("https://klasma.github.io/Logging_0188/klagomål/A 22157-2023 FSC-klagomål.docx", "A 22157-2023")</f>
        <v/>
      </c>
      <c r="W115">
        <f>HYPERLINK("https://klasma.github.io/Logging_0188/klagomålsmail/A 22157-2023 FSC-klagomål mail.docx", "A 22157-2023")</f>
        <v/>
      </c>
      <c r="X115">
        <f>HYPERLINK("https://klasma.github.io/Logging_0188/tillsyn/A 22157-2023 tillsynsbegäran.docx", "A 22157-2023")</f>
        <v/>
      </c>
      <c r="Y115">
        <f>HYPERLINK("https://klasma.github.io/Logging_0188/tillsynsmail/A 22157-2023 tillsynsbegäran mail.docx", "A 22157-2023")</f>
        <v/>
      </c>
    </row>
    <row r="116" ht="15" customHeight="1">
      <c r="A116" t="inlineStr">
        <is>
          <t>A 52825-2023</t>
        </is>
      </c>
      <c r="B116" s="1" t="n">
        <v>45226</v>
      </c>
      <c r="C116" s="1" t="n">
        <v>46203</v>
      </c>
      <c r="D116" t="inlineStr">
        <is>
          <t>STOCKHOLMS LÄN</t>
        </is>
      </c>
      <c r="E116" t="inlineStr">
        <is>
          <t>NORRTÄLJE</t>
        </is>
      </c>
      <c r="G116" t="n">
        <v>1</v>
      </c>
      <c r="H116" t="n">
        <v>0</v>
      </c>
      <c r="I116" t="n">
        <v>1</v>
      </c>
      <c r="J116" t="n">
        <v>1</v>
      </c>
      <c r="K116" t="n">
        <v>0</v>
      </c>
      <c r="L116" t="n">
        <v>0</v>
      </c>
      <c r="M116" t="n">
        <v>0</v>
      </c>
      <c r="N116" t="n">
        <v>0</v>
      </c>
      <c r="O116" t="n">
        <v>1</v>
      </c>
      <c r="P116" t="n">
        <v>0</v>
      </c>
      <c r="Q116" t="n">
        <v>2</v>
      </c>
      <c r="R116" s="2" t="inlineStr">
        <is>
          <t>Fjällig taggsvamp s.str.
Strimspindling</t>
        </is>
      </c>
      <c r="S116">
        <f>HYPERLINK("https://klasma.github.io/Logging_0188/artfynd/A 52825-2023 artfynd.xlsx", "A 52825-2023")</f>
        <v/>
      </c>
      <c r="T116">
        <f>HYPERLINK("https://klasma.github.io/Logging_0188/kartor/A 52825-2023 karta.png", "A 52825-2023")</f>
        <v/>
      </c>
      <c r="V116">
        <f>HYPERLINK("https://klasma.github.io/Logging_0188/klagomål/A 52825-2023 FSC-klagomål.docx", "A 52825-2023")</f>
        <v/>
      </c>
      <c r="W116">
        <f>HYPERLINK("https://klasma.github.io/Logging_0188/klagomålsmail/A 52825-2023 FSC-klagomål mail.docx", "A 52825-2023")</f>
        <v/>
      </c>
      <c r="X116">
        <f>HYPERLINK("https://klasma.github.io/Logging_0188/tillsyn/A 52825-2023 tillsynsbegäran.docx", "A 52825-2023")</f>
        <v/>
      </c>
      <c r="Y116">
        <f>HYPERLINK("https://klasma.github.io/Logging_0188/tillsynsmail/A 52825-2023 tillsynsbegäran mail.docx", "A 52825-2023")</f>
        <v/>
      </c>
    </row>
    <row r="117" ht="15" customHeight="1">
      <c r="A117" t="inlineStr">
        <is>
          <t>A 50854-2022</t>
        </is>
      </c>
      <c r="B117" s="1" t="n">
        <v>44863</v>
      </c>
      <c r="C117" s="1" t="n">
        <v>46203</v>
      </c>
      <c r="D117" t="inlineStr">
        <is>
          <t>STOCKHOLMS LÄN</t>
        </is>
      </c>
      <c r="E117" t="inlineStr">
        <is>
          <t>NORRTÄLJE</t>
        </is>
      </c>
      <c r="G117" t="n">
        <v>2.9</v>
      </c>
      <c r="H117" t="n">
        <v>1</v>
      </c>
      <c r="I117" t="n">
        <v>1</v>
      </c>
      <c r="J117" t="n">
        <v>1</v>
      </c>
      <c r="K117" t="n">
        <v>0</v>
      </c>
      <c r="L117" t="n">
        <v>0</v>
      </c>
      <c r="M117" t="n">
        <v>0</v>
      </c>
      <c r="N117" t="n">
        <v>0</v>
      </c>
      <c r="O117" t="n">
        <v>1</v>
      </c>
      <c r="P117" t="n">
        <v>0</v>
      </c>
      <c r="Q117" t="n">
        <v>2</v>
      </c>
      <c r="R117" s="2" t="inlineStr">
        <is>
          <t>Mindre hackspett
Tibast</t>
        </is>
      </c>
      <c r="S117">
        <f>HYPERLINK("https://klasma.github.io/Logging_0188/artfynd/A 50854-2022 artfynd.xlsx", "A 50854-2022")</f>
        <v/>
      </c>
      <c r="T117">
        <f>HYPERLINK("https://klasma.github.io/Logging_0188/kartor/A 50854-2022 karta.png", "A 50854-2022")</f>
        <v/>
      </c>
      <c r="V117">
        <f>HYPERLINK("https://klasma.github.io/Logging_0188/klagomål/A 50854-2022 FSC-klagomål.docx", "A 50854-2022")</f>
        <v/>
      </c>
      <c r="W117">
        <f>HYPERLINK("https://klasma.github.io/Logging_0188/klagomålsmail/A 50854-2022 FSC-klagomål mail.docx", "A 50854-2022")</f>
        <v/>
      </c>
      <c r="X117">
        <f>HYPERLINK("https://klasma.github.io/Logging_0188/tillsyn/A 50854-2022 tillsynsbegäran.docx", "A 50854-2022")</f>
        <v/>
      </c>
      <c r="Y117">
        <f>HYPERLINK("https://klasma.github.io/Logging_0188/tillsynsmail/A 50854-2022 tillsynsbegäran mail.docx", "A 50854-2022")</f>
        <v/>
      </c>
      <c r="Z117">
        <f>HYPERLINK("https://klasma.github.io/Logging_0188/fåglar/A 50854-2022 prioriterade fågelarter.docx", "A 50854-2022")</f>
        <v/>
      </c>
    </row>
    <row r="118" ht="15" customHeight="1">
      <c r="A118" t="inlineStr">
        <is>
          <t>A 52124-2022</t>
        </is>
      </c>
      <c r="B118" s="1" t="n">
        <v>44868</v>
      </c>
      <c r="C118" s="1" t="n">
        <v>46203</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31827-2023</t>
        </is>
      </c>
      <c r="B119" s="1" t="n">
        <v>45118</v>
      </c>
      <c r="C119" s="1" t="n">
        <v>46203</v>
      </c>
      <c r="D119" t="inlineStr">
        <is>
          <t>STOCKHOLMS LÄN</t>
        </is>
      </c>
      <c r="E119" t="inlineStr">
        <is>
          <t>NORRTÄLJE</t>
        </is>
      </c>
      <c r="F119" t="inlineStr">
        <is>
          <t>Kyrkan</t>
        </is>
      </c>
      <c r="G119" t="n">
        <v>4.9</v>
      </c>
      <c r="H119" t="n">
        <v>1</v>
      </c>
      <c r="I119" t="n">
        <v>0</v>
      </c>
      <c r="J119" t="n">
        <v>1</v>
      </c>
      <c r="K119" t="n">
        <v>0</v>
      </c>
      <c r="L119" t="n">
        <v>0</v>
      </c>
      <c r="M119" t="n">
        <v>0</v>
      </c>
      <c r="N119" t="n">
        <v>0</v>
      </c>
      <c r="O119" t="n">
        <v>1</v>
      </c>
      <c r="P119" t="n">
        <v>0</v>
      </c>
      <c r="Q119" t="n">
        <v>2</v>
      </c>
      <c r="R119" s="2" t="inlineStr">
        <is>
          <t>Sårläka
Blåsippa</t>
        </is>
      </c>
      <c r="S119">
        <f>HYPERLINK("https://klasma.github.io/Logging_0188/artfynd/A 31827-2023 artfynd.xlsx", "A 31827-2023")</f>
        <v/>
      </c>
      <c r="T119">
        <f>HYPERLINK("https://klasma.github.io/Logging_0188/kartor/A 31827-2023 karta.png", "A 31827-2023")</f>
        <v/>
      </c>
      <c r="V119">
        <f>HYPERLINK("https://klasma.github.io/Logging_0188/klagomål/A 31827-2023 FSC-klagomål.docx", "A 31827-2023")</f>
        <v/>
      </c>
      <c r="W119">
        <f>HYPERLINK("https://klasma.github.io/Logging_0188/klagomålsmail/A 31827-2023 FSC-klagomål mail.docx", "A 31827-2023")</f>
        <v/>
      </c>
      <c r="X119">
        <f>HYPERLINK("https://klasma.github.io/Logging_0188/tillsyn/A 31827-2023 tillsynsbegäran.docx", "A 31827-2023")</f>
        <v/>
      </c>
      <c r="Y119">
        <f>HYPERLINK("https://klasma.github.io/Logging_0188/tillsynsmail/A 31827-2023 tillsynsbegäran mail.docx", "A 31827-2023")</f>
        <v/>
      </c>
    </row>
    <row r="120" ht="15" customHeight="1">
      <c r="A120" t="inlineStr">
        <is>
          <t>A 1547-2022</t>
        </is>
      </c>
      <c r="B120" s="1" t="n">
        <v>44573</v>
      </c>
      <c r="C120" s="1" t="n">
        <v>46203</v>
      </c>
      <c r="D120" t="inlineStr">
        <is>
          <t>STOCKHOLMS LÄN</t>
        </is>
      </c>
      <c r="E120" t="inlineStr">
        <is>
          <t>NORRTÄLJE</t>
        </is>
      </c>
      <c r="G120" t="n">
        <v>1.8</v>
      </c>
      <c r="H120" t="n">
        <v>1</v>
      </c>
      <c r="I120" t="n">
        <v>0</v>
      </c>
      <c r="J120" t="n">
        <v>0</v>
      </c>
      <c r="K120" t="n">
        <v>1</v>
      </c>
      <c r="L120" t="n">
        <v>0</v>
      </c>
      <c r="M120" t="n">
        <v>0</v>
      </c>
      <c r="N120" t="n">
        <v>0</v>
      </c>
      <c r="O120" t="n">
        <v>1</v>
      </c>
      <c r="P120" t="n">
        <v>1</v>
      </c>
      <c r="Q120" t="n">
        <v>1</v>
      </c>
      <c r="R120" s="2" t="inlineStr">
        <is>
          <t>Hällebräcka</t>
        </is>
      </c>
      <c r="S120">
        <f>HYPERLINK("https://klasma.github.io/Logging_0188/artfynd/A 1547-2022 artfynd.xlsx", "A 1547-2022")</f>
        <v/>
      </c>
      <c r="T120">
        <f>HYPERLINK("https://klasma.github.io/Logging_0188/kartor/A 1547-2022 karta.png", "A 1547-2022")</f>
        <v/>
      </c>
      <c r="V120">
        <f>HYPERLINK("https://klasma.github.io/Logging_0188/klagomål/A 1547-2022 FSC-klagomål.docx", "A 1547-2022")</f>
        <v/>
      </c>
      <c r="W120">
        <f>HYPERLINK("https://klasma.github.io/Logging_0188/klagomålsmail/A 1547-2022 FSC-klagomål mail.docx", "A 1547-2022")</f>
        <v/>
      </c>
      <c r="X120">
        <f>HYPERLINK("https://klasma.github.io/Logging_0188/tillsyn/A 1547-2022 tillsynsbegäran.docx", "A 1547-2022")</f>
        <v/>
      </c>
      <c r="Y120">
        <f>HYPERLINK("https://klasma.github.io/Logging_0188/tillsynsmail/A 1547-2022 tillsynsbegäran mail.docx", "A 1547-2022")</f>
        <v/>
      </c>
    </row>
    <row r="121" ht="15" customHeight="1">
      <c r="A121" t="inlineStr">
        <is>
          <t>A 52133-2022</t>
        </is>
      </c>
      <c r="B121" s="1" t="n">
        <v>44868</v>
      </c>
      <c r="C121" s="1" t="n">
        <v>46203</v>
      </c>
      <c r="D121" t="inlineStr">
        <is>
          <t>STOCKHOLMS LÄN</t>
        </is>
      </c>
      <c r="E121" t="inlineStr">
        <is>
          <t>NORRTÄLJE</t>
        </is>
      </c>
      <c r="G121" t="n">
        <v>11.5</v>
      </c>
      <c r="H121" t="n">
        <v>1</v>
      </c>
      <c r="I121" t="n">
        <v>0</v>
      </c>
      <c r="J121" t="n">
        <v>0</v>
      </c>
      <c r="K121" t="n">
        <v>1</v>
      </c>
      <c r="L121" t="n">
        <v>0</v>
      </c>
      <c r="M121" t="n">
        <v>0</v>
      </c>
      <c r="N121" t="n">
        <v>0</v>
      </c>
      <c r="O121" t="n">
        <v>1</v>
      </c>
      <c r="P121" t="n">
        <v>1</v>
      </c>
      <c r="Q121" t="n">
        <v>1</v>
      </c>
      <c r="R121" s="2" t="inlineStr">
        <is>
          <t>Knärot</t>
        </is>
      </c>
      <c r="S121">
        <f>HYPERLINK("https://klasma.github.io/Logging_0188/artfynd/A 52133-2022 artfynd.xlsx", "A 52133-2022")</f>
        <v/>
      </c>
      <c r="T121">
        <f>HYPERLINK("https://klasma.github.io/Logging_0188/kartor/A 52133-2022 karta.png", "A 52133-2022")</f>
        <v/>
      </c>
      <c r="U121">
        <f>HYPERLINK("https://klasma.github.io/Logging_0188/knärot/A 52133-2022 karta knärot.png", "A 52133-2022")</f>
        <v/>
      </c>
      <c r="V121">
        <f>HYPERLINK("https://klasma.github.io/Logging_0188/klagomål/A 52133-2022 FSC-klagomål.docx", "A 52133-2022")</f>
        <v/>
      </c>
      <c r="W121">
        <f>HYPERLINK("https://klasma.github.io/Logging_0188/klagomålsmail/A 52133-2022 FSC-klagomål mail.docx", "A 52133-2022")</f>
        <v/>
      </c>
      <c r="X121">
        <f>HYPERLINK("https://klasma.github.io/Logging_0188/tillsyn/A 52133-2022 tillsynsbegäran.docx", "A 52133-2022")</f>
        <v/>
      </c>
      <c r="Y121">
        <f>HYPERLINK("https://klasma.github.io/Logging_0188/tillsynsmail/A 52133-2022 tillsynsbegäran mail.docx", "A 52133-2022")</f>
        <v/>
      </c>
    </row>
    <row r="122" ht="15" customHeight="1">
      <c r="A122" t="inlineStr">
        <is>
          <t>A 188-2022</t>
        </is>
      </c>
      <c r="B122" s="1" t="n">
        <v>44564</v>
      </c>
      <c r="C122" s="1" t="n">
        <v>46203</v>
      </c>
      <c r="D122" t="inlineStr">
        <is>
          <t>STOCKHOLMS LÄN</t>
        </is>
      </c>
      <c r="E122" t="inlineStr">
        <is>
          <t>NORRTÄLJE</t>
        </is>
      </c>
      <c r="G122" t="n">
        <v>4.1</v>
      </c>
      <c r="H122" t="n">
        <v>0</v>
      </c>
      <c r="I122" t="n">
        <v>1</v>
      </c>
      <c r="J122" t="n">
        <v>0</v>
      </c>
      <c r="K122" t="n">
        <v>0</v>
      </c>
      <c r="L122" t="n">
        <v>0</v>
      </c>
      <c r="M122" t="n">
        <v>0</v>
      </c>
      <c r="N122" t="n">
        <v>0</v>
      </c>
      <c r="O122" t="n">
        <v>0</v>
      </c>
      <c r="P122" t="n">
        <v>0</v>
      </c>
      <c r="Q122" t="n">
        <v>1</v>
      </c>
      <c r="R122" s="2" t="inlineStr">
        <is>
          <t>Svart trolldruva</t>
        </is>
      </c>
      <c r="S122">
        <f>HYPERLINK("https://klasma.github.io/Logging_0188/artfynd/A 188-2022 artfynd.xlsx", "A 188-2022")</f>
        <v/>
      </c>
      <c r="T122">
        <f>HYPERLINK("https://klasma.github.io/Logging_0188/kartor/A 188-2022 karta.png", "A 188-2022")</f>
        <v/>
      </c>
      <c r="V122">
        <f>HYPERLINK("https://klasma.github.io/Logging_0188/klagomål/A 188-2022 FSC-klagomål.docx", "A 188-2022")</f>
        <v/>
      </c>
      <c r="W122">
        <f>HYPERLINK("https://klasma.github.io/Logging_0188/klagomålsmail/A 188-2022 FSC-klagomål mail.docx", "A 188-2022")</f>
        <v/>
      </c>
      <c r="X122">
        <f>HYPERLINK("https://klasma.github.io/Logging_0188/tillsyn/A 188-2022 tillsynsbegäran.docx", "A 188-2022")</f>
        <v/>
      </c>
      <c r="Y122">
        <f>HYPERLINK("https://klasma.github.io/Logging_0188/tillsynsmail/A 188-2022 tillsynsbegäran mail.docx", "A 188-2022")</f>
        <v/>
      </c>
    </row>
    <row r="123" ht="15" customHeight="1">
      <c r="A123" t="inlineStr">
        <is>
          <t>A 48492-2022</t>
        </is>
      </c>
      <c r="B123" s="1" t="n">
        <v>44858</v>
      </c>
      <c r="C123" s="1" t="n">
        <v>46203</v>
      </c>
      <c r="D123" t="inlineStr">
        <is>
          <t>STOCKHOLMS LÄN</t>
        </is>
      </c>
      <c r="E123" t="inlineStr">
        <is>
          <t>NORRTÄLJE</t>
        </is>
      </c>
      <c r="G123" t="n">
        <v>0.7</v>
      </c>
      <c r="H123" t="n">
        <v>1</v>
      </c>
      <c r="I123" t="n">
        <v>0</v>
      </c>
      <c r="J123" t="n">
        <v>1</v>
      </c>
      <c r="K123" t="n">
        <v>0</v>
      </c>
      <c r="L123" t="n">
        <v>0</v>
      </c>
      <c r="M123" t="n">
        <v>0</v>
      </c>
      <c r="N123" t="n">
        <v>0</v>
      </c>
      <c r="O123" t="n">
        <v>1</v>
      </c>
      <c r="P123" t="n">
        <v>0</v>
      </c>
      <c r="Q123" t="n">
        <v>1</v>
      </c>
      <c r="R123" s="2" t="inlineStr">
        <is>
          <t>Gulsparv</t>
        </is>
      </c>
      <c r="S123">
        <f>HYPERLINK("https://klasma.github.io/Logging_0188/artfynd/A 48492-2022 artfynd.xlsx", "A 48492-2022")</f>
        <v/>
      </c>
      <c r="T123">
        <f>HYPERLINK("https://klasma.github.io/Logging_0188/kartor/A 48492-2022 karta.png", "A 48492-2022")</f>
        <v/>
      </c>
      <c r="V123">
        <f>HYPERLINK("https://klasma.github.io/Logging_0188/klagomål/A 48492-2022 FSC-klagomål.docx", "A 48492-2022")</f>
        <v/>
      </c>
      <c r="W123">
        <f>HYPERLINK("https://klasma.github.io/Logging_0188/klagomålsmail/A 48492-2022 FSC-klagomål mail.docx", "A 48492-2022")</f>
        <v/>
      </c>
      <c r="X123">
        <f>HYPERLINK("https://klasma.github.io/Logging_0188/tillsyn/A 48492-2022 tillsynsbegäran.docx", "A 48492-2022")</f>
        <v/>
      </c>
      <c r="Y123">
        <f>HYPERLINK("https://klasma.github.io/Logging_0188/tillsynsmail/A 48492-2022 tillsynsbegäran mail.docx", "A 48492-2022")</f>
        <v/>
      </c>
      <c r="Z123">
        <f>HYPERLINK("https://klasma.github.io/Logging_0188/fåglar/A 48492-2022 prioriterade fågelarter.docx", "A 48492-2022")</f>
        <v/>
      </c>
    </row>
    <row r="124" ht="15" customHeight="1">
      <c r="A124" t="inlineStr">
        <is>
          <t>A 60209-2021</t>
        </is>
      </c>
      <c r="B124" s="1" t="n">
        <v>44495</v>
      </c>
      <c r="C124" s="1" t="n">
        <v>46203</v>
      </c>
      <c r="D124" t="inlineStr">
        <is>
          <t>STOCKHOLMS LÄN</t>
        </is>
      </c>
      <c r="E124" t="inlineStr">
        <is>
          <t>NORRTÄLJE</t>
        </is>
      </c>
      <c r="G124" t="n">
        <v>4.3</v>
      </c>
      <c r="H124" t="n">
        <v>1</v>
      </c>
      <c r="I124" t="n">
        <v>0</v>
      </c>
      <c r="J124" t="n">
        <v>0</v>
      </c>
      <c r="K124" t="n">
        <v>0</v>
      </c>
      <c r="L124" t="n">
        <v>0</v>
      </c>
      <c r="M124" t="n">
        <v>0</v>
      </c>
      <c r="N124" t="n">
        <v>0</v>
      </c>
      <c r="O124" t="n">
        <v>0</v>
      </c>
      <c r="P124" t="n">
        <v>0</v>
      </c>
      <c r="Q124" t="n">
        <v>1</v>
      </c>
      <c r="R124" s="2" t="inlineStr">
        <is>
          <t>Blåsippa</t>
        </is>
      </c>
      <c r="S124">
        <f>HYPERLINK("https://klasma.github.io/Logging_0188/artfynd/A 60209-2021 artfynd.xlsx", "A 60209-2021")</f>
        <v/>
      </c>
      <c r="T124">
        <f>HYPERLINK("https://klasma.github.io/Logging_0188/kartor/A 60209-2021 karta.png", "A 60209-2021")</f>
        <v/>
      </c>
      <c r="V124">
        <f>HYPERLINK("https://klasma.github.io/Logging_0188/klagomål/A 60209-2021 FSC-klagomål.docx", "A 60209-2021")</f>
        <v/>
      </c>
      <c r="W124">
        <f>HYPERLINK("https://klasma.github.io/Logging_0188/klagomålsmail/A 60209-2021 FSC-klagomål mail.docx", "A 60209-2021")</f>
        <v/>
      </c>
      <c r="X124">
        <f>HYPERLINK("https://klasma.github.io/Logging_0188/tillsyn/A 60209-2021 tillsynsbegäran.docx", "A 60209-2021")</f>
        <v/>
      </c>
      <c r="Y124">
        <f>HYPERLINK("https://klasma.github.io/Logging_0188/tillsynsmail/A 60209-2021 tillsynsbegäran mail.docx", "A 60209-2021")</f>
        <v/>
      </c>
    </row>
    <row r="125" ht="15" customHeight="1">
      <c r="A125" t="inlineStr">
        <is>
          <t>A 17629-2022</t>
        </is>
      </c>
      <c r="B125" s="1" t="n">
        <v>44680</v>
      </c>
      <c r="C125" s="1" t="n">
        <v>46203</v>
      </c>
      <c r="D125" t="inlineStr">
        <is>
          <t>STOCKHOLMS LÄN</t>
        </is>
      </c>
      <c r="E125" t="inlineStr">
        <is>
          <t>NORRTÄLJE</t>
        </is>
      </c>
      <c r="G125" t="n">
        <v>0.6</v>
      </c>
      <c r="H125" t="n">
        <v>1</v>
      </c>
      <c r="I125" t="n">
        <v>0</v>
      </c>
      <c r="J125" t="n">
        <v>0</v>
      </c>
      <c r="K125" t="n">
        <v>0</v>
      </c>
      <c r="L125" t="n">
        <v>1</v>
      </c>
      <c r="M125" t="n">
        <v>0</v>
      </c>
      <c r="N125" t="n">
        <v>0</v>
      </c>
      <c r="O125" t="n">
        <v>1</v>
      </c>
      <c r="P125" t="n">
        <v>1</v>
      </c>
      <c r="Q125" t="n">
        <v>1</v>
      </c>
      <c r="R125" s="2" t="inlineStr">
        <is>
          <t>Hornuggla</t>
        </is>
      </c>
      <c r="S125">
        <f>HYPERLINK("https://klasma.github.io/Logging_0188/artfynd/A 17629-2022 artfynd.xlsx", "A 17629-2022")</f>
        <v/>
      </c>
      <c r="T125">
        <f>HYPERLINK("https://klasma.github.io/Logging_0188/kartor/A 17629-2022 karta.png", "A 17629-2022")</f>
        <v/>
      </c>
      <c r="V125">
        <f>HYPERLINK("https://klasma.github.io/Logging_0188/klagomål/A 17629-2022 FSC-klagomål.docx", "A 17629-2022")</f>
        <v/>
      </c>
      <c r="W125">
        <f>HYPERLINK("https://klasma.github.io/Logging_0188/klagomålsmail/A 17629-2022 FSC-klagomål mail.docx", "A 17629-2022")</f>
        <v/>
      </c>
      <c r="X125">
        <f>HYPERLINK("https://klasma.github.io/Logging_0188/tillsyn/A 17629-2022 tillsynsbegäran.docx", "A 17629-2022")</f>
        <v/>
      </c>
      <c r="Y125">
        <f>HYPERLINK("https://klasma.github.io/Logging_0188/tillsynsmail/A 17629-2022 tillsynsbegäran mail.docx", "A 17629-2022")</f>
        <v/>
      </c>
      <c r="Z125">
        <f>HYPERLINK("https://klasma.github.io/Logging_0188/fåglar/A 17629-2022 prioriterade fågelarter.docx", "A 17629-2022")</f>
        <v/>
      </c>
    </row>
    <row r="126" ht="15" customHeight="1">
      <c r="A126" t="inlineStr">
        <is>
          <t>A 52139-2022</t>
        </is>
      </c>
      <c r="B126" s="1" t="n">
        <v>44868</v>
      </c>
      <c r="C126" s="1" t="n">
        <v>46203</v>
      </c>
      <c r="D126" t="inlineStr">
        <is>
          <t>STOCKHOLMS LÄN</t>
        </is>
      </c>
      <c r="E126" t="inlineStr">
        <is>
          <t>NORRTÄLJE</t>
        </is>
      </c>
      <c r="G126" t="n">
        <v>3.2</v>
      </c>
      <c r="H126" t="n">
        <v>1</v>
      </c>
      <c r="I126" t="n">
        <v>0</v>
      </c>
      <c r="J126" t="n">
        <v>0</v>
      </c>
      <c r="K126" t="n">
        <v>1</v>
      </c>
      <c r="L126" t="n">
        <v>0</v>
      </c>
      <c r="M126" t="n">
        <v>0</v>
      </c>
      <c r="N126" t="n">
        <v>0</v>
      </c>
      <c r="O126" t="n">
        <v>1</v>
      </c>
      <c r="P126" t="n">
        <v>1</v>
      </c>
      <c r="Q126" t="n">
        <v>1</v>
      </c>
      <c r="R126" s="2" t="inlineStr">
        <is>
          <t>Knärot</t>
        </is>
      </c>
      <c r="S126">
        <f>HYPERLINK("https://klasma.github.io/Logging_0188/artfynd/A 52139-2022 artfynd.xlsx", "A 52139-2022")</f>
        <v/>
      </c>
      <c r="T126">
        <f>HYPERLINK("https://klasma.github.io/Logging_0188/kartor/A 52139-2022 karta.png", "A 52139-2022")</f>
        <v/>
      </c>
      <c r="U126">
        <f>HYPERLINK("https://klasma.github.io/Logging_0188/knärot/A 52139-2022 karta knärot.png", "A 52139-2022")</f>
        <v/>
      </c>
      <c r="V126">
        <f>HYPERLINK("https://klasma.github.io/Logging_0188/klagomål/A 52139-2022 FSC-klagomål.docx", "A 52139-2022")</f>
        <v/>
      </c>
      <c r="W126">
        <f>HYPERLINK("https://klasma.github.io/Logging_0188/klagomålsmail/A 52139-2022 FSC-klagomål mail.docx", "A 52139-2022")</f>
        <v/>
      </c>
      <c r="X126">
        <f>HYPERLINK("https://klasma.github.io/Logging_0188/tillsyn/A 52139-2022 tillsynsbegäran.docx", "A 52139-2022")</f>
        <v/>
      </c>
      <c r="Y126">
        <f>HYPERLINK("https://klasma.github.io/Logging_0188/tillsynsmail/A 52139-2022 tillsynsbegäran mail.docx", "A 52139-2022")</f>
        <v/>
      </c>
    </row>
    <row r="127" ht="15" customHeight="1">
      <c r="A127" t="inlineStr">
        <is>
          <t>A 15226-2022</t>
        </is>
      </c>
      <c r="B127" s="1" t="n">
        <v>44658</v>
      </c>
      <c r="C127" s="1" t="n">
        <v>46203</v>
      </c>
      <c r="D127" t="inlineStr">
        <is>
          <t>STOCKHOLMS LÄN</t>
        </is>
      </c>
      <c r="E127" t="inlineStr">
        <is>
          <t>NORRTÄLJE</t>
        </is>
      </c>
      <c r="G127" t="n">
        <v>1.1</v>
      </c>
      <c r="H127" t="n">
        <v>1</v>
      </c>
      <c r="I127" t="n">
        <v>0</v>
      </c>
      <c r="J127" t="n">
        <v>0</v>
      </c>
      <c r="K127" t="n">
        <v>1</v>
      </c>
      <c r="L127" t="n">
        <v>0</v>
      </c>
      <c r="M127" t="n">
        <v>0</v>
      </c>
      <c r="N127" t="n">
        <v>0</v>
      </c>
      <c r="O127" t="n">
        <v>1</v>
      </c>
      <c r="P127" t="n">
        <v>1</v>
      </c>
      <c r="Q127" t="n">
        <v>1</v>
      </c>
      <c r="R127" s="2" t="inlineStr">
        <is>
          <t>Tofsvipa</t>
        </is>
      </c>
      <c r="S127">
        <f>HYPERLINK("https://klasma.github.io/Logging_0188/artfynd/A 15226-2022 artfynd.xlsx", "A 15226-2022")</f>
        <v/>
      </c>
      <c r="T127">
        <f>HYPERLINK("https://klasma.github.io/Logging_0188/kartor/A 15226-2022 karta.png", "A 15226-2022")</f>
        <v/>
      </c>
      <c r="V127">
        <f>HYPERLINK("https://klasma.github.io/Logging_0188/klagomål/A 15226-2022 FSC-klagomål.docx", "A 15226-2022")</f>
        <v/>
      </c>
      <c r="W127">
        <f>HYPERLINK("https://klasma.github.io/Logging_0188/klagomålsmail/A 15226-2022 FSC-klagomål mail.docx", "A 15226-2022")</f>
        <v/>
      </c>
      <c r="X127">
        <f>HYPERLINK("https://klasma.github.io/Logging_0188/tillsyn/A 15226-2022 tillsynsbegäran.docx", "A 15226-2022")</f>
        <v/>
      </c>
      <c r="Y127">
        <f>HYPERLINK("https://klasma.github.io/Logging_0188/tillsynsmail/A 15226-2022 tillsynsbegäran mail.docx", "A 15226-2022")</f>
        <v/>
      </c>
    </row>
    <row r="128" ht="15" customHeight="1">
      <c r="A128" t="inlineStr">
        <is>
          <t>A 12348-2025</t>
        </is>
      </c>
      <c r="B128" s="1" t="n">
        <v>45730</v>
      </c>
      <c r="C128" s="1" t="n">
        <v>46203</v>
      </c>
      <c r="D128" t="inlineStr">
        <is>
          <t>STOCKHOLMS LÄN</t>
        </is>
      </c>
      <c r="E128" t="inlineStr">
        <is>
          <t>NORRTÄLJE</t>
        </is>
      </c>
      <c r="G128" t="n">
        <v>1.5</v>
      </c>
      <c r="H128" t="n">
        <v>0</v>
      </c>
      <c r="I128" t="n">
        <v>0</v>
      </c>
      <c r="J128" t="n">
        <v>0</v>
      </c>
      <c r="K128" t="n">
        <v>1</v>
      </c>
      <c r="L128" t="n">
        <v>0</v>
      </c>
      <c r="M128" t="n">
        <v>0</v>
      </c>
      <c r="N128" t="n">
        <v>0</v>
      </c>
      <c r="O128" t="n">
        <v>1</v>
      </c>
      <c r="P128" t="n">
        <v>1</v>
      </c>
      <c r="Q128" t="n">
        <v>1</v>
      </c>
      <c r="R128" s="2" t="inlineStr">
        <is>
          <t>Plattsäv</t>
        </is>
      </c>
      <c r="S128">
        <f>HYPERLINK("https://klasma.github.io/Logging_0188/artfynd/A 12348-2025 artfynd.xlsx", "A 12348-2025")</f>
        <v/>
      </c>
      <c r="T128">
        <f>HYPERLINK("https://klasma.github.io/Logging_0188/kartor/A 12348-2025 karta.png", "A 12348-2025")</f>
        <v/>
      </c>
      <c r="V128">
        <f>HYPERLINK("https://klasma.github.io/Logging_0188/klagomål/A 12348-2025 FSC-klagomål.docx", "A 12348-2025")</f>
        <v/>
      </c>
      <c r="W128">
        <f>HYPERLINK("https://klasma.github.io/Logging_0188/klagomålsmail/A 12348-2025 FSC-klagomål mail.docx", "A 12348-2025")</f>
        <v/>
      </c>
      <c r="X128">
        <f>HYPERLINK("https://klasma.github.io/Logging_0188/tillsyn/A 12348-2025 tillsynsbegäran.docx", "A 12348-2025")</f>
        <v/>
      </c>
      <c r="Y128">
        <f>HYPERLINK("https://klasma.github.io/Logging_0188/tillsynsmail/A 12348-2025 tillsynsbegäran mail.docx", "A 12348-2025")</f>
        <v/>
      </c>
    </row>
    <row r="129" ht="15" customHeight="1">
      <c r="A129" t="inlineStr">
        <is>
          <t>A 32111-2022</t>
        </is>
      </c>
      <c r="B129" s="1" t="n">
        <v>44778</v>
      </c>
      <c r="C129" s="1" t="n">
        <v>46203</v>
      </c>
      <c r="D129" t="inlineStr">
        <is>
          <t>STOCKHOLMS LÄN</t>
        </is>
      </c>
      <c r="E129" t="inlineStr">
        <is>
          <t>NORRTÄLJE</t>
        </is>
      </c>
      <c r="G129" t="n">
        <v>3.1</v>
      </c>
      <c r="H129" t="n">
        <v>0</v>
      </c>
      <c r="I129" t="n">
        <v>0</v>
      </c>
      <c r="J129" t="n">
        <v>1</v>
      </c>
      <c r="K129" t="n">
        <v>0</v>
      </c>
      <c r="L129" t="n">
        <v>0</v>
      </c>
      <c r="M129" t="n">
        <v>0</v>
      </c>
      <c r="N129" t="n">
        <v>0</v>
      </c>
      <c r="O129" t="n">
        <v>1</v>
      </c>
      <c r="P129" t="n">
        <v>0</v>
      </c>
      <c r="Q129" t="n">
        <v>1</v>
      </c>
      <c r="R129" s="2" t="inlineStr">
        <is>
          <t>Orange taggsvamp</t>
        </is>
      </c>
      <c r="S129">
        <f>HYPERLINK("https://klasma.github.io/Logging_0188/artfynd/A 32111-2022 artfynd.xlsx", "A 32111-2022")</f>
        <v/>
      </c>
      <c r="T129">
        <f>HYPERLINK("https://klasma.github.io/Logging_0188/kartor/A 32111-2022 karta.png", "A 32111-2022")</f>
        <v/>
      </c>
      <c r="V129">
        <f>HYPERLINK("https://klasma.github.io/Logging_0188/klagomål/A 32111-2022 FSC-klagomål.docx", "A 32111-2022")</f>
        <v/>
      </c>
      <c r="W129">
        <f>HYPERLINK("https://klasma.github.io/Logging_0188/klagomålsmail/A 32111-2022 FSC-klagomål mail.docx", "A 32111-2022")</f>
        <v/>
      </c>
      <c r="X129">
        <f>HYPERLINK("https://klasma.github.io/Logging_0188/tillsyn/A 32111-2022 tillsynsbegäran.docx", "A 32111-2022")</f>
        <v/>
      </c>
      <c r="Y129">
        <f>HYPERLINK("https://klasma.github.io/Logging_0188/tillsynsmail/A 32111-2022 tillsynsbegäran mail.docx", "A 32111-2022")</f>
        <v/>
      </c>
    </row>
    <row r="130" ht="15" customHeight="1">
      <c r="A130" t="inlineStr">
        <is>
          <t>A 27381-2024</t>
        </is>
      </c>
      <c r="B130" s="1" t="n">
        <v>45473</v>
      </c>
      <c r="C130" s="1" t="n">
        <v>46203</v>
      </c>
      <c r="D130" t="inlineStr">
        <is>
          <t>STOCKHOLMS LÄN</t>
        </is>
      </c>
      <c r="E130" t="inlineStr">
        <is>
          <t>NORRTÄLJE</t>
        </is>
      </c>
      <c r="G130" t="n">
        <v>4.5</v>
      </c>
      <c r="H130" t="n">
        <v>1</v>
      </c>
      <c r="I130" t="n">
        <v>0</v>
      </c>
      <c r="J130" t="n">
        <v>0</v>
      </c>
      <c r="K130" t="n">
        <v>0</v>
      </c>
      <c r="L130" t="n">
        <v>0</v>
      </c>
      <c r="M130" t="n">
        <v>0</v>
      </c>
      <c r="N130" t="n">
        <v>0</v>
      </c>
      <c r="O130" t="n">
        <v>0</v>
      </c>
      <c r="P130" t="n">
        <v>0</v>
      </c>
      <c r="Q130" t="n">
        <v>1</v>
      </c>
      <c r="R130" s="2" t="inlineStr">
        <is>
          <t>Trana</t>
        </is>
      </c>
      <c r="S130">
        <f>HYPERLINK("https://klasma.github.io/Logging_0188/artfynd/A 27381-2024 artfynd.xlsx", "A 27381-2024")</f>
        <v/>
      </c>
      <c r="T130">
        <f>HYPERLINK("https://klasma.github.io/Logging_0188/kartor/A 27381-2024 karta.png", "A 27381-2024")</f>
        <v/>
      </c>
      <c r="V130">
        <f>HYPERLINK("https://klasma.github.io/Logging_0188/klagomål/A 27381-2024 FSC-klagomål.docx", "A 27381-2024")</f>
        <v/>
      </c>
      <c r="W130">
        <f>HYPERLINK("https://klasma.github.io/Logging_0188/klagomålsmail/A 27381-2024 FSC-klagomål mail.docx", "A 27381-2024")</f>
        <v/>
      </c>
      <c r="X130">
        <f>HYPERLINK("https://klasma.github.io/Logging_0188/tillsyn/A 27381-2024 tillsynsbegäran.docx", "A 27381-2024")</f>
        <v/>
      </c>
      <c r="Y130">
        <f>HYPERLINK("https://klasma.github.io/Logging_0188/tillsynsmail/A 27381-2024 tillsynsbegäran mail.docx", "A 27381-2024")</f>
        <v/>
      </c>
      <c r="Z130">
        <f>HYPERLINK("https://klasma.github.io/Logging_0188/fåglar/A 27381-2024 prioriterade fågelarter.docx", "A 27381-2024")</f>
        <v/>
      </c>
    </row>
    <row r="131" ht="15" customHeight="1">
      <c r="A131" t="inlineStr">
        <is>
          <t>A 9955-2022</t>
        </is>
      </c>
      <c r="B131" s="1" t="n">
        <v>44620</v>
      </c>
      <c r="C131" s="1" t="n">
        <v>46203</v>
      </c>
      <c r="D131" t="inlineStr">
        <is>
          <t>STOCKHOLMS LÄN</t>
        </is>
      </c>
      <c r="E131" t="inlineStr">
        <is>
          <t>NORRTÄLJE</t>
        </is>
      </c>
      <c r="G131" t="n">
        <v>7.8</v>
      </c>
      <c r="H131" t="n">
        <v>1</v>
      </c>
      <c r="I131" t="n">
        <v>0</v>
      </c>
      <c r="J131" t="n">
        <v>0</v>
      </c>
      <c r="K131" t="n">
        <v>0</v>
      </c>
      <c r="L131" t="n">
        <v>0</v>
      </c>
      <c r="M131" t="n">
        <v>0</v>
      </c>
      <c r="N131" t="n">
        <v>0</v>
      </c>
      <c r="O131" t="n">
        <v>0</v>
      </c>
      <c r="P131" t="n">
        <v>0</v>
      </c>
      <c r="Q131" t="n">
        <v>1</v>
      </c>
      <c r="R131" s="2" t="inlineStr">
        <is>
          <t>Åkergroda</t>
        </is>
      </c>
      <c r="S131">
        <f>HYPERLINK("https://klasma.github.io/Logging_0188/artfynd/A 9955-2022 artfynd.xlsx", "A 9955-2022")</f>
        <v/>
      </c>
      <c r="T131">
        <f>HYPERLINK("https://klasma.github.io/Logging_0188/kartor/A 9955-2022 karta.png", "A 9955-2022")</f>
        <v/>
      </c>
      <c r="V131">
        <f>HYPERLINK("https://klasma.github.io/Logging_0188/klagomål/A 9955-2022 FSC-klagomål.docx", "A 9955-2022")</f>
        <v/>
      </c>
      <c r="W131">
        <f>HYPERLINK("https://klasma.github.io/Logging_0188/klagomålsmail/A 9955-2022 FSC-klagomål mail.docx", "A 9955-2022")</f>
        <v/>
      </c>
      <c r="X131">
        <f>HYPERLINK("https://klasma.github.io/Logging_0188/tillsyn/A 9955-2022 tillsynsbegäran.docx", "A 9955-2022")</f>
        <v/>
      </c>
      <c r="Y131">
        <f>HYPERLINK("https://klasma.github.io/Logging_0188/tillsynsmail/A 9955-2022 tillsynsbegäran mail.docx", "A 9955-2022")</f>
        <v/>
      </c>
    </row>
    <row r="132" ht="15" customHeight="1">
      <c r="A132" t="inlineStr">
        <is>
          <t>A 24563-2024</t>
        </is>
      </c>
      <c r="B132" s="1" t="n">
        <v>45460</v>
      </c>
      <c r="C132" s="1" t="n">
        <v>46203</v>
      </c>
      <c r="D132" t="inlineStr">
        <is>
          <t>STOCKHOLMS LÄN</t>
        </is>
      </c>
      <c r="E132" t="inlineStr">
        <is>
          <t>NORRTÄLJE</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HYPERLINK("https://klasma.github.io/Logging_0188/artfynd/A 24563-2024 artfynd.xlsx", "A 24563-2024")</f>
        <v/>
      </c>
      <c r="T132">
        <f>HYPERLINK("https://klasma.github.io/Logging_0188/kartor/A 24563-2024 karta.png", "A 24563-2024")</f>
        <v/>
      </c>
      <c r="V132">
        <f>HYPERLINK("https://klasma.github.io/Logging_0188/klagomål/A 24563-2024 FSC-klagomål.docx", "A 24563-2024")</f>
        <v/>
      </c>
      <c r="W132">
        <f>HYPERLINK("https://klasma.github.io/Logging_0188/klagomålsmail/A 24563-2024 FSC-klagomål mail.docx", "A 24563-2024")</f>
        <v/>
      </c>
      <c r="X132">
        <f>HYPERLINK("https://klasma.github.io/Logging_0188/tillsyn/A 24563-2024 tillsynsbegäran.docx", "A 24563-2024")</f>
        <v/>
      </c>
      <c r="Y132">
        <f>HYPERLINK("https://klasma.github.io/Logging_0188/tillsynsmail/A 24563-2024 tillsynsbegäran mail.docx", "A 24563-2024")</f>
        <v/>
      </c>
    </row>
    <row r="133" ht="15" customHeight="1">
      <c r="A133" t="inlineStr">
        <is>
          <t>A 52529-2025</t>
        </is>
      </c>
      <c r="B133" s="1" t="n">
        <v>45954</v>
      </c>
      <c r="C133" s="1" t="n">
        <v>46203</v>
      </c>
      <c r="D133" t="inlineStr">
        <is>
          <t>STOCKHOLMS LÄN</t>
        </is>
      </c>
      <c r="E133" t="inlineStr">
        <is>
          <t>NORRTÄLJE</t>
        </is>
      </c>
      <c r="F133" t="inlineStr">
        <is>
          <t>Sveaskog</t>
        </is>
      </c>
      <c r="G133" t="n">
        <v>7.8</v>
      </c>
      <c r="H133" t="n">
        <v>1</v>
      </c>
      <c r="I133" t="n">
        <v>0</v>
      </c>
      <c r="J133" t="n">
        <v>0</v>
      </c>
      <c r="K133" t="n">
        <v>0</v>
      </c>
      <c r="L133" t="n">
        <v>1</v>
      </c>
      <c r="M133" t="n">
        <v>0</v>
      </c>
      <c r="N133" t="n">
        <v>0</v>
      </c>
      <c r="O133" t="n">
        <v>1</v>
      </c>
      <c r="P133" t="n">
        <v>1</v>
      </c>
      <c r="Q133" t="n">
        <v>1</v>
      </c>
      <c r="R133" s="2" t="inlineStr">
        <is>
          <t>Pärluggla</t>
        </is>
      </c>
      <c r="S133">
        <f>HYPERLINK("https://klasma.github.io/Logging_0188/artfynd/A 52529-2025 artfynd.xlsx", "A 52529-2025")</f>
        <v/>
      </c>
      <c r="T133">
        <f>HYPERLINK("https://klasma.github.io/Logging_0188/kartor/A 52529-2025 karta.png", "A 52529-2025")</f>
        <v/>
      </c>
      <c r="V133">
        <f>HYPERLINK("https://klasma.github.io/Logging_0188/klagomål/A 52529-2025 FSC-klagomål.docx", "A 52529-2025")</f>
        <v/>
      </c>
      <c r="W133">
        <f>HYPERLINK("https://klasma.github.io/Logging_0188/klagomålsmail/A 52529-2025 FSC-klagomål mail.docx", "A 52529-2025")</f>
        <v/>
      </c>
      <c r="X133">
        <f>HYPERLINK("https://klasma.github.io/Logging_0188/tillsyn/A 52529-2025 tillsynsbegäran.docx", "A 52529-2025")</f>
        <v/>
      </c>
      <c r="Y133">
        <f>HYPERLINK("https://klasma.github.io/Logging_0188/tillsynsmail/A 52529-2025 tillsynsbegäran mail.docx", "A 52529-2025")</f>
        <v/>
      </c>
      <c r="Z133">
        <f>HYPERLINK("https://klasma.github.io/Logging_0188/fåglar/A 52529-2025 prioriterade fågelarter.docx", "A 52529-2025")</f>
        <v/>
      </c>
    </row>
    <row r="134" ht="15" customHeight="1">
      <c r="A134" t="inlineStr">
        <is>
          <t>A 40861-2025</t>
        </is>
      </c>
      <c r="B134" s="1" t="n">
        <v>45897</v>
      </c>
      <c r="C134" s="1" t="n">
        <v>46203</v>
      </c>
      <c r="D134" t="inlineStr">
        <is>
          <t>STOCKHOLMS LÄN</t>
        </is>
      </c>
      <c r="E134" t="inlineStr">
        <is>
          <t>NORRTÄLJE</t>
        </is>
      </c>
      <c r="G134" t="n">
        <v>4</v>
      </c>
      <c r="H134" t="n">
        <v>0</v>
      </c>
      <c r="I134" t="n">
        <v>0</v>
      </c>
      <c r="J134" t="n">
        <v>1</v>
      </c>
      <c r="K134" t="n">
        <v>0</v>
      </c>
      <c r="L134" t="n">
        <v>0</v>
      </c>
      <c r="M134" t="n">
        <v>0</v>
      </c>
      <c r="N134" t="n">
        <v>0</v>
      </c>
      <c r="O134" t="n">
        <v>1</v>
      </c>
      <c r="P134" t="n">
        <v>0</v>
      </c>
      <c r="Q134" t="n">
        <v>1</v>
      </c>
      <c r="R134" s="2" t="inlineStr">
        <is>
          <t>Skogsklocka</t>
        </is>
      </c>
      <c r="S134">
        <f>HYPERLINK("https://klasma.github.io/Logging_0188/artfynd/A 40861-2025 artfynd.xlsx", "A 40861-2025")</f>
        <v/>
      </c>
      <c r="T134">
        <f>HYPERLINK("https://klasma.github.io/Logging_0188/kartor/A 40861-2025 karta.png", "A 40861-2025")</f>
        <v/>
      </c>
      <c r="V134">
        <f>HYPERLINK("https://klasma.github.io/Logging_0188/klagomål/A 40861-2025 FSC-klagomål.docx", "A 40861-2025")</f>
        <v/>
      </c>
      <c r="W134">
        <f>HYPERLINK("https://klasma.github.io/Logging_0188/klagomålsmail/A 40861-2025 FSC-klagomål mail.docx", "A 40861-2025")</f>
        <v/>
      </c>
      <c r="X134">
        <f>HYPERLINK("https://klasma.github.io/Logging_0188/tillsyn/A 40861-2025 tillsynsbegäran.docx", "A 40861-2025")</f>
        <v/>
      </c>
      <c r="Y134">
        <f>HYPERLINK("https://klasma.github.io/Logging_0188/tillsynsmail/A 40861-2025 tillsynsbegäran mail.docx", "A 40861-2025")</f>
        <v/>
      </c>
    </row>
    <row r="135" ht="15" customHeight="1">
      <c r="A135" t="inlineStr">
        <is>
          <t>A 23905-2025</t>
        </is>
      </c>
      <c r="B135" s="1" t="n">
        <v>45794</v>
      </c>
      <c r="C135" s="1" t="n">
        <v>46203</v>
      </c>
      <c r="D135" t="inlineStr">
        <is>
          <t>STOCKHOLMS LÄN</t>
        </is>
      </c>
      <c r="E135" t="inlineStr">
        <is>
          <t>NORRTÄLJE</t>
        </is>
      </c>
      <c r="G135" t="n">
        <v>8.4</v>
      </c>
      <c r="H135" t="n">
        <v>1</v>
      </c>
      <c r="I135" t="n">
        <v>0</v>
      </c>
      <c r="J135" t="n">
        <v>0</v>
      </c>
      <c r="K135" t="n">
        <v>0</v>
      </c>
      <c r="L135" t="n">
        <v>0</v>
      </c>
      <c r="M135" t="n">
        <v>0</v>
      </c>
      <c r="N135" t="n">
        <v>0</v>
      </c>
      <c r="O135" t="n">
        <v>0</v>
      </c>
      <c r="P135" t="n">
        <v>0</v>
      </c>
      <c r="Q135" t="n">
        <v>1</v>
      </c>
      <c r="R135" s="2" t="inlineStr">
        <is>
          <t>Blåsippa</t>
        </is>
      </c>
      <c r="S135">
        <f>HYPERLINK("https://klasma.github.io/Logging_0188/artfynd/A 23905-2025 artfynd.xlsx", "A 23905-2025")</f>
        <v/>
      </c>
      <c r="T135">
        <f>HYPERLINK("https://klasma.github.io/Logging_0188/kartor/A 23905-2025 karta.png", "A 23905-2025")</f>
        <v/>
      </c>
      <c r="V135">
        <f>HYPERLINK("https://klasma.github.io/Logging_0188/klagomål/A 23905-2025 FSC-klagomål.docx", "A 23905-2025")</f>
        <v/>
      </c>
      <c r="W135">
        <f>HYPERLINK("https://klasma.github.io/Logging_0188/klagomålsmail/A 23905-2025 FSC-klagomål mail.docx", "A 23905-2025")</f>
        <v/>
      </c>
      <c r="X135">
        <f>HYPERLINK("https://klasma.github.io/Logging_0188/tillsyn/A 23905-2025 tillsynsbegäran.docx", "A 23905-2025")</f>
        <v/>
      </c>
      <c r="Y135">
        <f>HYPERLINK("https://klasma.github.io/Logging_0188/tillsynsmail/A 23905-2025 tillsynsbegäran mail.docx", "A 23905-2025")</f>
        <v/>
      </c>
    </row>
    <row r="136" ht="15" customHeight="1">
      <c r="A136" t="inlineStr">
        <is>
          <t>A 52775-2025</t>
        </is>
      </c>
      <c r="B136" s="1" t="n">
        <v>45957</v>
      </c>
      <c r="C136" s="1" t="n">
        <v>46203</v>
      </c>
      <c r="D136" t="inlineStr">
        <is>
          <t>STOCKHOLMS LÄN</t>
        </is>
      </c>
      <c r="E136" t="inlineStr">
        <is>
          <t>NORRTÄLJE</t>
        </is>
      </c>
      <c r="F136" t="inlineStr">
        <is>
          <t>Sveaskog</t>
        </is>
      </c>
      <c r="G136" t="n">
        <v>5.6</v>
      </c>
      <c r="H136" t="n">
        <v>0</v>
      </c>
      <c r="I136" t="n">
        <v>0</v>
      </c>
      <c r="J136" t="n">
        <v>1</v>
      </c>
      <c r="K136" t="n">
        <v>0</v>
      </c>
      <c r="L136" t="n">
        <v>0</v>
      </c>
      <c r="M136" t="n">
        <v>0</v>
      </c>
      <c r="N136" t="n">
        <v>0</v>
      </c>
      <c r="O136" t="n">
        <v>1</v>
      </c>
      <c r="P136" t="n">
        <v>0</v>
      </c>
      <c r="Q136" t="n">
        <v>1</v>
      </c>
      <c r="R136" s="2" t="inlineStr">
        <is>
          <t>Vedtrappmossa</t>
        </is>
      </c>
      <c r="S136">
        <f>HYPERLINK("https://klasma.github.io/Logging_0188/artfynd/A 52775-2025 artfynd.xlsx", "A 52775-2025")</f>
        <v/>
      </c>
      <c r="T136">
        <f>HYPERLINK("https://klasma.github.io/Logging_0188/kartor/A 52775-2025 karta.png", "A 52775-2025")</f>
        <v/>
      </c>
      <c r="V136">
        <f>HYPERLINK("https://klasma.github.io/Logging_0188/klagomål/A 52775-2025 FSC-klagomål.docx", "A 52775-2025")</f>
        <v/>
      </c>
      <c r="W136">
        <f>HYPERLINK("https://klasma.github.io/Logging_0188/klagomålsmail/A 52775-2025 FSC-klagomål mail.docx", "A 52775-2025")</f>
        <v/>
      </c>
      <c r="X136">
        <f>HYPERLINK("https://klasma.github.io/Logging_0188/tillsyn/A 52775-2025 tillsynsbegäran.docx", "A 52775-2025")</f>
        <v/>
      </c>
      <c r="Y136">
        <f>HYPERLINK("https://klasma.github.io/Logging_0188/tillsynsmail/A 52775-2025 tillsynsbegäran mail.docx", "A 52775-2025")</f>
        <v/>
      </c>
    </row>
    <row r="137" ht="15" customHeight="1">
      <c r="A137" t="inlineStr">
        <is>
          <t>A 51978-2023</t>
        </is>
      </c>
      <c r="B137" s="1" t="n">
        <v>45223</v>
      </c>
      <c r="C137" s="1" t="n">
        <v>46203</v>
      </c>
      <c r="D137" t="inlineStr">
        <is>
          <t>STOCKHOLMS LÄN</t>
        </is>
      </c>
      <c r="E137" t="inlineStr">
        <is>
          <t>NORRTÄLJE</t>
        </is>
      </c>
      <c r="G137" t="n">
        <v>1.9</v>
      </c>
      <c r="H137" t="n">
        <v>1</v>
      </c>
      <c r="I137" t="n">
        <v>1</v>
      </c>
      <c r="J137" t="n">
        <v>0</v>
      </c>
      <c r="K137" t="n">
        <v>0</v>
      </c>
      <c r="L137" t="n">
        <v>0</v>
      </c>
      <c r="M137" t="n">
        <v>0</v>
      </c>
      <c r="N137" t="n">
        <v>0</v>
      </c>
      <c r="O137" t="n">
        <v>0</v>
      </c>
      <c r="P137" t="n">
        <v>0</v>
      </c>
      <c r="Q137" t="n">
        <v>1</v>
      </c>
      <c r="R137" s="2" t="inlineStr">
        <is>
          <t>Skogsknipprot</t>
        </is>
      </c>
      <c r="S137">
        <f>HYPERLINK("https://klasma.github.io/Logging_0188/artfynd/A 51978-2023 artfynd.xlsx", "A 51978-2023")</f>
        <v/>
      </c>
      <c r="T137">
        <f>HYPERLINK("https://klasma.github.io/Logging_0188/kartor/A 51978-2023 karta.png", "A 51978-2023")</f>
        <v/>
      </c>
      <c r="V137">
        <f>HYPERLINK("https://klasma.github.io/Logging_0188/klagomål/A 51978-2023 FSC-klagomål.docx", "A 51978-2023")</f>
        <v/>
      </c>
      <c r="W137">
        <f>HYPERLINK("https://klasma.github.io/Logging_0188/klagomålsmail/A 51978-2023 FSC-klagomål mail.docx", "A 51978-2023")</f>
        <v/>
      </c>
      <c r="X137">
        <f>HYPERLINK("https://klasma.github.io/Logging_0188/tillsyn/A 51978-2023 tillsynsbegäran.docx", "A 51978-2023")</f>
        <v/>
      </c>
      <c r="Y137">
        <f>HYPERLINK("https://klasma.github.io/Logging_0188/tillsynsmail/A 51978-2023 tillsynsbegäran mail.docx", "A 51978-2023")</f>
        <v/>
      </c>
    </row>
    <row r="138" ht="15" customHeight="1">
      <c r="A138" t="inlineStr">
        <is>
          <t>A 53629-2025</t>
        </is>
      </c>
      <c r="B138" s="1" t="n">
        <v>45960</v>
      </c>
      <c r="C138" s="1" t="n">
        <v>46203</v>
      </c>
      <c r="D138" t="inlineStr">
        <is>
          <t>STOCKHOLMS LÄN</t>
        </is>
      </c>
      <c r="E138" t="inlineStr">
        <is>
          <t>NORRTÄLJE</t>
        </is>
      </c>
      <c r="F138" t="inlineStr">
        <is>
          <t>Naturvårdsverket</t>
        </is>
      </c>
      <c r="G138" t="n">
        <v>7.9</v>
      </c>
      <c r="H138" t="n">
        <v>0</v>
      </c>
      <c r="I138" t="n">
        <v>0</v>
      </c>
      <c r="J138" t="n">
        <v>1</v>
      </c>
      <c r="K138" t="n">
        <v>0</v>
      </c>
      <c r="L138" t="n">
        <v>0</v>
      </c>
      <c r="M138" t="n">
        <v>0</v>
      </c>
      <c r="N138" t="n">
        <v>0</v>
      </c>
      <c r="O138" t="n">
        <v>1</v>
      </c>
      <c r="P138" t="n">
        <v>0</v>
      </c>
      <c r="Q138" t="n">
        <v>1</v>
      </c>
      <c r="R138" s="2" t="inlineStr">
        <is>
          <t>Olvonglasvinge</t>
        </is>
      </c>
      <c r="S138">
        <f>HYPERLINK("https://klasma.github.io/Logging_0188/artfynd/A 53629-2025 artfynd.xlsx", "A 53629-2025")</f>
        <v/>
      </c>
      <c r="T138">
        <f>HYPERLINK("https://klasma.github.io/Logging_0188/kartor/A 53629-2025 karta.png", "A 53629-2025")</f>
        <v/>
      </c>
      <c r="V138">
        <f>HYPERLINK("https://klasma.github.io/Logging_0188/klagomål/A 53629-2025 FSC-klagomål.docx", "A 53629-2025")</f>
        <v/>
      </c>
      <c r="W138">
        <f>HYPERLINK("https://klasma.github.io/Logging_0188/klagomålsmail/A 53629-2025 FSC-klagomål mail.docx", "A 53629-2025")</f>
        <v/>
      </c>
      <c r="X138">
        <f>HYPERLINK("https://klasma.github.io/Logging_0188/tillsyn/A 53629-2025 tillsynsbegäran.docx", "A 53629-2025")</f>
        <v/>
      </c>
      <c r="Y138">
        <f>HYPERLINK("https://klasma.github.io/Logging_0188/tillsynsmail/A 53629-2025 tillsynsbegäran mail.docx", "A 53629-2025")</f>
        <v/>
      </c>
    </row>
    <row r="139" ht="15" customHeight="1">
      <c r="A139" t="inlineStr">
        <is>
          <t>A 35764-2024</t>
        </is>
      </c>
      <c r="B139" s="1" t="n">
        <v>45532</v>
      </c>
      <c r="C139" s="1" t="n">
        <v>46203</v>
      </c>
      <c r="D139" t="inlineStr">
        <is>
          <t>STOCKHOLMS LÄN</t>
        </is>
      </c>
      <c r="E139" t="inlineStr">
        <is>
          <t>NORRTÄLJE</t>
        </is>
      </c>
      <c r="G139" t="n">
        <v>14.2</v>
      </c>
      <c r="H139" t="n">
        <v>1</v>
      </c>
      <c r="I139" t="n">
        <v>0</v>
      </c>
      <c r="J139" t="n">
        <v>0</v>
      </c>
      <c r="K139" t="n">
        <v>1</v>
      </c>
      <c r="L139" t="n">
        <v>0</v>
      </c>
      <c r="M139" t="n">
        <v>0</v>
      </c>
      <c r="N139" t="n">
        <v>0</v>
      </c>
      <c r="O139" t="n">
        <v>1</v>
      </c>
      <c r="P139" t="n">
        <v>1</v>
      </c>
      <c r="Q139" t="n">
        <v>1</v>
      </c>
      <c r="R139" s="2" t="inlineStr">
        <is>
          <t>Knärot</t>
        </is>
      </c>
      <c r="S139">
        <f>HYPERLINK("https://klasma.github.io/Logging_0188/artfynd/A 35764-2024 artfynd.xlsx", "A 35764-2024")</f>
        <v/>
      </c>
      <c r="T139">
        <f>HYPERLINK("https://klasma.github.io/Logging_0188/kartor/A 35764-2024 karta.png", "A 35764-2024")</f>
        <v/>
      </c>
      <c r="U139">
        <f>HYPERLINK("https://klasma.github.io/Logging_0188/knärot/A 35764-2024 karta knärot.png", "A 35764-2024")</f>
        <v/>
      </c>
      <c r="V139">
        <f>HYPERLINK("https://klasma.github.io/Logging_0188/klagomål/A 35764-2024 FSC-klagomål.docx", "A 35764-2024")</f>
        <v/>
      </c>
      <c r="W139">
        <f>HYPERLINK("https://klasma.github.io/Logging_0188/klagomålsmail/A 35764-2024 FSC-klagomål mail.docx", "A 35764-2024")</f>
        <v/>
      </c>
      <c r="X139">
        <f>HYPERLINK("https://klasma.github.io/Logging_0188/tillsyn/A 35764-2024 tillsynsbegäran.docx", "A 35764-2024")</f>
        <v/>
      </c>
      <c r="Y139">
        <f>HYPERLINK("https://klasma.github.io/Logging_0188/tillsynsmail/A 35764-2024 tillsynsbegäran mail.docx", "A 35764-2024")</f>
        <v/>
      </c>
    </row>
    <row r="140" ht="15" customHeight="1">
      <c r="A140" t="inlineStr">
        <is>
          <t>A 6381-2023</t>
        </is>
      </c>
      <c r="B140" s="1" t="n">
        <v>44965</v>
      </c>
      <c r="C140" s="1" t="n">
        <v>46203</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29946-2025</t>
        </is>
      </c>
      <c r="B141" s="1" t="n">
        <v>45826</v>
      </c>
      <c r="C141" s="1" t="n">
        <v>46203</v>
      </c>
      <c r="D141" t="inlineStr">
        <is>
          <t>STOCKHOLMS LÄN</t>
        </is>
      </c>
      <c r="E141" t="inlineStr">
        <is>
          <t>NORRTÄLJE</t>
        </is>
      </c>
      <c r="F141" t="inlineStr">
        <is>
          <t>Holmen skog AB</t>
        </is>
      </c>
      <c r="G141" t="n">
        <v>3.6</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29946-2025 artfynd.xlsx", "A 29946-2025")</f>
        <v/>
      </c>
      <c r="T141">
        <f>HYPERLINK("https://klasma.github.io/Logging_0188/kartor/A 29946-2025 karta.png", "A 29946-2025")</f>
        <v/>
      </c>
      <c r="V141">
        <f>HYPERLINK("https://klasma.github.io/Logging_0188/klagomål/A 29946-2025 FSC-klagomål.docx", "A 29946-2025")</f>
        <v/>
      </c>
      <c r="W141">
        <f>HYPERLINK("https://klasma.github.io/Logging_0188/klagomålsmail/A 29946-2025 FSC-klagomål mail.docx", "A 29946-2025")</f>
        <v/>
      </c>
      <c r="X141">
        <f>HYPERLINK("https://klasma.github.io/Logging_0188/tillsyn/A 29946-2025 tillsynsbegäran.docx", "A 29946-2025")</f>
        <v/>
      </c>
      <c r="Y141">
        <f>HYPERLINK("https://klasma.github.io/Logging_0188/tillsynsmail/A 29946-2025 tillsynsbegäran mail.docx", "A 29946-2025")</f>
        <v/>
      </c>
    </row>
    <row r="142" ht="15" customHeight="1">
      <c r="A142" t="inlineStr">
        <is>
          <t>A 58939-2025</t>
        </is>
      </c>
      <c r="B142" s="1" t="n">
        <v>45987</v>
      </c>
      <c r="C142" s="1" t="n">
        <v>46203</v>
      </c>
      <c r="D142" t="inlineStr">
        <is>
          <t>STOCKHOLMS LÄN</t>
        </is>
      </c>
      <c r="E142" t="inlineStr">
        <is>
          <t>NORRTÄLJE</t>
        </is>
      </c>
      <c r="G142" t="n">
        <v>2</v>
      </c>
      <c r="H142" t="n">
        <v>0</v>
      </c>
      <c r="I142" t="n">
        <v>1</v>
      </c>
      <c r="J142" t="n">
        <v>0</v>
      </c>
      <c r="K142" t="n">
        <v>0</v>
      </c>
      <c r="L142" t="n">
        <v>0</v>
      </c>
      <c r="M142" t="n">
        <v>0</v>
      </c>
      <c r="N142" t="n">
        <v>0</v>
      </c>
      <c r="O142" t="n">
        <v>0</v>
      </c>
      <c r="P142" t="n">
        <v>0</v>
      </c>
      <c r="Q142" t="n">
        <v>1</v>
      </c>
      <c r="R142" s="2" t="inlineStr">
        <is>
          <t>Bronshjon</t>
        </is>
      </c>
      <c r="S142">
        <f>HYPERLINK("https://klasma.github.io/Logging_0188/artfynd/A 58939-2025 artfynd.xlsx", "A 58939-2025")</f>
        <v/>
      </c>
      <c r="T142">
        <f>HYPERLINK("https://klasma.github.io/Logging_0188/kartor/A 58939-2025 karta.png", "A 58939-2025")</f>
        <v/>
      </c>
      <c r="V142">
        <f>HYPERLINK("https://klasma.github.io/Logging_0188/klagomål/A 58939-2025 FSC-klagomål.docx", "A 58939-2025")</f>
        <v/>
      </c>
      <c r="W142">
        <f>HYPERLINK("https://klasma.github.io/Logging_0188/klagomålsmail/A 58939-2025 FSC-klagomål mail.docx", "A 58939-2025")</f>
        <v/>
      </c>
      <c r="X142">
        <f>HYPERLINK("https://klasma.github.io/Logging_0188/tillsyn/A 58939-2025 tillsynsbegäran.docx", "A 58939-2025")</f>
        <v/>
      </c>
      <c r="Y142">
        <f>HYPERLINK("https://klasma.github.io/Logging_0188/tillsynsmail/A 58939-2025 tillsynsbegäran mail.docx", "A 58939-2025")</f>
        <v/>
      </c>
    </row>
    <row r="143" ht="15" customHeight="1">
      <c r="A143" t="inlineStr">
        <is>
          <t>A 59682-2025</t>
        </is>
      </c>
      <c r="B143" s="1" t="n">
        <v>45992</v>
      </c>
      <c r="C143" s="1" t="n">
        <v>46203</v>
      </c>
      <c r="D143" t="inlineStr">
        <is>
          <t>STOCKHOLMS LÄN</t>
        </is>
      </c>
      <c r="E143" t="inlineStr">
        <is>
          <t>NORRTÄLJE</t>
        </is>
      </c>
      <c r="G143" t="n">
        <v>1.6</v>
      </c>
      <c r="H143" t="n">
        <v>0</v>
      </c>
      <c r="I143" t="n">
        <v>1</v>
      </c>
      <c r="J143" t="n">
        <v>0</v>
      </c>
      <c r="K143" t="n">
        <v>0</v>
      </c>
      <c r="L143" t="n">
        <v>0</v>
      </c>
      <c r="M143" t="n">
        <v>0</v>
      </c>
      <c r="N143" t="n">
        <v>0</v>
      </c>
      <c r="O143" t="n">
        <v>0</v>
      </c>
      <c r="P143" t="n">
        <v>0</v>
      </c>
      <c r="Q143" t="n">
        <v>1</v>
      </c>
      <c r="R143" s="2" t="inlineStr">
        <is>
          <t>Grönpyrola</t>
        </is>
      </c>
      <c r="S143">
        <f>HYPERLINK("https://klasma.github.io/Logging_0188/artfynd/A 59682-2025 artfynd.xlsx", "A 59682-2025")</f>
        <v/>
      </c>
      <c r="T143">
        <f>HYPERLINK("https://klasma.github.io/Logging_0188/kartor/A 59682-2025 karta.png", "A 59682-2025")</f>
        <v/>
      </c>
      <c r="V143">
        <f>HYPERLINK("https://klasma.github.io/Logging_0188/klagomål/A 59682-2025 FSC-klagomål.docx", "A 59682-2025")</f>
        <v/>
      </c>
      <c r="W143">
        <f>HYPERLINK("https://klasma.github.io/Logging_0188/klagomålsmail/A 59682-2025 FSC-klagomål mail.docx", "A 59682-2025")</f>
        <v/>
      </c>
      <c r="X143">
        <f>HYPERLINK("https://klasma.github.io/Logging_0188/tillsyn/A 59682-2025 tillsynsbegäran.docx", "A 59682-2025")</f>
        <v/>
      </c>
      <c r="Y143">
        <f>HYPERLINK("https://klasma.github.io/Logging_0188/tillsynsmail/A 59682-2025 tillsynsbegäran mail.docx", "A 59682-2025")</f>
        <v/>
      </c>
    </row>
    <row r="144" ht="15" customHeight="1">
      <c r="A144" t="inlineStr">
        <is>
          <t>A 24245-2024</t>
        </is>
      </c>
      <c r="B144" s="1" t="n">
        <v>45457</v>
      </c>
      <c r="C144" s="1" t="n">
        <v>46203</v>
      </c>
      <c r="D144" t="inlineStr">
        <is>
          <t>STOCKHOLMS LÄN</t>
        </is>
      </c>
      <c r="E144" t="inlineStr">
        <is>
          <t>NORRTÄLJE</t>
        </is>
      </c>
      <c r="F144" t="inlineStr">
        <is>
          <t>Holmen skog AB</t>
        </is>
      </c>
      <c r="G144" t="n">
        <v>3.4</v>
      </c>
      <c r="H144" t="n">
        <v>1</v>
      </c>
      <c r="I144" t="n">
        <v>0</v>
      </c>
      <c r="J144" t="n">
        <v>0</v>
      </c>
      <c r="K144" t="n">
        <v>1</v>
      </c>
      <c r="L144" t="n">
        <v>0</v>
      </c>
      <c r="M144" t="n">
        <v>0</v>
      </c>
      <c r="N144" t="n">
        <v>0</v>
      </c>
      <c r="O144" t="n">
        <v>1</v>
      </c>
      <c r="P144" t="n">
        <v>1</v>
      </c>
      <c r="Q144" t="n">
        <v>1</v>
      </c>
      <c r="R144" s="2" t="inlineStr">
        <is>
          <t>Hällebräcka</t>
        </is>
      </c>
      <c r="S144">
        <f>HYPERLINK("https://klasma.github.io/Logging_0188/artfynd/A 24245-2024 artfynd.xlsx", "A 24245-2024")</f>
        <v/>
      </c>
      <c r="T144">
        <f>HYPERLINK("https://klasma.github.io/Logging_0188/kartor/A 24245-2024 karta.png", "A 24245-2024")</f>
        <v/>
      </c>
      <c r="V144">
        <f>HYPERLINK("https://klasma.github.io/Logging_0188/klagomål/A 24245-2024 FSC-klagomål.docx", "A 24245-2024")</f>
        <v/>
      </c>
      <c r="W144">
        <f>HYPERLINK("https://klasma.github.io/Logging_0188/klagomålsmail/A 24245-2024 FSC-klagomål mail.docx", "A 24245-2024")</f>
        <v/>
      </c>
      <c r="X144">
        <f>HYPERLINK("https://klasma.github.io/Logging_0188/tillsyn/A 24245-2024 tillsynsbegäran.docx", "A 24245-2024")</f>
        <v/>
      </c>
      <c r="Y144">
        <f>HYPERLINK("https://klasma.github.io/Logging_0188/tillsynsmail/A 24245-2024 tillsynsbegäran mail.docx", "A 24245-2024")</f>
        <v/>
      </c>
    </row>
    <row r="145" ht="15" customHeight="1">
      <c r="A145" t="inlineStr">
        <is>
          <t>A 53499-2025</t>
        </is>
      </c>
      <c r="B145" s="1" t="n">
        <v>45960</v>
      </c>
      <c r="C145" s="1" t="n">
        <v>46203</v>
      </c>
      <c r="D145" t="inlineStr">
        <is>
          <t>STOCKHOLMS LÄN</t>
        </is>
      </c>
      <c r="E145" t="inlineStr">
        <is>
          <t>NORRTÄLJE</t>
        </is>
      </c>
      <c r="G145" t="n">
        <v>23.8</v>
      </c>
      <c r="H145" t="n">
        <v>1</v>
      </c>
      <c r="I145" t="n">
        <v>0</v>
      </c>
      <c r="J145" t="n">
        <v>1</v>
      </c>
      <c r="K145" t="n">
        <v>0</v>
      </c>
      <c r="L145" t="n">
        <v>0</v>
      </c>
      <c r="M145" t="n">
        <v>0</v>
      </c>
      <c r="N145" t="n">
        <v>0</v>
      </c>
      <c r="O145" t="n">
        <v>1</v>
      </c>
      <c r="P145" t="n">
        <v>0</v>
      </c>
      <c r="Q145" t="n">
        <v>1</v>
      </c>
      <c r="R145" s="2" t="inlineStr">
        <is>
          <t>Talltita</t>
        </is>
      </c>
      <c r="S145">
        <f>HYPERLINK("https://klasma.github.io/Logging_0188/artfynd/A 53499-2025 artfynd.xlsx", "A 53499-2025")</f>
        <v/>
      </c>
      <c r="T145">
        <f>HYPERLINK("https://klasma.github.io/Logging_0188/kartor/A 53499-2025 karta.png", "A 53499-2025")</f>
        <v/>
      </c>
      <c r="V145">
        <f>HYPERLINK("https://klasma.github.io/Logging_0188/klagomål/A 53499-2025 FSC-klagomål.docx", "A 53499-2025")</f>
        <v/>
      </c>
      <c r="W145">
        <f>HYPERLINK("https://klasma.github.io/Logging_0188/klagomålsmail/A 53499-2025 FSC-klagomål mail.docx", "A 53499-2025")</f>
        <v/>
      </c>
      <c r="X145">
        <f>HYPERLINK("https://klasma.github.io/Logging_0188/tillsyn/A 53499-2025 tillsynsbegäran.docx", "A 53499-2025")</f>
        <v/>
      </c>
      <c r="Y145">
        <f>HYPERLINK("https://klasma.github.io/Logging_0188/tillsynsmail/A 53499-2025 tillsynsbegäran mail.docx", "A 53499-2025")</f>
        <v/>
      </c>
      <c r="Z145">
        <f>HYPERLINK("https://klasma.github.io/Logging_0188/fåglar/A 53499-2025 prioriterade fågelarter.docx", "A 53499-2025")</f>
        <v/>
      </c>
    </row>
    <row r="146" ht="15" customHeight="1">
      <c r="A146" t="inlineStr">
        <is>
          <t>A 52260-2022</t>
        </is>
      </c>
      <c r="B146" s="1" t="n">
        <v>44869</v>
      </c>
      <c r="C146" s="1" t="n">
        <v>46203</v>
      </c>
      <c r="D146" t="inlineStr">
        <is>
          <t>STOCKHOLMS LÄN</t>
        </is>
      </c>
      <c r="E146" t="inlineStr">
        <is>
          <t>NORRTÄLJE</t>
        </is>
      </c>
      <c r="G146" t="n">
        <v>3.1</v>
      </c>
      <c r="H146" t="n">
        <v>1</v>
      </c>
      <c r="I146" t="n">
        <v>0</v>
      </c>
      <c r="J146" t="n">
        <v>0</v>
      </c>
      <c r="K146" t="n">
        <v>0</v>
      </c>
      <c r="L146" t="n">
        <v>0</v>
      </c>
      <c r="M146" t="n">
        <v>0</v>
      </c>
      <c r="N146" t="n">
        <v>0</v>
      </c>
      <c r="O146" t="n">
        <v>0</v>
      </c>
      <c r="P146" t="n">
        <v>0</v>
      </c>
      <c r="Q146" t="n">
        <v>1</v>
      </c>
      <c r="R146" s="2" t="inlineStr">
        <is>
          <t>Blåsippa</t>
        </is>
      </c>
      <c r="S146">
        <f>HYPERLINK("https://klasma.github.io/Logging_0188/artfynd/A 52260-2022 artfynd.xlsx", "A 52260-2022")</f>
        <v/>
      </c>
      <c r="T146">
        <f>HYPERLINK("https://klasma.github.io/Logging_0188/kartor/A 52260-2022 karta.png", "A 52260-2022")</f>
        <v/>
      </c>
      <c r="V146">
        <f>HYPERLINK("https://klasma.github.io/Logging_0188/klagomål/A 52260-2022 FSC-klagomål.docx", "A 52260-2022")</f>
        <v/>
      </c>
      <c r="W146">
        <f>HYPERLINK("https://klasma.github.io/Logging_0188/klagomålsmail/A 52260-2022 FSC-klagomål mail.docx", "A 52260-2022")</f>
        <v/>
      </c>
      <c r="X146">
        <f>HYPERLINK("https://klasma.github.io/Logging_0188/tillsyn/A 52260-2022 tillsynsbegäran.docx", "A 52260-2022")</f>
        <v/>
      </c>
      <c r="Y146">
        <f>HYPERLINK("https://klasma.github.io/Logging_0188/tillsynsmail/A 52260-2022 tillsynsbegäran mail.docx", "A 52260-2022")</f>
        <v/>
      </c>
    </row>
    <row r="147" ht="15" customHeight="1">
      <c r="A147" t="inlineStr">
        <is>
          <t>A 33279-2025</t>
        </is>
      </c>
      <c r="B147" s="1" t="n">
        <v>45840</v>
      </c>
      <c r="C147" s="1" t="n">
        <v>46203</v>
      </c>
      <c r="D147" t="inlineStr">
        <is>
          <t>STOCKHOLMS LÄN</t>
        </is>
      </c>
      <c r="E147" t="inlineStr">
        <is>
          <t>NORRTÄLJE</t>
        </is>
      </c>
      <c r="G147" t="n">
        <v>1.8</v>
      </c>
      <c r="H147" t="n">
        <v>0</v>
      </c>
      <c r="I147" t="n">
        <v>1</v>
      </c>
      <c r="J147" t="n">
        <v>0</v>
      </c>
      <c r="K147" t="n">
        <v>0</v>
      </c>
      <c r="L147" t="n">
        <v>0</v>
      </c>
      <c r="M147" t="n">
        <v>0</v>
      </c>
      <c r="N147" t="n">
        <v>0</v>
      </c>
      <c r="O147" t="n">
        <v>0</v>
      </c>
      <c r="P147" t="n">
        <v>0</v>
      </c>
      <c r="Q147" t="n">
        <v>1</v>
      </c>
      <c r="R147" s="2" t="inlineStr">
        <is>
          <t>Platt fjädermossa</t>
        </is>
      </c>
      <c r="S147">
        <f>HYPERLINK("https://klasma.github.io/Logging_0188/artfynd/A 33279-2025 artfynd.xlsx", "A 33279-2025")</f>
        <v/>
      </c>
      <c r="T147">
        <f>HYPERLINK("https://klasma.github.io/Logging_0188/kartor/A 33279-2025 karta.png", "A 33279-2025")</f>
        <v/>
      </c>
      <c r="V147">
        <f>HYPERLINK("https://klasma.github.io/Logging_0188/klagomål/A 33279-2025 FSC-klagomål.docx", "A 33279-2025")</f>
        <v/>
      </c>
      <c r="W147">
        <f>HYPERLINK("https://klasma.github.io/Logging_0188/klagomålsmail/A 33279-2025 FSC-klagomål mail.docx", "A 33279-2025")</f>
        <v/>
      </c>
      <c r="X147">
        <f>HYPERLINK("https://klasma.github.io/Logging_0188/tillsyn/A 33279-2025 tillsynsbegäran.docx", "A 33279-2025")</f>
        <v/>
      </c>
      <c r="Y147">
        <f>HYPERLINK("https://klasma.github.io/Logging_0188/tillsynsmail/A 33279-2025 tillsynsbegäran mail.docx", "A 33279-2025")</f>
        <v/>
      </c>
    </row>
    <row r="148" ht="15" customHeight="1">
      <c r="A148" t="inlineStr">
        <is>
          <t>A 35451-2025</t>
        </is>
      </c>
      <c r="B148" s="1" t="n">
        <v>45855</v>
      </c>
      <c r="C148" s="1" t="n">
        <v>46203</v>
      </c>
      <c r="D148" t="inlineStr">
        <is>
          <t>STOCKHOLMS LÄN</t>
        </is>
      </c>
      <c r="E148" t="inlineStr">
        <is>
          <t>NORRTÄLJE</t>
        </is>
      </c>
      <c r="F148" t="inlineStr">
        <is>
          <t>Holmen skog AB</t>
        </is>
      </c>
      <c r="G148" t="n">
        <v>7.4</v>
      </c>
      <c r="H148" t="n">
        <v>1</v>
      </c>
      <c r="I148" t="n">
        <v>0</v>
      </c>
      <c r="J148" t="n">
        <v>0</v>
      </c>
      <c r="K148" t="n">
        <v>1</v>
      </c>
      <c r="L148" t="n">
        <v>0</v>
      </c>
      <c r="M148" t="n">
        <v>0</v>
      </c>
      <c r="N148" t="n">
        <v>0</v>
      </c>
      <c r="O148" t="n">
        <v>1</v>
      </c>
      <c r="P148" t="n">
        <v>1</v>
      </c>
      <c r="Q148" t="n">
        <v>1</v>
      </c>
      <c r="R148" s="2" t="inlineStr">
        <is>
          <t>Hällebräcka</t>
        </is>
      </c>
      <c r="S148">
        <f>HYPERLINK("https://klasma.github.io/Logging_0188/artfynd/A 35451-2025 artfynd.xlsx", "A 35451-2025")</f>
        <v/>
      </c>
      <c r="T148">
        <f>HYPERLINK("https://klasma.github.io/Logging_0188/kartor/A 35451-2025 karta.png", "A 35451-2025")</f>
        <v/>
      </c>
      <c r="V148">
        <f>HYPERLINK("https://klasma.github.io/Logging_0188/klagomål/A 35451-2025 FSC-klagomål.docx", "A 35451-2025")</f>
        <v/>
      </c>
      <c r="W148">
        <f>HYPERLINK("https://klasma.github.io/Logging_0188/klagomålsmail/A 35451-2025 FSC-klagomål mail.docx", "A 35451-2025")</f>
        <v/>
      </c>
      <c r="X148">
        <f>HYPERLINK("https://klasma.github.io/Logging_0188/tillsyn/A 35451-2025 tillsynsbegäran.docx", "A 35451-2025")</f>
        <v/>
      </c>
      <c r="Y148">
        <f>HYPERLINK("https://klasma.github.io/Logging_0188/tillsynsmail/A 35451-2025 tillsynsbegäran mail.docx", "A 35451-2025")</f>
        <v/>
      </c>
    </row>
    <row r="149" ht="15" customHeight="1">
      <c r="A149" t="inlineStr">
        <is>
          <t>A 4860-2022</t>
        </is>
      </c>
      <c r="B149" s="1" t="n">
        <v>44592</v>
      </c>
      <c r="C149" s="1" t="n">
        <v>46203</v>
      </c>
      <c r="D149" t="inlineStr">
        <is>
          <t>STOCKHOLMS LÄN</t>
        </is>
      </c>
      <c r="E149" t="inlineStr">
        <is>
          <t>NORRTÄLJE</t>
        </is>
      </c>
      <c r="G149" t="n">
        <v>22.3</v>
      </c>
      <c r="H149" t="n">
        <v>0</v>
      </c>
      <c r="I149" t="n">
        <v>0</v>
      </c>
      <c r="J149" t="n">
        <v>0</v>
      </c>
      <c r="K149" t="n">
        <v>1</v>
      </c>
      <c r="L149" t="n">
        <v>0</v>
      </c>
      <c r="M149" t="n">
        <v>0</v>
      </c>
      <c r="N149" t="n">
        <v>0</v>
      </c>
      <c r="O149" t="n">
        <v>1</v>
      </c>
      <c r="P149" t="n">
        <v>1</v>
      </c>
      <c r="Q149" t="n">
        <v>1</v>
      </c>
      <c r="R149" s="2" t="inlineStr">
        <is>
          <t>Igelkott</t>
        </is>
      </c>
      <c r="S149">
        <f>HYPERLINK("https://klasma.github.io/Logging_0188/artfynd/A 4860-2022 artfynd.xlsx", "A 4860-2022")</f>
        <v/>
      </c>
      <c r="T149">
        <f>HYPERLINK("https://klasma.github.io/Logging_0188/kartor/A 4860-2022 karta.png", "A 4860-2022")</f>
        <v/>
      </c>
      <c r="V149">
        <f>HYPERLINK("https://klasma.github.io/Logging_0188/klagomål/A 4860-2022 FSC-klagomål.docx", "A 4860-2022")</f>
        <v/>
      </c>
      <c r="W149">
        <f>HYPERLINK("https://klasma.github.io/Logging_0188/klagomålsmail/A 4860-2022 FSC-klagomål mail.docx", "A 4860-2022")</f>
        <v/>
      </c>
      <c r="X149">
        <f>HYPERLINK("https://klasma.github.io/Logging_0188/tillsyn/A 4860-2022 tillsynsbegäran.docx", "A 4860-2022")</f>
        <v/>
      </c>
      <c r="Y149">
        <f>HYPERLINK("https://klasma.github.io/Logging_0188/tillsynsmail/A 4860-2022 tillsynsbegäran mail.docx", "A 4860-2022")</f>
        <v/>
      </c>
    </row>
    <row r="150" ht="15" customHeight="1">
      <c r="A150" t="inlineStr">
        <is>
          <t>A 8371-2025</t>
        </is>
      </c>
      <c r="B150" s="1" t="n">
        <v>45708</v>
      </c>
      <c r="C150" s="1" t="n">
        <v>46203</v>
      </c>
      <c r="D150" t="inlineStr">
        <is>
          <t>STOCKHOLMS LÄN</t>
        </is>
      </c>
      <c r="E150" t="inlineStr">
        <is>
          <t>NORRTÄLJE</t>
        </is>
      </c>
      <c r="F150" t="inlineStr">
        <is>
          <t>Övriga Aktiebolag</t>
        </is>
      </c>
      <c r="G150" t="n">
        <v>2.9</v>
      </c>
      <c r="H150" t="n">
        <v>1</v>
      </c>
      <c r="I150" t="n">
        <v>0</v>
      </c>
      <c r="J150" t="n">
        <v>0</v>
      </c>
      <c r="K150" t="n">
        <v>0</v>
      </c>
      <c r="L150" t="n">
        <v>0</v>
      </c>
      <c r="M150" t="n">
        <v>0</v>
      </c>
      <c r="N150" t="n">
        <v>0</v>
      </c>
      <c r="O150" t="n">
        <v>0</v>
      </c>
      <c r="P150" t="n">
        <v>0</v>
      </c>
      <c r="Q150" t="n">
        <v>1</v>
      </c>
      <c r="R150" s="2" t="inlineStr">
        <is>
          <t>Spillkråka</t>
        </is>
      </c>
      <c r="S150">
        <f>HYPERLINK("https://klasma.github.io/Logging_0188/artfynd/A 8371-2025 artfynd.xlsx", "A 8371-2025")</f>
        <v/>
      </c>
      <c r="T150">
        <f>HYPERLINK("https://klasma.github.io/Logging_0188/kartor/A 8371-2025 karta.png", "A 8371-2025")</f>
        <v/>
      </c>
      <c r="V150">
        <f>HYPERLINK("https://klasma.github.io/Logging_0188/klagomål/A 8371-2025 FSC-klagomål.docx", "A 8371-2025")</f>
        <v/>
      </c>
      <c r="W150">
        <f>HYPERLINK("https://klasma.github.io/Logging_0188/klagomålsmail/A 8371-2025 FSC-klagomål mail.docx", "A 8371-2025")</f>
        <v/>
      </c>
      <c r="X150">
        <f>HYPERLINK("https://klasma.github.io/Logging_0188/tillsyn/A 8371-2025 tillsynsbegäran.docx", "A 8371-2025")</f>
        <v/>
      </c>
      <c r="Y150">
        <f>HYPERLINK("https://klasma.github.io/Logging_0188/tillsynsmail/A 8371-2025 tillsynsbegäran mail.docx", "A 8371-2025")</f>
        <v/>
      </c>
      <c r="Z150">
        <f>HYPERLINK("https://klasma.github.io/Logging_0188/fåglar/A 8371-2025 prioriterade fågelarter.docx", "A 8371-2025")</f>
        <v/>
      </c>
    </row>
    <row r="151" ht="15" customHeight="1">
      <c r="A151" t="inlineStr">
        <is>
          <t>A 50907-2022</t>
        </is>
      </c>
      <c r="B151" s="1" t="n">
        <v>44867</v>
      </c>
      <c r="C151" s="1" t="n">
        <v>46203</v>
      </c>
      <c r="D151" t="inlineStr">
        <is>
          <t>STOCKHOLMS LÄN</t>
        </is>
      </c>
      <c r="E151" t="inlineStr">
        <is>
          <t>NORRTÄLJE</t>
        </is>
      </c>
      <c r="G151" t="n">
        <v>8.199999999999999</v>
      </c>
      <c r="H151" t="n">
        <v>0</v>
      </c>
      <c r="I151" t="n">
        <v>1</v>
      </c>
      <c r="J151" t="n">
        <v>0</v>
      </c>
      <c r="K151" t="n">
        <v>0</v>
      </c>
      <c r="L151" t="n">
        <v>0</v>
      </c>
      <c r="M151" t="n">
        <v>0</v>
      </c>
      <c r="N151" t="n">
        <v>0</v>
      </c>
      <c r="O151" t="n">
        <v>0</v>
      </c>
      <c r="P151" t="n">
        <v>0</v>
      </c>
      <c r="Q151" t="n">
        <v>1</v>
      </c>
      <c r="R151" s="2" t="inlineStr">
        <is>
          <t>Tibast</t>
        </is>
      </c>
      <c r="S151">
        <f>HYPERLINK("https://klasma.github.io/Logging_0188/artfynd/A 50907-2022 artfynd.xlsx", "A 50907-2022")</f>
        <v/>
      </c>
      <c r="T151">
        <f>HYPERLINK("https://klasma.github.io/Logging_0188/kartor/A 50907-2022 karta.png", "A 50907-2022")</f>
        <v/>
      </c>
      <c r="V151">
        <f>HYPERLINK("https://klasma.github.io/Logging_0188/klagomål/A 50907-2022 FSC-klagomål.docx", "A 50907-2022")</f>
        <v/>
      </c>
      <c r="W151">
        <f>HYPERLINK("https://klasma.github.io/Logging_0188/klagomålsmail/A 50907-2022 FSC-klagomål mail.docx", "A 50907-2022")</f>
        <v/>
      </c>
      <c r="X151">
        <f>HYPERLINK("https://klasma.github.io/Logging_0188/tillsyn/A 50907-2022 tillsynsbegäran.docx", "A 50907-2022")</f>
        <v/>
      </c>
      <c r="Y151">
        <f>HYPERLINK("https://klasma.github.io/Logging_0188/tillsynsmail/A 50907-2022 tillsynsbegäran mail.docx", "A 50907-2022")</f>
        <v/>
      </c>
    </row>
    <row r="152" ht="15" customHeight="1">
      <c r="A152" t="inlineStr">
        <is>
          <t>A 5823-2023</t>
        </is>
      </c>
      <c r="B152" s="1" t="n">
        <v>44963</v>
      </c>
      <c r="C152" s="1" t="n">
        <v>46203</v>
      </c>
      <c r="D152" t="inlineStr">
        <is>
          <t>STOCKHOLMS LÄN</t>
        </is>
      </c>
      <c r="E152" t="inlineStr">
        <is>
          <t>NORRTÄLJE</t>
        </is>
      </c>
      <c r="G152" t="n">
        <v>0.7</v>
      </c>
      <c r="H152" t="n">
        <v>0</v>
      </c>
      <c r="I152" t="n">
        <v>0</v>
      </c>
      <c r="J152" t="n">
        <v>1</v>
      </c>
      <c r="K152" t="n">
        <v>0</v>
      </c>
      <c r="L152" t="n">
        <v>0</v>
      </c>
      <c r="M152" t="n">
        <v>0</v>
      </c>
      <c r="N152" t="n">
        <v>0</v>
      </c>
      <c r="O152" t="n">
        <v>1</v>
      </c>
      <c r="P152" t="n">
        <v>0</v>
      </c>
      <c r="Q152" t="n">
        <v>1</v>
      </c>
      <c r="R152" s="2" t="inlineStr">
        <is>
          <t>Slåtterfibbla</t>
        </is>
      </c>
      <c r="S152">
        <f>HYPERLINK("https://klasma.github.io/Logging_0188/artfynd/A 5823-2023 artfynd.xlsx", "A 5823-2023")</f>
        <v/>
      </c>
      <c r="T152">
        <f>HYPERLINK("https://klasma.github.io/Logging_0188/kartor/A 5823-2023 karta.png", "A 5823-2023")</f>
        <v/>
      </c>
      <c r="V152">
        <f>HYPERLINK("https://klasma.github.io/Logging_0188/klagomål/A 5823-2023 FSC-klagomål.docx", "A 5823-2023")</f>
        <v/>
      </c>
      <c r="W152">
        <f>HYPERLINK("https://klasma.github.io/Logging_0188/klagomålsmail/A 5823-2023 FSC-klagomål mail.docx", "A 5823-2023")</f>
        <v/>
      </c>
      <c r="X152">
        <f>HYPERLINK("https://klasma.github.io/Logging_0188/tillsyn/A 5823-2023 tillsynsbegäran.docx", "A 5823-2023")</f>
        <v/>
      </c>
      <c r="Y152">
        <f>HYPERLINK("https://klasma.github.io/Logging_0188/tillsynsmail/A 5823-2023 tillsynsbegäran mail.docx", "A 5823-2023")</f>
        <v/>
      </c>
    </row>
    <row r="153" ht="15" customHeight="1">
      <c r="A153" t="inlineStr">
        <is>
          <t>A 30731-2023</t>
        </is>
      </c>
      <c r="B153" s="1" t="n">
        <v>45112</v>
      </c>
      <c r="C153" s="1" t="n">
        <v>46203</v>
      </c>
      <c r="D153" t="inlineStr">
        <is>
          <t>STOCKHOLMS LÄN</t>
        </is>
      </c>
      <c r="E153" t="inlineStr">
        <is>
          <t>NORRTÄLJE</t>
        </is>
      </c>
      <c r="G153" t="n">
        <v>1.6</v>
      </c>
      <c r="H153" t="n">
        <v>0</v>
      </c>
      <c r="I153" t="n">
        <v>0</v>
      </c>
      <c r="J153" t="n">
        <v>1</v>
      </c>
      <c r="K153" t="n">
        <v>0</v>
      </c>
      <c r="L153" t="n">
        <v>0</v>
      </c>
      <c r="M153" t="n">
        <v>0</v>
      </c>
      <c r="N153" t="n">
        <v>0</v>
      </c>
      <c r="O153" t="n">
        <v>1</v>
      </c>
      <c r="P153" t="n">
        <v>0</v>
      </c>
      <c r="Q153" t="n">
        <v>1</v>
      </c>
      <c r="R153" s="2" t="inlineStr">
        <is>
          <t>Slåtterfibbla</t>
        </is>
      </c>
      <c r="S153">
        <f>HYPERLINK("https://klasma.github.io/Logging_0188/artfynd/A 30731-2023 artfynd.xlsx", "A 30731-2023")</f>
        <v/>
      </c>
      <c r="T153">
        <f>HYPERLINK("https://klasma.github.io/Logging_0188/kartor/A 30731-2023 karta.png", "A 30731-2023")</f>
        <v/>
      </c>
      <c r="V153">
        <f>HYPERLINK("https://klasma.github.io/Logging_0188/klagomål/A 30731-2023 FSC-klagomål.docx", "A 30731-2023")</f>
        <v/>
      </c>
      <c r="W153">
        <f>HYPERLINK("https://klasma.github.io/Logging_0188/klagomålsmail/A 30731-2023 FSC-klagomål mail.docx", "A 30731-2023")</f>
        <v/>
      </c>
      <c r="X153">
        <f>HYPERLINK("https://klasma.github.io/Logging_0188/tillsyn/A 30731-2023 tillsynsbegäran.docx", "A 30731-2023")</f>
        <v/>
      </c>
      <c r="Y153">
        <f>HYPERLINK("https://klasma.github.io/Logging_0188/tillsynsmail/A 30731-2023 tillsynsbegäran mail.docx", "A 30731-2023")</f>
        <v/>
      </c>
    </row>
    <row r="154" ht="15" customHeight="1">
      <c r="A154" t="inlineStr">
        <is>
          <t>A 13109-2026</t>
        </is>
      </c>
      <c r="B154" s="1" t="n">
        <v>46093</v>
      </c>
      <c r="C154" s="1" t="n">
        <v>46203</v>
      </c>
      <c r="D154" t="inlineStr">
        <is>
          <t>STOCKHOLMS LÄN</t>
        </is>
      </c>
      <c r="E154" t="inlineStr">
        <is>
          <t>NORRTÄLJE</t>
        </is>
      </c>
      <c r="G154" t="n">
        <v>4</v>
      </c>
      <c r="H154" t="n">
        <v>1</v>
      </c>
      <c r="I154" t="n">
        <v>0</v>
      </c>
      <c r="J154" t="n">
        <v>0</v>
      </c>
      <c r="K154" t="n">
        <v>0</v>
      </c>
      <c r="L154" t="n">
        <v>1</v>
      </c>
      <c r="M154" t="n">
        <v>0</v>
      </c>
      <c r="N154" t="n">
        <v>0</v>
      </c>
      <c r="O154" t="n">
        <v>1</v>
      </c>
      <c r="P154" t="n">
        <v>1</v>
      </c>
      <c r="Q154" t="n">
        <v>1</v>
      </c>
      <c r="R154" s="2" t="inlineStr">
        <is>
          <t>Asknätfjäril</t>
        </is>
      </c>
      <c r="S154">
        <f>HYPERLINK("https://klasma.github.io/Logging_0188/artfynd/A 13109-2026 artfynd.xlsx", "A 13109-2026")</f>
        <v/>
      </c>
      <c r="T154">
        <f>HYPERLINK("https://klasma.github.io/Logging_0188/kartor/A 13109-2026 karta.png", "A 13109-2026")</f>
        <v/>
      </c>
      <c r="V154">
        <f>HYPERLINK("https://klasma.github.io/Logging_0188/klagomål/A 13109-2026 FSC-klagomål.docx", "A 13109-2026")</f>
        <v/>
      </c>
      <c r="W154">
        <f>HYPERLINK("https://klasma.github.io/Logging_0188/klagomålsmail/A 13109-2026 FSC-klagomål mail.docx", "A 13109-2026")</f>
        <v/>
      </c>
      <c r="X154">
        <f>HYPERLINK("https://klasma.github.io/Logging_0188/tillsyn/A 13109-2026 tillsynsbegäran.docx", "A 13109-2026")</f>
        <v/>
      </c>
      <c r="Y154">
        <f>HYPERLINK("https://klasma.github.io/Logging_0188/tillsynsmail/A 13109-2026 tillsynsbegäran mail.docx", "A 13109-2026")</f>
        <v/>
      </c>
    </row>
    <row r="155" ht="15" customHeight="1">
      <c r="A155" t="inlineStr">
        <is>
          <t>A 58888-2021</t>
        </is>
      </c>
      <c r="B155" s="1" t="n">
        <v>44489</v>
      </c>
      <c r="C155" s="1" t="n">
        <v>46203</v>
      </c>
      <c r="D155" t="inlineStr">
        <is>
          <t>STOCKHOLMS LÄN</t>
        </is>
      </c>
      <c r="E155" t="inlineStr">
        <is>
          <t>NORRTÄLJE</t>
        </is>
      </c>
      <c r="F155" t="inlineStr">
        <is>
          <t>Holmen skog AB</t>
        </is>
      </c>
      <c r="G155" t="n">
        <v>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58888-2021 artfynd.xlsx", "A 58888-2021")</f>
        <v/>
      </c>
      <c r="T155">
        <f>HYPERLINK("https://klasma.github.io/Logging_0188/kartor/A 58888-2021 karta.png", "A 58888-2021")</f>
        <v/>
      </c>
      <c r="V155">
        <f>HYPERLINK("https://klasma.github.io/Logging_0188/klagomål/A 58888-2021 FSC-klagomål.docx", "A 58888-2021")</f>
        <v/>
      </c>
      <c r="W155">
        <f>HYPERLINK("https://klasma.github.io/Logging_0188/klagomålsmail/A 58888-2021 FSC-klagomål mail.docx", "A 58888-2021")</f>
        <v/>
      </c>
      <c r="X155">
        <f>HYPERLINK("https://klasma.github.io/Logging_0188/tillsyn/A 58888-2021 tillsynsbegäran.docx", "A 58888-2021")</f>
        <v/>
      </c>
      <c r="Y155">
        <f>HYPERLINK("https://klasma.github.io/Logging_0188/tillsynsmail/A 58888-2021 tillsynsbegäran mail.docx", "A 58888-2021")</f>
        <v/>
      </c>
    </row>
    <row r="156" ht="15" customHeight="1">
      <c r="A156" t="inlineStr">
        <is>
          <t>A 55952-2024</t>
        </is>
      </c>
      <c r="B156" s="1" t="n">
        <v>45623</v>
      </c>
      <c r="C156" s="1" t="n">
        <v>46203</v>
      </c>
      <c r="D156" t="inlineStr">
        <is>
          <t>STOCKHOLMS LÄN</t>
        </is>
      </c>
      <c r="E156" t="inlineStr">
        <is>
          <t>NORRTÄLJE</t>
        </is>
      </c>
      <c r="F156" t="inlineStr">
        <is>
          <t>Holmen skog AB</t>
        </is>
      </c>
      <c r="G156" t="n">
        <v>2.8</v>
      </c>
      <c r="H156" t="n">
        <v>1</v>
      </c>
      <c r="I156" t="n">
        <v>0</v>
      </c>
      <c r="J156" t="n">
        <v>0</v>
      </c>
      <c r="K156" t="n">
        <v>0</v>
      </c>
      <c r="L156" t="n">
        <v>1</v>
      </c>
      <c r="M156" t="n">
        <v>0</v>
      </c>
      <c r="N156" t="n">
        <v>0</v>
      </c>
      <c r="O156" t="n">
        <v>1</v>
      </c>
      <c r="P156" t="n">
        <v>1</v>
      </c>
      <c r="Q156" t="n">
        <v>1</v>
      </c>
      <c r="R156" s="2" t="inlineStr">
        <is>
          <t>Asknätfjäril</t>
        </is>
      </c>
      <c r="S156">
        <f>HYPERLINK("https://klasma.github.io/Logging_0188/artfynd/A 55952-2024 artfynd.xlsx", "A 55952-2024")</f>
        <v/>
      </c>
      <c r="T156">
        <f>HYPERLINK("https://klasma.github.io/Logging_0188/kartor/A 55952-2024 karta.png", "A 55952-2024")</f>
        <v/>
      </c>
      <c r="V156">
        <f>HYPERLINK("https://klasma.github.io/Logging_0188/klagomål/A 55952-2024 FSC-klagomål.docx", "A 55952-2024")</f>
        <v/>
      </c>
      <c r="W156">
        <f>HYPERLINK("https://klasma.github.io/Logging_0188/klagomålsmail/A 55952-2024 FSC-klagomål mail.docx", "A 55952-2024")</f>
        <v/>
      </c>
      <c r="X156">
        <f>HYPERLINK("https://klasma.github.io/Logging_0188/tillsyn/A 55952-2024 tillsynsbegäran.docx", "A 55952-2024")</f>
        <v/>
      </c>
      <c r="Y156">
        <f>HYPERLINK("https://klasma.github.io/Logging_0188/tillsynsmail/A 55952-2024 tillsynsbegäran mail.docx", "A 55952-2024")</f>
        <v/>
      </c>
    </row>
    <row r="157" ht="15" customHeight="1">
      <c r="A157" t="inlineStr">
        <is>
          <t>A 35161-2022</t>
        </is>
      </c>
      <c r="B157" s="1" t="n">
        <v>44797</v>
      </c>
      <c r="C157" s="1" t="n">
        <v>46203</v>
      </c>
      <c r="D157" t="inlineStr">
        <is>
          <t>STOCKHOLMS LÄN</t>
        </is>
      </c>
      <c r="E157" t="inlineStr">
        <is>
          <t>NORRTÄLJE</t>
        </is>
      </c>
      <c r="G157" t="n">
        <v>6</v>
      </c>
      <c r="H157" t="n">
        <v>1</v>
      </c>
      <c r="I157" t="n">
        <v>1</v>
      </c>
      <c r="J157" t="n">
        <v>0</v>
      </c>
      <c r="K157" t="n">
        <v>0</v>
      </c>
      <c r="L157" t="n">
        <v>0</v>
      </c>
      <c r="M157" t="n">
        <v>0</v>
      </c>
      <c r="N157" t="n">
        <v>0</v>
      </c>
      <c r="O157" t="n">
        <v>0</v>
      </c>
      <c r="P157" t="n">
        <v>0</v>
      </c>
      <c r="Q157" t="n">
        <v>1</v>
      </c>
      <c r="R157" s="2" t="inlineStr">
        <is>
          <t>Skogsknipprot</t>
        </is>
      </c>
      <c r="S157">
        <f>HYPERLINK("https://klasma.github.io/Logging_0188/artfynd/A 35161-2022 artfynd.xlsx", "A 35161-2022")</f>
        <v/>
      </c>
      <c r="T157">
        <f>HYPERLINK("https://klasma.github.io/Logging_0188/kartor/A 35161-2022 karta.png", "A 35161-2022")</f>
        <v/>
      </c>
      <c r="V157">
        <f>HYPERLINK("https://klasma.github.io/Logging_0188/klagomål/A 35161-2022 FSC-klagomål.docx", "A 35161-2022")</f>
        <v/>
      </c>
      <c r="W157">
        <f>HYPERLINK("https://klasma.github.io/Logging_0188/klagomålsmail/A 35161-2022 FSC-klagomål mail.docx", "A 35161-2022")</f>
        <v/>
      </c>
      <c r="X157">
        <f>HYPERLINK("https://klasma.github.io/Logging_0188/tillsyn/A 35161-2022 tillsynsbegäran.docx", "A 35161-2022")</f>
        <v/>
      </c>
      <c r="Y157">
        <f>HYPERLINK("https://klasma.github.io/Logging_0188/tillsynsmail/A 35161-2022 tillsynsbegäran mail.docx", "A 35161-2022")</f>
        <v/>
      </c>
    </row>
    <row r="158" ht="15" customHeight="1">
      <c r="A158" t="inlineStr">
        <is>
          <t>A 58993-2022</t>
        </is>
      </c>
      <c r="B158" s="1" t="n">
        <v>44903</v>
      </c>
      <c r="C158" s="1" t="n">
        <v>46203</v>
      </c>
      <c r="D158" t="inlineStr">
        <is>
          <t>STOCKHOLMS LÄN</t>
        </is>
      </c>
      <c r="E158" t="inlineStr">
        <is>
          <t>NORRTÄLJE</t>
        </is>
      </c>
      <c r="G158" t="n">
        <v>2.3</v>
      </c>
      <c r="H158" t="n">
        <v>0</v>
      </c>
      <c r="I158" t="n">
        <v>0</v>
      </c>
      <c r="J158" t="n">
        <v>1</v>
      </c>
      <c r="K158" t="n">
        <v>0</v>
      </c>
      <c r="L158" t="n">
        <v>0</v>
      </c>
      <c r="M158" t="n">
        <v>0</v>
      </c>
      <c r="N158" t="n">
        <v>0</v>
      </c>
      <c r="O158" t="n">
        <v>1</v>
      </c>
      <c r="P158" t="n">
        <v>0</v>
      </c>
      <c r="Q158" t="n">
        <v>1</v>
      </c>
      <c r="R158" s="2" t="inlineStr">
        <is>
          <t>Rödlånke</t>
        </is>
      </c>
      <c r="S158">
        <f>HYPERLINK("https://klasma.github.io/Logging_0188/artfynd/A 58993-2022 artfynd.xlsx", "A 58993-2022")</f>
        <v/>
      </c>
      <c r="T158">
        <f>HYPERLINK("https://klasma.github.io/Logging_0188/kartor/A 58993-2022 karta.png", "A 58993-2022")</f>
        <v/>
      </c>
      <c r="V158">
        <f>HYPERLINK("https://klasma.github.io/Logging_0188/klagomål/A 58993-2022 FSC-klagomål.docx", "A 58993-2022")</f>
        <v/>
      </c>
      <c r="W158">
        <f>HYPERLINK("https://klasma.github.io/Logging_0188/klagomålsmail/A 58993-2022 FSC-klagomål mail.docx", "A 58993-2022")</f>
        <v/>
      </c>
      <c r="X158">
        <f>HYPERLINK("https://klasma.github.io/Logging_0188/tillsyn/A 58993-2022 tillsynsbegäran.docx", "A 58993-2022")</f>
        <v/>
      </c>
      <c r="Y158">
        <f>HYPERLINK("https://klasma.github.io/Logging_0188/tillsynsmail/A 58993-2022 tillsynsbegäran mail.docx", "A 58993-2022")</f>
        <v/>
      </c>
    </row>
    <row r="159" ht="15" customHeight="1">
      <c r="A159" t="inlineStr">
        <is>
          <t>A 19355-2026</t>
        </is>
      </c>
      <c r="B159" s="1" t="n">
        <v>46133</v>
      </c>
      <c r="C159" s="1" t="n">
        <v>46203</v>
      </c>
      <c r="D159" t="inlineStr">
        <is>
          <t>STOCKHOLMS LÄN</t>
        </is>
      </c>
      <c r="E159" t="inlineStr">
        <is>
          <t>NORRTÄLJE</t>
        </is>
      </c>
      <c r="G159" t="n">
        <v>22.5</v>
      </c>
      <c r="H159" t="n">
        <v>0</v>
      </c>
      <c r="I159" t="n">
        <v>1</v>
      </c>
      <c r="J159" t="n">
        <v>0</v>
      </c>
      <c r="K159" t="n">
        <v>0</v>
      </c>
      <c r="L159" t="n">
        <v>0</v>
      </c>
      <c r="M159" t="n">
        <v>0</v>
      </c>
      <c r="N159" t="n">
        <v>0</v>
      </c>
      <c r="O159" t="n">
        <v>0</v>
      </c>
      <c r="P159" t="n">
        <v>0</v>
      </c>
      <c r="Q159" t="n">
        <v>1</v>
      </c>
      <c r="R159" s="2" t="inlineStr">
        <is>
          <t>Mönjevaxing</t>
        </is>
      </c>
      <c r="S159">
        <f>HYPERLINK("https://klasma.github.io/Logging_0188/artfynd/A 19355-2026 artfynd.xlsx", "A 19355-2026")</f>
        <v/>
      </c>
      <c r="T159">
        <f>HYPERLINK("https://klasma.github.io/Logging_0188/kartor/A 19355-2026 karta.png", "A 19355-2026")</f>
        <v/>
      </c>
      <c r="V159">
        <f>HYPERLINK("https://klasma.github.io/Logging_0188/klagomål/A 19355-2026 FSC-klagomål.docx", "A 19355-2026")</f>
        <v/>
      </c>
      <c r="W159">
        <f>HYPERLINK("https://klasma.github.io/Logging_0188/klagomålsmail/A 19355-2026 FSC-klagomål mail.docx", "A 19355-2026")</f>
        <v/>
      </c>
      <c r="X159">
        <f>HYPERLINK("https://klasma.github.io/Logging_0188/tillsyn/A 19355-2026 tillsynsbegäran.docx", "A 19355-2026")</f>
        <v/>
      </c>
      <c r="Y159">
        <f>HYPERLINK("https://klasma.github.io/Logging_0188/tillsynsmail/A 19355-2026 tillsynsbegäran mail.docx", "A 19355-2026")</f>
        <v/>
      </c>
    </row>
    <row r="160" ht="15" customHeight="1">
      <c r="A160" t="inlineStr">
        <is>
          <t>A 23146-2024</t>
        </is>
      </c>
      <c r="B160" s="1" t="n">
        <v>45450</v>
      </c>
      <c r="C160" s="1" t="n">
        <v>46203</v>
      </c>
      <c r="D160" t="inlineStr">
        <is>
          <t>STOCKHOLMS LÄN</t>
        </is>
      </c>
      <c r="E160" t="inlineStr">
        <is>
          <t>NORRTÄLJE</t>
        </is>
      </c>
      <c r="F160" t="inlineStr">
        <is>
          <t>Kommuner</t>
        </is>
      </c>
      <c r="G160" t="n">
        <v>6</v>
      </c>
      <c r="H160" t="n">
        <v>0</v>
      </c>
      <c r="I160" t="n">
        <v>0</v>
      </c>
      <c r="J160" t="n">
        <v>1</v>
      </c>
      <c r="K160" t="n">
        <v>0</v>
      </c>
      <c r="L160" t="n">
        <v>0</v>
      </c>
      <c r="M160" t="n">
        <v>0</v>
      </c>
      <c r="N160" t="n">
        <v>0</v>
      </c>
      <c r="O160" t="n">
        <v>1</v>
      </c>
      <c r="P160" t="n">
        <v>0</v>
      </c>
      <c r="Q160" t="n">
        <v>1</v>
      </c>
      <c r="R160" s="2" t="inlineStr">
        <is>
          <t>Motaggsvamp</t>
        </is>
      </c>
      <c r="S160">
        <f>HYPERLINK("https://klasma.github.io/Logging_0188/artfynd/A 23146-2024 artfynd.xlsx", "A 23146-2024")</f>
        <v/>
      </c>
      <c r="T160">
        <f>HYPERLINK("https://klasma.github.io/Logging_0188/kartor/A 23146-2024 karta.png", "A 23146-2024")</f>
        <v/>
      </c>
      <c r="V160">
        <f>HYPERLINK("https://klasma.github.io/Logging_0188/klagomål/A 23146-2024 FSC-klagomål.docx", "A 23146-2024")</f>
        <v/>
      </c>
      <c r="W160">
        <f>HYPERLINK("https://klasma.github.io/Logging_0188/klagomålsmail/A 23146-2024 FSC-klagomål mail.docx", "A 23146-2024")</f>
        <v/>
      </c>
      <c r="X160">
        <f>HYPERLINK("https://klasma.github.io/Logging_0188/tillsyn/A 23146-2024 tillsynsbegäran.docx", "A 23146-2024")</f>
        <v/>
      </c>
      <c r="Y160">
        <f>HYPERLINK("https://klasma.github.io/Logging_0188/tillsynsmail/A 23146-2024 tillsynsbegäran mail.docx", "A 23146-2024")</f>
        <v/>
      </c>
    </row>
    <row r="161" ht="15" customHeight="1">
      <c r="A161" t="inlineStr">
        <is>
          <t>A 25911-2026</t>
        </is>
      </c>
      <c r="B161" s="1" t="n">
        <v>46178</v>
      </c>
      <c r="C161" s="1" t="n">
        <v>46203</v>
      </c>
      <c r="D161" t="inlineStr">
        <is>
          <t>STOCKHOLMS LÄN</t>
        </is>
      </c>
      <c r="E161" t="inlineStr">
        <is>
          <t>NORRTÄLJE</t>
        </is>
      </c>
      <c r="G161" t="n">
        <v>11.3</v>
      </c>
      <c r="H161" t="n">
        <v>1</v>
      </c>
      <c r="I161" t="n">
        <v>0</v>
      </c>
      <c r="J161" t="n">
        <v>1</v>
      </c>
      <c r="K161" t="n">
        <v>0</v>
      </c>
      <c r="L161" t="n">
        <v>0</v>
      </c>
      <c r="M161" t="n">
        <v>0</v>
      </c>
      <c r="N161" t="n">
        <v>0</v>
      </c>
      <c r="O161" t="n">
        <v>1</v>
      </c>
      <c r="P161" t="n">
        <v>0</v>
      </c>
      <c r="Q161" t="n">
        <v>1</v>
      </c>
      <c r="R161" s="2" t="inlineStr">
        <is>
          <t>Talltita</t>
        </is>
      </c>
      <c r="S161">
        <f>HYPERLINK("https://klasma.github.io/Logging_0188/artfynd/A 25911-2026 artfynd.xlsx", "A 25911-2026")</f>
        <v/>
      </c>
      <c r="T161">
        <f>HYPERLINK("https://klasma.github.io/Logging_0188/kartor/A 25911-2026 karta.png", "A 25911-2026")</f>
        <v/>
      </c>
      <c r="V161">
        <f>HYPERLINK("https://klasma.github.io/Logging_0188/klagomål/A 25911-2026 FSC-klagomål.docx", "A 25911-2026")</f>
        <v/>
      </c>
      <c r="W161">
        <f>HYPERLINK("https://klasma.github.io/Logging_0188/klagomålsmail/A 25911-2026 FSC-klagomål mail.docx", "A 25911-2026")</f>
        <v/>
      </c>
      <c r="X161">
        <f>HYPERLINK("https://klasma.github.io/Logging_0188/tillsyn/A 25911-2026 tillsynsbegäran.docx", "A 25911-2026")</f>
        <v/>
      </c>
      <c r="Y161">
        <f>HYPERLINK("https://klasma.github.io/Logging_0188/tillsynsmail/A 25911-2026 tillsynsbegäran mail.docx", "A 25911-2026")</f>
        <v/>
      </c>
      <c r="Z161">
        <f>HYPERLINK("https://klasma.github.io/Logging_0188/fåglar/A 25911-2026 prioriterade fågelarter.docx", "A 25911-2026")</f>
        <v/>
      </c>
    </row>
    <row r="162" ht="15" customHeight="1">
      <c r="A162" t="inlineStr">
        <is>
          <t>A 25916-2026</t>
        </is>
      </c>
      <c r="B162" s="1" t="n">
        <v>46178</v>
      </c>
      <c r="C162" s="1" t="n">
        <v>46203</v>
      </c>
      <c r="D162" t="inlineStr">
        <is>
          <t>STOCKHOLMS LÄN</t>
        </is>
      </c>
      <c r="E162" t="inlineStr">
        <is>
          <t>NORRTÄLJE</t>
        </is>
      </c>
      <c r="G162" t="n">
        <v>9.5</v>
      </c>
      <c r="H162" t="n">
        <v>0</v>
      </c>
      <c r="I162" t="n">
        <v>0</v>
      </c>
      <c r="J162" t="n">
        <v>0</v>
      </c>
      <c r="K162" t="n">
        <v>0</v>
      </c>
      <c r="L162" t="n">
        <v>1</v>
      </c>
      <c r="M162" t="n">
        <v>0</v>
      </c>
      <c r="N162" t="n">
        <v>0</v>
      </c>
      <c r="O162" t="n">
        <v>1</v>
      </c>
      <c r="P162" t="n">
        <v>1</v>
      </c>
      <c r="Q162" t="n">
        <v>1</v>
      </c>
      <c r="R162" s="2" t="inlineStr">
        <is>
          <t>Violgubbe</t>
        </is>
      </c>
      <c r="S162">
        <f>HYPERLINK("https://klasma.github.io/Logging_0188/artfynd/A 25916-2026 artfynd.xlsx", "A 25916-2026")</f>
        <v/>
      </c>
      <c r="T162">
        <f>HYPERLINK("https://klasma.github.io/Logging_0188/kartor/A 25916-2026 karta.png", "A 25916-2026")</f>
        <v/>
      </c>
      <c r="V162">
        <f>HYPERLINK("https://klasma.github.io/Logging_0188/klagomål/A 25916-2026 FSC-klagomål.docx", "A 25916-2026")</f>
        <v/>
      </c>
      <c r="W162">
        <f>HYPERLINK("https://klasma.github.io/Logging_0188/klagomålsmail/A 25916-2026 FSC-klagomål mail.docx", "A 25916-2026")</f>
        <v/>
      </c>
      <c r="X162">
        <f>HYPERLINK("https://klasma.github.io/Logging_0188/tillsyn/A 25916-2026 tillsynsbegäran.docx", "A 25916-2026")</f>
        <v/>
      </c>
      <c r="Y162">
        <f>HYPERLINK("https://klasma.github.io/Logging_0188/tillsynsmail/A 25916-2026 tillsynsbegäran mail.docx", "A 25916-2026")</f>
        <v/>
      </c>
    </row>
    <row r="163" ht="15" customHeight="1">
      <c r="A163" t="inlineStr">
        <is>
          <t>A 63292-2025</t>
        </is>
      </c>
      <c r="B163" s="1" t="n">
        <v>46010</v>
      </c>
      <c r="C163" s="1" t="n">
        <v>46203</v>
      </c>
      <c r="D163" t="inlineStr">
        <is>
          <t>STOCKHOLMS LÄN</t>
        </is>
      </c>
      <c r="E163" t="inlineStr">
        <is>
          <t>NORRTÄLJE</t>
        </is>
      </c>
      <c r="G163" t="n">
        <v>11.1</v>
      </c>
      <c r="H163" t="n">
        <v>1</v>
      </c>
      <c r="I163" t="n">
        <v>1</v>
      </c>
      <c r="J163" t="n">
        <v>0</v>
      </c>
      <c r="K163" t="n">
        <v>0</v>
      </c>
      <c r="L163" t="n">
        <v>0</v>
      </c>
      <c r="M163" t="n">
        <v>0</v>
      </c>
      <c r="N163" t="n">
        <v>0</v>
      </c>
      <c r="O163" t="n">
        <v>0</v>
      </c>
      <c r="P163" t="n">
        <v>0</v>
      </c>
      <c r="Q163" t="n">
        <v>1</v>
      </c>
      <c r="R163" s="2" t="inlineStr">
        <is>
          <t>Nästrot</t>
        </is>
      </c>
      <c r="S163">
        <f>HYPERLINK("https://klasma.github.io/Logging_0188/artfynd/A 63292-2025 artfynd.xlsx", "A 63292-2025")</f>
        <v/>
      </c>
      <c r="T163">
        <f>HYPERLINK("https://klasma.github.io/Logging_0188/kartor/A 63292-2025 karta.png", "A 63292-2025")</f>
        <v/>
      </c>
      <c r="V163">
        <f>HYPERLINK("https://klasma.github.io/Logging_0188/klagomål/A 63292-2025 FSC-klagomål.docx", "A 63292-2025")</f>
        <v/>
      </c>
      <c r="W163">
        <f>HYPERLINK("https://klasma.github.io/Logging_0188/klagomålsmail/A 63292-2025 FSC-klagomål mail.docx", "A 63292-2025")</f>
        <v/>
      </c>
      <c r="X163">
        <f>HYPERLINK("https://klasma.github.io/Logging_0188/tillsyn/A 63292-2025 tillsynsbegäran.docx", "A 63292-2025")</f>
        <v/>
      </c>
      <c r="Y163">
        <f>HYPERLINK("https://klasma.github.io/Logging_0188/tillsynsmail/A 63292-2025 tillsynsbegäran mail.docx", "A 63292-2025")</f>
        <v/>
      </c>
    </row>
    <row r="164" ht="15" customHeight="1">
      <c r="A164" t="inlineStr">
        <is>
          <t>A 37273-2024</t>
        </is>
      </c>
      <c r="B164" s="1" t="n">
        <v>45540</v>
      </c>
      <c r="C164" s="1" t="n">
        <v>46203</v>
      </c>
      <c r="D164" t="inlineStr">
        <is>
          <t>STOCKHOLMS LÄN</t>
        </is>
      </c>
      <c r="E164" t="inlineStr">
        <is>
          <t>NORRTÄLJE</t>
        </is>
      </c>
      <c r="F164" t="inlineStr">
        <is>
          <t>Sveaskog</t>
        </is>
      </c>
      <c r="G164" t="n">
        <v>12.5</v>
      </c>
      <c r="H164" t="n">
        <v>0</v>
      </c>
      <c r="I164" t="n">
        <v>1</v>
      </c>
      <c r="J164" t="n">
        <v>0</v>
      </c>
      <c r="K164" t="n">
        <v>0</v>
      </c>
      <c r="L164" t="n">
        <v>0</v>
      </c>
      <c r="M164" t="n">
        <v>0</v>
      </c>
      <c r="N164" t="n">
        <v>0</v>
      </c>
      <c r="O164" t="n">
        <v>0</v>
      </c>
      <c r="P164" t="n">
        <v>0</v>
      </c>
      <c r="Q164" t="n">
        <v>1</v>
      </c>
      <c r="R164" s="2" t="inlineStr">
        <is>
          <t>Trådticka</t>
        </is>
      </c>
      <c r="S164">
        <f>HYPERLINK("https://klasma.github.io/Logging_0188/artfynd/A 37273-2024 artfynd.xlsx", "A 37273-2024")</f>
        <v/>
      </c>
      <c r="T164">
        <f>HYPERLINK("https://klasma.github.io/Logging_0188/kartor/A 37273-2024 karta.png", "A 37273-2024")</f>
        <v/>
      </c>
      <c r="V164">
        <f>HYPERLINK("https://klasma.github.io/Logging_0188/klagomål/A 37273-2024 FSC-klagomål.docx", "A 37273-2024")</f>
        <v/>
      </c>
      <c r="W164">
        <f>HYPERLINK("https://klasma.github.io/Logging_0188/klagomålsmail/A 37273-2024 FSC-klagomål mail.docx", "A 37273-2024")</f>
        <v/>
      </c>
      <c r="X164">
        <f>HYPERLINK("https://klasma.github.io/Logging_0188/tillsyn/A 37273-2024 tillsynsbegäran.docx", "A 37273-2024")</f>
        <v/>
      </c>
      <c r="Y164">
        <f>HYPERLINK("https://klasma.github.io/Logging_0188/tillsynsmail/A 37273-2024 tillsynsbegäran mail.docx", "A 37273-2024")</f>
        <v/>
      </c>
    </row>
    <row r="165" ht="15" customHeight="1">
      <c r="A165" t="inlineStr">
        <is>
          <t>A 7734-2026</t>
        </is>
      </c>
      <c r="B165" s="1" t="n">
        <v>46062</v>
      </c>
      <c r="C165" s="1" t="n">
        <v>46203</v>
      </c>
      <c r="D165" t="inlineStr">
        <is>
          <t>STOCKHOLMS LÄN</t>
        </is>
      </c>
      <c r="E165" t="inlineStr">
        <is>
          <t>NORRTÄLJE</t>
        </is>
      </c>
      <c r="G165" t="n">
        <v>6.6</v>
      </c>
      <c r="H165" t="n">
        <v>0</v>
      </c>
      <c r="I165" t="n">
        <v>1</v>
      </c>
      <c r="J165" t="n">
        <v>0</v>
      </c>
      <c r="K165" t="n">
        <v>0</v>
      </c>
      <c r="L165" t="n">
        <v>0</v>
      </c>
      <c r="M165" t="n">
        <v>0</v>
      </c>
      <c r="N165" t="n">
        <v>0</v>
      </c>
      <c r="O165" t="n">
        <v>0</v>
      </c>
      <c r="P165" t="n">
        <v>0</v>
      </c>
      <c r="Q165" t="n">
        <v>1</v>
      </c>
      <c r="R165" s="2" t="inlineStr">
        <is>
          <t>Kastanjefjällskivling</t>
        </is>
      </c>
      <c r="S165">
        <f>HYPERLINK("https://klasma.github.io/Logging_0188/artfynd/A 7734-2026 artfynd.xlsx", "A 7734-2026")</f>
        <v/>
      </c>
      <c r="T165">
        <f>HYPERLINK("https://klasma.github.io/Logging_0188/kartor/A 7734-2026 karta.png", "A 7734-2026")</f>
        <v/>
      </c>
      <c r="V165">
        <f>HYPERLINK("https://klasma.github.io/Logging_0188/klagomål/A 7734-2026 FSC-klagomål.docx", "A 7734-2026")</f>
        <v/>
      </c>
      <c r="W165">
        <f>HYPERLINK("https://klasma.github.io/Logging_0188/klagomålsmail/A 7734-2026 FSC-klagomål mail.docx", "A 7734-2026")</f>
        <v/>
      </c>
      <c r="X165">
        <f>HYPERLINK("https://klasma.github.io/Logging_0188/tillsyn/A 7734-2026 tillsynsbegäran.docx", "A 7734-2026")</f>
        <v/>
      </c>
      <c r="Y165">
        <f>HYPERLINK("https://klasma.github.io/Logging_0188/tillsynsmail/A 7734-2026 tillsynsbegäran mail.docx", "A 7734-2026")</f>
        <v/>
      </c>
    </row>
    <row r="166" ht="15" customHeight="1">
      <c r="A166" t="inlineStr">
        <is>
          <t>A 25917-2026</t>
        </is>
      </c>
      <c r="B166" s="1" t="n">
        <v>46178</v>
      </c>
      <c r="C166" s="1" t="n">
        <v>46203</v>
      </c>
      <c r="D166" t="inlineStr">
        <is>
          <t>STOCKHOLMS LÄN</t>
        </is>
      </c>
      <c r="E166" t="inlineStr">
        <is>
          <t>NORRTÄLJE</t>
        </is>
      </c>
      <c r="G166" t="n">
        <v>4</v>
      </c>
      <c r="H166" t="n">
        <v>1</v>
      </c>
      <c r="I166" t="n">
        <v>0</v>
      </c>
      <c r="J166" t="n">
        <v>1</v>
      </c>
      <c r="K166" t="n">
        <v>0</v>
      </c>
      <c r="L166" t="n">
        <v>0</v>
      </c>
      <c r="M166" t="n">
        <v>0</v>
      </c>
      <c r="N166" t="n">
        <v>0</v>
      </c>
      <c r="O166" t="n">
        <v>1</v>
      </c>
      <c r="P166" t="n">
        <v>0</v>
      </c>
      <c r="Q166" t="n">
        <v>1</v>
      </c>
      <c r="R166" s="2" t="inlineStr">
        <is>
          <t>Duvhök</t>
        </is>
      </c>
      <c r="S166">
        <f>HYPERLINK("https://klasma.github.io/Logging_0188/artfynd/A 25917-2026 artfynd.xlsx", "A 25917-2026")</f>
        <v/>
      </c>
      <c r="T166">
        <f>HYPERLINK("https://klasma.github.io/Logging_0188/kartor/A 25917-2026 karta.png", "A 25917-2026")</f>
        <v/>
      </c>
      <c r="V166">
        <f>HYPERLINK("https://klasma.github.io/Logging_0188/klagomål/A 25917-2026 FSC-klagomål.docx", "A 25917-2026")</f>
        <v/>
      </c>
      <c r="W166">
        <f>HYPERLINK("https://klasma.github.io/Logging_0188/klagomålsmail/A 25917-2026 FSC-klagomål mail.docx", "A 25917-2026")</f>
        <v/>
      </c>
      <c r="X166">
        <f>HYPERLINK("https://klasma.github.io/Logging_0188/tillsyn/A 25917-2026 tillsynsbegäran.docx", "A 25917-2026")</f>
        <v/>
      </c>
      <c r="Y166">
        <f>HYPERLINK("https://klasma.github.io/Logging_0188/tillsynsmail/A 25917-2026 tillsynsbegäran mail.docx", "A 25917-2026")</f>
        <v/>
      </c>
      <c r="Z166">
        <f>HYPERLINK("https://klasma.github.io/Logging_0188/fåglar/A 25917-2026 prioriterade fågelarter.docx", "A 25917-2026")</f>
        <v/>
      </c>
    </row>
    <row r="167" ht="15" customHeight="1">
      <c r="A167" t="inlineStr">
        <is>
          <t>A 26415-2026</t>
        </is>
      </c>
      <c r="B167" s="1" t="n">
        <v>46183</v>
      </c>
      <c r="C167" s="1" t="n">
        <v>46203</v>
      </c>
      <c r="D167" t="inlineStr">
        <is>
          <t>STOCKHOLMS LÄN</t>
        </is>
      </c>
      <c r="E167" t="inlineStr">
        <is>
          <t>NORRTÄLJE</t>
        </is>
      </c>
      <c r="G167" t="n">
        <v>2.3</v>
      </c>
      <c r="H167" t="n">
        <v>1</v>
      </c>
      <c r="I167" t="n">
        <v>1</v>
      </c>
      <c r="J167" t="n">
        <v>0</v>
      </c>
      <c r="K167" t="n">
        <v>0</v>
      </c>
      <c r="L167" t="n">
        <v>0</v>
      </c>
      <c r="M167" t="n">
        <v>0</v>
      </c>
      <c r="N167" t="n">
        <v>0</v>
      </c>
      <c r="O167" t="n">
        <v>0</v>
      </c>
      <c r="P167" t="n">
        <v>0</v>
      </c>
      <c r="Q167" t="n">
        <v>1</v>
      </c>
      <c r="R167" s="2" t="inlineStr">
        <is>
          <t>Korallrot</t>
        </is>
      </c>
      <c r="S167">
        <f>HYPERLINK("https://klasma.github.io/Logging_0188/artfynd/A 26415-2026 artfynd.xlsx", "A 26415-2026")</f>
        <v/>
      </c>
      <c r="T167">
        <f>HYPERLINK("https://klasma.github.io/Logging_0188/kartor/A 26415-2026 karta.png", "A 26415-2026")</f>
        <v/>
      </c>
      <c r="V167">
        <f>HYPERLINK("https://klasma.github.io/Logging_0188/klagomål/A 26415-2026 FSC-klagomål.docx", "A 26415-2026")</f>
        <v/>
      </c>
      <c r="W167">
        <f>HYPERLINK("https://klasma.github.io/Logging_0188/klagomålsmail/A 26415-2026 FSC-klagomål mail.docx", "A 26415-2026")</f>
        <v/>
      </c>
      <c r="X167">
        <f>HYPERLINK("https://klasma.github.io/Logging_0188/tillsyn/A 26415-2026 tillsynsbegäran.docx", "A 26415-2026")</f>
        <v/>
      </c>
      <c r="Y167">
        <f>HYPERLINK("https://klasma.github.io/Logging_0188/tillsynsmail/A 26415-2026 tillsynsbegäran mail.docx", "A 26415-2026")</f>
        <v/>
      </c>
    </row>
    <row r="168" ht="15" customHeight="1">
      <c r="A168" t="inlineStr">
        <is>
          <t>A 27538-2024</t>
        </is>
      </c>
      <c r="B168" s="1" t="n">
        <v>45474</v>
      </c>
      <c r="C168" s="1" t="n">
        <v>46203</v>
      </c>
      <c r="D168" t="inlineStr">
        <is>
          <t>STOCKHOLMS LÄN</t>
        </is>
      </c>
      <c r="E168" t="inlineStr">
        <is>
          <t>NORRTÄLJE</t>
        </is>
      </c>
      <c r="G168" t="n">
        <v>1.5</v>
      </c>
      <c r="H168" t="n">
        <v>1</v>
      </c>
      <c r="I168" t="n">
        <v>1</v>
      </c>
      <c r="J168" t="n">
        <v>0</v>
      </c>
      <c r="K168" t="n">
        <v>0</v>
      </c>
      <c r="L168" t="n">
        <v>0</v>
      </c>
      <c r="M168" t="n">
        <v>0</v>
      </c>
      <c r="N168" t="n">
        <v>0</v>
      </c>
      <c r="O168" t="n">
        <v>0</v>
      </c>
      <c r="P168" t="n">
        <v>0</v>
      </c>
      <c r="Q168" t="n">
        <v>1</v>
      </c>
      <c r="R168" s="2" t="inlineStr">
        <is>
          <t>Skogsknipprot</t>
        </is>
      </c>
      <c r="S168">
        <f>HYPERLINK("https://klasma.github.io/Logging_0188/artfynd/A 27538-2024 artfynd.xlsx", "A 27538-2024")</f>
        <v/>
      </c>
      <c r="T168">
        <f>HYPERLINK("https://klasma.github.io/Logging_0188/kartor/A 27538-2024 karta.png", "A 27538-2024")</f>
        <v/>
      </c>
      <c r="V168">
        <f>HYPERLINK("https://klasma.github.io/Logging_0188/klagomål/A 27538-2024 FSC-klagomål.docx", "A 27538-2024")</f>
        <v/>
      </c>
      <c r="W168">
        <f>HYPERLINK("https://klasma.github.io/Logging_0188/klagomålsmail/A 27538-2024 FSC-klagomål mail.docx", "A 27538-2024")</f>
        <v/>
      </c>
      <c r="X168">
        <f>HYPERLINK("https://klasma.github.io/Logging_0188/tillsyn/A 27538-2024 tillsynsbegäran.docx", "A 27538-2024")</f>
        <v/>
      </c>
      <c r="Y168">
        <f>HYPERLINK("https://klasma.github.io/Logging_0188/tillsynsmail/A 27538-2024 tillsynsbegäran mail.docx", "A 27538-2024")</f>
        <v/>
      </c>
    </row>
    <row r="169" ht="15" customHeight="1">
      <c r="A169" t="inlineStr">
        <is>
          <t>A 4385-2023</t>
        </is>
      </c>
      <c r="B169" s="1" t="n">
        <v>44955</v>
      </c>
      <c r="C169" s="1" t="n">
        <v>46203</v>
      </c>
      <c r="D169" t="inlineStr">
        <is>
          <t>STOCKHOLMS LÄN</t>
        </is>
      </c>
      <c r="E169" t="inlineStr">
        <is>
          <t>NORRTÄLJE</t>
        </is>
      </c>
      <c r="G169" t="n">
        <v>7.8</v>
      </c>
      <c r="H169" t="n">
        <v>1</v>
      </c>
      <c r="I169" t="n">
        <v>1</v>
      </c>
      <c r="J169" t="n">
        <v>0</v>
      </c>
      <c r="K169" t="n">
        <v>0</v>
      </c>
      <c r="L169" t="n">
        <v>0</v>
      </c>
      <c r="M169" t="n">
        <v>0</v>
      </c>
      <c r="N169" t="n">
        <v>0</v>
      </c>
      <c r="O169" t="n">
        <v>0</v>
      </c>
      <c r="P169" t="n">
        <v>0</v>
      </c>
      <c r="Q169" t="n">
        <v>1</v>
      </c>
      <c r="R169" s="2" t="inlineStr">
        <is>
          <t>Skogsknipprot</t>
        </is>
      </c>
      <c r="S169">
        <f>HYPERLINK("https://klasma.github.io/Logging_0188/artfynd/A 4385-2023 artfynd.xlsx", "A 4385-2023")</f>
        <v/>
      </c>
      <c r="T169">
        <f>HYPERLINK("https://klasma.github.io/Logging_0188/kartor/A 4385-2023 karta.png", "A 4385-2023")</f>
        <v/>
      </c>
      <c r="V169">
        <f>HYPERLINK("https://klasma.github.io/Logging_0188/klagomål/A 4385-2023 FSC-klagomål.docx", "A 4385-2023")</f>
        <v/>
      </c>
      <c r="W169">
        <f>HYPERLINK("https://klasma.github.io/Logging_0188/klagomålsmail/A 4385-2023 FSC-klagomål mail.docx", "A 4385-2023")</f>
        <v/>
      </c>
      <c r="X169">
        <f>HYPERLINK("https://klasma.github.io/Logging_0188/tillsyn/A 4385-2023 tillsynsbegäran.docx", "A 4385-2023")</f>
        <v/>
      </c>
      <c r="Y169">
        <f>HYPERLINK("https://klasma.github.io/Logging_0188/tillsynsmail/A 4385-2023 tillsynsbegäran mail.docx", "A 4385-2023")</f>
        <v/>
      </c>
    </row>
    <row r="170" ht="15" customHeight="1">
      <c r="A170" t="inlineStr">
        <is>
          <t>A 19025-2025</t>
        </is>
      </c>
      <c r="B170" s="1" t="n">
        <v>45764</v>
      </c>
      <c r="C170" s="1" t="n">
        <v>46203</v>
      </c>
      <c r="D170" t="inlineStr">
        <is>
          <t>STOCKHOLMS LÄN</t>
        </is>
      </c>
      <c r="E170" t="inlineStr">
        <is>
          <t>NORRTÄLJE</t>
        </is>
      </c>
      <c r="G170" t="n">
        <v>1.2</v>
      </c>
      <c r="H170" t="n">
        <v>0</v>
      </c>
      <c r="I170" t="n">
        <v>1</v>
      </c>
      <c r="J170" t="n">
        <v>0</v>
      </c>
      <c r="K170" t="n">
        <v>0</v>
      </c>
      <c r="L170" t="n">
        <v>0</v>
      </c>
      <c r="M170" t="n">
        <v>0</v>
      </c>
      <c r="N170" t="n">
        <v>0</v>
      </c>
      <c r="O170" t="n">
        <v>0</v>
      </c>
      <c r="P170" t="n">
        <v>0</v>
      </c>
      <c r="Q170" t="n">
        <v>1</v>
      </c>
      <c r="R170" s="2" t="inlineStr">
        <is>
          <t>Granbarkgnagare</t>
        </is>
      </c>
      <c r="S170">
        <f>HYPERLINK("https://klasma.github.io/Logging_0188/artfynd/A 19025-2025 artfynd.xlsx", "A 19025-2025")</f>
        <v/>
      </c>
      <c r="T170">
        <f>HYPERLINK("https://klasma.github.io/Logging_0188/kartor/A 19025-2025 karta.png", "A 19025-2025")</f>
        <v/>
      </c>
      <c r="V170">
        <f>HYPERLINK("https://klasma.github.io/Logging_0188/klagomål/A 19025-2025 FSC-klagomål.docx", "A 19025-2025")</f>
        <v/>
      </c>
      <c r="W170">
        <f>HYPERLINK("https://klasma.github.io/Logging_0188/klagomålsmail/A 19025-2025 FSC-klagomål mail.docx", "A 19025-2025")</f>
        <v/>
      </c>
      <c r="X170">
        <f>HYPERLINK("https://klasma.github.io/Logging_0188/tillsyn/A 19025-2025 tillsynsbegäran.docx", "A 19025-2025")</f>
        <v/>
      </c>
      <c r="Y170">
        <f>HYPERLINK("https://klasma.github.io/Logging_0188/tillsynsmail/A 19025-2025 tillsynsbegäran mail.docx", "A 19025-2025")</f>
        <v/>
      </c>
    </row>
    <row r="171" ht="15" customHeight="1">
      <c r="A171" t="inlineStr">
        <is>
          <t>A 24330-2023</t>
        </is>
      </c>
      <c r="B171" s="1" t="n">
        <v>45081</v>
      </c>
      <c r="C171" s="1" t="n">
        <v>46203</v>
      </c>
      <c r="D171" t="inlineStr">
        <is>
          <t>STOCKHOLMS LÄN</t>
        </is>
      </c>
      <c r="E171" t="inlineStr">
        <is>
          <t>NORRTÄLJE</t>
        </is>
      </c>
      <c r="G171" t="n">
        <v>5</v>
      </c>
      <c r="H171" t="n">
        <v>1</v>
      </c>
      <c r="I171" t="n">
        <v>0</v>
      </c>
      <c r="J171" t="n">
        <v>1</v>
      </c>
      <c r="K171" t="n">
        <v>0</v>
      </c>
      <c r="L171" t="n">
        <v>0</v>
      </c>
      <c r="M171" t="n">
        <v>0</v>
      </c>
      <c r="N171" t="n">
        <v>0</v>
      </c>
      <c r="O171" t="n">
        <v>1</v>
      </c>
      <c r="P171" t="n">
        <v>0</v>
      </c>
      <c r="Q171" t="n">
        <v>1</v>
      </c>
      <c r="R171" s="2" t="inlineStr">
        <is>
          <t>Mindre hackspett</t>
        </is>
      </c>
      <c r="S171">
        <f>HYPERLINK("https://klasma.github.io/Logging_0188/artfynd/A 24330-2023 artfynd.xlsx", "A 24330-2023")</f>
        <v/>
      </c>
      <c r="T171">
        <f>HYPERLINK("https://klasma.github.io/Logging_0188/kartor/A 24330-2023 karta.png", "A 24330-2023")</f>
        <v/>
      </c>
      <c r="V171">
        <f>HYPERLINK("https://klasma.github.io/Logging_0188/klagomål/A 24330-2023 FSC-klagomål.docx", "A 24330-2023")</f>
        <v/>
      </c>
      <c r="W171">
        <f>HYPERLINK("https://klasma.github.io/Logging_0188/klagomålsmail/A 24330-2023 FSC-klagomål mail.docx", "A 24330-2023")</f>
        <v/>
      </c>
      <c r="X171">
        <f>HYPERLINK("https://klasma.github.io/Logging_0188/tillsyn/A 24330-2023 tillsynsbegäran.docx", "A 24330-2023")</f>
        <v/>
      </c>
      <c r="Y171">
        <f>HYPERLINK("https://klasma.github.io/Logging_0188/tillsynsmail/A 24330-2023 tillsynsbegäran mail.docx", "A 24330-2023")</f>
        <v/>
      </c>
      <c r="Z171">
        <f>HYPERLINK("https://klasma.github.io/Logging_0188/fåglar/A 24330-2023 prioriterade fågelarter.docx", "A 24330-2023")</f>
        <v/>
      </c>
    </row>
    <row r="172" ht="15" customHeight="1">
      <c r="A172" t="inlineStr">
        <is>
          <t>A 30290-2022</t>
        </is>
      </c>
      <c r="B172" s="1" t="n">
        <v>44760</v>
      </c>
      <c r="C172" s="1" t="n">
        <v>46203</v>
      </c>
      <c r="D172" t="inlineStr">
        <is>
          <t>STOCKHOLMS LÄN</t>
        </is>
      </c>
      <c r="E172" t="inlineStr">
        <is>
          <t>NORRTÄLJE</t>
        </is>
      </c>
      <c r="G172" t="n">
        <v>4.8</v>
      </c>
      <c r="H172" t="n">
        <v>1</v>
      </c>
      <c r="I172" t="n">
        <v>1</v>
      </c>
      <c r="J172" t="n">
        <v>0</v>
      </c>
      <c r="K172" t="n">
        <v>0</v>
      </c>
      <c r="L172" t="n">
        <v>0</v>
      </c>
      <c r="M172" t="n">
        <v>0</v>
      </c>
      <c r="N172" t="n">
        <v>0</v>
      </c>
      <c r="O172" t="n">
        <v>0</v>
      </c>
      <c r="P172" t="n">
        <v>0</v>
      </c>
      <c r="Q172" t="n">
        <v>1</v>
      </c>
      <c r="R172" s="2" t="inlineStr">
        <is>
          <t>Skogsknipprot</t>
        </is>
      </c>
      <c r="S172">
        <f>HYPERLINK("https://klasma.github.io/Logging_0188/artfynd/A 30290-2022 artfynd.xlsx", "A 30290-2022")</f>
        <v/>
      </c>
      <c r="T172">
        <f>HYPERLINK("https://klasma.github.io/Logging_0188/kartor/A 30290-2022 karta.png", "A 30290-2022")</f>
        <v/>
      </c>
      <c r="V172">
        <f>HYPERLINK("https://klasma.github.io/Logging_0188/klagomål/A 30290-2022 FSC-klagomål.docx", "A 30290-2022")</f>
        <v/>
      </c>
      <c r="W172">
        <f>HYPERLINK("https://klasma.github.io/Logging_0188/klagomålsmail/A 30290-2022 FSC-klagomål mail.docx", "A 30290-2022")</f>
        <v/>
      </c>
      <c r="X172">
        <f>HYPERLINK("https://klasma.github.io/Logging_0188/tillsyn/A 30290-2022 tillsynsbegäran.docx", "A 30290-2022")</f>
        <v/>
      </c>
      <c r="Y172">
        <f>HYPERLINK("https://klasma.github.io/Logging_0188/tillsynsmail/A 30290-2022 tillsynsbegäran mail.docx", "A 30290-2022")</f>
        <v/>
      </c>
    </row>
    <row r="173" ht="15" customHeight="1">
      <c r="A173" t="inlineStr">
        <is>
          <t>A 42313-2025</t>
        </is>
      </c>
      <c r="B173" s="1" t="n">
        <v>45904</v>
      </c>
      <c r="C173" s="1" t="n">
        <v>46203</v>
      </c>
      <c r="D173" t="inlineStr">
        <is>
          <t>STOCKHOLMS LÄN</t>
        </is>
      </c>
      <c r="E173" t="inlineStr">
        <is>
          <t>NORRTÄLJE</t>
        </is>
      </c>
      <c r="G173" t="n">
        <v>1.7</v>
      </c>
      <c r="H173" t="n">
        <v>1</v>
      </c>
      <c r="I173" t="n">
        <v>0</v>
      </c>
      <c r="J173" t="n">
        <v>0</v>
      </c>
      <c r="K173" t="n">
        <v>0</v>
      </c>
      <c r="L173" t="n">
        <v>0</v>
      </c>
      <c r="M173" t="n">
        <v>0</v>
      </c>
      <c r="N173" t="n">
        <v>0</v>
      </c>
      <c r="O173" t="n">
        <v>0</v>
      </c>
      <c r="P173" t="n">
        <v>0</v>
      </c>
      <c r="Q173" t="n">
        <v>1</v>
      </c>
      <c r="R173" s="2" t="inlineStr">
        <is>
          <t>Vanlig padda</t>
        </is>
      </c>
      <c r="S173">
        <f>HYPERLINK("https://klasma.github.io/Logging_0188/artfynd/A 42313-2025 artfynd.xlsx", "A 42313-2025")</f>
        <v/>
      </c>
      <c r="T173">
        <f>HYPERLINK("https://klasma.github.io/Logging_0188/kartor/A 42313-2025 karta.png", "A 42313-2025")</f>
        <v/>
      </c>
      <c r="V173">
        <f>HYPERLINK("https://klasma.github.io/Logging_0188/klagomål/A 42313-2025 FSC-klagomål.docx", "A 42313-2025")</f>
        <v/>
      </c>
      <c r="W173">
        <f>HYPERLINK("https://klasma.github.io/Logging_0188/klagomålsmail/A 42313-2025 FSC-klagomål mail.docx", "A 42313-2025")</f>
        <v/>
      </c>
      <c r="X173">
        <f>HYPERLINK("https://klasma.github.io/Logging_0188/tillsyn/A 42313-2025 tillsynsbegäran.docx", "A 42313-2025")</f>
        <v/>
      </c>
      <c r="Y173">
        <f>HYPERLINK("https://klasma.github.io/Logging_0188/tillsynsmail/A 42313-2025 tillsynsbegäran mail.docx", "A 42313-2025")</f>
        <v/>
      </c>
    </row>
    <row r="174" ht="15" customHeight="1">
      <c r="A174" t="inlineStr">
        <is>
          <t>A 28816-2023</t>
        </is>
      </c>
      <c r="B174" s="1" t="n">
        <v>45104</v>
      </c>
      <c r="C174" s="1" t="n">
        <v>46203</v>
      </c>
      <c r="D174" t="inlineStr">
        <is>
          <t>STOCKHOLMS LÄN</t>
        </is>
      </c>
      <c r="E174" t="inlineStr">
        <is>
          <t>NORRTÄLJE</t>
        </is>
      </c>
      <c r="F174" t="inlineStr">
        <is>
          <t>Kommuner</t>
        </is>
      </c>
      <c r="G174" t="n">
        <v>0.5</v>
      </c>
      <c r="H174" t="n">
        <v>1</v>
      </c>
      <c r="I174" t="n">
        <v>0</v>
      </c>
      <c r="J174" t="n">
        <v>0</v>
      </c>
      <c r="K174" t="n">
        <v>0</v>
      </c>
      <c r="L174" t="n">
        <v>0</v>
      </c>
      <c r="M174" t="n">
        <v>0</v>
      </c>
      <c r="N174" t="n">
        <v>0</v>
      </c>
      <c r="O174" t="n">
        <v>0</v>
      </c>
      <c r="P174" t="n">
        <v>0</v>
      </c>
      <c r="Q174" t="n">
        <v>1</v>
      </c>
      <c r="R174" s="2" t="inlineStr">
        <is>
          <t>Kungsfågel</t>
        </is>
      </c>
      <c r="S174">
        <f>HYPERLINK("https://klasma.github.io/Logging_0188/artfynd/A 28816-2023 artfynd.xlsx", "A 28816-2023")</f>
        <v/>
      </c>
      <c r="T174">
        <f>HYPERLINK("https://klasma.github.io/Logging_0188/kartor/A 28816-2023 karta.png", "A 28816-2023")</f>
        <v/>
      </c>
      <c r="V174">
        <f>HYPERLINK("https://klasma.github.io/Logging_0188/klagomål/A 28816-2023 FSC-klagomål.docx", "A 28816-2023")</f>
        <v/>
      </c>
      <c r="W174">
        <f>HYPERLINK("https://klasma.github.io/Logging_0188/klagomålsmail/A 28816-2023 FSC-klagomål mail.docx", "A 28816-2023")</f>
        <v/>
      </c>
      <c r="X174">
        <f>HYPERLINK("https://klasma.github.io/Logging_0188/tillsyn/A 28816-2023 tillsynsbegäran.docx", "A 28816-2023")</f>
        <v/>
      </c>
      <c r="Y174">
        <f>HYPERLINK("https://klasma.github.io/Logging_0188/tillsynsmail/A 28816-2023 tillsynsbegäran mail.docx", "A 28816-2023")</f>
        <v/>
      </c>
    </row>
    <row r="175" ht="15" customHeight="1">
      <c r="A175" t="inlineStr">
        <is>
          <t>A 57442-2021</t>
        </is>
      </c>
      <c r="B175" s="1" t="n">
        <v>44483</v>
      </c>
      <c r="C175" s="1" t="n">
        <v>46203</v>
      </c>
      <c r="D175" t="inlineStr">
        <is>
          <t>STOCKHOLMS LÄN</t>
        </is>
      </c>
      <c r="E175" t="inlineStr">
        <is>
          <t>NORRTÄLJE</t>
        </is>
      </c>
      <c r="G175" t="n">
        <v>3.3</v>
      </c>
      <c r="H175" t="n">
        <v>0</v>
      </c>
      <c r="I175" t="n">
        <v>0</v>
      </c>
      <c r="J175" t="n">
        <v>1</v>
      </c>
      <c r="K175" t="n">
        <v>0</v>
      </c>
      <c r="L175" t="n">
        <v>0</v>
      </c>
      <c r="M175" t="n">
        <v>0</v>
      </c>
      <c r="N175" t="n">
        <v>0</v>
      </c>
      <c r="O175" t="n">
        <v>1</v>
      </c>
      <c r="P175" t="n">
        <v>0</v>
      </c>
      <c r="Q175" t="n">
        <v>1</v>
      </c>
      <c r="R175" s="2" t="inlineStr">
        <is>
          <t>Slåtterfibbla</t>
        </is>
      </c>
      <c r="S175">
        <f>HYPERLINK("https://klasma.github.io/Logging_0188/artfynd/A 57442-2021 artfynd.xlsx", "A 57442-2021")</f>
        <v/>
      </c>
      <c r="T175">
        <f>HYPERLINK("https://klasma.github.io/Logging_0188/kartor/A 57442-2021 karta.png", "A 57442-2021")</f>
        <v/>
      </c>
      <c r="V175">
        <f>HYPERLINK("https://klasma.github.io/Logging_0188/klagomål/A 57442-2021 FSC-klagomål.docx", "A 57442-2021")</f>
        <v/>
      </c>
      <c r="W175">
        <f>HYPERLINK("https://klasma.github.io/Logging_0188/klagomålsmail/A 57442-2021 FSC-klagomål mail.docx", "A 57442-2021")</f>
        <v/>
      </c>
      <c r="X175">
        <f>HYPERLINK("https://klasma.github.io/Logging_0188/tillsyn/A 57442-2021 tillsynsbegäran.docx", "A 57442-2021")</f>
        <v/>
      </c>
      <c r="Y175">
        <f>HYPERLINK("https://klasma.github.io/Logging_0188/tillsynsmail/A 57442-2021 tillsynsbegäran mail.docx", "A 57442-2021")</f>
        <v/>
      </c>
    </row>
    <row r="176" ht="15" customHeight="1">
      <c r="A176" t="inlineStr">
        <is>
          <t>A 35691-2023</t>
        </is>
      </c>
      <c r="B176" s="1" t="n">
        <v>45147</v>
      </c>
      <c r="C176" s="1" t="n">
        <v>46203</v>
      </c>
      <c r="D176" t="inlineStr">
        <is>
          <t>STOCKHOLMS LÄN</t>
        </is>
      </c>
      <c r="E176" t="inlineStr">
        <is>
          <t>NORRTÄLJE</t>
        </is>
      </c>
      <c r="G176" t="n">
        <v>2.3</v>
      </c>
      <c r="H176" t="n">
        <v>1</v>
      </c>
      <c r="I176" t="n">
        <v>0</v>
      </c>
      <c r="J176" t="n">
        <v>0</v>
      </c>
      <c r="K176" t="n">
        <v>0</v>
      </c>
      <c r="L176" t="n">
        <v>0</v>
      </c>
      <c r="M176" t="n">
        <v>0</v>
      </c>
      <c r="N176" t="n">
        <v>0</v>
      </c>
      <c r="O176" t="n">
        <v>0</v>
      </c>
      <c r="P176" t="n">
        <v>0</v>
      </c>
      <c r="Q176" t="n">
        <v>1</v>
      </c>
      <c r="R176" s="2" t="inlineStr">
        <is>
          <t>Kungsfågel</t>
        </is>
      </c>
      <c r="S176">
        <f>HYPERLINK("https://klasma.github.io/Logging_0188/artfynd/A 35691-2023 artfynd.xlsx", "A 35691-2023")</f>
        <v/>
      </c>
      <c r="T176">
        <f>HYPERLINK("https://klasma.github.io/Logging_0188/kartor/A 35691-2023 karta.png", "A 35691-2023")</f>
        <v/>
      </c>
      <c r="V176">
        <f>HYPERLINK("https://klasma.github.io/Logging_0188/klagomål/A 35691-2023 FSC-klagomål.docx", "A 35691-2023")</f>
        <v/>
      </c>
      <c r="W176">
        <f>HYPERLINK("https://klasma.github.io/Logging_0188/klagomålsmail/A 35691-2023 FSC-klagomål mail.docx", "A 35691-2023")</f>
        <v/>
      </c>
      <c r="X176">
        <f>HYPERLINK("https://klasma.github.io/Logging_0188/tillsyn/A 35691-2023 tillsynsbegäran.docx", "A 35691-2023")</f>
        <v/>
      </c>
      <c r="Y176">
        <f>HYPERLINK("https://klasma.github.io/Logging_0188/tillsynsmail/A 35691-2023 tillsynsbegäran mail.docx", "A 35691-2023")</f>
        <v/>
      </c>
    </row>
    <row r="177" ht="15" customHeight="1">
      <c r="A177" t="inlineStr">
        <is>
          <t>A 35693-2023</t>
        </is>
      </c>
      <c r="B177" s="1" t="n">
        <v>45147</v>
      </c>
      <c r="C177" s="1" t="n">
        <v>46203</v>
      </c>
      <c r="D177" t="inlineStr">
        <is>
          <t>STOCKHOLMS LÄN</t>
        </is>
      </c>
      <c r="E177" t="inlineStr">
        <is>
          <t>NORRTÄLJE</t>
        </is>
      </c>
      <c r="G177" t="n">
        <v>2.2</v>
      </c>
      <c r="H177" t="n">
        <v>0</v>
      </c>
      <c r="I177" t="n">
        <v>0</v>
      </c>
      <c r="J177" t="n">
        <v>1</v>
      </c>
      <c r="K177" t="n">
        <v>0</v>
      </c>
      <c r="L177" t="n">
        <v>0</v>
      </c>
      <c r="M177" t="n">
        <v>0</v>
      </c>
      <c r="N177" t="n">
        <v>0</v>
      </c>
      <c r="O177" t="n">
        <v>1</v>
      </c>
      <c r="P177" t="n">
        <v>0</v>
      </c>
      <c r="Q177" t="n">
        <v>1</v>
      </c>
      <c r="R177" s="2" t="inlineStr">
        <is>
          <t>Motaggsvamp</t>
        </is>
      </c>
      <c r="S177">
        <f>HYPERLINK("https://klasma.github.io/Logging_0188/artfynd/A 35693-2023 artfynd.xlsx", "A 35693-2023")</f>
        <v/>
      </c>
      <c r="T177">
        <f>HYPERLINK("https://klasma.github.io/Logging_0188/kartor/A 35693-2023 karta.png", "A 35693-2023")</f>
        <v/>
      </c>
      <c r="V177">
        <f>HYPERLINK("https://klasma.github.io/Logging_0188/klagomål/A 35693-2023 FSC-klagomål.docx", "A 35693-2023")</f>
        <v/>
      </c>
      <c r="W177">
        <f>HYPERLINK("https://klasma.github.io/Logging_0188/klagomålsmail/A 35693-2023 FSC-klagomål mail.docx", "A 35693-2023")</f>
        <v/>
      </c>
      <c r="X177">
        <f>HYPERLINK("https://klasma.github.io/Logging_0188/tillsyn/A 35693-2023 tillsynsbegäran.docx", "A 35693-2023")</f>
        <v/>
      </c>
      <c r="Y177">
        <f>HYPERLINK("https://klasma.github.io/Logging_0188/tillsynsmail/A 35693-2023 tillsynsbegäran mail.docx", "A 35693-2023")</f>
        <v/>
      </c>
    </row>
    <row r="178" ht="15" customHeight="1">
      <c r="A178" t="inlineStr">
        <is>
          <t>A 21329-2022</t>
        </is>
      </c>
      <c r="B178" s="1" t="n">
        <v>44705</v>
      </c>
      <c r="C178" s="1" t="n">
        <v>46203</v>
      </c>
      <c r="D178" t="inlineStr">
        <is>
          <t>STOCKHOLMS LÄN</t>
        </is>
      </c>
      <c r="E178" t="inlineStr">
        <is>
          <t>NORRTÄLJE</t>
        </is>
      </c>
      <c r="G178" t="n">
        <v>4.1</v>
      </c>
      <c r="H178" t="n">
        <v>1</v>
      </c>
      <c r="I178" t="n">
        <v>1</v>
      </c>
      <c r="J178" t="n">
        <v>0</v>
      </c>
      <c r="K178" t="n">
        <v>0</v>
      </c>
      <c r="L178" t="n">
        <v>0</v>
      </c>
      <c r="M178" t="n">
        <v>0</v>
      </c>
      <c r="N178" t="n">
        <v>0</v>
      </c>
      <c r="O178" t="n">
        <v>0</v>
      </c>
      <c r="P178" t="n">
        <v>0</v>
      </c>
      <c r="Q178" t="n">
        <v>1</v>
      </c>
      <c r="R178" s="2" t="inlineStr">
        <is>
          <t>Skogsknipprot</t>
        </is>
      </c>
      <c r="S178">
        <f>HYPERLINK("https://klasma.github.io/Logging_0188/artfynd/A 21329-2022 artfynd.xlsx", "A 21329-2022")</f>
        <v/>
      </c>
      <c r="T178">
        <f>HYPERLINK("https://klasma.github.io/Logging_0188/kartor/A 21329-2022 karta.png", "A 21329-2022")</f>
        <v/>
      </c>
      <c r="V178">
        <f>HYPERLINK("https://klasma.github.io/Logging_0188/klagomål/A 21329-2022 FSC-klagomål.docx", "A 21329-2022")</f>
        <v/>
      </c>
      <c r="W178">
        <f>HYPERLINK("https://klasma.github.io/Logging_0188/klagomålsmail/A 21329-2022 FSC-klagomål mail.docx", "A 21329-2022")</f>
        <v/>
      </c>
      <c r="X178">
        <f>HYPERLINK("https://klasma.github.io/Logging_0188/tillsyn/A 21329-2022 tillsynsbegäran.docx", "A 21329-2022")</f>
        <v/>
      </c>
      <c r="Y178">
        <f>HYPERLINK("https://klasma.github.io/Logging_0188/tillsynsmail/A 21329-2022 tillsynsbegäran mail.docx", "A 21329-2022")</f>
        <v/>
      </c>
    </row>
    <row r="179" ht="15" customHeight="1">
      <c r="A179" t="inlineStr">
        <is>
          <t>A 17843-2024</t>
        </is>
      </c>
      <c r="B179" s="1" t="n">
        <v>45418</v>
      </c>
      <c r="C179" s="1" t="n">
        <v>46203</v>
      </c>
      <c r="D179" t="inlineStr">
        <is>
          <t>STOCKHOLMS LÄN</t>
        </is>
      </c>
      <c r="E179" t="inlineStr">
        <is>
          <t>NORRTÄLJE</t>
        </is>
      </c>
      <c r="G179" t="n">
        <v>5.4</v>
      </c>
      <c r="H179" t="n">
        <v>0</v>
      </c>
      <c r="I179" t="n">
        <v>0</v>
      </c>
      <c r="J179" t="n">
        <v>1</v>
      </c>
      <c r="K179" t="n">
        <v>0</v>
      </c>
      <c r="L179" t="n">
        <v>0</v>
      </c>
      <c r="M179" t="n">
        <v>0</v>
      </c>
      <c r="N179" t="n">
        <v>0</v>
      </c>
      <c r="O179" t="n">
        <v>1</v>
      </c>
      <c r="P179" t="n">
        <v>0</v>
      </c>
      <c r="Q179" t="n">
        <v>1</v>
      </c>
      <c r="R179" s="2" t="inlineStr">
        <is>
          <t>Krisslesköldbagge</t>
        </is>
      </c>
      <c r="S179">
        <f>HYPERLINK("https://klasma.github.io/Logging_0188/artfynd/A 17843-2024 artfynd.xlsx", "A 17843-2024")</f>
        <v/>
      </c>
      <c r="T179">
        <f>HYPERLINK("https://klasma.github.io/Logging_0188/kartor/A 17843-2024 karta.png", "A 17843-2024")</f>
        <v/>
      </c>
      <c r="V179">
        <f>HYPERLINK("https://klasma.github.io/Logging_0188/klagomål/A 17843-2024 FSC-klagomål.docx", "A 17843-2024")</f>
        <v/>
      </c>
      <c r="W179">
        <f>HYPERLINK("https://klasma.github.io/Logging_0188/klagomålsmail/A 17843-2024 FSC-klagomål mail.docx", "A 17843-2024")</f>
        <v/>
      </c>
      <c r="X179">
        <f>HYPERLINK("https://klasma.github.io/Logging_0188/tillsyn/A 17843-2024 tillsynsbegäran.docx", "A 17843-2024")</f>
        <v/>
      </c>
      <c r="Y179">
        <f>HYPERLINK("https://klasma.github.io/Logging_0188/tillsynsmail/A 17843-2024 tillsynsbegäran mail.docx", "A 17843-2024")</f>
        <v/>
      </c>
    </row>
    <row r="180" ht="15" customHeight="1">
      <c r="A180" t="inlineStr">
        <is>
          <t>A 60765-2023</t>
        </is>
      </c>
      <c r="B180" s="1" t="n">
        <v>45260</v>
      </c>
      <c r="C180" s="1" t="n">
        <v>46203</v>
      </c>
      <c r="D180" t="inlineStr">
        <is>
          <t>STOCKHOLMS LÄN</t>
        </is>
      </c>
      <c r="E180" t="inlineStr">
        <is>
          <t>NORRTÄLJE</t>
        </is>
      </c>
      <c r="G180" t="n">
        <v>3.7</v>
      </c>
      <c r="H180" t="n">
        <v>1</v>
      </c>
      <c r="I180" t="n">
        <v>0</v>
      </c>
      <c r="J180" t="n">
        <v>0</v>
      </c>
      <c r="K180" t="n">
        <v>0</v>
      </c>
      <c r="L180" t="n">
        <v>0</v>
      </c>
      <c r="M180" t="n">
        <v>0</v>
      </c>
      <c r="N180" t="n">
        <v>0</v>
      </c>
      <c r="O180" t="n">
        <v>0</v>
      </c>
      <c r="P180" t="n">
        <v>0</v>
      </c>
      <c r="Q180" t="n">
        <v>1</v>
      </c>
      <c r="R180" s="2" t="inlineStr">
        <is>
          <t>Pudrad kärrtrollslända</t>
        </is>
      </c>
      <c r="S180">
        <f>HYPERLINK("https://klasma.github.io/Logging_0188/artfynd/A 60765-2023 artfynd.xlsx", "A 60765-2023")</f>
        <v/>
      </c>
      <c r="T180">
        <f>HYPERLINK("https://klasma.github.io/Logging_0188/kartor/A 60765-2023 karta.png", "A 60765-2023")</f>
        <v/>
      </c>
      <c r="V180">
        <f>HYPERLINK("https://klasma.github.io/Logging_0188/klagomål/A 60765-2023 FSC-klagomål.docx", "A 60765-2023")</f>
        <v/>
      </c>
      <c r="W180">
        <f>HYPERLINK("https://klasma.github.io/Logging_0188/klagomålsmail/A 60765-2023 FSC-klagomål mail.docx", "A 60765-2023")</f>
        <v/>
      </c>
      <c r="X180">
        <f>HYPERLINK("https://klasma.github.io/Logging_0188/tillsyn/A 60765-2023 tillsynsbegäran.docx", "A 60765-2023")</f>
        <v/>
      </c>
      <c r="Y180">
        <f>HYPERLINK("https://klasma.github.io/Logging_0188/tillsynsmail/A 60765-2023 tillsynsbegäran mail.docx", "A 60765-2023")</f>
        <v/>
      </c>
    </row>
    <row r="181" ht="15" customHeight="1">
      <c r="A181" t="inlineStr">
        <is>
          <t>A 51315-2021</t>
        </is>
      </c>
      <c r="B181" s="1" t="n">
        <v>44461</v>
      </c>
      <c r="C181" s="1" t="n">
        <v>46203</v>
      </c>
      <c r="D181" t="inlineStr">
        <is>
          <t>STOCKHOLMS LÄN</t>
        </is>
      </c>
      <c r="E181" t="inlineStr">
        <is>
          <t>NORRTÄLJE</t>
        </is>
      </c>
      <c r="F181" t="inlineStr">
        <is>
          <t>Holmen skog AB</t>
        </is>
      </c>
      <c r="G181" t="n">
        <v>2.2</v>
      </c>
      <c r="H181" t="n">
        <v>1</v>
      </c>
      <c r="I181" t="n">
        <v>0</v>
      </c>
      <c r="J181" t="n">
        <v>0</v>
      </c>
      <c r="K181" t="n">
        <v>1</v>
      </c>
      <c r="L181" t="n">
        <v>0</v>
      </c>
      <c r="M181" t="n">
        <v>0</v>
      </c>
      <c r="N181" t="n">
        <v>0</v>
      </c>
      <c r="O181" t="n">
        <v>1</v>
      </c>
      <c r="P181" t="n">
        <v>1</v>
      </c>
      <c r="Q181" t="n">
        <v>1</v>
      </c>
      <c r="R181" s="2" t="inlineStr">
        <is>
          <t>Hällebräcka</t>
        </is>
      </c>
      <c r="S181">
        <f>HYPERLINK("https://klasma.github.io/Logging_0188/artfynd/A 51315-2021 artfynd.xlsx", "A 51315-2021")</f>
        <v/>
      </c>
      <c r="T181">
        <f>HYPERLINK("https://klasma.github.io/Logging_0188/kartor/A 51315-2021 karta.png", "A 51315-2021")</f>
        <v/>
      </c>
      <c r="V181">
        <f>HYPERLINK("https://klasma.github.io/Logging_0188/klagomål/A 51315-2021 FSC-klagomål.docx", "A 51315-2021")</f>
        <v/>
      </c>
      <c r="W181">
        <f>HYPERLINK("https://klasma.github.io/Logging_0188/klagomålsmail/A 51315-2021 FSC-klagomål mail.docx", "A 51315-2021")</f>
        <v/>
      </c>
      <c r="X181">
        <f>HYPERLINK("https://klasma.github.io/Logging_0188/tillsyn/A 51315-2021 tillsynsbegäran.docx", "A 51315-2021")</f>
        <v/>
      </c>
      <c r="Y181">
        <f>HYPERLINK("https://klasma.github.io/Logging_0188/tillsynsmail/A 51315-2021 tillsynsbegäran mail.docx", "A 51315-2021")</f>
        <v/>
      </c>
    </row>
    <row r="182" ht="15" customHeight="1">
      <c r="A182" t="inlineStr">
        <is>
          <t>A 42075-2023</t>
        </is>
      </c>
      <c r="B182" s="1" t="n">
        <v>45177</v>
      </c>
      <c r="C182" s="1" t="n">
        <v>46203</v>
      </c>
      <c r="D182" t="inlineStr">
        <is>
          <t>STOCKHOLMS LÄN</t>
        </is>
      </c>
      <c r="E182" t="inlineStr">
        <is>
          <t>NORRTÄLJE</t>
        </is>
      </c>
      <c r="G182" t="n">
        <v>2.5</v>
      </c>
      <c r="H182" t="n">
        <v>1</v>
      </c>
      <c r="I182" t="n">
        <v>1</v>
      </c>
      <c r="J182" t="n">
        <v>0</v>
      </c>
      <c r="K182" t="n">
        <v>0</v>
      </c>
      <c r="L182" t="n">
        <v>0</v>
      </c>
      <c r="M182" t="n">
        <v>0</v>
      </c>
      <c r="N182" t="n">
        <v>0</v>
      </c>
      <c r="O182" t="n">
        <v>0</v>
      </c>
      <c r="P182" t="n">
        <v>0</v>
      </c>
      <c r="Q182" t="n">
        <v>1</v>
      </c>
      <c r="R182" s="2" t="inlineStr">
        <is>
          <t>Skogsknipprot</t>
        </is>
      </c>
      <c r="S182">
        <f>HYPERLINK("https://klasma.github.io/Logging_0188/artfynd/A 42075-2023 artfynd.xlsx", "A 42075-2023")</f>
        <v/>
      </c>
      <c r="T182">
        <f>HYPERLINK("https://klasma.github.io/Logging_0188/kartor/A 42075-2023 karta.png", "A 42075-2023")</f>
        <v/>
      </c>
      <c r="V182">
        <f>HYPERLINK("https://klasma.github.io/Logging_0188/klagomål/A 42075-2023 FSC-klagomål.docx", "A 42075-2023")</f>
        <v/>
      </c>
      <c r="W182">
        <f>HYPERLINK("https://klasma.github.io/Logging_0188/klagomålsmail/A 42075-2023 FSC-klagomål mail.docx", "A 42075-2023")</f>
        <v/>
      </c>
      <c r="X182">
        <f>HYPERLINK("https://klasma.github.io/Logging_0188/tillsyn/A 42075-2023 tillsynsbegäran.docx", "A 42075-2023")</f>
        <v/>
      </c>
      <c r="Y182">
        <f>HYPERLINK("https://klasma.github.io/Logging_0188/tillsynsmail/A 42075-2023 tillsynsbegäran mail.docx", "A 42075-2023")</f>
        <v/>
      </c>
    </row>
    <row r="183" ht="15" customHeight="1">
      <c r="A183" t="inlineStr">
        <is>
          <t>A 31140-2023</t>
        </is>
      </c>
      <c r="B183" s="1" t="n">
        <v>45113</v>
      </c>
      <c r="C183" s="1" t="n">
        <v>46203</v>
      </c>
      <c r="D183" t="inlineStr">
        <is>
          <t>STOCKHOLMS LÄN</t>
        </is>
      </c>
      <c r="E183" t="inlineStr">
        <is>
          <t>NORRTÄLJE</t>
        </is>
      </c>
      <c r="G183" t="n">
        <v>1.3</v>
      </c>
      <c r="H183" t="n">
        <v>0</v>
      </c>
      <c r="I183" t="n">
        <v>0</v>
      </c>
      <c r="J183" t="n">
        <v>1</v>
      </c>
      <c r="K183" t="n">
        <v>0</v>
      </c>
      <c r="L183" t="n">
        <v>0</v>
      </c>
      <c r="M183" t="n">
        <v>0</v>
      </c>
      <c r="N183" t="n">
        <v>0</v>
      </c>
      <c r="O183" t="n">
        <v>1</v>
      </c>
      <c r="P183" t="n">
        <v>0</v>
      </c>
      <c r="Q183" t="n">
        <v>1</v>
      </c>
      <c r="R183" s="2" t="inlineStr">
        <is>
          <t>Krusfrö</t>
        </is>
      </c>
      <c r="S183">
        <f>HYPERLINK("https://klasma.github.io/Logging_0188/artfynd/A 31140-2023 artfynd.xlsx", "A 31140-2023")</f>
        <v/>
      </c>
      <c r="T183">
        <f>HYPERLINK("https://klasma.github.io/Logging_0188/kartor/A 31140-2023 karta.png", "A 31140-2023")</f>
        <v/>
      </c>
      <c r="V183">
        <f>HYPERLINK("https://klasma.github.io/Logging_0188/klagomål/A 31140-2023 FSC-klagomål.docx", "A 31140-2023")</f>
        <v/>
      </c>
      <c r="W183">
        <f>HYPERLINK("https://klasma.github.io/Logging_0188/klagomålsmail/A 31140-2023 FSC-klagomål mail.docx", "A 31140-2023")</f>
        <v/>
      </c>
      <c r="X183">
        <f>HYPERLINK("https://klasma.github.io/Logging_0188/tillsyn/A 31140-2023 tillsynsbegäran.docx", "A 31140-2023")</f>
        <v/>
      </c>
      <c r="Y183">
        <f>HYPERLINK("https://klasma.github.io/Logging_0188/tillsynsmail/A 31140-2023 tillsynsbegäran mail.docx", "A 31140-2023")</f>
        <v/>
      </c>
    </row>
    <row r="184" ht="15" customHeight="1">
      <c r="A184" t="inlineStr">
        <is>
          <t>A 13718-2022</t>
        </is>
      </c>
      <c r="B184" s="1" t="n">
        <v>44649</v>
      </c>
      <c r="C184" s="1" t="n">
        <v>46203</v>
      </c>
      <c r="D184" t="inlineStr">
        <is>
          <t>STOCKHOLMS LÄN</t>
        </is>
      </c>
      <c r="E184" t="inlineStr">
        <is>
          <t>NORRTÄLJE</t>
        </is>
      </c>
      <c r="G184" t="n">
        <v>8.800000000000001</v>
      </c>
      <c r="H184" t="n">
        <v>0</v>
      </c>
      <c r="I184" t="n">
        <v>0</v>
      </c>
      <c r="J184" t="n">
        <v>1</v>
      </c>
      <c r="K184" t="n">
        <v>0</v>
      </c>
      <c r="L184" t="n">
        <v>0</v>
      </c>
      <c r="M184" t="n">
        <v>0</v>
      </c>
      <c r="N184" t="n">
        <v>0</v>
      </c>
      <c r="O184" t="n">
        <v>1</v>
      </c>
      <c r="P184" t="n">
        <v>0</v>
      </c>
      <c r="Q184" t="n">
        <v>1</v>
      </c>
      <c r="R184" s="2" t="inlineStr">
        <is>
          <t>Flattoppad klubbsvamp</t>
        </is>
      </c>
      <c r="S184">
        <f>HYPERLINK("https://klasma.github.io/Logging_0188/artfynd/A 13718-2022 artfynd.xlsx", "A 13718-2022")</f>
        <v/>
      </c>
      <c r="T184">
        <f>HYPERLINK("https://klasma.github.io/Logging_0188/kartor/A 13718-2022 karta.png", "A 13718-2022")</f>
        <v/>
      </c>
      <c r="V184">
        <f>HYPERLINK("https://klasma.github.io/Logging_0188/klagomål/A 13718-2022 FSC-klagomål.docx", "A 13718-2022")</f>
        <v/>
      </c>
      <c r="W184">
        <f>HYPERLINK("https://klasma.github.io/Logging_0188/klagomålsmail/A 13718-2022 FSC-klagomål mail.docx", "A 13718-2022")</f>
        <v/>
      </c>
      <c r="X184">
        <f>HYPERLINK("https://klasma.github.io/Logging_0188/tillsyn/A 13718-2022 tillsynsbegäran.docx", "A 13718-2022")</f>
        <v/>
      </c>
      <c r="Y184">
        <f>HYPERLINK("https://klasma.github.io/Logging_0188/tillsynsmail/A 13718-2022 tillsynsbegäran mail.docx", "A 13718-2022")</f>
        <v/>
      </c>
    </row>
    <row r="185" ht="15" customHeight="1">
      <c r="A185" t="inlineStr">
        <is>
          <t>A 4580-2025</t>
        </is>
      </c>
      <c r="B185" s="1" t="n">
        <v>45687</v>
      </c>
      <c r="C185" s="1" t="n">
        <v>46203</v>
      </c>
      <c r="D185" t="inlineStr">
        <is>
          <t>STOCKHOLMS LÄN</t>
        </is>
      </c>
      <c r="E185" t="inlineStr">
        <is>
          <t>NORRTÄLJE</t>
        </is>
      </c>
      <c r="F185" t="inlineStr">
        <is>
          <t>Holmen skog AB</t>
        </is>
      </c>
      <c r="G185" t="n">
        <v>4.8</v>
      </c>
      <c r="H185" t="n">
        <v>1</v>
      </c>
      <c r="I185" t="n">
        <v>0</v>
      </c>
      <c r="J185" t="n">
        <v>0</v>
      </c>
      <c r="K185" t="n">
        <v>0</v>
      </c>
      <c r="L185" t="n">
        <v>1</v>
      </c>
      <c r="M185" t="n">
        <v>0</v>
      </c>
      <c r="N185" t="n">
        <v>0</v>
      </c>
      <c r="O185" t="n">
        <v>1</v>
      </c>
      <c r="P185" t="n">
        <v>1</v>
      </c>
      <c r="Q185" t="n">
        <v>1</v>
      </c>
      <c r="R185" s="2" t="inlineStr">
        <is>
          <t>Asknätfjäril</t>
        </is>
      </c>
      <c r="S185">
        <f>HYPERLINK("https://klasma.github.io/Logging_0188/artfynd/A 4580-2025 artfynd.xlsx", "A 4580-2025")</f>
        <v/>
      </c>
      <c r="T185">
        <f>HYPERLINK("https://klasma.github.io/Logging_0188/kartor/A 4580-2025 karta.png", "A 4580-2025")</f>
        <v/>
      </c>
      <c r="V185">
        <f>HYPERLINK("https://klasma.github.io/Logging_0188/klagomål/A 4580-2025 FSC-klagomål.docx", "A 4580-2025")</f>
        <v/>
      </c>
      <c r="W185">
        <f>HYPERLINK("https://klasma.github.io/Logging_0188/klagomålsmail/A 4580-2025 FSC-klagomål mail.docx", "A 4580-2025")</f>
        <v/>
      </c>
      <c r="X185">
        <f>HYPERLINK("https://klasma.github.io/Logging_0188/tillsyn/A 4580-2025 tillsynsbegäran.docx", "A 4580-2025")</f>
        <v/>
      </c>
      <c r="Y185">
        <f>HYPERLINK("https://klasma.github.io/Logging_0188/tillsynsmail/A 4580-2025 tillsynsbegäran mail.docx", "A 4580-2025")</f>
        <v/>
      </c>
    </row>
    <row r="186" ht="15" customHeight="1">
      <c r="A186" t="inlineStr">
        <is>
          <t>A 52321-2024</t>
        </is>
      </c>
      <c r="B186" s="1" t="n">
        <v>45608</v>
      </c>
      <c r="C186" s="1" t="n">
        <v>46203</v>
      </c>
      <c r="D186" t="inlineStr">
        <is>
          <t>STOCKHOLMS LÄN</t>
        </is>
      </c>
      <c r="E186" t="inlineStr">
        <is>
          <t>NORRTÄLJE</t>
        </is>
      </c>
      <c r="G186" t="n">
        <v>18.1</v>
      </c>
      <c r="H186" t="n">
        <v>0</v>
      </c>
      <c r="I186" t="n">
        <v>0</v>
      </c>
      <c r="J186" t="n">
        <v>0</v>
      </c>
      <c r="K186" t="n">
        <v>0</v>
      </c>
      <c r="L186" t="n">
        <v>0</v>
      </c>
      <c r="M186" t="n">
        <v>0</v>
      </c>
      <c r="N186" t="n">
        <v>0</v>
      </c>
      <c r="O186" t="n">
        <v>0</v>
      </c>
      <c r="P186" t="n">
        <v>0</v>
      </c>
      <c r="Q186" t="n">
        <v>1</v>
      </c>
      <c r="R186" s="2" t="inlineStr">
        <is>
          <t>Smånunneört</t>
        </is>
      </c>
      <c r="S186">
        <f>HYPERLINK("https://klasma.github.io/Logging_0188/artfynd/A 52321-2024 artfynd.xlsx", "A 52321-2024")</f>
        <v/>
      </c>
      <c r="T186">
        <f>HYPERLINK("https://klasma.github.io/Logging_0188/kartor/A 52321-2024 karta.png", "A 52321-2024")</f>
        <v/>
      </c>
      <c r="V186">
        <f>HYPERLINK("https://klasma.github.io/Logging_0188/klagomål/A 52321-2024 FSC-klagomål.docx", "A 52321-2024")</f>
        <v/>
      </c>
      <c r="W186">
        <f>HYPERLINK("https://klasma.github.io/Logging_0188/klagomålsmail/A 52321-2024 FSC-klagomål mail.docx", "A 52321-2024")</f>
        <v/>
      </c>
      <c r="X186">
        <f>HYPERLINK("https://klasma.github.io/Logging_0188/tillsyn/A 52321-2024 tillsynsbegäran.docx", "A 52321-2024")</f>
        <v/>
      </c>
      <c r="Y186">
        <f>HYPERLINK("https://klasma.github.io/Logging_0188/tillsynsmail/A 52321-2024 tillsynsbegäran mail.docx", "A 52321-2024")</f>
        <v/>
      </c>
    </row>
    <row r="187" ht="15" customHeight="1">
      <c r="A187" t="inlineStr">
        <is>
          <t>A 4532-2025</t>
        </is>
      </c>
      <c r="B187" s="1" t="n">
        <v>45687</v>
      </c>
      <c r="C187" s="1" t="n">
        <v>46203</v>
      </c>
      <c r="D187" t="inlineStr">
        <is>
          <t>STOCKHOLMS LÄN</t>
        </is>
      </c>
      <c r="E187" t="inlineStr">
        <is>
          <t>NORRTÄLJE</t>
        </is>
      </c>
      <c r="F187" t="inlineStr">
        <is>
          <t>Holmen skog AB</t>
        </is>
      </c>
      <c r="G187" t="n">
        <v>6.4</v>
      </c>
      <c r="H187" t="n">
        <v>1</v>
      </c>
      <c r="I187" t="n">
        <v>0</v>
      </c>
      <c r="J187" t="n">
        <v>0</v>
      </c>
      <c r="K187" t="n">
        <v>0</v>
      </c>
      <c r="L187" t="n">
        <v>1</v>
      </c>
      <c r="M187" t="n">
        <v>0</v>
      </c>
      <c r="N187" t="n">
        <v>0</v>
      </c>
      <c r="O187" t="n">
        <v>1</v>
      </c>
      <c r="P187" t="n">
        <v>1</v>
      </c>
      <c r="Q187" t="n">
        <v>1</v>
      </c>
      <c r="R187" s="2" t="inlineStr">
        <is>
          <t>Asknätfjäril</t>
        </is>
      </c>
      <c r="S187">
        <f>HYPERLINK("https://klasma.github.io/Logging_0188/artfynd/A 4532-2025 artfynd.xlsx", "A 4532-2025")</f>
        <v/>
      </c>
      <c r="T187">
        <f>HYPERLINK("https://klasma.github.io/Logging_0188/kartor/A 4532-2025 karta.png", "A 4532-2025")</f>
        <v/>
      </c>
      <c r="V187">
        <f>HYPERLINK("https://klasma.github.io/Logging_0188/klagomål/A 4532-2025 FSC-klagomål.docx", "A 4532-2025")</f>
        <v/>
      </c>
      <c r="W187">
        <f>HYPERLINK("https://klasma.github.io/Logging_0188/klagomålsmail/A 4532-2025 FSC-klagomål mail.docx", "A 4532-2025")</f>
        <v/>
      </c>
      <c r="X187">
        <f>HYPERLINK("https://klasma.github.io/Logging_0188/tillsyn/A 4532-2025 tillsynsbegäran.docx", "A 4532-2025")</f>
        <v/>
      </c>
      <c r="Y187">
        <f>HYPERLINK("https://klasma.github.io/Logging_0188/tillsynsmail/A 4532-2025 tillsynsbegäran mail.docx", "A 4532-2025")</f>
        <v/>
      </c>
    </row>
    <row r="188" ht="15" customHeight="1">
      <c r="A188" t="inlineStr">
        <is>
          <t>A 51312-2023</t>
        </is>
      </c>
      <c r="B188" s="1" t="n">
        <v>45219</v>
      </c>
      <c r="C188" s="1" t="n">
        <v>46203</v>
      </c>
      <c r="D188" t="inlineStr">
        <is>
          <t>STOCKHOLMS LÄN</t>
        </is>
      </c>
      <c r="E188" t="inlineStr">
        <is>
          <t>NORRTÄLJE</t>
        </is>
      </c>
      <c r="G188" t="n">
        <v>1.9</v>
      </c>
      <c r="H188" t="n">
        <v>1</v>
      </c>
      <c r="I188" t="n">
        <v>0</v>
      </c>
      <c r="J188" t="n">
        <v>0</v>
      </c>
      <c r="K188" t="n">
        <v>1</v>
      </c>
      <c r="L188" t="n">
        <v>0</v>
      </c>
      <c r="M188" t="n">
        <v>0</v>
      </c>
      <c r="N188" t="n">
        <v>0</v>
      </c>
      <c r="O188" t="n">
        <v>1</v>
      </c>
      <c r="P188" t="n">
        <v>1</v>
      </c>
      <c r="Q188" t="n">
        <v>1</v>
      </c>
      <c r="R188" s="2" t="inlineStr">
        <is>
          <t>Hällebräcka</t>
        </is>
      </c>
      <c r="S188">
        <f>HYPERLINK("https://klasma.github.io/Logging_0188/artfynd/A 51312-2023 artfynd.xlsx", "A 51312-2023")</f>
        <v/>
      </c>
      <c r="T188">
        <f>HYPERLINK("https://klasma.github.io/Logging_0188/kartor/A 51312-2023 karta.png", "A 51312-2023")</f>
        <v/>
      </c>
      <c r="V188">
        <f>HYPERLINK("https://klasma.github.io/Logging_0188/klagomål/A 51312-2023 FSC-klagomål.docx", "A 51312-2023")</f>
        <v/>
      </c>
      <c r="W188">
        <f>HYPERLINK("https://klasma.github.io/Logging_0188/klagomålsmail/A 51312-2023 FSC-klagomål mail.docx", "A 51312-2023")</f>
        <v/>
      </c>
      <c r="X188">
        <f>HYPERLINK("https://klasma.github.io/Logging_0188/tillsyn/A 51312-2023 tillsynsbegäran.docx", "A 51312-2023")</f>
        <v/>
      </c>
      <c r="Y188">
        <f>HYPERLINK("https://klasma.github.io/Logging_0188/tillsynsmail/A 51312-2023 tillsynsbegäran mail.docx", "A 51312-2023")</f>
        <v/>
      </c>
    </row>
    <row r="189" ht="15" customHeight="1">
      <c r="A189" t="inlineStr">
        <is>
          <t>A 38610-2022</t>
        </is>
      </c>
      <c r="B189" s="1" t="n">
        <v>44813</v>
      </c>
      <c r="C189" s="1" t="n">
        <v>46203</v>
      </c>
      <c r="D189" t="inlineStr">
        <is>
          <t>STOCKHOLMS LÄN</t>
        </is>
      </c>
      <c r="E189" t="inlineStr">
        <is>
          <t>NORRTÄLJE</t>
        </is>
      </c>
      <c r="G189" t="n">
        <v>1.9</v>
      </c>
      <c r="H189" t="n">
        <v>1</v>
      </c>
      <c r="I189" t="n">
        <v>0</v>
      </c>
      <c r="J189" t="n">
        <v>0</v>
      </c>
      <c r="K189" t="n">
        <v>1</v>
      </c>
      <c r="L189" t="n">
        <v>0</v>
      </c>
      <c r="M189" t="n">
        <v>0</v>
      </c>
      <c r="N189" t="n">
        <v>0</v>
      </c>
      <c r="O189" t="n">
        <v>1</v>
      </c>
      <c r="P189" t="n">
        <v>1</v>
      </c>
      <c r="Q189" t="n">
        <v>1</v>
      </c>
      <c r="R189" s="2" t="inlineStr">
        <is>
          <t>Hällebräcka</t>
        </is>
      </c>
      <c r="S189">
        <f>HYPERLINK("https://klasma.github.io/Logging_0188/artfynd/A 38610-2022 artfynd.xlsx", "A 38610-2022")</f>
        <v/>
      </c>
      <c r="T189">
        <f>HYPERLINK("https://klasma.github.io/Logging_0188/kartor/A 38610-2022 karta.png", "A 38610-2022")</f>
        <v/>
      </c>
      <c r="V189">
        <f>HYPERLINK("https://klasma.github.io/Logging_0188/klagomål/A 38610-2022 FSC-klagomål.docx", "A 38610-2022")</f>
        <v/>
      </c>
      <c r="W189">
        <f>HYPERLINK("https://klasma.github.io/Logging_0188/klagomålsmail/A 38610-2022 FSC-klagomål mail.docx", "A 38610-2022")</f>
        <v/>
      </c>
      <c r="X189">
        <f>HYPERLINK("https://klasma.github.io/Logging_0188/tillsyn/A 38610-2022 tillsynsbegäran.docx", "A 38610-2022")</f>
        <v/>
      </c>
      <c r="Y189">
        <f>HYPERLINK("https://klasma.github.io/Logging_0188/tillsynsmail/A 38610-2022 tillsynsbegäran mail.docx", "A 38610-2022")</f>
        <v/>
      </c>
    </row>
    <row r="190" ht="15" customHeight="1">
      <c r="A190" t="inlineStr">
        <is>
          <t>A 21150-2022</t>
        </is>
      </c>
      <c r="B190" s="1" t="n">
        <v>44704</v>
      </c>
      <c r="C190" s="1" t="n">
        <v>46203</v>
      </c>
      <c r="D190" t="inlineStr">
        <is>
          <t>STOCKHOLMS LÄN</t>
        </is>
      </c>
      <c r="E190" t="inlineStr">
        <is>
          <t>NORRTÄLJE</t>
        </is>
      </c>
      <c r="G190" t="n">
        <v>12.5</v>
      </c>
      <c r="H190" t="n">
        <v>1</v>
      </c>
      <c r="I190" t="n">
        <v>0</v>
      </c>
      <c r="J190" t="n">
        <v>0</v>
      </c>
      <c r="K190" t="n">
        <v>0</v>
      </c>
      <c r="L190" t="n">
        <v>1</v>
      </c>
      <c r="M190" t="n">
        <v>0</v>
      </c>
      <c r="N190" t="n">
        <v>0</v>
      </c>
      <c r="O190" t="n">
        <v>1</v>
      </c>
      <c r="P190" t="n">
        <v>1</v>
      </c>
      <c r="Q190" t="n">
        <v>1</v>
      </c>
      <c r="R190" s="2" t="inlineStr">
        <is>
          <t>Asknätfjäril</t>
        </is>
      </c>
      <c r="S190">
        <f>HYPERLINK("https://klasma.github.io/Logging_0188/artfynd/A 21150-2022 artfynd.xlsx", "A 21150-2022")</f>
        <v/>
      </c>
      <c r="T190">
        <f>HYPERLINK("https://klasma.github.io/Logging_0188/kartor/A 21150-2022 karta.png", "A 21150-2022")</f>
        <v/>
      </c>
      <c r="V190">
        <f>HYPERLINK("https://klasma.github.io/Logging_0188/klagomål/A 21150-2022 FSC-klagomål.docx", "A 21150-2022")</f>
        <v/>
      </c>
      <c r="W190">
        <f>HYPERLINK("https://klasma.github.io/Logging_0188/klagomålsmail/A 21150-2022 FSC-klagomål mail.docx", "A 21150-2022")</f>
        <v/>
      </c>
      <c r="X190">
        <f>HYPERLINK("https://klasma.github.io/Logging_0188/tillsyn/A 21150-2022 tillsynsbegäran.docx", "A 21150-2022")</f>
        <v/>
      </c>
      <c r="Y190">
        <f>HYPERLINK("https://klasma.github.io/Logging_0188/tillsynsmail/A 21150-2022 tillsynsbegäran mail.docx", "A 21150-2022")</f>
        <v/>
      </c>
    </row>
    <row r="191" ht="15" customHeight="1">
      <c r="A191" t="inlineStr">
        <is>
          <t>A 11-2024</t>
        </is>
      </c>
      <c r="B191" s="1" t="n">
        <v>45293</v>
      </c>
      <c r="C191" s="1" t="n">
        <v>46203</v>
      </c>
      <c r="D191" t="inlineStr">
        <is>
          <t>STOCKHOLMS LÄN</t>
        </is>
      </c>
      <c r="E191" t="inlineStr">
        <is>
          <t>NORRTÄLJE</t>
        </is>
      </c>
      <c r="F191" t="inlineStr">
        <is>
          <t>Sveaskog</t>
        </is>
      </c>
      <c r="G191" t="n">
        <v>3.2</v>
      </c>
      <c r="H191" t="n">
        <v>1</v>
      </c>
      <c r="I191" t="n">
        <v>0</v>
      </c>
      <c r="J191" t="n">
        <v>1</v>
      </c>
      <c r="K191" t="n">
        <v>0</v>
      </c>
      <c r="L191" t="n">
        <v>0</v>
      </c>
      <c r="M191" t="n">
        <v>0</v>
      </c>
      <c r="N191" t="n">
        <v>0</v>
      </c>
      <c r="O191" t="n">
        <v>1</v>
      </c>
      <c r="P191" t="n">
        <v>0</v>
      </c>
      <c r="Q191" t="n">
        <v>1</v>
      </c>
      <c r="R191" s="2" t="inlineStr">
        <is>
          <t>Talltita</t>
        </is>
      </c>
      <c r="S191">
        <f>HYPERLINK("https://klasma.github.io/Logging_0188/artfynd/A 11-2024 artfynd.xlsx", "A 11-2024")</f>
        <v/>
      </c>
      <c r="T191">
        <f>HYPERLINK("https://klasma.github.io/Logging_0188/kartor/A 11-2024 karta.png", "A 11-2024")</f>
        <v/>
      </c>
      <c r="V191">
        <f>HYPERLINK("https://klasma.github.io/Logging_0188/klagomål/A 11-2024 FSC-klagomål.docx", "A 11-2024")</f>
        <v/>
      </c>
      <c r="W191">
        <f>HYPERLINK("https://klasma.github.io/Logging_0188/klagomålsmail/A 11-2024 FSC-klagomål mail.docx", "A 11-2024")</f>
        <v/>
      </c>
      <c r="X191">
        <f>HYPERLINK("https://klasma.github.io/Logging_0188/tillsyn/A 11-2024 tillsynsbegäran.docx", "A 11-2024")</f>
        <v/>
      </c>
      <c r="Y191">
        <f>HYPERLINK("https://klasma.github.io/Logging_0188/tillsynsmail/A 11-2024 tillsynsbegäran mail.docx", "A 11-2024")</f>
        <v/>
      </c>
      <c r="Z191">
        <f>HYPERLINK("https://klasma.github.io/Logging_0188/fåglar/A 11-2024 prioriterade fågelarter.docx", "A 11-2024")</f>
        <v/>
      </c>
    </row>
    <row r="192" ht="15" customHeight="1">
      <c r="A192" t="inlineStr">
        <is>
          <t>A 26120-2024</t>
        </is>
      </c>
      <c r="B192" s="1" t="n">
        <v>45468</v>
      </c>
      <c r="C192" s="1" t="n">
        <v>46203</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11429-2023</t>
        </is>
      </c>
      <c r="B193" s="1" t="n">
        <v>44993</v>
      </c>
      <c r="C193" s="1" t="n">
        <v>46203</v>
      </c>
      <c r="D193" t="inlineStr">
        <is>
          <t>STOCKHOLMS LÄN</t>
        </is>
      </c>
      <c r="E193" t="inlineStr">
        <is>
          <t>NORRTÄLJE</t>
        </is>
      </c>
      <c r="G193" t="n">
        <v>2</v>
      </c>
      <c r="H193" t="n">
        <v>0</v>
      </c>
      <c r="I193" t="n">
        <v>0</v>
      </c>
      <c r="J193" t="n">
        <v>1</v>
      </c>
      <c r="K193" t="n">
        <v>0</v>
      </c>
      <c r="L193" t="n">
        <v>0</v>
      </c>
      <c r="M193" t="n">
        <v>0</v>
      </c>
      <c r="N193" t="n">
        <v>0</v>
      </c>
      <c r="O193" t="n">
        <v>1</v>
      </c>
      <c r="P193" t="n">
        <v>0</v>
      </c>
      <c r="Q193" t="n">
        <v>1</v>
      </c>
      <c r="R193" s="2" t="inlineStr">
        <is>
          <t>Skogsklocka</t>
        </is>
      </c>
      <c r="S193">
        <f>HYPERLINK("https://klasma.github.io/Logging_0188/artfynd/A 11429-2023 artfynd.xlsx", "A 11429-2023")</f>
        <v/>
      </c>
      <c r="T193">
        <f>HYPERLINK("https://klasma.github.io/Logging_0188/kartor/A 11429-2023 karta.png", "A 11429-2023")</f>
        <v/>
      </c>
      <c r="V193">
        <f>HYPERLINK("https://klasma.github.io/Logging_0188/klagomål/A 11429-2023 FSC-klagomål.docx", "A 11429-2023")</f>
        <v/>
      </c>
      <c r="W193">
        <f>HYPERLINK("https://klasma.github.io/Logging_0188/klagomålsmail/A 11429-2023 FSC-klagomål mail.docx", "A 11429-2023")</f>
        <v/>
      </c>
      <c r="X193">
        <f>HYPERLINK("https://klasma.github.io/Logging_0188/tillsyn/A 11429-2023 tillsynsbegäran.docx", "A 11429-2023")</f>
        <v/>
      </c>
      <c r="Y193">
        <f>HYPERLINK("https://klasma.github.io/Logging_0188/tillsynsmail/A 11429-2023 tillsynsbegäran mail.docx", "A 11429-2023")</f>
        <v/>
      </c>
    </row>
    <row r="194" ht="15" customHeight="1">
      <c r="A194" t="inlineStr">
        <is>
          <t>A 28365-2022</t>
        </is>
      </c>
      <c r="B194" s="1" t="n">
        <v>44747</v>
      </c>
      <c r="C194" s="1" t="n">
        <v>46203</v>
      </c>
      <c r="D194" t="inlineStr">
        <is>
          <t>STOCKHOLMS LÄN</t>
        </is>
      </c>
      <c r="E194" t="inlineStr">
        <is>
          <t>NORRTÄLJE</t>
        </is>
      </c>
      <c r="G194" t="n">
        <v>5.1</v>
      </c>
      <c r="H194" t="n">
        <v>0</v>
      </c>
      <c r="I194" t="n">
        <v>0</v>
      </c>
      <c r="J194" t="n">
        <v>1</v>
      </c>
      <c r="K194" t="n">
        <v>0</v>
      </c>
      <c r="L194" t="n">
        <v>0</v>
      </c>
      <c r="M194" t="n">
        <v>0</v>
      </c>
      <c r="N194" t="n">
        <v>0</v>
      </c>
      <c r="O194" t="n">
        <v>1</v>
      </c>
      <c r="P194" t="n">
        <v>0</v>
      </c>
      <c r="Q194" t="n">
        <v>1</v>
      </c>
      <c r="R194" s="2" t="inlineStr">
        <is>
          <t>Oxtungssvamp</t>
        </is>
      </c>
      <c r="S194">
        <f>HYPERLINK("https://klasma.github.io/Logging_0188/artfynd/A 28365-2022 artfynd.xlsx", "A 28365-2022")</f>
        <v/>
      </c>
      <c r="T194">
        <f>HYPERLINK("https://klasma.github.io/Logging_0188/kartor/A 28365-2022 karta.png", "A 28365-2022")</f>
        <v/>
      </c>
      <c r="V194">
        <f>HYPERLINK("https://klasma.github.io/Logging_0188/klagomål/A 28365-2022 FSC-klagomål.docx", "A 28365-2022")</f>
        <v/>
      </c>
      <c r="W194">
        <f>HYPERLINK("https://klasma.github.io/Logging_0188/klagomålsmail/A 28365-2022 FSC-klagomål mail.docx", "A 28365-2022")</f>
        <v/>
      </c>
      <c r="X194">
        <f>HYPERLINK("https://klasma.github.io/Logging_0188/tillsyn/A 28365-2022 tillsynsbegäran.docx", "A 28365-2022")</f>
        <v/>
      </c>
      <c r="Y194">
        <f>HYPERLINK("https://klasma.github.io/Logging_0188/tillsynsmail/A 28365-2022 tillsynsbegäran mail.docx", "A 28365-2022")</f>
        <v/>
      </c>
    </row>
    <row r="195" ht="15" customHeight="1">
      <c r="A195" t="inlineStr">
        <is>
          <t>A 64456-2023</t>
        </is>
      </c>
      <c r="B195" s="1" t="n">
        <v>45280</v>
      </c>
      <c r="C195" s="1" t="n">
        <v>46203</v>
      </c>
      <c r="D195" t="inlineStr">
        <is>
          <t>STOCKHOLMS LÄN</t>
        </is>
      </c>
      <c r="E195" t="inlineStr">
        <is>
          <t>NORRTÄLJE</t>
        </is>
      </c>
      <c r="G195" t="n">
        <v>2.5</v>
      </c>
      <c r="H195" t="n">
        <v>0</v>
      </c>
      <c r="I195" t="n">
        <v>1</v>
      </c>
      <c r="J195" t="n">
        <v>0</v>
      </c>
      <c r="K195" t="n">
        <v>0</v>
      </c>
      <c r="L195" t="n">
        <v>0</v>
      </c>
      <c r="M195" t="n">
        <v>0</v>
      </c>
      <c r="N195" t="n">
        <v>0</v>
      </c>
      <c r="O195" t="n">
        <v>0</v>
      </c>
      <c r="P195" t="n">
        <v>0</v>
      </c>
      <c r="Q195" t="n">
        <v>1</v>
      </c>
      <c r="R195" s="2" t="inlineStr">
        <is>
          <t>Rödgul trumpetsvamp</t>
        </is>
      </c>
      <c r="S195">
        <f>HYPERLINK("https://klasma.github.io/Logging_0188/artfynd/A 64456-2023 artfynd.xlsx", "A 64456-2023")</f>
        <v/>
      </c>
      <c r="T195">
        <f>HYPERLINK("https://klasma.github.io/Logging_0188/kartor/A 64456-2023 karta.png", "A 64456-2023")</f>
        <v/>
      </c>
      <c r="V195">
        <f>HYPERLINK("https://klasma.github.io/Logging_0188/klagomål/A 64456-2023 FSC-klagomål.docx", "A 64456-2023")</f>
        <v/>
      </c>
      <c r="W195">
        <f>HYPERLINK("https://klasma.github.io/Logging_0188/klagomålsmail/A 64456-2023 FSC-klagomål mail.docx", "A 64456-2023")</f>
        <v/>
      </c>
      <c r="X195">
        <f>HYPERLINK("https://klasma.github.io/Logging_0188/tillsyn/A 64456-2023 tillsynsbegäran.docx", "A 64456-2023")</f>
        <v/>
      </c>
      <c r="Y195">
        <f>HYPERLINK("https://klasma.github.io/Logging_0188/tillsynsmail/A 64456-2023 tillsynsbegäran mail.docx", "A 64456-2023")</f>
        <v/>
      </c>
    </row>
    <row r="196" ht="15" customHeight="1">
      <c r="A196" t="inlineStr">
        <is>
          <t>A 38612-2022</t>
        </is>
      </c>
      <c r="B196" s="1" t="n">
        <v>44813</v>
      </c>
      <c r="C196" s="1" t="n">
        <v>46203</v>
      </c>
      <c r="D196" t="inlineStr">
        <is>
          <t>STOCKHOLMS LÄN</t>
        </is>
      </c>
      <c r="E196" t="inlineStr">
        <is>
          <t>NORRTÄLJE</t>
        </is>
      </c>
      <c r="G196" t="n">
        <v>1.7</v>
      </c>
      <c r="H196" t="n">
        <v>1</v>
      </c>
      <c r="I196" t="n">
        <v>0</v>
      </c>
      <c r="J196" t="n">
        <v>0</v>
      </c>
      <c r="K196" t="n">
        <v>1</v>
      </c>
      <c r="L196" t="n">
        <v>0</v>
      </c>
      <c r="M196" t="n">
        <v>0</v>
      </c>
      <c r="N196" t="n">
        <v>0</v>
      </c>
      <c r="O196" t="n">
        <v>1</v>
      </c>
      <c r="P196" t="n">
        <v>1</v>
      </c>
      <c r="Q196" t="n">
        <v>1</v>
      </c>
      <c r="R196" s="2" t="inlineStr">
        <is>
          <t>Hällebräcka</t>
        </is>
      </c>
      <c r="S196">
        <f>HYPERLINK("https://klasma.github.io/Logging_0188/artfynd/A 38612-2022 artfynd.xlsx", "A 38612-2022")</f>
        <v/>
      </c>
      <c r="T196">
        <f>HYPERLINK("https://klasma.github.io/Logging_0188/kartor/A 38612-2022 karta.png", "A 38612-2022")</f>
        <v/>
      </c>
      <c r="V196">
        <f>HYPERLINK("https://klasma.github.io/Logging_0188/klagomål/A 38612-2022 FSC-klagomål.docx", "A 38612-2022")</f>
        <v/>
      </c>
      <c r="W196">
        <f>HYPERLINK("https://klasma.github.io/Logging_0188/klagomålsmail/A 38612-2022 FSC-klagomål mail.docx", "A 38612-2022")</f>
        <v/>
      </c>
      <c r="X196">
        <f>HYPERLINK("https://klasma.github.io/Logging_0188/tillsyn/A 38612-2022 tillsynsbegäran.docx", "A 38612-2022")</f>
        <v/>
      </c>
      <c r="Y196">
        <f>HYPERLINK("https://klasma.github.io/Logging_0188/tillsynsmail/A 38612-2022 tillsynsbegäran mail.docx", "A 38612-2022")</f>
        <v/>
      </c>
    </row>
    <row r="197" ht="15" customHeight="1">
      <c r="A197" t="inlineStr">
        <is>
          <t>A 13860-2023</t>
        </is>
      </c>
      <c r="B197" s="1" t="n">
        <v>45007</v>
      </c>
      <c r="C197" s="1" t="n">
        <v>46203</v>
      </c>
      <c r="D197" t="inlineStr">
        <is>
          <t>STOCKHOLMS LÄN</t>
        </is>
      </c>
      <c r="E197" t="inlineStr">
        <is>
          <t>NORRTÄLJE</t>
        </is>
      </c>
      <c r="G197" t="n">
        <v>1.6</v>
      </c>
      <c r="H197" t="n">
        <v>0</v>
      </c>
      <c r="I197" t="n">
        <v>0</v>
      </c>
      <c r="J197" t="n">
        <v>0</v>
      </c>
      <c r="K197" t="n">
        <v>0</v>
      </c>
      <c r="L197" t="n">
        <v>0</v>
      </c>
      <c r="M197" t="n">
        <v>1</v>
      </c>
      <c r="N197" t="n">
        <v>0</v>
      </c>
      <c r="O197" t="n">
        <v>1</v>
      </c>
      <c r="P197" t="n">
        <v>1</v>
      </c>
      <c r="Q197" t="n">
        <v>1</v>
      </c>
      <c r="R197" s="2" t="inlineStr">
        <is>
          <t>Äkta stormhatt</t>
        </is>
      </c>
      <c r="S197">
        <f>HYPERLINK("https://klasma.github.io/Logging_0188/artfynd/A 13860-2023 artfynd.xlsx", "A 13860-2023")</f>
        <v/>
      </c>
      <c r="T197">
        <f>HYPERLINK("https://klasma.github.io/Logging_0188/kartor/A 13860-2023 karta.png", "A 13860-2023")</f>
        <v/>
      </c>
      <c r="V197">
        <f>HYPERLINK("https://klasma.github.io/Logging_0188/klagomål/A 13860-2023 FSC-klagomål.docx", "A 13860-2023")</f>
        <v/>
      </c>
      <c r="W197">
        <f>HYPERLINK("https://klasma.github.io/Logging_0188/klagomålsmail/A 13860-2023 FSC-klagomål mail.docx", "A 13860-2023")</f>
        <v/>
      </c>
      <c r="X197">
        <f>HYPERLINK("https://klasma.github.io/Logging_0188/tillsyn/A 13860-2023 tillsynsbegäran.docx", "A 13860-2023")</f>
        <v/>
      </c>
      <c r="Y197">
        <f>HYPERLINK("https://klasma.github.io/Logging_0188/tillsynsmail/A 13860-2023 tillsynsbegäran mail.docx", "A 13860-2023")</f>
        <v/>
      </c>
    </row>
    <row r="198" ht="15" customHeight="1">
      <c r="A198" t="inlineStr">
        <is>
          <t>A 43150-2023</t>
        </is>
      </c>
      <c r="B198" s="1" t="n">
        <v>45183</v>
      </c>
      <c r="C198" s="1" t="n">
        <v>46203</v>
      </c>
      <c r="D198" t="inlineStr">
        <is>
          <t>STOCKHOLMS LÄN</t>
        </is>
      </c>
      <c r="E198" t="inlineStr">
        <is>
          <t>NORRTÄLJE</t>
        </is>
      </c>
      <c r="G198" t="n">
        <v>2.4</v>
      </c>
      <c r="H198" t="n">
        <v>0</v>
      </c>
      <c r="I198" t="n">
        <v>0</v>
      </c>
      <c r="J198" t="n">
        <v>0</v>
      </c>
      <c r="K198" t="n">
        <v>0</v>
      </c>
      <c r="L198" t="n">
        <v>1</v>
      </c>
      <c r="M198" t="n">
        <v>0</v>
      </c>
      <c r="N198" t="n">
        <v>0</v>
      </c>
      <c r="O198" t="n">
        <v>1</v>
      </c>
      <c r="P198" t="n">
        <v>1</v>
      </c>
      <c r="Q198" t="n">
        <v>1</v>
      </c>
      <c r="R198" s="2" t="inlineStr">
        <is>
          <t>Skogsalm</t>
        </is>
      </c>
      <c r="S198">
        <f>HYPERLINK("https://klasma.github.io/Logging_0188/artfynd/A 43150-2023 artfynd.xlsx", "A 43150-2023")</f>
        <v/>
      </c>
      <c r="T198">
        <f>HYPERLINK("https://klasma.github.io/Logging_0188/kartor/A 43150-2023 karta.png", "A 43150-2023")</f>
        <v/>
      </c>
      <c r="V198">
        <f>HYPERLINK("https://klasma.github.io/Logging_0188/klagomål/A 43150-2023 FSC-klagomål.docx", "A 43150-2023")</f>
        <v/>
      </c>
      <c r="W198">
        <f>HYPERLINK("https://klasma.github.io/Logging_0188/klagomålsmail/A 43150-2023 FSC-klagomål mail.docx", "A 43150-2023")</f>
        <v/>
      </c>
      <c r="X198">
        <f>HYPERLINK("https://klasma.github.io/Logging_0188/tillsyn/A 43150-2023 tillsynsbegäran.docx", "A 43150-2023")</f>
        <v/>
      </c>
      <c r="Y198">
        <f>HYPERLINK("https://klasma.github.io/Logging_0188/tillsynsmail/A 43150-2023 tillsynsbegäran mail.docx", "A 43150-2023")</f>
        <v/>
      </c>
    </row>
    <row r="199" ht="15" customHeight="1">
      <c r="A199" t="inlineStr">
        <is>
          <t>A 52611-2024</t>
        </is>
      </c>
      <c r="B199" s="1" t="n">
        <v>45609</v>
      </c>
      <c r="C199" s="1" t="n">
        <v>46203</v>
      </c>
      <c r="D199" t="inlineStr">
        <is>
          <t>STOCKHOLMS LÄN</t>
        </is>
      </c>
      <c r="E199" t="inlineStr">
        <is>
          <t>NORRTÄLJE</t>
        </is>
      </c>
      <c r="G199" t="n">
        <v>10.6</v>
      </c>
      <c r="H199" t="n">
        <v>1</v>
      </c>
      <c r="I199" t="n">
        <v>0</v>
      </c>
      <c r="J199" t="n">
        <v>0</v>
      </c>
      <c r="K199" t="n">
        <v>0</v>
      </c>
      <c r="L199" t="n">
        <v>0</v>
      </c>
      <c r="M199" t="n">
        <v>0</v>
      </c>
      <c r="N199" t="n">
        <v>0</v>
      </c>
      <c r="O199" t="n">
        <v>0</v>
      </c>
      <c r="P199" t="n">
        <v>0</v>
      </c>
      <c r="Q199" t="n">
        <v>1</v>
      </c>
      <c r="R199" s="2" t="inlineStr">
        <is>
          <t>Blåsippa</t>
        </is>
      </c>
      <c r="S199">
        <f>HYPERLINK("https://klasma.github.io/Logging_0188/artfynd/A 52611-2024 artfynd.xlsx", "A 52611-2024")</f>
        <v/>
      </c>
      <c r="T199">
        <f>HYPERLINK("https://klasma.github.io/Logging_0188/kartor/A 52611-2024 karta.png", "A 52611-2024")</f>
        <v/>
      </c>
      <c r="V199">
        <f>HYPERLINK("https://klasma.github.io/Logging_0188/klagomål/A 52611-2024 FSC-klagomål.docx", "A 52611-2024")</f>
        <v/>
      </c>
      <c r="W199">
        <f>HYPERLINK("https://klasma.github.io/Logging_0188/klagomålsmail/A 52611-2024 FSC-klagomål mail.docx", "A 52611-2024")</f>
        <v/>
      </c>
      <c r="X199">
        <f>HYPERLINK("https://klasma.github.io/Logging_0188/tillsyn/A 52611-2024 tillsynsbegäran.docx", "A 52611-2024")</f>
        <v/>
      </c>
      <c r="Y199">
        <f>HYPERLINK("https://klasma.github.io/Logging_0188/tillsynsmail/A 52611-2024 tillsynsbegäran mail.docx", "A 52611-2024")</f>
        <v/>
      </c>
    </row>
    <row r="200" ht="15" customHeight="1">
      <c r="A200" t="inlineStr">
        <is>
          <t>A 48131-2023</t>
        </is>
      </c>
      <c r="B200" s="1" t="n">
        <v>45205</v>
      </c>
      <c r="C200" s="1" t="n">
        <v>46203</v>
      </c>
      <c r="D200" t="inlineStr">
        <is>
          <t>STOCKHOLMS LÄN</t>
        </is>
      </c>
      <c r="E200" t="inlineStr">
        <is>
          <t>NORRTÄLJE</t>
        </is>
      </c>
      <c r="G200" t="n">
        <v>2.3</v>
      </c>
      <c r="H200" t="n">
        <v>0</v>
      </c>
      <c r="I200" t="n">
        <v>0</v>
      </c>
      <c r="J200" t="n">
        <v>1</v>
      </c>
      <c r="K200" t="n">
        <v>0</v>
      </c>
      <c r="L200" t="n">
        <v>0</v>
      </c>
      <c r="M200" t="n">
        <v>0</v>
      </c>
      <c r="N200" t="n">
        <v>0</v>
      </c>
      <c r="O200" t="n">
        <v>1</v>
      </c>
      <c r="P200" t="n">
        <v>0</v>
      </c>
      <c r="Q200" t="n">
        <v>1</v>
      </c>
      <c r="R200" s="2" t="inlineStr">
        <is>
          <t>Slåtterfibbla</t>
        </is>
      </c>
      <c r="S200">
        <f>HYPERLINK("https://klasma.github.io/Logging_0188/artfynd/A 48131-2023 artfynd.xlsx", "A 48131-2023")</f>
        <v/>
      </c>
      <c r="T200">
        <f>HYPERLINK("https://klasma.github.io/Logging_0188/kartor/A 48131-2023 karta.png", "A 48131-2023")</f>
        <v/>
      </c>
      <c r="V200">
        <f>HYPERLINK("https://klasma.github.io/Logging_0188/klagomål/A 48131-2023 FSC-klagomål.docx", "A 48131-2023")</f>
        <v/>
      </c>
      <c r="W200">
        <f>HYPERLINK("https://klasma.github.io/Logging_0188/klagomålsmail/A 48131-2023 FSC-klagomål mail.docx", "A 48131-2023")</f>
        <v/>
      </c>
      <c r="X200">
        <f>HYPERLINK("https://klasma.github.io/Logging_0188/tillsyn/A 48131-2023 tillsynsbegäran.docx", "A 48131-2023")</f>
        <v/>
      </c>
      <c r="Y200">
        <f>HYPERLINK("https://klasma.github.io/Logging_0188/tillsynsmail/A 48131-2023 tillsynsbegäran mail.docx", "A 48131-2023")</f>
        <v/>
      </c>
    </row>
    <row r="201" ht="15" customHeight="1">
      <c r="A201" t="inlineStr">
        <is>
          <t>A 62765-2022</t>
        </is>
      </c>
      <c r="B201" s="1" t="n">
        <v>44637</v>
      </c>
      <c r="C201" s="1" t="n">
        <v>46203</v>
      </c>
      <c r="D201" t="inlineStr">
        <is>
          <t>STOCKHOLMS LÄN</t>
        </is>
      </c>
      <c r="E201" t="inlineStr">
        <is>
          <t>NORRTÄLJE</t>
        </is>
      </c>
      <c r="G201" t="n">
        <v>2.7</v>
      </c>
      <c r="H201" t="n">
        <v>1</v>
      </c>
      <c r="I201" t="n">
        <v>0</v>
      </c>
      <c r="J201" t="n">
        <v>1</v>
      </c>
      <c r="K201" t="n">
        <v>0</v>
      </c>
      <c r="L201" t="n">
        <v>0</v>
      </c>
      <c r="M201" t="n">
        <v>0</v>
      </c>
      <c r="N201" t="n">
        <v>0</v>
      </c>
      <c r="O201" t="n">
        <v>1</v>
      </c>
      <c r="P201" t="n">
        <v>0</v>
      </c>
      <c r="Q201" t="n">
        <v>1</v>
      </c>
      <c r="R201" s="2" t="inlineStr">
        <is>
          <t>Adam och eva</t>
        </is>
      </c>
      <c r="S201">
        <f>HYPERLINK("https://klasma.github.io/Logging_0188/artfynd/A 62765-2022 artfynd.xlsx", "A 62765-2022")</f>
        <v/>
      </c>
      <c r="T201">
        <f>HYPERLINK("https://klasma.github.io/Logging_0188/kartor/A 62765-2022 karta.png", "A 62765-2022")</f>
        <v/>
      </c>
      <c r="V201">
        <f>HYPERLINK("https://klasma.github.io/Logging_0188/klagomål/A 62765-2022 FSC-klagomål.docx", "A 62765-2022")</f>
        <v/>
      </c>
      <c r="W201">
        <f>HYPERLINK("https://klasma.github.io/Logging_0188/klagomålsmail/A 62765-2022 FSC-klagomål mail.docx", "A 62765-2022")</f>
        <v/>
      </c>
      <c r="X201">
        <f>HYPERLINK("https://klasma.github.io/Logging_0188/tillsyn/A 62765-2022 tillsynsbegäran.docx", "A 62765-2022")</f>
        <v/>
      </c>
      <c r="Y201">
        <f>HYPERLINK("https://klasma.github.io/Logging_0188/tillsynsmail/A 62765-2022 tillsynsbegäran mail.docx", "A 62765-2022")</f>
        <v/>
      </c>
    </row>
    <row r="202" ht="15" customHeight="1">
      <c r="A202" t="inlineStr">
        <is>
          <t>A 17956-2025</t>
        </is>
      </c>
      <c r="B202" s="1" t="n">
        <v>45760</v>
      </c>
      <c r="C202" s="1" t="n">
        <v>46203</v>
      </c>
      <c r="D202" t="inlineStr">
        <is>
          <t>STOCKHOLMS LÄN</t>
        </is>
      </c>
      <c r="E202" t="inlineStr">
        <is>
          <t>NORRTÄLJE</t>
        </is>
      </c>
      <c r="G202" t="n">
        <v>4.3</v>
      </c>
      <c r="H202" t="n">
        <v>0</v>
      </c>
      <c r="I202" t="n">
        <v>1</v>
      </c>
      <c r="J202" t="n">
        <v>0</v>
      </c>
      <c r="K202" t="n">
        <v>0</v>
      </c>
      <c r="L202" t="n">
        <v>0</v>
      </c>
      <c r="M202" t="n">
        <v>0</v>
      </c>
      <c r="N202" t="n">
        <v>0</v>
      </c>
      <c r="O202" t="n">
        <v>0</v>
      </c>
      <c r="P202" t="n">
        <v>0</v>
      </c>
      <c r="Q202" t="n">
        <v>1</v>
      </c>
      <c r="R202" s="2" t="inlineStr">
        <is>
          <t>Tibast</t>
        </is>
      </c>
      <c r="S202">
        <f>HYPERLINK("https://klasma.github.io/Logging_0188/artfynd/A 17956-2025 artfynd.xlsx", "A 17956-2025")</f>
        <v/>
      </c>
      <c r="T202">
        <f>HYPERLINK("https://klasma.github.io/Logging_0188/kartor/A 17956-2025 karta.png", "A 17956-2025")</f>
        <v/>
      </c>
      <c r="V202">
        <f>HYPERLINK("https://klasma.github.io/Logging_0188/klagomål/A 17956-2025 FSC-klagomål.docx", "A 17956-2025")</f>
        <v/>
      </c>
      <c r="W202">
        <f>HYPERLINK("https://klasma.github.io/Logging_0188/klagomålsmail/A 17956-2025 FSC-klagomål mail.docx", "A 17956-2025")</f>
        <v/>
      </c>
      <c r="X202">
        <f>HYPERLINK("https://klasma.github.io/Logging_0188/tillsyn/A 17956-2025 tillsynsbegäran.docx", "A 17956-2025")</f>
        <v/>
      </c>
      <c r="Y202">
        <f>HYPERLINK("https://klasma.github.io/Logging_0188/tillsynsmail/A 17956-2025 tillsynsbegäran mail.docx", "A 17956-2025")</f>
        <v/>
      </c>
    </row>
    <row r="203" ht="15" customHeight="1">
      <c r="A203" t="inlineStr">
        <is>
          <t>A 12877-2022</t>
        </is>
      </c>
      <c r="B203" s="1" t="n">
        <v>44642</v>
      </c>
      <c r="C203" s="1" t="n">
        <v>46203</v>
      </c>
      <c r="D203" t="inlineStr">
        <is>
          <t>STOCKHOLMS LÄN</t>
        </is>
      </c>
      <c r="E203" t="inlineStr">
        <is>
          <t>NORRTÄLJE</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71543-2021</t>
        </is>
      </c>
      <c r="B204" s="1" t="n">
        <v>44540</v>
      </c>
      <c r="C204" s="1" t="n">
        <v>46203</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14036-2022</t>
        </is>
      </c>
      <c r="B205" s="1" t="n">
        <v>44650</v>
      </c>
      <c r="C205" s="1" t="n">
        <v>46203</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row>
    <row r="206" ht="15" customHeight="1">
      <c r="A206" t="inlineStr">
        <is>
          <t>A 47344-2021</t>
        </is>
      </c>
      <c r="B206" s="1" t="n">
        <v>44447</v>
      </c>
      <c r="C206" s="1" t="n">
        <v>46203</v>
      </c>
      <c r="D206" t="inlineStr">
        <is>
          <t>STOCKHOLMS LÄN</t>
        </is>
      </c>
      <c r="E206" t="inlineStr">
        <is>
          <t>NORRTÄLJE</t>
        </is>
      </c>
      <c r="G206" t="n">
        <v>3.3</v>
      </c>
      <c r="H206" t="n">
        <v>0</v>
      </c>
      <c r="I206" t="n">
        <v>0</v>
      </c>
      <c r="J206" t="n">
        <v>0</v>
      </c>
      <c r="K206" t="n">
        <v>0</v>
      </c>
      <c r="L206" t="n">
        <v>0</v>
      </c>
      <c r="M206" t="n">
        <v>0</v>
      </c>
      <c r="N206" t="n">
        <v>0</v>
      </c>
      <c r="O206" t="n">
        <v>0</v>
      </c>
      <c r="P206" t="n">
        <v>0</v>
      </c>
      <c r="Q206" t="n">
        <v>0</v>
      </c>
      <c r="R206" s="2" t="inlineStr"/>
    </row>
    <row r="207" ht="15" customHeight="1">
      <c r="A207" t="inlineStr">
        <is>
          <t>A 43036-2022</t>
        </is>
      </c>
      <c r="B207" s="1" t="n">
        <v>44833</v>
      </c>
      <c r="C207" s="1" t="n">
        <v>46203</v>
      </c>
      <c r="D207" t="inlineStr">
        <is>
          <t>STOCKHOLMS LÄN</t>
        </is>
      </c>
      <c r="E207" t="inlineStr">
        <is>
          <t>NORRTÄLJE</t>
        </is>
      </c>
      <c r="F207" t="inlineStr">
        <is>
          <t>Kyrkan</t>
        </is>
      </c>
      <c r="G207" t="n">
        <v>1.7</v>
      </c>
      <c r="H207" t="n">
        <v>0</v>
      </c>
      <c r="I207" t="n">
        <v>0</v>
      </c>
      <c r="J207" t="n">
        <v>0</v>
      </c>
      <c r="K207" t="n">
        <v>0</v>
      </c>
      <c r="L207" t="n">
        <v>0</v>
      </c>
      <c r="M207" t="n">
        <v>0</v>
      </c>
      <c r="N207" t="n">
        <v>0</v>
      </c>
      <c r="O207" t="n">
        <v>0</v>
      </c>
      <c r="P207" t="n">
        <v>0</v>
      </c>
      <c r="Q207" t="n">
        <v>0</v>
      </c>
      <c r="R207" s="2" t="inlineStr"/>
    </row>
    <row r="208" ht="15" customHeight="1">
      <c r="A208" t="inlineStr">
        <is>
          <t>A 40542-2021</t>
        </is>
      </c>
      <c r="B208" s="1" t="n">
        <v>44420</v>
      </c>
      <c r="C208" s="1" t="n">
        <v>46203</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40546-2021</t>
        </is>
      </c>
      <c r="B209" s="1" t="n">
        <v>44420</v>
      </c>
      <c r="C209" s="1" t="n">
        <v>46203</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24977-2022</t>
        </is>
      </c>
      <c r="B210" s="1" t="n">
        <v>44728</v>
      </c>
      <c r="C210" s="1" t="n">
        <v>46203</v>
      </c>
      <c r="D210" t="inlineStr">
        <is>
          <t>STOCKHOLMS LÄN</t>
        </is>
      </c>
      <c r="E210" t="inlineStr">
        <is>
          <t>NORRTÄLJE</t>
        </is>
      </c>
      <c r="F210" t="inlineStr">
        <is>
          <t>Kyrkan</t>
        </is>
      </c>
      <c r="G210" t="n">
        <v>1</v>
      </c>
      <c r="H210" t="n">
        <v>0</v>
      </c>
      <c r="I210" t="n">
        <v>0</v>
      </c>
      <c r="J210" t="n">
        <v>0</v>
      </c>
      <c r="K210" t="n">
        <v>0</v>
      </c>
      <c r="L210" t="n">
        <v>0</v>
      </c>
      <c r="M210" t="n">
        <v>0</v>
      </c>
      <c r="N210" t="n">
        <v>0</v>
      </c>
      <c r="O210" t="n">
        <v>0</v>
      </c>
      <c r="P210" t="n">
        <v>0</v>
      </c>
      <c r="Q210" t="n">
        <v>0</v>
      </c>
      <c r="R210" s="2" t="inlineStr"/>
    </row>
    <row r="211" ht="15" customHeight="1">
      <c r="A211" t="inlineStr">
        <is>
          <t>A 31934-2022</t>
        </is>
      </c>
      <c r="B211" s="1" t="n">
        <v>44777</v>
      </c>
      <c r="C211" s="1" t="n">
        <v>46203</v>
      </c>
      <c r="D211" t="inlineStr">
        <is>
          <t>STOCKHOLMS LÄN</t>
        </is>
      </c>
      <c r="E211" t="inlineStr">
        <is>
          <t>NORRTÄLJE</t>
        </is>
      </c>
      <c r="G211" t="n">
        <v>1.2</v>
      </c>
      <c r="H211" t="n">
        <v>0</v>
      </c>
      <c r="I211" t="n">
        <v>0</v>
      </c>
      <c r="J211" t="n">
        <v>0</v>
      </c>
      <c r="K211" t="n">
        <v>0</v>
      </c>
      <c r="L211" t="n">
        <v>0</v>
      </c>
      <c r="M211" t="n">
        <v>0</v>
      </c>
      <c r="N211" t="n">
        <v>0</v>
      </c>
      <c r="O211" t="n">
        <v>0</v>
      </c>
      <c r="P211" t="n">
        <v>0</v>
      </c>
      <c r="Q211" t="n">
        <v>0</v>
      </c>
      <c r="R211" s="2" t="inlineStr"/>
    </row>
    <row r="212" ht="15" customHeight="1">
      <c r="A212" t="inlineStr">
        <is>
          <t>A 37815-2022</t>
        </is>
      </c>
      <c r="B212" s="1" t="n">
        <v>44810</v>
      </c>
      <c r="C212" s="1" t="n">
        <v>46203</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73855-2021</t>
        </is>
      </c>
      <c r="B213" s="1" t="n">
        <v>44552</v>
      </c>
      <c r="C213" s="1" t="n">
        <v>46203</v>
      </c>
      <c r="D213" t="inlineStr">
        <is>
          <t>STOCKHOLMS LÄN</t>
        </is>
      </c>
      <c r="E213" t="inlineStr">
        <is>
          <t>NORRTÄLJE</t>
        </is>
      </c>
      <c r="F213" t="inlineStr">
        <is>
          <t>Övriga Aktiebolag</t>
        </is>
      </c>
      <c r="G213" t="n">
        <v>4</v>
      </c>
      <c r="H213" t="n">
        <v>0</v>
      </c>
      <c r="I213" t="n">
        <v>0</v>
      </c>
      <c r="J213" t="n">
        <v>0</v>
      </c>
      <c r="K213" t="n">
        <v>0</v>
      </c>
      <c r="L213" t="n">
        <v>0</v>
      </c>
      <c r="M213" t="n">
        <v>0</v>
      </c>
      <c r="N213" t="n">
        <v>0</v>
      </c>
      <c r="O213" t="n">
        <v>0</v>
      </c>
      <c r="P213" t="n">
        <v>0</v>
      </c>
      <c r="Q213" t="n">
        <v>0</v>
      </c>
      <c r="R213" s="2" t="inlineStr"/>
    </row>
    <row r="214" ht="15" customHeight="1">
      <c r="A214" t="inlineStr">
        <is>
          <t>A 11821-2022</t>
        </is>
      </c>
      <c r="B214" s="1" t="n">
        <v>44634</v>
      </c>
      <c r="C214" s="1" t="n">
        <v>46203</v>
      </c>
      <c r="D214" t="inlineStr">
        <is>
          <t>STOCKHOLMS LÄN</t>
        </is>
      </c>
      <c r="E214" t="inlineStr">
        <is>
          <t>NORRTÄLJE</t>
        </is>
      </c>
      <c r="G214" t="n">
        <v>1.1</v>
      </c>
      <c r="H214" t="n">
        <v>0</v>
      </c>
      <c r="I214" t="n">
        <v>0</v>
      </c>
      <c r="J214" t="n">
        <v>0</v>
      </c>
      <c r="K214" t="n">
        <v>0</v>
      </c>
      <c r="L214" t="n">
        <v>0</v>
      </c>
      <c r="M214" t="n">
        <v>0</v>
      </c>
      <c r="N214" t="n">
        <v>0</v>
      </c>
      <c r="O214" t="n">
        <v>0</v>
      </c>
      <c r="P214" t="n">
        <v>0</v>
      </c>
      <c r="Q214" t="n">
        <v>0</v>
      </c>
      <c r="R214" s="2" t="inlineStr"/>
    </row>
    <row r="215" ht="15" customHeight="1">
      <c r="A215" t="inlineStr">
        <is>
          <t>A 2977-2022</t>
        </is>
      </c>
      <c r="B215" s="1" t="n">
        <v>44581</v>
      </c>
      <c r="C215" s="1" t="n">
        <v>46203</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74468-2021</t>
        </is>
      </c>
      <c r="B216" s="1" t="n">
        <v>44560</v>
      </c>
      <c r="C216" s="1" t="n">
        <v>46203</v>
      </c>
      <c r="D216" t="inlineStr">
        <is>
          <t>STOCKHOLMS LÄN</t>
        </is>
      </c>
      <c r="E216" t="inlineStr">
        <is>
          <t>NORRTÄLJE</t>
        </is>
      </c>
      <c r="G216" t="n">
        <v>0.5</v>
      </c>
      <c r="H216" t="n">
        <v>0</v>
      </c>
      <c r="I216" t="n">
        <v>0</v>
      </c>
      <c r="J216" t="n">
        <v>0</v>
      </c>
      <c r="K216" t="n">
        <v>0</v>
      </c>
      <c r="L216" t="n">
        <v>0</v>
      </c>
      <c r="M216" t="n">
        <v>0</v>
      </c>
      <c r="N216" t="n">
        <v>0</v>
      </c>
      <c r="O216" t="n">
        <v>0</v>
      </c>
      <c r="P216" t="n">
        <v>0</v>
      </c>
      <c r="Q216" t="n">
        <v>0</v>
      </c>
      <c r="R216" s="2" t="inlineStr"/>
    </row>
    <row r="217" ht="15" customHeight="1">
      <c r="A217" t="inlineStr">
        <is>
          <t>A 31283-2022</t>
        </is>
      </c>
      <c r="B217" s="1" t="n">
        <v>44771</v>
      </c>
      <c r="C217" s="1" t="n">
        <v>46203</v>
      </c>
      <c r="D217" t="inlineStr">
        <is>
          <t>STOCKHOLMS LÄN</t>
        </is>
      </c>
      <c r="E217" t="inlineStr">
        <is>
          <t>NORRTÄLJE</t>
        </is>
      </c>
      <c r="G217" t="n">
        <v>0.5</v>
      </c>
      <c r="H217" t="n">
        <v>0</v>
      </c>
      <c r="I217" t="n">
        <v>0</v>
      </c>
      <c r="J217" t="n">
        <v>0</v>
      </c>
      <c r="K217" t="n">
        <v>0</v>
      </c>
      <c r="L217" t="n">
        <v>0</v>
      </c>
      <c r="M217" t="n">
        <v>0</v>
      </c>
      <c r="N217" t="n">
        <v>0</v>
      </c>
      <c r="O217" t="n">
        <v>0</v>
      </c>
      <c r="P217" t="n">
        <v>0</v>
      </c>
      <c r="Q217" t="n">
        <v>0</v>
      </c>
      <c r="R217" s="2" t="inlineStr"/>
    </row>
    <row r="218" ht="15" customHeight="1">
      <c r="A218" t="inlineStr">
        <is>
          <t>A 56225-2021</t>
        </is>
      </c>
      <c r="B218" s="1" t="n">
        <v>44477</v>
      </c>
      <c r="C218" s="1" t="n">
        <v>46203</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34436-2021</t>
        </is>
      </c>
      <c r="B219" s="1" t="n">
        <v>44380</v>
      </c>
      <c r="C219" s="1" t="n">
        <v>46203</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67525-2021</t>
        </is>
      </c>
      <c r="B220" s="1" t="n">
        <v>44524</v>
      </c>
      <c r="C220" s="1" t="n">
        <v>46203</v>
      </c>
      <c r="D220" t="inlineStr">
        <is>
          <t>STOCKHOLMS LÄN</t>
        </is>
      </c>
      <c r="E220" t="inlineStr">
        <is>
          <t>NORRTÄLJE</t>
        </is>
      </c>
      <c r="G220" t="n">
        <v>0.8</v>
      </c>
      <c r="H220" t="n">
        <v>0</v>
      </c>
      <c r="I220" t="n">
        <v>0</v>
      </c>
      <c r="J220" t="n">
        <v>0</v>
      </c>
      <c r="K220" t="n">
        <v>0</v>
      </c>
      <c r="L220" t="n">
        <v>0</v>
      </c>
      <c r="M220" t="n">
        <v>0</v>
      </c>
      <c r="N220" t="n">
        <v>0</v>
      </c>
      <c r="O220" t="n">
        <v>0</v>
      </c>
      <c r="P220" t="n">
        <v>0</v>
      </c>
      <c r="Q220" t="n">
        <v>0</v>
      </c>
      <c r="R220" s="2" t="inlineStr"/>
    </row>
    <row r="221" ht="15" customHeight="1">
      <c r="A221" t="inlineStr">
        <is>
          <t>A 1704-2022</t>
        </is>
      </c>
      <c r="B221" s="1" t="n">
        <v>44574</v>
      </c>
      <c r="C221" s="1" t="n">
        <v>46203</v>
      </c>
      <c r="D221" t="inlineStr">
        <is>
          <t>STOCKHOLMS LÄN</t>
        </is>
      </c>
      <c r="E221" t="inlineStr">
        <is>
          <t>NORRTÄLJE</t>
        </is>
      </c>
      <c r="G221" t="n">
        <v>6.2</v>
      </c>
      <c r="H221" t="n">
        <v>0</v>
      </c>
      <c r="I221" t="n">
        <v>0</v>
      </c>
      <c r="J221" t="n">
        <v>0</v>
      </c>
      <c r="K221" t="n">
        <v>0</v>
      </c>
      <c r="L221" t="n">
        <v>0</v>
      </c>
      <c r="M221" t="n">
        <v>0</v>
      </c>
      <c r="N221" t="n">
        <v>0</v>
      </c>
      <c r="O221" t="n">
        <v>0</v>
      </c>
      <c r="P221" t="n">
        <v>0</v>
      </c>
      <c r="Q221" t="n">
        <v>0</v>
      </c>
      <c r="R221" s="2" t="inlineStr"/>
    </row>
    <row r="222" ht="15" customHeight="1">
      <c r="A222" t="inlineStr">
        <is>
          <t>A 65737-2021</t>
        </is>
      </c>
      <c r="B222" s="1" t="n">
        <v>44516</v>
      </c>
      <c r="C222" s="1" t="n">
        <v>46203</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43374-2022</t>
        </is>
      </c>
      <c r="B223" s="1" t="n">
        <v>44834</v>
      </c>
      <c r="C223" s="1" t="n">
        <v>46203</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48384-2021</t>
        </is>
      </c>
      <c r="B224" s="1" t="n">
        <v>44451</v>
      </c>
      <c r="C224" s="1" t="n">
        <v>46203</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37712-2021</t>
        </is>
      </c>
      <c r="B225" s="1" t="n">
        <v>44400</v>
      </c>
      <c r="C225" s="1" t="n">
        <v>46203</v>
      </c>
      <c r="D225" t="inlineStr">
        <is>
          <t>STOCKHOLMS LÄN</t>
        </is>
      </c>
      <c r="E225" t="inlineStr">
        <is>
          <t>NORRTÄLJE</t>
        </is>
      </c>
      <c r="G225" t="n">
        <v>22.9</v>
      </c>
      <c r="H225" t="n">
        <v>0</v>
      </c>
      <c r="I225" t="n">
        <v>0</v>
      </c>
      <c r="J225" t="n">
        <v>0</v>
      </c>
      <c r="K225" t="n">
        <v>0</v>
      </c>
      <c r="L225" t="n">
        <v>0</v>
      </c>
      <c r="M225" t="n">
        <v>0</v>
      </c>
      <c r="N225" t="n">
        <v>0</v>
      </c>
      <c r="O225" t="n">
        <v>0</v>
      </c>
      <c r="P225" t="n">
        <v>0</v>
      </c>
      <c r="Q225" t="n">
        <v>0</v>
      </c>
      <c r="R225" s="2" t="inlineStr"/>
    </row>
    <row r="226" ht="15" customHeight="1">
      <c r="A226" t="inlineStr">
        <is>
          <t>A 60822-2021</t>
        </is>
      </c>
      <c r="B226" s="1" t="n">
        <v>44496</v>
      </c>
      <c r="C226" s="1" t="n">
        <v>46203</v>
      </c>
      <c r="D226" t="inlineStr">
        <is>
          <t>STOCKHOLMS LÄN</t>
        </is>
      </c>
      <c r="E226" t="inlineStr">
        <is>
          <t>NORRTÄLJE</t>
        </is>
      </c>
      <c r="G226" t="n">
        <v>7.6</v>
      </c>
      <c r="H226" t="n">
        <v>0</v>
      </c>
      <c r="I226" t="n">
        <v>0</v>
      </c>
      <c r="J226" t="n">
        <v>0</v>
      </c>
      <c r="K226" t="n">
        <v>0</v>
      </c>
      <c r="L226" t="n">
        <v>0</v>
      </c>
      <c r="M226" t="n">
        <v>0</v>
      </c>
      <c r="N226" t="n">
        <v>0</v>
      </c>
      <c r="O226" t="n">
        <v>0</v>
      </c>
      <c r="P226" t="n">
        <v>0</v>
      </c>
      <c r="Q226" t="n">
        <v>0</v>
      </c>
      <c r="R226" s="2" t="inlineStr"/>
    </row>
    <row r="227" ht="15" customHeight="1">
      <c r="A227" t="inlineStr">
        <is>
          <t>A 10711-2022</t>
        </is>
      </c>
      <c r="B227" s="1" t="n">
        <v>44626</v>
      </c>
      <c r="C227" s="1" t="n">
        <v>46203</v>
      </c>
      <c r="D227" t="inlineStr">
        <is>
          <t>STOCKHOLMS LÄN</t>
        </is>
      </c>
      <c r="E227" t="inlineStr">
        <is>
          <t>NORRTÄLJE</t>
        </is>
      </c>
      <c r="G227" t="n">
        <v>0.4</v>
      </c>
      <c r="H227" t="n">
        <v>0</v>
      </c>
      <c r="I227" t="n">
        <v>0</v>
      </c>
      <c r="J227" t="n">
        <v>0</v>
      </c>
      <c r="K227" t="n">
        <v>0</v>
      </c>
      <c r="L227" t="n">
        <v>0</v>
      </c>
      <c r="M227" t="n">
        <v>0</v>
      </c>
      <c r="N227" t="n">
        <v>0</v>
      </c>
      <c r="O227" t="n">
        <v>0</v>
      </c>
      <c r="P227" t="n">
        <v>0</v>
      </c>
      <c r="Q227" t="n">
        <v>0</v>
      </c>
      <c r="R227" s="2" t="inlineStr"/>
    </row>
    <row r="228" ht="15" customHeight="1">
      <c r="A228" t="inlineStr">
        <is>
          <t>A 18905-2022</t>
        </is>
      </c>
      <c r="B228" s="1" t="n">
        <v>44690</v>
      </c>
      <c r="C228" s="1" t="n">
        <v>46203</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17777-2022</t>
        </is>
      </c>
      <c r="B229" s="1" t="n">
        <v>44682</v>
      </c>
      <c r="C229" s="1" t="n">
        <v>46203</v>
      </c>
      <c r="D229" t="inlineStr">
        <is>
          <t>STOCKHOLMS LÄN</t>
        </is>
      </c>
      <c r="E229" t="inlineStr">
        <is>
          <t>NORRTÄLJE</t>
        </is>
      </c>
      <c r="G229" t="n">
        <v>3.7</v>
      </c>
      <c r="H229" t="n">
        <v>0</v>
      </c>
      <c r="I229" t="n">
        <v>0</v>
      </c>
      <c r="J229" t="n">
        <v>0</v>
      </c>
      <c r="K229" t="n">
        <v>0</v>
      </c>
      <c r="L229" t="n">
        <v>0</v>
      </c>
      <c r="M229" t="n">
        <v>0</v>
      </c>
      <c r="N229" t="n">
        <v>0</v>
      </c>
      <c r="O229" t="n">
        <v>0</v>
      </c>
      <c r="P229" t="n">
        <v>0</v>
      </c>
      <c r="Q229" t="n">
        <v>0</v>
      </c>
      <c r="R229" s="2" t="inlineStr"/>
    </row>
    <row r="230" ht="15" customHeight="1">
      <c r="A230" t="inlineStr">
        <is>
          <t>A 21723-2022</t>
        </is>
      </c>
      <c r="B230" s="1" t="n">
        <v>44708</v>
      </c>
      <c r="C230" s="1" t="n">
        <v>46203</v>
      </c>
      <c r="D230" t="inlineStr">
        <is>
          <t>STOCKHOLMS LÄN</t>
        </is>
      </c>
      <c r="E230" t="inlineStr">
        <is>
          <t>NORRTÄLJE</t>
        </is>
      </c>
      <c r="G230" t="n">
        <v>0.3</v>
      </c>
      <c r="H230" t="n">
        <v>0</v>
      </c>
      <c r="I230" t="n">
        <v>0</v>
      </c>
      <c r="J230" t="n">
        <v>0</v>
      </c>
      <c r="K230" t="n">
        <v>0</v>
      </c>
      <c r="L230" t="n">
        <v>0</v>
      </c>
      <c r="M230" t="n">
        <v>0</v>
      </c>
      <c r="N230" t="n">
        <v>0</v>
      </c>
      <c r="O230" t="n">
        <v>0</v>
      </c>
      <c r="P230" t="n">
        <v>0</v>
      </c>
      <c r="Q230" t="n">
        <v>0</v>
      </c>
      <c r="R230" s="2" t="inlineStr"/>
    </row>
    <row r="231" ht="15" customHeight="1">
      <c r="A231" t="inlineStr">
        <is>
          <t>A 12816-2022</t>
        </is>
      </c>
      <c r="B231" s="1" t="n">
        <v>44642</v>
      </c>
      <c r="C231" s="1" t="n">
        <v>46203</v>
      </c>
      <c r="D231" t="inlineStr">
        <is>
          <t>STOCKHOLMS LÄN</t>
        </is>
      </c>
      <c r="E231" t="inlineStr">
        <is>
          <t>NORRTÄLJE</t>
        </is>
      </c>
      <c r="G231" t="n">
        <v>4.4</v>
      </c>
      <c r="H231" t="n">
        <v>0</v>
      </c>
      <c r="I231" t="n">
        <v>0</v>
      </c>
      <c r="J231" t="n">
        <v>0</v>
      </c>
      <c r="K231" t="n">
        <v>0</v>
      </c>
      <c r="L231" t="n">
        <v>0</v>
      </c>
      <c r="M231" t="n">
        <v>0</v>
      </c>
      <c r="N231" t="n">
        <v>0</v>
      </c>
      <c r="O231" t="n">
        <v>0</v>
      </c>
      <c r="P231" t="n">
        <v>0</v>
      </c>
      <c r="Q231" t="n">
        <v>0</v>
      </c>
      <c r="R231" s="2" t="inlineStr"/>
    </row>
    <row r="232" ht="15" customHeight="1">
      <c r="A232" t="inlineStr">
        <is>
          <t>A 31807-2022</t>
        </is>
      </c>
      <c r="B232" s="1" t="n">
        <v>44776</v>
      </c>
      <c r="C232" s="1" t="n">
        <v>46203</v>
      </c>
      <c r="D232" t="inlineStr">
        <is>
          <t>STOCKHOLMS LÄN</t>
        </is>
      </c>
      <c r="E232" t="inlineStr">
        <is>
          <t>NORRTÄLJE</t>
        </is>
      </c>
      <c r="G232" t="n">
        <v>2.5</v>
      </c>
      <c r="H232" t="n">
        <v>0</v>
      </c>
      <c r="I232" t="n">
        <v>0</v>
      </c>
      <c r="J232" t="n">
        <v>0</v>
      </c>
      <c r="K232" t="n">
        <v>0</v>
      </c>
      <c r="L232" t="n">
        <v>0</v>
      </c>
      <c r="M232" t="n">
        <v>0</v>
      </c>
      <c r="N232" t="n">
        <v>0</v>
      </c>
      <c r="O232" t="n">
        <v>0</v>
      </c>
      <c r="P232" t="n">
        <v>0</v>
      </c>
      <c r="Q232" t="n">
        <v>0</v>
      </c>
      <c r="R232" s="2" t="inlineStr"/>
    </row>
    <row r="233" ht="15" customHeight="1">
      <c r="A233" t="inlineStr">
        <is>
          <t>A 28209-2022</t>
        </is>
      </c>
      <c r="B233" s="1" t="n">
        <v>44746</v>
      </c>
      <c r="C233" s="1" t="n">
        <v>46203</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71876-2021</t>
        </is>
      </c>
      <c r="B234" s="1" t="n">
        <v>44543</v>
      </c>
      <c r="C234" s="1" t="n">
        <v>46203</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71878-2021</t>
        </is>
      </c>
      <c r="B235" s="1" t="n">
        <v>44543</v>
      </c>
      <c r="C235" s="1" t="n">
        <v>46203</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60186-2021</t>
        </is>
      </c>
      <c r="B236" s="1" t="n">
        <v>44495</v>
      </c>
      <c r="C236" s="1" t="n">
        <v>46203</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28959-2022</t>
        </is>
      </c>
      <c r="B237" s="1" t="n">
        <v>44749</v>
      </c>
      <c r="C237" s="1" t="n">
        <v>46203</v>
      </c>
      <c r="D237" t="inlineStr">
        <is>
          <t>STOCKHOLMS LÄN</t>
        </is>
      </c>
      <c r="E237" t="inlineStr">
        <is>
          <t>NORRTÄLJE</t>
        </is>
      </c>
      <c r="G237" t="n">
        <v>5.2</v>
      </c>
      <c r="H237" t="n">
        <v>0</v>
      </c>
      <c r="I237" t="n">
        <v>0</v>
      </c>
      <c r="J237" t="n">
        <v>0</v>
      </c>
      <c r="K237" t="n">
        <v>0</v>
      </c>
      <c r="L237" t="n">
        <v>0</v>
      </c>
      <c r="M237" t="n">
        <v>0</v>
      </c>
      <c r="N237" t="n">
        <v>0</v>
      </c>
      <c r="O237" t="n">
        <v>0</v>
      </c>
      <c r="P237" t="n">
        <v>0</v>
      </c>
      <c r="Q237" t="n">
        <v>0</v>
      </c>
      <c r="R237" s="2" t="inlineStr"/>
    </row>
    <row r="238" ht="15" customHeight="1">
      <c r="A238" t="inlineStr">
        <is>
          <t>A 45539-2022</t>
        </is>
      </c>
      <c r="B238" s="1" t="n">
        <v>44845</v>
      </c>
      <c r="C238" s="1" t="n">
        <v>46203</v>
      </c>
      <c r="D238" t="inlineStr">
        <is>
          <t>STOCKHOLMS LÄN</t>
        </is>
      </c>
      <c r="E238" t="inlineStr">
        <is>
          <t>NORRTÄLJE</t>
        </is>
      </c>
      <c r="G238" t="n">
        <v>0.3</v>
      </c>
      <c r="H238" t="n">
        <v>0</v>
      </c>
      <c r="I238" t="n">
        <v>0</v>
      </c>
      <c r="J238" t="n">
        <v>0</v>
      </c>
      <c r="K238" t="n">
        <v>0</v>
      </c>
      <c r="L238" t="n">
        <v>0</v>
      </c>
      <c r="M238" t="n">
        <v>0</v>
      </c>
      <c r="N238" t="n">
        <v>0</v>
      </c>
      <c r="O238" t="n">
        <v>0</v>
      </c>
      <c r="P238" t="n">
        <v>0</v>
      </c>
      <c r="Q238" t="n">
        <v>0</v>
      </c>
      <c r="R238" s="2" t="inlineStr"/>
    </row>
    <row r="239" ht="15" customHeight="1">
      <c r="A239" t="inlineStr">
        <is>
          <t>A 54355-2022</t>
        </is>
      </c>
      <c r="B239" s="1" t="n">
        <v>44882</v>
      </c>
      <c r="C239" s="1" t="n">
        <v>46203</v>
      </c>
      <c r="D239" t="inlineStr">
        <is>
          <t>STOCKHOLMS LÄN</t>
        </is>
      </c>
      <c r="E239" t="inlineStr">
        <is>
          <t>NORRTÄLJE</t>
        </is>
      </c>
      <c r="G239" t="n">
        <v>0.4</v>
      </c>
      <c r="H239" t="n">
        <v>0</v>
      </c>
      <c r="I239" t="n">
        <v>0</v>
      </c>
      <c r="J239" t="n">
        <v>0</v>
      </c>
      <c r="K239" t="n">
        <v>0</v>
      </c>
      <c r="L239" t="n">
        <v>0</v>
      </c>
      <c r="M239" t="n">
        <v>0</v>
      </c>
      <c r="N239" t="n">
        <v>0</v>
      </c>
      <c r="O239" t="n">
        <v>0</v>
      </c>
      <c r="P239" t="n">
        <v>0</v>
      </c>
      <c r="Q239" t="n">
        <v>0</v>
      </c>
      <c r="R239" s="2" t="inlineStr"/>
    </row>
    <row r="240" ht="15" customHeight="1">
      <c r="A240" t="inlineStr">
        <is>
          <t>A 72308-2021</t>
        </is>
      </c>
      <c r="B240" s="1" t="n">
        <v>44545</v>
      </c>
      <c r="C240" s="1" t="n">
        <v>46203</v>
      </c>
      <c r="D240" t="inlineStr">
        <is>
          <t>STOCKHOLMS LÄN</t>
        </is>
      </c>
      <c r="E240" t="inlineStr">
        <is>
          <t>NORRTÄLJE</t>
        </is>
      </c>
      <c r="G240" t="n">
        <v>1.1</v>
      </c>
      <c r="H240" t="n">
        <v>0</v>
      </c>
      <c r="I240" t="n">
        <v>0</v>
      </c>
      <c r="J240" t="n">
        <v>0</v>
      </c>
      <c r="K240" t="n">
        <v>0</v>
      </c>
      <c r="L240" t="n">
        <v>0</v>
      </c>
      <c r="M240" t="n">
        <v>0</v>
      </c>
      <c r="N240" t="n">
        <v>0</v>
      </c>
      <c r="O240" t="n">
        <v>0</v>
      </c>
      <c r="P240" t="n">
        <v>0</v>
      </c>
      <c r="Q240" t="n">
        <v>0</v>
      </c>
      <c r="R240" s="2" t="inlineStr"/>
    </row>
    <row r="241" ht="15" customHeight="1">
      <c r="A241" t="inlineStr">
        <is>
          <t>A 23770-2022</t>
        </is>
      </c>
      <c r="B241" s="1" t="n">
        <v>44722</v>
      </c>
      <c r="C241" s="1" t="n">
        <v>46203</v>
      </c>
      <c r="D241" t="inlineStr">
        <is>
          <t>STOCKHOLMS LÄN</t>
        </is>
      </c>
      <c r="E241" t="inlineStr">
        <is>
          <t>NORRTÄLJE</t>
        </is>
      </c>
      <c r="G241" t="n">
        <v>1.6</v>
      </c>
      <c r="H241" t="n">
        <v>0</v>
      </c>
      <c r="I241" t="n">
        <v>0</v>
      </c>
      <c r="J241" t="n">
        <v>0</v>
      </c>
      <c r="K241" t="n">
        <v>0</v>
      </c>
      <c r="L241" t="n">
        <v>0</v>
      </c>
      <c r="M241" t="n">
        <v>0</v>
      </c>
      <c r="N241" t="n">
        <v>0</v>
      </c>
      <c r="O241" t="n">
        <v>0</v>
      </c>
      <c r="P241" t="n">
        <v>0</v>
      </c>
      <c r="Q241" t="n">
        <v>0</v>
      </c>
      <c r="R241" s="2" t="inlineStr"/>
    </row>
    <row r="242" ht="15" customHeight="1">
      <c r="A242" t="inlineStr">
        <is>
          <t>A 27538-2022</t>
        </is>
      </c>
      <c r="B242" s="1" t="n">
        <v>44742</v>
      </c>
      <c r="C242" s="1" t="n">
        <v>46203</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29868-2022</t>
        </is>
      </c>
      <c r="B243" s="1" t="n">
        <v>44756</v>
      </c>
      <c r="C243" s="1" t="n">
        <v>46203</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36975-2022</t>
        </is>
      </c>
      <c r="B244" s="1" t="n">
        <v>44806</v>
      </c>
      <c r="C244" s="1" t="n">
        <v>46203</v>
      </c>
      <c r="D244" t="inlineStr">
        <is>
          <t>STOCKHOLMS LÄN</t>
        </is>
      </c>
      <c r="E244" t="inlineStr">
        <is>
          <t>NORRTÄLJE</t>
        </is>
      </c>
      <c r="G244" t="n">
        <v>4.7</v>
      </c>
      <c r="H244" t="n">
        <v>0</v>
      </c>
      <c r="I244" t="n">
        <v>0</v>
      </c>
      <c r="J244" t="n">
        <v>0</v>
      </c>
      <c r="K244" t="n">
        <v>0</v>
      </c>
      <c r="L244" t="n">
        <v>0</v>
      </c>
      <c r="M244" t="n">
        <v>0</v>
      </c>
      <c r="N244" t="n">
        <v>0</v>
      </c>
      <c r="O244" t="n">
        <v>0</v>
      </c>
      <c r="P244" t="n">
        <v>0</v>
      </c>
      <c r="Q244" t="n">
        <v>0</v>
      </c>
      <c r="R244" s="2" t="inlineStr"/>
    </row>
    <row r="245" ht="15" customHeight="1">
      <c r="A245" t="inlineStr">
        <is>
          <t>A 64599-2021</t>
        </is>
      </c>
      <c r="B245" s="1" t="n">
        <v>44511</v>
      </c>
      <c r="C245" s="1" t="n">
        <v>46203</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64212-2021</t>
        </is>
      </c>
      <c r="B246" s="1" t="n">
        <v>44510</v>
      </c>
      <c r="C246" s="1" t="n">
        <v>46203</v>
      </c>
      <c r="D246" t="inlineStr">
        <is>
          <t>STOCKHOLMS LÄN</t>
        </is>
      </c>
      <c r="E246" t="inlineStr">
        <is>
          <t>NORRTÄLJE</t>
        </is>
      </c>
      <c r="G246" t="n">
        <v>28.7</v>
      </c>
      <c r="H246" t="n">
        <v>0</v>
      </c>
      <c r="I246" t="n">
        <v>0</v>
      </c>
      <c r="J246" t="n">
        <v>0</v>
      </c>
      <c r="K246" t="n">
        <v>0</v>
      </c>
      <c r="L246" t="n">
        <v>0</v>
      </c>
      <c r="M246" t="n">
        <v>0</v>
      </c>
      <c r="N246" t="n">
        <v>0</v>
      </c>
      <c r="O246" t="n">
        <v>0</v>
      </c>
      <c r="P246" t="n">
        <v>0</v>
      </c>
      <c r="Q246" t="n">
        <v>0</v>
      </c>
      <c r="R246" s="2" t="inlineStr"/>
    </row>
    <row r="247" ht="15" customHeight="1">
      <c r="A247" t="inlineStr">
        <is>
          <t>A 47349-2021</t>
        </is>
      </c>
      <c r="B247" s="1" t="n">
        <v>44447</v>
      </c>
      <c r="C247" s="1" t="n">
        <v>46203</v>
      </c>
      <c r="D247" t="inlineStr">
        <is>
          <t>STOCKHOLMS LÄN</t>
        </is>
      </c>
      <c r="E247" t="inlineStr">
        <is>
          <t>NORRTÄLJE</t>
        </is>
      </c>
      <c r="G247" t="n">
        <v>3.3</v>
      </c>
      <c r="H247" t="n">
        <v>0</v>
      </c>
      <c r="I247" t="n">
        <v>0</v>
      </c>
      <c r="J247" t="n">
        <v>0</v>
      </c>
      <c r="K247" t="n">
        <v>0</v>
      </c>
      <c r="L247" t="n">
        <v>0</v>
      </c>
      <c r="M247" t="n">
        <v>0</v>
      </c>
      <c r="N247" t="n">
        <v>0</v>
      </c>
      <c r="O247" t="n">
        <v>0</v>
      </c>
      <c r="P247" t="n">
        <v>0</v>
      </c>
      <c r="Q247" t="n">
        <v>0</v>
      </c>
      <c r="R247" s="2" t="inlineStr"/>
    </row>
    <row r="248" ht="15" customHeight="1">
      <c r="A248" t="inlineStr">
        <is>
          <t>A 36565-2021</t>
        </is>
      </c>
      <c r="B248" s="1" t="n">
        <v>44391</v>
      </c>
      <c r="C248" s="1" t="n">
        <v>46203</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44274-2021</t>
        </is>
      </c>
      <c r="B249" s="1" t="n">
        <v>44435</v>
      </c>
      <c r="C249" s="1" t="n">
        <v>46203</v>
      </c>
      <c r="D249" t="inlineStr">
        <is>
          <t>STOCKHOLMS LÄN</t>
        </is>
      </c>
      <c r="E249" t="inlineStr">
        <is>
          <t>NORRTÄLJE</t>
        </is>
      </c>
      <c r="G249" t="n">
        <v>1</v>
      </c>
      <c r="H249" t="n">
        <v>0</v>
      </c>
      <c r="I249" t="n">
        <v>0</v>
      </c>
      <c r="J249" t="n">
        <v>0</v>
      </c>
      <c r="K249" t="n">
        <v>0</v>
      </c>
      <c r="L249" t="n">
        <v>0</v>
      </c>
      <c r="M249" t="n">
        <v>0</v>
      </c>
      <c r="N249" t="n">
        <v>0</v>
      </c>
      <c r="O249" t="n">
        <v>0</v>
      </c>
      <c r="P249" t="n">
        <v>0</v>
      </c>
      <c r="Q249" t="n">
        <v>0</v>
      </c>
      <c r="R249" s="2" t="inlineStr"/>
    </row>
    <row r="250" ht="15" customHeight="1">
      <c r="A250" t="inlineStr">
        <is>
          <t>A 50970-2022</t>
        </is>
      </c>
      <c r="B250" s="1" t="n">
        <v>44867</v>
      </c>
      <c r="C250" s="1" t="n">
        <v>46203</v>
      </c>
      <c r="D250" t="inlineStr">
        <is>
          <t>STOCKHOLMS LÄN</t>
        </is>
      </c>
      <c r="E250" t="inlineStr">
        <is>
          <t>NORRTÄLJE</t>
        </is>
      </c>
      <c r="G250" t="n">
        <v>9</v>
      </c>
      <c r="H250" t="n">
        <v>0</v>
      </c>
      <c r="I250" t="n">
        <v>0</v>
      </c>
      <c r="J250" t="n">
        <v>0</v>
      </c>
      <c r="K250" t="n">
        <v>0</v>
      </c>
      <c r="L250" t="n">
        <v>0</v>
      </c>
      <c r="M250" t="n">
        <v>0</v>
      </c>
      <c r="N250" t="n">
        <v>0</v>
      </c>
      <c r="O250" t="n">
        <v>0</v>
      </c>
      <c r="P250" t="n">
        <v>0</v>
      </c>
      <c r="Q250" t="n">
        <v>0</v>
      </c>
      <c r="R250" s="2" t="inlineStr"/>
    </row>
    <row r="251" ht="15" customHeight="1">
      <c r="A251" t="inlineStr">
        <is>
          <t>A 49113-2021</t>
        </is>
      </c>
      <c r="B251" s="1" t="n">
        <v>44453</v>
      </c>
      <c r="C251" s="1" t="n">
        <v>46203</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64628-2021</t>
        </is>
      </c>
      <c r="B252" s="1" t="n">
        <v>44511</v>
      </c>
      <c r="C252" s="1" t="n">
        <v>46203</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71325-2021</t>
        </is>
      </c>
      <c r="B253" s="1" t="n">
        <v>44539</v>
      </c>
      <c r="C253" s="1" t="n">
        <v>46203</v>
      </c>
      <c r="D253" t="inlineStr">
        <is>
          <t>STOCKHOLMS LÄN</t>
        </is>
      </c>
      <c r="E253" t="inlineStr">
        <is>
          <t>NORRTÄLJE</t>
        </is>
      </c>
      <c r="G253" t="n">
        <v>2.1</v>
      </c>
      <c r="H253" t="n">
        <v>0</v>
      </c>
      <c r="I253" t="n">
        <v>0</v>
      </c>
      <c r="J253" t="n">
        <v>0</v>
      </c>
      <c r="K253" t="n">
        <v>0</v>
      </c>
      <c r="L253" t="n">
        <v>0</v>
      </c>
      <c r="M253" t="n">
        <v>0</v>
      </c>
      <c r="N253" t="n">
        <v>0</v>
      </c>
      <c r="O253" t="n">
        <v>0</v>
      </c>
      <c r="P253" t="n">
        <v>0</v>
      </c>
      <c r="Q253" t="n">
        <v>0</v>
      </c>
      <c r="R253" s="2" t="inlineStr"/>
    </row>
    <row r="254" ht="15" customHeight="1">
      <c r="A254" t="inlineStr">
        <is>
          <t>A 65611-2021</t>
        </is>
      </c>
      <c r="B254" s="1" t="n">
        <v>44516</v>
      </c>
      <c r="C254" s="1" t="n">
        <v>46203</v>
      </c>
      <c r="D254" t="inlineStr">
        <is>
          <t>STOCKHOLMS LÄN</t>
        </is>
      </c>
      <c r="E254" t="inlineStr">
        <is>
          <t>NORRTÄLJE</t>
        </is>
      </c>
      <c r="G254" t="n">
        <v>2.5</v>
      </c>
      <c r="H254" t="n">
        <v>0</v>
      </c>
      <c r="I254" t="n">
        <v>0</v>
      </c>
      <c r="J254" t="n">
        <v>0</v>
      </c>
      <c r="K254" t="n">
        <v>0</v>
      </c>
      <c r="L254" t="n">
        <v>0</v>
      </c>
      <c r="M254" t="n">
        <v>0</v>
      </c>
      <c r="N254" t="n">
        <v>0</v>
      </c>
      <c r="O254" t="n">
        <v>0</v>
      </c>
      <c r="P254" t="n">
        <v>0</v>
      </c>
      <c r="Q254" t="n">
        <v>0</v>
      </c>
      <c r="R254" s="2" t="inlineStr"/>
    </row>
    <row r="255" ht="15" customHeight="1">
      <c r="A255" t="inlineStr">
        <is>
          <t>A 60813-2021</t>
        </is>
      </c>
      <c r="B255" s="1" t="n">
        <v>44496</v>
      </c>
      <c r="C255" s="1" t="n">
        <v>46203</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39497-2021</t>
        </is>
      </c>
      <c r="B256" s="1" t="n">
        <v>44414</v>
      </c>
      <c r="C256" s="1" t="n">
        <v>46203</v>
      </c>
      <c r="D256" t="inlineStr">
        <is>
          <t>STOCKHOLMS LÄN</t>
        </is>
      </c>
      <c r="E256" t="inlineStr">
        <is>
          <t>NORRTÄLJE</t>
        </is>
      </c>
      <c r="G256" t="n">
        <v>1.7</v>
      </c>
      <c r="H256" t="n">
        <v>0</v>
      </c>
      <c r="I256" t="n">
        <v>0</v>
      </c>
      <c r="J256" t="n">
        <v>0</v>
      </c>
      <c r="K256" t="n">
        <v>0</v>
      </c>
      <c r="L256" t="n">
        <v>0</v>
      </c>
      <c r="M256" t="n">
        <v>0</v>
      </c>
      <c r="N256" t="n">
        <v>0</v>
      </c>
      <c r="O256" t="n">
        <v>0</v>
      </c>
      <c r="P256" t="n">
        <v>0</v>
      </c>
      <c r="Q256" t="n">
        <v>0</v>
      </c>
      <c r="R256" s="2" t="inlineStr"/>
    </row>
    <row r="257" ht="15" customHeight="1">
      <c r="A257" t="inlineStr">
        <is>
          <t>A 17803-2022</t>
        </is>
      </c>
      <c r="B257" s="1" t="n">
        <v>44683</v>
      </c>
      <c r="C257" s="1" t="n">
        <v>46203</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34431-2021</t>
        </is>
      </c>
      <c r="B258" s="1" t="n">
        <v>44380</v>
      </c>
      <c r="C258" s="1" t="n">
        <v>46203</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22316-2022</t>
        </is>
      </c>
      <c r="B259" s="1" t="n">
        <v>44712</v>
      </c>
      <c r="C259" s="1" t="n">
        <v>46203</v>
      </c>
      <c r="D259" t="inlineStr">
        <is>
          <t>STOCKHOLMS LÄN</t>
        </is>
      </c>
      <c r="E259" t="inlineStr">
        <is>
          <t>NORRTÄLJE</t>
        </is>
      </c>
      <c r="G259" t="n">
        <v>6.3</v>
      </c>
      <c r="H259" t="n">
        <v>0</v>
      </c>
      <c r="I259" t="n">
        <v>0</v>
      </c>
      <c r="J259" t="n">
        <v>0</v>
      </c>
      <c r="K259" t="n">
        <v>0</v>
      </c>
      <c r="L259" t="n">
        <v>0</v>
      </c>
      <c r="M259" t="n">
        <v>0</v>
      </c>
      <c r="N259" t="n">
        <v>0</v>
      </c>
      <c r="O259" t="n">
        <v>0</v>
      </c>
      <c r="P259" t="n">
        <v>0</v>
      </c>
      <c r="Q259" t="n">
        <v>0</v>
      </c>
      <c r="R259" s="2" t="inlineStr"/>
    </row>
    <row r="260" ht="15" customHeight="1">
      <c r="A260" t="inlineStr">
        <is>
          <t>A 31092-2022</t>
        </is>
      </c>
      <c r="B260" s="1" t="n">
        <v>44769</v>
      </c>
      <c r="C260" s="1" t="n">
        <v>46203</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71871-2021</t>
        </is>
      </c>
      <c r="B261" s="1" t="n">
        <v>44543</v>
      </c>
      <c r="C261" s="1" t="n">
        <v>46203</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71873-2021</t>
        </is>
      </c>
      <c r="B262" s="1" t="n">
        <v>44543</v>
      </c>
      <c r="C262" s="1" t="n">
        <v>46203</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72355-2021</t>
        </is>
      </c>
      <c r="B263" s="1" t="n">
        <v>44545</v>
      </c>
      <c r="C263" s="1" t="n">
        <v>46203</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72357-2021</t>
        </is>
      </c>
      <c r="B264" s="1" t="n">
        <v>44545</v>
      </c>
      <c r="C264" s="1" t="n">
        <v>46203</v>
      </c>
      <c r="D264" t="inlineStr">
        <is>
          <t>STOCKHOLMS LÄN</t>
        </is>
      </c>
      <c r="E264" t="inlineStr">
        <is>
          <t>NORRTÄLJE</t>
        </is>
      </c>
      <c r="G264" t="n">
        <v>5.1</v>
      </c>
      <c r="H264" t="n">
        <v>0</v>
      </c>
      <c r="I264" t="n">
        <v>0</v>
      </c>
      <c r="J264" t="n">
        <v>0</v>
      </c>
      <c r="K264" t="n">
        <v>0</v>
      </c>
      <c r="L264" t="n">
        <v>0</v>
      </c>
      <c r="M264" t="n">
        <v>0</v>
      </c>
      <c r="N264" t="n">
        <v>0</v>
      </c>
      <c r="O264" t="n">
        <v>0</v>
      </c>
      <c r="P264" t="n">
        <v>0</v>
      </c>
      <c r="Q264" t="n">
        <v>0</v>
      </c>
      <c r="R264" s="2" t="inlineStr"/>
    </row>
    <row r="265" ht="15" customHeight="1">
      <c r="A265" t="inlineStr">
        <is>
          <t>A 9988-2022</t>
        </is>
      </c>
      <c r="B265" s="1" t="n">
        <v>44621</v>
      </c>
      <c r="C265" s="1" t="n">
        <v>46203</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60733-2021</t>
        </is>
      </c>
      <c r="B266" s="1" t="n">
        <v>44496</v>
      </c>
      <c r="C266" s="1" t="n">
        <v>46203</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12357-2022</t>
        </is>
      </c>
      <c r="B267" s="1" t="n">
        <v>44637</v>
      </c>
      <c r="C267" s="1" t="n">
        <v>46203</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26335-2022</t>
        </is>
      </c>
      <c r="B268" s="1" t="n">
        <v>44735</v>
      </c>
      <c r="C268" s="1" t="n">
        <v>46203</v>
      </c>
      <c r="D268" t="inlineStr">
        <is>
          <t>STOCKHOLMS LÄN</t>
        </is>
      </c>
      <c r="E268" t="inlineStr">
        <is>
          <t>NORRTÄLJE</t>
        </is>
      </c>
      <c r="G268" t="n">
        <v>3.3</v>
      </c>
      <c r="H268" t="n">
        <v>0</v>
      </c>
      <c r="I268" t="n">
        <v>0</v>
      </c>
      <c r="J268" t="n">
        <v>0</v>
      </c>
      <c r="K268" t="n">
        <v>0</v>
      </c>
      <c r="L268" t="n">
        <v>0</v>
      </c>
      <c r="M268" t="n">
        <v>0</v>
      </c>
      <c r="N268" t="n">
        <v>0</v>
      </c>
      <c r="O268" t="n">
        <v>0</v>
      </c>
      <c r="P268" t="n">
        <v>0</v>
      </c>
      <c r="Q268" t="n">
        <v>0</v>
      </c>
      <c r="R268" s="2" t="inlineStr"/>
    </row>
    <row r="269" ht="15" customHeight="1">
      <c r="A269" t="inlineStr">
        <is>
          <t>A 30624-2022</t>
        </is>
      </c>
      <c r="B269" s="1" t="n">
        <v>44763</v>
      </c>
      <c r="C269" s="1" t="n">
        <v>46203</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26328-2022</t>
        </is>
      </c>
      <c r="B270" s="1" t="n">
        <v>44735</v>
      </c>
      <c r="C270" s="1" t="n">
        <v>46203</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67598-2021</t>
        </is>
      </c>
      <c r="B271" s="1" t="n">
        <v>44524</v>
      </c>
      <c r="C271" s="1" t="n">
        <v>46203</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34520-2021</t>
        </is>
      </c>
      <c r="B272" s="1" t="n">
        <v>44379</v>
      </c>
      <c r="C272" s="1" t="n">
        <v>46203</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1968-2022</t>
        </is>
      </c>
      <c r="B273" s="1" t="n">
        <v>44575</v>
      </c>
      <c r="C273" s="1" t="n">
        <v>46203</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1229-2022</t>
        </is>
      </c>
      <c r="B274" s="1" t="n">
        <v>44572</v>
      </c>
      <c r="C274" s="1" t="n">
        <v>46203</v>
      </c>
      <c r="D274" t="inlineStr">
        <is>
          <t>STOCKHOLMS LÄN</t>
        </is>
      </c>
      <c r="E274" t="inlineStr">
        <is>
          <t>NORRTÄLJE</t>
        </is>
      </c>
      <c r="G274" t="n">
        <v>11.5</v>
      </c>
      <c r="H274" t="n">
        <v>0</v>
      </c>
      <c r="I274" t="n">
        <v>0</v>
      </c>
      <c r="J274" t="n">
        <v>0</v>
      </c>
      <c r="K274" t="n">
        <v>0</v>
      </c>
      <c r="L274" t="n">
        <v>0</v>
      </c>
      <c r="M274" t="n">
        <v>0</v>
      </c>
      <c r="N274" t="n">
        <v>0</v>
      </c>
      <c r="O274" t="n">
        <v>0</v>
      </c>
      <c r="P274" t="n">
        <v>0</v>
      </c>
      <c r="Q274" t="n">
        <v>0</v>
      </c>
      <c r="R274" s="2" t="inlineStr"/>
    </row>
    <row r="275" ht="15" customHeight="1">
      <c r="A275" t="inlineStr">
        <is>
          <t>A 14051-2022</t>
        </is>
      </c>
      <c r="B275" s="1" t="n">
        <v>44650</v>
      </c>
      <c r="C275" s="1" t="n">
        <v>46203</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24167-2022</t>
        </is>
      </c>
      <c r="B276" s="1" t="n">
        <v>44725</v>
      </c>
      <c r="C276" s="1" t="n">
        <v>46203</v>
      </c>
      <c r="D276" t="inlineStr">
        <is>
          <t>STOCKHOLMS LÄN</t>
        </is>
      </c>
      <c r="E276" t="inlineStr">
        <is>
          <t>NORRTÄLJE</t>
        </is>
      </c>
      <c r="G276" t="n">
        <v>3.4</v>
      </c>
      <c r="H276" t="n">
        <v>0</v>
      </c>
      <c r="I276" t="n">
        <v>0</v>
      </c>
      <c r="J276" t="n">
        <v>0</v>
      </c>
      <c r="K276" t="n">
        <v>0</v>
      </c>
      <c r="L276" t="n">
        <v>0</v>
      </c>
      <c r="M276" t="n">
        <v>0</v>
      </c>
      <c r="N276" t="n">
        <v>0</v>
      </c>
      <c r="O276" t="n">
        <v>0</v>
      </c>
      <c r="P276" t="n">
        <v>0</v>
      </c>
      <c r="Q276" t="n">
        <v>0</v>
      </c>
      <c r="R276" s="2" t="inlineStr"/>
    </row>
    <row r="277" ht="15" customHeight="1">
      <c r="A277" t="inlineStr">
        <is>
          <t>A 42396-2021</t>
        </is>
      </c>
      <c r="B277" s="1" t="n">
        <v>44427</v>
      </c>
      <c r="C277" s="1" t="n">
        <v>46203</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2732-2022</t>
        </is>
      </c>
      <c r="B278" s="1" t="n">
        <v>44580</v>
      </c>
      <c r="C278" s="1" t="n">
        <v>46203</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31924-2022</t>
        </is>
      </c>
      <c r="B279" s="1" t="n">
        <v>44777</v>
      </c>
      <c r="C279" s="1" t="n">
        <v>46203</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16119-2022</t>
        </is>
      </c>
      <c r="B280" s="1" t="n">
        <v>44665</v>
      </c>
      <c r="C280" s="1" t="n">
        <v>46203</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14543-2022</t>
        </is>
      </c>
      <c r="B281" s="1" t="n">
        <v>44655</v>
      </c>
      <c r="C281" s="1" t="n">
        <v>46203</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12270-2022</t>
        </is>
      </c>
      <c r="B282" s="1" t="n">
        <v>44637</v>
      </c>
      <c r="C282" s="1" t="n">
        <v>46203</v>
      </c>
      <c r="D282" t="inlineStr">
        <is>
          <t>STOCKHOLMS LÄN</t>
        </is>
      </c>
      <c r="E282" t="inlineStr">
        <is>
          <t>NORRTÄLJE</t>
        </is>
      </c>
      <c r="G282" t="n">
        <v>2.3</v>
      </c>
      <c r="H282" t="n">
        <v>0</v>
      </c>
      <c r="I282" t="n">
        <v>0</v>
      </c>
      <c r="J282" t="n">
        <v>0</v>
      </c>
      <c r="K282" t="n">
        <v>0</v>
      </c>
      <c r="L282" t="n">
        <v>0</v>
      </c>
      <c r="M282" t="n">
        <v>0</v>
      </c>
      <c r="N282" t="n">
        <v>0</v>
      </c>
      <c r="O282" t="n">
        <v>0</v>
      </c>
      <c r="P282" t="n">
        <v>0</v>
      </c>
      <c r="Q282" t="n">
        <v>0</v>
      </c>
      <c r="R282" s="2" t="inlineStr"/>
    </row>
    <row r="283" ht="15" customHeight="1">
      <c r="A283" t="inlineStr">
        <is>
          <t>A 5513-2022</t>
        </is>
      </c>
      <c r="B283" s="1" t="n">
        <v>44595</v>
      </c>
      <c r="C283" s="1" t="n">
        <v>46203</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28042-2022</t>
        </is>
      </c>
      <c r="B284" s="1" t="n">
        <v>44744</v>
      </c>
      <c r="C284" s="1" t="n">
        <v>46203</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41398-2022</t>
        </is>
      </c>
      <c r="B285" s="1" t="n">
        <v>44826</v>
      </c>
      <c r="C285" s="1" t="n">
        <v>46203</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45541-2022</t>
        </is>
      </c>
      <c r="B286" s="1" t="n">
        <v>44845</v>
      </c>
      <c r="C286" s="1" t="n">
        <v>46203</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68273-2021</t>
        </is>
      </c>
      <c r="B287" s="1" t="n">
        <v>44526</v>
      </c>
      <c r="C287" s="1" t="n">
        <v>46203</v>
      </c>
      <c r="D287" t="inlineStr">
        <is>
          <t>STOCKHOLMS LÄN</t>
        </is>
      </c>
      <c r="E287" t="inlineStr">
        <is>
          <t>NORRTÄLJE</t>
        </is>
      </c>
      <c r="G287" t="n">
        <v>5.3</v>
      </c>
      <c r="H287" t="n">
        <v>0</v>
      </c>
      <c r="I287" t="n">
        <v>0</v>
      </c>
      <c r="J287" t="n">
        <v>0</v>
      </c>
      <c r="K287" t="n">
        <v>0</v>
      </c>
      <c r="L287" t="n">
        <v>0</v>
      </c>
      <c r="M287" t="n">
        <v>0</v>
      </c>
      <c r="N287" t="n">
        <v>0</v>
      </c>
      <c r="O287" t="n">
        <v>0</v>
      </c>
      <c r="P287" t="n">
        <v>0</v>
      </c>
      <c r="Q287" t="n">
        <v>0</v>
      </c>
      <c r="R287" s="2" t="inlineStr"/>
    </row>
    <row r="288" ht="15" customHeight="1">
      <c r="A288" t="inlineStr">
        <is>
          <t>A 12875-2022</t>
        </is>
      </c>
      <c r="B288" s="1" t="n">
        <v>44642</v>
      </c>
      <c r="C288" s="1" t="n">
        <v>46203</v>
      </c>
      <c r="D288" t="inlineStr">
        <is>
          <t>STOCKHOLMS LÄN</t>
        </is>
      </c>
      <c r="E288" t="inlineStr">
        <is>
          <t>NORRTÄLJE</t>
        </is>
      </c>
      <c r="G288" t="n">
        <v>1.6</v>
      </c>
      <c r="H288" t="n">
        <v>0</v>
      </c>
      <c r="I288" t="n">
        <v>0</v>
      </c>
      <c r="J288" t="n">
        <v>0</v>
      </c>
      <c r="K288" t="n">
        <v>0</v>
      </c>
      <c r="L288" t="n">
        <v>0</v>
      </c>
      <c r="M288" t="n">
        <v>0</v>
      </c>
      <c r="N288" t="n">
        <v>0</v>
      </c>
      <c r="O288" t="n">
        <v>0</v>
      </c>
      <c r="P288" t="n">
        <v>0</v>
      </c>
      <c r="Q288" t="n">
        <v>0</v>
      </c>
      <c r="R288" s="2" t="inlineStr"/>
    </row>
    <row r="289" ht="15" customHeight="1">
      <c r="A289" t="inlineStr">
        <is>
          <t>A 12355-2022</t>
        </is>
      </c>
      <c r="B289" s="1" t="n">
        <v>44637</v>
      </c>
      <c r="C289" s="1" t="n">
        <v>46203</v>
      </c>
      <c r="D289" t="inlineStr">
        <is>
          <t>STOCKHOLMS LÄN</t>
        </is>
      </c>
      <c r="E289" t="inlineStr">
        <is>
          <t>NORRTÄLJE</t>
        </is>
      </c>
      <c r="G289" t="n">
        <v>10.4</v>
      </c>
      <c r="H289" t="n">
        <v>0</v>
      </c>
      <c r="I289" t="n">
        <v>0</v>
      </c>
      <c r="J289" t="n">
        <v>0</v>
      </c>
      <c r="K289" t="n">
        <v>0</v>
      </c>
      <c r="L289" t="n">
        <v>0</v>
      </c>
      <c r="M289" t="n">
        <v>0</v>
      </c>
      <c r="N289" t="n">
        <v>0</v>
      </c>
      <c r="O289" t="n">
        <v>0</v>
      </c>
      <c r="P289" t="n">
        <v>0</v>
      </c>
      <c r="Q289" t="n">
        <v>0</v>
      </c>
      <c r="R289" s="2" t="inlineStr"/>
    </row>
    <row r="290" ht="15" customHeight="1">
      <c r="A290" t="inlineStr">
        <is>
          <t>A 41822-2021</t>
        </is>
      </c>
      <c r="B290" s="1" t="n">
        <v>44425</v>
      </c>
      <c r="C290" s="1" t="n">
        <v>46203</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7565-2022</t>
        </is>
      </c>
      <c r="B291" s="1" t="n">
        <v>44607</v>
      </c>
      <c r="C291" s="1" t="n">
        <v>46203</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37415-2021</t>
        </is>
      </c>
      <c r="B292" s="1" t="n">
        <v>44397</v>
      </c>
      <c r="C292" s="1" t="n">
        <v>46203</v>
      </c>
      <c r="D292" t="inlineStr">
        <is>
          <t>STOCKHOLMS LÄN</t>
        </is>
      </c>
      <c r="E292" t="inlineStr">
        <is>
          <t>NORRTÄLJE</t>
        </is>
      </c>
      <c r="F292" t="inlineStr">
        <is>
          <t>Övriga Aktiebolag</t>
        </is>
      </c>
      <c r="G292" t="n">
        <v>3</v>
      </c>
      <c r="H292" t="n">
        <v>0</v>
      </c>
      <c r="I292" t="n">
        <v>0</v>
      </c>
      <c r="J292" t="n">
        <v>0</v>
      </c>
      <c r="K292" t="n">
        <v>0</v>
      </c>
      <c r="L292" t="n">
        <v>0</v>
      </c>
      <c r="M292" t="n">
        <v>0</v>
      </c>
      <c r="N292" t="n">
        <v>0</v>
      </c>
      <c r="O292" t="n">
        <v>0</v>
      </c>
      <c r="P292" t="n">
        <v>0</v>
      </c>
      <c r="Q292" t="n">
        <v>0</v>
      </c>
      <c r="R292" s="2" t="inlineStr"/>
    </row>
    <row r="293" ht="15" customHeight="1">
      <c r="A293" t="inlineStr">
        <is>
          <t>A 20295-2022</t>
        </is>
      </c>
      <c r="B293" s="1" t="n">
        <v>44698</v>
      </c>
      <c r="C293" s="1" t="n">
        <v>46203</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8160-2022</t>
        </is>
      </c>
      <c r="B294" s="1" t="n">
        <v>44609</v>
      </c>
      <c r="C294" s="1" t="n">
        <v>46203</v>
      </c>
      <c r="D294" t="inlineStr">
        <is>
          <t>STOCKHOLMS LÄN</t>
        </is>
      </c>
      <c r="E294" t="inlineStr">
        <is>
          <t>NORRTÄLJE</t>
        </is>
      </c>
      <c r="G294" t="n">
        <v>3.9</v>
      </c>
      <c r="H294" t="n">
        <v>0</v>
      </c>
      <c r="I294" t="n">
        <v>0</v>
      </c>
      <c r="J294" t="n">
        <v>0</v>
      </c>
      <c r="K294" t="n">
        <v>0</v>
      </c>
      <c r="L294" t="n">
        <v>0</v>
      </c>
      <c r="M294" t="n">
        <v>0</v>
      </c>
      <c r="N294" t="n">
        <v>0</v>
      </c>
      <c r="O294" t="n">
        <v>0</v>
      </c>
      <c r="P294" t="n">
        <v>0</v>
      </c>
      <c r="Q294" t="n">
        <v>0</v>
      </c>
      <c r="R294" s="2" t="inlineStr"/>
    </row>
    <row r="295" ht="15" customHeight="1">
      <c r="A295" t="inlineStr">
        <is>
          <t>A 30286-2022</t>
        </is>
      </c>
      <c r="B295" s="1" t="n">
        <v>44760</v>
      </c>
      <c r="C295" s="1" t="n">
        <v>46203</v>
      </c>
      <c r="D295" t="inlineStr">
        <is>
          <t>STOCKHOLMS LÄN</t>
        </is>
      </c>
      <c r="E295" t="inlineStr">
        <is>
          <t>NORRTÄLJE</t>
        </is>
      </c>
      <c r="G295" t="n">
        <v>0.3</v>
      </c>
      <c r="H295" t="n">
        <v>0</v>
      </c>
      <c r="I295" t="n">
        <v>0</v>
      </c>
      <c r="J295" t="n">
        <v>0</v>
      </c>
      <c r="K295" t="n">
        <v>0</v>
      </c>
      <c r="L295" t="n">
        <v>0</v>
      </c>
      <c r="M295" t="n">
        <v>0</v>
      </c>
      <c r="N295" t="n">
        <v>0</v>
      </c>
      <c r="O295" t="n">
        <v>0</v>
      </c>
      <c r="P295" t="n">
        <v>0</v>
      </c>
      <c r="Q295" t="n">
        <v>0</v>
      </c>
      <c r="R295" s="2" t="inlineStr"/>
    </row>
    <row r="296" ht="15" customHeight="1">
      <c r="A296" t="inlineStr">
        <is>
          <t>A 39319-2022</t>
        </is>
      </c>
      <c r="B296" s="1" t="n">
        <v>44817</v>
      </c>
      <c r="C296" s="1" t="n">
        <v>46203</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56219-2021</t>
        </is>
      </c>
      <c r="B297" s="1" t="n">
        <v>44477</v>
      </c>
      <c r="C297" s="1" t="n">
        <v>46203</v>
      </c>
      <c r="D297" t="inlineStr">
        <is>
          <t>STOCKHOLMS LÄN</t>
        </is>
      </c>
      <c r="E297" t="inlineStr">
        <is>
          <t>NORRTÄLJE</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3300-2022</t>
        </is>
      </c>
      <c r="B298" s="1" t="n">
        <v>44584</v>
      </c>
      <c r="C298" s="1" t="n">
        <v>46203</v>
      </c>
      <c r="D298" t="inlineStr">
        <is>
          <t>STOCKHOLMS LÄN</t>
        </is>
      </c>
      <c r="E298" t="inlineStr">
        <is>
          <t>NORRTÄLJE</t>
        </is>
      </c>
      <c r="G298" t="n">
        <v>0.4</v>
      </c>
      <c r="H298" t="n">
        <v>0</v>
      </c>
      <c r="I298" t="n">
        <v>0</v>
      </c>
      <c r="J298" t="n">
        <v>0</v>
      </c>
      <c r="K298" t="n">
        <v>0</v>
      </c>
      <c r="L298" t="n">
        <v>0</v>
      </c>
      <c r="M298" t="n">
        <v>0</v>
      </c>
      <c r="N298" t="n">
        <v>0</v>
      </c>
      <c r="O298" t="n">
        <v>0</v>
      </c>
      <c r="P298" t="n">
        <v>0</v>
      </c>
      <c r="Q298" t="n">
        <v>0</v>
      </c>
      <c r="R298" s="2" t="inlineStr"/>
    </row>
    <row r="299" ht="15" customHeight="1">
      <c r="A299" t="inlineStr">
        <is>
          <t>A 17388-2022</t>
        </is>
      </c>
      <c r="B299" s="1" t="n">
        <v>44678</v>
      </c>
      <c r="C299" s="1" t="n">
        <v>46203</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17771-2022</t>
        </is>
      </c>
      <c r="B300" s="1" t="n">
        <v>44682</v>
      </c>
      <c r="C300" s="1" t="n">
        <v>46203</v>
      </c>
      <c r="D300" t="inlineStr">
        <is>
          <t>STOCKHOLMS LÄN</t>
        </is>
      </c>
      <c r="E300" t="inlineStr">
        <is>
          <t>NORRTÄLJE</t>
        </is>
      </c>
      <c r="G300" t="n">
        <v>13.3</v>
      </c>
      <c r="H300" t="n">
        <v>0</v>
      </c>
      <c r="I300" t="n">
        <v>0</v>
      </c>
      <c r="J300" t="n">
        <v>0</v>
      </c>
      <c r="K300" t="n">
        <v>0</v>
      </c>
      <c r="L300" t="n">
        <v>0</v>
      </c>
      <c r="M300" t="n">
        <v>0</v>
      </c>
      <c r="N300" t="n">
        <v>0</v>
      </c>
      <c r="O300" t="n">
        <v>0</v>
      </c>
      <c r="P300" t="n">
        <v>0</v>
      </c>
      <c r="Q300" t="n">
        <v>0</v>
      </c>
      <c r="R300" s="2" t="inlineStr"/>
    </row>
    <row r="301" ht="15" customHeight="1">
      <c r="A301" t="inlineStr">
        <is>
          <t>A 17773-2022</t>
        </is>
      </c>
      <c r="B301" s="1" t="n">
        <v>44682</v>
      </c>
      <c r="C301" s="1" t="n">
        <v>46203</v>
      </c>
      <c r="D301" t="inlineStr">
        <is>
          <t>STOCKHOLMS LÄN</t>
        </is>
      </c>
      <c r="E301" t="inlineStr">
        <is>
          <t>NORRTÄLJE</t>
        </is>
      </c>
      <c r="G301" t="n">
        <v>10.8</v>
      </c>
      <c r="H301" t="n">
        <v>0</v>
      </c>
      <c r="I301" t="n">
        <v>0</v>
      </c>
      <c r="J301" t="n">
        <v>0</v>
      </c>
      <c r="K301" t="n">
        <v>0</v>
      </c>
      <c r="L301" t="n">
        <v>0</v>
      </c>
      <c r="M301" t="n">
        <v>0</v>
      </c>
      <c r="N301" t="n">
        <v>0</v>
      </c>
      <c r="O301" t="n">
        <v>0</v>
      </c>
      <c r="P301" t="n">
        <v>0</v>
      </c>
      <c r="Q301" t="n">
        <v>0</v>
      </c>
      <c r="R301" s="2" t="inlineStr"/>
    </row>
    <row r="302" ht="15" customHeight="1">
      <c r="A302" t="inlineStr">
        <is>
          <t>A 10521-2022</t>
        </is>
      </c>
      <c r="B302" s="1" t="n">
        <v>44623</v>
      </c>
      <c r="C302" s="1" t="n">
        <v>46203</v>
      </c>
      <c r="D302" t="inlineStr">
        <is>
          <t>STOCKHOLMS LÄN</t>
        </is>
      </c>
      <c r="E302" t="inlineStr">
        <is>
          <t>NORRTÄLJE</t>
        </is>
      </c>
      <c r="G302" t="n">
        <v>2.9</v>
      </c>
      <c r="H302" t="n">
        <v>0</v>
      </c>
      <c r="I302" t="n">
        <v>0</v>
      </c>
      <c r="J302" t="n">
        <v>0</v>
      </c>
      <c r="K302" t="n">
        <v>0</v>
      </c>
      <c r="L302" t="n">
        <v>0</v>
      </c>
      <c r="M302" t="n">
        <v>0</v>
      </c>
      <c r="N302" t="n">
        <v>0</v>
      </c>
      <c r="O302" t="n">
        <v>0</v>
      </c>
      <c r="P302" t="n">
        <v>0</v>
      </c>
      <c r="Q302" t="n">
        <v>0</v>
      </c>
      <c r="R302" s="2" t="inlineStr"/>
    </row>
    <row r="303" ht="15" customHeight="1">
      <c r="A303" t="inlineStr">
        <is>
          <t>A 70170-2021</t>
        </is>
      </c>
      <c r="B303" s="1" t="n">
        <v>44533</v>
      </c>
      <c r="C303" s="1" t="n">
        <v>46203</v>
      </c>
      <c r="D303" t="inlineStr">
        <is>
          <t>STOCKHOLMS LÄN</t>
        </is>
      </c>
      <c r="E303" t="inlineStr">
        <is>
          <t>NORRTÄLJE</t>
        </is>
      </c>
      <c r="G303" t="n">
        <v>2.7</v>
      </c>
      <c r="H303" t="n">
        <v>0</v>
      </c>
      <c r="I303" t="n">
        <v>0</v>
      </c>
      <c r="J303" t="n">
        <v>0</v>
      </c>
      <c r="K303" t="n">
        <v>0</v>
      </c>
      <c r="L303" t="n">
        <v>0</v>
      </c>
      <c r="M303" t="n">
        <v>0</v>
      </c>
      <c r="N303" t="n">
        <v>0</v>
      </c>
      <c r="O303" t="n">
        <v>0</v>
      </c>
      <c r="P303" t="n">
        <v>0</v>
      </c>
      <c r="Q303" t="n">
        <v>0</v>
      </c>
      <c r="R303" s="2" t="inlineStr"/>
    </row>
    <row r="304" ht="15" customHeight="1">
      <c r="A304" t="inlineStr">
        <is>
          <t>A 16117-2022</t>
        </is>
      </c>
      <c r="B304" s="1" t="n">
        <v>44665</v>
      </c>
      <c r="C304" s="1" t="n">
        <v>46203</v>
      </c>
      <c r="D304" t="inlineStr">
        <is>
          <t>STOCKHOLMS LÄN</t>
        </is>
      </c>
      <c r="E304" t="inlineStr">
        <is>
          <t>NORRTÄLJE</t>
        </is>
      </c>
      <c r="G304" t="n">
        <v>8.1</v>
      </c>
      <c r="H304" t="n">
        <v>0</v>
      </c>
      <c r="I304" t="n">
        <v>0</v>
      </c>
      <c r="J304" t="n">
        <v>0</v>
      </c>
      <c r="K304" t="n">
        <v>0</v>
      </c>
      <c r="L304" t="n">
        <v>0</v>
      </c>
      <c r="M304" t="n">
        <v>0</v>
      </c>
      <c r="N304" t="n">
        <v>0</v>
      </c>
      <c r="O304" t="n">
        <v>0</v>
      </c>
      <c r="P304" t="n">
        <v>0</v>
      </c>
      <c r="Q304" t="n">
        <v>0</v>
      </c>
      <c r="R304" s="2" t="inlineStr"/>
    </row>
    <row r="305" ht="15" customHeight="1">
      <c r="A305" t="inlineStr">
        <is>
          <t>A 16132-2022</t>
        </is>
      </c>
      <c r="B305" s="1" t="n">
        <v>44665</v>
      </c>
      <c r="C305" s="1" t="n">
        <v>46203</v>
      </c>
      <c r="D305" t="inlineStr">
        <is>
          <t>STOCKHOLMS LÄN</t>
        </is>
      </c>
      <c r="E305" t="inlineStr">
        <is>
          <t>NORRTÄLJE</t>
        </is>
      </c>
      <c r="G305" t="n">
        <v>4.4</v>
      </c>
      <c r="H305" t="n">
        <v>0</v>
      </c>
      <c r="I305" t="n">
        <v>0</v>
      </c>
      <c r="J305" t="n">
        <v>0</v>
      </c>
      <c r="K305" t="n">
        <v>0</v>
      </c>
      <c r="L305" t="n">
        <v>0</v>
      </c>
      <c r="M305" t="n">
        <v>0</v>
      </c>
      <c r="N305" t="n">
        <v>0</v>
      </c>
      <c r="O305" t="n">
        <v>0</v>
      </c>
      <c r="P305" t="n">
        <v>0</v>
      </c>
      <c r="Q305" t="n">
        <v>0</v>
      </c>
      <c r="R305" s="2" t="inlineStr"/>
    </row>
    <row r="306" ht="15" customHeight="1">
      <c r="A306" t="inlineStr">
        <is>
          <t>A 21102-2022</t>
        </is>
      </c>
      <c r="B306" s="1" t="n">
        <v>44704</v>
      </c>
      <c r="C306" s="1" t="n">
        <v>46203</v>
      </c>
      <c r="D306" t="inlineStr">
        <is>
          <t>STOCKHOLMS LÄN</t>
        </is>
      </c>
      <c r="E306" t="inlineStr">
        <is>
          <t>NORRTÄLJE</t>
        </is>
      </c>
      <c r="G306" t="n">
        <v>0.2</v>
      </c>
      <c r="H306" t="n">
        <v>0</v>
      </c>
      <c r="I306" t="n">
        <v>0</v>
      </c>
      <c r="J306" t="n">
        <v>0</v>
      </c>
      <c r="K306" t="n">
        <v>0</v>
      </c>
      <c r="L306" t="n">
        <v>0</v>
      </c>
      <c r="M306" t="n">
        <v>0</v>
      </c>
      <c r="N306" t="n">
        <v>0</v>
      </c>
      <c r="O306" t="n">
        <v>0</v>
      </c>
      <c r="P306" t="n">
        <v>0</v>
      </c>
      <c r="Q306" t="n">
        <v>0</v>
      </c>
      <c r="R306" s="2" t="inlineStr"/>
    </row>
    <row r="307" ht="15" customHeight="1">
      <c r="A307" t="inlineStr">
        <is>
          <t>A 71880-2021</t>
        </is>
      </c>
      <c r="B307" s="1" t="n">
        <v>44543</v>
      </c>
      <c r="C307" s="1" t="n">
        <v>46203</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17772-2022</t>
        </is>
      </c>
      <c r="B308" s="1" t="n">
        <v>44682</v>
      </c>
      <c r="C308" s="1" t="n">
        <v>46203</v>
      </c>
      <c r="D308" t="inlineStr">
        <is>
          <t>STOCKHOLMS LÄN</t>
        </is>
      </c>
      <c r="E308" t="inlineStr">
        <is>
          <t>NORRTÄLJE</t>
        </is>
      </c>
      <c r="G308" t="n">
        <v>4</v>
      </c>
      <c r="H308" t="n">
        <v>0</v>
      </c>
      <c r="I308" t="n">
        <v>0</v>
      </c>
      <c r="J308" t="n">
        <v>0</v>
      </c>
      <c r="K308" t="n">
        <v>0</v>
      </c>
      <c r="L308" t="n">
        <v>0</v>
      </c>
      <c r="M308" t="n">
        <v>0</v>
      </c>
      <c r="N308" t="n">
        <v>0</v>
      </c>
      <c r="O308" t="n">
        <v>0</v>
      </c>
      <c r="P308" t="n">
        <v>0</v>
      </c>
      <c r="Q308" t="n">
        <v>0</v>
      </c>
      <c r="R308" s="2" t="inlineStr"/>
    </row>
    <row r="309" ht="15" customHeight="1">
      <c r="A309" t="inlineStr">
        <is>
          <t>A 24101-2022</t>
        </is>
      </c>
      <c r="B309" s="1" t="n">
        <v>44725</v>
      </c>
      <c r="C309" s="1" t="n">
        <v>46203</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67285-2021</t>
        </is>
      </c>
      <c r="B310" s="1" t="n">
        <v>44523</v>
      </c>
      <c r="C310" s="1" t="n">
        <v>46203</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5611-2022</t>
        </is>
      </c>
      <c r="B311" s="1" t="n">
        <v>44595</v>
      </c>
      <c r="C311" s="1" t="n">
        <v>46203</v>
      </c>
      <c r="D311" t="inlineStr">
        <is>
          <t>STOCKHOLMS LÄN</t>
        </is>
      </c>
      <c r="E311" t="inlineStr">
        <is>
          <t>NORRTÄLJE</t>
        </is>
      </c>
      <c r="G311" t="n">
        <v>0.5</v>
      </c>
      <c r="H311" t="n">
        <v>0</v>
      </c>
      <c r="I311" t="n">
        <v>0</v>
      </c>
      <c r="J311" t="n">
        <v>0</v>
      </c>
      <c r="K311" t="n">
        <v>0</v>
      </c>
      <c r="L311" t="n">
        <v>0</v>
      </c>
      <c r="M311" t="n">
        <v>0</v>
      </c>
      <c r="N311" t="n">
        <v>0</v>
      </c>
      <c r="O311" t="n">
        <v>0</v>
      </c>
      <c r="P311" t="n">
        <v>0</v>
      </c>
      <c r="Q311" t="n">
        <v>0</v>
      </c>
      <c r="R311" s="2" t="inlineStr"/>
    </row>
    <row r="312" ht="15" customHeight="1">
      <c r="A312" t="inlineStr">
        <is>
          <t>A 38721-2022</t>
        </is>
      </c>
      <c r="B312" s="1" t="n">
        <v>44815</v>
      </c>
      <c r="C312" s="1" t="n">
        <v>46203</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60184-2021</t>
        </is>
      </c>
      <c r="B313" s="1" t="n">
        <v>44495</v>
      </c>
      <c r="C313" s="1" t="n">
        <v>46203</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55012-2024</t>
        </is>
      </c>
      <c r="B314" s="1" t="n">
        <v>45621</v>
      </c>
      <c r="C314" s="1" t="n">
        <v>46203</v>
      </c>
      <c r="D314" t="inlineStr">
        <is>
          <t>STOCKHOLMS LÄN</t>
        </is>
      </c>
      <c r="E314" t="inlineStr">
        <is>
          <t>NORRTÄLJE</t>
        </is>
      </c>
      <c r="F314" t="inlineStr">
        <is>
          <t>Sveaskog</t>
        </is>
      </c>
      <c r="G314" t="n">
        <v>5.2</v>
      </c>
      <c r="H314" t="n">
        <v>0</v>
      </c>
      <c r="I314" t="n">
        <v>0</v>
      </c>
      <c r="J314" t="n">
        <v>0</v>
      </c>
      <c r="K314" t="n">
        <v>0</v>
      </c>
      <c r="L314" t="n">
        <v>0</v>
      </c>
      <c r="M314" t="n">
        <v>0</v>
      </c>
      <c r="N314" t="n">
        <v>0</v>
      </c>
      <c r="O314" t="n">
        <v>0</v>
      </c>
      <c r="P314" t="n">
        <v>0</v>
      </c>
      <c r="Q314" t="n">
        <v>0</v>
      </c>
      <c r="R314" s="2" t="inlineStr"/>
    </row>
    <row r="315" ht="15" customHeight="1">
      <c r="A315" t="inlineStr">
        <is>
          <t>A 23271-2023</t>
        </is>
      </c>
      <c r="B315" s="1" t="n">
        <v>45075</v>
      </c>
      <c r="C315" s="1" t="n">
        <v>46203</v>
      </c>
      <c r="D315" t="inlineStr">
        <is>
          <t>STOCKHOLMS LÄN</t>
        </is>
      </c>
      <c r="E315" t="inlineStr">
        <is>
          <t>NORRTÄLJE</t>
        </is>
      </c>
      <c r="G315" t="n">
        <v>5.1</v>
      </c>
      <c r="H315" t="n">
        <v>0</v>
      </c>
      <c r="I315" t="n">
        <v>0</v>
      </c>
      <c r="J315" t="n">
        <v>0</v>
      </c>
      <c r="K315" t="n">
        <v>0</v>
      </c>
      <c r="L315" t="n">
        <v>0</v>
      </c>
      <c r="M315" t="n">
        <v>0</v>
      </c>
      <c r="N315" t="n">
        <v>0</v>
      </c>
      <c r="O315" t="n">
        <v>0</v>
      </c>
      <c r="P315" t="n">
        <v>0</v>
      </c>
      <c r="Q315" t="n">
        <v>0</v>
      </c>
      <c r="R315" s="2" t="inlineStr"/>
    </row>
    <row r="316" ht="15" customHeight="1">
      <c r="A316" t="inlineStr">
        <is>
          <t>A 23273-2023</t>
        </is>
      </c>
      <c r="B316" s="1" t="n">
        <v>45075</v>
      </c>
      <c r="C316" s="1" t="n">
        <v>46203</v>
      </c>
      <c r="D316" t="inlineStr">
        <is>
          <t>STOCKHOLMS LÄN</t>
        </is>
      </c>
      <c r="E316" t="inlineStr">
        <is>
          <t>NORRTÄLJE</t>
        </is>
      </c>
      <c r="G316" t="n">
        <v>7.5</v>
      </c>
      <c r="H316" t="n">
        <v>0</v>
      </c>
      <c r="I316" t="n">
        <v>0</v>
      </c>
      <c r="J316" t="n">
        <v>0</v>
      </c>
      <c r="K316" t="n">
        <v>0</v>
      </c>
      <c r="L316" t="n">
        <v>0</v>
      </c>
      <c r="M316" t="n">
        <v>0</v>
      </c>
      <c r="N316" t="n">
        <v>0</v>
      </c>
      <c r="O316" t="n">
        <v>0</v>
      </c>
      <c r="P316" t="n">
        <v>0</v>
      </c>
      <c r="Q316" t="n">
        <v>0</v>
      </c>
      <c r="R316" s="2" t="inlineStr"/>
    </row>
    <row r="317" ht="15" customHeight="1">
      <c r="A317" t="inlineStr">
        <is>
          <t>A 30802-2022</t>
        </is>
      </c>
      <c r="B317" s="1" t="n">
        <v>44764</v>
      </c>
      <c r="C317" s="1" t="n">
        <v>46203</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19706-2023</t>
        </is>
      </c>
      <c r="B318" s="1" t="n">
        <v>45051</v>
      </c>
      <c r="C318" s="1" t="n">
        <v>46203</v>
      </c>
      <c r="D318" t="inlineStr">
        <is>
          <t>STOCKHOLMS LÄN</t>
        </is>
      </c>
      <c r="E318" t="inlineStr">
        <is>
          <t>NORRTÄLJE</t>
        </is>
      </c>
      <c r="G318" t="n">
        <v>0.2</v>
      </c>
      <c r="H318" t="n">
        <v>0</v>
      </c>
      <c r="I318" t="n">
        <v>0</v>
      </c>
      <c r="J318" t="n">
        <v>0</v>
      </c>
      <c r="K318" t="n">
        <v>0</v>
      </c>
      <c r="L318" t="n">
        <v>0</v>
      </c>
      <c r="M318" t="n">
        <v>0</v>
      </c>
      <c r="N318" t="n">
        <v>0</v>
      </c>
      <c r="O318" t="n">
        <v>0</v>
      </c>
      <c r="P318" t="n">
        <v>0</v>
      </c>
      <c r="Q318" t="n">
        <v>0</v>
      </c>
      <c r="R318" s="2" t="inlineStr"/>
    </row>
    <row r="319" ht="15" customHeight="1">
      <c r="A319" t="inlineStr">
        <is>
          <t>A 16008-2025</t>
        </is>
      </c>
      <c r="B319" s="1" t="n">
        <v>45749</v>
      </c>
      <c r="C319" s="1" t="n">
        <v>46203</v>
      </c>
      <c r="D319" t="inlineStr">
        <is>
          <t>STOCKHOLMS LÄN</t>
        </is>
      </c>
      <c r="E319" t="inlineStr">
        <is>
          <t>NORRTÄLJE</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9765-2024</t>
        </is>
      </c>
      <c r="B320" s="1" t="n">
        <v>45362</v>
      </c>
      <c r="C320" s="1" t="n">
        <v>46203</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27715-2022</t>
        </is>
      </c>
      <c r="B321" s="1" t="n">
        <v>44743</v>
      </c>
      <c r="C321" s="1" t="n">
        <v>46203</v>
      </c>
      <c r="D321" t="inlineStr">
        <is>
          <t>STOCKHOLMS LÄN</t>
        </is>
      </c>
      <c r="E321" t="inlineStr">
        <is>
          <t>NORRTÄLJE</t>
        </is>
      </c>
      <c r="G321" t="n">
        <v>2.2</v>
      </c>
      <c r="H321" t="n">
        <v>0</v>
      </c>
      <c r="I321" t="n">
        <v>0</v>
      </c>
      <c r="J321" t="n">
        <v>0</v>
      </c>
      <c r="K321" t="n">
        <v>0</v>
      </c>
      <c r="L321" t="n">
        <v>0</v>
      </c>
      <c r="M321" t="n">
        <v>0</v>
      </c>
      <c r="N321" t="n">
        <v>0</v>
      </c>
      <c r="O321" t="n">
        <v>0</v>
      </c>
      <c r="P321" t="n">
        <v>0</v>
      </c>
      <c r="Q321" t="n">
        <v>0</v>
      </c>
      <c r="R321" s="2" t="inlineStr"/>
    </row>
    <row r="322" ht="15" customHeight="1">
      <c r="A322" t="inlineStr">
        <is>
          <t>A 63161-2023</t>
        </is>
      </c>
      <c r="B322" s="1" t="n">
        <v>45273</v>
      </c>
      <c r="C322" s="1" t="n">
        <v>46203</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40425-2021</t>
        </is>
      </c>
      <c r="B323" s="1" t="n">
        <v>44419</v>
      </c>
      <c r="C323" s="1" t="n">
        <v>46203</v>
      </c>
      <c r="D323" t="inlineStr">
        <is>
          <t>STOCKHOLMS LÄN</t>
        </is>
      </c>
      <c r="E323" t="inlineStr">
        <is>
          <t>NORRTÄLJE</t>
        </is>
      </c>
      <c r="G323" t="n">
        <v>5</v>
      </c>
      <c r="H323" t="n">
        <v>0</v>
      </c>
      <c r="I323" t="n">
        <v>0</v>
      </c>
      <c r="J323" t="n">
        <v>0</v>
      </c>
      <c r="K323" t="n">
        <v>0</v>
      </c>
      <c r="L323" t="n">
        <v>0</v>
      </c>
      <c r="M323" t="n">
        <v>0</v>
      </c>
      <c r="N323" t="n">
        <v>0</v>
      </c>
      <c r="O323" t="n">
        <v>0</v>
      </c>
      <c r="P323" t="n">
        <v>0</v>
      </c>
      <c r="Q323" t="n">
        <v>0</v>
      </c>
      <c r="R323" s="2" t="inlineStr"/>
    </row>
    <row r="324" ht="15" customHeight="1">
      <c r="A324" t="inlineStr">
        <is>
          <t>A 60694-2024</t>
        </is>
      </c>
      <c r="B324" s="1" t="n">
        <v>45644</v>
      </c>
      <c r="C324" s="1" t="n">
        <v>46203</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47694-2023</t>
        </is>
      </c>
      <c r="B325" s="1" t="n">
        <v>45203</v>
      </c>
      <c r="C325" s="1" t="n">
        <v>46203</v>
      </c>
      <c r="D325" t="inlineStr">
        <is>
          <t>STOCKHOLMS LÄN</t>
        </is>
      </c>
      <c r="E325" t="inlineStr">
        <is>
          <t>NORRTÄLJE</t>
        </is>
      </c>
      <c r="G325" t="n">
        <v>5.2</v>
      </c>
      <c r="H325" t="n">
        <v>0</v>
      </c>
      <c r="I325" t="n">
        <v>0</v>
      </c>
      <c r="J325" t="n">
        <v>0</v>
      </c>
      <c r="K325" t="n">
        <v>0</v>
      </c>
      <c r="L325" t="n">
        <v>0</v>
      </c>
      <c r="M325" t="n">
        <v>0</v>
      </c>
      <c r="N325" t="n">
        <v>0</v>
      </c>
      <c r="O325" t="n">
        <v>0</v>
      </c>
      <c r="P325" t="n">
        <v>0</v>
      </c>
      <c r="Q325" t="n">
        <v>0</v>
      </c>
      <c r="R325" s="2" t="inlineStr"/>
    </row>
    <row r="326" ht="15" customHeight="1">
      <c r="A326" t="inlineStr">
        <is>
          <t>A 56631-2024</t>
        </is>
      </c>
      <c r="B326" s="1" t="n">
        <v>45625</v>
      </c>
      <c r="C326" s="1" t="n">
        <v>46203</v>
      </c>
      <c r="D326" t="inlineStr">
        <is>
          <t>STOCKHOLMS LÄN</t>
        </is>
      </c>
      <c r="E326" t="inlineStr">
        <is>
          <t>NORRTÄLJE</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25094-2023</t>
        </is>
      </c>
      <c r="B327" s="1" t="n">
        <v>45086</v>
      </c>
      <c r="C327" s="1" t="n">
        <v>46203</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59276-2023</t>
        </is>
      </c>
      <c r="B328" s="1" t="n">
        <v>45253</v>
      </c>
      <c r="C328" s="1" t="n">
        <v>46203</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48587-2023</t>
        </is>
      </c>
      <c r="B329" s="1" t="n">
        <v>45208</v>
      </c>
      <c r="C329" s="1" t="n">
        <v>46203</v>
      </c>
      <c r="D329" t="inlineStr">
        <is>
          <t>STOCKHOLMS LÄN</t>
        </is>
      </c>
      <c r="E329" t="inlineStr">
        <is>
          <t>NORRTÄLJE</t>
        </is>
      </c>
      <c r="G329" t="n">
        <v>7</v>
      </c>
      <c r="H329" t="n">
        <v>0</v>
      </c>
      <c r="I329" t="n">
        <v>0</v>
      </c>
      <c r="J329" t="n">
        <v>0</v>
      </c>
      <c r="K329" t="n">
        <v>0</v>
      </c>
      <c r="L329" t="n">
        <v>0</v>
      </c>
      <c r="M329" t="n">
        <v>0</v>
      </c>
      <c r="N329" t="n">
        <v>0</v>
      </c>
      <c r="O329" t="n">
        <v>0</v>
      </c>
      <c r="P329" t="n">
        <v>0</v>
      </c>
      <c r="Q329" t="n">
        <v>0</v>
      </c>
      <c r="R329" s="2" t="inlineStr"/>
    </row>
    <row r="330" ht="15" customHeight="1">
      <c r="A330" t="inlineStr">
        <is>
          <t>A 13767-2025</t>
        </is>
      </c>
      <c r="B330" s="1" t="n">
        <v>45737</v>
      </c>
      <c r="C330" s="1" t="n">
        <v>46203</v>
      </c>
      <c r="D330" t="inlineStr">
        <is>
          <t>STOCKHOLMS LÄN</t>
        </is>
      </c>
      <c r="E330" t="inlineStr">
        <is>
          <t>NORRTÄLJE</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40656-2022</t>
        </is>
      </c>
      <c r="B331" s="1" t="n">
        <v>44824</v>
      </c>
      <c r="C331" s="1" t="n">
        <v>46203</v>
      </c>
      <c r="D331" t="inlineStr">
        <is>
          <t>STOCKHOLMS LÄN</t>
        </is>
      </c>
      <c r="E331" t="inlineStr">
        <is>
          <t>NORRTÄLJE</t>
        </is>
      </c>
      <c r="G331" t="n">
        <v>2.7</v>
      </c>
      <c r="H331" t="n">
        <v>0</v>
      </c>
      <c r="I331" t="n">
        <v>0</v>
      </c>
      <c r="J331" t="n">
        <v>0</v>
      </c>
      <c r="K331" t="n">
        <v>0</v>
      </c>
      <c r="L331" t="n">
        <v>0</v>
      </c>
      <c r="M331" t="n">
        <v>0</v>
      </c>
      <c r="N331" t="n">
        <v>0</v>
      </c>
      <c r="O331" t="n">
        <v>0</v>
      </c>
      <c r="P331" t="n">
        <v>0</v>
      </c>
      <c r="Q331" t="n">
        <v>0</v>
      </c>
      <c r="R331" s="2" t="inlineStr"/>
    </row>
    <row r="332" ht="15" customHeight="1">
      <c r="A332" t="inlineStr">
        <is>
          <t>A 53600-2022</t>
        </is>
      </c>
      <c r="B332" s="1" t="n">
        <v>44879</v>
      </c>
      <c r="C332" s="1" t="n">
        <v>46203</v>
      </c>
      <c r="D332" t="inlineStr">
        <is>
          <t>STOCKHOLMS LÄN</t>
        </is>
      </c>
      <c r="E332" t="inlineStr">
        <is>
          <t>NORRTÄLJE</t>
        </is>
      </c>
      <c r="G332" t="n">
        <v>4.3</v>
      </c>
      <c r="H332" t="n">
        <v>0</v>
      </c>
      <c r="I332" t="n">
        <v>0</v>
      </c>
      <c r="J332" t="n">
        <v>0</v>
      </c>
      <c r="K332" t="n">
        <v>0</v>
      </c>
      <c r="L332" t="n">
        <v>0</v>
      </c>
      <c r="M332" t="n">
        <v>0</v>
      </c>
      <c r="N332" t="n">
        <v>0</v>
      </c>
      <c r="O332" t="n">
        <v>0</v>
      </c>
      <c r="P332" t="n">
        <v>0</v>
      </c>
      <c r="Q332" t="n">
        <v>0</v>
      </c>
      <c r="R332" s="2" t="inlineStr"/>
    </row>
    <row r="333" ht="15" customHeight="1">
      <c r="A333" t="inlineStr">
        <is>
          <t>A 41587-2023</t>
        </is>
      </c>
      <c r="B333" s="1" t="n">
        <v>45175</v>
      </c>
      <c r="C333" s="1" t="n">
        <v>46203</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47498-2025</t>
        </is>
      </c>
      <c r="B334" s="1" t="n">
        <v>45930</v>
      </c>
      <c r="C334" s="1" t="n">
        <v>46203</v>
      </c>
      <c r="D334" t="inlineStr">
        <is>
          <t>STOCKHOLMS LÄN</t>
        </is>
      </c>
      <c r="E334" t="inlineStr">
        <is>
          <t>NORRTÄLJE</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42955-2022</t>
        </is>
      </c>
      <c r="B335" s="1" t="n">
        <v>44833</v>
      </c>
      <c r="C335" s="1" t="n">
        <v>46203</v>
      </c>
      <c r="D335" t="inlineStr">
        <is>
          <t>STOCKHOLMS LÄN</t>
        </is>
      </c>
      <c r="E335" t="inlineStr">
        <is>
          <t>NORRTÄLJE</t>
        </is>
      </c>
      <c r="G335" t="n">
        <v>13.1</v>
      </c>
      <c r="H335" t="n">
        <v>0</v>
      </c>
      <c r="I335" t="n">
        <v>0</v>
      </c>
      <c r="J335" t="n">
        <v>0</v>
      </c>
      <c r="K335" t="n">
        <v>0</v>
      </c>
      <c r="L335" t="n">
        <v>0</v>
      </c>
      <c r="M335" t="n">
        <v>0</v>
      </c>
      <c r="N335" t="n">
        <v>0</v>
      </c>
      <c r="O335" t="n">
        <v>0</v>
      </c>
      <c r="P335" t="n">
        <v>0</v>
      </c>
      <c r="Q335" t="n">
        <v>0</v>
      </c>
      <c r="R335" s="2" t="inlineStr"/>
    </row>
    <row r="336" ht="15" customHeight="1">
      <c r="A336" t="inlineStr">
        <is>
          <t>A 47496-2025</t>
        </is>
      </c>
      <c r="B336" s="1" t="n">
        <v>45930</v>
      </c>
      <c r="C336" s="1" t="n">
        <v>46203</v>
      </c>
      <c r="D336" t="inlineStr">
        <is>
          <t>STOCKHOLMS LÄN</t>
        </is>
      </c>
      <c r="E336" t="inlineStr">
        <is>
          <t>NORRTÄLJE</t>
        </is>
      </c>
      <c r="F336" t="inlineStr">
        <is>
          <t>Holmen skog AB</t>
        </is>
      </c>
      <c r="G336" t="n">
        <v>0.9</v>
      </c>
      <c r="H336" t="n">
        <v>0</v>
      </c>
      <c r="I336" t="n">
        <v>0</v>
      </c>
      <c r="J336" t="n">
        <v>0</v>
      </c>
      <c r="K336" t="n">
        <v>0</v>
      </c>
      <c r="L336" t="n">
        <v>0</v>
      </c>
      <c r="M336" t="n">
        <v>0</v>
      </c>
      <c r="N336" t="n">
        <v>0</v>
      </c>
      <c r="O336" t="n">
        <v>0</v>
      </c>
      <c r="P336" t="n">
        <v>0</v>
      </c>
      <c r="Q336" t="n">
        <v>0</v>
      </c>
      <c r="R336" s="2" t="inlineStr"/>
    </row>
    <row r="337" ht="15" customHeight="1">
      <c r="A337" t="inlineStr">
        <is>
          <t>A 47497-2025</t>
        </is>
      </c>
      <c r="B337" s="1" t="n">
        <v>45930</v>
      </c>
      <c r="C337" s="1" t="n">
        <v>46203</v>
      </c>
      <c r="D337" t="inlineStr">
        <is>
          <t>STOCKHOLMS LÄN</t>
        </is>
      </c>
      <c r="E337" t="inlineStr">
        <is>
          <t>NORRTÄLJE</t>
        </is>
      </c>
      <c r="F337" t="inlineStr">
        <is>
          <t>Holmen skog AB</t>
        </is>
      </c>
      <c r="G337" t="n">
        <v>1</v>
      </c>
      <c r="H337" t="n">
        <v>0</v>
      </c>
      <c r="I337" t="n">
        <v>0</v>
      </c>
      <c r="J337" t="n">
        <v>0</v>
      </c>
      <c r="K337" t="n">
        <v>0</v>
      </c>
      <c r="L337" t="n">
        <v>0</v>
      </c>
      <c r="M337" t="n">
        <v>0</v>
      </c>
      <c r="N337" t="n">
        <v>0</v>
      </c>
      <c r="O337" t="n">
        <v>0</v>
      </c>
      <c r="P337" t="n">
        <v>0</v>
      </c>
      <c r="Q337" t="n">
        <v>0</v>
      </c>
      <c r="R337" s="2" t="inlineStr"/>
    </row>
    <row r="338" ht="15" customHeight="1">
      <c r="A338" t="inlineStr">
        <is>
          <t>A 60529-2023</t>
        </is>
      </c>
      <c r="B338" s="1" t="n">
        <v>45259</v>
      </c>
      <c r="C338" s="1" t="n">
        <v>46203</v>
      </c>
      <c r="D338" t="inlineStr">
        <is>
          <t>STOCKHOLMS LÄN</t>
        </is>
      </c>
      <c r="E338" t="inlineStr">
        <is>
          <t>NORRTÄLJE</t>
        </is>
      </c>
      <c r="G338" t="n">
        <v>2.6</v>
      </c>
      <c r="H338" t="n">
        <v>0</v>
      </c>
      <c r="I338" t="n">
        <v>0</v>
      </c>
      <c r="J338" t="n">
        <v>0</v>
      </c>
      <c r="K338" t="n">
        <v>0</v>
      </c>
      <c r="L338" t="n">
        <v>0</v>
      </c>
      <c r="M338" t="n">
        <v>0</v>
      </c>
      <c r="N338" t="n">
        <v>0</v>
      </c>
      <c r="O338" t="n">
        <v>0</v>
      </c>
      <c r="P338" t="n">
        <v>0</v>
      </c>
      <c r="Q338" t="n">
        <v>0</v>
      </c>
      <c r="R338" s="2" t="inlineStr"/>
    </row>
    <row r="339" ht="15" customHeight="1">
      <c r="A339" t="inlineStr">
        <is>
          <t>A 48718-2025</t>
        </is>
      </c>
      <c r="B339" s="1" t="n">
        <v>45936</v>
      </c>
      <c r="C339" s="1" t="n">
        <v>46203</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59326-2023</t>
        </is>
      </c>
      <c r="B340" s="1" t="n">
        <v>45253</v>
      </c>
      <c r="C340" s="1" t="n">
        <v>46203</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48443-2025</t>
        </is>
      </c>
      <c r="B341" s="1" t="n">
        <v>45935</v>
      </c>
      <c r="C341" s="1" t="n">
        <v>46203</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48364-2025</t>
        </is>
      </c>
      <c r="B342" s="1" t="n">
        <v>45933</v>
      </c>
      <c r="C342" s="1" t="n">
        <v>46203</v>
      </c>
      <c r="D342" t="inlineStr">
        <is>
          <t>STOCKHOLMS LÄN</t>
        </is>
      </c>
      <c r="E342" t="inlineStr">
        <is>
          <t>NORRTÄLJE</t>
        </is>
      </c>
      <c r="G342" t="n">
        <v>0.7</v>
      </c>
      <c r="H342" t="n">
        <v>0</v>
      </c>
      <c r="I342" t="n">
        <v>0</v>
      </c>
      <c r="J342" t="n">
        <v>0</v>
      </c>
      <c r="K342" t="n">
        <v>0</v>
      </c>
      <c r="L342" t="n">
        <v>0</v>
      </c>
      <c r="M342" t="n">
        <v>0</v>
      </c>
      <c r="N342" t="n">
        <v>0</v>
      </c>
      <c r="O342" t="n">
        <v>0</v>
      </c>
      <c r="P342" t="n">
        <v>0</v>
      </c>
      <c r="Q342" t="n">
        <v>0</v>
      </c>
      <c r="R342" s="2" t="inlineStr"/>
    </row>
    <row r="343" ht="15" customHeight="1">
      <c r="A343" t="inlineStr">
        <is>
          <t>A 3152-2024</t>
        </is>
      </c>
      <c r="B343" s="1" t="n">
        <v>45316</v>
      </c>
      <c r="C343" s="1" t="n">
        <v>46203</v>
      </c>
      <c r="D343" t="inlineStr">
        <is>
          <t>STOCKHOLMS LÄN</t>
        </is>
      </c>
      <c r="E343" t="inlineStr">
        <is>
          <t>NORRTÄLJE</t>
        </is>
      </c>
      <c r="G343" t="n">
        <v>7.9</v>
      </c>
      <c r="H343" t="n">
        <v>0</v>
      </c>
      <c r="I343" t="n">
        <v>0</v>
      </c>
      <c r="J343" t="n">
        <v>0</v>
      </c>
      <c r="K343" t="n">
        <v>0</v>
      </c>
      <c r="L343" t="n">
        <v>0</v>
      </c>
      <c r="M343" t="n">
        <v>0</v>
      </c>
      <c r="N343" t="n">
        <v>0</v>
      </c>
      <c r="O343" t="n">
        <v>0</v>
      </c>
      <c r="P343" t="n">
        <v>0</v>
      </c>
      <c r="Q343" t="n">
        <v>0</v>
      </c>
      <c r="R343" s="2" t="inlineStr"/>
    </row>
    <row r="344" ht="15" customHeight="1">
      <c r="A344" t="inlineStr">
        <is>
          <t>A 44836-2023</t>
        </is>
      </c>
      <c r="B344" s="1" t="n">
        <v>45190</v>
      </c>
      <c r="C344" s="1" t="n">
        <v>46203</v>
      </c>
      <c r="D344" t="inlineStr">
        <is>
          <t>STOCKHOLMS LÄN</t>
        </is>
      </c>
      <c r="E344" t="inlineStr">
        <is>
          <t>NORRTÄLJE</t>
        </is>
      </c>
      <c r="G344" t="n">
        <v>2.3</v>
      </c>
      <c r="H344" t="n">
        <v>0</v>
      </c>
      <c r="I344" t="n">
        <v>0</v>
      </c>
      <c r="J344" t="n">
        <v>0</v>
      </c>
      <c r="K344" t="n">
        <v>0</v>
      </c>
      <c r="L344" t="n">
        <v>0</v>
      </c>
      <c r="M344" t="n">
        <v>0</v>
      </c>
      <c r="N344" t="n">
        <v>0</v>
      </c>
      <c r="O344" t="n">
        <v>0</v>
      </c>
      <c r="P344" t="n">
        <v>0</v>
      </c>
      <c r="Q344" t="n">
        <v>0</v>
      </c>
      <c r="R344" s="2" t="inlineStr"/>
    </row>
    <row r="345" ht="15" customHeight="1">
      <c r="A345" t="inlineStr">
        <is>
          <t>A 48174-2025</t>
        </is>
      </c>
      <c r="B345" s="1" t="n">
        <v>45933</v>
      </c>
      <c r="C345" s="1" t="n">
        <v>46203</v>
      </c>
      <c r="D345" t="inlineStr">
        <is>
          <t>STOCKHOLMS LÄN</t>
        </is>
      </c>
      <c r="E345" t="inlineStr">
        <is>
          <t>NORRTÄLJE</t>
        </is>
      </c>
      <c r="G345" t="n">
        <v>2.6</v>
      </c>
      <c r="H345" t="n">
        <v>0</v>
      </c>
      <c r="I345" t="n">
        <v>0</v>
      </c>
      <c r="J345" t="n">
        <v>0</v>
      </c>
      <c r="K345" t="n">
        <v>0</v>
      </c>
      <c r="L345" t="n">
        <v>0</v>
      </c>
      <c r="M345" t="n">
        <v>0</v>
      </c>
      <c r="N345" t="n">
        <v>0</v>
      </c>
      <c r="O345" t="n">
        <v>0</v>
      </c>
      <c r="P345" t="n">
        <v>0</v>
      </c>
      <c r="Q345" t="n">
        <v>0</v>
      </c>
      <c r="R345" s="2" t="inlineStr"/>
    </row>
    <row r="346" ht="15" customHeight="1">
      <c r="A346" t="inlineStr">
        <is>
          <t>A 49129-2025</t>
        </is>
      </c>
      <c r="B346" s="1" t="n">
        <v>45937</v>
      </c>
      <c r="C346" s="1" t="n">
        <v>46203</v>
      </c>
      <c r="D346" t="inlineStr">
        <is>
          <t>STOCKHOLMS LÄN</t>
        </is>
      </c>
      <c r="E346" t="inlineStr">
        <is>
          <t>NORRTÄLJE</t>
        </is>
      </c>
      <c r="G346" t="n">
        <v>0.5</v>
      </c>
      <c r="H346" t="n">
        <v>0</v>
      </c>
      <c r="I346" t="n">
        <v>0</v>
      </c>
      <c r="J346" t="n">
        <v>0</v>
      </c>
      <c r="K346" t="n">
        <v>0</v>
      </c>
      <c r="L346" t="n">
        <v>0</v>
      </c>
      <c r="M346" t="n">
        <v>0</v>
      </c>
      <c r="N346" t="n">
        <v>0</v>
      </c>
      <c r="O346" t="n">
        <v>0</v>
      </c>
      <c r="P346" t="n">
        <v>0</v>
      </c>
      <c r="Q346" t="n">
        <v>0</v>
      </c>
      <c r="R346" s="2" t="inlineStr"/>
    </row>
    <row r="347" ht="15" customHeight="1">
      <c r="A347" t="inlineStr">
        <is>
          <t>A 48780-2025</t>
        </is>
      </c>
      <c r="B347" s="1" t="n">
        <v>45937</v>
      </c>
      <c r="C347" s="1" t="n">
        <v>46203</v>
      </c>
      <c r="D347" t="inlineStr">
        <is>
          <t>STOCKHOLMS LÄN</t>
        </is>
      </c>
      <c r="E347" t="inlineStr">
        <is>
          <t>NORRTÄLJE</t>
        </is>
      </c>
      <c r="G347" t="n">
        <v>7.7</v>
      </c>
      <c r="H347" t="n">
        <v>0</v>
      </c>
      <c r="I347" t="n">
        <v>0</v>
      </c>
      <c r="J347" t="n">
        <v>0</v>
      </c>
      <c r="K347" t="n">
        <v>0</v>
      </c>
      <c r="L347" t="n">
        <v>0</v>
      </c>
      <c r="M347" t="n">
        <v>0</v>
      </c>
      <c r="N347" t="n">
        <v>0</v>
      </c>
      <c r="O347" t="n">
        <v>0</v>
      </c>
      <c r="P347" t="n">
        <v>0</v>
      </c>
      <c r="Q347" t="n">
        <v>0</v>
      </c>
      <c r="R347" s="2" t="inlineStr"/>
    </row>
    <row r="348" ht="15" customHeight="1">
      <c r="A348" t="inlineStr">
        <is>
          <t>A 65499-2021</t>
        </is>
      </c>
      <c r="B348" s="1" t="n">
        <v>44516</v>
      </c>
      <c r="C348" s="1" t="n">
        <v>46203</v>
      </c>
      <c r="D348" t="inlineStr">
        <is>
          <t>STOCKHOLMS LÄN</t>
        </is>
      </c>
      <c r="E348" t="inlineStr">
        <is>
          <t>NORRTÄLJE</t>
        </is>
      </c>
      <c r="F348" t="inlineStr">
        <is>
          <t>Kommuner</t>
        </is>
      </c>
      <c r="G348" t="n">
        <v>5.2</v>
      </c>
      <c r="H348" t="n">
        <v>0</v>
      </c>
      <c r="I348" t="n">
        <v>0</v>
      </c>
      <c r="J348" t="n">
        <v>0</v>
      </c>
      <c r="K348" t="n">
        <v>0</v>
      </c>
      <c r="L348" t="n">
        <v>0</v>
      </c>
      <c r="M348" t="n">
        <v>0</v>
      </c>
      <c r="N348" t="n">
        <v>0</v>
      </c>
      <c r="O348" t="n">
        <v>0</v>
      </c>
      <c r="P348" t="n">
        <v>0</v>
      </c>
      <c r="Q348" t="n">
        <v>0</v>
      </c>
      <c r="R348" s="2" t="inlineStr"/>
    </row>
    <row r="349" ht="15" customHeight="1">
      <c r="A349" t="inlineStr">
        <is>
          <t>A 21771-2025</t>
        </is>
      </c>
      <c r="B349" s="1" t="n">
        <v>45783</v>
      </c>
      <c r="C349" s="1" t="n">
        <v>46203</v>
      </c>
      <c r="D349" t="inlineStr">
        <is>
          <t>STOCKHOLMS LÄN</t>
        </is>
      </c>
      <c r="E349" t="inlineStr">
        <is>
          <t>NORRTÄLJE</t>
        </is>
      </c>
      <c r="G349" t="n">
        <v>0.7</v>
      </c>
      <c r="H349" t="n">
        <v>0</v>
      </c>
      <c r="I349" t="n">
        <v>0</v>
      </c>
      <c r="J349" t="n">
        <v>0</v>
      </c>
      <c r="K349" t="n">
        <v>0</v>
      </c>
      <c r="L349" t="n">
        <v>0</v>
      </c>
      <c r="M349" t="n">
        <v>0</v>
      </c>
      <c r="N349" t="n">
        <v>0</v>
      </c>
      <c r="O349" t="n">
        <v>0</v>
      </c>
      <c r="P349" t="n">
        <v>0</v>
      </c>
      <c r="Q349" t="n">
        <v>0</v>
      </c>
      <c r="R349" s="2" t="inlineStr"/>
    </row>
    <row r="350" ht="15" customHeight="1">
      <c r="A350" t="inlineStr">
        <is>
          <t>A 21778-2025</t>
        </is>
      </c>
      <c r="B350" s="1" t="n">
        <v>45783</v>
      </c>
      <c r="C350" s="1" t="n">
        <v>46203</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12902-2024</t>
        </is>
      </c>
      <c r="B351" s="1" t="n">
        <v>45385</v>
      </c>
      <c r="C351" s="1" t="n">
        <v>46203</v>
      </c>
      <c r="D351" t="inlineStr">
        <is>
          <t>STOCKHOLMS LÄN</t>
        </is>
      </c>
      <c r="E351" t="inlineStr">
        <is>
          <t>NORRTÄLJE</t>
        </is>
      </c>
      <c r="G351" t="n">
        <v>3.7</v>
      </c>
      <c r="H351" t="n">
        <v>0</v>
      </c>
      <c r="I351" t="n">
        <v>0</v>
      </c>
      <c r="J351" t="n">
        <v>0</v>
      </c>
      <c r="K351" t="n">
        <v>0</v>
      </c>
      <c r="L351" t="n">
        <v>0</v>
      </c>
      <c r="M351" t="n">
        <v>0</v>
      </c>
      <c r="N351" t="n">
        <v>0</v>
      </c>
      <c r="O351" t="n">
        <v>0</v>
      </c>
      <c r="P351" t="n">
        <v>0</v>
      </c>
      <c r="Q351" t="n">
        <v>0</v>
      </c>
      <c r="R351" s="2" t="inlineStr"/>
    </row>
    <row r="352" ht="15" customHeight="1">
      <c r="A352" t="inlineStr">
        <is>
          <t>A 39237-2024</t>
        </is>
      </c>
      <c r="B352" s="1" t="n">
        <v>45549</v>
      </c>
      <c r="C352" s="1" t="n">
        <v>46203</v>
      </c>
      <c r="D352" t="inlineStr">
        <is>
          <t>STOCKHOLMS LÄN</t>
        </is>
      </c>
      <c r="E352" t="inlineStr">
        <is>
          <t>NORRTÄLJE</t>
        </is>
      </c>
      <c r="G352" t="n">
        <v>13.3</v>
      </c>
      <c r="H352" t="n">
        <v>0</v>
      </c>
      <c r="I352" t="n">
        <v>0</v>
      </c>
      <c r="J352" t="n">
        <v>0</v>
      </c>
      <c r="K352" t="n">
        <v>0</v>
      </c>
      <c r="L352" t="n">
        <v>0</v>
      </c>
      <c r="M352" t="n">
        <v>0</v>
      </c>
      <c r="N352" t="n">
        <v>0</v>
      </c>
      <c r="O352" t="n">
        <v>0</v>
      </c>
      <c r="P352" t="n">
        <v>0</v>
      </c>
      <c r="Q352" t="n">
        <v>0</v>
      </c>
      <c r="R352" s="2" t="inlineStr"/>
    </row>
    <row r="353" ht="15" customHeight="1">
      <c r="A353" t="inlineStr">
        <is>
          <t>A 44891-2023</t>
        </is>
      </c>
      <c r="B353" s="1" t="n">
        <v>45187</v>
      </c>
      <c r="C353" s="1" t="n">
        <v>46203</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13268-2025</t>
        </is>
      </c>
      <c r="B354" s="1" t="n">
        <v>45735</v>
      </c>
      <c r="C354" s="1" t="n">
        <v>46203</v>
      </c>
      <c r="D354" t="inlineStr">
        <is>
          <t>STOCKHOLMS LÄN</t>
        </is>
      </c>
      <c r="E354" t="inlineStr">
        <is>
          <t>NORRTÄLJE</t>
        </is>
      </c>
      <c r="G354" t="n">
        <v>11.4</v>
      </c>
      <c r="H354" t="n">
        <v>0</v>
      </c>
      <c r="I354" t="n">
        <v>0</v>
      </c>
      <c r="J354" t="n">
        <v>0</v>
      </c>
      <c r="K354" t="n">
        <v>0</v>
      </c>
      <c r="L354" t="n">
        <v>0</v>
      </c>
      <c r="M354" t="n">
        <v>0</v>
      </c>
      <c r="N354" t="n">
        <v>0</v>
      </c>
      <c r="O354" t="n">
        <v>0</v>
      </c>
      <c r="P354" t="n">
        <v>0</v>
      </c>
      <c r="Q354" t="n">
        <v>0</v>
      </c>
      <c r="R354" s="2" t="inlineStr"/>
    </row>
    <row r="355" ht="15" customHeight="1">
      <c r="A355" t="inlineStr">
        <is>
          <t>A 8414-2025</t>
        </is>
      </c>
      <c r="B355" s="1" t="n">
        <v>45709</v>
      </c>
      <c r="C355" s="1" t="n">
        <v>46203</v>
      </c>
      <c r="D355" t="inlineStr">
        <is>
          <t>STOCKHOLMS LÄN</t>
        </is>
      </c>
      <c r="E355" t="inlineStr">
        <is>
          <t>NORRTÄLJE</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44032-2024</t>
        </is>
      </c>
      <c r="B356" s="1" t="n">
        <v>45572</v>
      </c>
      <c r="C356" s="1" t="n">
        <v>46203</v>
      </c>
      <c r="D356" t="inlineStr">
        <is>
          <t>STOCKHOLMS LÄN</t>
        </is>
      </c>
      <c r="E356" t="inlineStr">
        <is>
          <t>NORRTÄLJE</t>
        </is>
      </c>
      <c r="G356" t="n">
        <v>8.6</v>
      </c>
      <c r="H356" t="n">
        <v>0</v>
      </c>
      <c r="I356" t="n">
        <v>0</v>
      </c>
      <c r="J356" t="n">
        <v>0</v>
      </c>
      <c r="K356" t="n">
        <v>0</v>
      </c>
      <c r="L356" t="n">
        <v>0</v>
      </c>
      <c r="M356" t="n">
        <v>0</v>
      </c>
      <c r="N356" t="n">
        <v>0</v>
      </c>
      <c r="O356" t="n">
        <v>0</v>
      </c>
      <c r="P356" t="n">
        <v>0</v>
      </c>
      <c r="Q356" t="n">
        <v>0</v>
      </c>
      <c r="R356" s="2" t="inlineStr"/>
    </row>
    <row r="357" ht="15" customHeight="1">
      <c r="A357" t="inlineStr">
        <is>
          <t>A 50327-2025</t>
        </is>
      </c>
      <c r="B357" s="1" t="n">
        <v>45944</v>
      </c>
      <c r="C357" s="1" t="n">
        <v>46203</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38720-2025</t>
        </is>
      </c>
      <c r="B358" s="1" t="n">
        <v>45886</v>
      </c>
      <c r="C358" s="1" t="n">
        <v>46203</v>
      </c>
      <c r="D358" t="inlineStr">
        <is>
          <t>STOCKHOLMS LÄN</t>
        </is>
      </c>
      <c r="E358" t="inlineStr">
        <is>
          <t>NORRTÄLJE</t>
        </is>
      </c>
      <c r="G358" t="n">
        <v>1.6</v>
      </c>
      <c r="H358" t="n">
        <v>0</v>
      </c>
      <c r="I358" t="n">
        <v>0</v>
      </c>
      <c r="J358" t="n">
        <v>0</v>
      </c>
      <c r="K358" t="n">
        <v>0</v>
      </c>
      <c r="L358" t="n">
        <v>0</v>
      </c>
      <c r="M358" t="n">
        <v>0</v>
      </c>
      <c r="N358" t="n">
        <v>0</v>
      </c>
      <c r="O358" t="n">
        <v>0</v>
      </c>
      <c r="P358" t="n">
        <v>0</v>
      </c>
      <c r="Q358" t="n">
        <v>0</v>
      </c>
      <c r="R358" s="2" t="inlineStr"/>
    </row>
    <row r="359" ht="15" customHeight="1">
      <c r="A359" t="inlineStr">
        <is>
          <t>A 36625-2024</t>
        </is>
      </c>
      <c r="B359" s="1" t="n">
        <v>45537</v>
      </c>
      <c r="C359" s="1" t="n">
        <v>46203</v>
      </c>
      <c r="D359" t="inlineStr">
        <is>
          <t>STOCKHOLMS LÄN</t>
        </is>
      </c>
      <c r="E359" t="inlineStr">
        <is>
          <t>NORRTÄLJE</t>
        </is>
      </c>
      <c r="G359" t="n">
        <v>3.8</v>
      </c>
      <c r="H359" t="n">
        <v>0</v>
      </c>
      <c r="I359" t="n">
        <v>0</v>
      </c>
      <c r="J359" t="n">
        <v>0</v>
      </c>
      <c r="K359" t="n">
        <v>0</v>
      </c>
      <c r="L359" t="n">
        <v>0</v>
      </c>
      <c r="M359" t="n">
        <v>0</v>
      </c>
      <c r="N359" t="n">
        <v>0</v>
      </c>
      <c r="O359" t="n">
        <v>0</v>
      </c>
      <c r="P359" t="n">
        <v>0</v>
      </c>
      <c r="Q359" t="n">
        <v>0</v>
      </c>
      <c r="R359" s="2" t="inlineStr"/>
    </row>
    <row r="360" ht="15" customHeight="1">
      <c r="A360" t="inlineStr">
        <is>
          <t>A 5158-2024</t>
        </is>
      </c>
      <c r="B360" s="1" t="n">
        <v>45330</v>
      </c>
      <c r="C360" s="1" t="n">
        <v>46203</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45746-2024</t>
        </is>
      </c>
      <c r="B361" s="1" t="n">
        <v>45579</v>
      </c>
      <c r="C361" s="1" t="n">
        <v>46203</v>
      </c>
      <c r="D361" t="inlineStr">
        <is>
          <t>STOCKHOLMS LÄN</t>
        </is>
      </c>
      <c r="E361" t="inlineStr">
        <is>
          <t>NORRTÄLJE</t>
        </is>
      </c>
      <c r="G361" t="n">
        <v>3.3</v>
      </c>
      <c r="H361" t="n">
        <v>0</v>
      </c>
      <c r="I361" t="n">
        <v>0</v>
      </c>
      <c r="J361" t="n">
        <v>0</v>
      </c>
      <c r="K361" t="n">
        <v>0</v>
      </c>
      <c r="L361" t="n">
        <v>0</v>
      </c>
      <c r="M361" t="n">
        <v>0</v>
      </c>
      <c r="N361" t="n">
        <v>0</v>
      </c>
      <c r="O361" t="n">
        <v>0</v>
      </c>
      <c r="P361" t="n">
        <v>0</v>
      </c>
      <c r="Q361" t="n">
        <v>0</v>
      </c>
      <c r="R361" s="2" t="inlineStr"/>
    </row>
    <row r="362" ht="15" customHeight="1">
      <c r="A362" t="inlineStr">
        <is>
          <t>A 39152-2025</t>
        </is>
      </c>
      <c r="B362" s="1" t="n">
        <v>45888</v>
      </c>
      <c r="C362" s="1" t="n">
        <v>46203</v>
      </c>
      <c r="D362" t="inlineStr">
        <is>
          <t>STOCKHOLMS LÄN</t>
        </is>
      </c>
      <c r="E362" t="inlineStr">
        <is>
          <t>NORRTÄLJE</t>
        </is>
      </c>
      <c r="G362" t="n">
        <v>4.6</v>
      </c>
      <c r="H362" t="n">
        <v>0</v>
      </c>
      <c r="I362" t="n">
        <v>0</v>
      </c>
      <c r="J362" t="n">
        <v>0</v>
      </c>
      <c r="K362" t="n">
        <v>0</v>
      </c>
      <c r="L362" t="n">
        <v>0</v>
      </c>
      <c r="M362" t="n">
        <v>0</v>
      </c>
      <c r="N362" t="n">
        <v>0</v>
      </c>
      <c r="O362" t="n">
        <v>0</v>
      </c>
      <c r="P362" t="n">
        <v>0</v>
      </c>
      <c r="Q362" t="n">
        <v>0</v>
      </c>
      <c r="R362" s="2" t="inlineStr"/>
    </row>
    <row r="363" ht="15" customHeight="1">
      <c r="A363" t="inlineStr">
        <is>
          <t>A 8400-2024</t>
        </is>
      </c>
      <c r="B363" s="1" t="n">
        <v>45352</v>
      </c>
      <c r="C363" s="1" t="n">
        <v>46203</v>
      </c>
      <c r="D363" t="inlineStr">
        <is>
          <t>STOCKHOLMS LÄN</t>
        </is>
      </c>
      <c r="E363" t="inlineStr">
        <is>
          <t>NORRTÄLJE</t>
        </is>
      </c>
      <c r="G363" t="n">
        <v>4.7</v>
      </c>
      <c r="H363" t="n">
        <v>0</v>
      </c>
      <c r="I363" t="n">
        <v>0</v>
      </c>
      <c r="J363" t="n">
        <v>0</v>
      </c>
      <c r="K363" t="n">
        <v>0</v>
      </c>
      <c r="L363" t="n">
        <v>0</v>
      </c>
      <c r="M363" t="n">
        <v>0</v>
      </c>
      <c r="N363" t="n">
        <v>0</v>
      </c>
      <c r="O363" t="n">
        <v>0</v>
      </c>
      <c r="P363" t="n">
        <v>0</v>
      </c>
      <c r="Q363" t="n">
        <v>0</v>
      </c>
      <c r="R363" s="2" t="inlineStr"/>
    </row>
    <row r="364" ht="15" customHeight="1">
      <c r="A364" t="inlineStr">
        <is>
          <t>A 2182-2022</t>
        </is>
      </c>
      <c r="B364" s="1" t="n">
        <v>44578</v>
      </c>
      <c r="C364" s="1" t="n">
        <v>46203</v>
      </c>
      <c r="D364" t="inlineStr">
        <is>
          <t>STOCKHOLMS LÄN</t>
        </is>
      </c>
      <c r="E364" t="inlineStr">
        <is>
          <t>NORRTÄLJE</t>
        </is>
      </c>
      <c r="G364" t="n">
        <v>7.2</v>
      </c>
      <c r="H364" t="n">
        <v>0</v>
      </c>
      <c r="I364" t="n">
        <v>0</v>
      </c>
      <c r="J364" t="n">
        <v>0</v>
      </c>
      <c r="K364" t="n">
        <v>0</v>
      </c>
      <c r="L364" t="n">
        <v>0</v>
      </c>
      <c r="M364" t="n">
        <v>0</v>
      </c>
      <c r="N364" t="n">
        <v>0</v>
      </c>
      <c r="O364" t="n">
        <v>0</v>
      </c>
      <c r="P364" t="n">
        <v>0</v>
      </c>
      <c r="Q364" t="n">
        <v>0</v>
      </c>
      <c r="R364" s="2" t="inlineStr"/>
    </row>
    <row r="365" ht="15" customHeight="1">
      <c r="A365" t="inlineStr">
        <is>
          <t>A 51046-2023</t>
        </is>
      </c>
      <c r="B365" s="1" t="n">
        <v>45218</v>
      </c>
      <c r="C365" s="1" t="n">
        <v>46203</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16620-2024</t>
        </is>
      </c>
      <c r="B366" s="1" t="n">
        <v>45408</v>
      </c>
      <c r="C366" s="1" t="n">
        <v>46203</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39692-2025</t>
        </is>
      </c>
      <c r="B367" s="1" t="n">
        <v>45890</v>
      </c>
      <c r="C367" s="1" t="n">
        <v>46203</v>
      </c>
      <c r="D367" t="inlineStr">
        <is>
          <t>STOCKHOLMS LÄN</t>
        </is>
      </c>
      <c r="E367" t="inlineStr">
        <is>
          <t>NORRTÄLJE</t>
        </is>
      </c>
      <c r="G367" t="n">
        <v>10.5</v>
      </c>
      <c r="H367" t="n">
        <v>0</v>
      </c>
      <c r="I367" t="n">
        <v>0</v>
      </c>
      <c r="J367" t="n">
        <v>0</v>
      </c>
      <c r="K367" t="n">
        <v>0</v>
      </c>
      <c r="L367" t="n">
        <v>0</v>
      </c>
      <c r="M367" t="n">
        <v>0</v>
      </c>
      <c r="N367" t="n">
        <v>0</v>
      </c>
      <c r="O367" t="n">
        <v>0</v>
      </c>
      <c r="P367" t="n">
        <v>0</v>
      </c>
      <c r="Q367" t="n">
        <v>0</v>
      </c>
      <c r="R367" s="2" t="inlineStr"/>
    </row>
    <row r="368" ht="15" customHeight="1">
      <c r="A368" t="inlineStr">
        <is>
          <t>A 8736-2024</t>
        </is>
      </c>
      <c r="B368" s="1" t="n">
        <v>45356</v>
      </c>
      <c r="C368" s="1" t="n">
        <v>46203</v>
      </c>
      <c r="D368" t="inlineStr">
        <is>
          <t>STOCKHOLMS LÄN</t>
        </is>
      </c>
      <c r="E368" t="inlineStr">
        <is>
          <t>NORRTÄLJE</t>
        </is>
      </c>
      <c r="G368" t="n">
        <v>8.9</v>
      </c>
      <c r="H368" t="n">
        <v>0</v>
      </c>
      <c r="I368" t="n">
        <v>0</v>
      </c>
      <c r="J368" t="n">
        <v>0</v>
      </c>
      <c r="K368" t="n">
        <v>0</v>
      </c>
      <c r="L368" t="n">
        <v>0</v>
      </c>
      <c r="M368" t="n">
        <v>0</v>
      </c>
      <c r="N368" t="n">
        <v>0</v>
      </c>
      <c r="O368" t="n">
        <v>0</v>
      </c>
      <c r="P368" t="n">
        <v>0</v>
      </c>
      <c r="Q368" t="n">
        <v>0</v>
      </c>
      <c r="R368" s="2" t="inlineStr"/>
    </row>
    <row r="369" ht="15" customHeight="1">
      <c r="A369" t="inlineStr">
        <is>
          <t>A 27677-2025</t>
        </is>
      </c>
      <c r="B369" s="1" t="n">
        <v>45813</v>
      </c>
      <c r="C369" s="1" t="n">
        <v>46203</v>
      </c>
      <c r="D369" t="inlineStr">
        <is>
          <t>STOCKHOLMS LÄN</t>
        </is>
      </c>
      <c r="E369" t="inlineStr">
        <is>
          <t>NORRTÄLJE</t>
        </is>
      </c>
      <c r="G369" t="n">
        <v>2</v>
      </c>
      <c r="H369" t="n">
        <v>0</v>
      </c>
      <c r="I369" t="n">
        <v>0</v>
      </c>
      <c r="J369" t="n">
        <v>0</v>
      </c>
      <c r="K369" t="n">
        <v>0</v>
      </c>
      <c r="L369" t="n">
        <v>0</v>
      </c>
      <c r="M369" t="n">
        <v>0</v>
      </c>
      <c r="N369" t="n">
        <v>0</v>
      </c>
      <c r="O369" t="n">
        <v>0</v>
      </c>
      <c r="P369" t="n">
        <v>0</v>
      </c>
      <c r="Q369" t="n">
        <v>0</v>
      </c>
      <c r="R369" s="2" t="inlineStr"/>
    </row>
    <row r="370" ht="15" customHeight="1">
      <c r="A370" t="inlineStr">
        <is>
          <t>A 51240-2025</t>
        </is>
      </c>
      <c r="B370" s="1" t="n">
        <v>45947</v>
      </c>
      <c r="C370" s="1" t="n">
        <v>46203</v>
      </c>
      <c r="D370" t="inlineStr">
        <is>
          <t>STOCKHOLMS LÄN</t>
        </is>
      </c>
      <c r="E370" t="inlineStr">
        <is>
          <t>NORRTÄLJE</t>
        </is>
      </c>
      <c r="F370" t="inlineStr">
        <is>
          <t>Naturvårdsverket</t>
        </is>
      </c>
      <c r="G370" t="n">
        <v>3</v>
      </c>
      <c r="H370" t="n">
        <v>0</v>
      </c>
      <c r="I370" t="n">
        <v>0</v>
      </c>
      <c r="J370" t="n">
        <v>0</v>
      </c>
      <c r="K370" t="n">
        <v>0</v>
      </c>
      <c r="L370" t="n">
        <v>0</v>
      </c>
      <c r="M370" t="n">
        <v>0</v>
      </c>
      <c r="N370" t="n">
        <v>0</v>
      </c>
      <c r="O370" t="n">
        <v>0</v>
      </c>
      <c r="P370" t="n">
        <v>0</v>
      </c>
      <c r="Q370" t="n">
        <v>0</v>
      </c>
      <c r="R370" s="2" t="inlineStr"/>
    </row>
    <row r="371" ht="15" customHeight="1">
      <c r="A371" t="inlineStr">
        <is>
          <t>A 58785-2024</t>
        </is>
      </c>
      <c r="B371" s="1" t="n">
        <v>45635</v>
      </c>
      <c r="C371" s="1" t="n">
        <v>46203</v>
      </c>
      <c r="D371" t="inlineStr">
        <is>
          <t>STOCKHOLMS LÄN</t>
        </is>
      </c>
      <c r="E371" t="inlineStr">
        <is>
          <t>NORRTÄLJE</t>
        </is>
      </c>
      <c r="G371" t="n">
        <v>3.3</v>
      </c>
      <c r="H371" t="n">
        <v>0</v>
      </c>
      <c r="I371" t="n">
        <v>0</v>
      </c>
      <c r="J371" t="n">
        <v>0</v>
      </c>
      <c r="K371" t="n">
        <v>0</v>
      </c>
      <c r="L371" t="n">
        <v>0</v>
      </c>
      <c r="M371" t="n">
        <v>0</v>
      </c>
      <c r="N371" t="n">
        <v>0</v>
      </c>
      <c r="O371" t="n">
        <v>0</v>
      </c>
      <c r="P371" t="n">
        <v>0</v>
      </c>
      <c r="Q371" t="n">
        <v>0</v>
      </c>
      <c r="R371" s="2" t="inlineStr"/>
    </row>
    <row r="372" ht="15" customHeight="1">
      <c r="A372" t="inlineStr">
        <is>
          <t>A 40230-2025</t>
        </is>
      </c>
      <c r="B372" s="1" t="n">
        <v>45894</v>
      </c>
      <c r="C372" s="1" t="n">
        <v>46203</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40228-2025</t>
        </is>
      </c>
      <c r="B373" s="1" t="n">
        <v>45894</v>
      </c>
      <c r="C373" s="1" t="n">
        <v>46203</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51532-2025</t>
        </is>
      </c>
      <c r="B374" s="1" t="n">
        <v>45950</v>
      </c>
      <c r="C374" s="1" t="n">
        <v>46203</v>
      </c>
      <c r="D374" t="inlineStr">
        <is>
          <t>STOCKHOLMS LÄN</t>
        </is>
      </c>
      <c r="E374" t="inlineStr">
        <is>
          <t>NORRTÄLJE</t>
        </is>
      </c>
      <c r="F374" t="inlineStr">
        <is>
          <t>Naturvårdsverket</t>
        </is>
      </c>
      <c r="G374" t="n">
        <v>17.3</v>
      </c>
      <c r="H374" t="n">
        <v>0</v>
      </c>
      <c r="I374" t="n">
        <v>0</v>
      </c>
      <c r="J374" t="n">
        <v>0</v>
      </c>
      <c r="K374" t="n">
        <v>0</v>
      </c>
      <c r="L374" t="n">
        <v>0</v>
      </c>
      <c r="M374" t="n">
        <v>0</v>
      </c>
      <c r="N374" t="n">
        <v>0</v>
      </c>
      <c r="O374" t="n">
        <v>0</v>
      </c>
      <c r="P374" t="n">
        <v>0</v>
      </c>
      <c r="Q374" t="n">
        <v>0</v>
      </c>
      <c r="R374" s="2" t="inlineStr"/>
    </row>
    <row r="375" ht="15" customHeight="1">
      <c r="A375" t="inlineStr">
        <is>
          <t>A 35636-2025</t>
        </is>
      </c>
      <c r="B375" s="1" t="n">
        <v>45859</v>
      </c>
      <c r="C375" s="1" t="n">
        <v>46203</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51233-2025</t>
        </is>
      </c>
      <c r="B376" s="1" t="n">
        <v>45947</v>
      </c>
      <c r="C376" s="1" t="n">
        <v>46203</v>
      </c>
      <c r="D376" t="inlineStr">
        <is>
          <t>STOCKHOLMS LÄN</t>
        </is>
      </c>
      <c r="E376" t="inlineStr">
        <is>
          <t>NORRTÄLJE</t>
        </is>
      </c>
      <c r="F376" t="inlineStr">
        <is>
          <t>Naturvårdsverket</t>
        </is>
      </c>
      <c r="G376" t="n">
        <v>8.1</v>
      </c>
      <c r="H376" t="n">
        <v>0</v>
      </c>
      <c r="I376" t="n">
        <v>0</v>
      </c>
      <c r="J376" t="n">
        <v>0</v>
      </c>
      <c r="K376" t="n">
        <v>0</v>
      </c>
      <c r="L376" t="n">
        <v>0</v>
      </c>
      <c r="M376" t="n">
        <v>0</v>
      </c>
      <c r="N376" t="n">
        <v>0</v>
      </c>
      <c r="O376" t="n">
        <v>0</v>
      </c>
      <c r="P376" t="n">
        <v>0</v>
      </c>
      <c r="Q376" t="n">
        <v>0</v>
      </c>
      <c r="R376" s="2" t="inlineStr"/>
    </row>
    <row r="377" ht="15" customHeight="1">
      <c r="A377" t="inlineStr">
        <is>
          <t>A 51236-2025</t>
        </is>
      </c>
      <c r="B377" s="1" t="n">
        <v>45947</v>
      </c>
      <c r="C377" s="1" t="n">
        <v>46203</v>
      </c>
      <c r="D377" t="inlineStr">
        <is>
          <t>STOCKHOLMS LÄN</t>
        </is>
      </c>
      <c r="E377" t="inlineStr">
        <is>
          <t>NORRTÄLJE</t>
        </is>
      </c>
      <c r="F377" t="inlineStr">
        <is>
          <t>Naturvårdsverket</t>
        </is>
      </c>
      <c r="G377" t="n">
        <v>6.3</v>
      </c>
      <c r="H377" t="n">
        <v>0</v>
      </c>
      <c r="I377" t="n">
        <v>0</v>
      </c>
      <c r="J377" t="n">
        <v>0</v>
      </c>
      <c r="K377" t="n">
        <v>0</v>
      </c>
      <c r="L377" t="n">
        <v>0</v>
      </c>
      <c r="M377" t="n">
        <v>0</v>
      </c>
      <c r="N377" t="n">
        <v>0</v>
      </c>
      <c r="O377" t="n">
        <v>0</v>
      </c>
      <c r="P377" t="n">
        <v>0</v>
      </c>
      <c r="Q377" t="n">
        <v>0</v>
      </c>
      <c r="R377" s="2" t="inlineStr"/>
    </row>
    <row r="378" ht="15" customHeight="1">
      <c r="A378" t="inlineStr">
        <is>
          <t>A 51241-2025</t>
        </is>
      </c>
      <c r="B378" s="1" t="n">
        <v>45947</v>
      </c>
      <c r="C378" s="1" t="n">
        <v>46203</v>
      </c>
      <c r="D378" t="inlineStr">
        <is>
          <t>STOCKHOLMS LÄN</t>
        </is>
      </c>
      <c r="E378" t="inlineStr">
        <is>
          <t>NORRTÄLJE</t>
        </is>
      </c>
      <c r="F378" t="inlineStr">
        <is>
          <t>Naturvårdsverket</t>
        </is>
      </c>
      <c r="G378" t="n">
        <v>6.4</v>
      </c>
      <c r="H378" t="n">
        <v>0</v>
      </c>
      <c r="I378" t="n">
        <v>0</v>
      </c>
      <c r="J378" t="n">
        <v>0</v>
      </c>
      <c r="K378" t="n">
        <v>0</v>
      </c>
      <c r="L378" t="n">
        <v>0</v>
      </c>
      <c r="M378" t="n">
        <v>0</v>
      </c>
      <c r="N378" t="n">
        <v>0</v>
      </c>
      <c r="O378" t="n">
        <v>0</v>
      </c>
      <c r="P378" t="n">
        <v>0</v>
      </c>
      <c r="Q378" t="n">
        <v>0</v>
      </c>
      <c r="R378" s="2" t="inlineStr"/>
    </row>
    <row r="379" ht="15" customHeight="1">
      <c r="A379" t="inlineStr">
        <is>
          <t>A 40033-2025</t>
        </is>
      </c>
      <c r="B379" s="1" t="n">
        <v>45893</v>
      </c>
      <c r="C379" s="1" t="n">
        <v>46203</v>
      </c>
      <c r="D379" t="inlineStr">
        <is>
          <t>STOCKHOLMS LÄN</t>
        </is>
      </c>
      <c r="E379" t="inlineStr">
        <is>
          <t>NORRTÄLJE</t>
        </is>
      </c>
      <c r="G379" t="n">
        <v>1.7</v>
      </c>
      <c r="H379" t="n">
        <v>0</v>
      </c>
      <c r="I379" t="n">
        <v>0</v>
      </c>
      <c r="J379" t="n">
        <v>0</v>
      </c>
      <c r="K379" t="n">
        <v>0</v>
      </c>
      <c r="L379" t="n">
        <v>0</v>
      </c>
      <c r="M379" t="n">
        <v>0</v>
      </c>
      <c r="N379" t="n">
        <v>0</v>
      </c>
      <c r="O379" t="n">
        <v>0</v>
      </c>
      <c r="P379" t="n">
        <v>0</v>
      </c>
      <c r="Q379" t="n">
        <v>0</v>
      </c>
      <c r="R379" s="2" t="inlineStr"/>
    </row>
    <row r="380" ht="15" customHeight="1">
      <c r="A380" t="inlineStr">
        <is>
          <t>A 51945-2025</t>
        </is>
      </c>
      <c r="B380" s="1" t="n">
        <v>45952</v>
      </c>
      <c r="C380" s="1" t="n">
        <v>46203</v>
      </c>
      <c r="D380" t="inlineStr">
        <is>
          <t>STOCKHOLMS LÄN</t>
        </is>
      </c>
      <c r="E380" t="inlineStr">
        <is>
          <t>NORRTÄLJE</t>
        </is>
      </c>
      <c r="G380" t="n">
        <v>7</v>
      </c>
      <c r="H380" t="n">
        <v>0</v>
      </c>
      <c r="I380" t="n">
        <v>0</v>
      </c>
      <c r="J380" t="n">
        <v>0</v>
      </c>
      <c r="K380" t="n">
        <v>0</v>
      </c>
      <c r="L380" t="n">
        <v>0</v>
      </c>
      <c r="M380" t="n">
        <v>0</v>
      </c>
      <c r="N380" t="n">
        <v>0</v>
      </c>
      <c r="O380" t="n">
        <v>0</v>
      </c>
      <c r="P380" t="n">
        <v>0</v>
      </c>
      <c r="Q380" t="n">
        <v>0</v>
      </c>
      <c r="R380" s="2" t="inlineStr"/>
    </row>
    <row r="381" ht="15" customHeight="1">
      <c r="A381" t="inlineStr">
        <is>
          <t>A 52061-2025</t>
        </is>
      </c>
      <c r="B381" s="1" t="n">
        <v>45952</v>
      </c>
      <c r="C381" s="1" t="n">
        <v>46203</v>
      </c>
      <c r="D381" t="inlineStr">
        <is>
          <t>STOCKHOLMS LÄN</t>
        </is>
      </c>
      <c r="E381" t="inlineStr">
        <is>
          <t>NORRTÄLJE</t>
        </is>
      </c>
      <c r="G381" t="n">
        <v>9.5</v>
      </c>
      <c r="H381" t="n">
        <v>0</v>
      </c>
      <c r="I381" t="n">
        <v>0</v>
      </c>
      <c r="J381" t="n">
        <v>0</v>
      </c>
      <c r="K381" t="n">
        <v>0</v>
      </c>
      <c r="L381" t="n">
        <v>0</v>
      </c>
      <c r="M381" t="n">
        <v>0</v>
      </c>
      <c r="N381" t="n">
        <v>0</v>
      </c>
      <c r="O381" t="n">
        <v>0</v>
      </c>
      <c r="P381" t="n">
        <v>0</v>
      </c>
      <c r="Q381" t="n">
        <v>0</v>
      </c>
      <c r="R381" s="2" t="inlineStr"/>
    </row>
    <row r="382" ht="15" customHeight="1">
      <c r="A382" t="inlineStr">
        <is>
          <t>A 51960-2025</t>
        </is>
      </c>
      <c r="B382" s="1" t="n">
        <v>45952</v>
      </c>
      <c r="C382" s="1" t="n">
        <v>46203</v>
      </c>
      <c r="D382" t="inlineStr">
        <is>
          <t>STOCKHOLMS LÄN</t>
        </is>
      </c>
      <c r="E382" t="inlineStr">
        <is>
          <t>NORRTÄLJE</t>
        </is>
      </c>
      <c r="G382" t="n">
        <v>2</v>
      </c>
      <c r="H382" t="n">
        <v>0</v>
      </c>
      <c r="I382" t="n">
        <v>0</v>
      </c>
      <c r="J382" t="n">
        <v>0</v>
      </c>
      <c r="K382" t="n">
        <v>0</v>
      </c>
      <c r="L382" t="n">
        <v>0</v>
      </c>
      <c r="M382" t="n">
        <v>0</v>
      </c>
      <c r="N382" t="n">
        <v>0</v>
      </c>
      <c r="O382" t="n">
        <v>0</v>
      </c>
      <c r="P382" t="n">
        <v>0</v>
      </c>
      <c r="Q382" t="n">
        <v>0</v>
      </c>
      <c r="R382" s="2" t="inlineStr"/>
    </row>
    <row r="383" ht="15" customHeight="1">
      <c r="A383" t="inlineStr">
        <is>
          <t>A 51789-2025</t>
        </is>
      </c>
      <c r="B383" s="1" t="n">
        <v>45951</v>
      </c>
      <c r="C383" s="1" t="n">
        <v>46203</v>
      </c>
      <c r="D383" t="inlineStr">
        <is>
          <t>STOCKHOLMS LÄN</t>
        </is>
      </c>
      <c r="E383" t="inlineStr">
        <is>
          <t>NORRTÄLJE</t>
        </is>
      </c>
      <c r="F383" t="inlineStr">
        <is>
          <t>Naturvårdsverket</t>
        </is>
      </c>
      <c r="G383" t="n">
        <v>8.9</v>
      </c>
      <c r="H383" t="n">
        <v>0</v>
      </c>
      <c r="I383" t="n">
        <v>0</v>
      </c>
      <c r="J383" t="n">
        <v>0</v>
      </c>
      <c r="K383" t="n">
        <v>0</v>
      </c>
      <c r="L383" t="n">
        <v>0</v>
      </c>
      <c r="M383" t="n">
        <v>0</v>
      </c>
      <c r="N383" t="n">
        <v>0</v>
      </c>
      <c r="O383" t="n">
        <v>0</v>
      </c>
      <c r="P383" t="n">
        <v>0</v>
      </c>
      <c r="Q383" t="n">
        <v>0</v>
      </c>
      <c r="R383" s="2" t="inlineStr"/>
    </row>
    <row r="384" ht="15" customHeight="1">
      <c r="A384" t="inlineStr">
        <is>
          <t>A 40217-2025</t>
        </is>
      </c>
      <c r="B384" s="1" t="n">
        <v>45894</v>
      </c>
      <c r="C384" s="1" t="n">
        <v>46203</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35639-2025</t>
        </is>
      </c>
      <c r="B385" s="1" t="n">
        <v>45859</v>
      </c>
      <c r="C385" s="1" t="n">
        <v>46203</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40032-2025</t>
        </is>
      </c>
      <c r="B386" s="1" t="n">
        <v>45893</v>
      </c>
      <c r="C386" s="1" t="n">
        <v>46203</v>
      </c>
      <c r="D386" t="inlineStr">
        <is>
          <t>STOCKHOLMS LÄN</t>
        </is>
      </c>
      <c r="E386" t="inlineStr">
        <is>
          <t>NORRTÄLJE</t>
        </is>
      </c>
      <c r="G386" t="n">
        <v>2.6</v>
      </c>
      <c r="H386" t="n">
        <v>0</v>
      </c>
      <c r="I386" t="n">
        <v>0</v>
      </c>
      <c r="J386" t="n">
        <v>0</v>
      </c>
      <c r="K386" t="n">
        <v>0</v>
      </c>
      <c r="L386" t="n">
        <v>0</v>
      </c>
      <c r="M386" t="n">
        <v>0</v>
      </c>
      <c r="N386" t="n">
        <v>0</v>
      </c>
      <c r="O386" t="n">
        <v>0</v>
      </c>
      <c r="P386" t="n">
        <v>0</v>
      </c>
      <c r="Q386" t="n">
        <v>0</v>
      </c>
      <c r="R386" s="2" t="inlineStr"/>
    </row>
    <row r="387" ht="15" customHeight="1">
      <c r="A387" t="inlineStr">
        <is>
          <t>A 40097-2025</t>
        </is>
      </c>
      <c r="B387" s="1" t="n">
        <v>45894</v>
      </c>
      <c r="C387" s="1" t="n">
        <v>46203</v>
      </c>
      <c r="D387" t="inlineStr">
        <is>
          <t>STOCKHOLMS LÄN</t>
        </is>
      </c>
      <c r="E387" t="inlineStr">
        <is>
          <t>NORRTÄLJE</t>
        </is>
      </c>
      <c r="G387" t="n">
        <v>3</v>
      </c>
      <c r="H387" t="n">
        <v>0</v>
      </c>
      <c r="I387" t="n">
        <v>0</v>
      </c>
      <c r="J387" t="n">
        <v>0</v>
      </c>
      <c r="K387" t="n">
        <v>0</v>
      </c>
      <c r="L387" t="n">
        <v>0</v>
      </c>
      <c r="M387" t="n">
        <v>0</v>
      </c>
      <c r="N387" t="n">
        <v>0</v>
      </c>
      <c r="O387" t="n">
        <v>0</v>
      </c>
      <c r="P387" t="n">
        <v>0</v>
      </c>
      <c r="Q387" t="n">
        <v>0</v>
      </c>
      <c r="R387" s="2" t="inlineStr"/>
    </row>
    <row r="388" ht="15" customHeight="1">
      <c r="A388" t="inlineStr">
        <is>
          <t>A 45255-2022</t>
        </is>
      </c>
      <c r="B388" s="1" t="n">
        <v>44840</v>
      </c>
      <c r="C388" s="1" t="n">
        <v>46203</v>
      </c>
      <c r="D388" t="inlineStr">
        <is>
          <t>STOCKHOLMS LÄN</t>
        </is>
      </c>
      <c r="E388" t="inlineStr">
        <is>
          <t>NORRTÄLJE</t>
        </is>
      </c>
      <c r="G388" t="n">
        <v>4.1</v>
      </c>
      <c r="H388" t="n">
        <v>0</v>
      </c>
      <c r="I388" t="n">
        <v>0</v>
      </c>
      <c r="J388" t="n">
        <v>0</v>
      </c>
      <c r="K388" t="n">
        <v>0</v>
      </c>
      <c r="L388" t="n">
        <v>0</v>
      </c>
      <c r="M388" t="n">
        <v>0</v>
      </c>
      <c r="N388" t="n">
        <v>0</v>
      </c>
      <c r="O388" t="n">
        <v>0</v>
      </c>
      <c r="P388" t="n">
        <v>0</v>
      </c>
      <c r="Q388" t="n">
        <v>0</v>
      </c>
      <c r="R388" s="2" t="inlineStr"/>
    </row>
    <row r="389" ht="15" customHeight="1">
      <c r="A389" t="inlineStr">
        <is>
          <t>A 19915-2024</t>
        </is>
      </c>
      <c r="B389" s="1" t="n">
        <v>45433</v>
      </c>
      <c r="C389" s="1" t="n">
        <v>46203</v>
      </c>
      <c r="D389" t="inlineStr">
        <is>
          <t>STOCKHOLMS LÄN</t>
        </is>
      </c>
      <c r="E389" t="inlineStr">
        <is>
          <t>NORRTÄLJE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40529-2025</t>
        </is>
      </c>
      <c r="B390" s="1" t="n">
        <v>45896</v>
      </c>
      <c r="C390" s="1" t="n">
        <v>46203</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20428-2024</t>
        </is>
      </c>
      <c r="B391" s="1" t="n">
        <v>45435</v>
      </c>
      <c r="C391" s="1" t="n">
        <v>46203</v>
      </c>
      <c r="D391" t="inlineStr">
        <is>
          <t>STOCKHOLMS LÄN</t>
        </is>
      </c>
      <c r="E391" t="inlineStr">
        <is>
          <t>NORRTÄLJE</t>
        </is>
      </c>
      <c r="G391" t="n">
        <v>3.7</v>
      </c>
      <c r="H391" t="n">
        <v>0</v>
      </c>
      <c r="I391" t="n">
        <v>0</v>
      </c>
      <c r="J391" t="n">
        <v>0</v>
      </c>
      <c r="K391" t="n">
        <v>0</v>
      </c>
      <c r="L391" t="n">
        <v>0</v>
      </c>
      <c r="M391" t="n">
        <v>0</v>
      </c>
      <c r="N391" t="n">
        <v>0</v>
      </c>
      <c r="O391" t="n">
        <v>0</v>
      </c>
      <c r="P391" t="n">
        <v>0</v>
      </c>
      <c r="Q391" t="n">
        <v>0</v>
      </c>
      <c r="R391" s="2" t="inlineStr"/>
    </row>
    <row r="392" ht="15" customHeight="1">
      <c r="A392" t="inlineStr">
        <is>
          <t>A 57037-2022</t>
        </is>
      </c>
      <c r="B392" s="1" t="n">
        <v>44895</v>
      </c>
      <c r="C392" s="1" t="n">
        <v>46203</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52729-2025</t>
        </is>
      </c>
      <c r="B393" s="1" t="n">
        <v>45957</v>
      </c>
      <c r="C393" s="1" t="n">
        <v>46203</v>
      </c>
      <c r="D393" t="inlineStr">
        <is>
          <t>STOCKHOLMS LÄN</t>
        </is>
      </c>
      <c r="E393" t="inlineStr">
        <is>
          <t>NORRTÄLJE</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40837-2025</t>
        </is>
      </c>
      <c r="B394" s="1" t="n">
        <v>45897</v>
      </c>
      <c r="C394" s="1" t="n">
        <v>46203</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52777-2025</t>
        </is>
      </c>
      <c r="B395" s="1" t="n">
        <v>45957</v>
      </c>
      <c r="C395" s="1" t="n">
        <v>46203</v>
      </c>
      <c r="D395" t="inlineStr">
        <is>
          <t>STOCKHOLMS LÄN</t>
        </is>
      </c>
      <c r="E395" t="inlineStr">
        <is>
          <t>NORRTÄLJE</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52553-2025</t>
        </is>
      </c>
      <c r="B396" s="1" t="n">
        <v>45954</v>
      </c>
      <c r="C396" s="1" t="n">
        <v>46203</v>
      </c>
      <c r="D396" t="inlineStr">
        <is>
          <t>STOCKHOLMS LÄN</t>
        </is>
      </c>
      <c r="E396" t="inlineStr">
        <is>
          <t>NORRTÄLJE</t>
        </is>
      </c>
      <c r="G396" t="n">
        <v>4.4</v>
      </c>
      <c r="H396" t="n">
        <v>0</v>
      </c>
      <c r="I396" t="n">
        <v>0</v>
      </c>
      <c r="J396" t="n">
        <v>0</v>
      </c>
      <c r="K396" t="n">
        <v>0</v>
      </c>
      <c r="L396" t="n">
        <v>0</v>
      </c>
      <c r="M396" t="n">
        <v>0</v>
      </c>
      <c r="N396" t="n">
        <v>0</v>
      </c>
      <c r="O396" t="n">
        <v>0</v>
      </c>
      <c r="P396" t="n">
        <v>0</v>
      </c>
      <c r="Q396" t="n">
        <v>0</v>
      </c>
      <c r="R396" s="2" t="inlineStr"/>
    </row>
    <row r="397" ht="15" customHeight="1">
      <c r="A397" t="inlineStr">
        <is>
          <t>A 41158-2025</t>
        </is>
      </c>
      <c r="B397" s="1" t="n">
        <v>45898</v>
      </c>
      <c r="C397" s="1" t="n">
        <v>46203</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41174-2025</t>
        </is>
      </c>
      <c r="B398" s="1" t="n">
        <v>45898</v>
      </c>
      <c r="C398" s="1" t="n">
        <v>46203</v>
      </c>
      <c r="D398" t="inlineStr">
        <is>
          <t>STOCKHOLMS LÄN</t>
        </is>
      </c>
      <c r="E398" t="inlineStr">
        <is>
          <t>NORRTÄLJE</t>
        </is>
      </c>
      <c r="G398" t="n">
        <v>0.6</v>
      </c>
      <c r="H398" t="n">
        <v>0</v>
      </c>
      <c r="I398" t="n">
        <v>0</v>
      </c>
      <c r="J398" t="n">
        <v>0</v>
      </c>
      <c r="K398" t="n">
        <v>0</v>
      </c>
      <c r="L398" t="n">
        <v>0</v>
      </c>
      <c r="M398" t="n">
        <v>0</v>
      </c>
      <c r="N398" t="n">
        <v>0</v>
      </c>
      <c r="O398" t="n">
        <v>0</v>
      </c>
      <c r="P398" t="n">
        <v>0</v>
      </c>
      <c r="Q398" t="n">
        <v>0</v>
      </c>
      <c r="R398" s="2" t="inlineStr"/>
    </row>
    <row r="399" ht="15" customHeight="1">
      <c r="A399" t="inlineStr">
        <is>
          <t>A 41110-2025</t>
        </is>
      </c>
      <c r="B399" s="1" t="n">
        <v>45898</v>
      </c>
      <c r="C399" s="1" t="n">
        <v>46203</v>
      </c>
      <c r="D399" t="inlineStr">
        <is>
          <t>STOCKHOLMS LÄN</t>
        </is>
      </c>
      <c r="E399" t="inlineStr">
        <is>
          <t>NORRTÄLJE</t>
        </is>
      </c>
      <c r="F399" t="inlineStr">
        <is>
          <t>Holmen skog AB</t>
        </is>
      </c>
      <c r="G399" t="n">
        <v>6.7</v>
      </c>
      <c r="H399" t="n">
        <v>0</v>
      </c>
      <c r="I399" t="n">
        <v>0</v>
      </c>
      <c r="J399" t="n">
        <v>0</v>
      </c>
      <c r="K399" t="n">
        <v>0</v>
      </c>
      <c r="L399" t="n">
        <v>0</v>
      </c>
      <c r="M399" t="n">
        <v>0</v>
      </c>
      <c r="N399" t="n">
        <v>0</v>
      </c>
      <c r="O399" t="n">
        <v>0</v>
      </c>
      <c r="P399" t="n">
        <v>0</v>
      </c>
      <c r="Q399" t="n">
        <v>0</v>
      </c>
      <c r="R399" s="2" t="inlineStr"/>
    </row>
    <row r="400" ht="15" customHeight="1">
      <c r="A400" t="inlineStr">
        <is>
          <t>A 52704-2025</t>
        </is>
      </c>
      <c r="B400" s="1" t="n">
        <v>45956</v>
      </c>
      <c r="C400" s="1" t="n">
        <v>46203</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52734-2025</t>
        </is>
      </c>
      <c r="B401" s="1" t="n">
        <v>45957</v>
      </c>
      <c r="C401" s="1" t="n">
        <v>46203</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40829-2025</t>
        </is>
      </c>
      <c r="B402" s="1" t="n">
        <v>45897</v>
      </c>
      <c r="C402" s="1" t="n">
        <v>46203</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62998-2023</t>
        </is>
      </c>
      <c r="B403" s="1" t="n">
        <v>45272</v>
      </c>
      <c r="C403" s="1" t="n">
        <v>46203</v>
      </c>
      <c r="D403" t="inlineStr">
        <is>
          <t>STOCKHOLMS LÄN</t>
        </is>
      </c>
      <c r="E403" t="inlineStr">
        <is>
          <t>NORRTÄLJE</t>
        </is>
      </c>
      <c r="G403" t="n">
        <v>16.3</v>
      </c>
      <c r="H403" t="n">
        <v>0</v>
      </c>
      <c r="I403" t="n">
        <v>0</v>
      </c>
      <c r="J403" t="n">
        <v>0</v>
      </c>
      <c r="K403" t="n">
        <v>0</v>
      </c>
      <c r="L403" t="n">
        <v>0</v>
      </c>
      <c r="M403" t="n">
        <v>0</v>
      </c>
      <c r="N403" t="n">
        <v>0</v>
      </c>
      <c r="O403" t="n">
        <v>0</v>
      </c>
      <c r="P403" t="n">
        <v>0</v>
      </c>
      <c r="Q403" t="n">
        <v>0</v>
      </c>
      <c r="R403" s="2" t="inlineStr"/>
    </row>
    <row r="404" ht="15" customHeight="1">
      <c r="A404" t="inlineStr">
        <is>
          <t>A 63015-2023</t>
        </is>
      </c>
      <c r="B404" s="1" t="n">
        <v>45272</v>
      </c>
      <c r="C404" s="1" t="n">
        <v>46203</v>
      </c>
      <c r="D404" t="inlineStr">
        <is>
          <t>STOCKHOLMS LÄN</t>
        </is>
      </c>
      <c r="E404" t="inlineStr">
        <is>
          <t>NORRTÄLJE</t>
        </is>
      </c>
      <c r="G404" t="n">
        <v>13.1</v>
      </c>
      <c r="H404" t="n">
        <v>0</v>
      </c>
      <c r="I404" t="n">
        <v>0</v>
      </c>
      <c r="J404" t="n">
        <v>0</v>
      </c>
      <c r="K404" t="n">
        <v>0</v>
      </c>
      <c r="L404" t="n">
        <v>0</v>
      </c>
      <c r="M404" t="n">
        <v>0</v>
      </c>
      <c r="N404" t="n">
        <v>0</v>
      </c>
      <c r="O404" t="n">
        <v>0</v>
      </c>
      <c r="P404" t="n">
        <v>0</v>
      </c>
      <c r="Q404" t="n">
        <v>0</v>
      </c>
      <c r="R404" s="2" t="inlineStr"/>
    </row>
    <row r="405" ht="15" customHeight="1">
      <c r="A405" t="inlineStr">
        <is>
          <t>A 40831-2025</t>
        </is>
      </c>
      <c r="B405" s="1" t="n">
        <v>45897</v>
      </c>
      <c r="C405" s="1" t="n">
        <v>46203</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52773-2025</t>
        </is>
      </c>
      <c r="B406" s="1" t="n">
        <v>45957</v>
      </c>
      <c r="C406" s="1" t="n">
        <v>46203</v>
      </c>
      <c r="D406" t="inlineStr">
        <is>
          <t>STOCKHOLMS LÄN</t>
        </is>
      </c>
      <c r="E406" t="inlineStr">
        <is>
          <t>NORRTÄLJE</t>
        </is>
      </c>
      <c r="F406" t="inlineStr">
        <is>
          <t>Sveaskog</t>
        </is>
      </c>
      <c r="G406" t="n">
        <v>10.5</v>
      </c>
      <c r="H406" t="n">
        <v>0</v>
      </c>
      <c r="I406" t="n">
        <v>0</v>
      </c>
      <c r="J406" t="n">
        <v>0</v>
      </c>
      <c r="K406" t="n">
        <v>0</v>
      </c>
      <c r="L406" t="n">
        <v>0</v>
      </c>
      <c r="M406" t="n">
        <v>0</v>
      </c>
      <c r="N406" t="n">
        <v>0</v>
      </c>
      <c r="O406" t="n">
        <v>0</v>
      </c>
      <c r="P406" t="n">
        <v>0</v>
      </c>
      <c r="Q406" t="n">
        <v>0</v>
      </c>
      <c r="R406" s="2" t="inlineStr"/>
    </row>
    <row r="407" ht="15" customHeight="1">
      <c r="A407" t="inlineStr">
        <is>
          <t>A 12901-2024</t>
        </is>
      </c>
      <c r="B407" s="1" t="n">
        <v>45385</v>
      </c>
      <c r="C407" s="1" t="n">
        <v>46203</v>
      </c>
      <c r="D407" t="inlineStr">
        <is>
          <t>STOCKHOLMS LÄN</t>
        </is>
      </c>
      <c r="E407" t="inlineStr">
        <is>
          <t>NORRTÄLJE</t>
        </is>
      </c>
      <c r="G407" t="n">
        <v>2.7</v>
      </c>
      <c r="H407" t="n">
        <v>0</v>
      </c>
      <c r="I407" t="n">
        <v>0</v>
      </c>
      <c r="J407" t="n">
        <v>0</v>
      </c>
      <c r="K407" t="n">
        <v>0</v>
      </c>
      <c r="L407" t="n">
        <v>0</v>
      </c>
      <c r="M407" t="n">
        <v>0</v>
      </c>
      <c r="N407" t="n">
        <v>0</v>
      </c>
      <c r="O407" t="n">
        <v>0</v>
      </c>
      <c r="P407" t="n">
        <v>0</v>
      </c>
      <c r="Q407" t="n">
        <v>0</v>
      </c>
      <c r="R407" s="2" t="inlineStr"/>
    </row>
    <row r="408" ht="15" customHeight="1">
      <c r="A408" t="inlineStr">
        <is>
          <t>A 12301-2025</t>
        </is>
      </c>
      <c r="B408" s="1" t="n">
        <v>45729</v>
      </c>
      <c r="C408" s="1" t="n">
        <v>46203</v>
      </c>
      <c r="D408" t="inlineStr">
        <is>
          <t>STOCKHOLMS LÄN</t>
        </is>
      </c>
      <c r="E408" t="inlineStr">
        <is>
          <t>NORRTÄLJE</t>
        </is>
      </c>
      <c r="G408" t="n">
        <v>3.2</v>
      </c>
      <c r="H408" t="n">
        <v>0</v>
      </c>
      <c r="I408" t="n">
        <v>0</v>
      </c>
      <c r="J408" t="n">
        <v>0</v>
      </c>
      <c r="K408" t="n">
        <v>0</v>
      </c>
      <c r="L408" t="n">
        <v>0</v>
      </c>
      <c r="M408" t="n">
        <v>0</v>
      </c>
      <c r="N408" t="n">
        <v>0</v>
      </c>
      <c r="O408" t="n">
        <v>0</v>
      </c>
      <c r="P408" t="n">
        <v>0</v>
      </c>
      <c r="Q408" t="n">
        <v>0</v>
      </c>
      <c r="R408" s="2" t="inlineStr"/>
    </row>
    <row r="409" ht="15" customHeight="1">
      <c r="A409" t="inlineStr">
        <is>
          <t>A 52703-2025</t>
        </is>
      </c>
      <c r="B409" s="1" t="n">
        <v>45956</v>
      </c>
      <c r="C409" s="1" t="n">
        <v>46203</v>
      </c>
      <c r="D409" t="inlineStr">
        <is>
          <t>STOCKHOLMS LÄN</t>
        </is>
      </c>
      <c r="E409" t="inlineStr">
        <is>
          <t>NORRTÄLJE</t>
        </is>
      </c>
      <c r="G409" t="n">
        <v>4.7</v>
      </c>
      <c r="H409" t="n">
        <v>0</v>
      </c>
      <c r="I409" t="n">
        <v>0</v>
      </c>
      <c r="J409" t="n">
        <v>0</v>
      </c>
      <c r="K409" t="n">
        <v>0</v>
      </c>
      <c r="L409" t="n">
        <v>0</v>
      </c>
      <c r="M409" t="n">
        <v>0</v>
      </c>
      <c r="N409" t="n">
        <v>0</v>
      </c>
      <c r="O409" t="n">
        <v>0</v>
      </c>
      <c r="P409" t="n">
        <v>0</v>
      </c>
      <c r="Q409" t="n">
        <v>0</v>
      </c>
      <c r="R409" s="2" t="inlineStr"/>
    </row>
    <row r="410" ht="15" customHeight="1">
      <c r="A410" t="inlineStr">
        <is>
          <t>A 8950-2025</t>
        </is>
      </c>
      <c r="B410" s="1" t="n">
        <v>45713</v>
      </c>
      <c r="C410" s="1" t="n">
        <v>46203</v>
      </c>
      <c r="D410" t="inlineStr">
        <is>
          <t>STOCKHOLMS LÄN</t>
        </is>
      </c>
      <c r="E410" t="inlineStr">
        <is>
          <t>NORRTÄLJE</t>
        </is>
      </c>
      <c r="F410" t="inlineStr">
        <is>
          <t>Övriga Aktiebolag</t>
        </is>
      </c>
      <c r="G410" t="n">
        <v>3.6</v>
      </c>
      <c r="H410" t="n">
        <v>0</v>
      </c>
      <c r="I410" t="n">
        <v>0</v>
      </c>
      <c r="J410" t="n">
        <v>0</v>
      </c>
      <c r="K410" t="n">
        <v>0</v>
      </c>
      <c r="L410" t="n">
        <v>0</v>
      </c>
      <c r="M410" t="n">
        <v>0</v>
      </c>
      <c r="N410" t="n">
        <v>0</v>
      </c>
      <c r="O410" t="n">
        <v>0</v>
      </c>
      <c r="P410" t="n">
        <v>0</v>
      </c>
      <c r="Q410" t="n">
        <v>0</v>
      </c>
      <c r="R410" s="2" t="inlineStr"/>
    </row>
    <row r="411" ht="15" customHeight="1">
      <c r="A411" t="inlineStr">
        <is>
          <t>A 20730-2024</t>
        </is>
      </c>
      <c r="B411" s="1" t="n">
        <v>45436</v>
      </c>
      <c r="C411" s="1" t="n">
        <v>46203</v>
      </c>
      <c r="D411" t="inlineStr">
        <is>
          <t>STOCKHOLMS LÄN</t>
        </is>
      </c>
      <c r="E411" t="inlineStr">
        <is>
          <t>NORRTÄLJE</t>
        </is>
      </c>
      <c r="G411" t="n">
        <v>7.3</v>
      </c>
      <c r="H411" t="n">
        <v>0</v>
      </c>
      <c r="I411" t="n">
        <v>0</v>
      </c>
      <c r="J411" t="n">
        <v>0</v>
      </c>
      <c r="K411" t="n">
        <v>0</v>
      </c>
      <c r="L411" t="n">
        <v>0</v>
      </c>
      <c r="M411" t="n">
        <v>0</v>
      </c>
      <c r="N411" t="n">
        <v>0</v>
      </c>
      <c r="O411" t="n">
        <v>0</v>
      </c>
      <c r="P411" t="n">
        <v>0</v>
      </c>
      <c r="Q411" t="n">
        <v>0</v>
      </c>
      <c r="R411" s="2" t="inlineStr"/>
    </row>
    <row r="412" ht="15" customHeight="1">
      <c r="A412" t="inlineStr">
        <is>
          <t>A 33175-2024</t>
        </is>
      </c>
      <c r="B412" s="1" t="n">
        <v>45518</v>
      </c>
      <c r="C412" s="1" t="n">
        <v>46203</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13283-2025</t>
        </is>
      </c>
      <c r="B413" s="1" t="n">
        <v>45735</v>
      </c>
      <c r="C413" s="1" t="n">
        <v>46203</v>
      </c>
      <c r="D413" t="inlineStr">
        <is>
          <t>STOCKHOLMS LÄN</t>
        </is>
      </c>
      <c r="E413" t="inlineStr">
        <is>
          <t>NORRTÄLJE</t>
        </is>
      </c>
      <c r="G413" t="n">
        <v>4.9</v>
      </c>
      <c r="H413" t="n">
        <v>0</v>
      </c>
      <c r="I413" t="n">
        <v>0</v>
      </c>
      <c r="J413" t="n">
        <v>0</v>
      </c>
      <c r="K413" t="n">
        <v>0</v>
      </c>
      <c r="L413" t="n">
        <v>0</v>
      </c>
      <c r="M413" t="n">
        <v>0</v>
      </c>
      <c r="N413" t="n">
        <v>0</v>
      </c>
      <c r="O413" t="n">
        <v>0</v>
      </c>
      <c r="P413" t="n">
        <v>0</v>
      </c>
      <c r="Q413" t="n">
        <v>0</v>
      </c>
      <c r="R413" s="2" t="inlineStr"/>
    </row>
    <row r="414" ht="15" customHeight="1">
      <c r="A414" t="inlineStr">
        <is>
          <t>A 23149-2024</t>
        </is>
      </c>
      <c r="B414" s="1" t="n">
        <v>45450</v>
      </c>
      <c r="C414" s="1" t="n">
        <v>46203</v>
      </c>
      <c r="D414" t="inlineStr">
        <is>
          <t>STOCKHOLMS LÄN</t>
        </is>
      </c>
      <c r="E414" t="inlineStr">
        <is>
          <t>NORRTÄLJE</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23151-2024</t>
        </is>
      </c>
      <c r="B415" s="1" t="n">
        <v>45450</v>
      </c>
      <c r="C415" s="1" t="n">
        <v>46203</v>
      </c>
      <c r="D415" t="inlineStr">
        <is>
          <t>STOCKHOLMS LÄN</t>
        </is>
      </c>
      <c r="E415" t="inlineStr">
        <is>
          <t>NORRTÄLJE</t>
        </is>
      </c>
      <c r="F415" t="inlineStr">
        <is>
          <t>Kommuner</t>
        </is>
      </c>
      <c r="G415" t="n">
        <v>1.2</v>
      </c>
      <c r="H415" t="n">
        <v>0</v>
      </c>
      <c r="I415" t="n">
        <v>0</v>
      </c>
      <c r="J415" t="n">
        <v>0</v>
      </c>
      <c r="K415" t="n">
        <v>0</v>
      </c>
      <c r="L415" t="n">
        <v>0</v>
      </c>
      <c r="M415" t="n">
        <v>0</v>
      </c>
      <c r="N415" t="n">
        <v>0</v>
      </c>
      <c r="O415" t="n">
        <v>0</v>
      </c>
      <c r="P415" t="n">
        <v>0</v>
      </c>
      <c r="Q415" t="n">
        <v>0</v>
      </c>
      <c r="R415" s="2" t="inlineStr"/>
    </row>
    <row r="416" ht="15" customHeight="1">
      <c r="A416" t="inlineStr">
        <is>
          <t>A 16913-2025</t>
        </is>
      </c>
      <c r="B416" s="1" t="n">
        <v>45755</v>
      </c>
      <c r="C416" s="1" t="n">
        <v>46203</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19058-2024</t>
        </is>
      </c>
      <c r="B417" s="1" t="n">
        <v>45427</v>
      </c>
      <c r="C417" s="1" t="n">
        <v>46203</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53000-2025</t>
        </is>
      </c>
      <c r="B418" s="1" t="n">
        <v>45957</v>
      </c>
      <c r="C418" s="1" t="n">
        <v>46203</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27831-2024</t>
        </is>
      </c>
      <c r="B419" s="1" t="n">
        <v>45475</v>
      </c>
      <c r="C419" s="1" t="n">
        <v>46203</v>
      </c>
      <c r="D419" t="inlineStr">
        <is>
          <t>STOCKHOLMS LÄN</t>
        </is>
      </c>
      <c r="E419" t="inlineStr">
        <is>
          <t>NORRTÄLJE</t>
        </is>
      </c>
      <c r="G419" t="n">
        <v>3.8</v>
      </c>
      <c r="H419" t="n">
        <v>0</v>
      </c>
      <c r="I419" t="n">
        <v>0</v>
      </c>
      <c r="J419" t="n">
        <v>0</v>
      </c>
      <c r="K419" t="n">
        <v>0</v>
      </c>
      <c r="L419" t="n">
        <v>0</v>
      </c>
      <c r="M419" t="n">
        <v>0</v>
      </c>
      <c r="N419" t="n">
        <v>0</v>
      </c>
      <c r="O419" t="n">
        <v>0</v>
      </c>
      <c r="P419" t="n">
        <v>0</v>
      </c>
      <c r="Q419" t="n">
        <v>0</v>
      </c>
      <c r="R419" s="2" t="inlineStr"/>
    </row>
    <row r="420" ht="15" customHeight="1">
      <c r="A420" t="inlineStr">
        <is>
          <t>A 55755-2023</t>
        </is>
      </c>
      <c r="B420" s="1" t="n">
        <v>45239</v>
      </c>
      <c r="C420" s="1" t="n">
        <v>46203</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10511-2025</t>
        </is>
      </c>
      <c r="B421" s="1" t="n">
        <v>45721</v>
      </c>
      <c r="C421" s="1" t="n">
        <v>46203</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45549-2022</t>
        </is>
      </c>
      <c r="B422" s="1" t="n">
        <v>44845</v>
      </c>
      <c r="C422" s="1" t="n">
        <v>46203</v>
      </c>
      <c r="D422" t="inlineStr">
        <is>
          <t>STOCKHOLMS LÄN</t>
        </is>
      </c>
      <c r="E422" t="inlineStr">
        <is>
          <t>NORRTÄLJE</t>
        </is>
      </c>
      <c r="G422" t="n">
        <v>0.8</v>
      </c>
      <c r="H422" t="n">
        <v>0</v>
      </c>
      <c r="I422" t="n">
        <v>0</v>
      </c>
      <c r="J422" t="n">
        <v>0</v>
      </c>
      <c r="K422" t="n">
        <v>0</v>
      </c>
      <c r="L422" t="n">
        <v>0</v>
      </c>
      <c r="M422" t="n">
        <v>0</v>
      </c>
      <c r="N422" t="n">
        <v>0</v>
      </c>
      <c r="O422" t="n">
        <v>0</v>
      </c>
      <c r="P422" t="n">
        <v>0</v>
      </c>
      <c r="Q422" t="n">
        <v>0</v>
      </c>
      <c r="R422" s="2" t="inlineStr"/>
    </row>
    <row r="423" ht="15" customHeight="1">
      <c r="A423" t="inlineStr">
        <is>
          <t>A 53747-2025</t>
        </is>
      </c>
      <c r="B423" s="1" t="n">
        <v>45960</v>
      </c>
      <c r="C423" s="1" t="n">
        <v>46203</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40761-2024</t>
        </is>
      </c>
      <c r="B424" s="1" t="n">
        <v>45558</v>
      </c>
      <c r="C424" s="1" t="n">
        <v>46203</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23692-2024</t>
        </is>
      </c>
      <c r="B425" s="1" t="n">
        <v>45454</v>
      </c>
      <c r="C425" s="1" t="n">
        <v>46203</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21803-2022</t>
        </is>
      </c>
      <c r="B426" s="1" t="n">
        <v>44708</v>
      </c>
      <c r="C426" s="1" t="n">
        <v>46203</v>
      </c>
      <c r="D426" t="inlineStr">
        <is>
          <t>STOCKHOLMS LÄN</t>
        </is>
      </c>
      <c r="E426" t="inlineStr">
        <is>
          <t>NORRTÄLJE</t>
        </is>
      </c>
      <c r="G426" t="n">
        <v>1.8</v>
      </c>
      <c r="H426" t="n">
        <v>0</v>
      </c>
      <c r="I426" t="n">
        <v>0</v>
      </c>
      <c r="J426" t="n">
        <v>0</v>
      </c>
      <c r="K426" t="n">
        <v>0</v>
      </c>
      <c r="L426" t="n">
        <v>0</v>
      </c>
      <c r="M426" t="n">
        <v>0</v>
      </c>
      <c r="N426" t="n">
        <v>0</v>
      </c>
      <c r="O426" t="n">
        <v>0</v>
      </c>
      <c r="P426" t="n">
        <v>0</v>
      </c>
      <c r="Q426" t="n">
        <v>0</v>
      </c>
      <c r="R426" s="2" t="inlineStr"/>
    </row>
    <row r="427" ht="15" customHeight="1">
      <c r="A427" t="inlineStr">
        <is>
          <t>A 24687-2025</t>
        </is>
      </c>
      <c r="B427" s="1" t="n">
        <v>45798</v>
      </c>
      <c r="C427" s="1" t="n">
        <v>46203</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30699-2025</t>
        </is>
      </c>
      <c r="B428" s="1" t="n">
        <v>45831</v>
      </c>
      <c r="C428" s="1" t="n">
        <v>46203</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37550-2022</t>
        </is>
      </c>
      <c r="B429" s="1" t="n">
        <v>44809</v>
      </c>
      <c r="C429" s="1" t="n">
        <v>46203</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24690-2025</t>
        </is>
      </c>
      <c r="B430" s="1" t="n">
        <v>45798</v>
      </c>
      <c r="C430" s="1" t="n">
        <v>46203</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47431-2023</t>
        </is>
      </c>
      <c r="B431" s="1" t="n">
        <v>45202</v>
      </c>
      <c r="C431" s="1" t="n">
        <v>46203</v>
      </c>
      <c r="D431" t="inlineStr">
        <is>
          <t>STOCKHOLMS LÄN</t>
        </is>
      </c>
      <c r="E431" t="inlineStr">
        <is>
          <t>NORRTÄLJE</t>
        </is>
      </c>
      <c r="F431" t="inlineStr">
        <is>
          <t>Naturvårdsverket</t>
        </is>
      </c>
      <c r="G431" t="n">
        <v>1.2</v>
      </c>
      <c r="H431" t="n">
        <v>0</v>
      </c>
      <c r="I431" t="n">
        <v>0</v>
      </c>
      <c r="J431" t="n">
        <v>0</v>
      </c>
      <c r="K431" t="n">
        <v>0</v>
      </c>
      <c r="L431" t="n">
        <v>0</v>
      </c>
      <c r="M431" t="n">
        <v>0</v>
      </c>
      <c r="N431" t="n">
        <v>0</v>
      </c>
      <c r="O431" t="n">
        <v>0</v>
      </c>
      <c r="P431" t="n">
        <v>0</v>
      </c>
      <c r="Q431" t="n">
        <v>0</v>
      </c>
      <c r="R431" s="2" t="inlineStr"/>
    </row>
    <row r="432" ht="15" customHeight="1">
      <c r="A432" t="inlineStr">
        <is>
          <t>A 24638-2025</t>
        </is>
      </c>
      <c r="B432" s="1" t="n">
        <v>45798</v>
      </c>
      <c r="C432" s="1" t="n">
        <v>46203</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42856-2025</t>
        </is>
      </c>
      <c r="B433" s="1" t="n">
        <v>45908</v>
      </c>
      <c r="C433" s="1" t="n">
        <v>46203</v>
      </c>
      <c r="D433" t="inlineStr">
        <is>
          <t>STOCKHOLMS LÄN</t>
        </is>
      </c>
      <c r="E433" t="inlineStr">
        <is>
          <t>NORRTÄLJE</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20011-2025</t>
        </is>
      </c>
      <c r="B434" s="1" t="n">
        <v>45772</v>
      </c>
      <c r="C434" s="1" t="n">
        <v>46203</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23262-2023</t>
        </is>
      </c>
      <c r="B435" s="1" t="n">
        <v>45075</v>
      </c>
      <c r="C435" s="1" t="n">
        <v>46203</v>
      </c>
      <c r="D435" t="inlineStr">
        <is>
          <t>STOCKHOLMS LÄN</t>
        </is>
      </c>
      <c r="E435" t="inlineStr">
        <is>
          <t>NORRTÄLJE</t>
        </is>
      </c>
      <c r="F435" t="inlineStr">
        <is>
          <t>Kommuner</t>
        </is>
      </c>
      <c r="G435" t="n">
        <v>1.9</v>
      </c>
      <c r="H435" t="n">
        <v>0</v>
      </c>
      <c r="I435" t="n">
        <v>0</v>
      </c>
      <c r="J435" t="n">
        <v>0</v>
      </c>
      <c r="K435" t="n">
        <v>0</v>
      </c>
      <c r="L435" t="n">
        <v>0</v>
      </c>
      <c r="M435" t="n">
        <v>0</v>
      </c>
      <c r="N435" t="n">
        <v>0</v>
      </c>
      <c r="O435" t="n">
        <v>0</v>
      </c>
      <c r="P435" t="n">
        <v>0</v>
      </c>
      <c r="Q435" t="n">
        <v>0</v>
      </c>
      <c r="R435" s="2" t="inlineStr"/>
    </row>
    <row r="436" ht="15" customHeight="1">
      <c r="A436" t="inlineStr">
        <is>
          <t>A 23268-2023</t>
        </is>
      </c>
      <c r="B436" s="1" t="n">
        <v>45075</v>
      </c>
      <c r="C436" s="1" t="n">
        <v>46203</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23270-2023</t>
        </is>
      </c>
      <c r="B437" s="1" t="n">
        <v>45075</v>
      </c>
      <c r="C437" s="1" t="n">
        <v>46203</v>
      </c>
      <c r="D437" t="inlineStr">
        <is>
          <t>STOCKHOLMS LÄN</t>
        </is>
      </c>
      <c r="E437" t="inlineStr">
        <is>
          <t>NORRTÄLJE</t>
        </is>
      </c>
      <c r="G437" t="n">
        <v>12.3</v>
      </c>
      <c r="H437" t="n">
        <v>0</v>
      </c>
      <c r="I437" t="n">
        <v>0</v>
      </c>
      <c r="J437" t="n">
        <v>0</v>
      </c>
      <c r="K437" t="n">
        <v>0</v>
      </c>
      <c r="L437" t="n">
        <v>0</v>
      </c>
      <c r="M437" t="n">
        <v>0</v>
      </c>
      <c r="N437" t="n">
        <v>0</v>
      </c>
      <c r="O437" t="n">
        <v>0</v>
      </c>
      <c r="P437" t="n">
        <v>0</v>
      </c>
      <c r="Q437" t="n">
        <v>0</v>
      </c>
      <c r="R437" s="2" t="inlineStr"/>
    </row>
    <row r="438" ht="15" customHeight="1">
      <c r="A438" t="inlineStr">
        <is>
          <t>A 23274-2023</t>
        </is>
      </c>
      <c r="B438" s="1" t="n">
        <v>45075</v>
      </c>
      <c r="C438" s="1" t="n">
        <v>46203</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5732-2023</t>
        </is>
      </c>
      <c r="B439" s="1" t="n">
        <v>44962</v>
      </c>
      <c r="C439" s="1" t="n">
        <v>46203</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25609-2023</t>
        </is>
      </c>
      <c r="B440" s="1" t="n">
        <v>45089</v>
      </c>
      <c r="C440" s="1" t="n">
        <v>46203</v>
      </c>
      <c r="D440" t="inlineStr">
        <is>
          <t>STOCKHOLMS LÄN</t>
        </is>
      </c>
      <c r="E440" t="inlineStr">
        <is>
          <t>NORRTÄLJE</t>
        </is>
      </c>
      <c r="G440" t="n">
        <v>2.5</v>
      </c>
      <c r="H440" t="n">
        <v>0</v>
      </c>
      <c r="I440" t="n">
        <v>0</v>
      </c>
      <c r="J440" t="n">
        <v>0</v>
      </c>
      <c r="K440" t="n">
        <v>0</v>
      </c>
      <c r="L440" t="n">
        <v>0</v>
      </c>
      <c r="M440" t="n">
        <v>0</v>
      </c>
      <c r="N440" t="n">
        <v>0</v>
      </c>
      <c r="O440" t="n">
        <v>0</v>
      </c>
      <c r="P440" t="n">
        <v>0</v>
      </c>
      <c r="Q440" t="n">
        <v>0</v>
      </c>
      <c r="R440" s="2" t="inlineStr"/>
    </row>
    <row r="441" ht="15" customHeight="1">
      <c r="A441" t="inlineStr">
        <is>
          <t>A 50569-2022</t>
        </is>
      </c>
      <c r="B441" s="1" t="n">
        <v>44866</v>
      </c>
      <c r="C441" s="1" t="n">
        <v>46203</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28603-2024</t>
        </is>
      </c>
      <c r="B442" s="1" t="n">
        <v>45478</v>
      </c>
      <c r="C442" s="1" t="n">
        <v>46203</v>
      </c>
      <c r="D442" t="inlineStr">
        <is>
          <t>STOCKHOLMS LÄN</t>
        </is>
      </c>
      <c r="E442" t="inlineStr">
        <is>
          <t>NORRTÄLJE</t>
        </is>
      </c>
      <c r="G442" t="n">
        <v>5.6</v>
      </c>
      <c r="H442" t="n">
        <v>0</v>
      </c>
      <c r="I442" t="n">
        <v>0</v>
      </c>
      <c r="J442" t="n">
        <v>0</v>
      </c>
      <c r="K442" t="n">
        <v>0</v>
      </c>
      <c r="L442" t="n">
        <v>0</v>
      </c>
      <c r="M442" t="n">
        <v>0</v>
      </c>
      <c r="N442" t="n">
        <v>0</v>
      </c>
      <c r="O442" t="n">
        <v>0</v>
      </c>
      <c r="P442" t="n">
        <v>0</v>
      </c>
      <c r="Q442" t="n">
        <v>0</v>
      </c>
      <c r="R442" s="2" t="inlineStr"/>
    </row>
    <row r="443" ht="15" customHeight="1">
      <c r="A443" t="inlineStr">
        <is>
          <t>A 25721-2025</t>
        </is>
      </c>
      <c r="B443" s="1" t="n">
        <v>45800</v>
      </c>
      <c r="C443" s="1" t="n">
        <v>46203</v>
      </c>
      <c r="D443" t="inlineStr">
        <is>
          <t>STOCKHOLMS LÄN</t>
        </is>
      </c>
      <c r="E443" t="inlineStr">
        <is>
          <t>NORRTÄLJE</t>
        </is>
      </c>
      <c r="G443" t="n">
        <v>6</v>
      </c>
      <c r="H443" t="n">
        <v>0</v>
      </c>
      <c r="I443" t="n">
        <v>0</v>
      </c>
      <c r="J443" t="n">
        <v>0</v>
      </c>
      <c r="K443" t="n">
        <v>0</v>
      </c>
      <c r="L443" t="n">
        <v>0</v>
      </c>
      <c r="M443" t="n">
        <v>0</v>
      </c>
      <c r="N443" t="n">
        <v>0</v>
      </c>
      <c r="O443" t="n">
        <v>0</v>
      </c>
      <c r="P443" t="n">
        <v>0</v>
      </c>
      <c r="Q443" t="n">
        <v>0</v>
      </c>
      <c r="R443" s="2" t="inlineStr"/>
    </row>
    <row r="444" ht="15" customHeight="1">
      <c r="A444" t="inlineStr">
        <is>
          <t>A 22833-2024</t>
        </is>
      </c>
      <c r="B444" s="1" t="n">
        <v>45448</v>
      </c>
      <c r="C444" s="1" t="n">
        <v>46203</v>
      </c>
      <c r="D444" t="inlineStr">
        <is>
          <t>STOCKHOLMS LÄN</t>
        </is>
      </c>
      <c r="E444" t="inlineStr">
        <is>
          <t>NORRTÄLJE</t>
        </is>
      </c>
      <c r="G444" t="n">
        <v>0.8</v>
      </c>
      <c r="H444" t="n">
        <v>0</v>
      </c>
      <c r="I444" t="n">
        <v>0</v>
      </c>
      <c r="J444" t="n">
        <v>0</v>
      </c>
      <c r="K444" t="n">
        <v>0</v>
      </c>
      <c r="L444" t="n">
        <v>0</v>
      </c>
      <c r="M444" t="n">
        <v>0</v>
      </c>
      <c r="N444" t="n">
        <v>0</v>
      </c>
      <c r="O444" t="n">
        <v>0</v>
      </c>
      <c r="P444" t="n">
        <v>0</v>
      </c>
      <c r="Q444" t="n">
        <v>0</v>
      </c>
      <c r="R444" s="2" t="inlineStr"/>
    </row>
    <row r="445" ht="15" customHeight="1">
      <c r="A445" t="inlineStr">
        <is>
          <t>A 54907-2025</t>
        </is>
      </c>
      <c r="B445" s="1" t="n">
        <v>45967</v>
      </c>
      <c r="C445" s="1" t="n">
        <v>46203</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43269-2025</t>
        </is>
      </c>
      <c r="B446" s="1" t="n">
        <v>45910</v>
      </c>
      <c r="C446" s="1" t="n">
        <v>46203</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25571-2025</t>
        </is>
      </c>
      <c r="B447" s="1" t="n">
        <v>45803</v>
      </c>
      <c r="C447" s="1" t="n">
        <v>46203</v>
      </c>
      <c r="D447" t="inlineStr">
        <is>
          <t>STOCKHOLMS LÄN</t>
        </is>
      </c>
      <c r="E447" t="inlineStr">
        <is>
          <t>NORRTÄLJE</t>
        </is>
      </c>
      <c r="G447" t="n">
        <v>5.4</v>
      </c>
      <c r="H447" t="n">
        <v>0</v>
      </c>
      <c r="I447" t="n">
        <v>0</v>
      </c>
      <c r="J447" t="n">
        <v>0</v>
      </c>
      <c r="K447" t="n">
        <v>0</v>
      </c>
      <c r="L447" t="n">
        <v>0</v>
      </c>
      <c r="M447" t="n">
        <v>0</v>
      </c>
      <c r="N447" t="n">
        <v>0</v>
      </c>
      <c r="O447" t="n">
        <v>0</v>
      </c>
      <c r="P447" t="n">
        <v>0</v>
      </c>
      <c r="Q447" t="n">
        <v>0</v>
      </c>
      <c r="R447" s="2" t="inlineStr"/>
    </row>
    <row r="448" ht="15" customHeight="1">
      <c r="A448" t="inlineStr">
        <is>
          <t>A 53561-2023</t>
        </is>
      </c>
      <c r="B448" s="1" t="n">
        <v>45224</v>
      </c>
      <c r="C448" s="1" t="n">
        <v>46203</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30719-2025</t>
        </is>
      </c>
      <c r="B449" s="1" t="n">
        <v>45831</v>
      </c>
      <c r="C449" s="1" t="n">
        <v>46203</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55599-2025</t>
        </is>
      </c>
      <c r="B450" s="1" t="n">
        <v>45971</v>
      </c>
      <c r="C450" s="1" t="n">
        <v>46203</v>
      </c>
      <c r="D450" t="inlineStr">
        <is>
          <t>STOCKHOLMS LÄN</t>
        </is>
      </c>
      <c r="E450" t="inlineStr">
        <is>
          <t>NORRTÄLJE</t>
        </is>
      </c>
      <c r="F450" t="inlineStr">
        <is>
          <t>Holmen skog AB</t>
        </is>
      </c>
      <c r="G450" t="n">
        <v>6.4</v>
      </c>
      <c r="H450" t="n">
        <v>0</v>
      </c>
      <c r="I450" t="n">
        <v>0</v>
      </c>
      <c r="J450" t="n">
        <v>0</v>
      </c>
      <c r="K450" t="n">
        <v>0</v>
      </c>
      <c r="L450" t="n">
        <v>0</v>
      </c>
      <c r="M450" t="n">
        <v>0</v>
      </c>
      <c r="N450" t="n">
        <v>0</v>
      </c>
      <c r="O450" t="n">
        <v>0</v>
      </c>
      <c r="P450" t="n">
        <v>0</v>
      </c>
      <c r="Q450" t="n">
        <v>0</v>
      </c>
      <c r="R450" s="2" t="inlineStr"/>
    </row>
    <row r="451" ht="15" customHeight="1">
      <c r="A451" t="inlineStr">
        <is>
          <t>A 25712-2025</t>
        </is>
      </c>
      <c r="B451" s="1" t="n">
        <v>45803</v>
      </c>
      <c r="C451" s="1" t="n">
        <v>46203</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39238-2024</t>
        </is>
      </c>
      <c r="B452" s="1" t="n">
        <v>45549</v>
      </c>
      <c r="C452" s="1" t="n">
        <v>46203</v>
      </c>
      <c r="D452" t="inlineStr">
        <is>
          <t>STOCKHOLMS LÄN</t>
        </is>
      </c>
      <c r="E452" t="inlineStr">
        <is>
          <t>NORRTÄLJE</t>
        </is>
      </c>
      <c r="G452" t="n">
        <v>3.6</v>
      </c>
      <c r="H452" t="n">
        <v>0</v>
      </c>
      <c r="I452" t="n">
        <v>0</v>
      </c>
      <c r="J452" t="n">
        <v>0</v>
      </c>
      <c r="K452" t="n">
        <v>0</v>
      </c>
      <c r="L452" t="n">
        <v>0</v>
      </c>
      <c r="M452" t="n">
        <v>0</v>
      </c>
      <c r="N452" t="n">
        <v>0</v>
      </c>
      <c r="O452" t="n">
        <v>0</v>
      </c>
      <c r="P452" t="n">
        <v>0</v>
      </c>
      <c r="Q452" t="n">
        <v>0</v>
      </c>
      <c r="R452" s="2" t="inlineStr"/>
    </row>
    <row r="453" ht="15" customHeight="1">
      <c r="A453" t="inlineStr">
        <is>
          <t>A 38449-2022</t>
        </is>
      </c>
      <c r="B453" s="1" t="n">
        <v>44813</v>
      </c>
      <c r="C453" s="1" t="n">
        <v>46203</v>
      </c>
      <c r="D453" t="inlineStr">
        <is>
          <t>STOCKHOLMS LÄN</t>
        </is>
      </c>
      <c r="E453" t="inlineStr">
        <is>
          <t>NORRTÄLJE</t>
        </is>
      </c>
      <c r="G453" t="n">
        <v>4.2</v>
      </c>
      <c r="H453" t="n">
        <v>0</v>
      </c>
      <c r="I453" t="n">
        <v>0</v>
      </c>
      <c r="J453" t="n">
        <v>0</v>
      </c>
      <c r="K453" t="n">
        <v>0</v>
      </c>
      <c r="L453" t="n">
        <v>0</v>
      </c>
      <c r="M453" t="n">
        <v>0</v>
      </c>
      <c r="N453" t="n">
        <v>0</v>
      </c>
      <c r="O453" t="n">
        <v>0</v>
      </c>
      <c r="P453" t="n">
        <v>0</v>
      </c>
      <c r="Q453" t="n">
        <v>0</v>
      </c>
      <c r="R453" s="2" t="inlineStr"/>
    </row>
    <row r="454" ht="15" customHeight="1">
      <c r="A454" t="inlineStr">
        <is>
          <t>A 44311-2025</t>
        </is>
      </c>
      <c r="B454" s="1" t="n">
        <v>45916</v>
      </c>
      <c r="C454" s="1" t="n">
        <v>46203</v>
      </c>
      <c r="D454" t="inlineStr">
        <is>
          <t>STOCKHOLMS LÄN</t>
        </is>
      </c>
      <c r="E454" t="inlineStr">
        <is>
          <t>NORRTÄLJE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47259-2024</t>
        </is>
      </c>
      <c r="B455" s="1" t="n">
        <v>45586</v>
      </c>
      <c r="C455" s="1" t="n">
        <v>46203</v>
      </c>
      <c r="D455" t="inlineStr">
        <is>
          <t>STOCKHOLMS LÄN</t>
        </is>
      </c>
      <c r="E455" t="inlineStr">
        <is>
          <t>NORRTÄLJE</t>
        </is>
      </c>
      <c r="G455" t="n">
        <v>1.8</v>
      </c>
      <c r="H455" t="n">
        <v>0</v>
      </c>
      <c r="I455" t="n">
        <v>0</v>
      </c>
      <c r="J455" t="n">
        <v>0</v>
      </c>
      <c r="K455" t="n">
        <v>0</v>
      </c>
      <c r="L455" t="n">
        <v>0</v>
      </c>
      <c r="M455" t="n">
        <v>0</v>
      </c>
      <c r="N455" t="n">
        <v>0</v>
      </c>
      <c r="O455" t="n">
        <v>0</v>
      </c>
      <c r="P455" t="n">
        <v>0</v>
      </c>
      <c r="Q455" t="n">
        <v>0</v>
      </c>
      <c r="R455" s="2" t="inlineStr"/>
    </row>
    <row r="456" ht="15" customHeight="1">
      <c r="A456" t="inlineStr">
        <is>
          <t>A 56207-2025</t>
        </is>
      </c>
      <c r="B456" s="1" t="n">
        <v>45974</v>
      </c>
      <c r="C456" s="1" t="n">
        <v>46203</v>
      </c>
      <c r="D456" t="inlineStr">
        <is>
          <t>STOCKHOLMS LÄN</t>
        </is>
      </c>
      <c r="E456" t="inlineStr">
        <is>
          <t>NORRTÄLJE</t>
        </is>
      </c>
      <c r="G456" t="n">
        <v>3.2</v>
      </c>
      <c r="H456" t="n">
        <v>0</v>
      </c>
      <c r="I456" t="n">
        <v>0</v>
      </c>
      <c r="J456" t="n">
        <v>0</v>
      </c>
      <c r="K456" t="n">
        <v>0</v>
      </c>
      <c r="L456" t="n">
        <v>0</v>
      </c>
      <c r="M456" t="n">
        <v>0</v>
      </c>
      <c r="N456" t="n">
        <v>0</v>
      </c>
      <c r="O456" t="n">
        <v>0</v>
      </c>
      <c r="P456" t="n">
        <v>0</v>
      </c>
      <c r="Q456" t="n">
        <v>0</v>
      </c>
      <c r="R456" s="2" t="inlineStr"/>
    </row>
    <row r="457" ht="15" customHeight="1">
      <c r="A457" t="inlineStr">
        <is>
          <t>A 56114-2025</t>
        </is>
      </c>
      <c r="B457" s="1" t="n">
        <v>45973</v>
      </c>
      <c r="C457" s="1" t="n">
        <v>46203</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44937-2025</t>
        </is>
      </c>
      <c r="B458" s="1" t="n">
        <v>45918</v>
      </c>
      <c r="C458" s="1" t="n">
        <v>46203</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23061-2025</t>
        </is>
      </c>
      <c r="B459" s="1" t="n">
        <v>45790</v>
      </c>
      <c r="C459" s="1" t="n">
        <v>46203</v>
      </c>
      <c r="D459" t="inlineStr">
        <is>
          <t>STOCKHOLMS LÄN</t>
        </is>
      </c>
      <c r="E459" t="inlineStr">
        <is>
          <t>NORRTÄLJE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26747-2025</t>
        </is>
      </c>
      <c r="B460" s="1" t="n">
        <v>45810</v>
      </c>
      <c r="C460" s="1" t="n">
        <v>46203</v>
      </c>
      <c r="D460" t="inlineStr">
        <is>
          <t>STOCKHOLMS LÄN</t>
        </is>
      </c>
      <c r="E460" t="inlineStr">
        <is>
          <t>NORRTÄLJE</t>
        </is>
      </c>
      <c r="G460" t="n">
        <v>1.9</v>
      </c>
      <c r="H460" t="n">
        <v>0</v>
      </c>
      <c r="I460" t="n">
        <v>0</v>
      </c>
      <c r="J460" t="n">
        <v>0</v>
      </c>
      <c r="K460" t="n">
        <v>0</v>
      </c>
      <c r="L460" t="n">
        <v>0</v>
      </c>
      <c r="M460" t="n">
        <v>0</v>
      </c>
      <c r="N460" t="n">
        <v>0</v>
      </c>
      <c r="O460" t="n">
        <v>0</v>
      </c>
      <c r="P460" t="n">
        <v>0</v>
      </c>
      <c r="Q460" t="n">
        <v>0</v>
      </c>
      <c r="R460" s="2" t="inlineStr"/>
    </row>
    <row r="461" ht="15" customHeight="1">
      <c r="A461" t="inlineStr">
        <is>
          <t>A 26702-2025</t>
        </is>
      </c>
      <c r="B461" s="1" t="n">
        <v>45810</v>
      </c>
      <c r="C461" s="1" t="n">
        <v>46203</v>
      </c>
      <c r="D461" t="inlineStr">
        <is>
          <t>STOCKHOLMS LÄN</t>
        </is>
      </c>
      <c r="E461" t="inlineStr">
        <is>
          <t>NORRTÄLJE</t>
        </is>
      </c>
      <c r="G461" t="n">
        <v>7.3</v>
      </c>
      <c r="H461" t="n">
        <v>0</v>
      </c>
      <c r="I461" t="n">
        <v>0</v>
      </c>
      <c r="J461" t="n">
        <v>0</v>
      </c>
      <c r="K461" t="n">
        <v>0</v>
      </c>
      <c r="L461" t="n">
        <v>0</v>
      </c>
      <c r="M461" t="n">
        <v>0</v>
      </c>
      <c r="N461" t="n">
        <v>0</v>
      </c>
      <c r="O461" t="n">
        <v>0</v>
      </c>
      <c r="P461" t="n">
        <v>0</v>
      </c>
      <c r="Q461" t="n">
        <v>0</v>
      </c>
      <c r="R461" s="2" t="inlineStr"/>
    </row>
    <row r="462" ht="15" customHeight="1">
      <c r="A462" t="inlineStr">
        <is>
          <t>A 22359-2025</t>
        </is>
      </c>
      <c r="B462" s="1" t="n">
        <v>45786</v>
      </c>
      <c r="C462" s="1" t="n">
        <v>46203</v>
      </c>
      <c r="D462" t="inlineStr">
        <is>
          <t>STOCKHOLMS LÄN</t>
        </is>
      </c>
      <c r="E462" t="inlineStr">
        <is>
          <t>NORRTÄLJE</t>
        </is>
      </c>
      <c r="G462" t="n">
        <v>5</v>
      </c>
      <c r="H462" t="n">
        <v>0</v>
      </c>
      <c r="I462" t="n">
        <v>0</v>
      </c>
      <c r="J462" t="n">
        <v>0</v>
      </c>
      <c r="K462" t="n">
        <v>0</v>
      </c>
      <c r="L462" t="n">
        <v>0</v>
      </c>
      <c r="M462" t="n">
        <v>0</v>
      </c>
      <c r="N462" t="n">
        <v>0</v>
      </c>
      <c r="O462" t="n">
        <v>0</v>
      </c>
      <c r="P462" t="n">
        <v>0</v>
      </c>
      <c r="Q462" t="n">
        <v>0</v>
      </c>
      <c r="R462" s="2" t="inlineStr"/>
    </row>
    <row r="463" ht="15" customHeight="1">
      <c r="A463" t="inlineStr">
        <is>
          <t>A 26708-2025</t>
        </is>
      </c>
      <c r="B463" s="1" t="n">
        <v>45810</v>
      </c>
      <c r="C463" s="1" t="n">
        <v>46203</v>
      </c>
      <c r="D463" t="inlineStr">
        <is>
          <t>STOCKHOLMS LÄN</t>
        </is>
      </c>
      <c r="E463" t="inlineStr">
        <is>
          <t>NORRTÄLJE</t>
        </is>
      </c>
      <c r="G463" t="n">
        <v>1.4</v>
      </c>
      <c r="H463" t="n">
        <v>0</v>
      </c>
      <c r="I463" t="n">
        <v>0</v>
      </c>
      <c r="J463" t="n">
        <v>0</v>
      </c>
      <c r="K463" t="n">
        <v>0</v>
      </c>
      <c r="L463" t="n">
        <v>0</v>
      </c>
      <c r="M463" t="n">
        <v>0</v>
      </c>
      <c r="N463" t="n">
        <v>0</v>
      </c>
      <c r="O463" t="n">
        <v>0</v>
      </c>
      <c r="P463" t="n">
        <v>0</v>
      </c>
      <c r="Q463" t="n">
        <v>0</v>
      </c>
      <c r="R463" s="2" t="inlineStr"/>
    </row>
    <row r="464" ht="15" customHeight="1">
      <c r="A464" t="inlineStr">
        <is>
          <t>A 27040-2025</t>
        </is>
      </c>
      <c r="B464" s="1" t="n">
        <v>45811</v>
      </c>
      <c r="C464" s="1" t="n">
        <v>46203</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60224-2023</t>
        </is>
      </c>
      <c r="B465" s="1" t="n">
        <v>45257</v>
      </c>
      <c r="C465" s="1" t="n">
        <v>46203</v>
      </c>
      <c r="D465" t="inlineStr">
        <is>
          <t>STOCKHOLMS LÄN</t>
        </is>
      </c>
      <c r="E465" t="inlineStr">
        <is>
          <t>NORRTÄLJE</t>
        </is>
      </c>
      <c r="G465" t="n">
        <v>8.1</v>
      </c>
      <c r="H465" t="n">
        <v>0</v>
      </c>
      <c r="I465" t="n">
        <v>0</v>
      </c>
      <c r="J465" t="n">
        <v>0</v>
      </c>
      <c r="K465" t="n">
        <v>0</v>
      </c>
      <c r="L465" t="n">
        <v>0</v>
      </c>
      <c r="M465" t="n">
        <v>0</v>
      </c>
      <c r="N465" t="n">
        <v>0</v>
      </c>
      <c r="O465" t="n">
        <v>0</v>
      </c>
      <c r="P465" t="n">
        <v>0</v>
      </c>
      <c r="Q465" t="n">
        <v>0</v>
      </c>
      <c r="R465" s="2" t="inlineStr"/>
    </row>
    <row r="466" ht="15" customHeight="1">
      <c r="A466" t="inlineStr">
        <is>
          <t>A 45697-2025</t>
        </is>
      </c>
      <c r="B466" s="1" t="n">
        <v>45923</v>
      </c>
      <c r="C466" s="1" t="n">
        <v>46203</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35256-2025</t>
        </is>
      </c>
      <c r="B467" s="1" t="n">
        <v>45853</v>
      </c>
      <c r="C467" s="1" t="n">
        <v>46203</v>
      </c>
      <c r="D467" t="inlineStr">
        <is>
          <t>STOCKHOLMS LÄN</t>
        </is>
      </c>
      <c r="E467" t="inlineStr">
        <is>
          <t>NORRTÄLJE</t>
        </is>
      </c>
      <c r="G467" t="n">
        <v>6.4</v>
      </c>
      <c r="H467" t="n">
        <v>0</v>
      </c>
      <c r="I467" t="n">
        <v>0</v>
      </c>
      <c r="J467" t="n">
        <v>0</v>
      </c>
      <c r="K467" t="n">
        <v>0</v>
      </c>
      <c r="L467" t="n">
        <v>0</v>
      </c>
      <c r="M467" t="n">
        <v>0</v>
      </c>
      <c r="N467" t="n">
        <v>0</v>
      </c>
      <c r="O467" t="n">
        <v>0</v>
      </c>
      <c r="P467" t="n">
        <v>0</v>
      </c>
      <c r="Q467" t="n">
        <v>0</v>
      </c>
      <c r="R467" s="2" t="inlineStr"/>
    </row>
    <row r="468" ht="15" customHeight="1">
      <c r="A468" t="inlineStr">
        <is>
          <t>A 27700-2025</t>
        </is>
      </c>
      <c r="B468" s="1" t="n">
        <v>45813</v>
      </c>
      <c r="C468" s="1" t="n">
        <v>46203</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11901-2024</t>
        </is>
      </c>
      <c r="B469" s="1" t="n">
        <v>45376</v>
      </c>
      <c r="C469" s="1" t="n">
        <v>46203</v>
      </c>
      <c r="D469" t="inlineStr">
        <is>
          <t>STOCKHOLMS LÄN</t>
        </is>
      </c>
      <c r="E469" t="inlineStr">
        <is>
          <t>NORRTÄLJE</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27808-2025</t>
        </is>
      </c>
      <c r="B470" s="1" t="n">
        <v>45817</v>
      </c>
      <c r="C470" s="1" t="n">
        <v>46203</v>
      </c>
      <c r="D470" t="inlineStr">
        <is>
          <t>STOCKHOLMS LÄN</t>
        </is>
      </c>
      <c r="E470" t="inlineStr">
        <is>
          <t>NORRTÄLJE</t>
        </is>
      </c>
      <c r="G470" t="n">
        <v>1.8</v>
      </c>
      <c r="H470" t="n">
        <v>0</v>
      </c>
      <c r="I470" t="n">
        <v>0</v>
      </c>
      <c r="J470" t="n">
        <v>0</v>
      </c>
      <c r="K470" t="n">
        <v>0</v>
      </c>
      <c r="L470" t="n">
        <v>0</v>
      </c>
      <c r="M470" t="n">
        <v>0</v>
      </c>
      <c r="N470" t="n">
        <v>0</v>
      </c>
      <c r="O470" t="n">
        <v>0</v>
      </c>
      <c r="P470" t="n">
        <v>0</v>
      </c>
      <c r="Q470" t="n">
        <v>0</v>
      </c>
      <c r="R470" s="2" t="inlineStr"/>
    </row>
    <row r="471" ht="15" customHeight="1">
      <c r="A471" t="inlineStr">
        <is>
          <t>A 27818-2025</t>
        </is>
      </c>
      <c r="B471" s="1" t="n">
        <v>45817</v>
      </c>
      <c r="C471" s="1" t="n">
        <v>46203</v>
      </c>
      <c r="D471" t="inlineStr">
        <is>
          <t>STOCKHOLMS LÄN</t>
        </is>
      </c>
      <c r="E471" t="inlineStr">
        <is>
          <t>NORRTÄLJE</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57953-2025</t>
        </is>
      </c>
      <c r="B472" s="1" t="n">
        <v>45982</v>
      </c>
      <c r="C472" s="1" t="n">
        <v>46203</v>
      </c>
      <c r="D472" t="inlineStr">
        <is>
          <t>STOCKHOLMS LÄN</t>
        </is>
      </c>
      <c r="E472" t="inlineStr">
        <is>
          <t>NORRTÄLJE</t>
        </is>
      </c>
      <c r="F472" t="inlineStr">
        <is>
          <t>Sveaskog</t>
        </is>
      </c>
      <c r="G472" t="n">
        <v>3</v>
      </c>
      <c r="H472" t="n">
        <v>0</v>
      </c>
      <c r="I472" t="n">
        <v>0</v>
      </c>
      <c r="J472" t="n">
        <v>0</v>
      </c>
      <c r="K472" t="n">
        <v>0</v>
      </c>
      <c r="L472" t="n">
        <v>0</v>
      </c>
      <c r="M472" t="n">
        <v>0</v>
      </c>
      <c r="N472" t="n">
        <v>0</v>
      </c>
      <c r="O472" t="n">
        <v>0</v>
      </c>
      <c r="P472" t="n">
        <v>0</v>
      </c>
      <c r="Q472" t="n">
        <v>0</v>
      </c>
      <c r="R472" s="2" t="inlineStr"/>
    </row>
    <row r="473" ht="15" customHeight="1">
      <c r="A473" t="inlineStr">
        <is>
          <t>A 15528-2025</t>
        </is>
      </c>
      <c r="B473" s="1" t="n">
        <v>45747</v>
      </c>
      <c r="C473" s="1" t="n">
        <v>46203</v>
      </c>
      <c r="D473" t="inlineStr">
        <is>
          <t>STOCKHOLMS LÄN</t>
        </is>
      </c>
      <c r="E473" t="inlineStr">
        <is>
          <t>NORRTÄLJE</t>
        </is>
      </c>
      <c r="G473" t="n">
        <v>10</v>
      </c>
      <c r="H473" t="n">
        <v>0</v>
      </c>
      <c r="I473" t="n">
        <v>0</v>
      </c>
      <c r="J473" t="n">
        <v>0</v>
      </c>
      <c r="K473" t="n">
        <v>0</v>
      </c>
      <c r="L473" t="n">
        <v>0</v>
      </c>
      <c r="M473" t="n">
        <v>0</v>
      </c>
      <c r="N473" t="n">
        <v>0</v>
      </c>
      <c r="O473" t="n">
        <v>0</v>
      </c>
      <c r="P473" t="n">
        <v>0</v>
      </c>
      <c r="Q473" t="n">
        <v>0</v>
      </c>
      <c r="R473" s="2" t="inlineStr"/>
    </row>
    <row r="474" ht="15" customHeight="1">
      <c r="A474" t="inlineStr">
        <is>
          <t>A 27821-2025</t>
        </is>
      </c>
      <c r="B474" s="1" t="n">
        <v>45817</v>
      </c>
      <c r="C474" s="1" t="n">
        <v>46203</v>
      </c>
      <c r="D474" t="inlineStr">
        <is>
          <t>STOCKHOLMS LÄN</t>
        </is>
      </c>
      <c r="E474" t="inlineStr">
        <is>
          <t>NORRTÄLJE</t>
        </is>
      </c>
      <c r="G474" t="n">
        <v>3.2</v>
      </c>
      <c r="H474" t="n">
        <v>0</v>
      </c>
      <c r="I474" t="n">
        <v>0</v>
      </c>
      <c r="J474" t="n">
        <v>0</v>
      </c>
      <c r="K474" t="n">
        <v>0</v>
      </c>
      <c r="L474" t="n">
        <v>0</v>
      </c>
      <c r="M474" t="n">
        <v>0</v>
      </c>
      <c r="N474" t="n">
        <v>0</v>
      </c>
      <c r="O474" t="n">
        <v>0</v>
      </c>
      <c r="P474" t="n">
        <v>0</v>
      </c>
      <c r="Q474" t="n">
        <v>0</v>
      </c>
      <c r="R474" s="2" t="inlineStr"/>
    </row>
    <row r="475" ht="15" customHeight="1">
      <c r="A475" t="inlineStr">
        <is>
          <t>A 58403-2025</t>
        </is>
      </c>
      <c r="B475" s="1" t="n">
        <v>45985</v>
      </c>
      <c r="C475" s="1" t="n">
        <v>46203</v>
      </c>
      <c r="D475" t="inlineStr">
        <is>
          <t>STOCKHOLMS LÄN</t>
        </is>
      </c>
      <c r="E475" t="inlineStr">
        <is>
          <t>NORRTÄLJE</t>
        </is>
      </c>
      <c r="F475" t="inlineStr">
        <is>
          <t>Naturvårdsverket</t>
        </is>
      </c>
      <c r="G475" t="n">
        <v>13.5</v>
      </c>
      <c r="H475" t="n">
        <v>0</v>
      </c>
      <c r="I475" t="n">
        <v>0</v>
      </c>
      <c r="J475" t="n">
        <v>0</v>
      </c>
      <c r="K475" t="n">
        <v>0</v>
      </c>
      <c r="L475" t="n">
        <v>0</v>
      </c>
      <c r="M475" t="n">
        <v>0</v>
      </c>
      <c r="N475" t="n">
        <v>0</v>
      </c>
      <c r="O475" t="n">
        <v>0</v>
      </c>
      <c r="P475" t="n">
        <v>0</v>
      </c>
      <c r="Q475" t="n">
        <v>0</v>
      </c>
      <c r="R475" s="2" t="inlineStr"/>
    </row>
    <row r="476" ht="15" customHeight="1">
      <c r="A476" t="inlineStr">
        <is>
          <t>A 29250-2025</t>
        </is>
      </c>
      <c r="B476" s="1" t="n">
        <v>45824</v>
      </c>
      <c r="C476" s="1" t="n">
        <v>46203</v>
      </c>
      <c r="D476" t="inlineStr">
        <is>
          <t>STOCKHOLMS LÄN</t>
        </is>
      </c>
      <c r="E476" t="inlineStr">
        <is>
          <t>NORRTÄLJE</t>
        </is>
      </c>
      <c r="F476" t="inlineStr">
        <is>
          <t>Sveaskog</t>
        </is>
      </c>
      <c r="G476" t="n">
        <v>6.4</v>
      </c>
      <c r="H476" t="n">
        <v>0</v>
      </c>
      <c r="I476" t="n">
        <v>0</v>
      </c>
      <c r="J476" t="n">
        <v>0</v>
      </c>
      <c r="K476" t="n">
        <v>0</v>
      </c>
      <c r="L476" t="n">
        <v>0</v>
      </c>
      <c r="M476" t="n">
        <v>0</v>
      </c>
      <c r="N476" t="n">
        <v>0</v>
      </c>
      <c r="O476" t="n">
        <v>0</v>
      </c>
      <c r="P476" t="n">
        <v>0</v>
      </c>
      <c r="Q476" t="n">
        <v>0</v>
      </c>
      <c r="R476" s="2" t="inlineStr"/>
    </row>
    <row r="477" ht="15" customHeight="1">
      <c r="A477" t="inlineStr">
        <is>
          <t>A 21386-2023</t>
        </is>
      </c>
      <c r="B477" s="1" t="n">
        <v>45063</v>
      </c>
      <c r="C477" s="1" t="n">
        <v>46203</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4593-2023</t>
        </is>
      </c>
      <c r="B478" s="1" t="n">
        <v>44956</v>
      </c>
      <c r="C478" s="1" t="n">
        <v>46203</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59672-2025</t>
        </is>
      </c>
      <c r="B479" s="1" t="n">
        <v>45992</v>
      </c>
      <c r="C479" s="1" t="n">
        <v>46203</v>
      </c>
      <c r="D479" t="inlineStr">
        <is>
          <t>STOCKHOLMS LÄN</t>
        </is>
      </c>
      <c r="E479" t="inlineStr">
        <is>
          <t>NORRTÄLJE</t>
        </is>
      </c>
      <c r="G479" t="n">
        <v>4</v>
      </c>
      <c r="H479" t="n">
        <v>0</v>
      </c>
      <c r="I479" t="n">
        <v>0</v>
      </c>
      <c r="J479" t="n">
        <v>0</v>
      </c>
      <c r="K479" t="n">
        <v>0</v>
      </c>
      <c r="L479" t="n">
        <v>0</v>
      </c>
      <c r="M479" t="n">
        <v>0</v>
      </c>
      <c r="N479" t="n">
        <v>0</v>
      </c>
      <c r="O479" t="n">
        <v>0</v>
      </c>
      <c r="P479" t="n">
        <v>0</v>
      </c>
      <c r="Q479" t="n">
        <v>0</v>
      </c>
      <c r="R479" s="2" t="inlineStr"/>
    </row>
    <row r="480" ht="15" customHeight="1">
      <c r="A480" t="inlineStr">
        <is>
          <t>A 54396-2021</t>
        </is>
      </c>
      <c r="B480" s="1" t="n">
        <v>44472</v>
      </c>
      <c r="C480" s="1" t="n">
        <v>46203</v>
      </c>
      <c r="D480" t="inlineStr">
        <is>
          <t>STOCKHOLMS LÄN</t>
        </is>
      </c>
      <c r="E480" t="inlineStr">
        <is>
          <t>NORRTÄLJE</t>
        </is>
      </c>
      <c r="G480" t="n">
        <v>2.6</v>
      </c>
      <c r="H480" t="n">
        <v>0</v>
      </c>
      <c r="I480" t="n">
        <v>0</v>
      </c>
      <c r="J480" t="n">
        <v>0</v>
      </c>
      <c r="K480" t="n">
        <v>0</v>
      </c>
      <c r="L480" t="n">
        <v>0</v>
      </c>
      <c r="M480" t="n">
        <v>0</v>
      </c>
      <c r="N480" t="n">
        <v>0</v>
      </c>
      <c r="O480" t="n">
        <v>0</v>
      </c>
      <c r="P480" t="n">
        <v>0</v>
      </c>
      <c r="Q480" t="n">
        <v>0</v>
      </c>
      <c r="R480" s="2" t="inlineStr"/>
    </row>
    <row r="481" ht="15" customHeight="1">
      <c r="A481" t="inlineStr">
        <is>
          <t>A 30668-2025</t>
        </is>
      </c>
      <c r="B481" s="1" t="n">
        <v>45831</v>
      </c>
      <c r="C481" s="1" t="n">
        <v>46203</v>
      </c>
      <c r="D481" t="inlineStr">
        <is>
          <t>STOCKHOLMS LÄN</t>
        </is>
      </c>
      <c r="E481" t="inlineStr">
        <is>
          <t>NORRTÄLJE</t>
        </is>
      </c>
      <c r="G481" t="n">
        <v>4.9</v>
      </c>
      <c r="H481" t="n">
        <v>0</v>
      </c>
      <c r="I481" t="n">
        <v>0</v>
      </c>
      <c r="J481" t="n">
        <v>0</v>
      </c>
      <c r="K481" t="n">
        <v>0</v>
      </c>
      <c r="L481" t="n">
        <v>0</v>
      </c>
      <c r="M481" t="n">
        <v>0</v>
      </c>
      <c r="N481" t="n">
        <v>0</v>
      </c>
      <c r="O481" t="n">
        <v>0</v>
      </c>
      <c r="P481" t="n">
        <v>0</v>
      </c>
      <c r="Q481" t="n">
        <v>0</v>
      </c>
      <c r="R481" s="2" t="inlineStr"/>
    </row>
    <row r="482" ht="15" customHeight="1">
      <c r="A482" t="inlineStr">
        <is>
          <t>A 60223-2025</t>
        </is>
      </c>
      <c r="B482" s="1" t="n">
        <v>45994</v>
      </c>
      <c r="C482" s="1" t="n">
        <v>46203</v>
      </c>
      <c r="D482" t="inlineStr">
        <is>
          <t>STOCKHOLMS LÄN</t>
        </is>
      </c>
      <c r="E482" t="inlineStr">
        <is>
          <t>NORRTÄLJE</t>
        </is>
      </c>
      <c r="G482" t="n">
        <v>2.4</v>
      </c>
      <c r="H482" t="n">
        <v>0</v>
      </c>
      <c r="I482" t="n">
        <v>0</v>
      </c>
      <c r="J482" t="n">
        <v>0</v>
      </c>
      <c r="K482" t="n">
        <v>0</v>
      </c>
      <c r="L482" t="n">
        <v>0</v>
      </c>
      <c r="M482" t="n">
        <v>0</v>
      </c>
      <c r="N482" t="n">
        <v>0</v>
      </c>
      <c r="O482" t="n">
        <v>0</v>
      </c>
      <c r="P482" t="n">
        <v>0</v>
      </c>
      <c r="Q482" t="n">
        <v>0</v>
      </c>
      <c r="R482" s="2" t="inlineStr"/>
    </row>
    <row r="483" ht="15" customHeight="1">
      <c r="A483" t="inlineStr">
        <is>
          <t>A 32071-2023</t>
        </is>
      </c>
      <c r="B483" s="1" t="n">
        <v>45119</v>
      </c>
      <c r="C483" s="1" t="n">
        <v>46203</v>
      </c>
      <c r="D483" t="inlineStr">
        <is>
          <t>STOCKHOLMS LÄN</t>
        </is>
      </c>
      <c r="E483" t="inlineStr">
        <is>
          <t>NORRTÄLJE</t>
        </is>
      </c>
      <c r="G483" t="n">
        <v>6.5</v>
      </c>
      <c r="H483" t="n">
        <v>0</v>
      </c>
      <c r="I483" t="n">
        <v>0</v>
      </c>
      <c r="J483" t="n">
        <v>0</v>
      </c>
      <c r="K483" t="n">
        <v>0</v>
      </c>
      <c r="L483" t="n">
        <v>0</v>
      </c>
      <c r="M483" t="n">
        <v>0</v>
      </c>
      <c r="N483" t="n">
        <v>0</v>
      </c>
      <c r="O483" t="n">
        <v>0</v>
      </c>
      <c r="P483" t="n">
        <v>0</v>
      </c>
      <c r="Q483" t="n">
        <v>0</v>
      </c>
      <c r="R483" s="2" t="inlineStr"/>
    </row>
    <row r="484" ht="15" customHeight="1">
      <c r="A484" t="inlineStr">
        <is>
          <t>A 59914-2025</t>
        </is>
      </c>
      <c r="B484" s="1" t="n">
        <v>45993</v>
      </c>
      <c r="C484" s="1" t="n">
        <v>46203</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25681-2024</t>
        </is>
      </c>
      <c r="B485" s="1" t="n">
        <v>45463</v>
      </c>
      <c r="C485" s="1" t="n">
        <v>46203</v>
      </c>
      <c r="D485" t="inlineStr">
        <is>
          <t>STOCKHOLMS LÄN</t>
        </is>
      </c>
      <c r="E485" t="inlineStr">
        <is>
          <t>NORRTÄLJE</t>
        </is>
      </c>
      <c r="G485" t="n">
        <v>2.7</v>
      </c>
      <c r="H485" t="n">
        <v>0</v>
      </c>
      <c r="I485" t="n">
        <v>0</v>
      </c>
      <c r="J485" t="n">
        <v>0</v>
      </c>
      <c r="K485" t="n">
        <v>0</v>
      </c>
      <c r="L485" t="n">
        <v>0</v>
      </c>
      <c r="M485" t="n">
        <v>0</v>
      </c>
      <c r="N485" t="n">
        <v>0</v>
      </c>
      <c r="O485" t="n">
        <v>0</v>
      </c>
      <c r="P485" t="n">
        <v>0</v>
      </c>
      <c r="Q485" t="n">
        <v>0</v>
      </c>
      <c r="R485" s="2" t="inlineStr"/>
    </row>
    <row r="486" ht="15" customHeight="1">
      <c r="A486" t="inlineStr">
        <is>
          <t>A 60214-2025</t>
        </is>
      </c>
      <c r="B486" s="1" t="n">
        <v>45994</v>
      </c>
      <c r="C486" s="1" t="n">
        <v>46203</v>
      </c>
      <c r="D486" t="inlineStr">
        <is>
          <t>STOCKHOLMS LÄN</t>
        </is>
      </c>
      <c r="E486" t="inlineStr">
        <is>
          <t>NORRTÄLJE</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60253-2025</t>
        </is>
      </c>
      <c r="B487" s="1" t="n">
        <v>45994</v>
      </c>
      <c r="C487" s="1" t="n">
        <v>46203</v>
      </c>
      <c r="D487" t="inlineStr">
        <is>
          <t>STOCKHOLMS LÄN</t>
        </is>
      </c>
      <c r="E487" t="inlineStr">
        <is>
          <t>NORRTÄLJE</t>
        </is>
      </c>
      <c r="F487" t="inlineStr">
        <is>
          <t>Holmen skog AB</t>
        </is>
      </c>
      <c r="G487" t="n">
        <v>3.6</v>
      </c>
      <c r="H487" t="n">
        <v>0</v>
      </c>
      <c r="I487" t="n">
        <v>0</v>
      </c>
      <c r="J487" t="n">
        <v>0</v>
      </c>
      <c r="K487" t="n">
        <v>0</v>
      </c>
      <c r="L487" t="n">
        <v>0</v>
      </c>
      <c r="M487" t="n">
        <v>0</v>
      </c>
      <c r="N487" t="n">
        <v>0</v>
      </c>
      <c r="O487" t="n">
        <v>0</v>
      </c>
      <c r="P487" t="n">
        <v>0</v>
      </c>
      <c r="Q487" t="n">
        <v>0</v>
      </c>
      <c r="R487" s="2" t="inlineStr"/>
    </row>
    <row r="488" ht="15" customHeight="1">
      <c r="A488" t="inlineStr">
        <is>
          <t>A 26115-2024</t>
        </is>
      </c>
      <c r="B488" s="1" t="n">
        <v>45468</v>
      </c>
      <c r="C488" s="1" t="n">
        <v>46203</v>
      </c>
      <c r="D488" t="inlineStr">
        <is>
          <t>STOCKHOLMS LÄN</t>
        </is>
      </c>
      <c r="E488" t="inlineStr">
        <is>
          <t>NORRTÄLJE</t>
        </is>
      </c>
      <c r="G488" t="n">
        <v>0.3</v>
      </c>
      <c r="H488" t="n">
        <v>0</v>
      </c>
      <c r="I488" t="n">
        <v>0</v>
      </c>
      <c r="J488" t="n">
        <v>0</v>
      </c>
      <c r="K488" t="n">
        <v>0</v>
      </c>
      <c r="L488" t="n">
        <v>0</v>
      </c>
      <c r="M488" t="n">
        <v>0</v>
      </c>
      <c r="N488" t="n">
        <v>0</v>
      </c>
      <c r="O488" t="n">
        <v>0</v>
      </c>
      <c r="P488" t="n">
        <v>0</v>
      </c>
      <c r="Q488" t="n">
        <v>0</v>
      </c>
      <c r="R488" s="2" t="inlineStr"/>
    </row>
    <row r="489" ht="15" customHeight="1">
      <c r="A489" t="inlineStr">
        <is>
          <t>A 59907-2025</t>
        </is>
      </c>
      <c r="B489" s="1" t="n">
        <v>45993</v>
      </c>
      <c r="C489" s="1" t="n">
        <v>46203</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59924-2025</t>
        </is>
      </c>
      <c r="B490" s="1" t="n">
        <v>45993</v>
      </c>
      <c r="C490" s="1" t="n">
        <v>46203</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31874-2025</t>
        </is>
      </c>
      <c r="B491" s="1" t="n">
        <v>45834</v>
      </c>
      <c r="C491" s="1" t="n">
        <v>46203</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31868-2025</t>
        </is>
      </c>
      <c r="B492" s="1" t="n">
        <v>45834</v>
      </c>
      <c r="C492" s="1" t="n">
        <v>46203</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60649-2025</t>
        </is>
      </c>
      <c r="B493" s="1" t="n">
        <v>45996</v>
      </c>
      <c r="C493" s="1" t="n">
        <v>46203</v>
      </c>
      <c r="D493" t="inlineStr">
        <is>
          <t>STOCKHOLMS LÄN</t>
        </is>
      </c>
      <c r="E493" t="inlineStr">
        <is>
          <t>NORRTÄLJE</t>
        </is>
      </c>
      <c r="G493" t="n">
        <v>1.8</v>
      </c>
      <c r="H493" t="n">
        <v>0</v>
      </c>
      <c r="I493" t="n">
        <v>0</v>
      </c>
      <c r="J493" t="n">
        <v>0</v>
      </c>
      <c r="K493" t="n">
        <v>0</v>
      </c>
      <c r="L493" t="n">
        <v>0</v>
      </c>
      <c r="M493" t="n">
        <v>0</v>
      </c>
      <c r="N493" t="n">
        <v>0</v>
      </c>
      <c r="O493" t="n">
        <v>0</v>
      </c>
      <c r="P493" t="n">
        <v>0</v>
      </c>
      <c r="Q493" t="n">
        <v>0</v>
      </c>
      <c r="R493" s="2" t="inlineStr"/>
    </row>
    <row r="494" ht="15" customHeight="1">
      <c r="A494" t="inlineStr">
        <is>
          <t>A 31880-2025</t>
        </is>
      </c>
      <c r="B494" s="1" t="n">
        <v>45834</v>
      </c>
      <c r="C494" s="1" t="n">
        <v>46203</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54273-2021</t>
        </is>
      </c>
      <c r="B495" s="1" t="n">
        <v>44470</v>
      </c>
      <c r="C495" s="1" t="n">
        <v>46203</v>
      </c>
      <c r="D495" t="inlineStr">
        <is>
          <t>STOCKHOLMS LÄN</t>
        </is>
      </c>
      <c r="E495" t="inlineStr">
        <is>
          <t>NORRTÄLJE</t>
        </is>
      </c>
      <c r="G495" t="n">
        <v>2.7</v>
      </c>
      <c r="H495" t="n">
        <v>0</v>
      </c>
      <c r="I495" t="n">
        <v>0</v>
      </c>
      <c r="J495" t="n">
        <v>0</v>
      </c>
      <c r="K495" t="n">
        <v>0</v>
      </c>
      <c r="L495" t="n">
        <v>0</v>
      </c>
      <c r="M495" t="n">
        <v>0</v>
      </c>
      <c r="N495" t="n">
        <v>0</v>
      </c>
      <c r="O495" t="n">
        <v>0</v>
      </c>
      <c r="P495" t="n">
        <v>0</v>
      </c>
      <c r="Q495" t="n">
        <v>0</v>
      </c>
      <c r="R495" s="2" t="inlineStr"/>
    </row>
    <row r="496" ht="15" customHeight="1">
      <c r="A496" t="inlineStr">
        <is>
          <t>A 43212-2022</t>
        </is>
      </c>
      <c r="B496" s="1" t="n">
        <v>44834</v>
      </c>
      <c r="C496" s="1" t="n">
        <v>46203</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32283-2025</t>
        </is>
      </c>
      <c r="B497" s="1" t="n">
        <v>45835</v>
      </c>
      <c r="C497" s="1" t="n">
        <v>46203</v>
      </c>
      <c r="D497" t="inlineStr">
        <is>
          <t>STOCKHOLMS LÄN</t>
        </is>
      </c>
      <c r="E497" t="inlineStr">
        <is>
          <t>NORRTÄLJE</t>
        </is>
      </c>
      <c r="G497" t="n">
        <v>1.8</v>
      </c>
      <c r="H497" t="n">
        <v>0</v>
      </c>
      <c r="I497" t="n">
        <v>0</v>
      </c>
      <c r="J497" t="n">
        <v>0</v>
      </c>
      <c r="K497" t="n">
        <v>0</v>
      </c>
      <c r="L497" t="n">
        <v>0</v>
      </c>
      <c r="M497" t="n">
        <v>0</v>
      </c>
      <c r="N497" t="n">
        <v>0</v>
      </c>
      <c r="O497" t="n">
        <v>0</v>
      </c>
      <c r="P497" t="n">
        <v>0</v>
      </c>
      <c r="Q497" t="n">
        <v>0</v>
      </c>
      <c r="R497" s="2" t="inlineStr"/>
    </row>
    <row r="498" ht="15" customHeight="1">
      <c r="A498" t="inlineStr">
        <is>
          <t>A 60948-2025</t>
        </is>
      </c>
      <c r="B498" s="1" t="n">
        <v>45999</v>
      </c>
      <c r="C498" s="1" t="n">
        <v>46203</v>
      </c>
      <c r="D498" t="inlineStr">
        <is>
          <t>STOCKHOLMS LÄN</t>
        </is>
      </c>
      <c r="E498" t="inlineStr">
        <is>
          <t>NORRTÄLJE</t>
        </is>
      </c>
      <c r="G498" t="n">
        <v>1.8</v>
      </c>
      <c r="H498" t="n">
        <v>0</v>
      </c>
      <c r="I498" t="n">
        <v>0</v>
      </c>
      <c r="J498" t="n">
        <v>0</v>
      </c>
      <c r="K498" t="n">
        <v>0</v>
      </c>
      <c r="L498" t="n">
        <v>0</v>
      </c>
      <c r="M498" t="n">
        <v>0</v>
      </c>
      <c r="N498" t="n">
        <v>0</v>
      </c>
      <c r="O498" t="n">
        <v>0</v>
      </c>
      <c r="P498" t="n">
        <v>0</v>
      </c>
      <c r="Q498" t="n">
        <v>0</v>
      </c>
      <c r="R498" s="2" t="inlineStr"/>
    </row>
    <row r="499" ht="15" customHeight="1">
      <c r="A499" t="inlineStr">
        <is>
          <t>A 32480-2025</t>
        </is>
      </c>
      <c r="B499" s="1" t="n">
        <v>45838</v>
      </c>
      <c r="C499" s="1" t="n">
        <v>46203</v>
      </c>
      <c r="D499" t="inlineStr">
        <is>
          <t>STOCKHOLMS LÄN</t>
        </is>
      </c>
      <c r="E499" t="inlineStr">
        <is>
          <t>NORRTÄLJE</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61160-2025</t>
        </is>
      </c>
      <c r="B500" s="1" t="n">
        <v>46000</v>
      </c>
      <c r="C500" s="1" t="n">
        <v>46203</v>
      </c>
      <c r="D500" t="inlineStr">
        <is>
          <t>STOCKHOLMS LÄN</t>
        </is>
      </c>
      <c r="E500" t="inlineStr">
        <is>
          <t>NORRTÄLJE</t>
        </is>
      </c>
      <c r="G500" t="n">
        <v>5.3</v>
      </c>
      <c r="H500" t="n">
        <v>0</v>
      </c>
      <c r="I500" t="n">
        <v>0</v>
      </c>
      <c r="J500" t="n">
        <v>0</v>
      </c>
      <c r="K500" t="n">
        <v>0</v>
      </c>
      <c r="L500" t="n">
        <v>0</v>
      </c>
      <c r="M500" t="n">
        <v>0</v>
      </c>
      <c r="N500" t="n">
        <v>0</v>
      </c>
      <c r="O500" t="n">
        <v>0</v>
      </c>
      <c r="P500" t="n">
        <v>0</v>
      </c>
      <c r="Q500" t="n">
        <v>0</v>
      </c>
      <c r="R500" s="2" t="inlineStr"/>
    </row>
    <row r="501" ht="15" customHeight="1">
      <c r="A501" t="inlineStr">
        <is>
          <t>A 34295-2024</t>
        </is>
      </c>
      <c r="B501" s="1" t="n">
        <v>45524</v>
      </c>
      <c r="C501" s="1" t="n">
        <v>46203</v>
      </c>
      <c r="D501" t="inlineStr">
        <is>
          <t>STOCKHOLMS LÄN</t>
        </is>
      </c>
      <c r="E501" t="inlineStr">
        <is>
          <t>NORRTÄLJE</t>
        </is>
      </c>
      <c r="G501" t="n">
        <v>1.3</v>
      </c>
      <c r="H501" t="n">
        <v>0</v>
      </c>
      <c r="I501" t="n">
        <v>0</v>
      </c>
      <c r="J501" t="n">
        <v>0</v>
      </c>
      <c r="K501" t="n">
        <v>0</v>
      </c>
      <c r="L501" t="n">
        <v>0</v>
      </c>
      <c r="M501" t="n">
        <v>0</v>
      </c>
      <c r="N501" t="n">
        <v>0</v>
      </c>
      <c r="O501" t="n">
        <v>0</v>
      </c>
      <c r="P501" t="n">
        <v>0</v>
      </c>
      <c r="Q501" t="n">
        <v>0</v>
      </c>
      <c r="R501" s="2" t="inlineStr"/>
    </row>
    <row r="502" ht="15" customHeight="1">
      <c r="A502" t="inlineStr">
        <is>
          <t>A 33211-2025</t>
        </is>
      </c>
      <c r="B502" s="1" t="n">
        <v>45840</v>
      </c>
      <c r="C502" s="1" t="n">
        <v>46203</v>
      </c>
      <c r="D502" t="inlineStr">
        <is>
          <t>STOCKHOLMS LÄN</t>
        </is>
      </c>
      <c r="E502" t="inlineStr">
        <is>
          <t>NORRTÄLJE</t>
        </is>
      </c>
      <c r="G502" t="n">
        <v>5.1</v>
      </c>
      <c r="H502" t="n">
        <v>0</v>
      </c>
      <c r="I502" t="n">
        <v>0</v>
      </c>
      <c r="J502" t="n">
        <v>0</v>
      </c>
      <c r="K502" t="n">
        <v>0</v>
      </c>
      <c r="L502" t="n">
        <v>0</v>
      </c>
      <c r="M502" t="n">
        <v>0</v>
      </c>
      <c r="N502" t="n">
        <v>0</v>
      </c>
      <c r="O502" t="n">
        <v>0</v>
      </c>
      <c r="P502" t="n">
        <v>0</v>
      </c>
      <c r="Q502" t="n">
        <v>0</v>
      </c>
      <c r="R502" s="2" t="inlineStr"/>
    </row>
    <row r="503" ht="15" customHeight="1">
      <c r="A503" t="inlineStr">
        <is>
          <t>A 61769-2025</t>
        </is>
      </c>
      <c r="B503" s="1" t="n">
        <v>46002</v>
      </c>
      <c r="C503" s="1" t="n">
        <v>46203</v>
      </c>
      <c r="D503" t="inlineStr">
        <is>
          <t>STOCKHOLMS LÄN</t>
        </is>
      </c>
      <c r="E503" t="inlineStr">
        <is>
          <t>NORRTÄLJE</t>
        </is>
      </c>
      <c r="G503" t="n">
        <v>2.9</v>
      </c>
      <c r="H503" t="n">
        <v>0</v>
      </c>
      <c r="I503" t="n">
        <v>0</v>
      </c>
      <c r="J503" t="n">
        <v>0</v>
      </c>
      <c r="K503" t="n">
        <v>0</v>
      </c>
      <c r="L503" t="n">
        <v>0</v>
      </c>
      <c r="M503" t="n">
        <v>0</v>
      </c>
      <c r="N503" t="n">
        <v>0</v>
      </c>
      <c r="O503" t="n">
        <v>0</v>
      </c>
      <c r="P503" t="n">
        <v>0</v>
      </c>
      <c r="Q503" t="n">
        <v>0</v>
      </c>
      <c r="R503" s="2" t="inlineStr"/>
    </row>
    <row r="504" ht="15" customHeight="1">
      <c r="A504" t="inlineStr">
        <is>
          <t>A 61764-2025</t>
        </is>
      </c>
      <c r="B504" s="1" t="n">
        <v>46002</v>
      </c>
      <c r="C504" s="1" t="n">
        <v>46203</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61289-2025</t>
        </is>
      </c>
      <c r="B505" s="1" t="n">
        <v>46000</v>
      </c>
      <c r="C505" s="1" t="n">
        <v>46203</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61430-2025</t>
        </is>
      </c>
      <c r="B506" s="1" t="n">
        <v>46001</v>
      </c>
      <c r="C506" s="1" t="n">
        <v>46203</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6537-2024</t>
        </is>
      </c>
      <c r="B507" s="1" t="n">
        <v>45341</v>
      </c>
      <c r="C507" s="1" t="n">
        <v>46203</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32872-2025</t>
        </is>
      </c>
      <c r="B508" s="1" t="n">
        <v>45839</v>
      </c>
      <c r="C508" s="1" t="n">
        <v>46203</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62708-2025</t>
        </is>
      </c>
      <c r="B509" s="1" t="n">
        <v>46008</v>
      </c>
      <c r="C509" s="1" t="n">
        <v>46203</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33336-2025</t>
        </is>
      </c>
      <c r="B510" s="1" t="n">
        <v>45841</v>
      </c>
      <c r="C510" s="1" t="n">
        <v>46203</v>
      </c>
      <c r="D510" t="inlineStr">
        <is>
          <t>STOCKHOLMS LÄN</t>
        </is>
      </c>
      <c r="E510" t="inlineStr">
        <is>
          <t>NORRTÄLJE</t>
        </is>
      </c>
      <c r="G510" t="n">
        <v>2.4</v>
      </c>
      <c r="H510" t="n">
        <v>0</v>
      </c>
      <c r="I510" t="n">
        <v>0</v>
      </c>
      <c r="J510" t="n">
        <v>0</v>
      </c>
      <c r="K510" t="n">
        <v>0</v>
      </c>
      <c r="L510" t="n">
        <v>0</v>
      </c>
      <c r="M510" t="n">
        <v>0</v>
      </c>
      <c r="N510" t="n">
        <v>0</v>
      </c>
      <c r="O510" t="n">
        <v>0</v>
      </c>
      <c r="P510" t="n">
        <v>0</v>
      </c>
      <c r="Q510" t="n">
        <v>0</v>
      </c>
      <c r="R510" s="2" t="inlineStr"/>
    </row>
    <row r="511" ht="15" customHeight="1">
      <c r="A511" t="inlineStr">
        <is>
          <t>A 62689-2025</t>
        </is>
      </c>
      <c r="B511" s="1" t="n">
        <v>46008</v>
      </c>
      <c r="C511" s="1" t="n">
        <v>46203</v>
      </c>
      <c r="D511" t="inlineStr">
        <is>
          <t>STOCKHOLMS LÄN</t>
        </is>
      </c>
      <c r="E511" t="inlineStr">
        <is>
          <t>NORRTÄLJE</t>
        </is>
      </c>
      <c r="F511" t="inlineStr">
        <is>
          <t>Kyrkan</t>
        </is>
      </c>
      <c r="G511" t="n">
        <v>0.7</v>
      </c>
      <c r="H511" t="n">
        <v>0</v>
      </c>
      <c r="I511" t="n">
        <v>0</v>
      </c>
      <c r="J511" t="n">
        <v>0</v>
      </c>
      <c r="K511" t="n">
        <v>0</v>
      </c>
      <c r="L511" t="n">
        <v>0</v>
      </c>
      <c r="M511" t="n">
        <v>0</v>
      </c>
      <c r="N511" t="n">
        <v>0</v>
      </c>
      <c r="O511" t="n">
        <v>0</v>
      </c>
      <c r="P511" t="n">
        <v>0</v>
      </c>
      <c r="Q511" t="n">
        <v>0</v>
      </c>
      <c r="R511" s="2" t="inlineStr"/>
    </row>
    <row r="512" ht="15" customHeight="1">
      <c r="A512" t="inlineStr">
        <is>
          <t>A 33824-2025</t>
        </is>
      </c>
      <c r="B512" s="1" t="n">
        <v>45842</v>
      </c>
      <c r="C512" s="1" t="n">
        <v>46203</v>
      </c>
      <c r="D512" t="inlineStr">
        <is>
          <t>STOCKHOLMS LÄN</t>
        </is>
      </c>
      <c r="E512" t="inlineStr">
        <is>
          <t>NORRTÄLJE</t>
        </is>
      </c>
      <c r="G512" t="n">
        <v>1.9</v>
      </c>
      <c r="H512" t="n">
        <v>0</v>
      </c>
      <c r="I512" t="n">
        <v>0</v>
      </c>
      <c r="J512" t="n">
        <v>0</v>
      </c>
      <c r="K512" t="n">
        <v>0</v>
      </c>
      <c r="L512" t="n">
        <v>0</v>
      </c>
      <c r="M512" t="n">
        <v>0</v>
      </c>
      <c r="N512" t="n">
        <v>0</v>
      </c>
      <c r="O512" t="n">
        <v>0</v>
      </c>
      <c r="P512" t="n">
        <v>0</v>
      </c>
      <c r="Q512" t="n">
        <v>0</v>
      </c>
      <c r="R512" s="2" t="inlineStr"/>
    </row>
    <row r="513" ht="15" customHeight="1">
      <c r="A513" t="inlineStr">
        <is>
          <t>A 46073-2024</t>
        </is>
      </c>
      <c r="B513" s="1" t="n">
        <v>45581</v>
      </c>
      <c r="C513" s="1" t="n">
        <v>46203</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62681-2025</t>
        </is>
      </c>
      <c r="B514" s="1" t="n">
        <v>46008</v>
      </c>
      <c r="C514" s="1" t="n">
        <v>46203</v>
      </c>
      <c r="D514" t="inlineStr">
        <is>
          <t>STOCKHOLMS LÄN</t>
        </is>
      </c>
      <c r="E514" t="inlineStr">
        <is>
          <t>NORRTÄLJE</t>
        </is>
      </c>
      <c r="G514" t="n">
        <v>2.4</v>
      </c>
      <c r="H514" t="n">
        <v>0</v>
      </c>
      <c r="I514" t="n">
        <v>0</v>
      </c>
      <c r="J514" t="n">
        <v>0</v>
      </c>
      <c r="K514" t="n">
        <v>0</v>
      </c>
      <c r="L514" t="n">
        <v>0</v>
      </c>
      <c r="M514" t="n">
        <v>0</v>
      </c>
      <c r="N514" t="n">
        <v>0</v>
      </c>
      <c r="O514" t="n">
        <v>0</v>
      </c>
      <c r="P514" t="n">
        <v>0</v>
      </c>
      <c r="Q514" t="n">
        <v>0</v>
      </c>
      <c r="R514" s="2" t="inlineStr"/>
    </row>
    <row r="515" ht="15" customHeight="1">
      <c r="A515" t="inlineStr">
        <is>
          <t>A 36689-2023</t>
        </is>
      </c>
      <c r="B515" s="1" t="n">
        <v>45152</v>
      </c>
      <c r="C515" s="1" t="n">
        <v>46203</v>
      </c>
      <c r="D515" t="inlineStr">
        <is>
          <t>STOCKHOLMS LÄN</t>
        </is>
      </c>
      <c r="E515" t="inlineStr">
        <is>
          <t>NORRTÄLJE</t>
        </is>
      </c>
      <c r="G515" t="n">
        <v>1.8</v>
      </c>
      <c r="H515" t="n">
        <v>0</v>
      </c>
      <c r="I515" t="n">
        <v>0</v>
      </c>
      <c r="J515" t="n">
        <v>0</v>
      </c>
      <c r="K515" t="n">
        <v>0</v>
      </c>
      <c r="L515" t="n">
        <v>0</v>
      </c>
      <c r="M515" t="n">
        <v>0</v>
      </c>
      <c r="N515" t="n">
        <v>0</v>
      </c>
      <c r="O515" t="n">
        <v>0</v>
      </c>
      <c r="P515" t="n">
        <v>0</v>
      </c>
      <c r="Q515" t="n">
        <v>0</v>
      </c>
      <c r="R515" s="2" t="inlineStr"/>
    </row>
    <row r="516" ht="15" customHeight="1">
      <c r="A516" t="inlineStr">
        <is>
          <t>A 34139-2025</t>
        </is>
      </c>
      <c r="B516" s="1" t="n">
        <v>45845</v>
      </c>
      <c r="C516" s="1" t="n">
        <v>46203</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34478-2025</t>
        </is>
      </c>
      <c r="B517" s="1" t="n">
        <v>45847</v>
      </c>
      <c r="C517" s="1" t="n">
        <v>46203</v>
      </c>
      <c r="D517" t="inlineStr">
        <is>
          <t>STOCKHOLMS LÄN</t>
        </is>
      </c>
      <c r="E517" t="inlineStr">
        <is>
          <t>NORRTÄLJE</t>
        </is>
      </c>
      <c r="F517" t="inlineStr">
        <is>
          <t>Övriga Aktiebolag</t>
        </is>
      </c>
      <c r="G517" t="n">
        <v>10.8</v>
      </c>
      <c r="H517" t="n">
        <v>0</v>
      </c>
      <c r="I517" t="n">
        <v>0</v>
      </c>
      <c r="J517" t="n">
        <v>0</v>
      </c>
      <c r="K517" t="n">
        <v>0</v>
      </c>
      <c r="L517" t="n">
        <v>0</v>
      </c>
      <c r="M517" t="n">
        <v>0</v>
      </c>
      <c r="N517" t="n">
        <v>0</v>
      </c>
      <c r="O517" t="n">
        <v>0</v>
      </c>
      <c r="P517" t="n">
        <v>0</v>
      </c>
      <c r="Q517" t="n">
        <v>0</v>
      </c>
      <c r="R517" s="2" t="inlineStr"/>
    </row>
    <row r="518" ht="15" customHeight="1">
      <c r="A518" t="inlineStr">
        <is>
          <t>A 4035-2023</t>
        </is>
      </c>
      <c r="B518" s="1" t="n">
        <v>44952</v>
      </c>
      <c r="C518" s="1" t="n">
        <v>46203</v>
      </c>
      <c r="D518" t="inlineStr">
        <is>
          <t>STOCKHOLMS LÄN</t>
        </is>
      </c>
      <c r="E518" t="inlineStr">
        <is>
          <t>NORRTÄLJE</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26644-2024</t>
        </is>
      </c>
      <c r="B519" s="1" t="n">
        <v>45469</v>
      </c>
      <c r="C519" s="1" t="n">
        <v>46203</v>
      </c>
      <c r="D519" t="inlineStr">
        <is>
          <t>STOCKHOLMS LÄN</t>
        </is>
      </c>
      <c r="E519" t="inlineStr">
        <is>
          <t>NORRTÄLJE</t>
        </is>
      </c>
      <c r="G519" t="n">
        <v>4.3</v>
      </c>
      <c r="H519" t="n">
        <v>0</v>
      </c>
      <c r="I519" t="n">
        <v>0</v>
      </c>
      <c r="J519" t="n">
        <v>0</v>
      </c>
      <c r="K519" t="n">
        <v>0</v>
      </c>
      <c r="L519" t="n">
        <v>0</v>
      </c>
      <c r="M519" t="n">
        <v>0</v>
      </c>
      <c r="N519" t="n">
        <v>0</v>
      </c>
      <c r="O519" t="n">
        <v>0</v>
      </c>
      <c r="P519" t="n">
        <v>0</v>
      </c>
      <c r="Q519" t="n">
        <v>0</v>
      </c>
      <c r="R519" s="2" t="inlineStr"/>
    </row>
    <row r="520" ht="15" customHeight="1">
      <c r="A520" t="inlineStr">
        <is>
          <t>A 26668-2024</t>
        </is>
      </c>
      <c r="B520" s="1" t="n">
        <v>45469</v>
      </c>
      <c r="C520" s="1" t="n">
        <v>46203</v>
      </c>
      <c r="D520" t="inlineStr">
        <is>
          <t>STOCKHOLMS LÄN</t>
        </is>
      </c>
      <c r="E520" t="inlineStr">
        <is>
          <t>NORRTÄLJE</t>
        </is>
      </c>
      <c r="G520" t="n">
        <v>4.8</v>
      </c>
      <c r="H520" t="n">
        <v>0</v>
      </c>
      <c r="I520" t="n">
        <v>0</v>
      </c>
      <c r="J520" t="n">
        <v>0</v>
      </c>
      <c r="K520" t="n">
        <v>0</v>
      </c>
      <c r="L520" t="n">
        <v>0</v>
      </c>
      <c r="M520" t="n">
        <v>0</v>
      </c>
      <c r="N520" t="n">
        <v>0</v>
      </c>
      <c r="O520" t="n">
        <v>0</v>
      </c>
      <c r="P520" t="n">
        <v>0</v>
      </c>
      <c r="Q520" t="n">
        <v>0</v>
      </c>
      <c r="R520" s="2" t="inlineStr"/>
    </row>
    <row r="521" ht="15" customHeight="1">
      <c r="A521" t="inlineStr">
        <is>
          <t>A 62922-2025</t>
        </is>
      </c>
      <c r="B521" s="1" t="n">
        <v>46009</v>
      </c>
      <c r="C521" s="1" t="n">
        <v>46203</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35110-2025</t>
        </is>
      </c>
      <c r="B522" s="1" t="n">
        <v>45852</v>
      </c>
      <c r="C522" s="1" t="n">
        <v>46203</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35479-2025</t>
        </is>
      </c>
      <c r="B523" s="1" t="n">
        <v>45855</v>
      </c>
      <c r="C523" s="1" t="n">
        <v>46203</v>
      </c>
      <c r="D523" t="inlineStr">
        <is>
          <t>STOCKHOLMS LÄN</t>
        </is>
      </c>
      <c r="E523" t="inlineStr">
        <is>
          <t>NORRTÄLJE</t>
        </is>
      </c>
      <c r="F523" t="inlineStr">
        <is>
          <t>Holmen skog AB</t>
        </is>
      </c>
      <c r="G523" t="n">
        <v>1.8</v>
      </c>
      <c r="H523" t="n">
        <v>0</v>
      </c>
      <c r="I523" t="n">
        <v>0</v>
      </c>
      <c r="J523" t="n">
        <v>0</v>
      </c>
      <c r="K523" t="n">
        <v>0</v>
      </c>
      <c r="L523" t="n">
        <v>0</v>
      </c>
      <c r="M523" t="n">
        <v>0</v>
      </c>
      <c r="N523" t="n">
        <v>0</v>
      </c>
      <c r="O523" t="n">
        <v>0</v>
      </c>
      <c r="P523" t="n">
        <v>0</v>
      </c>
      <c r="Q523" t="n">
        <v>0</v>
      </c>
      <c r="R523" s="2" t="inlineStr"/>
    </row>
    <row r="524" ht="15" customHeight="1">
      <c r="A524" t="inlineStr">
        <is>
          <t>A 37085-2021</t>
        </is>
      </c>
      <c r="B524" s="1" t="n">
        <v>44395</v>
      </c>
      <c r="C524" s="1" t="n">
        <v>46203</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35478-2025</t>
        </is>
      </c>
      <c r="B525" s="1" t="n">
        <v>45855</v>
      </c>
      <c r="C525" s="1" t="n">
        <v>46203</v>
      </c>
      <c r="D525" t="inlineStr">
        <is>
          <t>STOCKHOLMS LÄN</t>
        </is>
      </c>
      <c r="E525" t="inlineStr">
        <is>
          <t>NORRTÄLJE</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46988-2024</t>
        </is>
      </c>
      <c r="B526" s="1" t="n">
        <v>45586</v>
      </c>
      <c r="C526" s="1" t="n">
        <v>46203</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71552-2021</t>
        </is>
      </c>
      <c r="B527" s="1" t="n">
        <v>44540</v>
      </c>
      <c r="C527" s="1" t="n">
        <v>46203</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17382-2024</t>
        </is>
      </c>
      <c r="B528" s="1" t="n">
        <v>45414</v>
      </c>
      <c r="C528" s="1" t="n">
        <v>46203</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25557-2023</t>
        </is>
      </c>
      <c r="B529" s="1" t="n">
        <v>45089</v>
      </c>
      <c r="C529" s="1" t="n">
        <v>46203</v>
      </c>
      <c r="D529" t="inlineStr">
        <is>
          <t>STOCKHOLMS LÄN</t>
        </is>
      </c>
      <c r="E529" t="inlineStr">
        <is>
          <t>NORRTÄLJE</t>
        </is>
      </c>
      <c r="G529" t="n">
        <v>1</v>
      </c>
      <c r="H529" t="n">
        <v>0</v>
      </c>
      <c r="I529" t="n">
        <v>0</v>
      </c>
      <c r="J529" t="n">
        <v>0</v>
      </c>
      <c r="K529" t="n">
        <v>0</v>
      </c>
      <c r="L529" t="n">
        <v>0</v>
      </c>
      <c r="M529" t="n">
        <v>0</v>
      </c>
      <c r="N529" t="n">
        <v>0</v>
      </c>
      <c r="O529" t="n">
        <v>0</v>
      </c>
      <c r="P529" t="n">
        <v>0</v>
      </c>
      <c r="Q529" t="n">
        <v>0</v>
      </c>
      <c r="R529" s="2" t="inlineStr"/>
    </row>
    <row r="530" ht="15" customHeight="1">
      <c r="A530" t="inlineStr">
        <is>
          <t>A 718-2026</t>
        </is>
      </c>
      <c r="B530" s="1" t="n">
        <v>46029</v>
      </c>
      <c r="C530" s="1" t="n">
        <v>46203</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694-2026</t>
        </is>
      </c>
      <c r="B531" s="1" t="n">
        <v>46029</v>
      </c>
      <c r="C531" s="1" t="n">
        <v>46203</v>
      </c>
      <c r="D531" t="inlineStr">
        <is>
          <t>STOCKHOLMS LÄN</t>
        </is>
      </c>
      <c r="E531" t="inlineStr">
        <is>
          <t>NORRTÄLJE</t>
        </is>
      </c>
      <c r="G531" t="n">
        <v>9.6</v>
      </c>
      <c r="H531" t="n">
        <v>0</v>
      </c>
      <c r="I531" t="n">
        <v>0</v>
      </c>
      <c r="J531" t="n">
        <v>0</v>
      </c>
      <c r="K531" t="n">
        <v>0</v>
      </c>
      <c r="L531" t="n">
        <v>0</v>
      </c>
      <c r="M531" t="n">
        <v>0</v>
      </c>
      <c r="N531" t="n">
        <v>0</v>
      </c>
      <c r="O531" t="n">
        <v>0</v>
      </c>
      <c r="P531" t="n">
        <v>0</v>
      </c>
      <c r="Q531" t="n">
        <v>0</v>
      </c>
      <c r="R531" s="2" t="inlineStr"/>
    </row>
    <row r="532" ht="15" customHeight="1">
      <c r="A532" t="inlineStr">
        <is>
          <t>A 60525-2022</t>
        </is>
      </c>
      <c r="B532" s="1" t="n">
        <v>44904</v>
      </c>
      <c r="C532" s="1" t="n">
        <v>46203</v>
      </c>
      <c r="D532" t="inlineStr">
        <is>
          <t>STOCKHOLMS LÄN</t>
        </is>
      </c>
      <c r="E532" t="inlineStr">
        <is>
          <t>NORRTÄLJE</t>
        </is>
      </c>
      <c r="G532" t="n">
        <v>13.4</v>
      </c>
      <c r="H532" t="n">
        <v>0</v>
      </c>
      <c r="I532" t="n">
        <v>0</v>
      </c>
      <c r="J532" t="n">
        <v>0</v>
      </c>
      <c r="K532" t="n">
        <v>0</v>
      </c>
      <c r="L532" t="n">
        <v>0</v>
      </c>
      <c r="M532" t="n">
        <v>0</v>
      </c>
      <c r="N532" t="n">
        <v>0</v>
      </c>
      <c r="O532" t="n">
        <v>0</v>
      </c>
      <c r="P532" t="n">
        <v>0</v>
      </c>
      <c r="Q532" t="n">
        <v>0</v>
      </c>
      <c r="R532" s="2" t="inlineStr"/>
    </row>
    <row r="533" ht="15" customHeight="1">
      <c r="A533" t="inlineStr">
        <is>
          <t>A 20698-2025</t>
        </is>
      </c>
      <c r="B533" s="1" t="n">
        <v>45776</v>
      </c>
      <c r="C533" s="1" t="n">
        <v>46203</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693-2026</t>
        </is>
      </c>
      <c r="B534" s="1" t="n">
        <v>46029</v>
      </c>
      <c r="C534" s="1" t="n">
        <v>46203</v>
      </c>
      <c r="D534" t="inlineStr">
        <is>
          <t>STOCKHOLMS LÄN</t>
        </is>
      </c>
      <c r="E534" t="inlineStr">
        <is>
          <t>NORRTÄLJE</t>
        </is>
      </c>
      <c r="G534" t="n">
        <v>9.6</v>
      </c>
      <c r="H534" t="n">
        <v>0</v>
      </c>
      <c r="I534" t="n">
        <v>0</v>
      </c>
      <c r="J534" t="n">
        <v>0</v>
      </c>
      <c r="K534" t="n">
        <v>0</v>
      </c>
      <c r="L534" t="n">
        <v>0</v>
      </c>
      <c r="M534" t="n">
        <v>0</v>
      </c>
      <c r="N534" t="n">
        <v>0</v>
      </c>
      <c r="O534" t="n">
        <v>0</v>
      </c>
      <c r="P534" t="n">
        <v>0</v>
      </c>
      <c r="Q534" t="n">
        <v>0</v>
      </c>
      <c r="R534" s="2" t="inlineStr"/>
    </row>
    <row r="535" ht="15" customHeight="1">
      <c r="A535" t="inlineStr">
        <is>
          <t>A 58302-2022</t>
        </is>
      </c>
      <c r="B535" s="1" t="n">
        <v>44901</v>
      </c>
      <c r="C535" s="1" t="n">
        <v>46203</v>
      </c>
      <c r="D535" t="inlineStr">
        <is>
          <t>STOCKHOLMS LÄN</t>
        </is>
      </c>
      <c r="E535" t="inlineStr">
        <is>
          <t>NORRTÄLJE</t>
        </is>
      </c>
      <c r="G535" t="n">
        <v>3.9</v>
      </c>
      <c r="H535" t="n">
        <v>0</v>
      </c>
      <c r="I535" t="n">
        <v>0</v>
      </c>
      <c r="J535" t="n">
        <v>0</v>
      </c>
      <c r="K535" t="n">
        <v>0</v>
      </c>
      <c r="L535" t="n">
        <v>0</v>
      </c>
      <c r="M535" t="n">
        <v>0</v>
      </c>
      <c r="N535" t="n">
        <v>0</v>
      </c>
      <c r="O535" t="n">
        <v>0</v>
      </c>
      <c r="P535" t="n">
        <v>0</v>
      </c>
      <c r="Q535" t="n">
        <v>0</v>
      </c>
      <c r="R535" s="2" t="inlineStr"/>
    </row>
    <row r="536" ht="15" customHeight="1">
      <c r="A536" t="inlineStr">
        <is>
          <t>A 812-2026</t>
        </is>
      </c>
      <c r="B536" s="1" t="n">
        <v>46030</v>
      </c>
      <c r="C536" s="1" t="n">
        <v>46203</v>
      </c>
      <c r="D536" t="inlineStr">
        <is>
          <t>STOCKHOLMS LÄN</t>
        </is>
      </c>
      <c r="E536" t="inlineStr">
        <is>
          <t>NORRTÄLJE</t>
        </is>
      </c>
      <c r="G536" t="n">
        <v>2.4</v>
      </c>
      <c r="H536" t="n">
        <v>0</v>
      </c>
      <c r="I536" t="n">
        <v>0</v>
      </c>
      <c r="J536" t="n">
        <v>0</v>
      </c>
      <c r="K536" t="n">
        <v>0</v>
      </c>
      <c r="L536" t="n">
        <v>0</v>
      </c>
      <c r="M536" t="n">
        <v>0</v>
      </c>
      <c r="N536" t="n">
        <v>0</v>
      </c>
      <c r="O536" t="n">
        <v>0</v>
      </c>
      <c r="P536" t="n">
        <v>0</v>
      </c>
      <c r="Q536" t="n">
        <v>0</v>
      </c>
      <c r="R536" s="2" t="inlineStr"/>
    </row>
    <row r="537" ht="15" customHeight="1">
      <c r="A537" t="inlineStr">
        <is>
          <t>A 717-2026</t>
        </is>
      </c>
      <c r="B537" s="1" t="n">
        <v>46029</v>
      </c>
      <c r="C537" s="1" t="n">
        <v>46203</v>
      </c>
      <c r="D537" t="inlineStr">
        <is>
          <t>STOCKHOLMS LÄN</t>
        </is>
      </c>
      <c r="E537" t="inlineStr">
        <is>
          <t>NORRTÄLJE</t>
        </is>
      </c>
      <c r="G537" t="n">
        <v>2.4</v>
      </c>
      <c r="H537" t="n">
        <v>0</v>
      </c>
      <c r="I537" t="n">
        <v>0</v>
      </c>
      <c r="J537" t="n">
        <v>0</v>
      </c>
      <c r="K537" t="n">
        <v>0</v>
      </c>
      <c r="L537" t="n">
        <v>0</v>
      </c>
      <c r="M537" t="n">
        <v>0</v>
      </c>
      <c r="N537" t="n">
        <v>0</v>
      </c>
      <c r="O537" t="n">
        <v>0</v>
      </c>
      <c r="P537" t="n">
        <v>0</v>
      </c>
      <c r="Q537" t="n">
        <v>0</v>
      </c>
      <c r="R537" s="2" t="inlineStr"/>
    </row>
    <row r="538" ht="15" customHeight="1">
      <c r="A538" t="inlineStr">
        <is>
          <t>A 475-2026</t>
        </is>
      </c>
      <c r="B538" s="1" t="n">
        <v>46029</v>
      </c>
      <c r="C538" s="1" t="n">
        <v>46203</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22232-2024</t>
        </is>
      </c>
      <c r="B539" s="1" t="n">
        <v>45446</v>
      </c>
      <c r="C539" s="1" t="n">
        <v>46203</v>
      </c>
      <c r="D539" t="inlineStr">
        <is>
          <t>STOCKHOLMS LÄN</t>
        </is>
      </c>
      <c r="E539" t="inlineStr">
        <is>
          <t>NORRTÄLJE</t>
        </is>
      </c>
      <c r="G539" t="n">
        <v>12.8</v>
      </c>
      <c r="H539" t="n">
        <v>0</v>
      </c>
      <c r="I539" t="n">
        <v>0</v>
      </c>
      <c r="J539" t="n">
        <v>0</v>
      </c>
      <c r="K539" t="n">
        <v>0</v>
      </c>
      <c r="L539" t="n">
        <v>0</v>
      </c>
      <c r="M539" t="n">
        <v>0</v>
      </c>
      <c r="N539" t="n">
        <v>0</v>
      </c>
      <c r="O539" t="n">
        <v>0</v>
      </c>
      <c r="P539" t="n">
        <v>0</v>
      </c>
      <c r="Q539" t="n">
        <v>0</v>
      </c>
      <c r="R539" s="2" t="inlineStr"/>
    </row>
    <row r="540" ht="15" customHeight="1">
      <c r="A540" t="inlineStr">
        <is>
          <t>A 34444-2024</t>
        </is>
      </c>
      <c r="B540" s="1" t="n">
        <v>45525</v>
      </c>
      <c r="C540" s="1" t="n">
        <v>46203</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1789-2026</t>
        </is>
      </c>
      <c r="B541" s="1" t="n">
        <v>46034</v>
      </c>
      <c r="C541" s="1" t="n">
        <v>46203</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1755-2026</t>
        </is>
      </c>
      <c r="B542" s="1" t="n">
        <v>46034</v>
      </c>
      <c r="C542" s="1" t="n">
        <v>46203</v>
      </c>
      <c r="D542" t="inlineStr">
        <is>
          <t>STOCKHOLMS LÄN</t>
        </is>
      </c>
      <c r="E542" t="inlineStr">
        <is>
          <t>NORRTÄLJE</t>
        </is>
      </c>
      <c r="F542" t="inlineStr">
        <is>
          <t>Holmen skog AB</t>
        </is>
      </c>
      <c r="G542" t="n">
        <v>3.5</v>
      </c>
      <c r="H542" t="n">
        <v>0</v>
      </c>
      <c r="I542" t="n">
        <v>0</v>
      </c>
      <c r="J542" t="n">
        <v>0</v>
      </c>
      <c r="K542" t="n">
        <v>0</v>
      </c>
      <c r="L542" t="n">
        <v>0</v>
      </c>
      <c r="M542" t="n">
        <v>0</v>
      </c>
      <c r="N542" t="n">
        <v>0</v>
      </c>
      <c r="O542" t="n">
        <v>0</v>
      </c>
      <c r="P542" t="n">
        <v>0</v>
      </c>
      <c r="Q542" t="n">
        <v>0</v>
      </c>
      <c r="R542" s="2" t="inlineStr"/>
    </row>
    <row r="543" ht="15" customHeight="1">
      <c r="A543" t="inlineStr">
        <is>
          <t>A 23269-2023</t>
        </is>
      </c>
      <c r="B543" s="1" t="n">
        <v>45075</v>
      </c>
      <c r="C543" s="1" t="n">
        <v>46203</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2088-2026</t>
        </is>
      </c>
      <c r="B544" s="1" t="n">
        <v>46036</v>
      </c>
      <c r="C544" s="1" t="n">
        <v>46203</v>
      </c>
      <c r="D544" t="inlineStr">
        <is>
          <t>STOCKHOLMS LÄN</t>
        </is>
      </c>
      <c r="E544" t="inlineStr">
        <is>
          <t>NORRTÄLJE</t>
        </is>
      </c>
      <c r="G544" t="n">
        <v>7</v>
      </c>
      <c r="H544" t="n">
        <v>0</v>
      </c>
      <c r="I544" t="n">
        <v>0</v>
      </c>
      <c r="J544" t="n">
        <v>0</v>
      </c>
      <c r="K544" t="n">
        <v>0</v>
      </c>
      <c r="L544" t="n">
        <v>0</v>
      </c>
      <c r="M544" t="n">
        <v>0</v>
      </c>
      <c r="N544" t="n">
        <v>0</v>
      </c>
      <c r="O544" t="n">
        <v>0</v>
      </c>
      <c r="P544" t="n">
        <v>0</v>
      </c>
      <c r="Q544" t="n">
        <v>0</v>
      </c>
      <c r="R544" s="2" t="inlineStr"/>
    </row>
    <row r="545" ht="15" customHeight="1">
      <c r="A545" t="inlineStr">
        <is>
          <t>A 2116-2026</t>
        </is>
      </c>
      <c r="B545" s="1" t="n">
        <v>46036</v>
      </c>
      <c r="C545" s="1" t="n">
        <v>46203</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23060-2023</t>
        </is>
      </c>
      <c r="B546" s="1" t="n">
        <v>45075</v>
      </c>
      <c r="C546" s="1" t="n">
        <v>46203</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20692-2025</t>
        </is>
      </c>
      <c r="B547" s="1" t="n">
        <v>45776</v>
      </c>
      <c r="C547" s="1" t="n">
        <v>46203</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46071-2024</t>
        </is>
      </c>
      <c r="B548" s="1" t="n">
        <v>45581</v>
      </c>
      <c r="C548" s="1" t="n">
        <v>46203</v>
      </c>
      <c r="D548" t="inlineStr">
        <is>
          <t>STOCKHOLMS LÄN</t>
        </is>
      </c>
      <c r="E548" t="inlineStr">
        <is>
          <t>NORRTÄLJE</t>
        </is>
      </c>
      <c r="G548" t="n">
        <v>2.3</v>
      </c>
      <c r="H548" t="n">
        <v>0</v>
      </c>
      <c r="I548" t="n">
        <v>0</v>
      </c>
      <c r="J548" t="n">
        <v>0</v>
      </c>
      <c r="K548" t="n">
        <v>0</v>
      </c>
      <c r="L548" t="n">
        <v>0</v>
      </c>
      <c r="M548" t="n">
        <v>0</v>
      </c>
      <c r="N548" t="n">
        <v>0</v>
      </c>
      <c r="O548" t="n">
        <v>0</v>
      </c>
      <c r="P548" t="n">
        <v>0</v>
      </c>
      <c r="Q548" t="n">
        <v>0</v>
      </c>
      <c r="R548" s="2" t="inlineStr"/>
    </row>
    <row r="549" ht="15" customHeight="1">
      <c r="A549" t="inlineStr">
        <is>
          <t>A 3549-2026</t>
        </is>
      </c>
      <c r="B549" s="1" t="n">
        <v>46042</v>
      </c>
      <c r="C549" s="1" t="n">
        <v>46203</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52743-2024</t>
        </is>
      </c>
      <c r="B550" s="1" t="n">
        <v>45610</v>
      </c>
      <c r="C550" s="1" t="n">
        <v>46203</v>
      </c>
      <c r="D550" t="inlineStr">
        <is>
          <t>STOCKHOLMS LÄN</t>
        </is>
      </c>
      <c r="E550" t="inlineStr">
        <is>
          <t>NORRTÄLJE</t>
        </is>
      </c>
      <c r="G550" t="n">
        <v>1.5</v>
      </c>
      <c r="H550" t="n">
        <v>0</v>
      </c>
      <c r="I550" t="n">
        <v>0</v>
      </c>
      <c r="J550" t="n">
        <v>0</v>
      </c>
      <c r="K550" t="n">
        <v>0</v>
      </c>
      <c r="L550" t="n">
        <v>0</v>
      </c>
      <c r="M550" t="n">
        <v>0</v>
      </c>
      <c r="N550" t="n">
        <v>0</v>
      </c>
      <c r="O550" t="n">
        <v>0</v>
      </c>
      <c r="P550" t="n">
        <v>0</v>
      </c>
      <c r="Q550" t="n">
        <v>0</v>
      </c>
      <c r="R550" s="2" t="inlineStr"/>
    </row>
    <row r="551" ht="15" customHeight="1">
      <c r="A551" t="inlineStr">
        <is>
          <t>A 37632-2025</t>
        </is>
      </c>
      <c r="B551" s="1" t="n">
        <v>45880</v>
      </c>
      <c r="C551" s="1" t="n">
        <v>46203</v>
      </c>
      <c r="D551" t="inlineStr">
        <is>
          <t>STOCKHOLMS LÄN</t>
        </is>
      </c>
      <c r="E551" t="inlineStr">
        <is>
          <t>NORRTÄLJE</t>
        </is>
      </c>
      <c r="F551" t="inlineStr">
        <is>
          <t>Sveaskog</t>
        </is>
      </c>
      <c r="G551" t="n">
        <v>6.4</v>
      </c>
      <c r="H551" t="n">
        <v>0</v>
      </c>
      <c r="I551" t="n">
        <v>0</v>
      </c>
      <c r="J551" t="n">
        <v>0</v>
      </c>
      <c r="K551" t="n">
        <v>0</v>
      </c>
      <c r="L551" t="n">
        <v>0</v>
      </c>
      <c r="M551" t="n">
        <v>0</v>
      </c>
      <c r="N551" t="n">
        <v>0</v>
      </c>
      <c r="O551" t="n">
        <v>0</v>
      </c>
      <c r="P551" t="n">
        <v>0</v>
      </c>
      <c r="Q551" t="n">
        <v>0</v>
      </c>
      <c r="R551" s="2" t="inlineStr"/>
    </row>
    <row r="552" ht="15" customHeight="1">
      <c r="A552" t="inlineStr">
        <is>
          <t>A 11499-2023</t>
        </is>
      </c>
      <c r="B552" s="1" t="n">
        <v>44993</v>
      </c>
      <c r="C552" s="1" t="n">
        <v>46203</v>
      </c>
      <c r="D552" t="inlineStr">
        <is>
          <t>STOCKHOLMS LÄN</t>
        </is>
      </c>
      <c r="E552" t="inlineStr">
        <is>
          <t>NORRTÄLJE</t>
        </is>
      </c>
      <c r="F552" t="inlineStr">
        <is>
          <t>Holmen skog AB</t>
        </is>
      </c>
      <c r="G552" t="n">
        <v>2.8</v>
      </c>
      <c r="H552" t="n">
        <v>0</v>
      </c>
      <c r="I552" t="n">
        <v>0</v>
      </c>
      <c r="J552" t="n">
        <v>0</v>
      </c>
      <c r="K552" t="n">
        <v>0</v>
      </c>
      <c r="L552" t="n">
        <v>0</v>
      </c>
      <c r="M552" t="n">
        <v>0</v>
      </c>
      <c r="N552" t="n">
        <v>0</v>
      </c>
      <c r="O552" t="n">
        <v>0</v>
      </c>
      <c r="P552" t="n">
        <v>0</v>
      </c>
      <c r="Q552" t="n">
        <v>0</v>
      </c>
      <c r="R552" s="2" t="inlineStr"/>
    </row>
    <row r="553" ht="15" customHeight="1">
      <c r="A553" t="inlineStr">
        <is>
          <t>A 35640-2024</t>
        </is>
      </c>
      <c r="B553" s="1" t="n">
        <v>45531</v>
      </c>
      <c r="C553" s="1" t="n">
        <v>46203</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13137-2024</t>
        </is>
      </c>
      <c r="B554" s="1" t="n">
        <v>45386</v>
      </c>
      <c r="C554" s="1" t="n">
        <v>46203</v>
      </c>
      <c r="D554" t="inlineStr">
        <is>
          <t>STOCKHOLMS LÄN</t>
        </is>
      </c>
      <c r="E554" t="inlineStr">
        <is>
          <t>NORRTÄLJE</t>
        </is>
      </c>
      <c r="G554" t="n">
        <v>5</v>
      </c>
      <c r="H554" t="n">
        <v>0</v>
      </c>
      <c r="I554" t="n">
        <v>0</v>
      </c>
      <c r="J554" t="n">
        <v>0</v>
      </c>
      <c r="K554" t="n">
        <v>0</v>
      </c>
      <c r="L554" t="n">
        <v>0</v>
      </c>
      <c r="M554" t="n">
        <v>0</v>
      </c>
      <c r="N554" t="n">
        <v>0</v>
      </c>
      <c r="O554" t="n">
        <v>0</v>
      </c>
      <c r="P554" t="n">
        <v>0</v>
      </c>
      <c r="Q554" t="n">
        <v>0</v>
      </c>
      <c r="R554" s="2" t="inlineStr"/>
    </row>
    <row r="555" ht="15" customHeight="1">
      <c r="A555" t="inlineStr">
        <is>
          <t>A 38153-2025</t>
        </is>
      </c>
      <c r="B555" s="1" t="n">
        <v>45882</v>
      </c>
      <c r="C555" s="1" t="n">
        <v>46203</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67990-2021</t>
        </is>
      </c>
      <c r="B556" s="1" t="n">
        <v>44525</v>
      </c>
      <c r="C556" s="1" t="n">
        <v>46203</v>
      </c>
      <c r="D556" t="inlineStr">
        <is>
          <t>STOCKHOLMS LÄN</t>
        </is>
      </c>
      <c r="E556" t="inlineStr">
        <is>
          <t>NORRTÄLJE</t>
        </is>
      </c>
      <c r="F556" t="inlineStr">
        <is>
          <t>Sveaskog</t>
        </is>
      </c>
      <c r="G556" t="n">
        <v>7.8</v>
      </c>
      <c r="H556" t="n">
        <v>0</v>
      </c>
      <c r="I556" t="n">
        <v>0</v>
      </c>
      <c r="J556" t="n">
        <v>0</v>
      </c>
      <c r="K556" t="n">
        <v>0</v>
      </c>
      <c r="L556" t="n">
        <v>0</v>
      </c>
      <c r="M556" t="n">
        <v>0</v>
      </c>
      <c r="N556" t="n">
        <v>0</v>
      </c>
      <c r="O556" t="n">
        <v>0</v>
      </c>
      <c r="P556" t="n">
        <v>0</v>
      </c>
      <c r="Q556" t="n">
        <v>0</v>
      </c>
      <c r="R556" s="2" t="inlineStr"/>
    </row>
    <row r="557" ht="15" customHeight="1">
      <c r="A557" t="inlineStr">
        <is>
          <t>A 3933-2026</t>
        </is>
      </c>
      <c r="B557" s="1" t="n">
        <v>46043</v>
      </c>
      <c r="C557" s="1" t="n">
        <v>46203</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4549-2026</t>
        </is>
      </c>
      <c r="B558" s="1" t="n">
        <v>46047</v>
      </c>
      <c r="C558" s="1" t="n">
        <v>46203</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21696-2024</t>
        </is>
      </c>
      <c r="B559" s="1" t="n">
        <v>45442</v>
      </c>
      <c r="C559" s="1" t="n">
        <v>46203</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4230-2026</t>
        </is>
      </c>
      <c r="B560" s="1" t="n">
        <v>46044</v>
      </c>
      <c r="C560" s="1" t="n">
        <v>46203</v>
      </c>
      <c r="D560" t="inlineStr">
        <is>
          <t>STOCKHOLMS LÄN</t>
        </is>
      </c>
      <c r="E560" t="inlineStr">
        <is>
          <t>NORRTÄLJE</t>
        </is>
      </c>
      <c r="G560" t="n">
        <v>10.8</v>
      </c>
      <c r="H560" t="n">
        <v>0</v>
      </c>
      <c r="I560" t="n">
        <v>0</v>
      </c>
      <c r="J560" t="n">
        <v>0</v>
      </c>
      <c r="K560" t="n">
        <v>0</v>
      </c>
      <c r="L560" t="n">
        <v>0</v>
      </c>
      <c r="M560" t="n">
        <v>0</v>
      </c>
      <c r="N560" t="n">
        <v>0</v>
      </c>
      <c r="O560" t="n">
        <v>0</v>
      </c>
      <c r="P560" t="n">
        <v>0</v>
      </c>
      <c r="Q560" t="n">
        <v>0</v>
      </c>
      <c r="R560" s="2" t="inlineStr"/>
    </row>
    <row r="561" ht="15" customHeight="1">
      <c r="A561" t="inlineStr">
        <is>
          <t>A 37136-2023</t>
        </is>
      </c>
      <c r="B561" s="1" t="n">
        <v>45155</v>
      </c>
      <c r="C561" s="1" t="n">
        <v>46203</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4232-2026</t>
        </is>
      </c>
      <c r="B562" s="1" t="n">
        <v>46044</v>
      </c>
      <c r="C562" s="1" t="n">
        <v>46203</v>
      </c>
      <c r="D562" t="inlineStr">
        <is>
          <t>STOCKHOLMS LÄN</t>
        </is>
      </c>
      <c r="E562" t="inlineStr">
        <is>
          <t>NORRTÄLJE</t>
        </is>
      </c>
      <c r="G562" t="n">
        <v>3.8</v>
      </c>
      <c r="H562" t="n">
        <v>0</v>
      </c>
      <c r="I562" t="n">
        <v>0</v>
      </c>
      <c r="J562" t="n">
        <v>0</v>
      </c>
      <c r="K562" t="n">
        <v>0</v>
      </c>
      <c r="L562" t="n">
        <v>0</v>
      </c>
      <c r="M562" t="n">
        <v>0</v>
      </c>
      <c r="N562" t="n">
        <v>0</v>
      </c>
      <c r="O562" t="n">
        <v>0</v>
      </c>
      <c r="P562" t="n">
        <v>0</v>
      </c>
      <c r="Q562" t="n">
        <v>0</v>
      </c>
      <c r="R562" s="2" t="inlineStr"/>
    </row>
    <row r="563" ht="15" customHeight="1">
      <c r="A563" t="inlineStr">
        <is>
          <t>A 5241-2026</t>
        </is>
      </c>
      <c r="B563" s="1" t="n">
        <v>46049</v>
      </c>
      <c r="C563" s="1" t="n">
        <v>46203</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1740-2023</t>
        </is>
      </c>
      <c r="B564" s="1" t="n">
        <v>44938</v>
      </c>
      <c r="C564" s="1" t="n">
        <v>46203</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5224-2026</t>
        </is>
      </c>
      <c r="B565" s="1" t="n">
        <v>46049</v>
      </c>
      <c r="C565" s="1" t="n">
        <v>46203</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5227-2026</t>
        </is>
      </c>
      <c r="B566" s="1" t="n">
        <v>46049</v>
      </c>
      <c r="C566" s="1" t="n">
        <v>46203</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5226-2026</t>
        </is>
      </c>
      <c r="B567" s="1" t="n">
        <v>46049</v>
      </c>
      <c r="C567" s="1" t="n">
        <v>46203</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5934-2026</t>
        </is>
      </c>
      <c r="B568" s="1" t="n">
        <v>46052</v>
      </c>
      <c r="C568" s="1" t="n">
        <v>46203</v>
      </c>
      <c r="D568" t="inlineStr">
        <is>
          <t>STOCKHOLMS LÄN</t>
        </is>
      </c>
      <c r="E568" t="inlineStr">
        <is>
          <t>NORRTÄLJE</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39610-2025</t>
        </is>
      </c>
      <c r="B569" s="1" t="n">
        <v>45890</v>
      </c>
      <c r="C569" s="1" t="n">
        <v>46203</v>
      </c>
      <c r="D569" t="inlineStr">
        <is>
          <t>STOCKHOLMS LÄN</t>
        </is>
      </c>
      <c r="E569" t="inlineStr">
        <is>
          <t>NORRTÄLJE</t>
        </is>
      </c>
      <c r="G569" t="n">
        <v>28.6</v>
      </c>
      <c r="H569" t="n">
        <v>0</v>
      </c>
      <c r="I569" t="n">
        <v>0</v>
      </c>
      <c r="J569" t="n">
        <v>0</v>
      </c>
      <c r="K569" t="n">
        <v>0</v>
      </c>
      <c r="L569" t="n">
        <v>0</v>
      </c>
      <c r="M569" t="n">
        <v>0</v>
      </c>
      <c r="N569" t="n">
        <v>0</v>
      </c>
      <c r="O569" t="n">
        <v>0</v>
      </c>
      <c r="P569" t="n">
        <v>0</v>
      </c>
      <c r="Q569" t="n">
        <v>0</v>
      </c>
      <c r="R569" s="2" t="inlineStr"/>
    </row>
    <row r="570" ht="15" customHeight="1">
      <c r="A570" t="inlineStr">
        <is>
          <t>A 58492-2022</t>
        </is>
      </c>
      <c r="B570" s="1" t="n">
        <v>44902</v>
      </c>
      <c r="C570" s="1" t="n">
        <v>46203</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67921-2021</t>
        </is>
      </c>
      <c r="B571" s="1" t="n">
        <v>44525</v>
      </c>
      <c r="C571" s="1" t="n">
        <v>46203</v>
      </c>
      <c r="D571" t="inlineStr">
        <is>
          <t>STOCKHOLMS LÄN</t>
        </is>
      </c>
      <c r="E571" t="inlineStr">
        <is>
          <t>NORRTÄLJE</t>
        </is>
      </c>
      <c r="G571" t="n">
        <v>6.3</v>
      </c>
      <c r="H571" t="n">
        <v>0</v>
      </c>
      <c r="I571" t="n">
        <v>0</v>
      </c>
      <c r="J571" t="n">
        <v>0</v>
      </c>
      <c r="K571" t="n">
        <v>0</v>
      </c>
      <c r="L571" t="n">
        <v>0</v>
      </c>
      <c r="M571" t="n">
        <v>0</v>
      </c>
      <c r="N571" t="n">
        <v>0</v>
      </c>
      <c r="O571" t="n">
        <v>0</v>
      </c>
      <c r="P571" t="n">
        <v>0</v>
      </c>
      <c r="Q571" t="n">
        <v>0</v>
      </c>
      <c r="R571" s="2" t="inlineStr"/>
    </row>
    <row r="572" ht="15" customHeight="1">
      <c r="A572" t="inlineStr">
        <is>
          <t>A 6724-2026</t>
        </is>
      </c>
      <c r="B572" s="1" t="n">
        <v>46056</v>
      </c>
      <c r="C572" s="1" t="n">
        <v>46203</v>
      </c>
      <c r="D572" t="inlineStr">
        <is>
          <t>STOCKHOLMS LÄN</t>
        </is>
      </c>
      <c r="E572" t="inlineStr">
        <is>
          <t>NORRTÄLJE</t>
        </is>
      </c>
      <c r="F572" t="inlineStr">
        <is>
          <t>Holmen skog AB</t>
        </is>
      </c>
      <c r="G572" t="n">
        <v>16.2</v>
      </c>
      <c r="H572" t="n">
        <v>0</v>
      </c>
      <c r="I572" t="n">
        <v>0</v>
      </c>
      <c r="J572" t="n">
        <v>0</v>
      </c>
      <c r="K572" t="n">
        <v>0</v>
      </c>
      <c r="L572" t="n">
        <v>0</v>
      </c>
      <c r="M572" t="n">
        <v>0</v>
      </c>
      <c r="N572" t="n">
        <v>0</v>
      </c>
      <c r="O572" t="n">
        <v>0</v>
      </c>
      <c r="P572" t="n">
        <v>0</v>
      </c>
      <c r="Q572" t="n">
        <v>0</v>
      </c>
      <c r="R572" s="2" t="inlineStr"/>
    </row>
    <row r="573" ht="15" customHeight="1">
      <c r="A573" t="inlineStr">
        <is>
          <t>A 4581-2025</t>
        </is>
      </c>
      <c r="B573" s="1" t="n">
        <v>45687</v>
      </c>
      <c r="C573" s="1" t="n">
        <v>46203</v>
      </c>
      <c r="D573" t="inlineStr">
        <is>
          <t>STOCKHOLMS LÄN</t>
        </is>
      </c>
      <c r="E573" t="inlineStr">
        <is>
          <t>NORRTÄLJE</t>
        </is>
      </c>
      <c r="F573" t="inlineStr">
        <is>
          <t>Holmen skog AB</t>
        </is>
      </c>
      <c r="G573" t="n">
        <v>2.8</v>
      </c>
      <c r="H573" t="n">
        <v>0</v>
      </c>
      <c r="I573" t="n">
        <v>0</v>
      </c>
      <c r="J573" t="n">
        <v>0</v>
      </c>
      <c r="K573" t="n">
        <v>0</v>
      </c>
      <c r="L573" t="n">
        <v>0</v>
      </c>
      <c r="M573" t="n">
        <v>0</v>
      </c>
      <c r="N573" t="n">
        <v>0</v>
      </c>
      <c r="O573" t="n">
        <v>0</v>
      </c>
      <c r="P573" t="n">
        <v>0</v>
      </c>
      <c r="Q573" t="n">
        <v>0</v>
      </c>
      <c r="R573" s="2" t="inlineStr"/>
    </row>
    <row r="574" ht="15" customHeight="1">
      <c r="A574" t="inlineStr">
        <is>
          <t>A 7308-2026</t>
        </is>
      </c>
      <c r="B574" s="1" t="n">
        <v>46058</v>
      </c>
      <c r="C574" s="1" t="n">
        <v>46203</v>
      </c>
      <c r="D574" t="inlineStr">
        <is>
          <t>STOCKHOLMS LÄN</t>
        </is>
      </c>
      <c r="E574" t="inlineStr">
        <is>
          <t>NORRTÄLJE</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62398-2022</t>
        </is>
      </c>
      <c r="B575" s="1" t="n">
        <v>44923</v>
      </c>
      <c r="C575" s="1" t="n">
        <v>46203</v>
      </c>
      <c r="D575" t="inlineStr">
        <is>
          <t>STOCKHOLMS LÄN</t>
        </is>
      </c>
      <c r="E575" t="inlineStr">
        <is>
          <t>NORRTÄLJE</t>
        </is>
      </c>
      <c r="G575" t="n">
        <v>4</v>
      </c>
      <c r="H575" t="n">
        <v>0</v>
      </c>
      <c r="I575" t="n">
        <v>0</v>
      </c>
      <c r="J575" t="n">
        <v>0</v>
      </c>
      <c r="K575" t="n">
        <v>0</v>
      </c>
      <c r="L575" t="n">
        <v>0</v>
      </c>
      <c r="M575" t="n">
        <v>0</v>
      </c>
      <c r="N575" t="n">
        <v>0</v>
      </c>
      <c r="O575" t="n">
        <v>0</v>
      </c>
      <c r="P575" t="n">
        <v>0</v>
      </c>
      <c r="Q575" t="n">
        <v>0</v>
      </c>
      <c r="R575" s="2" t="inlineStr"/>
    </row>
    <row r="576" ht="15" customHeight="1">
      <c r="A576" t="inlineStr">
        <is>
          <t>A 6838-2026</t>
        </is>
      </c>
      <c r="B576" s="1" t="n">
        <v>46057</v>
      </c>
      <c r="C576" s="1" t="n">
        <v>46203</v>
      </c>
      <c r="D576" t="inlineStr">
        <is>
          <t>STOCKHOLMS LÄN</t>
        </is>
      </c>
      <c r="E576" t="inlineStr">
        <is>
          <t>NORRTÄLJE</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6874-2026</t>
        </is>
      </c>
      <c r="B577" s="1" t="n">
        <v>46057</v>
      </c>
      <c r="C577" s="1" t="n">
        <v>46203</v>
      </c>
      <c r="D577" t="inlineStr">
        <is>
          <t>STOCKHOLMS LÄN</t>
        </is>
      </c>
      <c r="E577" t="inlineStr">
        <is>
          <t>NORRTÄLJE</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6828-2026</t>
        </is>
      </c>
      <c r="B578" s="1" t="n">
        <v>46057</v>
      </c>
      <c r="C578" s="1" t="n">
        <v>46203</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7532-2026</t>
        </is>
      </c>
      <c r="B579" s="1" t="n">
        <v>46059</v>
      </c>
      <c r="C579" s="1" t="n">
        <v>46203</v>
      </c>
      <c r="D579" t="inlineStr">
        <is>
          <t>STOCKHOLMS LÄN</t>
        </is>
      </c>
      <c r="E579" t="inlineStr">
        <is>
          <t>NORRTÄLJE</t>
        </is>
      </c>
      <c r="G579" t="n">
        <v>5.2</v>
      </c>
      <c r="H579" t="n">
        <v>0</v>
      </c>
      <c r="I579" t="n">
        <v>0</v>
      </c>
      <c r="J579" t="n">
        <v>0</v>
      </c>
      <c r="K579" t="n">
        <v>0</v>
      </c>
      <c r="L579" t="n">
        <v>0</v>
      </c>
      <c r="M579" t="n">
        <v>0</v>
      </c>
      <c r="N579" t="n">
        <v>0</v>
      </c>
      <c r="O579" t="n">
        <v>0</v>
      </c>
      <c r="P579" t="n">
        <v>0</v>
      </c>
      <c r="Q579" t="n">
        <v>0</v>
      </c>
      <c r="R579" s="2" t="inlineStr"/>
    </row>
    <row r="580" ht="15" customHeight="1">
      <c r="A580" t="inlineStr">
        <is>
          <t>A 7582-2026</t>
        </is>
      </c>
      <c r="B580" s="1" t="n">
        <v>46061</v>
      </c>
      <c r="C580" s="1" t="n">
        <v>46203</v>
      </c>
      <c r="D580" t="inlineStr">
        <is>
          <t>STOCKHOLMS LÄN</t>
        </is>
      </c>
      <c r="E580" t="inlineStr">
        <is>
          <t>NORRTÄLJE</t>
        </is>
      </c>
      <c r="G580" t="n">
        <v>1.3</v>
      </c>
      <c r="H580" t="n">
        <v>0</v>
      </c>
      <c r="I580" t="n">
        <v>0</v>
      </c>
      <c r="J580" t="n">
        <v>0</v>
      </c>
      <c r="K580" t="n">
        <v>0</v>
      </c>
      <c r="L580" t="n">
        <v>0</v>
      </c>
      <c r="M580" t="n">
        <v>0</v>
      </c>
      <c r="N580" t="n">
        <v>0</v>
      </c>
      <c r="O580" t="n">
        <v>0</v>
      </c>
      <c r="P580" t="n">
        <v>0</v>
      </c>
      <c r="Q580" t="n">
        <v>0</v>
      </c>
      <c r="R580" s="2" t="inlineStr"/>
    </row>
    <row r="581" ht="15" customHeight="1">
      <c r="A581" t="inlineStr">
        <is>
          <t>A 7793-2026</t>
        </is>
      </c>
      <c r="B581" s="1" t="n">
        <v>46062</v>
      </c>
      <c r="C581" s="1" t="n">
        <v>46203</v>
      </c>
      <c r="D581" t="inlineStr">
        <is>
          <t>STOCKHOLMS LÄN</t>
        </is>
      </c>
      <c r="E581" t="inlineStr">
        <is>
          <t>NORRTÄLJE</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17039-2024</t>
        </is>
      </c>
      <c r="B582" s="1" t="n">
        <v>45412</v>
      </c>
      <c r="C582" s="1" t="n">
        <v>46203</v>
      </c>
      <c r="D582" t="inlineStr">
        <is>
          <t>STOCKHOLMS LÄN</t>
        </is>
      </c>
      <c r="E582" t="inlineStr">
        <is>
          <t>NORRTÄLJE</t>
        </is>
      </c>
      <c r="G582" t="n">
        <v>5.9</v>
      </c>
      <c r="H582" t="n">
        <v>0</v>
      </c>
      <c r="I582" t="n">
        <v>0</v>
      </c>
      <c r="J582" t="n">
        <v>0</v>
      </c>
      <c r="K582" t="n">
        <v>0</v>
      </c>
      <c r="L582" t="n">
        <v>0</v>
      </c>
      <c r="M582" t="n">
        <v>0</v>
      </c>
      <c r="N582" t="n">
        <v>0</v>
      </c>
      <c r="O582" t="n">
        <v>0</v>
      </c>
      <c r="P582" t="n">
        <v>0</v>
      </c>
      <c r="Q582" t="n">
        <v>0</v>
      </c>
      <c r="R582" s="2" t="inlineStr"/>
    </row>
    <row r="583" ht="15" customHeight="1">
      <c r="A583" t="inlineStr">
        <is>
          <t>A 3509-2022</t>
        </is>
      </c>
      <c r="B583" s="1" t="n">
        <v>44585</v>
      </c>
      <c r="C583" s="1" t="n">
        <v>46203</v>
      </c>
      <c r="D583" t="inlineStr">
        <is>
          <t>STOCKHOLMS LÄN</t>
        </is>
      </c>
      <c r="E583" t="inlineStr">
        <is>
          <t>NORRTÄLJE</t>
        </is>
      </c>
      <c r="F583" t="inlineStr">
        <is>
          <t>Kommuner</t>
        </is>
      </c>
      <c r="G583" t="n">
        <v>0.8</v>
      </c>
      <c r="H583" t="n">
        <v>0</v>
      </c>
      <c r="I583" t="n">
        <v>0</v>
      </c>
      <c r="J583" t="n">
        <v>0</v>
      </c>
      <c r="K583" t="n">
        <v>0</v>
      </c>
      <c r="L583" t="n">
        <v>0</v>
      </c>
      <c r="M583" t="n">
        <v>0</v>
      </c>
      <c r="N583" t="n">
        <v>0</v>
      </c>
      <c r="O583" t="n">
        <v>0</v>
      </c>
      <c r="P583" t="n">
        <v>0</v>
      </c>
      <c r="Q583" t="n">
        <v>0</v>
      </c>
      <c r="R583" s="2" t="inlineStr"/>
    </row>
    <row r="584" ht="15" customHeight="1">
      <c r="A584" t="inlineStr">
        <is>
          <t>A 8091-2026</t>
        </is>
      </c>
      <c r="B584" s="1" t="n">
        <v>46063</v>
      </c>
      <c r="C584" s="1" t="n">
        <v>46203</v>
      </c>
      <c r="D584" t="inlineStr">
        <is>
          <t>STOCKHOLMS LÄN</t>
        </is>
      </c>
      <c r="E584" t="inlineStr">
        <is>
          <t>NORRTÄLJE</t>
        </is>
      </c>
      <c r="G584" t="n">
        <v>4.7</v>
      </c>
      <c r="H584" t="n">
        <v>0</v>
      </c>
      <c r="I584" t="n">
        <v>0</v>
      </c>
      <c r="J584" t="n">
        <v>0</v>
      </c>
      <c r="K584" t="n">
        <v>0</v>
      </c>
      <c r="L584" t="n">
        <v>0</v>
      </c>
      <c r="M584" t="n">
        <v>0</v>
      </c>
      <c r="N584" t="n">
        <v>0</v>
      </c>
      <c r="O584" t="n">
        <v>0</v>
      </c>
      <c r="P584" t="n">
        <v>0</v>
      </c>
      <c r="Q584" t="n">
        <v>0</v>
      </c>
      <c r="R584" s="2" t="inlineStr"/>
    </row>
    <row r="585" ht="15" customHeight="1">
      <c r="A585" t="inlineStr">
        <is>
          <t>A 8096-2026</t>
        </is>
      </c>
      <c r="B585" s="1" t="n">
        <v>46063</v>
      </c>
      <c r="C585" s="1" t="n">
        <v>46203</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row>
    <row r="586" ht="15" customHeight="1">
      <c r="A586" t="inlineStr">
        <is>
          <t>A 8055-2026</t>
        </is>
      </c>
      <c r="B586" s="1" t="n">
        <v>46063</v>
      </c>
      <c r="C586" s="1" t="n">
        <v>46203</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39669-2024</t>
        </is>
      </c>
      <c r="B587" s="1" t="n">
        <v>45552</v>
      </c>
      <c r="C587" s="1" t="n">
        <v>46203</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8454-2026</t>
        </is>
      </c>
      <c r="B588" s="1" t="n">
        <v>46065</v>
      </c>
      <c r="C588" s="1" t="n">
        <v>46203</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2982-2023</t>
        </is>
      </c>
      <c r="B589" s="1" t="n">
        <v>44945</v>
      </c>
      <c r="C589" s="1" t="n">
        <v>46203</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1448-2023</t>
        </is>
      </c>
      <c r="B590" s="1" t="n">
        <v>44937</v>
      </c>
      <c r="C590" s="1" t="n">
        <v>46203</v>
      </c>
      <c r="D590" t="inlineStr">
        <is>
          <t>STOCKHOLMS LÄN</t>
        </is>
      </c>
      <c r="E590" t="inlineStr">
        <is>
          <t>NORRTÄLJE</t>
        </is>
      </c>
      <c r="G590" t="n">
        <v>1.9</v>
      </c>
      <c r="H590" t="n">
        <v>0</v>
      </c>
      <c r="I590" t="n">
        <v>0</v>
      </c>
      <c r="J590" t="n">
        <v>0</v>
      </c>
      <c r="K590" t="n">
        <v>0</v>
      </c>
      <c r="L590" t="n">
        <v>0</v>
      </c>
      <c r="M590" t="n">
        <v>0</v>
      </c>
      <c r="N590" t="n">
        <v>0</v>
      </c>
      <c r="O590" t="n">
        <v>0</v>
      </c>
      <c r="P590" t="n">
        <v>0</v>
      </c>
      <c r="Q590" t="n">
        <v>0</v>
      </c>
      <c r="R590" s="2" t="inlineStr"/>
    </row>
    <row r="591" ht="15" customHeight="1">
      <c r="A591" t="inlineStr">
        <is>
          <t>A 8465-2026</t>
        </is>
      </c>
      <c r="B591" s="1" t="n">
        <v>46065</v>
      </c>
      <c r="C591" s="1" t="n">
        <v>46203</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35127-2023</t>
        </is>
      </c>
      <c r="B592" s="1" t="n">
        <v>45145</v>
      </c>
      <c r="C592" s="1" t="n">
        <v>46203</v>
      </c>
      <c r="D592" t="inlineStr">
        <is>
          <t>STOCKHOLMS LÄN</t>
        </is>
      </c>
      <c r="E592" t="inlineStr">
        <is>
          <t>NORRTÄLJE</t>
        </is>
      </c>
      <c r="G592" t="n">
        <v>4.7</v>
      </c>
      <c r="H592" t="n">
        <v>0</v>
      </c>
      <c r="I592" t="n">
        <v>0</v>
      </c>
      <c r="J592" t="n">
        <v>0</v>
      </c>
      <c r="K592" t="n">
        <v>0</v>
      </c>
      <c r="L592" t="n">
        <v>0</v>
      </c>
      <c r="M592" t="n">
        <v>0</v>
      </c>
      <c r="N592" t="n">
        <v>0</v>
      </c>
      <c r="O592" t="n">
        <v>0</v>
      </c>
      <c r="P592" t="n">
        <v>0</v>
      </c>
      <c r="Q592" t="n">
        <v>0</v>
      </c>
      <c r="R592" s="2" t="inlineStr"/>
    </row>
    <row r="593" ht="15" customHeight="1">
      <c r="A593" t="inlineStr">
        <is>
          <t>A 50136-2023</t>
        </is>
      </c>
      <c r="B593" s="1" t="n">
        <v>45215</v>
      </c>
      <c r="C593" s="1" t="n">
        <v>46203</v>
      </c>
      <c r="D593" t="inlineStr">
        <is>
          <t>STOCKHOLMS LÄN</t>
        </is>
      </c>
      <c r="E593" t="inlineStr">
        <is>
          <t>NORRTÄLJE</t>
        </is>
      </c>
      <c r="G593" t="n">
        <v>5.2</v>
      </c>
      <c r="H593" t="n">
        <v>0</v>
      </c>
      <c r="I593" t="n">
        <v>0</v>
      </c>
      <c r="J593" t="n">
        <v>0</v>
      </c>
      <c r="K593" t="n">
        <v>0</v>
      </c>
      <c r="L593" t="n">
        <v>0</v>
      </c>
      <c r="M593" t="n">
        <v>0</v>
      </c>
      <c r="N593" t="n">
        <v>0</v>
      </c>
      <c r="O593" t="n">
        <v>0</v>
      </c>
      <c r="P593" t="n">
        <v>0</v>
      </c>
      <c r="Q593" t="n">
        <v>0</v>
      </c>
      <c r="R593" s="2" t="inlineStr"/>
    </row>
    <row r="594" ht="15" customHeight="1">
      <c r="A594" t="inlineStr">
        <is>
          <t>A 9654-2022</t>
        </is>
      </c>
      <c r="B594" s="1" t="n">
        <v>44617</v>
      </c>
      <c r="C594" s="1" t="n">
        <v>46203</v>
      </c>
      <c r="D594" t="inlineStr">
        <is>
          <t>STOCKHOLMS LÄN</t>
        </is>
      </c>
      <c r="E594" t="inlineStr">
        <is>
          <t>NORRTÄLJE</t>
        </is>
      </c>
      <c r="G594" t="n">
        <v>6.4</v>
      </c>
      <c r="H594" t="n">
        <v>0</v>
      </c>
      <c r="I594" t="n">
        <v>0</v>
      </c>
      <c r="J594" t="n">
        <v>0</v>
      </c>
      <c r="K594" t="n">
        <v>0</v>
      </c>
      <c r="L594" t="n">
        <v>0</v>
      </c>
      <c r="M594" t="n">
        <v>0</v>
      </c>
      <c r="N594" t="n">
        <v>0</v>
      </c>
      <c r="O594" t="n">
        <v>0</v>
      </c>
      <c r="P594" t="n">
        <v>0</v>
      </c>
      <c r="Q594" t="n">
        <v>0</v>
      </c>
      <c r="R594" s="2" t="inlineStr"/>
    </row>
    <row r="595" ht="15" customHeight="1">
      <c r="A595" t="inlineStr">
        <is>
          <t>A 8489-2026</t>
        </is>
      </c>
      <c r="B595" s="1" t="n">
        <v>46065</v>
      </c>
      <c r="C595" s="1" t="n">
        <v>46203</v>
      </c>
      <c r="D595" t="inlineStr">
        <is>
          <t>STOCKHOLMS LÄN</t>
        </is>
      </c>
      <c r="E595" t="inlineStr">
        <is>
          <t>NORRTÄLJE</t>
        </is>
      </c>
      <c r="G595" t="n">
        <v>2.1</v>
      </c>
      <c r="H595" t="n">
        <v>0</v>
      </c>
      <c r="I595" t="n">
        <v>0</v>
      </c>
      <c r="J595" t="n">
        <v>0</v>
      </c>
      <c r="K595" t="n">
        <v>0</v>
      </c>
      <c r="L595" t="n">
        <v>0</v>
      </c>
      <c r="M595" t="n">
        <v>0</v>
      </c>
      <c r="N595" t="n">
        <v>0</v>
      </c>
      <c r="O595" t="n">
        <v>0</v>
      </c>
      <c r="P595" t="n">
        <v>0</v>
      </c>
      <c r="Q595" t="n">
        <v>0</v>
      </c>
      <c r="R595" s="2" t="inlineStr"/>
    </row>
    <row r="596" ht="15" customHeight="1">
      <c r="A596" t="inlineStr">
        <is>
          <t>A 8985-2026</t>
        </is>
      </c>
      <c r="B596" s="1" t="n">
        <v>46069</v>
      </c>
      <c r="C596" s="1" t="n">
        <v>46203</v>
      </c>
      <c r="D596" t="inlineStr">
        <is>
          <t>STOCKHOLMS LÄN</t>
        </is>
      </c>
      <c r="E596" t="inlineStr">
        <is>
          <t>NORRTÄLJE</t>
        </is>
      </c>
      <c r="F596" t="inlineStr">
        <is>
          <t>Holmen skog AB</t>
        </is>
      </c>
      <c r="G596" t="n">
        <v>1.1</v>
      </c>
      <c r="H596" t="n">
        <v>0</v>
      </c>
      <c r="I596" t="n">
        <v>0</v>
      </c>
      <c r="J596" t="n">
        <v>0</v>
      </c>
      <c r="K596" t="n">
        <v>0</v>
      </c>
      <c r="L596" t="n">
        <v>0</v>
      </c>
      <c r="M596" t="n">
        <v>0</v>
      </c>
      <c r="N596" t="n">
        <v>0</v>
      </c>
      <c r="O596" t="n">
        <v>0</v>
      </c>
      <c r="P596" t="n">
        <v>0</v>
      </c>
      <c r="Q596" t="n">
        <v>0</v>
      </c>
      <c r="R596" s="2" t="inlineStr"/>
    </row>
    <row r="597" ht="15" customHeight="1">
      <c r="A597" t="inlineStr">
        <is>
          <t>A 37147-2023</t>
        </is>
      </c>
      <c r="B597" s="1" t="n">
        <v>45155</v>
      </c>
      <c r="C597" s="1" t="n">
        <v>46203</v>
      </c>
      <c r="D597" t="inlineStr">
        <is>
          <t>STOCKHOLMS LÄN</t>
        </is>
      </c>
      <c r="E597" t="inlineStr">
        <is>
          <t>NORRTÄLJE</t>
        </is>
      </c>
      <c r="G597" t="n">
        <v>8</v>
      </c>
      <c r="H597" t="n">
        <v>0</v>
      </c>
      <c r="I597" t="n">
        <v>0</v>
      </c>
      <c r="J597" t="n">
        <v>0</v>
      </c>
      <c r="K597" t="n">
        <v>0</v>
      </c>
      <c r="L597" t="n">
        <v>0</v>
      </c>
      <c r="M597" t="n">
        <v>0</v>
      </c>
      <c r="N597" t="n">
        <v>0</v>
      </c>
      <c r="O597" t="n">
        <v>0</v>
      </c>
      <c r="P597" t="n">
        <v>0</v>
      </c>
      <c r="Q597" t="n">
        <v>0</v>
      </c>
      <c r="R597" s="2" t="inlineStr"/>
    </row>
    <row r="598" ht="15" customHeight="1">
      <c r="A598" t="inlineStr">
        <is>
          <t>A 59499-2023</t>
        </is>
      </c>
      <c r="B598" s="1" t="n">
        <v>45254</v>
      </c>
      <c r="C598" s="1" t="n">
        <v>46203</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60654-2023</t>
        </is>
      </c>
      <c r="B599" s="1" t="n">
        <v>45260</v>
      </c>
      <c r="C599" s="1" t="n">
        <v>46203</v>
      </c>
      <c r="D599" t="inlineStr">
        <is>
          <t>STOCKHOLMS LÄN</t>
        </is>
      </c>
      <c r="E599" t="inlineStr">
        <is>
          <t>NORRTÄLJE</t>
        </is>
      </c>
      <c r="G599" t="n">
        <v>2.1</v>
      </c>
      <c r="H599" t="n">
        <v>0</v>
      </c>
      <c r="I599" t="n">
        <v>0</v>
      </c>
      <c r="J599" t="n">
        <v>0</v>
      </c>
      <c r="K599" t="n">
        <v>0</v>
      </c>
      <c r="L599" t="n">
        <v>0</v>
      </c>
      <c r="M599" t="n">
        <v>0</v>
      </c>
      <c r="N599" t="n">
        <v>0</v>
      </c>
      <c r="O599" t="n">
        <v>0</v>
      </c>
      <c r="P599" t="n">
        <v>0</v>
      </c>
      <c r="Q599" t="n">
        <v>0</v>
      </c>
      <c r="R599" s="2" t="inlineStr"/>
    </row>
    <row r="600" ht="15" customHeight="1">
      <c r="A600" t="inlineStr">
        <is>
          <t>A 60656-2023</t>
        </is>
      </c>
      <c r="B600" s="1" t="n">
        <v>45260</v>
      </c>
      <c r="C600" s="1" t="n">
        <v>46203</v>
      </c>
      <c r="D600" t="inlineStr">
        <is>
          <t>STOCKHOLMS LÄN</t>
        </is>
      </c>
      <c r="E600" t="inlineStr">
        <is>
          <t>NORRTÄLJE</t>
        </is>
      </c>
      <c r="G600" t="n">
        <v>4.8</v>
      </c>
      <c r="H600" t="n">
        <v>0</v>
      </c>
      <c r="I600" t="n">
        <v>0</v>
      </c>
      <c r="J600" t="n">
        <v>0</v>
      </c>
      <c r="K600" t="n">
        <v>0</v>
      </c>
      <c r="L600" t="n">
        <v>0</v>
      </c>
      <c r="M600" t="n">
        <v>0</v>
      </c>
      <c r="N600" t="n">
        <v>0</v>
      </c>
      <c r="O600" t="n">
        <v>0</v>
      </c>
      <c r="P600" t="n">
        <v>0</v>
      </c>
      <c r="Q600" t="n">
        <v>0</v>
      </c>
      <c r="R600" s="2" t="inlineStr"/>
    </row>
    <row r="601" ht="15" customHeight="1">
      <c r="A601" t="inlineStr">
        <is>
          <t>A 8989-2026</t>
        </is>
      </c>
      <c r="B601" s="1" t="n">
        <v>46069</v>
      </c>
      <c r="C601" s="1" t="n">
        <v>46203</v>
      </c>
      <c r="D601" t="inlineStr">
        <is>
          <t>STOCKHOLMS LÄN</t>
        </is>
      </c>
      <c r="E601" t="inlineStr">
        <is>
          <t>NORRTÄLJE</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22697-2022</t>
        </is>
      </c>
      <c r="B602" s="1" t="n">
        <v>44714</v>
      </c>
      <c r="C602" s="1" t="n">
        <v>46203</v>
      </c>
      <c r="D602" t="inlineStr">
        <is>
          <t>STOCKHOLMS LÄN</t>
        </is>
      </c>
      <c r="E602" t="inlineStr">
        <is>
          <t>NORRTÄLJE</t>
        </is>
      </c>
      <c r="G602" t="n">
        <v>5.6</v>
      </c>
      <c r="H602" t="n">
        <v>0</v>
      </c>
      <c r="I602" t="n">
        <v>0</v>
      </c>
      <c r="J602" t="n">
        <v>0</v>
      </c>
      <c r="K602" t="n">
        <v>0</v>
      </c>
      <c r="L602" t="n">
        <v>0</v>
      </c>
      <c r="M602" t="n">
        <v>0</v>
      </c>
      <c r="N602" t="n">
        <v>0</v>
      </c>
      <c r="O602" t="n">
        <v>0</v>
      </c>
      <c r="P602" t="n">
        <v>0</v>
      </c>
      <c r="Q602" t="n">
        <v>0</v>
      </c>
      <c r="R602" s="2" t="inlineStr"/>
    </row>
    <row r="603" ht="15" customHeight="1">
      <c r="A603" t="inlineStr">
        <is>
          <t>A 8962-2026</t>
        </is>
      </c>
      <c r="B603" s="1" t="n">
        <v>46069</v>
      </c>
      <c r="C603" s="1" t="n">
        <v>46203</v>
      </c>
      <c r="D603" t="inlineStr">
        <is>
          <t>STOCKHOLMS LÄN</t>
        </is>
      </c>
      <c r="E603" t="inlineStr">
        <is>
          <t>NORRTÄLJE</t>
        </is>
      </c>
      <c r="F603" t="inlineStr">
        <is>
          <t>Holmen skog AB</t>
        </is>
      </c>
      <c r="G603" t="n">
        <v>4.1</v>
      </c>
      <c r="H603" t="n">
        <v>0</v>
      </c>
      <c r="I603" t="n">
        <v>0</v>
      </c>
      <c r="J603" t="n">
        <v>0</v>
      </c>
      <c r="K603" t="n">
        <v>0</v>
      </c>
      <c r="L603" t="n">
        <v>0</v>
      </c>
      <c r="M603" t="n">
        <v>0</v>
      </c>
      <c r="N603" t="n">
        <v>0</v>
      </c>
      <c r="O603" t="n">
        <v>0</v>
      </c>
      <c r="P603" t="n">
        <v>0</v>
      </c>
      <c r="Q603" t="n">
        <v>0</v>
      </c>
      <c r="R603" s="2" t="inlineStr"/>
    </row>
    <row r="604" ht="15" customHeight="1">
      <c r="A604" t="inlineStr">
        <is>
          <t>A 9720-2026</t>
        </is>
      </c>
      <c r="B604" s="1" t="n">
        <v>46072</v>
      </c>
      <c r="C604" s="1" t="n">
        <v>46203</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48180-2023</t>
        </is>
      </c>
      <c r="B605" s="1" t="n">
        <v>45205</v>
      </c>
      <c r="C605" s="1" t="n">
        <v>46203</v>
      </c>
      <c r="D605" t="inlineStr">
        <is>
          <t>STOCKHOLMS LÄN</t>
        </is>
      </c>
      <c r="E605" t="inlineStr">
        <is>
          <t>NORRTÄLJE</t>
        </is>
      </c>
      <c r="G605" t="n">
        <v>1.5</v>
      </c>
      <c r="H605" t="n">
        <v>0</v>
      </c>
      <c r="I605" t="n">
        <v>0</v>
      </c>
      <c r="J605" t="n">
        <v>0</v>
      </c>
      <c r="K605" t="n">
        <v>0</v>
      </c>
      <c r="L605" t="n">
        <v>0</v>
      </c>
      <c r="M605" t="n">
        <v>0</v>
      </c>
      <c r="N605" t="n">
        <v>0</v>
      </c>
      <c r="O605" t="n">
        <v>0</v>
      </c>
      <c r="P605" t="n">
        <v>0</v>
      </c>
      <c r="Q605" t="n">
        <v>0</v>
      </c>
      <c r="R605" s="2" t="inlineStr"/>
    </row>
    <row r="606" ht="15" customHeight="1">
      <c r="A606" t="inlineStr">
        <is>
          <t>A 10399-2026</t>
        </is>
      </c>
      <c r="B606" s="1" t="n">
        <v>46077</v>
      </c>
      <c r="C606" s="1" t="n">
        <v>46203</v>
      </c>
      <c r="D606" t="inlineStr">
        <is>
          <t>STOCKHOLMS LÄN</t>
        </is>
      </c>
      <c r="E606" t="inlineStr">
        <is>
          <t>NORRTÄLJE</t>
        </is>
      </c>
      <c r="F606" t="inlineStr">
        <is>
          <t>Övriga Aktiebolag</t>
        </is>
      </c>
      <c r="G606" t="n">
        <v>0.2</v>
      </c>
      <c r="H606" t="n">
        <v>0</v>
      </c>
      <c r="I606" t="n">
        <v>0</v>
      </c>
      <c r="J606" t="n">
        <v>0</v>
      </c>
      <c r="K606" t="n">
        <v>0</v>
      </c>
      <c r="L606" t="n">
        <v>0</v>
      </c>
      <c r="M606" t="n">
        <v>0</v>
      </c>
      <c r="N606" t="n">
        <v>0</v>
      </c>
      <c r="O606" t="n">
        <v>0</v>
      </c>
      <c r="P606" t="n">
        <v>0</v>
      </c>
      <c r="Q606" t="n">
        <v>0</v>
      </c>
      <c r="R606" s="2" t="inlineStr"/>
    </row>
    <row r="607" ht="15" customHeight="1">
      <c r="A607" t="inlineStr">
        <is>
          <t>A 10429-2026</t>
        </is>
      </c>
      <c r="B607" s="1" t="n">
        <v>46077</v>
      </c>
      <c r="C607" s="1" t="n">
        <v>46203</v>
      </c>
      <c r="D607" t="inlineStr">
        <is>
          <t>STOCKHOLMS LÄN</t>
        </is>
      </c>
      <c r="E607" t="inlineStr">
        <is>
          <t>NORRTÄLJE</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6919-2025</t>
        </is>
      </c>
      <c r="B608" s="1" t="n">
        <v>45701</v>
      </c>
      <c r="C608" s="1" t="n">
        <v>46203</v>
      </c>
      <c r="D608" t="inlineStr">
        <is>
          <t>STOCKHOLMS LÄN</t>
        </is>
      </c>
      <c r="E608" t="inlineStr">
        <is>
          <t>NORRTÄLJE</t>
        </is>
      </c>
      <c r="G608" t="n">
        <v>3.5</v>
      </c>
      <c r="H608" t="n">
        <v>0</v>
      </c>
      <c r="I608" t="n">
        <v>0</v>
      </c>
      <c r="J608" t="n">
        <v>0</v>
      </c>
      <c r="K608" t="n">
        <v>0</v>
      </c>
      <c r="L608" t="n">
        <v>0</v>
      </c>
      <c r="M608" t="n">
        <v>0</v>
      </c>
      <c r="N608" t="n">
        <v>0</v>
      </c>
      <c r="O608" t="n">
        <v>0</v>
      </c>
      <c r="P608" t="n">
        <v>0</v>
      </c>
      <c r="Q608" t="n">
        <v>0</v>
      </c>
      <c r="R608" s="2" t="inlineStr"/>
    </row>
    <row r="609" ht="15" customHeight="1">
      <c r="A609" t="inlineStr">
        <is>
          <t>A 10586-2026</t>
        </is>
      </c>
      <c r="B609" s="1" t="n">
        <v>46077</v>
      </c>
      <c r="C609" s="1" t="n">
        <v>46203</v>
      </c>
      <c r="D609" t="inlineStr">
        <is>
          <t>STOCKHOLMS LÄN</t>
        </is>
      </c>
      <c r="E609" t="inlineStr">
        <is>
          <t>NORRTÄLJE</t>
        </is>
      </c>
      <c r="F609" t="inlineStr">
        <is>
          <t>Holmen skog AB</t>
        </is>
      </c>
      <c r="G609" t="n">
        <v>3.3</v>
      </c>
      <c r="H609" t="n">
        <v>0</v>
      </c>
      <c r="I609" t="n">
        <v>0</v>
      </c>
      <c r="J609" t="n">
        <v>0</v>
      </c>
      <c r="K609" t="n">
        <v>0</v>
      </c>
      <c r="L609" t="n">
        <v>0</v>
      </c>
      <c r="M609" t="n">
        <v>0</v>
      </c>
      <c r="N609" t="n">
        <v>0</v>
      </c>
      <c r="O609" t="n">
        <v>0</v>
      </c>
      <c r="P609" t="n">
        <v>0</v>
      </c>
      <c r="Q609" t="n">
        <v>0</v>
      </c>
      <c r="R609" s="2" t="inlineStr"/>
    </row>
    <row r="610" ht="15" customHeight="1">
      <c r="A610" t="inlineStr">
        <is>
          <t>A 10444-2026</t>
        </is>
      </c>
      <c r="B610" s="1" t="n">
        <v>46077</v>
      </c>
      <c r="C610" s="1" t="n">
        <v>46203</v>
      </c>
      <c r="D610" t="inlineStr">
        <is>
          <t>STOCKHOLMS LÄN</t>
        </is>
      </c>
      <c r="E610" t="inlineStr">
        <is>
          <t>NORRTÄLJE</t>
        </is>
      </c>
      <c r="F610" t="inlineStr">
        <is>
          <t>Holmen skog AB</t>
        </is>
      </c>
      <c r="G610" t="n">
        <v>4.9</v>
      </c>
      <c r="H610" t="n">
        <v>0</v>
      </c>
      <c r="I610" t="n">
        <v>0</v>
      </c>
      <c r="J610" t="n">
        <v>0</v>
      </c>
      <c r="K610" t="n">
        <v>0</v>
      </c>
      <c r="L610" t="n">
        <v>0</v>
      </c>
      <c r="M610" t="n">
        <v>0</v>
      </c>
      <c r="N610" t="n">
        <v>0</v>
      </c>
      <c r="O610" t="n">
        <v>0</v>
      </c>
      <c r="P610" t="n">
        <v>0</v>
      </c>
      <c r="Q610" t="n">
        <v>0</v>
      </c>
      <c r="R610" s="2" t="inlineStr"/>
    </row>
    <row r="611" ht="15" customHeight="1">
      <c r="A611" t="inlineStr">
        <is>
          <t>A 10553-2026</t>
        </is>
      </c>
      <c r="B611" s="1" t="n">
        <v>46077</v>
      </c>
      <c r="C611" s="1" t="n">
        <v>46203</v>
      </c>
      <c r="D611" t="inlineStr">
        <is>
          <t>STOCKHOLMS LÄN</t>
        </is>
      </c>
      <c r="E611" t="inlineStr">
        <is>
          <t>NORRTÄLJE</t>
        </is>
      </c>
      <c r="G611" t="n">
        <v>4.9</v>
      </c>
      <c r="H611" t="n">
        <v>0</v>
      </c>
      <c r="I611" t="n">
        <v>0</v>
      </c>
      <c r="J611" t="n">
        <v>0</v>
      </c>
      <c r="K611" t="n">
        <v>0</v>
      </c>
      <c r="L611" t="n">
        <v>0</v>
      </c>
      <c r="M611" t="n">
        <v>0</v>
      </c>
      <c r="N611" t="n">
        <v>0</v>
      </c>
      <c r="O611" t="n">
        <v>0</v>
      </c>
      <c r="P611" t="n">
        <v>0</v>
      </c>
      <c r="Q611" t="n">
        <v>0</v>
      </c>
      <c r="R611" s="2" t="inlineStr"/>
    </row>
    <row r="612" ht="15" customHeight="1">
      <c r="A612" t="inlineStr">
        <is>
          <t>A 8433-2022</t>
        </is>
      </c>
      <c r="B612" s="1" t="n">
        <v>44611</v>
      </c>
      <c r="C612" s="1" t="n">
        <v>46203</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10215-2023</t>
        </is>
      </c>
      <c r="B613" s="1" t="n">
        <v>44986</v>
      </c>
      <c r="C613" s="1" t="n">
        <v>46203</v>
      </c>
      <c r="D613" t="inlineStr">
        <is>
          <t>STOCKHOLMS LÄN</t>
        </is>
      </c>
      <c r="E613" t="inlineStr">
        <is>
          <t>NORRTÄLJE</t>
        </is>
      </c>
      <c r="G613" t="n">
        <v>6.5</v>
      </c>
      <c r="H613" t="n">
        <v>0</v>
      </c>
      <c r="I613" t="n">
        <v>0</v>
      </c>
      <c r="J613" t="n">
        <v>0</v>
      </c>
      <c r="K613" t="n">
        <v>0</v>
      </c>
      <c r="L613" t="n">
        <v>0</v>
      </c>
      <c r="M613" t="n">
        <v>0</v>
      </c>
      <c r="N613" t="n">
        <v>0</v>
      </c>
      <c r="O613" t="n">
        <v>0</v>
      </c>
      <c r="P613" t="n">
        <v>0</v>
      </c>
      <c r="Q613" t="n">
        <v>0</v>
      </c>
      <c r="R613" s="2" t="inlineStr"/>
    </row>
    <row r="614" ht="15" customHeight="1">
      <c r="A614" t="inlineStr">
        <is>
          <t>A 10646-2026</t>
        </is>
      </c>
      <c r="B614" s="1" t="n">
        <v>46078</v>
      </c>
      <c r="C614" s="1" t="n">
        <v>46203</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31559-2022</t>
        </is>
      </c>
      <c r="B615" s="1" t="n">
        <v>44775</v>
      </c>
      <c r="C615" s="1" t="n">
        <v>46203</v>
      </c>
      <c r="D615" t="inlineStr">
        <is>
          <t>STOCKHOLMS LÄN</t>
        </is>
      </c>
      <c r="E615" t="inlineStr">
        <is>
          <t>NORRTÄLJE</t>
        </is>
      </c>
      <c r="G615" t="n">
        <v>5.6</v>
      </c>
      <c r="H615" t="n">
        <v>0</v>
      </c>
      <c r="I615" t="n">
        <v>0</v>
      </c>
      <c r="J615" t="n">
        <v>0</v>
      </c>
      <c r="K615" t="n">
        <v>0</v>
      </c>
      <c r="L615" t="n">
        <v>0</v>
      </c>
      <c r="M615" t="n">
        <v>0</v>
      </c>
      <c r="N615" t="n">
        <v>0</v>
      </c>
      <c r="O615" t="n">
        <v>0</v>
      </c>
      <c r="P615" t="n">
        <v>0</v>
      </c>
      <c r="Q615" t="n">
        <v>0</v>
      </c>
      <c r="R615" s="2" t="inlineStr"/>
    </row>
    <row r="616" ht="15" customHeight="1">
      <c r="A616" t="inlineStr">
        <is>
          <t>A 52001-2023</t>
        </is>
      </c>
      <c r="B616" s="1" t="n">
        <v>45223</v>
      </c>
      <c r="C616" s="1" t="n">
        <v>46203</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11648-2026</t>
        </is>
      </c>
      <c r="B617" s="1" t="n">
        <v>46084</v>
      </c>
      <c r="C617" s="1" t="n">
        <v>46203</v>
      </c>
      <c r="D617" t="inlineStr">
        <is>
          <t>STOCKHOLMS LÄN</t>
        </is>
      </c>
      <c r="E617" t="inlineStr">
        <is>
          <t>NORRTÄLJE</t>
        </is>
      </c>
      <c r="G617" t="n">
        <v>4.1</v>
      </c>
      <c r="H617" t="n">
        <v>0</v>
      </c>
      <c r="I617" t="n">
        <v>0</v>
      </c>
      <c r="J617" t="n">
        <v>0</v>
      </c>
      <c r="K617" t="n">
        <v>0</v>
      </c>
      <c r="L617" t="n">
        <v>0</v>
      </c>
      <c r="M617" t="n">
        <v>0</v>
      </c>
      <c r="N617" t="n">
        <v>0</v>
      </c>
      <c r="O617" t="n">
        <v>0</v>
      </c>
      <c r="P617" t="n">
        <v>0</v>
      </c>
      <c r="Q617" t="n">
        <v>0</v>
      </c>
      <c r="R617" s="2" t="inlineStr"/>
    </row>
    <row r="618" ht="15" customHeight="1">
      <c r="A618" t="inlineStr">
        <is>
          <t>A 19580-2022</t>
        </is>
      </c>
      <c r="B618" s="1" t="n">
        <v>44693</v>
      </c>
      <c r="C618" s="1" t="n">
        <v>46203</v>
      </c>
      <c r="D618" t="inlineStr">
        <is>
          <t>STOCKHOLMS LÄN</t>
        </is>
      </c>
      <c r="E618" t="inlineStr">
        <is>
          <t>NORRTÄLJE</t>
        </is>
      </c>
      <c r="G618" t="n">
        <v>0.4</v>
      </c>
      <c r="H618" t="n">
        <v>0</v>
      </c>
      <c r="I618" t="n">
        <v>0</v>
      </c>
      <c r="J618" t="n">
        <v>0</v>
      </c>
      <c r="K618" t="n">
        <v>0</v>
      </c>
      <c r="L618" t="n">
        <v>0</v>
      </c>
      <c r="M618" t="n">
        <v>0</v>
      </c>
      <c r="N618" t="n">
        <v>0</v>
      </c>
      <c r="O618" t="n">
        <v>0</v>
      </c>
      <c r="P618" t="n">
        <v>0</v>
      </c>
      <c r="Q618" t="n">
        <v>0</v>
      </c>
      <c r="R618" s="2" t="inlineStr"/>
    </row>
    <row r="619" ht="15" customHeight="1">
      <c r="A619" t="inlineStr">
        <is>
          <t>A 12234-2026</t>
        </is>
      </c>
      <c r="B619" s="1" t="n">
        <v>46087</v>
      </c>
      <c r="C619" s="1" t="n">
        <v>46203</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13204-2026</t>
        </is>
      </c>
      <c r="B620" s="1" t="n">
        <v>46093</v>
      </c>
      <c r="C620" s="1" t="n">
        <v>46203</v>
      </c>
      <c r="D620" t="inlineStr">
        <is>
          <t>STOCKHOLMS LÄN</t>
        </is>
      </c>
      <c r="E620" t="inlineStr">
        <is>
          <t>NORRTÄLJE</t>
        </is>
      </c>
      <c r="G620" t="n">
        <v>3.5</v>
      </c>
      <c r="H620" t="n">
        <v>0</v>
      </c>
      <c r="I620" t="n">
        <v>0</v>
      </c>
      <c r="J620" t="n">
        <v>0</v>
      </c>
      <c r="K620" t="n">
        <v>0</v>
      </c>
      <c r="L620" t="n">
        <v>0</v>
      </c>
      <c r="M620" t="n">
        <v>0</v>
      </c>
      <c r="N620" t="n">
        <v>0</v>
      </c>
      <c r="O620" t="n">
        <v>0</v>
      </c>
      <c r="P620" t="n">
        <v>0</v>
      </c>
      <c r="Q620" t="n">
        <v>0</v>
      </c>
      <c r="R620" s="2" t="inlineStr"/>
    </row>
    <row r="621" ht="15" customHeight="1">
      <c r="A621" t="inlineStr">
        <is>
          <t>A 51653-2022</t>
        </is>
      </c>
      <c r="B621" s="1" t="n">
        <v>44867</v>
      </c>
      <c r="C621" s="1" t="n">
        <v>46203</v>
      </c>
      <c r="D621" t="inlineStr">
        <is>
          <t>STOCKHOLMS LÄN</t>
        </is>
      </c>
      <c r="E621" t="inlineStr">
        <is>
          <t>NORRTÄLJE</t>
        </is>
      </c>
      <c r="G621" t="n">
        <v>6.6</v>
      </c>
      <c r="H621" t="n">
        <v>0</v>
      </c>
      <c r="I621" t="n">
        <v>0</v>
      </c>
      <c r="J621" t="n">
        <v>0</v>
      </c>
      <c r="K621" t="n">
        <v>0</v>
      </c>
      <c r="L621" t="n">
        <v>0</v>
      </c>
      <c r="M621" t="n">
        <v>0</v>
      </c>
      <c r="N621" t="n">
        <v>0</v>
      </c>
      <c r="O621" t="n">
        <v>0</v>
      </c>
      <c r="P621" t="n">
        <v>0</v>
      </c>
      <c r="Q621" t="n">
        <v>0</v>
      </c>
      <c r="R621" s="2" t="inlineStr"/>
    </row>
    <row r="622" ht="15" customHeight="1">
      <c r="A622" t="inlineStr">
        <is>
          <t>A 13544-2026</t>
        </is>
      </c>
      <c r="B622" s="1" t="n">
        <v>46094</v>
      </c>
      <c r="C622" s="1" t="n">
        <v>46203</v>
      </c>
      <c r="D622" t="inlineStr">
        <is>
          <t>STOCKHOLMS LÄN</t>
        </is>
      </c>
      <c r="E622" t="inlineStr">
        <is>
          <t>NORRTÄLJE</t>
        </is>
      </c>
      <c r="F622" t="inlineStr">
        <is>
          <t>Holmen skog AB</t>
        </is>
      </c>
      <c r="G622" t="n">
        <v>3.2</v>
      </c>
      <c r="H622" t="n">
        <v>0</v>
      </c>
      <c r="I622" t="n">
        <v>0</v>
      </c>
      <c r="J622" t="n">
        <v>0</v>
      </c>
      <c r="K622" t="n">
        <v>0</v>
      </c>
      <c r="L622" t="n">
        <v>0</v>
      </c>
      <c r="M622" t="n">
        <v>0</v>
      </c>
      <c r="N622" t="n">
        <v>0</v>
      </c>
      <c r="O622" t="n">
        <v>0</v>
      </c>
      <c r="P622" t="n">
        <v>0</v>
      </c>
      <c r="Q622" t="n">
        <v>0</v>
      </c>
      <c r="R622" s="2" t="inlineStr"/>
    </row>
    <row r="623" ht="15" customHeight="1">
      <c r="A623" t="inlineStr">
        <is>
          <t>A 13545-2026</t>
        </is>
      </c>
      <c r="B623" s="1" t="n">
        <v>46094</v>
      </c>
      <c r="C623" s="1" t="n">
        <v>46203</v>
      </c>
      <c r="D623" t="inlineStr">
        <is>
          <t>STOCKHOLMS LÄN</t>
        </is>
      </c>
      <c r="E623" t="inlineStr">
        <is>
          <t>NORRTÄLJE</t>
        </is>
      </c>
      <c r="F623" t="inlineStr">
        <is>
          <t>Holmen skog AB</t>
        </is>
      </c>
      <c r="G623" t="n">
        <v>0.8</v>
      </c>
      <c r="H623" t="n">
        <v>0</v>
      </c>
      <c r="I623" t="n">
        <v>0</v>
      </c>
      <c r="J623" t="n">
        <v>0</v>
      </c>
      <c r="K623" t="n">
        <v>0</v>
      </c>
      <c r="L623" t="n">
        <v>0</v>
      </c>
      <c r="M623" t="n">
        <v>0</v>
      </c>
      <c r="N623" t="n">
        <v>0</v>
      </c>
      <c r="O623" t="n">
        <v>0</v>
      </c>
      <c r="P623" t="n">
        <v>0</v>
      </c>
      <c r="Q623" t="n">
        <v>0</v>
      </c>
      <c r="R623" s="2" t="inlineStr"/>
    </row>
    <row r="624" ht="15" customHeight="1">
      <c r="A624" t="inlineStr">
        <is>
          <t>A 23070-2023</t>
        </is>
      </c>
      <c r="B624" s="1" t="n">
        <v>45075</v>
      </c>
      <c r="C624" s="1" t="n">
        <v>46203</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7571-2024</t>
        </is>
      </c>
      <c r="B625" s="1" t="n">
        <v>45348</v>
      </c>
      <c r="C625" s="1" t="n">
        <v>46203</v>
      </c>
      <c r="D625" t="inlineStr">
        <is>
          <t>STOCKHOLMS LÄN</t>
        </is>
      </c>
      <c r="E625" t="inlineStr">
        <is>
          <t>NORRTÄLJE</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13546-2026</t>
        </is>
      </c>
      <c r="B626" s="1" t="n">
        <v>46094</v>
      </c>
      <c r="C626" s="1" t="n">
        <v>46203</v>
      </c>
      <c r="D626" t="inlineStr">
        <is>
          <t>STOCKHOLMS LÄN</t>
        </is>
      </c>
      <c r="E626" t="inlineStr">
        <is>
          <t>NORRTÄLJE</t>
        </is>
      </c>
      <c r="F626" t="inlineStr">
        <is>
          <t>Holmen skog AB</t>
        </is>
      </c>
      <c r="G626" t="n">
        <v>1.5</v>
      </c>
      <c r="H626" t="n">
        <v>0</v>
      </c>
      <c r="I626" t="n">
        <v>0</v>
      </c>
      <c r="J626" t="n">
        <v>0</v>
      </c>
      <c r="K626" t="n">
        <v>0</v>
      </c>
      <c r="L626" t="n">
        <v>0</v>
      </c>
      <c r="M626" t="n">
        <v>0</v>
      </c>
      <c r="N626" t="n">
        <v>0</v>
      </c>
      <c r="O626" t="n">
        <v>0</v>
      </c>
      <c r="P626" t="n">
        <v>0</v>
      </c>
      <c r="Q626" t="n">
        <v>0</v>
      </c>
      <c r="R626" s="2" t="inlineStr"/>
    </row>
    <row r="627" ht="15" customHeight="1">
      <c r="A627" t="inlineStr">
        <is>
          <t>A 36269-2022</t>
        </is>
      </c>
      <c r="B627" s="1" t="n">
        <v>44803</v>
      </c>
      <c r="C627" s="1" t="n">
        <v>46203</v>
      </c>
      <c r="D627" t="inlineStr">
        <is>
          <t>STOCKHOLMS LÄN</t>
        </is>
      </c>
      <c r="E627" t="inlineStr">
        <is>
          <t>NORRTÄLJE</t>
        </is>
      </c>
      <c r="G627" t="n">
        <v>2.3</v>
      </c>
      <c r="H627" t="n">
        <v>0</v>
      </c>
      <c r="I627" t="n">
        <v>0</v>
      </c>
      <c r="J627" t="n">
        <v>0</v>
      </c>
      <c r="K627" t="n">
        <v>0</v>
      </c>
      <c r="L627" t="n">
        <v>0</v>
      </c>
      <c r="M627" t="n">
        <v>0</v>
      </c>
      <c r="N627" t="n">
        <v>0</v>
      </c>
      <c r="O627" t="n">
        <v>0</v>
      </c>
      <c r="P627" t="n">
        <v>0</v>
      </c>
      <c r="Q627" t="n">
        <v>0</v>
      </c>
      <c r="R627" s="2" t="inlineStr"/>
    </row>
    <row r="628" ht="15" customHeight="1">
      <c r="A628" t="inlineStr">
        <is>
          <t>A 5665-2025</t>
        </is>
      </c>
      <c r="B628" s="1" t="n">
        <v>45693</v>
      </c>
      <c r="C628" s="1" t="n">
        <v>46203</v>
      </c>
      <c r="D628" t="inlineStr">
        <is>
          <t>STOCKHOLMS LÄN</t>
        </is>
      </c>
      <c r="E628" t="inlineStr">
        <is>
          <t>NORRTÄLJE</t>
        </is>
      </c>
      <c r="G628" t="n">
        <v>4</v>
      </c>
      <c r="H628" t="n">
        <v>0</v>
      </c>
      <c r="I628" t="n">
        <v>0</v>
      </c>
      <c r="J628" t="n">
        <v>0</v>
      </c>
      <c r="K628" t="n">
        <v>0</v>
      </c>
      <c r="L628" t="n">
        <v>0</v>
      </c>
      <c r="M628" t="n">
        <v>0</v>
      </c>
      <c r="N628" t="n">
        <v>0</v>
      </c>
      <c r="O628" t="n">
        <v>0</v>
      </c>
      <c r="P628" t="n">
        <v>0</v>
      </c>
      <c r="Q628" t="n">
        <v>0</v>
      </c>
      <c r="R628" s="2" t="inlineStr"/>
    </row>
    <row r="629" ht="15" customHeight="1">
      <c r="A629" t="inlineStr">
        <is>
          <t>A 26636-2023</t>
        </is>
      </c>
      <c r="B629" s="1" t="n">
        <v>45092</v>
      </c>
      <c r="C629" s="1" t="n">
        <v>46203</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26637-2023</t>
        </is>
      </c>
      <c r="B630" s="1" t="n">
        <v>45092</v>
      </c>
      <c r="C630" s="1" t="n">
        <v>46203</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23266-2023</t>
        </is>
      </c>
      <c r="B631" s="1" t="n">
        <v>45075</v>
      </c>
      <c r="C631" s="1" t="n">
        <v>46203</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14348-2026</t>
        </is>
      </c>
      <c r="B632" s="1" t="n">
        <v>46100</v>
      </c>
      <c r="C632" s="1" t="n">
        <v>46203</v>
      </c>
      <c r="D632" t="inlineStr">
        <is>
          <t>STOCKHOLMS LÄN</t>
        </is>
      </c>
      <c r="E632" t="inlineStr">
        <is>
          <t>NORRTÄLJE</t>
        </is>
      </c>
      <c r="G632" t="n">
        <v>1.2</v>
      </c>
      <c r="H632" t="n">
        <v>0</v>
      </c>
      <c r="I632" t="n">
        <v>0</v>
      </c>
      <c r="J632" t="n">
        <v>0</v>
      </c>
      <c r="K632" t="n">
        <v>0</v>
      </c>
      <c r="L632" t="n">
        <v>0</v>
      </c>
      <c r="M632" t="n">
        <v>0</v>
      </c>
      <c r="N632" t="n">
        <v>0</v>
      </c>
      <c r="O632" t="n">
        <v>0</v>
      </c>
      <c r="P632" t="n">
        <v>0</v>
      </c>
      <c r="Q632" t="n">
        <v>0</v>
      </c>
      <c r="R632" s="2" t="inlineStr"/>
    </row>
    <row r="633" ht="15" customHeight="1">
      <c r="A633" t="inlineStr">
        <is>
          <t>A 14475-2026</t>
        </is>
      </c>
      <c r="B633" s="1" t="n">
        <v>46100</v>
      </c>
      <c r="C633" s="1" t="n">
        <v>46203</v>
      </c>
      <c r="D633" t="inlineStr">
        <is>
          <t>STOCKHOLMS LÄN</t>
        </is>
      </c>
      <c r="E633" t="inlineStr">
        <is>
          <t>NORRTÄLJE</t>
        </is>
      </c>
      <c r="G633" t="n">
        <v>12.3</v>
      </c>
      <c r="H633" t="n">
        <v>0</v>
      </c>
      <c r="I633" t="n">
        <v>0</v>
      </c>
      <c r="J633" t="n">
        <v>0</v>
      </c>
      <c r="K633" t="n">
        <v>0</v>
      </c>
      <c r="L633" t="n">
        <v>0</v>
      </c>
      <c r="M633" t="n">
        <v>0</v>
      </c>
      <c r="N633" t="n">
        <v>0</v>
      </c>
      <c r="O633" t="n">
        <v>0</v>
      </c>
      <c r="P633" t="n">
        <v>0</v>
      </c>
      <c r="Q633" t="n">
        <v>0</v>
      </c>
      <c r="R633" s="2" t="inlineStr"/>
    </row>
    <row r="634" ht="15" customHeight="1">
      <c r="A634" t="inlineStr">
        <is>
          <t>A 58863-2024</t>
        </is>
      </c>
      <c r="B634" s="1" t="n">
        <v>45636</v>
      </c>
      <c r="C634" s="1" t="n">
        <v>46203</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15447-2023</t>
        </is>
      </c>
      <c r="B635" s="1" t="n">
        <v>45020</v>
      </c>
      <c r="C635" s="1" t="n">
        <v>46203</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34391-2023</t>
        </is>
      </c>
      <c r="B636" s="1" t="n">
        <v>45139</v>
      </c>
      <c r="C636" s="1" t="n">
        <v>46203</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53312-2024</t>
        </is>
      </c>
      <c r="B637" s="1" t="n">
        <v>45614</v>
      </c>
      <c r="C637" s="1" t="n">
        <v>46203</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21158-2022</t>
        </is>
      </c>
      <c r="B638" s="1" t="n">
        <v>44704</v>
      </c>
      <c r="C638" s="1" t="n">
        <v>46203</v>
      </c>
      <c r="D638" t="inlineStr">
        <is>
          <t>STOCKHOLMS LÄN</t>
        </is>
      </c>
      <c r="E638" t="inlineStr">
        <is>
          <t>NORRTÄLJE</t>
        </is>
      </c>
      <c r="G638" t="n">
        <v>17.8</v>
      </c>
      <c r="H638" t="n">
        <v>0</v>
      </c>
      <c r="I638" t="n">
        <v>0</v>
      </c>
      <c r="J638" t="n">
        <v>0</v>
      </c>
      <c r="K638" t="n">
        <v>0</v>
      </c>
      <c r="L638" t="n">
        <v>0</v>
      </c>
      <c r="M638" t="n">
        <v>0</v>
      </c>
      <c r="N638" t="n">
        <v>0</v>
      </c>
      <c r="O638" t="n">
        <v>0</v>
      </c>
      <c r="P638" t="n">
        <v>0</v>
      </c>
      <c r="Q638" t="n">
        <v>0</v>
      </c>
      <c r="R638" s="2" t="inlineStr"/>
    </row>
    <row r="639" ht="15" customHeight="1">
      <c r="A639" t="inlineStr">
        <is>
          <t>A 16243-2026</t>
        </is>
      </c>
      <c r="B639" s="1" t="n">
        <v>46111</v>
      </c>
      <c r="C639" s="1" t="n">
        <v>46203</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15915-2023</t>
        </is>
      </c>
      <c r="B640" s="1" t="n">
        <v>45022</v>
      </c>
      <c r="C640" s="1" t="n">
        <v>46203</v>
      </c>
      <c r="D640" t="inlineStr">
        <is>
          <t>STOCKHOLMS LÄN</t>
        </is>
      </c>
      <c r="E640" t="inlineStr">
        <is>
          <t>NORRTÄLJE</t>
        </is>
      </c>
      <c r="G640" t="n">
        <v>2.9</v>
      </c>
      <c r="H640" t="n">
        <v>0</v>
      </c>
      <c r="I640" t="n">
        <v>0</v>
      </c>
      <c r="J640" t="n">
        <v>0</v>
      </c>
      <c r="K640" t="n">
        <v>0</v>
      </c>
      <c r="L640" t="n">
        <v>0</v>
      </c>
      <c r="M640" t="n">
        <v>0</v>
      </c>
      <c r="N640" t="n">
        <v>0</v>
      </c>
      <c r="O640" t="n">
        <v>0</v>
      </c>
      <c r="P640" t="n">
        <v>0</v>
      </c>
      <c r="Q640" t="n">
        <v>0</v>
      </c>
      <c r="R640" s="2" t="inlineStr"/>
    </row>
    <row r="641" ht="15" customHeight="1">
      <c r="A641" t="inlineStr">
        <is>
          <t>A 39905-2023</t>
        </is>
      </c>
      <c r="B641" s="1" t="n">
        <v>45168</v>
      </c>
      <c r="C641" s="1" t="n">
        <v>46203</v>
      </c>
      <c r="D641" t="inlineStr">
        <is>
          <t>STOCKHOLMS LÄN</t>
        </is>
      </c>
      <c r="E641" t="inlineStr">
        <is>
          <t>NORRTÄLJE</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33793-2022</t>
        </is>
      </c>
      <c r="B642" s="1" t="n">
        <v>44790</v>
      </c>
      <c r="C642" s="1" t="n">
        <v>46203</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17304-2024</t>
        </is>
      </c>
      <c r="B643" s="1" t="n">
        <v>45414</v>
      </c>
      <c r="C643" s="1" t="n">
        <v>46203</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16852-2024</t>
        </is>
      </c>
      <c r="B644" s="1" t="n">
        <v>45411</v>
      </c>
      <c r="C644" s="1" t="n">
        <v>46203</v>
      </c>
      <c r="D644" t="inlineStr">
        <is>
          <t>STOCKHOLMS LÄN</t>
        </is>
      </c>
      <c r="E644" t="inlineStr">
        <is>
          <t>NORRTÄLJE</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17025-2026</t>
        </is>
      </c>
      <c r="B645" s="1" t="n">
        <v>46113</v>
      </c>
      <c r="C645" s="1" t="n">
        <v>46203</v>
      </c>
      <c r="D645" t="inlineStr">
        <is>
          <t>STOCKHOLMS LÄN</t>
        </is>
      </c>
      <c r="E645" t="inlineStr">
        <is>
          <t>NORRTÄLJE</t>
        </is>
      </c>
      <c r="G645" t="n">
        <v>5.4</v>
      </c>
      <c r="H645" t="n">
        <v>0</v>
      </c>
      <c r="I645" t="n">
        <v>0</v>
      </c>
      <c r="J645" t="n">
        <v>0</v>
      </c>
      <c r="K645" t="n">
        <v>0</v>
      </c>
      <c r="L645" t="n">
        <v>0</v>
      </c>
      <c r="M645" t="n">
        <v>0</v>
      </c>
      <c r="N645" t="n">
        <v>0</v>
      </c>
      <c r="O645" t="n">
        <v>0</v>
      </c>
      <c r="P645" t="n">
        <v>0</v>
      </c>
      <c r="Q645" t="n">
        <v>0</v>
      </c>
      <c r="R645" s="2" t="inlineStr"/>
    </row>
    <row r="646" ht="15" customHeight="1">
      <c r="A646" t="inlineStr">
        <is>
          <t>A 4326-2023</t>
        </is>
      </c>
      <c r="B646" s="1" t="n">
        <v>44953</v>
      </c>
      <c r="C646" s="1" t="n">
        <v>46203</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33385-2024</t>
        </is>
      </c>
      <c r="B647" s="1" t="n">
        <v>45519</v>
      </c>
      <c r="C647" s="1" t="n">
        <v>46203</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29714-2023</t>
        </is>
      </c>
      <c r="B648" s="1" t="n">
        <v>45107</v>
      </c>
      <c r="C648" s="1" t="n">
        <v>46203</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30508-2023</t>
        </is>
      </c>
      <c r="B649" s="1" t="n">
        <v>45111</v>
      </c>
      <c r="C649" s="1" t="n">
        <v>46203</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17345-2026</t>
        </is>
      </c>
      <c r="B650" s="1" t="n">
        <v>46119</v>
      </c>
      <c r="C650" s="1" t="n">
        <v>46203</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8296-2023</t>
        </is>
      </c>
      <c r="B651" s="1" t="n">
        <v>44974</v>
      </c>
      <c r="C651" s="1" t="n">
        <v>46203</v>
      </c>
      <c r="D651" t="inlineStr">
        <is>
          <t>STOCKHOLMS LÄN</t>
        </is>
      </c>
      <c r="E651" t="inlineStr">
        <is>
          <t>NORRTÄLJE</t>
        </is>
      </c>
      <c r="G651" t="n">
        <v>3.8</v>
      </c>
      <c r="H651" t="n">
        <v>0</v>
      </c>
      <c r="I651" t="n">
        <v>0</v>
      </c>
      <c r="J651" t="n">
        <v>0</v>
      </c>
      <c r="K651" t="n">
        <v>0</v>
      </c>
      <c r="L651" t="n">
        <v>0</v>
      </c>
      <c r="M651" t="n">
        <v>0</v>
      </c>
      <c r="N651" t="n">
        <v>0</v>
      </c>
      <c r="O651" t="n">
        <v>0</v>
      </c>
      <c r="P651" t="n">
        <v>0</v>
      </c>
      <c r="Q651" t="n">
        <v>0</v>
      </c>
      <c r="R651" s="2" t="inlineStr"/>
    </row>
    <row r="652" ht="15" customHeight="1">
      <c r="A652" t="inlineStr">
        <is>
          <t>A 31236-2022</t>
        </is>
      </c>
      <c r="B652" s="1" t="n">
        <v>44771</v>
      </c>
      <c r="C652" s="1" t="n">
        <v>46203</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17207-2026</t>
        </is>
      </c>
      <c r="B653" s="1" t="n">
        <v>46119</v>
      </c>
      <c r="C653" s="1" t="n">
        <v>46203</v>
      </c>
      <c r="D653" t="inlineStr">
        <is>
          <t>STOCKHOLMS LÄN</t>
        </is>
      </c>
      <c r="E653" t="inlineStr">
        <is>
          <t>NORRTÄLJE</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17215-2026</t>
        </is>
      </c>
      <c r="B654" s="1" t="n">
        <v>46119</v>
      </c>
      <c r="C654" s="1" t="n">
        <v>46203</v>
      </c>
      <c r="D654" t="inlineStr">
        <is>
          <t>STOCKHOLMS LÄN</t>
        </is>
      </c>
      <c r="E654" t="inlineStr">
        <is>
          <t>NORRTÄLJE</t>
        </is>
      </c>
      <c r="F654" t="inlineStr">
        <is>
          <t>Holmen skog AB</t>
        </is>
      </c>
      <c r="G654" t="n">
        <v>3.8</v>
      </c>
      <c r="H654" t="n">
        <v>0</v>
      </c>
      <c r="I654" t="n">
        <v>0</v>
      </c>
      <c r="J654" t="n">
        <v>0</v>
      </c>
      <c r="K654" t="n">
        <v>0</v>
      </c>
      <c r="L654" t="n">
        <v>0</v>
      </c>
      <c r="M654" t="n">
        <v>0</v>
      </c>
      <c r="N654" t="n">
        <v>0</v>
      </c>
      <c r="O654" t="n">
        <v>0</v>
      </c>
      <c r="P654" t="n">
        <v>0</v>
      </c>
      <c r="Q654" t="n">
        <v>0</v>
      </c>
      <c r="R654" s="2" t="inlineStr"/>
    </row>
    <row r="655" ht="15" customHeight="1">
      <c r="A655" t="inlineStr">
        <is>
          <t>A 17347-2026</t>
        </is>
      </c>
      <c r="B655" s="1" t="n">
        <v>46119</v>
      </c>
      <c r="C655" s="1" t="n">
        <v>46203</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52593-2024</t>
        </is>
      </c>
      <c r="B656" s="1" t="n">
        <v>45609</v>
      </c>
      <c r="C656" s="1" t="n">
        <v>46203</v>
      </c>
      <c r="D656" t="inlineStr">
        <is>
          <t>STOCKHOLMS LÄN</t>
        </is>
      </c>
      <c r="E656" t="inlineStr">
        <is>
          <t>NORRTÄLJE</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52617-2024</t>
        </is>
      </c>
      <c r="B657" s="1" t="n">
        <v>45609</v>
      </c>
      <c r="C657" s="1" t="n">
        <v>46203</v>
      </c>
      <c r="D657" t="inlineStr">
        <is>
          <t>STOCKHOLMS LÄN</t>
        </is>
      </c>
      <c r="E657" t="inlineStr">
        <is>
          <t>NORRTÄLJE</t>
        </is>
      </c>
      <c r="G657" t="n">
        <v>0.8</v>
      </c>
      <c r="H657" t="n">
        <v>0</v>
      </c>
      <c r="I657" t="n">
        <v>0</v>
      </c>
      <c r="J657" t="n">
        <v>0</v>
      </c>
      <c r="K657" t="n">
        <v>0</v>
      </c>
      <c r="L657" t="n">
        <v>0</v>
      </c>
      <c r="M657" t="n">
        <v>0</v>
      </c>
      <c r="N657" t="n">
        <v>0</v>
      </c>
      <c r="O657" t="n">
        <v>0</v>
      </c>
      <c r="P657" t="n">
        <v>0</v>
      </c>
      <c r="Q657" t="n">
        <v>0</v>
      </c>
      <c r="R657" s="2" t="inlineStr"/>
    </row>
    <row r="658" ht="15" customHeight="1">
      <c r="A658" t="inlineStr">
        <is>
          <t>A 27824-2022</t>
        </is>
      </c>
      <c r="B658" s="1" t="n">
        <v>44743</v>
      </c>
      <c r="C658" s="1" t="n">
        <v>46203</v>
      </c>
      <c r="D658" t="inlineStr">
        <is>
          <t>STOCKHOLMS LÄN</t>
        </is>
      </c>
      <c r="E658" t="inlineStr">
        <is>
          <t>NORRTÄLJE</t>
        </is>
      </c>
      <c r="F658" t="inlineStr">
        <is>
          <t>Kommuner</t>
        </is>
      </c>
      <c r="G658" t="n">
        <v>3.1</v>
      </c>
      <c r="H658" t="n">
        <v>0</v>
      </c>
      <c r="I658" t="n">
        <v>0</v>
      </c>
      <c r="J658" t="n">
        <v>0</v>
      </c>
      <c r="K658" t="n">
        <v>0</v>
      </c>
      <c r="L658" t="n">
        <v>0</v>
      </c>
      <c r="M658" t="n">
        <v>0</v>
      </c>
      <c r="N658" t="n">
        <v>0</v>
      </c>
      <c r="O658" t="n">
        <v>0</v>
      </c>
      <c r="P658" t="n">
        <v>0</v>
      </c>
      <c r="Q658" t="n">
        <v>0</v>
      </c>
      <c r="R658" s="2" t="inlineStr"/>
    </row>
    <row r="659" ht="15" customHeight="1">
      <c r="A659" t="inlineStr">
        <is>
          <t>A 17651-2026</t>
        </is>
      </c>
      <c r="B659" s="1" t="n">
        <v>46121</v>
      </c>
      <c r="C659" s="1" t="n">
        <v>46203</v>
      </c>
      <c r="D659" t="inlineStr">
        <is>
          <t>STOCKHOLMS LÄN</t>
        </is>
      </c>
      <c r="E659" t="inlineStr">
        <is>
          <t>NORRTÄLJE</t>
        </is>
      </c>
      <c r="G659" t="n">
        <v>0.8</v>
      </c>
      <c r="H659" t="n">
        <v>0</v>
      </c>
      <c r="I659" t="n">
        <v>0</v>
      </c>
      <c r="J659" t="n">
        <v>0</v>
      </c>
      <c r="K659" t="n">
        <v>0</v>
      </c>
      <c r="L659" t="n">
        <v>0</v>
      </c>
      <c r="M659" t="n">
        <v>0</v>
      </c>
      <c r="N659" t="n">
        <v>0</v>
      </c>
      <c r="O659" t="n">
        <v>0</v>
      </c>
      <c r="P659" t="n">
        <v>0</v>
      </c>
      <c r="Q659" t="n">
        <v>0</v>
      </c>
      <c r="R659" s="2" t="inlineStr"/>
    </row>
    <row r="660" ht="15" customHeight="1">
      <c r="A660" t="inlineStr">
        <is>
          <t>A 23855-2026</t>
        </is>
      </c>
      <c r="B660" s="1" t="n">
        <v>46167</v>
      </c>
      <c r="C660" s="1" t="n">
        <v>46203</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50534-2024</t>
        </is>
      </c>
      <c r="B661" s="1" t="n">
        <v>45601</v>
      </c>
      <c r="C661" s="1" t="n">
        <v>46203</v>
      </c>
      <c r="D661" t="inlineStr">
        <is>
          <t>STOCKHOLMS LÄN</t>
        </is>
      </c>
      <c r="E661" t="inlineStr">
        <is>
          <t>NORRTÄLJE</t>
        </is>
      </c>
      <c r="G661" t="n">
        <v>2.6</v>
      </c>
      <c r="H661" t="n">
        <v>0</v>
      </c>
      <c r="I661" t="n">
        <v>0</v>
      </c>
      <c r="J661" t="n">
        <v>0</v>
      </c>
      <c r="K661" t="n">
        <v>0</v>
      </c>
      <c r="L661" t="n">
        <v>0</v>
      </c>
      <c r="M661" t="n">
        <v>0</v>
      </c>
      <c r="N661" t="n">
        <v>0</v>
      </c>
      <c r="O661" t="n">
        <v>0</v>
      </c>
      <c r="P661" t="n">
        <v>0</v>
      </c>
      <c r="Q661" t="n">
        <v>0</v>
      </c>
      <c r="R661" s="2" t="inlineStr"/>
    </row>
    <row r="662" ht="15" customHeight="1">
      <c r="A662" t="inlineStr">
        <is>
          <t>A 14937-2026</t>
        </is>
      </c>
      <c r="B662" s="1" t="n">
        <v>46104</v>
      </c>
      <c r="C662" s="1" t="n">
        <v>46203</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42094-2023</t>
        </is>
      </c>
      <c r="B663" s="1" t="n">
        <v>45177</v>
      </c>
      <c r="C663" s="1" t="n">
        <v>46203</v>
      </c>
      <c r="D663" t="inlineStr">
        <is>
          <t>STOCKHOLMS LÄN</t>
        </is>
      </c>
      <c r="E663" t="inlineStr">
        <is>
          <t>NORRTÄLJE</t>
        </is>
      </c>
      <c r="G663" t="n">
        <v>0.3</v>
      </c>
      <c r="H663" t="n">
        <v>0</v>
      </c>
      <c r="I663" t="n">
        <v>0</v>
      </c>
      <c r="J663" t="n">
        <v>0</v>
      </c>
      <c r="K663" t="n">
        <v>0</v>
      </c>
      <c r="L663" t="n">
        <v>0</v>
      </c>
      <c r="M663" t="n">
        <v>0</v>
      </c>
      <c r="N663" t="n">
        <v>0</v>
      </c>
      <c r="O663" t="n">
        <v>0</v>
      </c>
      <c r="P663" t="n">
        <v>0</v>
      </c>
      <c r="Q663" t="n">
        <v>0</v>
      </c>
      <c r="R663" s="2" t="inlineStr"/>
    </row>
    <row r="664" ht="15" customHeight="1">
      <c r="A664" t="inlineStr">
        <is>
          <t>A 30620-2022</t>
        </is>
      </c>
      <c r="B664" s="1" t="n">
        <v>44763</v>
      </c>
      <c r="C664" s="1" t="n">
        <v>46203</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24891-2026</t>
        </is>
      </c>
      <c r="B665" s="1" t="n">
        <v>46174</v>
      </c>
      <c r="C665" s="1" t="n">
        <v>46203</v>
      </c>
      <c r="D665" t="inlineStr">
        <is>
          <t>STOCKHOLMS LÄN</t>
        </is>
      </c>
      <c r="E665" t="inlineStr">
        <is>
          <t>NORRTÄLJE</t>
        </is>
      </c>
      <c r="G665" t="n">
        <v>4</v>
      </c>
      <c r="H665" t="n">
        <v>0</v>
      </c>
      <c r="I665" t="n">
        <v>0</v>
      </c>
      <c r="J665" t="n">
        <v>0</v>
      </c>
      <c r="K665" t="n">
        <v>0</v>
      </c>
      <c r="L665" t="n">
        <v>0</v>
      </c>
      <c r="M665" t="n">
        <v>0</v>
      </c>
      <c r="N665" t="n">
        <v>0</v>
      </c>
      <c r="O665" t="n">
        <v>0</v>
      </c>
      <c r="P665" t="n">
        <v>0</v>
      </c>
      <c r="Q665" t="n">
        <v>0</v>
      </c>
      <c r="R665" s="2" t="inlineStr"/>
    </row>
    <row r="666" ht="15" customHeight="1">
      <c r="A666" t="inlineStr">
        <is>
          <t>A 15836-2026</t>
        </is>
      </c>
      <c r="B666" s="1" t="n">
        <v>46107</v>
      </c>
      <c r="C666" s="1" t="n">
        <v>46203</v>
      </c>
      <c r="D666" t="inlineStr">
        <is>
          <t>STOCKHOLMS LÄN</t>
        </is>
      </c>
      <c r="E666" t="inlineStr">
        <is>
          <t>NORRTÄLJE</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60217-2021</t>
        </is>
      </c>
      <c r="B667" s="1" t="n">
        <v>44495</v>
      </c>
      <c r="C667" s="1" t="n">
        <v>46203</v>
      </c>
      <c r="D667" t="inlineStr">
        <is>
          <t>STOCKHOLMS LÄN</t>
        </is>
      </c>
      <c r="E667" t="inlineStr">
        <is>
          <t>NORRTÄLJE</t>
        </is>
      </c>
      <c r="G667" t="n">
        <v>4.3</v>
      </c>
      <c r="H667" t="n">
        <v>0</v>
      </c>
      <c r="I667" t="n">
        <v>0</v>
      </c>
      <c r="J667" t="n">
        <v>0</v>
      </c>
      <c r="K667" t="n">
        <v>0</v>
      </c>
      <c r="L667" t="n">
        <v>0</v>
      </c>
      <c r="M667" t="n">
        <v>0</v>
      </c>
      <c r="N667" t="n">
        <v>0</v>
      </c>
      <c r="O667" t="n">
        <v>0</v>
      </c>
      <c r="P667" t="n">
        <v>0</v>
      </c>
      <c r="Q667" t="n">
        <v>0</v>
      </c>
      <c r="R667" s="2" t="inlineStr"/>
    </row>
    <row r="668" ht="15" customHeight="1">
      <c r="A668" t="inlineStr">
        <is>
          <t>A 19170-2026</t>
        </is>
      </c>
      <c r="B668" s="1" t="n">
        <v>46132</v>
      </c>
      <c r="C668" s="1" t="n">
        <v>46203</v>
      </c>
      <c r="D668" t="inlineStr">
        <is>
          <t>STOCKHOLMS LÄN</t>
        </is>
      </c>
      <c r="E668" t="inlineStr">
        <is>
          <t>NORRTÄLJE</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28900-2022</t>
        </is>
      </c>
      <c r="B669" s="1" t="n">
        <v>44749</v>
      </c>
      <c r="C669" s="1" t="n">
        <v>46203</v>
      </c>
      <c r="D669" t="inlineStr">
        <is>
          <t>STOCKHOLMS LÄN</t>
        </is>
      </c>
      <c r="E669" t="inlineStr">
        <is>
          <t>NORRTÄLJE</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32514-2022</t>
        </is>
      </c>
      <c r="B670" s="1" t="n">
        <v>44782</v>
      </c>
      <c r="C670" s="1" t="n">
        <v>46203</v>
      </c>
      <c r="D670" t="inlineStr">
        <is>
          <t>STOCKHOLMS LÄN</t>
        </is>
      </c>
      <c r="E670" t="inlineStr">
        <is>
          <t>NORRTÄLJE</t>
        </is>
      </c>
      <c r="G670" t="n">
        <v>5.1</v>
      </c>
      <c r="H670" t="n">
        <v>0</v>
      </c>
      <c r="I670" t="n">
        <v>0</v>
      </c>
      <c r="J670" t="n">
        <v>0</v>
      </c>
      <c r="K670" t="n">
        <v>0</v>
      </c>
      <c r="L670" t="n">
        <v>0</v>
      </c>
      <c r="M670" t="n">
        <v>0</v>
      </c>
      <c r="N670" t="n">
        <v>0</v>
      </c>
      <c r="O670" t="n">
        <v>0</v>
      </c>
      <c r="P670" t="n">
        <v>0</v>
      </c>
      <c r="Q670" t="n">
        <v>0</v>
      </c>
      <c r="R670" s="2" t="inlineStr"/>
    </row>
    <row r="671" ht="15" customHeight="1">
      <c r="A671" t="inlineStr">
        <is>
          <t>A 23125-2022</t>
        </is>
      </c>
      <c r="B671" s="1" t="n">
        <v>44719</v>
      </c>
      <c r="C671" s="1" t="n">
        <v>46203</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24835-2025</t>
        </is>
      </c>
      <c r="B672" s="1" t="n">
        <v>45799</v>
      </c>
      <c r="C672" s="1" t="n">
        <v>46203</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19688-2026</t>
        </is>
      </c>
      <c r="B673" s="1" t="n">
        <v>46134</v>
      </c>
      <c r="C673" s="1" t="n">
        <v>46203</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19352-2026</t>
        </is>
      </c>
      <c r="B674" s="1" t="n">
        <v>46133</v>
      </c>
      <c r="C674" s="1" t="n">
        <v>46203</v>
      </c>
      <c r="D674" t="inlineStr">
        <is>
          <t>STOCKHOLMS LÄN</t>
        </is>
      </c>
      <c r="E674" t="inlineStr">
        <is>
          <t>NORRTÄLJE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19358-2026</t>
        </is>
      </c>
      <c r="B675" s="1" t="n">
        <v>46133</v>
      </c>
      <c r="C675" s="1" t="n">
        <v>46203</v>
      </c>
      <c r="D675" t="inlineStr">
        <is>
          <t>STOCKHOLMS LÄN</t>
        </is>
      </c>
      <c r="E675" t="inlineStr">
        <is>
          <t>NORRTÄLJE</t>
        </is>
      </c>
      <c r="G675" t="n">
        <v>0.5</v>
      </c>
      <c r="H675" t="n">
        <v>0</v>
      </c>
      <c r="I675" t="n">
        <v>0</v>
      </c>
      <c r="J675" t="n">
        <v>0</v>
      </c>
      <c r="K675" t="n">
        <v>0</v>
      </c>
      <c r="L675" t="n">
        <v>0</v>
      </c>
      <c r="M675" t="n">
        <v>0</v>
      </c>
      <c r="N675" t="n">
        <v>0</v>
      </c>
      <c r="O675" t="n">
        <v>0</v>
      </c>
      <c r="P675" t="n">
        <v>0</v>
      </c>
      <c r="Q675" t="n">
        <v>0</v>
      </c>
      <c r="R675" s="2" t="inlineStr"/>
    </row>
    <row r="676" ht="15" customHeight="1">
      <c r="A676" t="inlineStr">
        <is>
          <t>A 25697-2026</t>
        </is>
      </c>
      <c r="B676" s="1" t="n">
        <v>46178</v>
      </c>
      <c r="C676" s="1" t="n">
        <v>46203</v>
      </c>
      <c r="D676" t="inlineStr">
        <is>
          <t>STOCKHOLMS LÄN</t>
        </is>
      </c>
      <c r="E676" t="inlineStr">
        <is>
          <t>NORRTÄLJE</t>
        </is>
      </c>
      <c r="G676" t="n">
        <v>4.6</v>
      </c>
      <c r="H676" t="n">
        <v>0</v>
      </c>
      <c r="I676" t="n">
        <v>0</v>
      </c>
      <c r="J676" t="n">
        <v>0</v>
      </c>
      <c r="K676" t="n">
        <v>0</v>
      </c>
      <c r="L676" t="n">
        <v>0</v>
      </c>
      <c r="M676" t="n">
        <v>0</v>
      </c>
      <c r="N676" t="n">
        <v>0</v>
      </c>
      <c r="O676" t="n">
        <v>0</v>
      </c>
      <c r="P676" t="n">
        <v>0</v>
      </c>
      <c r="Q676" t="n">
        <v>0</v>
      </c>
      <c r="R676" s="2" t="inlineStr"/>
    </row>
    <row r="677" ht="15" customHeight="1">
      <c r="A677" t="inlineStr">
        <is>
          <t>A 9329-2023</t>
        </is>
      </c>
      <c r="B677" s="1" t="n">
        <v>44980</v>
      </c>
      <c r="C677" s="1" t="n">
        <v>46203</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6855-2025</t>
        </is>
      </c>
      <c r="B678" s="1" t="n">
        <v>45700</v>
      </c>
      <c r="C678" s="1" t="n">
        <v>46203</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25529-2026</t>
        </is>
      </c>
      <c r="B679" s="1" t="n">
        <v>46177</v>
      </c>
      <c r="C679" s="1" t="n">
        <v>46203</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25507-2026</t>
        </is>
      </c>
      <c r="B680" s="1" t="n">
        <v>46177</v>
      </c>
      <c r="C680" s="1" t="n">
        <v>46203</v>
      </c>
      <c r="D680" t="inlineStr">
        <is>
          <t>STOCKHOLMS LÄN</t>
        </is>
      </c>
      <c r="E680" t="inlineStr">
        <is>
          <t>NORRTÄLJE</t>
        </is>
      </c>
      <c r="G680" t="n">
        <v>2.1</v>
      </c>
      <c r="H680" t="n">
        <v>0</v>
      </c>
      <c r="I680" t="n">
        <v>0</v>
      </c>
      <c r="J680" t="n">
        <v>0</v>
      </c>
      <c r="K680" t="n">
        <v>0</v>
      </c>
      <c r="L680" t="n">
        <v>0</v>
      </c>
      <c r="M680" t="n">
        <v>0</v>
      </c>
      <c r="N680" t="n">
        <v>0</v>
      </c>
      <c r="O680" t="n">
        <v>0</v>
      </c>
      <c r="P680" t="n">
        <v>0</v>
      </c>
      <c r="Q680" t="n">
        <v>0</v>
      </c>
      <c r="R680" s="2" t="inlineStr"/>
    </row>
    <row r="681" ht="15" customHeight="1">
      <c r="A681" t="inlineStr">
        <is>
          <t>A 8135-2025</t>
        </is>
      </c>
      <c r="B681" s="1" t="n">
        <v>45707</v>
      </c>
      <c r="C681" s="1" t="n">
        <v>46203</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31936-2022</t>
        </is>
      </c>
      <c r="B682" s="1" t="n">
        <v>44777</v>
      </c>
      <c r="C682" s="1" t="n">
        <v>46203</v>
      </c>
      <c r="D682" t="inlineStr">
        <is>
          <t>STOCKHOLMS LÄN</t>
        </is>
      </c>
      <c r="E682" t="inlineStr">
        <is>
          <t>NORRTÄLJE</t>
        </is>
      </c>
      <c r="G682" t="n">
        <v>5.2</v>
      </c>
      <c r="H682" t="n">
        <v>0</v>
      </c>
      <c r="I682" t="n">
        <v>0</v>
      </c>
      <c r="J682" t="n">
        <v>0</v>
      </c>
      <c r="K682" t="n">
        <v>0</v>
      </c>
      <c r="L682" t="n">
        <v>0</v>
      </c>
      <c r="M682" t="n">
        <v>0</v>
      </c>
      <c r="N682" t="n">
        <v>0</v>
      </c>
      <c r="O682" t="n">
        <v>0</v>
      </c>
      <c r="P682" t="n">
        <v>0</v>
      </c>
      <c r="Q682" t="n">
        <v>0</v>
      </c>
      <c r="R682" s="2" t="inlineStr"/>
    </row>
    <row r="683" ht="15" customHeight="1">
      <c r="A683" t="inlineStr">
        <is>
          <t>A 24887-2023</t>
        </is>
      </c>
      <c r="B683" s="1" t="n">
        <v>45085</v>
      </c>
      <c r="C683" s="1" t="n">
        <v>46203</v>
      </c>
      <c r="D683" t="inlineStr">
        <is>
          <t>STOCKHOLMS LÄN</t>
        </is>
      </c>
      <c r="E683" t="inlineStr">
        <is>
          <t>NORRTÄLJE</t>
        </is>
      </c>
      <c r="G683" t="n">
        <v>13.9</v>
      </c>
      <c r="H683" t="n">
        <v>0</v>
      </c>
      <c r="I683" t="n">
        <v>0</v>
      </c>
      <c r="J683" t="n">
        <v>0</v>
      </c>
      <c r="K683" t="n">
        <v>0</v>
      </c>
      <c r="L683" t="n">
        <v>0</v>
      </c>
      <c r="M683" t="n">
        <v>0</v>
      </c>
      <c r="N683" t="n">
        <v>0</v>
      </c>
      <c r="O683" t="n">
        <v>0</v>
      </c>
      <c r="P683" t="n">
        <v>0</v>
      </c>
      <c r="Q683" t="n">
        <v>0</v>
      </c>
      <c r="R683" s="2" t="inlineStr"/>
    </row>
    <row r="684" ht="15" customHeight="1">
      <c r="A684" t="inlineStr">
        <is>
          <t>A 59534-2024</t>
        </is>
      </c>
      <c r="B684" s="1" t="n">
        <v>45638</v>
      </c>
      <c r="C684" s="1" t="n">
        <v>46203</v>
      </c>
      <c r="D684" t="inlineStr">
        <is>
          <t>STOCKHOLMS LÄN</t>
        </is>
      </c>
      <c r="E684" t="inlineStr">
        <is>
          <t>NORRTÄLJE</t>
        </is>
      </c>
      <c r="F684" t="inlineStr">
        <is>
          <t>Holmen skog AB</t>
        </is>
      </c>
      <c r="G684" t="n">
        <v>1.3</v>
      </c>
      <c r="H684" t="n">
        <v>0</v>
      </c>
      <c r="I684" t="n">
        <v>0</v>
      </c>
      <c r="J684" t="n">
        <v>0</v>
      </c>
      <c r="K684" t="n">
        <v>0</v>
      </c>
      <c r="L684" t="n">
        <v>0</v>
      </c>
      <c r="M684" t="n">
        <v>0</v>
      </c>
      <c r="N684" t="n">
        <v>0</v>
      </c>
      <c r="O684" t="n">
        <v>0</v>
      </c>
      <c r="P684" t="n">
        <v>0</v>
      </c>
      <c r="Q684" t="n">
        <v>0</v>
      </c>
      <c r="R684" s="2" t="inlineStr"/>
    </row>
    <row r="685" ht="15" customHeight="1">
      <c r="A685" t="inlineStr">
        <is>
          <t>A 56428-2023</t>
        </is>
      </c>
      <c r="B685" s="1" t="n">
        <v>45243</v>
      </c>
      <c r="C685" s="1" t="n">
        <v>46203</v>
      </c>
      <c r="D685" t="inlineStr">
        <is>
          <t>STOCKHOLMS LÄN</t>
        </is>
      </c>
      <c r="E685" t="inlineStr">
        <is>
          <t>NORRTÄLJE</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30338-2022</t>
        </is>
      </c>
      <c r="B686" s="1" t="n">
        <v>44760</v>
      </c>
      <c r="C686" s="1" t="n">
        <v>46203</v>
      </c>
      <c r="D686" t="inlineStr">
        <is>
          <t>STOCKHOLMS LÄN</t>
        </is>
      </c>
      <c r="E686" t="inlineStr">
        <is>
          <t>NORRTÄLJE</t>
        </is>
      </c>
      <c r="G686" t="n">
        <v>0.3</v>
      </c>
      <c r="H686" t="n">
        <v>0</v>
      </c>
      <c r="I686" t="n">
        <v>0</v>
      </c>
      <c r="J686" t="n">
        <v>0</v>
      </c>
      <c r="K686" t="n">
        <v>0</v>
      </c>
      <c r="L686" t="n">
        <v>0</v>
      </c>
      <c r="M686" t="n">
        <v>0</v>
      </c>
      <c r="N686" t="n">
        <v>0</v>
      </c>
      <c r="O686" t="n">
        <v>0</v>
      </c>
      <c r="P686" t="n">
        <v>0</v>
      </c>
      <c r="Q686" t="n">
        <v>0</v>
      </c>
      <c r="R686" s="2" t="inlineStr"/>
    </row>
    <row r="687" ht="15" customHeight="1">
      <c r="A687" t="inlineStr">
        <is>
          <t>A 18541-2023</t>
        </is>
      </c>
      <c r="B687" s="1" t="n">
        <v>45042</v>
      </c>
      <c r="C687" s="1" t="n">
        <v>46203</v>
      </c>
      <c r="D687" t="inlineStr">
        <is>
          <t>STOCKHOLMS LÄN</t>
        </is>
      </c>
      <c r="E687" t="inlineStr">
        <is>
          <t>NORRTÄLJE</t>
        </is>
      </c>
      <c r="G687" t="n">
        <v>0.7</v>
      </c>
      <c r="H687" t="n">
        <v>0</v>
      </c>
      <c r="I687" t="n">
        <v>0</v>
      </c>
      <c r="J687" t="n">
        <v>0</v>
      </c>
      <c r="K687" t="n">
        <v>0</v>
      </c>
      <c r="L687" t="n">
        <v>0</v>
      </c>
      <c r="M687" t="n">
        <v>0</v>
      </c>
      <c r="N687" t="n">
        <v>0</v>
      </c>
      <c r="O687" t="n">
        <v>0</v>
      </c>
      <c r="P687" t="n">
        <v>0</v>
      </c>
      <c r="Q687" t="n">
        <v>0</v>
      </c>
      <c r="R687" s="2" t="inlineStr"/>
    </row>
    <row r="688" ht="15" customHeight="1">
      <c r="A688" t="inlineStr">
        <is>
          <t>A 8792-2025</t>
        </is>
      </c>
      <c r="B688" s="1" t="n">
        <v>45712</v>
      </c>
      <c r="C688" s="1" t="n">
        <v>46203</v>
      </c>
      <c r="D688" t="inlineStr">
        <is>
          <t>STOCKHOLMS LÄN</t>
        </is>
      </c>
      <c r="E688" t="inlineStr">
        <is>
          <t>NORRTÄLJE</t>
        </is>
      </c>
      <c r="F688" t="inlineStr">
        <is>
          <t>Övriga Aktiebolag</t>
        </is>
      </c>
      <c r="G688" t="n">
        <v>6.6</v>
      </c>
      <c r="H688" t="n">
        <v>0</v>
      </c>
      <c r="I688" t="n">
        <v>0</v>
      </c>
      <c r="J688" t="n">
        <v>0</v>
      </c>
      <c r="K688" t="n">
        <v>0</v>
      </c>
      <c r="L688" t="n">
        <v>0</v>
      </c>
      <c r="M688" t="n">
        <v>0</v>
      </c>
      <c r="N688" t="n">
        <v>0</v>
      </c>
      <c r="O688" t="n">
        <v>0</v>
      </c>
      <c r="P688" t="n">
        <v>0</v>
      </c>
      <c r="Q688" t="n">
        <v>0</v>
      </c>
      <c r="R688" s="2" t="inlineStr"/>
    </row>
    <row r="689" ht="15" customHeight="1">
      <c r="A689" t="inlineStr">
        <is>
          <t>A 41301-2025</t>
        </is>
      </c>
      <c r="B689" s="1" t="n">
        <v>45898</v>
      </c>
      <c r="C689" s="1" t="n">
        <v>46203</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51325-2023</t>
        </is>
      </c>
      <c r="B690" s="1" t="n">
        <v>45219</v>
      </c>
      <c r="C690" s="1" t="n">
        <v>46203</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21729-2024</t>
        </is>
      </c>
      <c r="B691" s="1" t="n">
        <v>45442</v>
      </c>
      <c r="C691" s="1" t="n">
        <v>46203</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6678-2025</t>
        </is>
      </c>
      <c r="B692" s="1" t="n">
        <v>45700</v>
      </c>
      <c r="C692" s="1" t="n">
        <v>46203</v>
      </c>
      <c r="D692" t="inlineStr">
        <is>
          <t>STOCKHOLMS LÄN</t>
        </is>
      </c>
      <c r="E692" t="inlineStr">
        <is>
          <t>NORRTÄLJE</t>
        </is>
      </c>
      <c r="F692" t="inlineStr">
        <is>
          <t>Övriga Aktiebolag</t>
        </is>
      </c>
      <c r="G692" t="n">
        <v>6.6</v>
      </c>
      <c r="H692" t="n">
        <v>0</v>
      </c>
      <c r="I692" t="n">
        <v>0</v>
      </c>
      <c r="J692" t="n">
        <v>0</v>
      </c>
      <c r="K692" t="n">
        <v>0</v>
      </c>
      <c r="L692" t="n">
        <v>0</v>
      </c>
      <c r="M692" t="n">
        <v>0</v>
      </c>
      <c r="N692" t="n">
        <v>0</v>
      </c>
      <c r="O692" t="n">
        <v>0</v>
      </c>
      <c r="P692" t="n">
        <v>0</v>
      </c>
      <c r="Q692" t="n">
        <v>0</v>
      </c>
      <c r="R692" s="2" t="inlineStr"/>
    </row>
    <row r="693" ht="15" customHeight="1">
      <c r="A693" t="inlineStr">
        <is>
          <t>A 17209-2026</t>
        </is>
      </c>
      <c r="B693" s="1" t="n">
        <v>46119</v>
      </c>
      <c r="C693" s="1" t="n">
        <v>46203</v>
      </c>
      <c r="D693" t="inlineStr">
        <is>
          <t>STOCKHOLMS LÄN</t>
        </is>
      </c>
      <c r="E693" t="inlineStr">
        <is>
          <t>NORRTÄLJE</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13314-2025</t>
        </is>
      </c>
      <c r="B694" s="1" t="n">
        <v>45735</v>
      </c>
      <c r="C694" s="1" t="n">
        <v>46203</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19759-2026</t>
        </is>
      </c>
      <c r="B695" s="1" t="n">
        <v>46135</v>
      </c>
      <c r="C695" s="1" t="n">
        <v>46203</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32122-2025</t>
        </is>
      </c>
      <c r="B696" s="1" t="n">
        <v>45835</v>
      </c>
      <c r="C696" s="1" t="n">
        <v>46203</v>
      </c>
      <c r="D696" t="inlineStr">
        <is>
          <t>STOCKHOLMS LÄN</t>
        </is>
      </c>
      <c r="E696" t="inlineStr">
        <is>
          <t>NORRTÄLJE</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21894-2023</t>
        </is>
      </c>
      <c r="B697" s="1" t="n">
        <v>45068</v>
      </c>
      <c r="C697" s="1" t="n">
        <v>46203</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8315-2025</t>
        </is>
      </c>
      <c r="B698" s="1" t="n">
        <v>45708</v>
      </c>
      <c r="C698" s="1" t="n">
        <v>46203</v>
      </c>
      <c r="D698" t="inlineStr">
        <is>
          <t>STOCKHOLMS LÄN</t>
        </is>
      </c>
      <c r="E698" t="inlineStr">
        <is>
          <t>NORRTÄLJE</t>
        </is>
      </c>
      <c r="G698" t="n">
        <v>3.9</v>
      </c>
      <c r="H698" t="n">
        <v>0</v>
      </c>
      <c r="I698" t="n">
        <v>0</v>
      </c>
      <c r="J698" t="n">
        <v>0</v>
      </c>
      <c r="K698" t="n">
        <v>0</v>
      </c>
      <c r="L698" t="n">
        <v>0</v>
      </c>
      <c r="M698" t="n">
        <v>0</v>
      </c>
      <c r="N698" t="n">
        <v>0</v>
      </c>
      <c r="O698" t="n">
        <v>0</v>
      </c>
      <c r="P698" t="n">
        <v>0</v>
      </c>
      <c r="Q698" t="n">
        <v>0</v>
      </c>
      <c r="R698" s="2" t="inlineStr"/>
    </row>
    <row r="699" ht="15" customHeight="1">
      <c r="A699" t="inlineStr">
        <is>
          <t>A 25696-2026</t>
        </is>
      </c>
      <c r="B699" s="1" t="n">
        <v>46178</v>
      </c>
      <c r="C699" s="1" t="n">
        <v>46203</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20336-2024</t>
        </is>
      </c>
      <c r="B700" s="1" t="n">
        <v>45435</v>
      </c>
      <c r="C700" s="1" t="n">
        <v>46203</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21732-2023</t>
        </is>
      </c>
      <c r="B701" s="1" t="n">
        <v>45063</v>
      </c>
      <c r="C701" s="1" t="n">
        <v>46203</v>
      </c>
      <c r="D701" t="inlineStr">
        <is>
          <t>STOCKHOLMS LÄN</t>
        </is>
      </c>
      <c r="E701" t="inlineStr">
        <is>
          <t>NORRTÄLJE</t>
        </is>
      </c>
      <c r="G701" t="n">
        <v>1.7</v>
      </c>
      <c r="H701" t="n">
        <v>0</v>
      </c>
      <c r="I701" t="n">
        <v>0</v>
      </c>
      <c r="J701" t="n">
        <v>0</v>
      </c>
      <c r="K701" t="n">
        <v>0</v>
      </c>
      <c r="L701" t="n">
        <v>0</v>
      </c>
      <c r="M701" t="n">
        <v>0</v>
      </c>
      <c r="N701" t="n">
        <v>0</v>
      </c>
      <c r="O701" t="n">
        <v>0</v>
      </c>
      <c r="P701" t="n">
        <v>0</v>
      </c>
      <c r="Q701" t="n">
        <v>0</v>
      </c>
      <c r="R701" s="2" t="inlineStr"/>
    </row>
    <row r="702" ht="15" customHeight="1">
      <c r="A702" t="inlineStr">
        <is>
          <t>A 37444-2021</t>
        </is>
      </c>
      <c r="B702" s="1" t="n">
        <v>44398</v>
      </c>
      <c r="C702" s="1" t="n">
        <v>46203</v>
      </c>
      <c r="D702" t="inlineStr">
        <is>
          <t>STOCKHOLMS LÄN</t>
        </is>
      </c>
      <c r="E702" t="inlineStr">
        <is>
          <t>NORRTÄLJE</t>
        </is>
      </c>
      <c r="F702" t="inlineStr">
        <is>
          <t>Holmen skog AB</t>
        </is>
      </c>
      <c r="G702" t="n">
        <v>3.2</v>
      </c>
      <c r="H702" t="n">
        <v>0</v>
      </c>
      <c r="I702" t="n">
        <v>0</v>
      </c>
      <c r="J702" t="n">
        <v>0</v>
      </c>
      <c r="K702" t="n">
        <v>0</v>
      </c>
      <c r="L702" t="n">
        <v>0</v>
      </c>
      <c r="M702" t="n">
        <v>0</v>
      </c>
      <c r="N702" t="n">
        <v>0</v>
      </c>
      <c r="O702" t="n">
        <v>0</v>
      </c>
      <c r="P702" t="n">
        <v>0</v>
      </c>
      <c r="Q702" t="n">
        <v>0</v>
      </c>
      <c r="R702" s="2" t="inlineStr"/>
    </row>
    <row r="703" ht="15" customHeight="1">
      <c r="A703" t="inlineStr">
        <is>
          <t>A 45173-2023</t>
        </is>
      </c>
      <c r="B703" s="1" t="n">
        <v>45191</v>
      </c>
      <c r="C703" s="1" t="n">
        <v>46203</v>
      </c>
      <c r="D703" t="inlineStr">
        <is>
          <t>STOCKHOLMS LÄN</t>
        </is>
      </c>
      <c r="E703" t="inlineStr">
        <is>
          <t>NORRTÄLJE</t>
        </is>
      </c>
      <c r="F703" t="inlineStr">
        <is>
          <t>Sveaskog</t>
        </is>
      </c>
      <c r="G703" t="n">
        <v>3.6</v>
      </c>
      <c r="H703" t="n">
        <v>0</v>
      </c>
      <c r="I703" t="n">
        <v>0</v>
      </c>
      <c r="J703" t="n">
        <v>0</v>
      </c>
      <c r="K703" t="n">
        <v>0</v>
      </c>
      <c r="L703" t="n">
        <v>0</v>
      </c>
      <c r="M703" t="n">
        <v>0</v>
      </c>
      <c r="N703" t="n">
        <v>0</v>
      </c>
      <c r="O703" t="n">
        <v>0</v>
      </c>
      <c r="P703" t="n">
        <v>0</v>
      </c>
      <c r="Q703" t="n">
        <v>0</v>
      </c>
      <c r="R703" s="2" t="inlineStr"/>
    </row>
    <row r="704" ht="15" customHeight="1">
      <c r="A704" t="inlineStr">
        <is>
          <t>A 41966-2025</t>
        </is>
      </c>
      <c r="B704" s="1" t="n">
        <v>45903</v>
      </c>
      <c r="C704" s="1" t="n">
        <v>46203</v>
      </c>
      <c r="D704" t="inlineStr">
        <is>
          <t>STOCKHOLMS LÄN</t>
        </is>
      </c>
      <c r="E704" t="inlineStr">
        <is>
          <t>NORRTÄLJE</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30221-2024</t>
        </is>
      </c>
      <c r="B705" s="1" t="n">
        <v>45490</v>
      </c>
      <c r="C705" s="1" t="n">
        <v>46203</v>
      </c>
      <c r="D705" t="inlineStr">
        <is>
          <t>STOCKHOLMS LÄN</t>
        </is>
      </c>
      <c r="E705" t="inlineStr">
        <is>
          <t>NORRTÄLJE</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1283-2025</t>
        </is>
      </c>
      <c r="B706" s="1" t="n">
        <v>45667</v>
      </c>
      <c r="C706" s="1" t="n">
        <v>46203</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35254-2025</t>
        </is>
      </c>
      <c r="B707" s="1" t="n">
        <v>45853</v>
      </c>
      <c r="C707" s="1" t="n">
        <v>46203</v>
      </c>
      <c r="D707" t="inlineStr">
        <is>
          <t>STOCKHOLMS LÄN</t>
        </is>
      </c>
      <c r="E707" t="inlineStr">
        <is>
          <t>NORRTÄLJE</t>
        </is>
      </c>
      <c r="G707" t="n">
        <v>6.5</v>
      </c>
      <c r="H707" t="n">
        <v>0</v>
      </c>
      <c r="I707" t="n">
        <v>0</v>
      </c>
      <c r="J707" t="n">
        <v>0</v>
      </c>
      <c r="K707" t="n">
        <v>0</v>
      </c>
      <c r="L707" t="n">
        <v>0</v>
      </c>
      <c r="M707" t="n">
        <v>0</v>
      </c>
      <c r="N707" t="n">
        <v>0</v>
      </c>
      <c r="O707" t="n">
        <v>0</v>
      </c>
      <c r="P707" t="n">
        <v>0</v>
      </c>
      <c r="Q707" t="n">
        <v>0</v>
      </c>
      <c r="R707" s="2" t="inlineStr"/>
    </row>
    <row r="708" ht="15" customHeight="1">
      <c r="A708" t="inlineStr">
        <is>
          <t>A 52254-2025</t>
        </is>
      </c>
      <c r="B708" s="1" t="n">
        <v>45953</v>
      </c>
      <c r="C708" s="1" t="n">
        <v>46203</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27806-2025</t>
        </is>
      </c>
      <c r="B709" s="1" t="n">
        <v>45817</v>
      </c>
      <c r="C709" s="1" t="n">
        <v>46203</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64137-2021</t>
        </is>
      </c>
      <c r="B710" s="1" t="n">
        <v>44510</v>
      </c>
      <c r="C710" s="1" t="n">
        <v>46203</v>
      </c>
      <c r="D710" t="inlineStr">
        <is>
          <t>STOCKHOLMS LÄN</t>
        </is>
      </c>
      <c r="E710" t="inlineStr">
        <is>
          <t>NORRTÄLJE</t>
        </is>
      </c>
      <c r="F710" t="inlineStr">
        <is>
          <t>Holmen skog AB</t>
        </is>
      </c>
      <c r="G710" t="n">
        <v>1.5</v>
      </c>
      <c r="H710" t="n">
        <v>0</v>
      </c>
      <c r="I710" t="n">
        <v>0</v>
      </c>
      <c r="J710" t="n">
        <v>0</v>
      </c>
      <c r="K710" t="n">
        <v>0</v>
      </c>
      <c r="L710" t="n">
        <v>0</v>
      </c>
      <c r="M710" t="n">
        <v>0</v>
      </c>
      <c r="N710" t="n">
        <v>0</v>
      </c>
      <c r="O710" t="n">
        <v>0</v>
      </c>
      <c r="P710" t="n">
        <v>0</v>
      </c>
      <c r="Q710" t="n">
        <v>0</v>
      </c>
      <c r="R710" s="2" t="inlineStr"/>
    </row>
    <row r="711" ht="15" customHeight="1">
      <c r="A711" t="inlineStr">
        <is>
          <t>A 24351-2025</t>
        </is>
      </c>
      <c r="B711" s="1" t="n">
        <v>45797</v>
      </c>
      <c r="C711" s="1" t="n">
        <v>46203</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52251-2025</t>
        </is>
      </c>
      <c r="B712" s="1" t="n">
        <v>45953</v>
      </c>
      <c r="C712" s="1" t="n">
        <v>46203</v>
      </c>
      <c r="D712" t="inlineStr">
        <is>
          <t>STOCKHOLMS LÄN</t>
        </is>
      </c>
      <c r="E712" t="inlineStr">
        <is>
          <t>NORRTÄLJE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32094-2025</t>
        </is>
      </c>
      <c r="B713" s="1" t="n">
        <v>45835</v>
      </c>
      <c r="C713" s="1" t="n">
        <v>46203</v>
      </c>
      <c r="D713" t="inlineStr">
        <is>
          <t>STOCKHOLMS LÄN</t>
        </is>
      </c>
      <c r="E713" t="inlineStr">
        <is>
          <t>NORRTÄLJE</t>
        </is>
      </c>
      <c r="F713" t="inlineStr">
        <is>
          <t>Holmen skog AB</t>
        </is>
      </c>
      <c r="G713" t="n">
        <v>2.9</v>
      </c>
      <c r="H713" t="n">
        <v>0</v>
      </c>
      <c r="I713" t="n">
        <v>0</v>
      </c>
      <c r="J713" t="n">
        <v>0</v>
      </c>
      <c r="K713" t="n">
        <v>0</v>
      </c>
      <c r="L713" t="n">
        <v>0</v>
      </c>
      <c r="M713" t="n">
        <v>0</v>
      </c>
      <c r="N713" t="n">
        <v>0</v>
      </c>
      <c r="O713" t="n">
        <v>0</v>
      </c>
      <c r="P713" t="n">
        <v>0</v>
      </c>
      <c r="Q713" t="n">
        <v>0</v>
      </c>
      <c r="R713" s="2" t="inlineStr"/>
    </row>
    <row r="714" ht="15" customHeight="1">
      <c r="A714" t="inlineStr">
        <is>
          <t>A 38720-2022</t>
        </is>
      </c>
      <c r="B714" s="1" t="n">
        <v>44815</v>
      </c>
      <c r="C714" s="1" t="n">
        <v>46203</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37628-2025</t>
        </is>
      </c>
      <c r="B715" s="1" t="n">
        <v>45880</v>
      </c>
      <c r="C715" s="1" t="n">
        <v>46203</v>
      </c>
      <c r="D715" t="inlineStr">
        <is>
          <t>STOCKHOLMS LÄN</t>
        </is>
      </c>
      <c r="E715" t="inlineStr">
        <is>
          <t>NORRTÄLJE</t>
        </is>
      </c>
      <c r="F715" t="inlineStr">
        <is>
          <t>Sveaskog</t>
        </is>
      </c>
      <c r="G715" t="n">
        <v>2.6</v>
      </c>
      <c r="H715" t="n">
        <v>0</v>
      </c>
      <c r="I715" t="n">
        <v>0</v>
      </c>
      <c r="J715" t="n">
        <v>0</v>
      </c>
      <c r="K715" t="n">
        <v>0</v>
      </c>
      <c r="L715" t="n">
        <v>0</v>
      </c>
      <c r="M715" t="n">
        <v>0</v>
      </c>
      <c r="N715" t="n">
        <v>0</v>
      </c>
      <c r="O715" t="n">
        <v>0</v>
      </c>
      <c r="P715" t="n">
        <v>0</v>
      </c>
      <c r="Q715" t="n">
        <v>0</v>
      </c>
      <c r="R715" s="2" t="inlineStr"/>
    </row>
    <row r="716" ht="15" customHeight="1">
      <c r="A716" t="inlineStr">
        <is>
          <t>A 26210-2026</t>
        </is>
      </c>
      <c r="B716" s="1" t="n">
        <v>46182</v>
      </c>
      <c r="C716" s="1" t="n">
        <v>46203</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13785-2024</t>
        </is>
      </c>
      <c r="B717" s="1" t="n">
        <v>45391</v>
      </c>
      <c r="C717" s="1" t="n">
        <v>46203</v>
      </c>
      <c r="D717" t="inlineStr">
        <is>
          <t>STOCKHOLMS LÄN</t>
        </is>
      </c>
      <c r="E717" t="inlineStr">
        <is>
          <t>NORRTÄLJE</t>
        </is>
      </c>
      <c r="G717" t="n">
        <v>5</v>
      </c>
      <c r="H717" t="n">
        <v>0</v>
      </c>
      <c r="I717" t="n">
        <v>0</v>
      </c>
      <c r="J717" t="n">
        <v>0</v>
      </c>
      <c r="K717" t="n">
        <v>0</v>
      </c>
      <c r="L717" t="n">
        <v>0</v>
      </c>
      <c r="M717" t="n">
        <v>0</v>
      </c>
      <c r="N717" t="n">
        <v>0</v>
      </c>
      <c r="O717" t="n">
        <v>0</v>
      </c>
      <c r="P717" t="n">
        <v>0</v>
      </c>
      <c r="Q717" t="n">
        <v>0</v>
      </c>
      <c r="R717" s="2" t="inlineStr"/>
    </row>
    <row r="718" ht="15" customHeight="1">
      <c r="A718" t="inlineStr">
        <is>
          <t>A 34432-2021</t>
        </is>
      </c>
      <c r="B718" s="1" t="n">
        <v>44380</v>
      </c>
      <c r="C718" s="1" t="n">
        <v>46203</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1654-2025</t>
        </is>
      </c>
      <c r="B719" s="1" t="n">
        <v>45670</v>
      </c>
      <c r="C719" s="1" t="n">
        <v>46203</v>
      </c>
      <c r="D719" t="inlineStr">
        <is>
          <t>STOCKHOLMS LÄN</t>
        </is>
      </c>
      <c r="E719" t="inlineStr">
        <is>
          <t>NORRTÄLJE</t>
        </is>
      </c>
      <c r="G719" t="n">
        <v>2.5</v>
      </c>
      <c r="H719" t="n">
        <v>0</v>
      </c>
      <c r="I719" t="n">
        <v>0</v>
      </c>
      <c r="J719" t="n">
        <v>0</v>
      </c>
      <c r="K719" t="n">
        <v>0</v>
      </c>
      <c r="L719" t="n">
        <v>0</v>
      </c>
      <c r="M719" t="n">
        <v>0</v>
      </c>
      <c r="N719" t="n">
        <v>0</v>
      </c>
      <c r="O719" t="n">
        <v>0</v>
      </c>
      <c r="P719" t="n">
        <v>0</v>
      </c>
      <c r="Q719" t="n">
        <v>0</v>
      </c>
      <c r="R719" s="2" t="inlineStr"/>
    </row>
    <row r="720" ht="15" customHeight="1">
      <c r="A720" t="inlineStr">
        <is>
          <t>A 19911-2025</t>
        </is>
      </c>
      <c r="B720" s="1" t="n">
        <v>45771</v>
      </c>
      <c r="C720" s="1" t="n">
        <v>46203</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25968-2026</t>
        </is>
      </c>
      <c r="B721" s="1" t="n">
        <v>46181</v>
      </c>
      <c r="C721" s="1" t="n">
        <v>46203</v>
      </c>
      <c r="D721" t="inlineStr">
        <is>
          <t>STOCKHOLMS LÄN</t>
        </is>
      </c>
      <c r="E721" t="inlineStr">
        <is>
          <t>NORRTÄLJE</t>
        </is>
      </c>
      <c r="F721" t="inlineStr">
        <is>
          <t>Kyrkan</t>
        </is>
      </c>
      <c r="G721" t="n">
        <v>3.6</v>
      </c>
      <c r="H721" t="n">
        <v>0</v>
      </c>
      <c r="I721" t="n">
        <v>0</v>
      </c>
      <c r="J721" t="n">
        <v>0</v>
      </c>
      <c r="K721" t="n">
        <v>0</v>
      </c>
      <c r="L721" t="n">
        <v>0</v>
      </c>
      <c r="M721" t="n">
        <v>0</v>
      </c>
      <c r="N721" t="n">
        <v>0</v>
      </c>
      <c r="O721" t="n">
        <v>0</v>
      </c>
      <c r="P721" t="n">
        <v>0</v>
      </c>
      <c r="Q721" t="n">
        <v>0</v>
      </c>
      <c r="R721" s="2" t="inlineStr"/>
    </row>
    <row r="722" ht="15" customHeight="1">
      <c r="A722" t="inlineStr">
        <is>
          <t>A 47521-2024</t>
        </is>
      </c>
      <c r="B722" s="1" t="n">
        <v>45587</v>
      </c>
      <c r="C722" s="1" t="n">
        <v>46203</v>
      </c>
      <c r="D722" t="inlineStr">
        <is>
          <t>STOCKHOLMS LÄN</t>
        </is>
      </c>
      <c r="E722" t="inlineStr">
        <is>
          <t>NORRTÄLJE</t>
        </is>
      </c>
      <c r="G722" t="n">
        <v>4.7</v>
      </c>
      <c r="H722" t="n">
        <v>0</v>
      </c>
      <c r="I722" t="n">
        <v>0</v>
      </c>
      <c r="J722" t="n">
        <v>0</v>
      </c>
      <c r="K722" t="n">
        <v>0</v>
      </c>
      <c r="L722" t="n">
        <v>0</v>
      </c>
      <c r="M722" t="n">
        <v>0</v>
      </c>
      <c r="N722" t="n">
        <v>0</v>
      </c>
      <c r="O722" t="n">
        <v>0</v>
      </c>
      <c r="P722" t="n">
        <v>0</v>
      </c>
      <c r="Q722" t="n">
        <v>0</v>
      </c>
      <c r="R722" s="2" t="inlineStr"/>
    </row>
    <row r="723" ht="15" customHeight="1">
      <c r="A723" t="inlineStr">
        <is>
          <t>A 7806-2025</t>
        </is>
      </c>
      <c r="B723" s="1" t="n">
        <v>45706</v>
      </c>
      <c r="C723" s="1" t="n">
        <v>46203</v>
      </c>
      <c r="D723" t="inlineStr">
        <is>
          <t>STOCKHOLMS LÄN</t>
        </is>
      </c>
      <c r="E723" t="inlineStr">
        <is>
          <t>NORRTÄLJE</t>
        </is>
      </c>
      <c r="F723" t="inlineStr">
        <is>
          <t>Holmen skog AB</t>
        </is>
      </c>
      <c r="G723" t="n">
        <v>3.5</v>
      </c>
      <c r="H723" t="n">
        <v>0</v>
      </c>
      <c r="I723" t="n">
        <v>0</v>
      </c>
      <c r="J723" t="n">
        <v>0</v>
      </c>
      <c r="K723" t="n">
        <v>0</v>
      </c>
      <c r="L723" t="n">
        <v>0</v>
      </c>
      <c r="M723" t="n">
        <v>0</v>
      </c>
      <c r="N723" t="n">
        <v>0</v>
      </c>
      <c r="O723" t="n">
        <v>0</v>
      </c>
      <c r="P723" t="n">
        <v>0</v>
      </c>
      <c r="Q723" t="n">
        <v>0</v>
      </c>
      <c r="R723" s="2" t="inlineStr"/>
    </row>
    <row r="724" ht="15" customHeight="1">
      <c r="A724" t="inlineStr">
        <is>
          <t>A 11041-2025</t>
        </is>
      </c>
      <c r="B724" s="1" t="n">
        <v>45723</v>
      </c>
      <c r="C724" s="1" t="n">
        <v>46203</v>
      </c>
      <c r="D724" t="inlineStr">
        <is>
          <t>STOCKHOLMS LÄN</t>
        </is>
      </c>
      <c r="E724" t="inlineStr">
        <is>
          <t>NORRTÄLJE</t>
        </is>
      </c>
      <c r="F724" t="inlineStr">
        <is>
          <t>Övriga Aktiebolag</t>
        </is>
      </c>
      <c r="G724" t="n">
        <v>1.8</v>
      </c>
      <c r="H724" t="n">
        <v>0</v>
      </c>
      <c r="I724" t="n">
        <v>0</v>
      </c>
      <c r="J724" t="n">
        <v>0</v>
      </c>
      <c r="K724" t="n">
        <v>0</v>
      </c>
      <c r="L724" t="n">
        <v>0</v>
      </c>
      <c r="M724" t="n">
        <v>0</v>
      </c>
      <c r="N724" t="n">
        <v>0</v>
      </c>
      <c r="O724" t="n">
        <v>0</v>
      </c>
      <c r="P724" t="n">
        <v>0</v>
      </c>
      <c r="Q724" t="n">
        <v>0</v>
      </c>
      <c r="R724" s="2" t="inlineStr"/>
    </row>
    <row r="725" ht="15" customHeight="1">
      <c r="A725" t="inlineStr">
        <is>
          <t>A 12532-2025</t>
        </is>
      </c>
      <c r="B725" s="1" t="n">
        <v>45730</v>
      </c>
      <c r="C725" s="1" t="n">
        <v>46203</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26083-2026</t>
        </is>
      </c>
      <c r="B726" s="1" t="n">
        <v>46181</v>
      </c>
      <c r="C726" s="1" t="n">
        <v>46203</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55503-2025</t>
        </is>
      </c>
      <c r="B727" s="1" t="n">
        <v>45971</v>
      </c>
      <c r="C727" s="1" t="n">
        <v>46203</v>
      </c>
      <c r="D727" t="inlineStr">
        <is>
          <t>STOCKHOLMS LÄN</t>
        </is>
      </c>
      <c r="E727" t="inlineStr">
        <is>
          <t>NORRTÄLJE</t>
        </is>
      </c>
      <c r="G727" t="n">
        <v>3</v>
      </c>
      <c r="H727" t="n">
        <v>0</v>
      </c>
      <c r="I727" t="n">
        <v>0</v>
      </c>
      <c r="J727" t="n">
        <v>0</v>
      </c>
      <c r="K727" t="n">
        <v>0</v>
      </c>
      <c r="L727" t="n">
        <v>0</v>
      </c>
      <c r="M727" t="n">
        <v>0</v>
      </c>
      <c r="N727" t="n">
        <v>0</v>
      </c>
      <c r="O727" t="n">
        <v>0</v>
      </c>
      <c r="P727" t="n">
        <v>0</v>
      </c>
      <c r="Q727" t="n">
        <v>0</v>
      </c>
      <c r="R727" s="2" t="inlineStr"/>
    </row>
    <row r="728" ht="15" customHeight="1">
      <c r="A728" t="inlineStr">
        <is>
          <t>A 40175-2024</t>
        </is>
      </c>
      <c r="B728" s="1" t="n">
        <v>45554</v>
      </c>
      <c r="C728" s="1" t="n">
        <v>46203</v>
      </c>
      <c r="D728" t="inlineStr">
        <is>
          <t>STOCKHOLMS LÄN</t>
        </is>
      </c>
      <c r="E728" t="inlineStr">
        <is>
          <t>NORRTÄLJE</t>
        </is>
      </c>
      <c r="G728" t="n">
        <v>7.7</v>
      </c>
      <c r="H728" t="n">
        <v>0</v>
      </c>
      <c r="I728" t="n">
        <v>0</v>
      </c>
      <c r="J728" t="n">
        <v>0</v>
      </c>
      <c r="K728" t="n">
        <v>0</v>
      </c>
      <c r="L728" t="n">
        <v>0</v>
      </c>
      <c r="M728" t="n">
        <v>0</v>
      </c>
      <c r="N728" t="n">
        <v>0</v>
      </c>
      <c r="O728" t="n">
        <v>0</v>
      </c>
      <c r="P728" t="n">
        <v>0</v>
      </c>
      <c r="Q728" t="n">
        <v>0</v>
      </c>
      <c r="R728" s="2" t="inlineStr"/>
    </row>
    <row r="729" ht="15" customHeight="1">
      <c r="A729" t="inlineStr">
        <is>
          <t>A 16229-2022</t>
        </is>
      </c>
      <c r="B729" s="1" t="n">
        <v>44670</v>
      </c>
      <c r="C729" s="1" t="n">
        <v>46203</v>
      </c>
      <c r="D729" t="inlineStr">
        <is>
          <t>STOCKHOLMS LÄN</t>
        </is>
      </c>
      <c r="E729" t="inlineStr">
        <is>
          <t>NORRTÄLJE</t>
        </is>
      </c>
      <c r="G729" t="n">
        <v>7.4</v>
      </c>
      <c r="H729" t="n">
        <v>0</v>
      </c>
      <c r="I729" t="n">
        <v>0</v>
      </c>
      <c r="J729" t="n">
        <v>0</v>
      </c>
      <c r="K729" t="n">
        <v>0</v>
      </c>
      <c r="L729" t="n">
        <v>0</v>
      </c>
      <c r="M729" t="n">
        <v>0</v>
      </c>
      <c r="N729" t="n">
        <v>0</v>
      </c>
      <c r="O729" t="n">
        <v>0</v>
      </c>
      <c r="P729" t="n">
        <v>0</v>
      </c>
      <c r="Q729" t="n">
        <v>0</v>
      </c>
      <c r="R729" s="2" t="inlineStr"/>
    </row>
    <row r="730" ht="15" customHeight="1">
      <c r="A730" t="inlineStr">
        <is>
          <t>A 25919-2026</t>
        </is>
      </c>
      <c r="B730" s="1" t="n">
        <v>46178</v>
      </c>
      <c r="C730" s="1" t="n">
        <v>46203</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26416-2026</t>
        </is>
      </c>
      <c r="B731" s="1" t="n">
        <v>46183</v>
      </c>
      <c r="C731" s="1" t="n">
        <v>46203</v>
      </c>
      <c r="D731" t="inlineStr">
        <is>
          <t>STOCKHOLMS LÄN</t>
        </is>
      </c>
      <c r="E731" t="inlineStr">
        <is>
          <t>NORRTÄLJE</t>
        </is>
      </c>
      <c r="G731" t="n">
        <v>3.7</v>
      </c>
      <c r="H731" t="n">
        <v>0</v>
      </c>
      <c r="I731" t="n">
        <v>0</v>
      </c>
      <c r="J731" t="n">
        <v>0</v>
      </c>
      <c r="K731" t="n">
        <v>0</v>
      </c>
      <c r="L731" t="n">
        <v>0</v>
      </c>
      <c r="M731" t="n">
        <v>0</v>
      </c>
      <c r="N731" t="n">
        <v>0</v>
      </c>
      <c r="O731" t="n">
        <v>0</v>
      </c>
      <c r="P731" t="n">
        <v>0</v>
      </c>
      <c r="Q731" t="n">
        <v>0</v>
      </c>
      <c r="R731" s="2" t="inlineStr"/>
    </row>
    <row r="732" ht="15" customHeight="1">
      <c r="A732" t="inlineStr">
        <is>
          <t>A 25733-2025</t>
        </is>
      </c>
      <c r="B732" s="1" t="n">
        <v>45800</v>
      </c>
      <c r="C732" s="1" t="n">
        <v>46203</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46914-2022</t>
        </is>
      </c>
      <c r="B733" s="1" t="n">
        <v>44851</v>
      </c>
      <c r="C733" s="1" t="n">
        <v>46203</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27554-2025</t>
        </is>
      </c>
      <c r="B734" s="1" t="n">
        <v>45813</v>
      </c>
      <c r="C734" s="1" t="n">
        <v>46203</v>
      </c>
      <c r="D734" t="inlineStr">
        <is>
          <t>STOCKHOLMS LÄN</t>
        </is>
      </c>
      <c r="E734" t="inlineStr">
        <is>
          <t>NORRTÄLJE</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26406-2026</t>
        </is>
      </c>
      <c r="B735" s="1" t="n">
        <v>46183</v>
      </c>
      <c r="C735" s="1" t="n">
        <v>46203</v>
      </c>
      <c r="D735" t="inlineStr">
        <is>
          <t>STOCKHOLMS LÄN</t>
        </is>
      </c>
      <c r="E735" t="inlineStr">
        <is>
          <t>NORRTÄLJE</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26408-2026</t>
        </is>
      </c>
      <c r="B736" s="1" t="n">
        <v>46183</v>
      </c>
      <c r="C736" s="1" t="n">
        <v>46203</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26557-2026</t>
        </is>
      </c>
      <c r="B737" s="1" t="n">
        <v>46183</v>
      </c>
      <c r="C737" s="1" t="n">
        <v>46203</v>
      </c>
      <c r="D737" t="inlineStr">
        <is>
          <t>STOCKHOLMS LÄN</t>
        </is>
      </c>
      <c r="E737" t="inlineStr">
        <is>
          <t>NORRTÄLJE</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20015-2023</t>
        </is>
      </c>
      <c r="B738" s="1" t="n">
        <v>45054</v>
      </c>
      <c r="C738" s="1" t="n">
        <v>46203</v>
      </c>
      <c r="D738" t="inlineStr">
        <is>
          <t>STOCKHOLMS LÄN</t>
        </is>
      </c>
      <c r="E738" t="inlineStr">
        <is>
          <t>NORRTÄLJE</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5027-2025</t>
        </is>
      </c>
      <c r="B739" s="1" t="n">
        <v>45691</v>
      </c>
      <c r="C739" s="1" t="n">
        <v>46203</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27179-2026</t>
        </is>
      </c>
      <c r="B740" s="1" t="n">
        <v>46188</v>
      </c>
      <c r="C740" s="1" t="n">
        <v>46203</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27181-2026</t>
        </is>
      </c>
      <c r="B741" s="1" t="n">
        <v>46188</v>
      </c>
      <c r="C741" s="1" t="n">
        <v>46203</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27187-2026</t>
        </is>
      </c>
      <c r="B742" s="1" t="n">
        <v>46188</v>
      </c>
      <c r="C742" s="1" t="n">
        <v>46203</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27422-2026</t>
        </is>
      </c>
      <c r="B743" s="1" t="n">
        <v>46189</v>
      </c>
      <c r="C743" s="1" t="n">
        <v>46203</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21818-2026</t>
        </is>
      </c>
      <c r="B744" s="1" t="n">
        <v>46150</v>
      </c>
      <c r="C744" s="1" t="n">
        <v>46203</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21780-2026</t>
        </is>
      </c>
      <c r="B745" s="1" t="n">
        <v>46150</v>
      </c>
      <c r="C745" s="1" t="n">
        <v>46203</v>
      </c>
      <c r="D745" t="inlineStr">
        <is>
          <t>STOCKHOLMS LÄN</t>
        </is>
      </c>
      <c r="E745" t="inlineStr">
        <is>
          <t>NORRTÄLJE</t>
        </is>
      </c>
      <c r="G745" t="n">
        <v>0.8</v>
      </c>
      <c r="H745" t="n">
        <v>0</v>
      </c>
      <c r="I745" t="n">
        <v>0</v>
      </c>
      <c r="J745" t="n">
        <v>0</v>
      </c>
      <c r="K745" t="n">
        <v>0</v>
      </c>
      <c r="L745" t="n">
        <v>0</v>
      </c>
      <c r="M745" t="n">
        <v>0</v>
      </c>
      <c r="N745" t="n">
        <v>0</v>
      </c>
      <c r="O745" t="n">
        <v>0</v>
      </c>
      <c r="P745" t="n">
        <v>0</v>
      </c>
      <c r="Q745" t="n">
        <v>0</v>
      </c>
      <c r="R745" s="2" t="inlineStr"/>
    </row>
    <row r="746" ht="15" customHeight="1">
      <c r="A746" t="inlineStr">
        <is>
          <t>A 21815-2026</t>
        </is>
      </c>
      <c r="B746" s="1" t="n">
        <v>46150</v>
      </c>
      <c r="C746" s="1" t="n">
        <v>46203</v>
      </c>
      <c r="D746" t="inlineStr">
        <is>
          <t>STOCKHOLMS LÄN</t>
        </is>
      </c>
      <c r="E746" t="inlineStr">
        <is>
          <t>NORRTÄLJE</t>
        </is>
      </c>
      <c r="G746" t="n">
        <v>2.8</v>
      </c>
      <c r="H746" t="n">
        <v>0</v>
      </c>
      <c r="I746" t="n">
        <v>0</v>
      </c>
      <c r="J746" t="n">
        <v>0</v>
      </c>
      <c r="K746" t="n">
        <v>0</v>
      </c>
      <c r="L746" t="n">
        <v>0</v>
      </c>
      <c r="M746" t="n">
        <v>0</v>
      </c>
      <c r="N746" t="n">
        <v>0</v>
      </c>
      <c r="O746" t="n">
        <v>0</v>
      </c>
      <c r="P746" t="n">
        <v>0</v>
      </c>
      <c r="Q746" t="n">
        <v>0</v>
      </c>
      <c r="R746" s="2" t="inlineStr"/>
    </row>
    <row r="747" ht="15" customHeight="1">
      <c r="A747" t="inlineStr">
        <is>
          <t>A 27760-2026</t>
        </is>
      </c>
      <c r="B747" s="1" t="n">
        <v>46191</v>
      </c>
      <c r="C747" s="1" t="n">
        <v>46203</v>
      </c>
      <c r="D747" t="inlineStr">
        <is>
          <t>STOCKHOLMS LÄN</t>
        </is>
      </c>
      <c r="E747" t="inlineStr">
        <is>
          <t>NORRTÄLJE</t>
        </is>
      </c>
      <c r="G747" t="n">
        <v>3</v>
      </c>
      <c r="H747" t="n">
        <v>0</v>
      </c>
      <c r="I747" t="n">
        <v>0</v>
      </c>
      <c r="J747" t="n">
        <v>0</v>
      </c>
      <c r="K747" t="n">
        <v>0</v>
      </c>
      <c r="L747" t="n">
        <v>0</v>
      </c>
      <c r="M747" t="n">
        <v>0</v>
      </c>
      <c r="N747" t="n">
        <v>0</v>
      </c>
      <c r="O747" t="n">
        <v>0</v>
      </c>
      <c r="P747" t="n">
        <v>0</v>
      </c>
      <c r="Q747" t="n">
        <v>0</v>
      </c>
      <c r="R747" s="2" t="inlineStr"/>
    </row>
    <row r="748" ht="15" customHeight="1">
      <c r="A748" t="inlineStr">
        <is>
          <t>A 27764-2026</t>
        </is>
      </c>
      <c r="B748" s="1" t="n">
        <v>46191</v>
      </c>
      <c r="C748" s="1" t="n">
        <v>46203</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27767-2026</t>
        </is>
      </c>
      <c r="B749" s="1" t="n">
        <v>46191</v>
      </c>
      <c r="C749" s="1" t="n">
        <v>46203</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21786-2026</t>
        </is>
      </c>
      <c r="B750" s="1" t="n">
        <v>46150</v>
      </c>
      <c r="C750" s="1" t="n">
        <v>46203</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21820-2026</t>
        </is>
      </c>
      <c r="B751" s="1" t="n">
        <v>46150</v>
      </c>
      <c r="C751" s="1" t="n">
        <v>46203</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28097-2026</t>
        </is>
      </c>
      <c r="B752" s="1" t="n">
        <v>46195</v>
      </c>
      <c r="C752" s="1" t="n">
        <v>46203</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54776-2023</t>
        </is>
      </c>
      <c r="B753" s="1" t="n">
        <v>45236</v>
      </c>
      <c r="C753" s="1" t="n">
        <v>46203</v>
      </c>
      <c r="D753" t="inlineStr">
        <is>
          <t>STOCKHOLMS LÄN</t>
        </is>
      </c>
      <c r="E753" t="inlineStr">
        <is>
          <t>NORRTÄLJE</t>
        </is>
      </c>
      <c r="G753" t="n">
        <v>0.3</v>
      </c>
      <c r="H753" t="n">
        <v>0</v>
      </c>
      <c r="I753" t="n">
        <v>0</v>
      </c>
      <c r="J753" t="n">
        <v>0</v>
      </c>
      <c r="K753" t="n">
        <v>0</v>
      </c>
      <c r="L753" t="n">
        <v>0</v>
      </c>
      <c r="M753" t="n">
        <v>0</v>
      </c>
      <c r="N753" t="n">
        <v>0</v>
      </c>
      <c r="O753" t="n">
        <v>0</v>
      </c>
      <c r="P753" t="n">
        <v>0</v>
      </c>
      <c r="Q753" t="n">
        <v>0</v>
      </c>
      <c r="R753" s="2" t="inlineStr"/>
    </row>
    <row r="754" ht="15" customHeight="1">
      <c r="A754" t="inlineStr">
        <is>
          <t>A 20144-2023</t>
        </is>
      </c>
      <c r="B754" s="1" t="n">
        <v>45055</v>
      </c>
      <c r="C754" s="1" t="n">
        <v>46203</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21753-2026</t>
        </is>
      </c>
      <c r="B755" s="1" t="n">
        <v>46149</v>
      </c>
      <c r="C755" s="1" t="n">
        <v>46203</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28404-2026</t>
        </is>
      </c>
      <c r="B756" s="1" t="n">
        <v>46197</v>
      </c>
      <c r="C756" s="1" t="n">
        <v>46203</v>
      </c>
      <c r="D756" t="inlineStr">
        <is>
          <t>STOCKHOLMS LÄN</t>
        </is>
      </c>
      <c r="E756" t="inlineStr">
        <is>
          <t>NORRTÄLJE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22618-2026</t>
        </is>
      </c>
      <c r="B757" s="1" t="n">
        <v>46155</v>
      </c>
      <c r="C757" s="1" t="n">
        <v>46203</v>
      </c>
      <c r="D757" t="inlineStr">
        <is>
          <t>STOCKHOLMS LÄN</t>
        </is>
      </c>
      <c r="E757" t="inlineStr">
        <is>
          <t>NORRTÄLJE</t>
        </is>
      </c>
      <c r="G757" t="n">
        <v>1.7</v>
      </c>
      <c r="H757" t="n">
        <v>0</v>
      </c>
      <c r="I757" t="n">
        <v>0</v>
      </c>
      <c r="J757" t="n">
        <v>0</v>
      </c>
      <c r="K757" t="n">
        <v>0</v>
      </c>
      <c r="L757" t="n">
        <v>0</v>
      </c>
      <c r="M757" t="n">
        <v>0</v>
      </c>
      <c r="N757" t="n">
        <v>0</v>
      </c>
      <c r="O757" t="n">
        <v>0</v>
      </c>
      <c r="P757" t="n">
        <v>0</v>
      </c>
      <c r="Q757" t="n">
        <v>0</v>
      </c>
      <c r="R757" s="2" t="inlineStr"/>
    </row>
    <row r="758" ht="15" customHeight="1">
      <c r="A758" t="inlineStr">
        <is>
          <t>A 23056-2023</t>
        </is>
      </c>
      <c r="B758" s="1" t="n">
        <v>45075</v>
      </c>
      <c r="C758" s="1" t="n">
        <v>46203</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28733-2026</t>
        </is>
      </c>
      <c r="B759" s="1" t="n">
        <v>46198</v>
      </c>
      <c r="C759" s="1" t="n">
        <v>46203</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28465-2026</t>
        </is>
      </c>
      <c r="B760" s="1" t="n">
        <v>46197</v>
      </c>
      <c r="C760" s="1" t="n">
        <v>46203</v>
      </c>
      <c r="D760" t="inlineStr">
        <is>
          <t>STOCKHOLMS LÄN</t>
        </is>
      </c>
      <c r="E760" t="inlineStr">
        <is>
          <t>NORRTÄLJE</t>
        </is>
      </c>
      <c r="G760" t="n">
        <v>1.7</v>
      </c>
      <c r="H760" t="n">
        <v>0</v>
      </c>
      <c r="I760" t="n">
        <v>0</v>
      </c>
      <c r="J760" t="n">
        <v>0</v>
      </c>
      <c r="K760" t="n">
        <v>0</v>
      </c>
      <c r="L760" t="n">
        <v>0</v>
      </c>
      <c r="M760" t="n">
        <v>0</v>
      </c>
      <c r="N760" t="n">
        <v>0</v>
      </c>
      <c r="O760" t="n">
        <v>0</v>
      </c>
      <c r="P760" t="n">
        <v>0</v>
      </c>
      <c r="Q760" t="n">
        <v>0</v>
      </c>
      <c r="R760" s="2" t="inlineStr"/>
    </row>
    <row r="761" ht="15" customHeight="1">
      <c r="A761" t="inlineStr">
        <is>
          <t>A 5867-2022</t>
        </is>
      </c>
      <c r="B761" s="1" t="n">
        <v>44596</v>
      </c>
      <c r="C761" s="1" t="n">
        <v>46203</v>
      </c>
      <c r="D761" t="inlineStr">
        <is>
          <t>STOCKHOLMS LÄN</t>
        </is>
      </c>
      <c r="E761" t="inlineStr">
        <is>
          <t>NORRTÄLJE</t>
        </is>
      </c>
      <c r="F761" t="inlineStr">
        <is>
          <t>Naturvårdsverket</t>
        </is>
      </c>
      <c r="G761" t="n">
        <v>1.6</v>
      </c>
      <c r="H761" t="n">
        <v>0</v>
      </c>
      <c r="I761" t="n">
        <v>0</v>
      </c>
      <c r="J761" t="n">
        <v>0</v>
      </c>
      <c r="K761" t="n">
        <v>0</v>
      </c>
      <c r="L761" t="n">
        <v>0</v>
      </c>
      <c r="M761" t="n">
        <v>0</v>
      </c>
      <c r="N761" t="n">
        <v>0</v>
      </c>
      <c r="O761" t="n">
        <v>0</v>
      </c>
      <c r="P761" t="n">
        <v>0</v>
      </c>
      <c r="Q761" t="n">
        <v>0</v>
      </c>
      <c r="R761" s="2" t="inlineStr"/>
    </row>
    <row r="762" ht="15" customHeight="1">
      <c r="A762" t="inlineStr">
        <is>
          <t>A 73307-2021</t>
        </is>
      </c>
      <c r="B762" s="1" t="n">
        <v>44549</v>
      </c>
      <c r="C762" s="1" t="n">
        <v>46203</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27813-2025</t>
        </is>
      </c>
      <c r="B763" s="1" t="n">
        <v>45817</v>
      </c>
      <c r="C763" s="1" t="n">
        <v>46203</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21731-2023</t>
        </is>
      </c>
      <c r="B764" s="1" t="n">
        <v>45063</v>
      </c>
      <c r="C764" s="1" t="n">
        <v>46203</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21745-2023</t>
        </is>
      </c>
      <c r="B765" s="1" t="n">
        <v>45065</v>
      </c>
      <c r="C765" s="1" t="n">
        <v>46203</v>
      </c>
      <c r="D765" t="inlineStr">
        <is>
          <t>STOCKHOLMS LÄN</t>
        </is>
      </c>
      <c r="E765" t="inlineStr">
        <is>
          <t>NORRTÄLJE</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28403-2026</t>
        </is>
      </c>
      <c r="B766" s="1" t="n">
        <v>46197</v>
      </c>
      <c r="C766" s="1" t="n">
        <v>46203</v>
      </c>
      <c r="D766" t="inlineStr">
        <is>
          <t>STOCKHOLMS LÄN</t>
        </is>
      </c>
      <c r="E766" t="inlineStr">
        <is>
          <t>NORRTÄLJE</t>
        </is>
      </c>
      <c r="G766" t="n">
        <v>3.6</v>
      </c>
      <c r="H766" t="n">
        <v>0</v>
      </c>
      <c r="I766" t="n">
        <v>0</v>
      </c>
      <c r="J766" t="n">
        <v>0</v>
      </c>
      <c r="K766" t="n">
        <v>0</v>
      </c>
      <c r="L766" t="n">
        <v>0</v>
      </c>
      <c r="M766" t="n">
        <v>0</v>
      </c>
      <c r="N766" t="n">
        <v>0</v>
      </c>
      <c r="O766" t="n">
        <v>0</v>
      </c>
      <c r="P766" t="n">
        <v>0</v>
      </c>
      <c r="Q766" t="n">
        <v>0</v>
      </c>
      <c r="R766" s="2" t="inlineStr"/>
    </row>
    <row r="767" ht="15" customHeight="1">
      <c r="A767" t="inlineStr">
        <is>
          <t>A 26365-2024</t>
        </is>
      </c>
      <c r="B767" s="1" t="n">
        <v>45469</v>
      </c>
      <c r="C767" s="1" t="n">
        <v>46203</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50602-2021</t>
        </is>
      </c>
      <c r="B768" s="1" t="n">
        <v>44459</v>
      </c>
      <c r="C768" s="1" t="n">
        <v>46203</v>
      </c>
      <c r="D768" t="inlineStr">
        <is>
          <t>STOCKHOLMS LÄN</t>
        </is>
      </c>
      <c r="E768" t="inlineStr">
        <is>
          <t>NORRTÄLJE</t>
        </is>
      </c>
      <c r="F768" t="inlineStr">
        <is>
          <t>Holmen skog AB</t>
        </is>
      </c>
      <c r="G768" t="n">
        <v>2</v>
      </c>
      <c r="H768" t="n">
        <v>0</v>
      </c>
      <c r="I768" t="n">
        <v>0</v>
      </c>
      <c r="J768" t="n">
        <v>0</v>
      </c>
      <c r="K768" t="n">
        <v>0</v>
      </c>
      <c r="L768" t="n">
        <v>0</v>
      </c>
      <c r="M768" t="n">
        <v>0</v>
      </c>
      <c r="N768" t="n">
        <v>0</v>
      </c>
      <c r="O768" t="n">
        <v>0</v>
      </c>
      <c r="P768" t="n">
        <v>0</v>
      </c>
      <c r="Q768" t="n">
        <v>0</v>
      </c>
      <c r="R768" s="2" t="inlineStr"/>
    </row>
    <row r="769" ht="15" customHeight="1">
      <c r="A769" t="inlineStr">
        <is>
          <t>A 48798-2021</t>
        </is>
      </c>
      <c r="B769" s="1" t="n">
        <v>44452</v>
      </c>
      <c r="C769" s="1" t="n">
        <v>46203</v>
      </c>
      <c r="D769" t="inlineStr">
        <is>
          <t>STOCKHOLMS LÄN</t>
        </is>
      </c>
      <c r="E769" t="inlineStr">
        <is>
          <t>NORRTÄLJE</t>
        </is>
      </c>
      <c r="G769" t="n">
        <v>2</v>
      </c>
      <c r="H769" t="n">
        <v>0</v>
      </c>
      <c r="I769" t="n">
        <v>0</v>
      </c>
      <c r="J769" t="n">
        <v>0</v>
      </c>
      <c r="K769" t="n">
        <v>0</v>
      </c>
      <c r="L769" t="n">
        <v>0</v>
      </c>
      <c r="M769" t="n">
        <v>0</v>
      </c>
      <c r="N769" t="n">
        <v>0</v>
      </c>
      <c r="O769" t="n">
        <v>0</v>
      </c>
      <c r="P769" t="n">
        <v>0</v>
      </c>
      <c r="Q769" t="n">
        <v>0</v>
      </c>
      <c r="R769" s="2" t="inlineStr"/>
    </row>
    <row r="770" ht="15" customHeight="1">
      <c r="A770" t="inlineStr">
        <is>
          <t>A 51121-2025</t>
        </is>
      </c>
      <c r="B770" s="1" t="n">
        <v>45947</v>
      </c>
      <c r="C770" s="1" t="n">
        <v>46203</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30283-2022</t>
        </is>
      </c>
      <c r="B771" s="1" t="n">
        <v>44760</v>
      </c>
      <c r="C771" s="1" t="n">
        <v>46203</v>
      </c>
      <c r="D771" t="inlineStr">
        <is>
          <t>STOCKHOLMS LÄN</t>
        </is>
      </c>
      <c r="E771" t="inlineStr">
        <is>
          <t>NORRTÄLJE</t>
        </is>
      </c>
      <c r="G771" t="n">
        <v>6.2</v>
      </c>
      <c r="H771" t="n">
        <v>0</v>
      </c>
      <c r="I771" t="n">
        <v>0</v>
      </c>
      <c r="J771" t="n">
        <v>0</v>
      </c>
      <c r="K771" t="n">
        <v>0</v>
      </c>
      <c r="L771" t="n">
        <v>0</v>
      </c>
      <c r="M771" t="n">
        <v>0</v>
      </c>
      <c r="N771" t="n">
        <v>0</v>
      </c>
      <c r="O771" t="n">
        <v>0</v>
      </c>
      <c r="P771" t="n">
        <v>0</v>
      </c>
      <c r="Q771" t="n">
        <v>0</v>
      </c>
      <c r="R771" s="2" t="inlineStr"/>
    </row>
    <row r="772" ht="15" customHeight="1">
      <c r="A772" t="inlineStr">
        <is>
          <t>A 38985-2022</t>
        </is>
      </c>
      <c r="B772" s="1" t="n">
        <v>44816</v>
      </c>
      <c r="C772" s="1" t="n">
        <v>46203</v>
      </c>
      <c r="D772" t="inlineStr">
        <is>
          <t>STOCKHOLMS LÄN</t>
        </is>
      </c>
      <c r="E772" t="inlineStr">
        <is>
          <t>NORRTÄLJE</t>
        </is>
      </c>
      <c r="G772" t="n">
        <v>10.1</v>
      </c>
      <c r="H772" t="n">
        <v>0</v>
      </c>
      <c r="I772" t="n">
        <v>0</v>
      </c>
      <c r="J772" t="n">
        <v>0</v>
      </c>
      <c r="K772" t="n">
        <v>0</v>
      </c>
      <c r="L772" t="n">
        <v>0</v>
      </c>
      <c r="M772" t="n">
        <v>0</v>
      </c>
      <c r="N772" t="n">
        <v>0</v>
      </c>
      <c r="O772" t="n">
        <v>0</v>
      </c>
      <c r="P772" t="n">
        <v>0</v>
      </c>
      <c r="Q772" t="n">
        <v>0</v>
      </c>
      <c r="R772" s="2" t="inlineStr"/>
    </row>
    <row r="773" ht="15" customHeight="1">
      <c r="A773" t="inlineStr">
        <is>
          <t>A 25625-2023</t>
        </is>
      </c>
      <c r="B773" s="1" t="n">
        <v>45089</v>
      </c>
      <c r="C773" s="1" t="n">
        <v>46203</v>
      </c>
      <c r="D773" t="inlineStr">
        <is>
          <t>STOCKHOLMS LÄN</t>
        </is>
      </c>
      <c r="E773" t="inlineStr">
        <is>
          <t>NORRTÄLJE</t>
        </is>
      </c>
      <c r="G773" t="n">
        <v>5.5</v>
      </c>
      <c r="H773" t="n">
        <v>0</v>
      </c>
      <c r="I773" t="n">
        <v>0</v>
      </c>
      <c r="J773" t="n">
        <v>0</v>
      </c>
      <c r="K773" t="n">
        <v>0</v>
      </c>
      <c r="L773" t="n">
        <v>0</v>
      </c>
      <c r="M773" t="n">
        <v>0</v>
      </c>
      <c r="N773" t="n">
        <v>0</v>
      </c>
      <c r="O773" t="n">
        <v>0</v>
      </c>
      <c r="P773" t="n">
        <v>0</v>
      </c>
      <c r="Q773" t="n">
        <v>0</v>
      </c>
      <c r="R773" s="2" t="inlineStr"/>
    </row>
    <row r="774" ht="15" customHeight="1">
      <c r="A774" t="inlineStr">
        <is>
          <t>A 14132-2025</t>
        </is>
      </c>
      <c r="B774" s="1" t="n">
        <v>45740</v>
      </c>
      <c r="C774" s="1" t="n">
        <v>46203</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14133-2025</t>
        </is>
      </c>
      <c r="B775" s="1" t="n">
        <v>45740</v>
      </c>
      <c r="C775" s="1" t="n">
        <v>46203</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7186-2024</t>
        </is>
      </c>
      <c r="B776" s="1" t="n">
        <v>45344</v>
      </c>
      <c r="C776" s="1" t="n">
        <v>46203</v>
      </c>
      <c r="D776" t="inlineStr">
        <is>
          <t>STOCKHOLMS LÄN</t>
        </is>
      </c>
      <c r="E776" t="inlineStr">
        <is>
          <t>NORRTÄLJE</t>
        </is>
      </c>
      <c r="G776" t="n">
        <v>4.9</v>
      </c>
      <c r="H776" t="n">
        <v>0</v>
      </c>
      <c r="I776" t="n">
        <v>0</v>
      </c>
      <c r="J776" t="n">
        <v>0</v>
      </c>
      <c r="K776" t="n">
        <v>0</v>
      </c>
      <c r="L776" t="n">
        <v>0</v>
      </c>
      <c r="M776" t="n">
        <v>0</v>
      </c>
      <c r="N776" t="n">
        <v>0</v>
      </c>
      <c r="O776" t="n">
        <v>0</v>
      </c>
      <c r="P776" t="n">
        <v>0</v>
      </c>
      <c r="Q776" t="n">
        <v>0</v>
      </c>
      <c r="R776" s="2" t="inlineStr"/>
    </row>
    <row r="777" ht="15" customHeight="1">
      <c r="A777" t="inlineStr">
        <is>
          <t>A 53792-2023</t>
        </is>
      </c>
      <c r="B777" s="1" t="n">
        <v>45231</v>
      </c>
      <c r="C777" s="1" t="n">
        <v>46203</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11280-2023</t>
        </is>
      </c>
      <c r="B778" s="1" t="n">
        <v>44992</v>
      </c>
      <c r="C778" s="1" t="n">
        <v>46203</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19952-2023</t>
        </is>
      </c>
      <c r="B779" s="1" t="n">
        <v>45054</v>
      </c>
      <c r="C779" s="1" t="n">
        <v>46203</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19994-2023</t>
        </is>
      </c>
      <c r="B780" s="1" t="n">
        <v>45054</v>
      </c>
      <c r="C780" s="1" t="n">
        <v>46203</v>
      </c>
      <c r="D780" t="inlineStr">
        <is>
          <t>STOCKHOLMS LÄN</t>
        </is>
      </c>
      <c r="E780" t="inlineStr">
        <is>
          <t>NORRTÄLJE</t>
        </is>
      </c>
      <c r="G780" t="n">
        <v>4.3</v>
      </c>
      <c r="H780" t="n">
        <v>0</v>
      </c>
      <c r="I780" t="n">
        <v>0</v>
      </c>
      <c r="J780" t="n">
        <v>0</v>
      </c>
      <c r="K780" t="n">
        <v>0</v>
      </c>
      <c r="L780" t="n">
        <v>0</v>
      </c>
      <c r="M780" t="n">
        <v>0</v>
      </c>
      <c r="N780" t="n">
        <v>0</v>
      </c>
      <c r="O780" t="n">
        <v>0</v>
      </c>
      <c r="P780" t="n">
        <v>0</v>
      </c>
      <c r="Q780" t="n">
        <v>0</v>
      </c>
      <c r="R780" s="2" t="inlineStr"/>
    </row>
    <row r="781" ht="15" customHeight="1">
      <c r="A781" t="inlineStr">
        <is>
          <t>A 29003-2023</t>
        </is>
      </c>
      <c r="B781" s="1" t="n">
        <v>45104</v>
      </c>
      <c r="C781" s="1" t="n">
        <v>46203</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15956-2023</t>
        </is>
      </c>
      <c r="B782" s="1" t="n">
        <v>45022</v>
      </c>
      <c r="C782" s="1" t="n">
        <v>46203</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13053-2022</t>
        </is>
      </c>
      <c r="B783" s="1" t="n">
        <v>44643</v>
      </c>
      <c r="C783" s="1" t="n">
        <v>46203</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3383-2023</t>
        </is>
      </c>
      <c r="B784" s="1" t="n">
        <v>44949</v>
      </c>
      <c r="C784" s="1" t="n">
        <v>46203</v>
      </c>
      <c r="D784" t="inlineStr">
        <is>
          <t>STOCKHOLMS LÄN</t>
        </is>
      </c>
      <c r="E784" t="inlineStr">
        <is>
          <t>NORRTÄLJE</t>
        </is>
      </c>
      <c r="G784" t="n">
        <v>14.6</v>
      </c>
      <c r="H784" t="n">
        <v>0</v>
      </c>
      <c r="I784" t="n">
        <v>0</v>
      </c>
      <c r="J784" t="n">
        <v>0</v>
      </c>
      <c r="K784" t="n">
        <v>0</v>
      </c>
      <c r="L784" t="n">
        <v>0</v>
      </c>
      <c r="M784" t="n">
        <v>0</v>
      </c>
      <c r="N784" t="n">
        <v>0</v>
      </c>
      <c r="O784" t="n">
        <v>0</v>
      </c>
      <c r="P784" t="n">
        <v>0</v>
      </c>
      <c r="Q784" t="n">
        <v>0</v>
      </c>
      <c r="R784" s="2" t="inlineStr"/>
    </row>
    <row r="785" ht="15" customHeight="1">
      <c r="A785" t="inlineStr">
        <is>
          <t>A 4316-2023</t>
        </is>
      </c>
      <c r="B785" s="1" t="n">
        <v>44953</v>
      </c>
      <c r="C785" s="1" t="n">
        <v>46203</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5839-2023</t>
        </is>
      </c>
      <c r="B786" s="1" t="n">
        <v>44963</v>
      </c>
      <c r="C786" s="1" t="n">
        <v>46203</v>
      </c>
      <c r="D786" t="inlineStr">
        <is>
          <t>STOCKHOLMS LÄN</t>
        </is>
      </c>
      <c r="E786" t="inlineStr">
        <is>
          <t>NORRTÄLJE</t>
        </is>
      </c>
      <c r="G786" t="n">
        <v>3.6</v>
      </c>
      <c r="H786" t="n">
        <v>0</v>
      </c>
      <c r="I786" t="n">
        <v>0</v>
      </c>
      <c r="J786" t="n">
        <v>0</v>
      </c>
      <c r="K786" t="n">
        <v>0</v>
      </c>
      <c r="L786" t="n">
        <v>0</v>
      </c>
      <c r="M786" t="n">
        <v>0</v>
      </c>
      <c r="N786" t="n">
        <v>0</v>
      </c>
      <c r="O786" t="n">
        <v>0</v>
      </c>
      <c r="P786" t="n">
        <v>0</v>
      </c>
      <c r="Q786" t="n">
        <v>0</v>
      </c>
      <c r="R786" s="2" t="inlineStr"/>
    </row>
    <row r="787" ht="15" customHeight="1">
      <c r="A787" t="inlineStr">
        <is>
          <t>A 24705-2023</t>
        </is>
      </c>
      <c r="B787" s="1" t="n">
        <v>45084</v>
      </c>
      <c r="C787" s="1" t="n">
        <v>46203</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54358-2022</t>
        </is>
      </c>
      <c r="B788" s="1" t="n">
        <v>44882</v>
      </c>
      <c r="C788" s="1" t="n">
        <v>46203</v>
      </c>
      <c r="D788" t="inlineStr">
        <is>
          <t>STOCKHOLMS LÄN</t>
        </is>
      </c>
      <c r="E788" t="inlineStr">
        <is>
          <t>NORRTÄLJE</t>
        </is>
      </c>
      <c r="G788" t="n">
        <v>3.3</v>
      </c>
      <c r="H788" t="n">
        <v>0</v>
      </c>
      <c r="I788" t="n">
        <v>0</v>
      </c>
      <c r="J788" t="n">
        <v>0</v>
      </c>
      <c r="K788" t="n">
        <v>0</v>
      </c>
      <c r="L788" t="n">
        <v>0</v>
      </c>
      <c r="M788" t="n">
        <v>0</v>
      </c>
      <c r="N788" t="n">
        <v>0</v>
      </c>
      <c r="O788" t="n">
        <v>0</v>
      </c>
      <c r="P788" t="n">
        <v>0</v>
      </c>
      <c r="Q788" t="n">
        <v>0</v>
      </c>
      <c r="R788" s="2" t="inlineStr"/>
    </row>
    <row r="789" ht="15" customHeight="1">
      <c r="A789" t="inlineStr">
        <is>
          <t>A 23749-2024</t>
        </is>
      </c>
      <c r="B789" s="1" t="n">
        <v>45455</v>
      </c>
      <c r="C789" s="1" t="n">
        <v>46203</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35698-2023</t>
        </is>
      </c>
      <c r="B790" s="1" t="n">
        <v>45147</v>
      </c>
      <c r="C790" s="1" t="n">
        <v>46203</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73992-2021</t>
        </is>
      </c>
      <c r="B791" s="1" t="n">
        <v>44556</v>
      </c>
      <c r="C791" s="1" t="n">
        <v>46203</v>
      </c>
      <c r="D791" t="inlineStr">
        <is>
          <t>STOCKHOLMS LÄN</t>
        </is>
      </c>
      <c r="E791" t="inlineStr">
        <is>
          <t>NORRTÄLJE</t>
        </is>
      </c>
      <c r="G791" t="n">
        <v>12.5</v>
      </c>
      <c r="H791" t="n">
        <v>0</v>
      </c>
      <c r="I791" t="n">
        <v>0</v>
      </c>
      <c r="J791" t="n">
        <v>0</v>
      </c>
      <c r="K791" t="n">
        <v>0</v>
      </c>
      <c r="L791" t="n">
        <v>0</v>
      </c>
      <c r="M791" t="n">
        <v>0</v>
      </c>
      <c r="N791" t="n">
        <v>0</v>
      </c>
      <c r="O791" t="n">
        <v>0</v>
      </c>
      <c r="P791" t="n">
        <v>0</v>
      </c>
      <c r="Q791" t="n">
        <v>0</v>
      </c>
      <c r="R791" s="2" t="inlineStr"/>
    </row>
    <row r="792" ht="15" customHeight="1">
      <c r="A792" t="inlineStr">
        <is>
          <t>A 54276-2021</t>
        </is>
      </c>
      <c r="B792" s="1" t="n">
        <v>44470</v>
      </c>
      <c r="C792" s="1" t="n">
        <v>46203</v>
      </c>
      <c r="D792" t="inlineStr">
        <is>
          <t>STOCKHOLMS LÄN</t>
        </is>
      </c>
      <c r="E792" t="inlineStr">
        <is>
          <t>NORRTÄLJE</t>
        </is>
      </c>
      <c r="G792" t="n">
        <v>7.3</v>
      </c>
      <c r="H792" t="n">
        <v>0</v>
      </c>
      <c r="I792" t="n">
        <v>0</v>
      </c>
      <c r="J792" t="n">
        <v>0</v>
      </c>
      <c r="K792" t="n">
        <v>0</v>
      </c>
      <c r="L792" t="n">
        <v>0</v>
      </c>
      <c r="M792" t="n">
        <v>0</v>
      </c>
      <c r="N792" t="n">
        <v>0</v>
      </c>
      <c r="O792" t="n">
        <v>0</v>
      </c>
      <c r="P792" t="n">
        <v>0</v>
      </c>
      <c r="Q792" t="n">
        <v>0</v>
      </c>
      <c r="R792" s="2" t="inlineStr"/>
    </row>
    <row r="793" ht="15" customHeight="1">
      <c r="A793" t="inlineStr">
        <is>
          <t>A 10090-2022</t>
        </is>
      </c>
      <c r="B793" s="1" t="n">
        <v>44621</v>
      </c>
      <c r="C793" s="1" t="n">
        <v>46203</v>
      </c>
      <c r="D793" t="inlineStr">
        <is>
          <t>STOCKHOLMS LÄN</t>
        </is>
      </c>
      <c r="E793" t="inlineStr">
        <is>
          <t>NORRTÄLJE</t>
        </is>
      </c>
      <c r="G793" t="n">
        <v>5.2</v>
      </c>
      <c r="H793" t="n">
        <v>0</v>
      </c>
      <c r="I793" t="n">
        <v>0</v>
      </c>
      <c r="J793" t="n">
        <v>0</v>
      </c>
      <c r="K793" t="n">
        <v>0</v>
      </c>
      <c r="L793" t="n">
        <v>0</v>
      </c>
      <c r="M793" t="n">
        <v>0</v>
      </c>
      <c r="N793" t="n">
        <v>0</v>
      </c>
      <c r="O793" t="n">
        <v>0</v>
      </c>
      <c r="P793" t="n">
        <v>0</v>
      </c>
      <c r="Q793" t="n">
        <v>0</v>
      </c>
      <c r="R793" s="2" t="inlineStr"/>
    </row>
    <row r="794" ht="15" customHeight="1">
      <c r="A794" t="inlineStr">
        <is>
          <t>A 51116-2022</t>
        </is>
      </c>
      <c r="B794" s="1" t="n">
        <v>44868</v>
      </c>
      <c r="C794" s="1" t="n">
        <v>46203</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28809-2023</t>
        </is>
      </c>
      <c r="B795" s="1" t="n">
        <v>45104</v>
      </c>
      <c r="C795" s="1" t="n">
        <v>46203</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28813-2023</t>
        </is>
      </c>
      <c r="B796" s="1" t="n">
        <v>45104</v>
      </c>
      <c r="C796" s="1" t="n">
        <v>46203</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11929-2024</t>
        </is>
      </c>
      <c r="B797" s="1" t="n">
        <v>45376</v>
      </c>
      <c r="C797" s="1" t="n">
        <v>46203</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64145-2021</t>
        </is>
      </c>
      <c r="B798" s="1" t="n">
        <v>44510</v>
      </c>
      <c r="C798" s="1" t="n">
        <v>46203</v>
      </c>
      <c r="D798" t="inlineStr">
        <is>
          <t>STOCKHOLMS LÄN</t>
        </is>
      </c>
      <c r="E798" t="inlineStr">
        <is>
          <t>NORRTÄLJE</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45451-2024</t>
        </is>
      </c>
      <c r="B799" s="1" t="n">
        <v>45576</v>
      </c>
      <c r="C799" s="1" t="n">
        <v>46203</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12890-2024</t>
        </is>
      </c>
      <c r="B800" s="1" t="n">
        <v>45385</v>
      </c>
      <c r="C800" s="1" t="n">
        <v>46203</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36430-2024</t>
        </is>
      </c>
      <c r="B801" s="1" t="n">
        <v>45536</v>
      </c>
      <c r="C801" s="1" t="n">
        <v>46203</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41172-2023</t>
        </is>
      </c>
      <c r="B802" s="1" t="n">
        <v>45170</v>
      </c>
      <c r="C802" s="1" t="n">
        <v>46203</v>
      </c>
      <c r="D802" t="inlineStr">
        <is>
          <t>STOCKHOLMS LÄN</t>
        </is>
      </c>
      <c r="E802" t="inlineStr">
        <is>
          <t>NORRTÄLJE</t>
        </is>
      </c>
      <c r="G802" t="n">
        <v>1.6</v>
      </c>
      <c r="H802" t="n">
        <v>0</v>
      </c>
      <c r="I802" t="n">
        <v>0</v>
      </c>
      <c r="J802" t="n">
        <v>0</v>
      </c>
      <c r="K802" t="n">
        <v>0</v>
      </c>
      <c r="L802" t="n">
        <v>0</v>
      </c>
      <c r="M802" t="n">
        <v>0</v>
      </c>
      <c r="N802" t="n">
        <v>0</v>
      </c>
      <c r="O802" t="n">
        <v>0</v>
      </c>
      <c r="P802" t="n">
        <v>0</v>
      </c>
      <c r="Q802" t="n">
        <v>0</v>
      </c>
      <c r="R802" s="2" t="inlineStr"/>
    </row>
    <row r="803" ht="15" customHeight="1">
      <c r="A803" t="inlineStr">
        <is>
          <t>A 67921-2021</t>
        </is>
      </c>
      <c r="B803" s="1" t="n">
        <v>44525</v>
      </c>
      <c r="C803" s="1" t="n">
        <v>46203</v>
      </c>
      <c r="D803" t="inlineStr">
        <is>
          <t>STOCKHOLMS LÄN</t>
        </is>
      </c>
      <c r="E803" t="inlineStr">
        <is>
          <t>NORRTÄLJE</t>
        </is>
      </c>
      <c r="G803" t="n">
        <v>6.3</v>
      </c>
      <c r="H803" t="n">
        <v>0</v>
      </c>
      <c r="I803" t="n">
        <v>0</v>
      </c>
      <c r="J803" t="n">
        <v>0</v>
      </c>
      <c r="K803" t="n">
        <v>0</v>
      </c>
      <c r="L803" t="n">
        <v>0</v>
      </c>
      <c r="M803" t="n">
        <v>0</v>
      </c>
      <c r="N803" t="n">
        <v>0</v>
      </c>
      <c r="O803" t="n">
        <v>0</v>
      </c>
      <c r="P803" t="n">
        <v>0</v>
      </c>
      <c r="Q803" t="n">
        <v>0</v>
      </c>
      <c r="R803" s="2" t="inlineStr"/>
    </row>
    <row r="804" ht="15" customHeight="1">
      <c r="A804" t="inlineStr">
        <is>
          <t>A 72704-2021</t>
        </is>
      </c>
      <c r="B804" s="1" t="n">
        <v>44546</v>
      </c>
      <c r="C804" s="1" t="n">
        <v>46203</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65499-2021</t>
        </is>
      </c>
      <c r="B805" s="1" t="n">
        <v>44516</v>
      </c>
      <c r="C805" s="1" t="n">
        <v>46203</v>
      </c>
      <c r="D805" t="inlineStr">
        <is>
          <t>STOCKHOLMS LÄN</t>
        </is>
      </c>
      <c r="E805" t="inlineStr">
        <is>
          <t>NORRTÄLJE</t>
        </is>
      </c>
      <c r="F805" t="inlineStr">
        <is>
          <t>Kommuner</t>
        </is>
      </c>
      <c r="G805" t="n">
        <v>5.2</v>
      </c>
      <c r="H805" t="n">
        <v>0</v>
      </c>
      <c r="I805" t="n">
        <v>0</v>
      </c>
      <c r="J805" t="n">
        <v>0</v>
      </c>
      <c r="K805" t="n">
        <v>0</v>
      </c>
      <c r="L805" t="n">
        <v>0</v>
      </c>
      <c r="M805" t="n">
        <v>0</v>
      </c>
      <c r="N805" t="n">
        <v>0</v>
      </c>
      <c r="O805" t="n">
        <v>0</v>
      </c>
      <c r="P805" t="n">
        <v>0</v>
      </c>
      <c r="Q805" t="n">
        <v>0</v>
      </c>
      <c r="R805" s="2" t="inlineStr"/>
    </row>
    <row r="806" ht="15" customHeight="1">
      <c r="A806" t="inlineStr">
        <is>
          <t>A 65511-2021</t>
        </is>
      </c>
      <c r="B806" s="1" t="n">
        <v>44516</v>
      </c>
      <c r="C806" s="1" t="n">
        <v>46203</v>
      </c>
      <c r="D806" t="inlineStr">
        <is>
          <t>STOCKHOLMS LÄN</t>
        </is>
      </c>
      <c r="E806" t="inlineStr">
        <is>
          <t>NORRTÄLJE</t>
        </is>
      </c>
      <c r="F806" t="inlineStr">
        <is>
          <t>Kommuner</t>
        </is>
      </c>
      <c r="G806" t="n">
        <v>2.8</v>
      </c>
      <c r="H806" t="n">
        <v>0</v>
      </c>
      <c r="I806" t="n">
        <v>0</v>
      </c>
      <c r="J806" t="n">
        <v>0</v>
      </c>
      <c r="K806" t="n">
        <v>0</v>
      </c>
      <c r="L806" t="n">
        <v>0</v>
      </c>
      <c r="M806" t="n">
        <v>0</v>
      </c>
      <c r="N806" t="n">
        <v>0</v>
      </c>
      <c r="O806" t="n">
        <v>0</v>
      </c>
      <c r="P806" t="n">
        <v>0</v>
      </c>
      <c r="Q806" t="n">
        <v>0</v>
      </c>
      <c r="R806" s="2" t="inlineStr"/>
    </row>
    <row r="807" ht="15" customHeight="1">
      <c r="A807" t="inlineStr">
        <is>
          <t>A 26113-2024</t>
        </is>
      </c>
      <c r="B807" s="1" t="n">
        <v>45468</v>
      </c>
      <c r="C807" s="1" t="n">
        <v>46203</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26116-2024</t>
        </is>
      </c>
      <c r="B808" s="1" t="n">
        <v>45468</v>
      </c>
      <c r="C808" s="1" t="n">
        <v>46203</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52686-2024</t>
        </is>
      </c>
      <c r="B809" s="1" t="n">
        <v>45610</v>
      </c>
      <c r="C809" s="1" t="n">
        <v>46203</v>
      </c>
      <c r="D809" t="inlineStr">
        <is>
          <t>STOCKHOLMS LÄN</t>
        </is>
      </c>
      <c r="E809" t="inlineStr">
        <is>
          <t>NORRTÄLJE</t>
        </is>
      </c>
      <c r="G809" t="n">
        <v>5.7</v>
      </c>
      <c r="H809" t="n">
        <v>0</v>
      </c>
      <c r="I809" t="n">
        <v>0</v>
      </c>
      <c r="J809" t="n">
        <v>0</v>
      </c>
      <c r="K809" t="n">
        <v>0</v>
      </c>
      <c r="L809" t="n">
        <v>0</v>
      </c>
      <c r="M809" t="n">
        <v>0</v>
      </c>
      <c r="N809" t="n">
        <v>0</v>
      </c>
      <c r="O809" t="n">
        <v>0</v>
      </c>
      <c r="P809" t="n">
        <v>0</v>
      </c>
      <c r="Q809" t="n">
        <v>0</v>
      </c>
      <c r="R809" s="2" t="inlineStr"/>
    </row>
    <row r="810" ht="15" customHeight="1">
      <c r="A810" t="inlineStr">
        <is>
          <t>A 31105-2022</t>
        </is>
      </c>
      <c r="B810" s="1" t="n">
        <v>44769</v>
      </c>
      <c r="C810" s="1" t="n">
        <v>46203</v>
      </c>
      <c r="D810" t="inlineStr">
        <is>
          <t>STOCKHOLMS LÄN</t>
        </is>
      </c>
      <c r="E810" t="inlineStr">
        <is>
          <t>NORRTÄLJE</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62644-2023</t>
        </is>
      </c>
      <c r="B811" s="1" t="n">
        <v>45271</v>
      </c>
      <c r="C811" s="1" t="n">
        <v>46203</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60185-2024</t>
        </is>
      </c>
      <c r="B812" s="1" t="n">
        <v>45642</v>
      </c>
      <c r="C812" s="1" t="n">
        <v>46203</v>
      </c>
      <c r="D812" t="inlineStr">
        <is>
          <t>STOCKHOLMS LÄN</t>
        </is>
      </c>
      <c r="E812" t="inlineStr">
        <is>
          <t>NORRTÄLJE</t>
        </is>
      </c>
      <c r="G812" t="n">
        <v>0.3</v>
      </c>
      <c r="H812" t="n">
        <v>0</v>
      </c>
      <c r="I812" t="n">
        <v>0</v>
      </c>
      <c r="J812" t="n">
        <v>0</v>
      </c>
      <c r="K812" t="n">
        <v>0</v>
      </c>
      <c r="L812" t="n">
        <v>0</v>
      </c>
      <c r="M812" t="n">
        <v>0</v>
      </c>
      <c r="N812" t="n">
        <v>0</v>
      </c>
      <c r="O812" t="n">
        <v>0</v>
      </c>
      <c r="P812" t="n">
        <v>0</v>
      </c>
      <c r="Q812" t="n">
        <v>0</v>
      </c>
      <c r="R812" s="2" t="inlineStr"/>
    </row>
    <row r="813" ht="15" customHeight="1">
      <c r="A813" t="inlineStr">
        <is>
          <t>A 12268-2022</t>
        </is>
      </c>
      <c r="B813" s="1" t="n">
        <v>44637</v>
      </c>
      <c r="C813" s="1" t="n">
        <v>46203</v>
      </c>
      <c r="D813" t="inlineStr">
        <is>
          <t>STOCKHOLMS LÄN</t>
        </is>
      </c>
      <c r="E813" t="inlineStr">
        <is>
          <t>NORRTÄLJE</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22008-2024</t>
        </is>
      </c>
      <c r="B814" s="1" t="n">
        <v>45443</v>
      </c>
      <c r="C814" s="1" t="n">
        <v>46203</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58277-2023</t>
        </is>
      </c>
      <c r="B815" s="1" t="n">
        <v>45245</v>
      </c>
      <c r="C815" s="1" t="n">
        <v>46203</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4322-2023</t>
        </is>
      </c>
      <c r="B816" s="1" t="n">
        <v>44953</v>
      </c>
      <c r="C816" s="1" t="n">
        <v>46203</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35916-2024</t>
        </is>
      </c>
      <c r="B817" s="1" t="n">
        <v>45533</v>
      </c>
      <c r="C817" s="1" t="n">
        <v>46203</v>
      </c>
      <c r="D817" t="inlineStr">
        <is>
          <t>STOCKHOLMS LÄN</t>
        </is>
      </c>
      <c r="E817" t="inlineStr">
        <is>
          <t>NORRTÄLJE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38889-2024</t>
        </is>
      </c>
      <c r="B818" s="1" t="n">
        <v>45547</v>
      </c>
      <c r="C818" s="1" t="n">
        <v>46203</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3299-2022</t>
        </is>
      </c>
      <c r="B819" s="1" t="n">
        <v>44584</v>
      </c>
      <c r="C819" s="1" t="n">
        <v>46203</v>
      </c>
      <c r="D819" t="inlineStr">
        <is>
          <t>STOCKHOLMS LÄN</t>
        </is>
      </c>
      <c r="E819" t="inlineStr">
        <is>
          <t>NORRTÄLJE</t>
        </is>
      </c>
      <c r="G819" t="n">
        <v>2.7</v>
      </c>
      <c r="H819" t="n">
        <v>0</v>
      </c>
      <c r="I819" t="n">
        <v>0</v>
      </c>
      <c r="J819" t="n">
        <v>0</v>
      </c>
      <c r="K819" t="n">
        <v>0</v>
      </c>
      <c r="L819" t="n">
        <v>0</v>
      </c>
      <c r="M819" t="n">
        <v>0</v>
      </c>
      <c r="N819" t="n">
        <v>0</v>
      </c>
      <c r="O819" t="n">
        <v>0</v>
      </c>
      <c r="P819" t="n">
        <v>0</v>
      </c>
      <c r="Q819" t="n">
        <v>0</v>
      </c>
      <c r="R819" s="2" t="inlineStr"/>
    </row>
    <row r="820" ht="15" customHeight="1">
      <c r="A820" t="inlineStr">
        <is>
          <t>A 10676-2025</t>
        </is>
      </c>
      <c r="B820" s="1" t="n">
        <v>45721</v>
      </c>
      <c r="C820" s="1" t="n">
        <v>46203</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34773-2022</t>
        </is>
      </c>
      <c r="B821" s="1" t="n">
        <v>44795</v>
      </c>
      <c r="C821" s="1" t="n">
        <v>46203</v>
      </c>
      <c r="D821" t="inlineStr">
        <is>
          <t>STOCKHOLMS LÄN</t>
        </is>
      </c>
      <c r="E821" t="inlineStr">
        <is>
          <t>NORRTÄLJE</t>
        </is>
      </c>
      <c r="G821" t="n">
        <v>3.9</v>
      </c>
      <c r="H821" t="n">
        <v>0</v>
      </c>
      <c r="I821" t="n">
        <v>0</v>
      </c>
      <c r="J821" t="n">
        <v>0</v>
      </c>
      <c r="K821" t="n">
        <v>0</v>
      </c>
      <c r="L821" t="n">
        <v>0</v>
      </c>
      <c r="M821" t="n">
        <v>0</v>
      </c>
      <c r="N821" t="n">
        <v>0</v>
      </c>
      <c r="O821" t="n">
        <v>0</v>
      </c>
      <c r="P821" t="n">
        <v>0</v>
      </c>
      <c r="Q821" t="n">
        <v>0</v>
      </c>
      <c r="R821" s="2" t="inlineStr"/>
    </row>
    <row r="822" ht="15" customHeight="1">
      <c r="A822" t="inlineStr">
        <is>
          <t>A 23263-2023</t>
        </is>
      </c>
      <c r="B822" s="1" t="n">
        <v>45075</v>
      </c>
      <c r="C822" s="1" t="n">
        <v>46203</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23264-2023</t>
        </is>
      </c>
      <c r="B823" s="1" t="n">
        <v>45075</v>
      </c>
      <c r="C823" s="1" t="n">
        <v>46203</v>
      </c>
      <c r="D823" t="inlineStr">
        <is>
          <t>STOCKHOLMS LÄN</t>
        </is>
      </c>
      <c r="E823" t="inlineStr">
        <is>
          <t>NORRTÄLJE</t>
        </is>
      </c>
      <c r="G823" t="n">
        <v>2.9</v>
      </c>
      <c r="H823" t="n">
        <v>0</v>
      </c>
      <c r="I823" t="n">
        <v>0</v>
      </c>
      <c r="J823" t="n">
        <v>0</v>
      </c>
      <c r="K823" t="n">
        <v>0</v>
      </c>
      <c r="L823" t="n">
        <v>0</v>
      </c>
      <c r="M823" t="n">
        <v>0</v>
      </c>
      <c r="N823" t="n">
        <v>0</v>
      </c>
      <c r="O823" t="n">
        <v>0</v>
      </c>
      <c r="P823" t="n">
        <v>0</v>
      </c>
      <c r="Q823" t="n">
        <v>0</v>
      </c>
      <c r="R823" s="2" t="inlineStr"/>
    </row>
    <row r="824" ht="15" customHeight="1">
      <c r="A824" t="inlineStr">
        <is>
          <t>A 23267-2023</t>
        </is>
      </c>
      <c r="B824" s="1" t="n">
        <v>45075</v>
      </c>
      <c r="C824" s="1" t="n">
        <v>46203</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25654-2023</t>
        </is>
      </c>
      <c r="B825" s="1" t="n">
        <v>45089</v>
      </c>
      <c r="C825" s="1" t="n">
        <v>46203</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47758-2023</t>
        </is>
      </c>
      <c r="B826" s="1" t="n">
        <v>45203</v>
      </c>
      <c r="C826" s="1" t="n">
        <v>46203</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5831-2022</t>
        </is>
      </c>
      <c r="B827" s="1" t="n">
        <v>44596</v>
      </c>
      <c r="C827" s="1" t="n">
        <v>46203</v>
      </c>
      <c r="D827" t="inlineStr">
        <is>
          <t>STOCKHOLMS LÄN</t>
        </is>
      </c>
      <c r="E827" t="inlineStr">
        <is>
          <t>NORRTÄLJE</t>
        </is>
      </c>
      <c r="G827" t="n">
        <v>4.8</v>
      </c>
      <c r="H827" t="n">
        <v>0</v>
      </c>
      <c r="I827" t="n">
        <v>0</v>
      </c>
      <c r="J827" t="n">
        <v>0</v>
      </c>
      <c r="K827" t="n">
        <v>0</v>
      </c>
      <c r="L827" t="n">
        <v>0</v>
      </c>
      <c r="M827" t="n">
        <v>0</v>
      </c>
      <c r="N827" t="n">
        <v>0</v>
      </c>
      <c r="O827" t="n">
        <v>0</v>
      </c>
      <c r="P827" t="n">
        <v>0</v>
      </c>
      <c r="Q827" t="n">
        <v>0</v>
      </c>
      <c r="R827" s="2" t="inlineStr"/>
    </row>
    <row r="828" ht="15" customHeight="1">
      <c r="A828" t="inlineStr">
        <is>
          <t>A 58853-2024</t>
        </is>
      </c>
      <c r="B828" s="1" t="n">
        <v>45636</v>
      </c>
      <c r="C828" s="1" t="n">
        <v>46203</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59712-2024</t>
        </is>
      </c>
      <c r="B829" s="1" t="n">
        <v>45639</v>
      </c>
      <c r="C829" s="1" t="n">
        <v>46203</v>
      </c>
      <c r="D829" t="inlineStr">
        <is>
          <t>STOCKHOLMS LÄN</t>
        </is>
      </c>
      <c r="E829" t="inlineStr">
        <is>
          <t>NORRTÄLJE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60884-2024</t>
        </is>
      </c>
      <c r="B830" s="1" t="n">
        <v>45644</v>
      </c>
      <c r="C830" s="1" t="n">
        <v>46203</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23150-2024</t>
        </is>
      </c>
      <c r="B831" s="1" t="n">
        <v>45450</v>
      </c>
      <c r="C831" s="1" t="n">
        <v>46203</v>
      </c>
      <c r="D831" t="inlineStr">
        <is>
          <t>STOCKHOLMS LÄN</t>
        </is>
      </c>
      <c r="E831" t="inlineStr">
        <is>
          <t>NORRTÄLJE</t>
        </is>
      </c>
      <c r="F831" t="inlineStr">
        <is>
          <t>Kommuner</t>
        </is>
      </c>
      <c r="G831" t="n">
        <v>2.7</v>
      </c>
      <c r="H831" t="n">
        <v>0</v>
      </c>
      <c r="I831" t="n">
        <v>0</v>
      </c>
      <c r="J831" t="n">
        <v>0</v>
      </c>
      <c r="K831" t="n">
        <v>0</v>
      </c>
      <c r="L831" t="n">
        <v>0</v>
      </c>
      <c r="M831" t="n">
        <v>0</v>
      </c>
      <c r="N831" t="n">
        <v>0</v>
      </c>
      <c r="O831" t="n">
        <v>0</v>
      </c>
      <c r="P831" t="n">
        <v>0</v>
      </c>
      <c r="Q831" t="n">
        <v>0</v>
      </c>
      <c r="R831" s="2" t="inlineStr"/>
    </row>
    <row r="832" ht="15" customHeight="1">
      <c r="A832" t="inlineStr">
        <is>
          <t>A 2549-2022</t>
        </is>
      </c>
      <c r="B832" s="1" t="n">
        <v>44580</v>
      </c>
      <c r="C832" s="1" t="n">
        <v>46203</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31149-2023</t>
        </is>
      </c>
      <c r="B833" s="1" t="n">
        <v>45113</v>
      </c>
      <c r="C833" s="1" t="n">
        <v>46203</v>
      </c>
      <c r="D833" t="inlineStr">
        <is>
          <t>STOCKHOLMS LÄN</t>
        </is>
      </c>
      <c r="E833" t="inlineStr">
        <is>
          <t>NORRTÄLJE</t>
        </is>
      </c>
      <c r="G833" t="n">
        <v>7.1</v>
      </c>
      <c r="H833" t="n">
        <v>0</v>
      </c>
      <c r="I833" t="n">
        <v>0</v>
      </c>
      <c r="J833" t="n">
        <v>0</v>
      </c>
      <c r="K833" t="n">
        <v>0</v>
      </c>
      <c r="L833" t="n">
        <v>0</v>
      </c>
      <c r="M833" t="n">
        <v>0</v>
      </c>
      <c r="N833" t="n">
        <v>0</v>
      </c>
      <c r="O833" t="n">
        <v>0</v>
      </c>
      <c r="P833" t="n">
        <v>0</v>
      </c>
      <c r="Q833" t="n">
        <v>0</v>
      </c>
      <c r="R833" s="2" t="inlineStr"/>
    </row>
    <row r="834" ht="15" customHeight="1">
      <c r="A834" t="inlineStr">
        <is>
          <t>A 16835-2022</t>
        </is>
      </c>
      <c r="B834" s="1" t="n">
        <v>44673</v>
      </c>
      <c r="C834" s="1" t="n">
        <v>46203</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13701-2022</t>
        </is>
      </c>
      <c r="B835" s="1" t="n">
        <v>44648</v>
      </c>
      <c r="C835" s="1" t="n">
        <v>46203</v>
      </c>
      <c r="D835" t="inlineStr">
        <is>
          <t>STOCKHOLMS LÄN</t>
        </is>
      </c>
      <c r="E835" t="inlineStr">
        <is>
          <t>NORRTÄLJE</t>
        </is>
      </c>
      <c r="G835" t="n">
        <v>1.6</v>
      </c>
      <c r="H835" t="n">
        <v>0</v>
      </c>
      <c r="I835" t="n">
        <v>0</v>
      </c>
      <c r="J835" t="n">
        <v>0</v>
      </c>
      <c r="K835" t="n">
        <v>0</v>
      </c>
      <c r="L835" t="n">
        <v>0</v>
      </c>
      <c r="M835" t="n">
        <v>0</v>
      </c>
      <c r="N835" t="n">
        <v>0</v>
      </c>
      <c r="O835" t="n">
        <v>0</v>
      </c>
      <c r="P835" t="n">
        <v>0</v>
      </c>
      <c r="Q835" t="n">
        <v>0</v>
      </c>
      <c r="R835" s="2" t="inlineStr"/>
    </row>
    <row r="836" ht="15" customHeight="1">
      <c r="A836" t="inlineStr">
        <is>
          <t>A 13089-2022</t>
        </is>
      </c>
      <c r="B836" s="1" t="n">
        <v>44643</v>
      </c>
      <c r="C836" s="1" t="n">
        <v>46203</v>
      </c>
      <c r="D836" t="inlineStr">
        <is>
          <t>STOCKHOLMS LÄN</t>
        </is>
      </c>
      <c r="E836" t="inlineStr">
        <is>
          <t>NORRTÄLJE</t>
        </is>
      </c>
      <c r="G836" t="n">
        <v>4.5</v>
      </c>
      <c r="H836" t="n">
        <v>0</v>
      </c>
      <c r="I836" t="n">
        <v>0</v>
      </c>
      <c r="J836" t="n">
        <v>0</v>
      </c>
      <c r="K836" t="n">
        <v>0</v>
      </c>
      <c r="L836" t="n">
        <v>0</v>
      </c>
      <c r="M836" t="n">
        <v>0</v>
      </c>
      <c r="N836" t="n">
        <v>0</v>
      </c>
      <c r="O836" t="n">
        <v>0</v>
      </c>
      <c r="P836" t="n">
        <v>0</v>
      </c>
      <c r="Q836" t="n">
        <v>0</v>
      </c>
      <c r="R836" s="2" t="inlineStr"/>
    </row>
    <row r="837" ht="15" customHeight="1">
      <c r="A837" t="inlineStr">
        <is>
          <t>A 38759-2022</t>
        </is>
      </c>
      <c r="B837" s="1" t="n">
        <v>44816</v>
      </c>
      <c r="C837" s="1" t="n">
        <v>46203</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23998-2024</t>
        </is>
      </c>
      <c r="B838" s="1" t="n">
        <v>45456</v>
      </c>
      <c r="C838" s="1" t="n">
        <v>46203</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54504-2024</t>
        </is>
      </c>
      <c r="B839" s="1" t="n">
        <v>45617</v>
      </c>
      <c r="C839" s="1" t="n">
        <v>46203</v>
      </c>
      <c r="D839" t="inlineStr">
        <is>
          <t>STOCKHOLMS LÄN</t>
        </is>
      </c>
      <c r="E839" t="inlineStr">
        <is>
          <t>NORRTÄLJE</t>
        </is>
      </c>
      <c r="G839" t="n">
        <v>3.4</v>
      </c>
      <c r="H839" t="n">
        <v>0</v>
      </c>
      <c r="I839" t="n">
        <v>0</v>
      </c>
      <c r="J839" t="n">
        <v>0</v>
      </c>
      <c r="K839" t="n">
        <v>0</v>
      </c>
      <c r="L839" t="n">
        <v>0</v>
      </c>
      <c r="M839" t="n">
        <v>0</v>
      </c>
      <c r="N839" t="n">
        <v>0</v>
      </c>
      <c r="O839" t="n">
        <v>0</v>
      </c>
      <c r="P839" t="n">
        <v>0</v>
      </c>
      <c r="Q839" t="n">
        <v>0</v>
      </c>
      <c r="R839" s="2" t="inlineStr"/>
    </row>
    <row r="840" ht="15" customHeight="1">
      <c r="A840" t="inlineStr">
        <is>
          <t>A 32595-2023</t>
        </is>
      </c>
      <c r="B840" s="1" t="n">
        <v>45121</v>
      </c>
      <c r="C840" s="1" t="n">
        <v>46203</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54259-2023</t>
        </is>
      </c>
      <c r="B841" s="1" t="n">
        <v>45232</v>
      </c>
      <c r="C841" s="1" t="n">
        <v>46203</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11900-2024</t>
        </is>
      </c>
      <c r="B842" s="1" t="n">
        <v>45376</v>
      </c>
      <c r="C842" s="1" t="n">
        <v>46203</v>
      </c>
      <c r="D842" t="inlineStr">
        <is>
          <t>STOCKHOLMS LÄN</t>
        </is>
      </c>
      <c r="E842" t="inlineStr">
        <is>
          <t>NORRTÄLJE</t>
        </is>
      </c>
      <c r="G842" t="n">
        <v>4.2</v>
      </c>
      <c r="H842" t="n">
        <v>0</v>
      </c>
      <c r="I842" t="n">
        <v>0</v>
      </c>
      <c r="J842" t="n">
        <v>0</v>
      </c>
      <c r="K842" t="n">
        <v>0</v>
      </c>
      <c r="L842" t="n">
        <v>0</v>
      </c>
      <c r="M842" t="n">
        <v>0</v>
      </c>
      <c r="N842" t="n">
        <v>0</v>
      </c>
      <c r="O842" t="n">
        <v>0</v>
      </c>
      <c r="P842" t="n">
        <v>0</v>
      </c>
      <c r="Q842" t="n">
        <v>0</v>
      </c>
      <c r="R842" s="2" t="inlineStr"/>
    </row>
    <row r="843" ht="15" customHeight="1">
      <c r="A843" t="inlineStr">
        <is>
          <t>A 43300-2023</t>
        </is>
      </c>
      <c r="B843" s="1" t="n">
        <v>45183</v>
      </c>
      <c r="C843" s="1" t="n">
        <v>46203</v>
      </c>
      <c r="D843" t="inlineStr">
        <is>
          <t>STOCKHOLMS LÄN</t>
        </is>
      </c>
      <c r="E843" t="inlineStr">
        <is>
          <t>NORRTÄLJE</t>
        </is>
      </c>
      <c r="G843" t="n">
        <v>2.3</v>
      </c>
      <c r="H843" t="n">
        <v>0</v>
      </c>
      <c r="I843" t="n">
        <v>0</v>
      </c>
      <c r="J843" t="n">
        <v>0</v>
      </c>
      <c r="K843" t="n">
        <v>0</v>
      </c>
      <c r="L843" t="n">
        <v>0</v>
      </c>
      <c r="M843" t="n">
        <v>0</v>
      </c>
      <c r="N843" t="n">
        <v>0</v>
      </c>
      <c r="O843" t="n">
        <v>0</v>
      </c>
      <c r="P843" t="n">
        <v>0</v>
      </c>
      <c r="Q843" t="n">
        <v>0</v>
      </c>
      <c r="R843" s="2" t="inlineStr"/>
    </row>
    <row r="844" ht="15" customHeight="1">
      <c r="A844" t="inlineStr">
        <is>
          <t>A 13276-2022</t>
        </is>
      </c>
      <c r="B844" s="1" t="n">
        <v>44644</v>
      </c>
      <c r="C844" s="1" t="n">
        <v>46203</v>
      </c>
      <c r="D844" t="inlineStr">
        <is>
          <t>STOCKHOLMS LÄN</t>
        </is>
      </c>
      <c r="E844" t="inlineStr">
        <is>
          <t>NORRTÄLJE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11900-2022</t>
        </is>
      </c>
      <c r="B845" s="1" t="n">
        <v>44635</v>
      </c>
      <c r="C845" s="1" t="n">
        <v>46203</v>
      </c>
      <c r="D845" t="inlineStr">
        <is>
          <t>STOCKHOLMS LÄN</t>
        </is>
      </c>
      <c r="E845" t="inlineStr">
        <is>
          <t>NORRTÄLJE</t>
        </is>
      </c>
      <c r="G845" t="n">
        <v>2.4</v>
      </c>
      <c r="H845" t="n">
        <v>0</v>
      </c>
      <c r="I845" t="n">
        <v>0</v>
      </c>
      <c r="J845" t="n">
        <v>0</v>
      </c>
      <c r="K845" t="n">
        <v>0</v>
      </c>
      <c r="L845" t="n">
        <v>0</v>
      </c>
      <c r="M845" t="n">
        <v>0</v>
      </c>
      <c r="N845" t="n">
        <v>0</v>
      </c>
      <c r="O845" t="n">
        <v>0</v>
      </c>
      <c r="P845" t="n">
        <v>0</v>
      </c>
      <c r="Q845" t="n">
        <v>0</v>
      </c>
      <c r="R845" s="2" t="inlineStr"/>
    </row>
    <row r="846" ht="15" customHeight="1">
      <c r="A846" t="inlineStr">
        <is>
          <t>A 16202-2022</t>
        </is>
      </c>
      <c r="B846" s="1" t="n">
        <v>44670</v>
      </c>
      <c r="C846" s="1" t="n">
        <v>46203</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6003-2025</t>
        </is>
      </c>
      <c r="B847" s="1" t="n">
        <v>45695</v>
      </c>
      <c r="C847" s="1" t="n">
        <v>46203</v>
      </c>
      <c r="D847" t="inlineStr">
        <is>
          <t>STOCKHOLMS LÄN</t>
        </is>
      </c>
      <c r="E847" t="inlineStr">
        <is>
          <t>NORRTÄLJE</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48633-2023</t>
        </is>
      </c>
      <c r="B848" s="1" t="n">
        <v>45208</v>
      </c>
      <c r="C848" s="1" t="n">
        <v>46203</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47419-2023</t>
        </is>
      </c>
      <c r="B849" s="1" t="n">
        <v>45202</v>
      </c>
      <c r="C849" s="1" t="n">
        <v>46203</v>
      </c>
      <c r="D849" t="inlineStr">
        <is>
          <t>STOCKHOLMS LÄN</t>
        </is>
      </c>
      <c r="E849" t="inlineStr">
        <is>
          <t>NORRTÄLJE</t>
        </is>
      </c>
      <c r="G849" t="n">
        <v>11.4</v>
      </c>
      <c r="H849" t="n">
        <v>0</v>
      </c>
      <c r="I849" t="n">
        <v>0</v>
      </c>
      <c r="J849" t="n">
        <v>0</v>
      </c>
      <c r="K849" t="n">
        <v>0</v>
      </c>
      <c r="L849" t="n">
        <v>0</v>
      </c>
      <c r="M849" t="n">
        <v>0</v>
      </c>
      <c r="N849" t="n">
        <v>0</v>
      </c>
      <c r="O849" t="n">
        <v>0</v>
      </c>
      <c r="P849" t="n">
        <v>0</v>
      </c>
      <c r="Q849" t="n">
        <v>0</v>
      </c>
      <c r="R849" s="2" t="inlineStr"/>
    </row>
    <row r="850" ht="15" customHeight="1">
      <c r="A850" t="inlineStr">
        <is>
          <t>A 10653-2022</t>
        </is>
      </c>
      <c r="B850" s="1" t="n">
        <v>44624</v>
      </c>
      <c r="C850" s="1" t="n">
        <v>46203</v>
      </c>
      <c r="D850" t="inlineStr">
        <is>
          <t>STOCKHOLMS LÄN</t>
        </is>
      </c>
      <c r="E850" t="inlineStr">
        <is>
          <t>NORRTÄLJE</t>
        </is>
      </c>
      <c r="G850" t="n">
        <v>2.3</v>
      </c>
      <c r="H850" t="n">
        <v>0</v>
      </c>
      <c r="I850" t="n">
        <v>0</v>
      </c>
      <c r="J850" t="n">
        <v>0</v>
      </c>
      <c r="K850" t="n">
        <v>0</v>
      </c>
      <c r="L850" t="n">
        <v>0</v>
      </c>
      <c r="M850" t="n">
        <v>0</v>
      </c>
      <c r="N850" t="n">
        <v>0</v>
      </c>
      <c r="O850" t="n">
        <v>0</v>
      </c>
      <c r="P850" t="n">
        <v>0</v>
      </c>
      <c r="Q850" t="n">
        <v>0</v>
      </c>
      <c r="R850" s="2" t="inlineStr"/>
    </row>
    <row r="851" ht="15" customHeight="1">
      <c r="A851" t="inlineStr">
        <is>
          <t>A 35695-2023</t>
        </is>
      </c>
      <c r="B851" s="1" t="n">
        <v>45147</v>
      </c>
      <c r="C851" s="1" t="n">
        <v>46203</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18665-2022</t>
        </is>
      </c>
      <c r="B852" s="1" t="n">
        <v>44687</v>
      </c>
      <c r="C852" s="1" t="n">
        <v>46203</v>
      </c>
      <c r="D852" t="inlineStr">
        <is>
          <t>STOCKHOLMS LÄN</t>
        </is>
      </c>
      <c r="E852" t="inlineStr">
        <is>
          <t>NORRTÄLJE</t>
        </is>
      </c>
      <c r="F852" t="inlineStr">
        <is>
          <t>Kyrkan</t>
        </is>
      </c>
      <c r="G852" t="n">
        <v>1.1</v>
      </c>
      <c r="H852" t="n">
        <v>0</v>
      </c>
      <c r="I852" t="n">
        <v>0</v>
      </c>
      <c r="J852" t="n">
        <v>0</v>
      </c>
      <c r="K852" t="n">
        <v>0</v>
      </c>
      <c r="L852" t="n">
        <v>0</v>
      </c>
      <c r="M852" t="n">
        <v>0</v>
      </c>
      <c r="N852" t="n">
        <v>0</v>
      </c>
      <c r="O852" t="n">
        <v>0</v>
      </c>
      <c r="P852" t="n">
        <v>0</v>
      </c>
      <c r="Q852" t="n">
        <v>0</v>
      </c>
      <c r="R852" s="2" t="inlineStr"/>
    </row>
    <row r="853" ht="15" customHeight="1">
      <c r="A853" t="inlineStr">
        <is>
          <t>A 20370-2025</t>
        </is>
      </c>
      <c r="B853" s="1" t="n">
        <v>45775</v>
      </c>
      <c r="C853" s="1" t="n">
        <v>46203</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19982-2022</t>
        </is>
      </c>
      <c r="B854" s="1" t="n">
        <v>44697</v>
      </c>
      <c r="C854" s="1" t="n">
        <v>46203</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35438-2023</t>
        </is>
      </c>
      <c r="B855" s="1" t="n">
        <v>45146</v>
      </c>
      <c r="C855" s="1" t="n">
        <v>46203</v>
      </c>
      <c r="D855" t="inlineStr">
        <is>
          <t>STOCKHOLMS LÄN</t>
        </is>
      </c>
      <c r="E855" t="inlineStr">
        <is>
          <t>NORRTÄLJE</t>
        </is>
      </c>
      <c r="F855" t="inlineStr">
        <is>
          <t>Kommuner</t>
        </is>
      </c>
      <c r="G855" t="n">
        <v>1.9</v>
      </c>
      <c r="H855" t="n">
        <v>0</v>
      </c>
      <c r="I855" t="n">
        <v>0</v>
      </c>
      <c r="J855" t="n">
        <v>0</v>
      </c>
      <c r="K855" t="n">
        <v>0</v>
      </c>
      <c r="L855" t="n">
        <v>0</v>
      </c>
      <c r="M855" t="n">
        <v>0</v>
      </c>
      <c r="N855" t="n">
        <v>0</v>
      </c>
      <c r="O855" t="n">
        <v>0</v>
      </c>
      <c r="P855" t="n">
        <v>0</v>
      </c>
      <c r="Q855" t="n">
        <v>0</v>
      </c>
      <c r="R855" s="2" t="inlineStr"/>
    </row>
    <row r="856" ht="15" customHeight="1">
      <c r="A856" t="inlineStr">
        <is>
          <t>A 33878-2024</t>
        </is>
      </c>
      <c r="B856" s="1" t="n">
        <v>45522</v>
      </c>
      <c r="C856" s="1" t="n">
        <v>46203</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4183-2025</t>
        </is>
      </c>
      <c r="B857" s="1" t="n">
        <v>45685</v>
      </c>
      <c r="C857" s="1" t="n">
        <v>46203</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17556-2025</t>
        </is>
      </c>
      <c r="B858" s="1" t="n">
        <v>45757</v>
      </c>
      <c r="C858" s="1" t="n">
        <v>46203</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41335-2023</t>
        </is>
      </c>
      <c r="B859" s="1" t="n">
        <v>45174</v>
      </c>
      <c r="C859" s="1" t="n">
        <v>46203</v>
      </c>
      <c r="D859" t="inlineStr">
        <is>
          <t>STOCKHOLMS LÄN</t>
        </is>
      </c>
      <c r="E859" t="inlineStr">
        <is>
          <t>NORRTÄLJE</t>
        </is>
      </c>
      <c r="F859" t="inlineStr">
        <is>
          <t>Holmen skog AB</t>
        </is>
      </c>
      <c r="G859" t="n">
        <v>4.4</v>
      </c>
      <c r="H859" t="n">
        <v>0</v>
      </c>
      <c r="I859" t="n">
        <v>0</v>
      </c>
      <c r="J859" t="n">
        <v>0</v>
      </c>
      <c r="K859" t="n">
        <v>0</v>
      </c>
      <c r="L859" t="n">
        <v>0</v>
      </c>
      <c r="M859" t="n">
        <v>0</v>
      </c>
      <c r="N859" t="n">
        <v>0</v>
      </c>
      <c r="O859" t="n">
        <v>0</v>
      </c>
      <c r="P859" t="n">
        <v>0</v>
      </c>
      <c r="Q859" t="n">
        <v>0</v>
      </c>
      <c r="R859" s="2" t="inlineStr"/>
    </row>
    <row r="860" ht="15" customHeight="1">
      <c r="A860" t="inlineStr">
        <is>
          <t>A 4484-2025</t>
        </is>
      </c>
      <c r="B860" s="1" t="n">
        <v>45686</v>
      </c>
      <c r="C860" s="1" t="n">
        <v>46203</v>
      </c>
      <c r="D860" t="inlineStr">
        <is>
          <t>STOCKHOLMS LÄN</t>
        </is>
      </c>
      <c r="E860" t="inlineStr">
        <is>
          <t>NORRTÄLJE</t>
        </is>
      </c>
      <c r="G860" t="n">
        <v>1.9</v>
      </c>
      <c r="H860" t="n">
        <v>0</v>
      </c>
      <c r="I860" t="n">
        <v>0</v>
      </c>
      <c r="J860" t="n">
        <v>0</v>
      </c>
      <c r="K860" t="n">
        <v>0</v>
      </c>
      <c r="L860" t="n">
        <v>0</v>
      </c>
      <c r="M860" t="n">
        <v>0</v>
      </c>
      <c r="N860" t="n">
        <v>0</v>
      </c>
      <c r="O860" t="n">
        <v>0</v>
      </c>
      <c r="P860" t="n">
        <v>0</v>
      </c>
      <c r="Q860" t="n">
        <v>0</v>
      </c>
      <c r="R860" s="2" t="inlineStr"/>
    </row>
    <row r="861" ht="15" customHeight="1">
      <c r="A861" t="inlineStr">
        <is>
          <t>A 21480-2022</t>
        </is>
      </c>
      <c r="B861" s="1" t="n">
        <v>44704</v>
      </c>
      <c r="C861" s="1" t="n">
        <v>46203</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48686-2023</t>
        </is>
      </c>
      <c r="B862" s="1" t="n">
        <v>45208</v>
      </c>
      <c r="C862" s="1" t="n">
        <v>46203</v>
      </c>
      <c r="D862" t="inlineStr">
        <is>
          <t>STOCKHOLMS LÄN</t>
        </is>
      </c>
      <c r="E862" t="inlineStr">
        <is>
          <t>NORRTÄLJE</t>
        </is>
      </c>
      <c r="G862" t="n">
        <v>6</v>
      </c>
      <c r="H862" t="n">
        <v>0</v>
      </c>
      <c r="I862" t="n">
        <v>0</v>
      </c>
      <c r="J862" t="n">
        <v>0</v>
      </c>
      <c r="K862" t="n">
        <v>0</v>
      </c>
      <c r="L862" t="n">
        <v>0</v>
      </c>
      <c r="M862" t="n">
        <v>0</v>
      </c>
      <c r="N862" t="n">
        <v>0</v>
      </c>
      <c r="O862" t="n">
        <v>0</v>
      </c>
      <c r="P862" t="n">
        <v>0</v>
      </c>
      <c r="Q862" t="n">
        <v>0</v>
      </c>
      <c r="R862" s="2" t="inlineStr"/>
    </row>
    <row r="863" ht="15" customHeight="1">
      <c r="A863" t="inlineStr">
        <is>
          <t>A 48691-2023</t>
        </is>
      </c>
      <c r="B863" s="1" t="n">
        <v>45208</v>
      </c>
      <c r="C863" s="1" t="n">
        <v>46203</v>
      </c>
      <c r="D863" t="inlineStr">
        <is>
          <t>STOCKHOLMS LÄN</t>
        </is>
      </c>
      <c r="E863" t="inlineStr">
        <is>
          <t>NORRTÄLJE</t>
        </is>
      </c>
      <c r="G863" t="n">
        <v>5.8</v>
      </c>
      <c r="H863" t="n">
        <v>0</v>
      </c>
      <c r="I863" t="n">
        <v>0</v>
      </c>
      <c r="J863" t="n">
        <v>0</v>
      </c>
      <c r="K863" t="n">
        <v>0</v>
      </c>
      <c r="L863" t="n">
        <v>0</v>
      </c>
      <c r="M863" t="n">
        <v>0</v>
      </c>
      <c r="N863" t="n">
        <v>0</v>
      </c>
      <c r="O863" t="n">
        <v>0</v>
      </c>
      <c r="P863" t="n">
        <v>0</v>
      </c>
      <c r="Q863" t="n">
        <v>0</v>
      </c>
      <c r="R863" s="2" t="inlineStr"/>
    </row>
    <row r="864" ht="15" customHeight="1">
      <c r="A864" t="inlineStr">
        <is>
          <t>A 55243-2023</t>
        </is>
      </c>
      <c r="B864" s="1" t="n">
        <v>45237</v>
      </c>
      <c r="C864" s="1" t="n">
        <v>46203</v>
      </c>
      <c r="D864" t="inlineStr">
        <is>
          <t>STOCKHOLMS LÄN</t>
        </is>
      </c>
      <c r="E864" t="inlineStr">
        <is>
          <t>NORRTÄLJE</t>
        </is>
      </c>
      <c r="G864" t="n">
        <v>6.5</v>
      </c>
      <c r="H864" t="n">
        <v>0</v>
      </c>
      <c r="I864" t="n">
        <v>0</v>
      </c>
      <c r="J864" t="n">
        <v>0</v>
      </c>
      <c r="K864" t="n">
        <v>0</v>
      </c>
      <c r="L864" t="n">
        <v>0</v>
      </c>
      <c r="M864" t="n">
        <v>0</v>
      </c>
      <c r="N864" t="n">
        <v>0</v>
      </c>
      <c r="O864" t="n">
        <v>0</v>
      </c>
      <c r="P864" t="n">
        <v>0</v>
      </c>
      <c r="Q864" t="n">
        <v>0</v>
      </c>
      <c r="R864" s="2" t="inlineStr"/>
    </row>
    <row r="865" ht="15" customHeight="1">
      <c r="A865" t="inlineStr">
        <is>
          <t>A 35210-2023</t>
        </is>
      </c>
      <c r="B865" s="1" t="n">
        <v>45145</v>
      </c>
      <c r="C865" s="1" t="n">
        <v>46203</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58297-2023</t>
        </is>
      </c>
      <c r="B866" s="1" t="n">
        <v>45245</v>
      </c>
      <c r="C866" s="1" t="n">
        <v>46203</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21726-2022</t>
        </is>
      </c>
      <c r="B867" s="1" t="n">
        <v>44708</v>
      </c>
      <c r="C867" s="1" t="n">
        <v>46203</v>
      </c>
      <c r="D867" t="inlineStr">
        <is>
          <t>STOCKHOLMS LÄN</t>
        </is>
      </c>
      <c r="E867" t="inlineStr">
        <is>
          <t>NORRTÄLJE</t>
        </is>
      </c>
      <c r="G867" t="n">
        <v>0.2</v>
      </c>
      <c r="H867" t="n">
        <v>0</v>
      </c>
      <c r="I867" t="n">
        <v>0</v>
      </c>
      <c r="J867" t="n">
        <v>0</v>
      </c>
      <c r="K867" t="n">
        <v>0</v>
      </c>
      <c r="L867" t="n">
        <v>0</v>
      </c>
      <c r="M867" t="n">
        <v>0</v>
      </c>
      <c r="N867" t="n">
        <v>0</v>
      </c>
      <c r="O867" t="n">
        <v>0</v>
      </c>
      <c r="P867" t="n">
        <v>0</v>
      </c>
      <c r="Q867" t="n">
        <v>0</v>
      </c>
      <c r="R867" s="2" t="inlineStr"/>
    </row>
    <row r="868" ht="15" customHeight="1">
      <c r="A868" t="inlineStr">
        <is>
          <t>A 21739-2022</t>
        </is>
      </c>
      <c r="B868" s="1" t="n">
        <v>44708</v>
      </c>
      <c r="C868" s="1" t="n">
        <v>46203</v>
      </c>
      <c r="D868" t="inlineStr">
        <is>
          <t>STOCKHOLMS LÄN</t>
        </is>
      </c>
      <c r="E868" t="inlineStr">
        <is>
          <t>NORRTÄLJE</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28182-2022</t>
        </is>
      </c>
      <c r="B869" s="1" t="n">
        <v>44746</v>
      </c>
      <c r="C869" s="1" t="n">
        <v>46203</v>
      </c>
      <c r="D869" t="inlineStr">
        <is>
          <t>STOCKHOLMS LÄN</t>
        </is>
      </c>
      <c r="E869" t="inlineStr">
        <is>
          <t>NORRTÄLJE</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18092-2022</t>
        </is>
      </c>
      <c r="B870" s="1" t="n">
        <v>44684</v>
      </c>
      <c r="C870" s="1" t="n">
        <v>46203</v>
      </c>
      <c r="D870" t="inlineStr">
        <is>
          <t>STOCKHOLMS LÄN</t>
        </is>
      </c>
      <c r="E870" t="inlineStr">
        <is>
          <t>NORRTÄLJE</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33295-2023</t>
        </is>
      </c>
      <c r="B871" s="1" t="n">
        <v>45127</v>
      </c>
      <c r="C871" s="1" t="n">
        <v>46203</v>
      </c>
      <c r="D871" t="inlineStr">
        <is>
          <t>STOCKHOLMS LÄN</t>
        </is>
      </c>
      <c r="E871" t="inlineStr">
        <is>
          <t>NORRTÄLJE</t>
        </is>
      </c>
      <c r="F871" t="inlineStr">
        <is>
          <t>Holmen skog AB</t>
        </is>
      </c>
      <c r="G871" t="n">
        <v>2</v>
      </c>
      <c r="H871" t="n">
        <v>0</v>
      </c>
      <c r="I871" t="n">
        <v>0</v>
      </c>
      <c r="J871" t="n">
        <v>0</v>
      </c>
      <c r="K871" t="n">
        <v>0</v>
      </c>
      <c r="L871" t="n">
        <v>0</v>
      </c>
      <c r="M871" t="n">
        <v>0</v>
      </c>
      <c r="N871" t="n">
        <v>0</v>
      </c>
      <c r="O871" t="n">
        <v>0</v>
      </c>
      <c r="P871" t="n">
        <v>0</v>
      </c>
      <c r="Q871" t="n">
        <v>0</v>
      </c>
      <c r="R871" s="2" t="inlineStr"/>
    </row>
    <row r="872" ht="15" customHeight="1">
      <c r="A872" t="inlineStr">
        <is>
          <t>A 58404-2023</t>
        </is>
      </c>
      <c r="B872" s="1" t="n">
        <v>45245</v>
      </c>
      <c r="C872" s="1" t="n">
        <v>46203</v>
      </c>
      <c r="D872" t="inlineStr">
        <is>
          <t>STOCKHOLMS LÄN</t>
        </is>
      </c>
      <c r="E872" t="inlineStr">
        <is>
          <t>NORRTÄLJE</t>
        </is>
      </c>
      <c r="G872" t="n">
        <v>53.5</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46203</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25525-2022</t>
        </is>
      </c>
      <c r="B874" s="1" t="n">
        <v>44732</v>
      </c>
      <c r="C874" s="1" t="n">
        <v>46203</v>
      </c>
      <c r="D874" t="inlineStr">
        <is>
          <t>STOCKHOLMS LÄN</t>
        </is>
      </c>
      <c r="E874" t="inlineStr">
        <is>
          <t>NORRTÄLJE</t>
        </is>
      </c>
      <c r="G874" t="n">
        <v>2.2</v>
      </c>
      <c r="H874" t="n">
        <v>0</v>
      </c>
      <c r="I874" t="n">
        <v>0</v>
      </c>
      <c r="J874" t="n">
        <v>0</v>
      </c>
      <c r="K874" t="n">
        <v>0</v>
      </c>
      <c r="L874" t="n">
        <v>0</v>
      </c>
      <c r="M874" t="n">
        <v>0</v>
      </c>
      <c r="N874" t="n">
        <v>0</v>
      </c>
      <c r="O874" t="n">
        <v>0</v>
      </c>
      <c r="P874" t="n">
        <v>0</v>
      </c>
      <c r="Q874" t="n">
        <v>0</v>
      </c>
      <c r="R874" s="2" t="inlineStr"/>
    </row>
    <row r="875" ht="15" customHeight="1">
      <c r="A875" t="inlineStr">
        <is>
          <t>A 48722-2023</t>
        </is>
      </c>
      <c r="B875" s="1" t="n">
        <v>45208</v>
      </c>
      <c r="C875" s="1" t="n">
        <v>46203</v>
      </c>
      <c r="D875" t="inlineStr">
        <is>
          <t>STOCKHOLMS LÄN</t>
        </is>
      </c>
      <c r="E875" t="inlineStr">
        <is>
          <t>NORRTÄLJE</t>
        </is>
      </c>
      <c r="G875" t="n">
        <v>0.3</v>
      </c>
      <c r="H875" t="n">
        <v>0</v>
      </c>
      <c r="I875" t="n">
        <v>0</v>
      </c>
      <c r="J875" t="n">
        <v>0</v>
      </c>
      <c r="K875" t="n">
        <v>0</v>
      </c>
      <c r="L875" t="n">
        <v>0</v>
      </c>
      <c r="M875" t="n">
        <v>0</v>
      </c>
      <c r="N875" t="n">
        <v>0</v>
      </c>
      <c r="O875" t="n">
        <v>0</v>
      </c>
      <c r="P875" t="n">
        <v>0</v>
      </c>
      <c r="Q875" t="n">
        <v>0</v>
      </c>
      <c r="R875" s="2" t="inlineStr"/>
    </row>
    <row r="876" ht="15" customHeight="1">
      <c r="A876" t="inlineStr">
        <is>
          <t>A 33353-2023</t>
        </is>
      </c>
      <c r="B876" s="1" t="n">
        <v>45128</v>
      </c>
      <c r="C876" s="1" t="n">
        <v>46203</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35708-2022</t>
        </is>
      </c>
      <c r="B877" s="1" t="n">
        <v>44799</v>
      </c>
      <c r="C877" s="1" t="n">
        <v>46203</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9-2024</t>
        </is>
      </c>
      <c r="B878" s="1" t="n">
        <v>45293</v>
      </c>
      <c r="C878" s="1" t="n">
        <v>46203</v>
      </c>
      <c r="D878" t="inlineStr">
        <is>
          <t>STOCKHOLMS LÄN</t>
        </is>
      </c>
      <c r="E878" t="inlineStr">
        <is>
          <t>NORRTÄLJE</t>
        </is>
      </c>
      <c r="F878" t="inlineStr">
        <is>
          <t>Sveaskog</t>
        </is>
      </c>
      <c r="G878" t="n">
        <v>1.3</v>
      </c>
      <c r="H878" t="n">
        <v>0</v>
      </c>
      <c r="I878" t="n">
        <v>0</v>
      </c>
      <c r="J878" t="n">
        <v>0</v>
      </c>
      <c r="K878" t="n">
        <v>0</v>
      </c>
      <c r="L878" t="n">
        <v>0</v>
      </c>
      <c r="M878" t="n">
        <v>0</v>
      </c>
      <c r="N878" t="n">
        <v>0</v>
      </c>
      <c r="O878" t="n">
        <v>0</v>
      </c>
      <c r="P878" t="n">
        <v>0</v>
      </c>
      <c r="Q878" t="n">
        <v>0</v>
      </c>
      <c r="R878" s="2" t="inlineStr"/>
    </row>
    <row r="879" ht="15" customHeight="1">
      <c r="A879" t="inlineStr">
        <is>
          <t>A 11849-2025</t>
        </is>
      </c>
      <c r="B879" s="1" t="n">
        <v>45728</v>
      </c>
      <c r="C879" s="1" t="n">
        <v>46203</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59468-2023</t>
        </is>
      </c>
      <c r="B880" s="1" t="n">
        <v>45254</v>
      </c>
      <c r="C880" s="1" t="n">
        <v>46203</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574-2023</t>
        </is>
      </c>
      <c r="B881" s="1" t="n">
        <v>44925</v>
      </c>
      <c r="C881" s="1" t="n">
        <v>46203</v>
      </c>
      <c r="D881" t="inlineStr">
        <is>
          <t>STOCKHOLMS LÄN</t>
        </is>
      </c>
      <c r="E881" t="inlineStr">
        <is>
          <t>NORRTÄLJE</t>
        </is>
      </c>
      <c r="G881" t="n">
        <v>5</v>
      </c>
      <c r="H881" t="n">
        <v>0</v>
      </c>
      <c r="I881" t="n">
        <v>0</v>
      </c>
      <c r="J881" t="n">
        <v>0</v>
      </c>
      <c r="K881" t="n">
        <v>0</v>
      </c>
      <c r="L881" t="n">
        <v>0</v>
      </c>
      <c r="M881" t="n">
        <v>0</v>
      </c>
      <c r="N881" t="n">
        <v>0</v>
      </c>
      <c r="O881" t="n">
        <v>0</v>
      </c>
      <c r="P881" t="n">
        <v>0</v>
      </c>
      <c r="Q881" t="n">
        <v>0</v>
      </c>
      <c r="R881" s="2" t="inlineStr"/>
    </row>
    <row r="882" ht="15" customHeight="1">
      <c r="A882" t="inlineStr">
        <is>
          <t>A 37010-2022</t>
        </is>
      </c>
      <c r="B882" s="1" t="n">
        <v>44806</v>
      </c>
      <c r="C882" s="1" t="n">
        <v>46203</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32705-2022</t>
        </is>
      </c>
      <c r="B883" s="1" t="n">
        <v>44783</v>
      </c>
      <c r="C883" s="1" t="n">
        <v>46203</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33149-2022</t>
        </is>
      </c>
      <c r="B884" s="1" t="n">
        <v>44785</v>
      </c>
      <c r="C884" s="1" t="n">
        <v>46203</v>
      </c>
      <c r="D884" t="inlineStr">
        <is>
          <t>STOCKHOLMS LÄN</t>
        </is>
      </c>
      <c r="E884" t="inlineStr">
        <is>
          <t>NORRTÄLJE</t>
        </is>
      </c>
      <c r="F884" t="inlineStr">
        <is>
          <t>Holmen skog AB</t>
        </is>
      </c>
      <c r="G884" t="n">
        <v>4.4</v>
      </c>
      <c r="H884" t="n">
        <v>0</v>
      </c>
      <c r="I884" t="n">
        <v>0</v>
      </c>
      <c r="J884" t="n">
        <v>0</v>
      </c>
      <c r="K884" t="n">
        <v>0</v>
      </c>
      <c r="L884" t="n">
        <v>0</v>
      </c>
      <c r="M884" t="n">
        <v>0</v>
      </c>
      <c r="N884" t="n">
        <v>0</v>
      </c>
      <c r="O884" t="n">
        <v>0</v>
      </c>
      <c r="P884" t="n">
        <v>0</v>
      </c>
      <c r="Q884" t="n">
        <v>0</v>
      </c>
      <c r="R884" s="2" t="inlineStr"/>
    </row>
    <row r="885" ht="15" customHeight="1">
      <c r="A885" t="inlineStr">
        <is>
          <t>A 14559-2024</t>
        </is>
      </c>
      <c r="B885" s="1" t="n">
        <v>45394</v>
      </c>
      <c r="C885" s="1" t="n">
        <v>46203</v>
      </c>
      <c r="D885" t="inlineStr">
        <is>
          <t>STOCKHOLMS LÄN</t>
        </is>
      </c>
      <c r="E885" t="inlineStr">
        <is>
          <t>NORRTÄLJE</t>
        </is>
      </c>
      <c r="G885" t="n">
        <v>4.2</v>
      </c>
      <c r="H885" t="n">
        <v>0</v>
      </c>
      <c r="I885" t="n">
        <v>0</v>
      </c>
      <c r="J885" t="n">
        <v>0</v>
      </c>
      <c r="K885" t="n">
        <v>0</v>
      </c>
      <c r="L885" t="n">
        <v>0</v>
      </c>
      <c r="M885" t="n">
        <v>0</v>
      </c>
      <c r="N885" t="n">
        <v>0</v>
      </c>
      <c r="O885" t="n">
        <v>0</v>
      </c>
      <c r="P885" t="n">
        <v>0</v>
      </c>
      <c r="Q885" t="n">
        <v>0</v>
      </c>
      <c r="R885" s="2" t="inlineStr"/>
    </row>
    <row r="886" ht="15" customHeight="1">
      <c r="A886" t="inlineStr">
        <is>
          <t>A 15256-2023</t>
        </is>
      </c>
      <c r="B886" s="1" t="n">
        <v>45019</v>
      </c>
      <c r="C886" s="1" t="n">
        <v>46203</v>
      </c>
      <c r="D886" t="inlineStr">
        <is>
          <t>STOCKHOLMS LÄN</t>
        </is>
      </c>
      <c r="E886" t="inlineStr">
        <is>
          <t>NORRTÄLJE</t>
        </is>
      </c>
      <c r="G886" t="n">
        <v>2.4</v>
      </c>
      <c r="H886" t="n">
        <v>0</v>
      </c>
      <c r="I886" t="n">
        <v>0</v>
      </c>
      <c r="J886" t="n">
        <v>0</v>
      </c>
      <c r="K886" t="n">
        <v>0</v>
      </c>
      <c r="L886" t="n">
        <v>0</v>
      </c>
      <c r="M886" t="n">
        <v>0</v>
      </c>
      <c r="N886" t="n">
        <v>0</v>
      </c>
      <c r="O886" t="n">
        <v>0</v>
      </c>
      <c r="P886" t="n">
        <v>0</v>
      </c>
      <c r="Q886" t="n">
        <v>0</v>
      </c>
      <c r="R886" s="2" t="inlineStr"/>
    </row>
    <row r="887" ht="15" customHeight="1">
      <c r="A887" t="inlineStr">
        <is>
          <t>A 58041-2024</t>
        </is>
      </c>
      <c r="B887" s="1" t="n">
        <v>45631</v>
      </c>
      <c r="C887" s="1" t="n">
        <v>46203</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31057-2022</t>
        </is>
      </c>
      <c r="B888" s="1" t="n">
        <v>44769</v>
      </c>
      <c r="C888" s="1" t="n">
        <v>46203</v>
      </c>
      <c r="D888" t="inlineStr">
        <is>
          <t>STOCKHOLMS LÄN</t>
        </is>
      </c>
      <c r="E888" t="inlineStr">
        <is>
          <t>NORRTÄLJE</t>
        </is>
      </c>
      <c r="G888" t="n">
        <v>6.5</v>
      </c>
      <c r="H888" t="n">
        <v>0</v>
      </c>
      <c r="I888" t="n">
        <v>0</v>
      </c>
      <c r="J888" t="n">
        <v>0</v>
      </c>
      <c r="K888" t="n">
        <v>0</v>
      </c>
      <c r="L888" t="n">
        <v>0</v>
      </c>
      <c r="M888" t="n">
        <v>0</v>
      </c>
      <c r="N888" t="n">
        <v>0</v>
      </c>
      <c r="O888" t="n">
        <v>0</v>
      </c>
      <c r="P888" t="n">
        <v>0</v>
      </c>
      <c r="Q888" t="n">
        <v>0</v>
      </c>
      <c r="R888" s="2" t="inlineStr"/>
    </row>
    <row r="889" ht="15" customHeight="1">
      <c r="A889" t="inlineStr">
        <is>
          <t>A 25619-2022</t>
        </is>
      </c>
      <c r="B889" s="1" t="n">
        <v>44732</v>
      </c>
      <c r="C889" s="1" t="n">
        <v>46203</v>
      </c>
      <c r="D889" t="inlineStr">
        <is>
          <t>STOCKHOLMS LÄN</t>
        </is>
      </c>
      <c r="E889" t="inlineStr">
        <is>
          <t>NORRTÄLJE</t>
        </is>
      </c>
      <c r="G889" t="n">
        <v>3.9</v>
      </c>
      <c r="H889" t="n">
        <v>0</v>
      </c>
      <c r="I889" t="n">
        <v>0</v>
      </c>
      <c r="J889" t="n">
        <v>0</v>
      </c>
      <c r="K889" t="n">
        <v>0</v>
      </c>
      <c r="L889" t="n">
        <v>0</v>
      </c>
      <c r="M889" t="n">
        <v>0</v>
      </c>
      <c r="N889" t="n">
        <v>0</v>
      </c>
      <c r="O889" t="n">
        <v>0</v>
      </c>
      <c r="P889" t="n">
        <v>0</v>
      </c>
      <c r="Q889" t="n">
        <v>0</v>
      </c>
      <c r="R889" s="2" t="inlineStr"/>
    </row>
    <row r="890" ht="15" customHeight="1">
      <c r="A890" t="inlineStr">
        <is>
          <t>A 15422-2024</t>
        </is>
      </c>
      <c r="B890" s="1" t="n">
        <v>45401</v>
      </c>
      <c r="C890" s="1" t="n">
        <v>46203</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48716-2023</t>
        </is>
      </c>
      <c r="B891" s="1" t="n">
        <v>45208</v>
      </c>
      <c r="C891" s="1" t="n">
        <v>46203</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55369-2023</t>
        </is>
      </c>
      <c r="B892" s="1" t="n">
        <v>45238</v>
      </c>
      <c r="C892" s="1" t="n">
        <v>46203</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20121-2022</t>
        </is>
      </c>
      <c r="B893" s="1" t="n">
        <v>44698</v>
      </c>
      <c r="C893" s="1" t="n">
        <v>46203</v>
      </c>
      <c r="D893" t="inlineStr">
        <is>
          <t>STOCKHOLMS LÄN</t>
        </is>
      </c>
      <c r="E893" t="inlineStr">
        <is>
          <t>NORRTÄLJE</t>
        </is>
      </c>
      <c r="G893" t="n">
        <v>4.2</v>
      </c>
      <c r="H893" t="n">
        <v>0</v>
      </c>
      <c r="I893" t="n">
        <v>0</v>
      </c>
      <c r="J893" t="n">
        <v>0</v>
      </c>
      <c r="K893" t="n">
        <v>0</v>
      </c>
      <c r="L893" t="n">
        <v>0</v>
      </c>
      <c r="M893" t="n">
        <v>0</v>
      </c>
      <c r="N893" t="n">
        <v>0</v>
      </c>
      <c r="O893" t="n">
        <v>0</v>
      </c>
      <c r="P893" t="n">
        <v>0</v>
      </c>
      <c r="Q893" t="n">
        <v>0</v>
      </c>
      <c r="R893" s="2" t="inlineStr"/>
    </row>
    <row r="894" ht="15" customHeight="1">
      <c r="A894" t="inlineStr">
        <is>
          <t>A 26407-2024</t>
        </is>
      </c>
      <c r="B894" s="1" t="n">
        <v>45469</v>
      </c>
      <c r="C894" s="1" t="n">
        <v>46203</v>
      </c>
      <c r="D894" t="inlineStr">
        <is>
          <t>STOCKHOLMS LÄN</t>
        </is>
      </c>
      <c r="E894" t="inlineStr">
        <is>
          <t>NORRTÄLJE</t>
        </is>
      </c>
      <c r="G894" t="n">
        <v>3.5</v>
      </c>
      <c r="H894" t="n">
        <v>0</v>
      </c>
      <c r="I894" t="n">
        <v>0</v>
      </c>
      <c r="J894" t="n">
        <v>0</v>
      </c>
      <c r="K894" t="n">
        <v>0</v>
      </c>
      <c r="L894" t="n">
        <v>0</v>
      </c>
      <c r="M894" t="n">
        <v>0</v>
      </c>
      <c r="N894" t="n">
        <v>0</v>
      </c>
      <c r="O894" t="n">
        <v>0</v>
      </c>
      <c r="P894" t="n">
        <v>0</v>
      </c>
      <c r="Q894" t="n">
        <v>0</v>
      </c>
      <c r="R894" s="2" t="inlineStr"/>
    </row>
    <row r="895" ht="15" customHeight="1">
      <c r="A895" t="inlineStr">
        <is>
          <t>A 10098-2022</t>
        </is>
      </c>
      <c r="B895" s="1" t="n">
        <v>44621</v>
      </c>
      <c r="C895" s="1" t="n">
        <v>46203</v>
      </c>
      <c r="D895" t="inlineStr">
        <is>
          <t>STOCKHOLMS LÄN</t>
        </is>
      </c>
      <c r="E895" t="inlineStr">
        <is>
          <t>NORRTÄLJE</t>
        </is>
      </c>
      <c r="G895" t="n">
        <v>2.2</v>
      </c>
      <c r="H895" t="n">
        <v>0</v>
      </c>
      <c r="I895" t="n">
        <v>0</v>
      </c>
      <c r="J895" t="n">
        <v>0</v>
      </c>
      <c r="K895" t="n">
        <v>0</v>
      </c>
      <c r="L895" t="n">
        <v>0</v>
      </c>
      <c r="M895" t="n">
        <v>0</v>
      </c>
      <c r="N895" t="n">
        <v>0</v>
      </c>
      <c r="O895" t="n">
        <v>0</v>
      </c>
      <c r="P895" t="n">
        <v>0</v>
      </c>
      <c r="Q895" t="n">
        <v>0</v>
      </c>
      <c r="R895" s="2" t="inlineStr"/>
    </row>
    <row r="896" ht="15" customHeight="1">
      <c r="A896" t="inlineStr">
        <is>
          <t>A 49700-2023</t>
        </is>
      </c>
      <c r="B896" s="1" t="n">
        <v>45212</v>
      </c>
      <c r="C896" s="1" t="n">
        <v>46203</v>
      </c>
      <c r="D896" t="inlineStr">
        <is>
          <t>STOCKHOLMS LÄN</t>
        </is>
      </c>
      <c r="E896" t="inlineStr">
        <is>
          <t>NORRTÄLJE</t>
        </is>
      </c>
      <c r="G896" t="n">
        <v>1.4</v>
      </c>
      <c r="H896" t="n">
        <v>0</v>
      </c>
      <c r="I896" t="n">
        <v>0</v>
      </c>
      <c r="J896" t="n">
        <v>0</v>
      </c>
      <c r="K896" t="n">
        <v>0</v>
      </c>
      <c r="L896" t="n">
        <v>0</v>
      </c>
      <c r="M896" t="n">
        <v>0</v>
      </c>
      <c r="N896" t="n">
        <v>0</v>
      </c>
      <c r="O896" t="n">
        <v>0</v>
      </c>
      <c r="P896" t="n">
        <v>0</v>
      </c>
      <c r="Q896" t="n">
        <v>0</v>
      </c>
      <c r="R896" s="2" t="inlineStr"/>
    </row>
    <row r="897" ht="15" customHeight="1">
      <c r="A897" t="inlineStr">
        <is>
          <t>A 59875-2024</t>
        </is>
      </c>
      <c r="B897" s="1" t="n">
        <v>45640</v>
      </c>
      <c r="C897" s="1" t="n">
        <v>46203</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4658-2024</t>
        </is>
      </c>
      <c r="B898" s="1" t="n">
        <v>45328</v>
      </c>
      <c r="C898" s="1" t="n">
        <v>46203</v>
      </c>
      <c r="D898" t="inlineStr">
        <is>
          <t>STOCKHOLMS LÄN</t>
        </is>
      </c>
      <c r="E898" t="inlineStr">
        <is>
          <t>NORRTÄLJE</t>
        </is>
      </c>
      <c r="G898" t="n">
        <v>2.8</v>
      </c>
      <c r="H898" t="n">
        <v>0</v>
      </c>
      <c r="I898" t="n">
        <v>0</v>
      </c>
      <c r="J898" t="n">
        <v>0</v>
      </c>
      <c r="K898" t="n">
        <v>0</v>
      </c>
      <c r="L898" t="n">
        <v>0</v>
      </c>
      <c r="M898" t="n">
        <v>0</v>
      </c>
      <c r="N898" t="n">
        <v>0</v>
      </c>
      <c r="O898" t="n">
        <v>0</v>
      </c>
      <c r="P898" t="n">
        <v>0</v>
      </c>
      <c r="Q898" t="n">
        <v>0</v>
      </c>
      <c r="R898" s="2" t="inlineStr"/>
    </row>
    <row r="899" ht="15" customHeight="1">
      <c r="A899" t="inlineStr">
        <is>
          <t>A 10642-2025</t>
        </is>
      </c>
      <c r="B899" s="1" t="n">
        <v>45721</v>
      </c>
      <c r="C899" s="1" t="n">
        <v>46203</v>
      </c>
      <c r="D899" t="inlineStr">
        <is>
          <t>STOCKHOLMS LÄN</t>
        </is>
      </c>
      <c r="E899" t="inlineStr">
        <is>
          <t>NORRTÄLJE</t>
        </is>
      </c>
      <c r="G899" t="n">
        <v>2.6</v>
      </c>
      <c r="H899" t="n">
        <v>0</v>
      </c>
      <c r="I899" t="n">
        <v>0</v>
      </c>
      <c r="J899" t="n">
        <v>0</v>
      </c>
      <c r="K899" t="n">
        <v>0</v>
      </c>
      <c r="L899" t="n">
        <v>0</v>
      </c>
      <c r="M899" t="n">
        <v>0</v>
      </c>
      <c r="N899" t="n">
        <v>0</v>
      </c>
      <c r="O899" t="n">
        <v>0</v>
      </c>
      <c r="P899" t="n">
        <v>0</v>
      </c>
      <c r="Q899" t="n">
        <v>0</v>
      </c>
      <c r="R899" s="2" t="inlineStr"/>
    </row>
    <row r="900" ht="15" customHeight="1">
      <c r="A900" t="inlineStr">
        <is>
          <t>A 24024-2024</t>
        </is>
      </c>
      <c r="B900" s="1" t="n">
        <v>45456</v>
      </c>
      <c r="C900" s="1" t="n">
        <v>46203</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35532-2024</t>
        </is>
      </c>
      <c r="B901" s="1" t="n">
        <v>45531</v>
      </c>
      <c r="C901" s="1" t="n">
        <v>46203</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19118-2022</t>
        </is>
      </c>
      <c r="B902" s="1" t="n">
        <v>44691</v>
      </c>
      <c r="C902" s="1" t="n">
        <v>46203</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59893-2022</t>
        </is>
      </c>
      <c r="B903" s="1" t="n">
        <v>44908</v>
      </c>
      <c r="C903" s="1" t="n">
        <v>46203</v>
      </c>
      <c r="D903" t="inlineStr">
        <is>
          <t>STOCKHOLMS LÄN</t>
        </is>
      </c>
      <c r="E903" t="inlineStr">
        <is>
          <t>NORRTÄLJE</t>
        </is>
      </c>
      <c r="G903" t="n">
        <v>3</v>
      </c>
      <c r="H903" t="n">
        <v>0</v>
      </c>
      <c r="I903" t="n">
        <v>0</v>
      </c>
      <c r="J903" t="n">
        <v>0</v>
      </c>
      <c r="K903" t="n">
        <v>0</v>
      </c>
      <c r="L903" t="n">
        <v>0</v>
      </c>
      <c r="M903" t="n">
        <v>0</v>
      </c>
      <c r="N903" t="n">
        <v>0</v>
      </c>
      <c r="O903" t="n">
        <v>0</v>
      </c>
      <c r="P903" t="n">
        <v>0</v>
      </c>
      <c r="Q903" t="n">
        <v>0</v>
      </c>
      <c r="R903" s="2" t="inlineStr"/>
    </row>
    <row r="904" ht="15" customHeight="1">
      <c r="A904" t="inlineStr">
        <is>
          <t>A 33226-2024</t>
        </is>
      </c>
      <c r="B904" s="1" t="n">
        <v>45518</v>
      </c>
      <c r="C904" s="1" t="n">
        <v>46203</v>
      </c>
      <c r="D904" t="inlineStr">
        <is>
          <t>STOCKHOLMS LÄN</t>
        </is>
      </c>
      <c r="E904" t="inlineStr">
        <is>
          <t>NORRTÄLJE</t>
        </is>
      </c>
      <c r="G904" t="n">
        <v>13.8</v>
      </c>
      <c r="H904" t="n">
        <v>0</v>
      </c>
      <c r="I904" t="n">
        <v>0</v>
      </c>
      <c r="J904" t="n">
        <v>0</v>
      </c>
      <c r="K904" t="n">
        <v>0</v>
      </c>
      <c r="L904" t="n">
        <v>0</v>
      </c>
      <c r="M904" t="n">
        <v>0</v>
      </c>
      <c r="N904" t="n">
        <v>0</v>
      </c>
      <c r="O904" t="n">
        <v>0</v>
      </c>
      <c r="P904" t="n">
        <v>0</v>
      </c>
      <c r="Q904" t="n">
        <v>0</v>
      </c>
      <c r="R904" s="2" t="inlineStr"/>
    </row>
    <row r="905" ht="15" customHeight="1">
      <c r="A905" t="inlineStr">
        <is>
          <t>A 16980-2023</t>
        </is>
      </c>
      <c r="B905" s="1" t="n">
        <v>45033</v>
      </c>
      <c r="C905" s="1" t="n">
        <v>46203</v>
      </c>
      <c r="D905" t="inlineStr">
        <is>
          <t>STOCKHOLMS LÄN</t>
        </is>
      </c>
      <c r="E905" t="inlineStr">
        <is>
          <t>NORRTÄLJE</t>
        </is>
      </c>
      <c r="G905" t="n">
        <v>2.3</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46203</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43170-2023</t>
        </is>
      </c>
      <c r="B907" s="1" t="n">
        <v>45183</v>
      </c>
      <c r="C907" s="1" t="n">
        <v>46203</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47626-2022</t>
        </is>
      </c>
      <c r="B908" s="1" t="n">
        <v>44854</v>
      </c>
      <c r="C908" s="1" t="n">
        <v>46203</v>
      </c>
      <c r="D908" t="inlineStr">
        <is>
          <t>STOCKHOLMS LÄN</t>
        </is>
      </c>
      <c r="E908" t="inlineStr">
        <is>
          <t>NORRTÄLJE</t>
        </is>
      </c>
      <c r="G908" t="n">
        <v>2</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46203</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42867-2022</t>
        </is>
      </c>
      <c r="B910" s="1" t="n">
        <v>44832</v>
      </c>
      <c r="C910" s="1" t="n">
        <v>46203</v>
      </c>
      <c r="D910" t="inlineStr">
        <is>
          <t>STOCKHOLMS LÄN</t>
        </is>
      </c>
      <c r="E910" t="inlineStr">
        <is>
          <t>NORRTÄLJE</t>
        </is>
      </c>
      <c r="G910" t="n">
        <v>6.4</v>
      </c>
      <c r="H910" t="n">
        <v>0</v>
      </c>
      <c r="I910" t="n">
        <v>0</v>
      </c>
      <c r="J910" t="n">
        <v>0</v>
      </c>
      <c r="K910" t="n">
        <v>0</v>
      </c>
      <c r="L910" t="n">
        <v>0</v>
      </c>
      <c r="M910" t="n">
        <v>0</v>
      </c>
      <c r="N910" t="n">
        <v>0</v>
      </c>
      <c r="O910" t="n">
        <v>0</v>
      </c>
      <c r="P910" t="n">
        <v>0</v>
      </c>
      <c r="Q910" t="n">
        <v>0</v>
      </c>
      <c r="R910" s="2" t="inlineStr"/>
    </row>
    <row r="911" ht="15" customHeight="1">
      <c r="A911" t="inlineStr">
        <is>
          <t>A 17775-2022</t>
        </is>
      </c>
      <c r="B911" s="1" t="n">
        <v>44682</v>
      </c>
      <c r="C911" s="1" t="n">
        <v>46203</v>
      </c>
      <c r="D911" t="inlineStr">
        <is>
          <t>STOCKHOLMS LÄN</t>
        </is>
      </c>
      <c r="E911" t="inlineStr">
        <is>
          <t>NORRTÄLJE</t>
        </is>
      </c>
      <c r="G911" t="n">
        <v>4.7</v>
      </c>
      <c r="H911" t="n">
        <v>0</v>
      </c>
      <c r="I911" t="n">
        <v>0</v>
      </c>
      <c r="J911" t="n">
        <v>0</v>
      </c>
      <c r="K911" t="n">
        <v>0</v>
      </c>
      <c r="L911" t="n">
        <v>0</v>
      </c>
      <c r="M911" t="n">
        <v>0</v>
      </c>
      <c r="N911" t="n">
        <v>0</v>
      </c>
      <c r="O911" t="n">
        <v>0</v>
      </c>
      <c r="P911" t="n">
        <v>0</v>
      </c>
      <c r="Q911" t="n">
        <v>0</v>
      </c>
      <c r="R911" s="2" t="inlineStr"/>
    </row>
    <row r="912" ht="15" customHeight="1">
      <c r="A912" t="inlineStr">
        <is>
          <t>A 47481-2024</t>
        </is>
      </c>
      <c r="B912" s="1" t="n">
        <v>45587</v>
      </c>
      <c r="C912" s="1" t="n">
        <v>46203</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24933-2023</t>
        </is>
      </c>
      <c r="B913" s="1" t="n">
        <v>45085</v>
      </c>
      <c r="C913" s="1" t="n">
        <v>46203</v>
      </c>
      <c r="D913" t="inlineStr">
        <is>
          <t>STOCKHOLMS LÄN</t>
        </is>
      </c>
      <c r="E913" t="inlineStr">
        <is>
          <t>NORRTÄLJE</t>
        </is>
      </c>
      <c r="F913" t="inlineStr">
        <is>
          <t>Holmen skog AB</t>
        </is>
      </c>
      <c r="G913" t="n">
        <v>1.8</v>
      </c>
      <c r="H913" t="n">
        <v>0</v>
      </c>
      <c r="I913" t="n">
        <v>0</v>
      </c>
      <c r="J913" t="n">
        <v>0</v>
      </c>
      <c r="K913" t="n">
        <v>0</v>
      </c>
      <c r="L913" t="n">
        <v>0</v>
      </c>
      <c r="M913" t="n">
        <v>0</v>
      </c>
      <c r="N913" t="n">
        <v>0</v>
      </c>
      <c r="O913" t="n">
        <v>0</v>
      </c>
      <c r="P913" t="n">
        <v>0</v>
      </c>
      <c r="Q913" t="n">
        <v>0</v>
      </c>
      <c r="R913" s="2" t="inlineStr"/>
    </row>
    <row r="914" ht="15" customHeight="1">
      <c r="A914" t="inlineStr">
        <is>
          <t>A 576-2023</t>
        </is>
      </c>
      <c r="B914" s="1" t="n">
        <v>44925</v>
      </c>
      <c r="C914" s="1" t="n">
        <v>46203</v>
      </c>
      <c r="D914" t="inlineStr">
        <is>
          <t>STOCKHOLMS LÄN</t>
        </is>
      </c>
      <c r="E914" t="inlineStr">
        <is>
          <t>NORRTÄLJE</t>
        </is>
      </c>
      <c r="G914" t="n">
        <v>7.2</v>
      </c>
      <c r="H914" t="n">
        <v>0</v>
      </c>
      <c r="I914" t="n">
        <v>0</v>
      </c>
      <c r="J914" t="n">
        <v>0</v>
      </c>
      <c r="K914" t="n">
        <v>0</v>
      </c>
      <c r="L914" t="n">
        <v>0</v>
      </c>
      <c r="M914" t="n">
        <v>0</v>
      </c>
      <c r="N914" t="n">
        <v>0</v>
      </c>
      <c r="O914" t="n">
        <v>0</v>
      </c>
      <c r="P914" t="n">
        <v>0</v>
      </c>
      <c r="Q914" t="n">
        <v>0</v>
      </c>
      <c r="R914" s="2" t="inlineStr"/>
    </row>
    <row r="915" ht="15" customHeight="1">
      <c r="A915" t="inlineStr">
        <is>
          <t>A 50469-2022</t>
        </is>
      </c>
      <c r="B915" s="1" t="n">
        <v>44866</v>
      </c>
      <c r="C915" s="1" t="n">
        <v>46203</v>
      </c>
      <c r="D915" t="inlineStr">
        <is>
          <t>STOCKHOLMS LÄN</t>
        </is>
      </c>
      <c r="E915" t="inlineStr">
        <is>
          <t>NORRTÄLJE</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41976-2024</t>
        </is>
      </c>
      <c r="B916" s="1" t="n">
        <v>45561</v>
      </c>
      <c r="C916" s="1" t="n">
        <v>46203</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62206-2022</t>
        </is>
      </c>
      <c r="B917" s="1" t="n">
        <v>44922</v>
      </c>
      <c r="C917" s="1" t="n">
        <v>46203</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30886-2022</t>
        </is>
      </c>
      <c r="B918" s="1" t="n">
        <v>44767</v>
      </c>
      <c r="C918" s="1" t="n">
        <v>46203</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58989-2021</t>
        </is>
      </c>
      <c r="B919" s="1" t="n">
        <v>44490</v>
      </c>
      <c r="C919" s="1" t="n">
        <v>46203</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58990-2021</t>
        </is>
      </c>
      <c r="B920" s="1" t="n">
        <v>44490</v>
      </c>
      <c r="C920" s="1" t="n">
        <v>46203</v>
      </c>
      <c r="D920" t="inlineStr">
        <is>
          <t>STOCKHOLMS LÄN</t>
        </is>
      </c>
      <c r="E920" t="inlineStr">
        <is>
          <t>NORRTÄLJE</t>
        </is>
      </c>
      <c r="G920" t="n">
        <v>4.2</v>
      </c>
      <c r="H920" t="n">
        <v>0</v>
      </c>
      <c r="I920" t="n">
        <v>0</v>
      </c>
      <c r="J920" t="n">
        <v>0</v>
      </c>
      <c r="K920" t="n">
        <v>0</v>
      </c>
      <c r="L920" t="n">
        <v>0</v>
      </c>
      <c r="M920" t="n">
        <v>0</v>
      </c>
      <c r="N920" t="n">
        <v>0</v>
      </c>
      <c r="O920" t="n">
        <v>0</v>
      </c>
      <c r="P920" t="n">
        <v>0</v>
      </c>
      <c r="Q920" t="n">
        <v>0</v>
      </c>
      <c r="R920" s="2" t="inlineStr"/>
    </row>
    <row r="921" ht="15" customHeight="1">
      <c r="A921" t="inlineStr">
        <is>
          <t>A 11940-2023</t>
        </is>
      </c>
      <c r="B921" s="1" t="n">
        <v>44995</v>
      </c>
      <c r="C921" s="1" t="n">
        <v>46203</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29266-2022</t>
        </is>
      </c>
      <c r="B922" s="1" t="n">
        <v>44750</v>
      </c>
      <c r="C922" s="1" t="n">
        <v>46203</v>
      </c>
      <c r="D922" t="inlineStr">
        <is>
          <t>STOCKHOLMS LÄN</t>
        </is>
      </c>
      <c r="E922" t="inlineStr">
        <is>
          <t>NORRTÄLJE</t>
        </is>
      </c>
      <c r="G922" t="n">
        <v>1.8</v>
      </c>
      <c r="H922" t="n">
        <v>0</v>
      </c>
      <c r="I922" t="n">
        <v>0</v>
      </c>
      <c r="J922" t="n">
        <v>0</v>
      </c>
      <c r="K922" t="n">
        <v>0</v>
      </c>
      <c r="L922" t="n">
        <v>0</v>
      </c>
      <c r="M922" t="n">
        <v>0</v>
      </c>
      <c r="N922" t="n">
        <v>0</v>
      </c>
      <c r="O922" t="n">
        <v>0</v>
      </c>
      <c r="P922" t="n">
        <v>0</v>
      </c>
      <c r="Q922" t="n">
        <v>0</v>
      </c>
      <c r="R922" s="2" t="inlineStr"/>
    </row>
    <row r="923" ht="15" customHeight="1">
      <c r="A923" t="inlineStr">
        <is>
          <t>A 29278-2022</t>
        </is>
      </c>
      <c r="B923" s="1" t="n">
        <v>44750</v>
      </c>
      <c r="C923" s="1" t="n">
        <v>46203</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6401-2024</t>
        </is>
      </c>
      <c r="B924" s="1" t="n">
        <v>45338</v>
      </c>
      <c r="C924" s="1" t="n">
        <v>46203</v>
      </c>
      <c r="D924" t="inlineStr">
        <is>
          <t>STOCKHOLMS LÄN</t>
        </is>
      </c>
      <c r="E924" t="inlineStr">
        <is>
          <t>NORRTÄLJE</t>
        </is>
      </c>
      <c r="G924" t="n">
        <v>2.2</v>
      </c>
      <c r="H924" t="n">
        <v>0</v>
      </c>
      <c r="I924" t="n">
        <v>0</v>
      </c>
      <c r="J924" t="n">
        <v>0</v>
      </c>
      <c r="K924" t="n">
        <v>0</v>
      </c>
      <c r="L924" t="n">
        <v>0</v>
      </c>
      <c r="M924" t="n">
        <v>0</v>
      </c>
      <c r="N924" t="n">
        <v>0</v>
      </c>
      <c r="O924" t="n">
        <v>0</v>
      </c>
      <c r="P924" t="n">
        <v>0</v>
      </c>
      <c r="Q924" t="n">
        <v>0</v>
      </c>
      <c r="R924" s="2" t="inlineStr"/>
    </row>
    <row r="925" ht="15" customHeight="1">
      <c r="A925" t="inlineStr">
        <is>
          <t>A 24501-2023</t>
        </is>
      </c>
      <c r="B925" s="1" t="n">
        <v>45082</v>
      </c>
      <c r="C925" s="1" t="n">
        <v>46203</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24520-2023</t>
        </is>
      </c>
      <c r="B926" s="1" t="n">
        <v>45082</v>
      </c>
      <c r="C926" s="1" t="n">
        <v>46203</v>
      </c>
      <c r="D926" t="inlineStr">
        <is>
          <t>STOCKHOLMS LÄN</t>
        </is>
      </c>
      <c r="E926" t="inlineStr">
        <is>
          <t>NORRTÄLJE</t>
        </is>
      </c>
      <c r="G926" t="n">
        <v>4.3</v>
      </c>
      <c r="H926" t="n">
        <v>0</v>
      </c>
      <c r="I926" t="n">
        <v>0</v>
      </c>
      <c r="J926" t="n">
        <v>0</v>
      </c>
      <c r="K926" t="n">
        <v>0</v>
      </c>
      <c r="L926" t="n">
        <v>0</v>
      </c>
      <c r="M926" t="n">
        <v>0</v>
      </c>
      <c r="N926" t="n">
        <v>0</v>
      </c>
      <c r="O926" t="n">
        <v>0</v>
      </c>
      <c r="P926" t="n">
        <v>0</v>
      </c>
      <c r="Q926" t="n">
        <v>0</v>
      </c>
      <c r="R926" s="2" t="inlineStr"/>
    </row>
    <row r="927" ht="15" customHeight="1">
      <c r="A927" t="inlineStr">
        <is>
          <t>A 26117-2024</t>
        </is>
      </c>
      <c r="B927" s="1" t="n">
        <v>45468</v>
      </c>
      <c r="C927" s="1" t="n">
        <v>46203</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61113-2023</t>
        </is>
      </c>
      <c r="B928" s="1" t="n">
        <v>45261</v>
      </c>
      <c r="C928" s="1" t="n">
        <v>46203</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59310-2023</t>
        </is>
      </c>
      <c r="B929" s="1" t="n">
        <v>45253</v>
      </c>
      <c r="C929" s="1" t="n">
        <v>46203</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55010-2024</t>
        </is>
      </c>
      <c r="B930" s="1" t="n">
        <v>45621</v>
      </c>
      <c r="C930" s="1" t="n">
        <v>46203</v>
      </c>
      <c r="D930" t="inlineStr">
        <is>
          <t>STOCKHOLMS LÄN</t>
        </is>
      </c>
      <c r="E930" t="inlineStr">
        <is>
          <t>NORRTÄLJE</t>
        </is>
      </c>
      <c r="F930" t="inlineStr">
        <is>
          <t>Sveaskog</t>
        </is>
      </c>
      <c r="G930" t="n">
        <v>5.7</v>
      </c>
      <c r="H930" t="n">
        <v>0</v>
      </c>
      <c r="I930" t="n">
        <v>0</v>
      </c>
      <c r="J930" t="n">
        <v>0</v>
      </c>
      <c r="K930" t="n">
        <v>0</v>
      </c>
      <c r="L930" t="n">
        <v>0</v>
      </c>
      <c r="M930" t="n">
        <v>0</v>
      </c>
      <c r="N930" t="n">
        <v>0</v>
      </c>
      <c r="O930" t="n">
        <v>0</v>
      </c>
      <c r="P930" t="n">
        <v>0</v>
      </c>
      <c r="Q930" t="n">
        <v>0</v>
      </c>
      <c r="R930" s="2" t="inlineStr"/>
    </row>
    <row r="931" ht="15" customHeight="1">
      <c r="A931" t="inlineStr">
        <is>
          <t>A 55018-2024</t>
        </is>
      </c>
      <c r="B931" s="1" t="n">
        <v>45621</v>
      </c>
      <c r="C931" s="1" t="n">
        <v>46203</v>
      </c>
      <c r="D931" t="inlineStr">
        <is>
          <t>STOCKHOLMS LÄN</t>
        </is>
      </c>
      <c r="E931" t="inlineStr">
        <is>
          <t>NORRTÄLJE</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1847-2023</t>
        </is>
      </c>
      <c r="B932" s="1" t="n">
        <v>44938</v>
      </c>
      <c r="C932" s="1" t="n">
        <v>46203</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29362-2022</t>
        </is>
      </c>
      <c r="B933" s="1" t="n">
        <v>44753</v>
      </c>
      <c r="C933" s="1" t="n">
        <v>46203</v>
      </c>
      <c r="D933" t="inlineStr">
        <is>
          <t>STOCKHOLMS LÄN</t>
        </is>
      </c>
      <c r="E933" t="inlineStr">
        <is>
          <t>NORRTÄLJE</t>
        </is>
      </c>
      <c r="G933" t="n">
        <v>3.8</v>
      </c>
      <c r="H933" t="n">
        <v>0</v>
      </c>
      <c r="I933" t="n">
        <v>0</v>
      </c>
      <c r="J933" t="n">
        <v>0</v>
      </c>
      <c r="K933" t="n">
        <v>0</v>
      </c>
      <c r="L933" t="n">
        <v>0</v>
      </c>
      <c r="M933" t="n">
        <v>0</v>
      </c>
      <c r="N933" t="n">
        <v>0</v>
      </c>
      <c r="O933" t="n">
        <v>0</v>
      </c>
      <c r="P933" t="n">
        <v>0</v>
      </c>
      <c r="Q933" t="n">
        <v>0</v>
      </c>
      <c r="R933" s="2" t="inlineStr"/>
    </row>
    <row r="934" ht="15" customHeight="1">
      <c r="A934" t="inlineStr">
        <is>
          <t>A 20291-2022</t>
        </is>
      </c>
      <c r="B934" s="1" t="n">
        <v>44698</v>
      </c>
      <c r="C934" s="1" t="n">
        <v>46203</v>
      </c>
      <c r="D934" t="inlineStr">
        <is>
          <t>STOCKHOLMS LÄN</t>
        </is>
      </c>
      <c r="E934" t="inlineStr">
        <is>
          <t>NORRTÄLJE</t>
        </is>
      </c>
      <c r="F934" t="inlineStr">
        <is>
          <t>Naturvårdsverket</t>
        </is>
      </c>
      <c r="G934" t="n">
        <v>2</v>
      </c>
      <c r="H934" t="n">
        <v>0</v>
      </c>
      <c r="I934" t="n">
        <v>0</v>
      </c>
      <c r="J934" t="n">
        <v>0</v>
      </c>
      <c r="K934" t="n">
        <v>0</v>
      </c>
      <c r="L934" t="n">
        <v>0</v>
      </c>
      <c r="M934" t="n">
        <v>0</v>
      </c>
      <c r="N934" t="n">
        <v>0</v>
      </c>
      <c r="O934" t="n">
        <v>0</v>
      </c>
      <c r="P934" t="n">
        <v>0</v>
      </c>
      <c r="Q934" t="n">
        <v>0</v>
      </c>
      <c r="R934" s="2" t="inlineStr"/>
    </row>
    <row r="935" ht="15" customHeight="1">
      <c r="A935" t="inlineStr">
        <is>
          <t>A 31926-2022</t>
        </is>
      </c>
      <c r="B935" s="1" t="n">
        <v>44777</v>
      </c>
      <c r="C935" s="1" t="n">
        <v>46203</v>
      </c>
      <c r="D935" t="inlineStr">
        <is>
          <t>STOCKHOLMS LÄN</t>
        </is>
      </c>
      <c r="E935" t="inlineStr">
        <is>
          <t>NORRTÄLJE</t>
        </is>
      </c>
      <c r="G935" t="n">
        <v>5.2</v>
      </c>
      <c r="H935" t="n">
        <v>0</v>
      </c>
      <c r="I935" t="n">
        <v>0</v>
      </c>
      <c r="J935" t="n">
        <v>0</v>
      </c>
      <c r="K935" t="n">
        <v>0</v>
      </c>
      <c r="L935" t="n">
        <v>0</v>
      </c>
      <c r="M935" t="n">
        <v>0</v>
      </c>
      <c r="N935" t="n">
        <v>0</v>
      </c>
      <c r="O935" t="n">
        <v>0</v>
      </c>
      <c r="P935" t="n">
        <v>0</v>
      </c>
      <c r="Q935" t="n">
        <v>0</v>
      </c>
      <c r="R935" s="2" t="inlineStr"/>
    </row>
    <row r="936" ht="15" customHeight="1">
      <c r="A936" t="inlineStr">
        <is>
          <t>A 1425-2025</t>
        </is>
      </c>
      <c r="B936" s="1" t="n">
        <v>45668</v>
      </c>
      <c r="C936" s="1" t="n">
        <v>46203</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1453-2025</t>
        </is>
      </c>
      <c r="B937" s="1" t="n">
        <v>45670</v>
      </c>
      <c r="C937" s="1" t="n">
        <v>46203</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6070-2022</t>
        </is>
      </c>
      <c r="B938" s="1" t="n">
        <v>44599</v>
      </c>
      <c r="C938" s="1" t="n">
        <v>46203</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27828-2022</t>
        </is>
      </c>
      <c r="B939" s="1" t="n">
        <v>44743</v>
      </c>
      <c r="C939" s="1" t="n">
        <v>46203</v>
      </c>
      <c r="D939" t="inlineStr">
        <is>
          <t>STOCKHOLMS LÄN</t>
        </is>
      </c>
      <c r="E939" t="inlineStr">
        <is>
          <t>NORRTÄLJE</t>
        </is>
      </c>
      <c r="F939" t="inlineStr">
        <is>
          <t>Kommuner</t>
        </is>
      </c>
      <c r="G939" t="n">
        <v>1.6</v>
      </c>
      <c r="H939" t="n">
        <v>0</v>
      </c>
      <c r="I939" t="n">
        <v>0</v>
      </c>
      <c r="J939" t="n">
        <v>0</v>
      </c>
      <c r="K939" t="n">
        <v>0</v>
      </c>
      <c r="L939" t="n">
        <v>0</v>
      </c>
      <c r="M939" t="n">
        <v>0</v>
      </c>
      <c r="N939" t="n">
        <v>0</v>
      </c>
      <c r="O939" t="n">
        <v>0</v>
      </c>
      <c r="P939" t="n">
        <v>0</v>
      </c>
      <c r="Q939" t="n">
        <v>0</v>
      </c>
      <c r="R939" s="2" t="inlineStr"/>
    </row>
    <row r="940" ht="15" customHeight="1">
      <c r="A940" t="inlineStr">
        <is>
          <t>A 59873-2024</t>
        </is>
      </c>
      <c r="B940" s="1" t="n">
        <v>45640</v>
      </c>
      <c r="C940" s="1" t="n">
        <v>46203</v>
      </c>
      <c r="D940" t="inlineStr">
        <is>
          <t>STOCKHOLMS LÄN</t>
        </is>
      </c>
      <c r="E940" t="inlineStr">
        <is>
          <t>NORRTÄLJE</t>
        </is>
      </c>
      <c r="G940" t="n">
        <v>3.3</v>
      </c>
      <c r="H940" t="n">
        <v>0</v>
      </c>
      <c r="I940" t="n">
        <v>0</v>
      </c>
      <c r="J940" t="n">
        <v>0</v>
      </c>
      <c r="K940" t="n">
        <v>0</v>
      </c>
      <c r="L940" t="n">
        <v>0</v>
      </c>
      <c r="M940" t="n">
        <v>0</v>
      </c>
      <c r="N940" t="n">
        <v>0</v>
      </c>
      <c r="O940" t="n">
        <v>0</v>
      </c>
      <c r="P940" t="n">
        <v>0</v>
      </c>
      <c r="Q940" t="n">
        <v>0</v>
      </c>
      <c r="R940" s="2" t="inlineStr"/>
    </row>
    <row r="941" ht="15" customHeight="1">
      <c r="A941" t="inlineStr">
        <is>
          <t>A 48161-2022</t>
        </is>
      </c>
      <c r="B941" s="1" t="n">
        <v>44858</v>
      </c>
      <c r="C941" s="1" t="n">
        <v>46203</v>
      </c>
      <c r="D941" t="inlineStr">
        <is>
          <t>STOCKHOLMS LÄN</t>
        </is>
      </c>
      <c r="E941" t="inlineStr">
        <is>
          <t>NORRTÄLJE</t>
        </is>
      </c>
      <c r="G941" t="n">
        <v>0.9</v>
      </c>
      <c r="H941" t="n">
        <v>0</v>
      </c>
      <c r="I941" t="n">
        <v>0</v>
      </c>
      <c r="J941" t="n">
        <v>0</v>
      </c>
      <c r="K941" t="n">
        <v>0</v>
      </c>
      <c r="L941" t="n">
        <v>0</v>
      </c>
      <c r="M941" t="n">
        <v>0</v>
      </c>
      <c r="N941" t="n">
        <v>0</v>
      </c>
      <c r="O941" t="n">
        <v>0</v>
      </c>
      <c r="P941" t="n">
        <v>0</v>
      </c>
      <c r="Q941" t="n">
        <v>0</v>
      </c>
      <c r="R941" s="2" t="inlineStr"/>
    </row>
    <row r="942" ht="15" customHeight="1">
      <c r="A942" t="inlineStr">
        <is>
          <t>A 23307-2024</t>
        </is>
      </c>
      <c r="B942" s="1" t="n">
        <v>45453</v>
      </c>
      <c r="C942" s="1" t="n">
        <v>46203</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2281-2024</t>
        </is>
      </c>
      <c r="B943" s="1" t="n">
        <v>45310</v>
      </c>
      <c r="C943" s="1" t="n">
        <v>46203</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2287-2024</t>
        </is>
      </c>
      <c r="B944" s="1" t="n">
        <v>45310</v>
      </c>
      <c r="C944" s="1" t="n">
        <v>46203</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20618-2022</t>
        </is>
      </c>
      <c r="B945" s="1" t="n">
        <v>44700</v>
      </c>
      <c r="C945" s="1" t="n">
        <v>46203</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59504-2023</t>
        </is>
      </c>
      <c r="B946" s="1" t="n">
        <v>45254</v>
      </c>
      <c r="C946" s="1" t="n">
        <v>46203</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25656-2023</t>
        </is>
      </c>
      <c r="B947" s="1" t="n">
        <v>45089</v>
      </c>
      <c r="C947" s="1" t="n">
        <v>46203</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38049-2023</t>
        </is>
      </c>
      <c r="B948" s="1" t="n">
        <v>45159</v>
      </c>
      <c r="C948" s="1" t="n">
        <v>46203</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3966-2024</t>
        </is>
      </c>
      <c r="B949" s="1" t="n">
        <v>45322</v>
      </c>
      <c r="C949" s="1" t="n">
        <v>46203</v>
      </c>
      <c r="D949" t="inlineStr">
        <is>
          <t>STOCKHOLMS LÄN</t>
        </is>
      </c>
      <c r="E949" t="inlineStr">
        <is>
          <t>NORRTÄLJE</t>
        </is>
      </c>
      <c r="G949" t="n">
        <v>5.3</v>
      </c>
      <c r="H949" t="n">
        <v>0</v>
      </c>
      <c r="I949" t="n">
        <v>0</v>
      </c>
      <c r="J949" t="n">
        <v>0</v>
      </c>
      <c r="K949" t="n">
        <v>0</v>
      </c>
      <c r="L949" t="n">
        <v>0</v>
      </c>
      <c r="M949" t="n">
        <v>0</v>
      </c>
      <c r="N949" t="n">
        <v>0</v>
      </c>
      <c r="O949" t="n">
        <v>0</v>
      </c>
      <c r="P949" t="n">
        <v>0</v>
      </c>
      <c r="Q949" t="n">
        <v>0</v>
      </c>
      <c r="R949" s="2" t="inlineStr"/>
    </row>
    <row r="950" ht="15" customHeight="1">
      <c r="A950" t="inlineStr">
        <is>
          <t>A 17348-2024</t>
        </is>
      </c>
      <c r="B950" s="1" t="n">
        <v>45414</v>
      </c>
      <c r="C950" s="1" t="n">
        <v>46203</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52508-2023</t>
        </is>
      </c>
      <c r="B951" s="1" t="n">
        <v>45225</v>
      </c>
      <c r="C951" s="1" t="n">
        <v>46203</v>
      </c>
      <c r="D951" t="inlineStr">
        <is>
          <t>STOCKHOLMS LÄN</t>
        </is>
      </c>
      <c r="E951" t="inlineStr">
        <is>
          <t>NORRTÄLJE</t>
        </is>
      </c>
      <c r="G951" t="n">
        <v>19.7</v>
      </c>
      <c r="H951" t="n">
        <v>0</v>
      </c>
      <c r="I951" t="n">
        <v>0</v>
      </c>
      <c r="J951" t="n">
        <v>0</v>
      </c>
      <c r="K951" t="n">
        <v>0</v>
      </c>
      <c r="L951" t="n">
        <v>0</v>
      </c>
      <c r="M951" t="n">
        <v>0</v>
      </c>
      <c r="N951" t="n">
        <v>0</v>
      </c>
      <c r="O951" t="n">
        <v>0</v>
      </c>
      <c r="P951" t="n">
        <v>0</v>
      </c>
      <c r="Q951" t="n">
        <v>0</v>
      </c>
      <c r="R951" s="2" t="inlineStr"/>
    </row>
    <row r="952" ht="15" customHeight="1">
      <c r="A952" t="inlineStr">
        <is>
          <t>A 34461-2023</t>
        </is>
      </c>
      <c r="B952" s="1" t="n">
        <v>45139</v>
      </c>
      <c r="C952" s="1" t="n">
        <v>46203</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24522-2023</t>
        </is>
      </c>
      <c r="B953" s="1" t="n">
        <v>45082</v>
      </c>
      <c r="C953" s="1" t="n">
        <v>46203</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29176-2024</t>
        </is>
      </c>
      <c r="B954" s="1" t="n">
        <v>45482</v>
      </c>
      <c r="C954" s="1" t="n">
        <v>46203</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4596-2023</t>
        </is>
      </c>
      <c r="B955" s="1" t="n">
        <v>44956</v>
      </c>
      <c r="C955" s="1" t="n">
        <v>46203</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24727-2023</t>
        </is>
      </c>
      <c r="B956" s="1" t="n">
        <v>45084</v>
      </c>
      <c r="C956" s="1" t="n">
        <v>46203</v>
      </c>
      <c r="D956" t="inlineStr">
        <is>
          <t>STOCKHOLMS LÄN</t>
        </is>
      </c>
      <c r="E956" t="inlineStr">
        <is>
          <t>NORRTÄLJE</t>
        </is>
      </c>
      <c r="F956" t="inlineStr">
        <is>
          <t>Holmen skog AB</t>
        </is>
      </c>
      <c r="G956" t="n">
        <v>2.2</v>
      </c>
      <c r="H956" t="n">
        <v>0</v>
      </c>
      <c r="I956" t="n">
        <v>0</v>
      </c>
      <c r="J956" t="n">
        <v>0</v>
      </c>
      <c r="K956" t="n">
        <v>0</v>
      </c>
      <c r="L956" t="n">
        <v>0</v>
      </c>
      <c r="M956" t="n">
        <v>0</v>
      </c>
      <c r="N956" t="n">
        <v>0</v>
      </c>
      <c r="O956" t="n">
        <v>0</v>
      </c>
      <c r="P956" t="n">
        <v>0</v>
      </c>
      <c r="Q956" t="n">
        <v>0</v>
      </c>
      <c r="R956" s="2" t="inlineStr"/>
    </row>
    <row r="957" ht="15" customHeight="1">
      <c r="A957" t="inlineStr">
        <is>
          <t>A 59904-2023</t>
        </is>
      </c>
      <c r="B957" s="1" t="n">
        <v>45257</v>
      </c>
      <c r="C957" s="1" t="n">
        <v>46203</v>
      </c>
      <c r="D957" t="inlineStr">
        <is>
          <t>STOCKHOLMS LÄN</t>
        </is>
      </c>
      <c r="E957" t="inlineStr">
        <is>
          <t>NORRTÄLJE</t>
        </is>
      </c>
      <c r="G957" t="n">
        <v>17.4</v>
      </c>
      <c r="H957" t="n">
        <v>0</v>
      </c>
      <c r="I957" t="n">
        <v>0</v>
      </c>
      <c r="J957" t="n">
        <v>0</v>
      </c>
      <c r="K957" t="n">
        <v>0</v>
      </c>
      <c r="L957" t="n">
        <v>0</v>
      </c>
      <c r="M957" t="n">
        <v>0</v>
      </c>
      <c r="N957" t="n">
        <v>0</v>
      </c>
      <c r="O957" t="n">
        <v>0</v>
      </c>
      <c r="P957" t="n">
        <v>0</v>
      </c>
      <c r="Q957" t="n">
        <v>0</v>
      </c>
      <c r="R957" s="2" t="inlineStr"/>
    </row>
    <row r="958" ht="15" customHeight="1">
      <c r="A958" t="inlineStr">
        <is>
          <t>A 36308-2022</t>
        </is>
      </c>
      <c r="B958" s="1" t="n">
        <v>44803</v>
      </c>
      <c r="C958" s="1" t="n">
        <v>46203</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18787-2022</t>
        </is>
      </c>
      <c r="B959" s="1" t="n">
        <v>44687</v>
      </c>
      <c r="C959" s="1" t="n">
        <v>46203</v>
      </c>
      <c r="D959" t="inlineStr">
        <is>
          <t>STOCKHOLMS LÄN</t>
        </is>
      </c>
      <c r="E959" t="inlineStr">
        <is>
          <t>NORRTÄLJE</t>
        </is>
      </c>
      <c r="G959" t="n">
        <v>2</v>
      </c>
      <c r="H959" t="n">
        <v>0</v>
      </c>
      <c r="I959" t="n">
        <v>0</v>
      </c>
      <c r="J959" t="n">
        <v>0</v>
      </c>
      <c r="K959" t="n">
        <v>0</v>
      </c>
      <c r="L959" t="n">
        <v>0</v>
      </c>
      <c r="M959" t="n">
        <v>0</v>
      </c>
      <c r="N959" t="n">
        <v>0</v>
      </c>
      <c r="O959" t="n">
        <v>0</v>
      </c>
      <c r="P959" t="n">
        <v>0</v>
      </c>
      <c r="Q959" t="n">
        <v>0</v>
      </c>
      <c r="R959" s="2" t="inlineStr"/>
    </row>
    <row r="960" ht="15" customHeight="1">
      <c r="A960" t="inlineStr">
        <is>
          <t>A 50108-2021</t>
        </is>
      </c>
      <c r="B960" s="1" t="n">
        <v>44456</v>
      </c>
      <c r="C960" s="1" t="n">
        <v>46203</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20304-2023</t>
        </is>
      </c>
      <c r="B961" s="1" t="n">
        <v>45056</v>
      </c>
      <c r="C961" s="1" t="n">
        <v>46203</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35235-2024</t>
        </is>
      </c>
      <c r="B962" s="1" t="n">
        <v>45530</v>
      </c>
      <c r="C962" s="1" t="n">
        <v>46203</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51061-2023</t>
        </is>
      </c>
      <c r="B963" s="1" t="n">
        <v>45218</v>
      </c>
      <c r="C963" s="1" t="n">
        <v>46203</v>
      </c>
      <c r="D963" t="inlineStr">
        <is>
          <t>STOCKHOLMS LÄN</t>
        </is>
      </c>
      <c r="E963" t="inlineStr">
        <is>
          <t>NORRTÄLJE</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39213-2022</t>
        </is>
      </c>
      <c r="B964" s="1" t="n">
        <v>44817</v>
      </c>
      <c r="C964" s="1" t="n">
        <v>46203</v>
      </c>
      <c r="D964" t="inlineStr">
        <is>
          <t>STOCKHOLMS LÄN</t>
        </is>
      </c>
      <c r="E964" t="inlineStr">
        <is>
          <t>NORRTÄLJE</t>
        </is>
      </c>
      <c r="G964" t="n">
        <v>3.4</v>
      </c>
      <c r="H964" t="n">
        <v>0</v>
      </c>
      <c r="I964" t="n">
        <v>0</v>
      </c>
      <c r="J964" t="n">
        <v>0</v>
      </c>
      <c r="K964" t="n">
        <v>0</v>
      </c>
      <c r="L964" t="n">
        <v>0</v>
      </c>
      <c r="M964" t="n">
        <v>0</v>
      </c>
      <c r="N964" t="n">
        <v>0</v>
      </c>
      <c r="O964" t="n">
        <v>0</v>
      </c>
      <c r="P964" t="n">
        <v>0</v>
      </c>
      <c r="Q964" t="n">
        <v>0</v>
      </c>
      <c r="R964" s="2" t="inlineStr"/>
    </row>
    <row r="965" ht="15" customHeight="1">
      <c r="A965" t="inlineStr">
        <is>
          <t>A 36246-2021</t>
        </is>
      </c>
      <c r="B965" s="1" t="n">
        <v>44390</v>
      </c>
      <c r="C965" s="1" t="n">
        <v>46203</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15905-2023</t>
        </is>
      </c>
      <c r="B966" s="1" t="n">
        <v>45022</v>
      </c>
      <c r="C966" s="1" t="n">
        <v>46203</v>
      </c>
      <c r="D966" t="inlineStr">
        <is>
          <t>STOCKHOLMS LÄN</t>
        </is>
      </c>
      <c r="E966" t="inlineStr">
        <is>
          <t>NORRTÄLJE</t>
        </is>
      </c>
      <c r="G966" t="n">
        <v>3.2</v>
      </c>
      <c r="H966" t="n">
        <v>0</v>
      </c>
      <c r="I966" t="n">
        <v>0</v>
      </c>
      <c r="J966" t="n">
        <v>0</v>
      </c>
      <c r="K966" t="n">
        <v>0</v>
      </c>
      <c r="L966" t="n">
        <v>0</v>
      </c>
      <c r="M966" t="n">
        <v>0</v>
      </c>
      <c r="N966" t="n">
        <v>0</v>
      </c>
      <c r="O966" t="n">
        <v>0</v>
      </c>
      <c r="P966" t="n">
        <v>0</v>
      </c>
      <c r="Q966" t="n">
        <v>0</v>
      </c>
      <c r="R966" s="2" t="inlineStr"/>
    </row>
    <row r="967" ht="15" customHeight="1">
      <c r="A967" t="inlineStr">
        <is>
          <t>A 44917-2022</t>
        </is>
      </c>
      <c r="B967" s="1" t="n">
        <v>44841</v>
      </c>
      <c r="C967" s="1" t="n">
        <v>46203</v>
      </c>
      <c r="D967" t="inlineStr">
        <is>
          <t>STOCKHOLMS LÄN</t>
        </is>
      </c>
      <c r="E967" t="inlineStr">
        <is>
          <t>NORRTÄLJE</t>
        </is>
      </c>
      <c r="F967" t="inlineStr">
        <is>
          <t>Holmen skog AB</t>
        </is>
      </c>
      <c r="G967" t="n">
        <v>3.3</v>
      </c>
      <c r="H967" t="n">
        <v>0</v>
      </c>
      <c r="I967" t="n">
        <v>0</v>
      </c>
      <c r="J967" t="n">
        <v>0</v>
      </c>
      <c r="K967" t="n">
        <v>0</v>
      </c>
      <c r="L967" t="n">
        <v>0</v>
      </c>
      <c r="M967" t="n">
        <v>0</v>
      </c>
      <c r="N967" t="n">
        <v>0</v>
      </c>
      <c r="O967" t="n">
        <v>0</v>
      </c>
      <c r="P967" t="n">
        <v>0</v>
      </c>
      <c r="Q967" t="n">
        <v>0</v>
      </c>
      <c r="R967" s="2" t="inlineStr"/>
    </row>
    <row r="968" ht="15" customHeight="1">
      <c r="A968" t="inlineStr">
        <is>
          <t>A 33173-2024</t>
        </is>
      </c>
      <c r="B968" s="1" t="n">
        <v>45518</v>
      </c>
      <c r="C968" s="1" t="n">
        <v>46203</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17551-2025</t>
        </is>
      </c>
      <c r="B969" s="1" t="n">
        <v>45757</v>
      </c>
      <c r="C969" s="1" t="n">
        <v>46203</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10678-2025</t>
        </is>
      </c>
      <c r="B970" s="1" t="n">
        <v>45721</v>
      </c>
      <c r="C970" s="1" t="n">
        <v>46203</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8370-2025</t>
        </is>
      </c>
      <c r="B971" s="1" t="n">
        <v>45708</v>
      </c>
      <c r="C971" s="1" t="n">
        <v>46203</v>
      </c>
      <c r="D971" t="inlineStr">
        <is>
          <t>STOCKHOLMS LÄN</t>
        </is>
      </c>
      <c r="E971" t="inlineStr">
        <is>
          <t>NORRTÄLJE</t>
        </is>
      </c>
      <c r="F971" t="inlineStr">
        <is>
          <t>Övriga Aktiebolag</t>
        </is>
      </c>
      <c r="G971" t="n">
        <v>5.6</v>
      </c>
      <c r="H971" t="n">
        <v>0</v>
      </c>
      <c r="I971" t="n">
        <v>0</v>
      </c>
      <c r="J971" t="n">
        <v>0</v>
      </c>
      <c r="K971" t="n">
        <v>0</v>
      </c>
      <c r="L971" t="n">
        <v>0</v>
      </c>
      <c r="M971" t="n">
        <v>0</v>
      </c>
      <c r="N971" t="n">
        <v>0</v>
      </c>
      <c r="O971" t="n">
        <v>0</v>
      </c>
      <c r="P971" t="n">
        <v>0</v>
      </c>
      <c r="Q971" t="n">
        <v>0</v>
      </c>
      <c r="R971" s="2" t="inlineStr"/>
    </row>
    <row r="972" ht="15" customHeight="1">
      <c r="A972" t="inlineStr">
        <is>
          <t>A 951-2023</t>
        </is>
      </c>
      <c r="B972" s="1" t="n">
        <v>44934</v>
      </c>
      <c r="C972" s="1" t="n">
        <v>46203</v>
      </c>
      <c r="D972" t="inlineStr">
        <is>
          <t>STOCKHOLMS LÄN</t>
        </is>
      </c>
      <c r="E972" t="inlineStr">
        <is>
          <t>NORRTÄLJE</t>
        </is>
      </c>
      <c r="G972" t="n">
        <v>3.7</v>
      </c>
      <c r="H972" t="n">
        <v>0</v>
      </c>
      <c r="I972" t="n">
        <v>0</v>
      </c>
      <c r="J972" t="n">
        <v>0</v>
      </c>
      <c r="K972" t="n">
        <v>0</v>
      </c>
      <c r="L972" t="n">
        <v>0</v>
      </c>
      <c r="M972" t="n">
        <v>0</v>
      </c>
      <c r="N972" t="n">
        <v>0</v>
      </c>
      <c r="O972" t="n">
        <v>0</v>
      </c>
      <c r="P972" t="n">
        <v>0</v>
      </c>
      <c r="Q972" t="n">
        <v>0</v>
      </c>
      <c r="R972" s="2" t="inlineStr"/>
    </row>
    <row r="973" ht="15" customHeight="1">
      <c r="A973" t="inlineStr">
        <is>
          <t>A 32100-2022</t>
        </is>
      </c>
      <c r="B973" s="1" t="n">
        <v>44778</v>
      </c>
      <c r="C973" s="1" t="n">
        <v>46203</v>
      </c>
      <c r="D973" t="inlineStr">
        <is>
          <t>STOCKHOLMS LÄN</t>
        </is>
      </c>
      <c r="E973" t="inlineStr">
        <is>
          <t>NORRTÄLJE</t>
        </is>
      </c>
      <c r="G973" t="n">
        <v>3.3</v>
      </c>
      <c r="H973" t="n">
        <v>0</v>
      </c>
      <c r="I973" t="n">
        <v>0</v>
      </c>
      <c r="J973" t="n">
        <v>0</v>
      </c>
      <c r="K973" t="n">
        <v>0</v>
      </c>
      <c r="L973" t="n">
        <v>0</v>
      </c>
      <c r="M973" t="n">
        <v>0</v>
      </c>
      <c r="N973" t="n">
        <v>0</v>
      </c>
      <c r="O973" t="n">
        <v>0</v>
      </c>
      <c r="P973" t="n">
        <v>0</v>
      </c>
      <c r="Q973" t="n">
        <v>0</v>
      </c>
      <c r="R973" s="2" t="inlineStr"/>
    </row>
    <row r="974" ht="15" customHeight="1">
      <c r="A974" t="inlineStr">
        <is>
          <t>A 2888-2022</t>
        </is>
      </c>
      <c r="B974" s="1" t="n">
        <v>44581</v>
      </c>
      <c r="C974" s="1" t="n">
        <v>46203</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11902-2024</t>
        </is>
      </c>
      <c r="B975" s="1" t="n">
        <v>45376</v>
      </c>
      <c r="C975" s="1" t="n">
        <v>46203</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13-2024</t>
        </is>
      </c>
      <c r="B976" s="1" t="n">
        <v>45293</v>
      </c>
      <c r="C976" s="1" t="n">
        <v>46203</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58260-2023</t>
        </is>
      </c>
      <c r="B977" s="1" t="n">
        <v>45245</v>
      </c>
      <c r="C977" s="1" t="n">
        <v>46203</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58261-2023</t>
        </is>
      </c>
      <c r="B978" s="1" t="n">
        <v>45245</v>
      </c>
      <c r="C978" s="1" t="n">
        <v>46203</v>
      </c>
      <c r="D978" t="inlineStr">
        <is>
          <t>STOCKHOLMS LÄN</t>
        </is>
      </c>
      <c r="E978" t="inlineStr">
        <is>
          <t>NORRTÄLJE</t>
        </is>
      </c>
      <c r="G978" t="n">
        <v>53.5</v>
      </c>
      <c r="H978" t="n">
        <v>0</v>
      </c>
      <c r="I978" t="n">
        <v>0</v>
      </c>
      <c r="J978" t="n">
        <v>0</v>
      </c>
      <c r="K978" t="n">
        <v>0</v>
      </c>
      <c r="L978" t="n">
        <v>0</v>
      </c>
      <c r="M978" t="n">
        <v>0</v>
      </c>
      <c r="N978" t="n">
        <v>0</v>
      </c>
      <c r="O978" t="n">
        <v>0</v>
      </c>
      <c r="P978" t="n">
        <v>0</v>
      </c>
      <c r="Q978" t="n">
        <v>0</v>
      </c>
      <c r="R978" s="2" t="inlineStr"/>
    </row>
    <row r="979" ht="15" customHeight="1">
      <c r="A979" t="inlineStr">
        <is>
          <t>A 4553-2023</t>
        </is>
      </c>
      <c r="B979" s="1" t="n">
        <v>44956</v>
      </c>
      <c r="C979" s="1" t="n">
        <v>46203</v>
      </c>
      <c r="D979" t="inlineStr">
        <is>
          <t>STOCKHOLMS LÄN</t>
        </is>
      </c>
      <c r="E979" t="inlineStr">
        <is>
          <t>NORRTÄLJE</t>
        </is>
      </c>
      <c r="G979" t="n">
        <v>7.5</v>
      </c>
      <c r="H979" t="n">
        <v>0</v>
      </c>
      <c r="I979" t="n">
        <v>0</v>
      </c>
      <c r="J979" t="n">
        <v>0</v>
      </c>
      <c r="K979" t="n">
        <v>0</v>
      </c>
      <c r="L979" t="n">
        <v>0</v>
      </c>
      <c r="M979" t="n">
        <v>0</v>
      </c>
      <c r="N979" t="n">
        <v>0</v>
      </c>
      <c r="O979" t="n">
        <v>0</v>
      </c>
      <c r="P979" t="n">
        <v>0</v>
      </c>
      <c r="Q979" t="n">
        <v>0</v>
      </c>
      <c r="R979" s="2" t="inlineStr"/>
    </row>
    <row r="980" ht="15" customHeight="1">
      <c r="A980" t="inlineStr">
        <is>
          <t>A 875-2023</t>
        </is>
      </c>
      <c r="B980" s="1" t="n">
        <v>44931</v>
      </c>
      <c r="C980" s="1" t="n">
        <v>46203</v>
      </c>
      <c r="D980" t="inlineStr">
        <is>
          <t>STOCKHOLMS LÄN</t>
        </is>
      </c>
      <c r="E980" t="inlineStr">
        <is>
          <t>NORRTÄLJE</t>
        </is>
      </c>
      <c r="G980" t="n">
        <v>2.2</v>
      </c>
      <c r="H980" t="n">
        <v>0</v>
      </c>
      <c r="I980" t="n">
        <v>0</v>
      </c>
      <c r="J980" t="n">
        <v>0</v>
      </c>
      <c r="K980" t="n">
        <v>0</v>
      </c>
      <c r="L980" t="n">
        <v>0</v>
      </c>
      <c r="M980" t="n">
        <v>0</v>
      </c>
      <c r="N980" t="n">
        <v>0</v>
      </c>
      <c r="O980" t="n">
        <v>0</v>
      </c>
      <c r="P980" t="n">
        <v>0</v>
      </c>
      <c r="Q980" t="n">
        <v>0</v>
      </c>
      <c r="R980" s="2" t="inlineStr"/>
    </row>
    <row r="981" ht="15" customHeight="1">
      <c r="A981" t="inlineStr">
        <is>
          <t>A 24575-2024</t>
        </is>
      </c>
      <c r="B981" s="1" t="n">
        <v>45460</v>
      </c>
      <c r="C981" s="1" t="n">
        <v>46203</v>
      </c>
      <c r="D981" t="inlineStr">
        <is>
          <t>STOCKHOLMS LÄN</t>
        </is>
      </c>
      <c r="E981" t="inlineStr">
        <is>
          <t>NORRTÄLJE</t>
        </is>
      </c>
      <c r="G981" t="n">
        <v>2.6</v>
      </c>
      <c r="H981" t="n">
        <v>0</v>
      </c>
      <c r="I981" t="n">
        <v>0</v>
      </c>
      <c r="J981" t="n">
        <v>0</v>
      </c>
      <c r="K981" t="n">
        <v>0</v>
      </c>
      <c r="L981" t="n">
        <v>0</v>
      </c>
      <c r="M981" t="n">
        <v>0</v>
      </c>
      <c r="N981" t="n">
        <v>0</v>
      </c>
      <c r="O981" t="n">
        <v>0</v>
      </c>
      <c r="P981" t="n">
        <v>0</v>
      </c>
      <c r="Q981" t="n">
        <v>0</v>
      </c>
      <c r="R981" s="2" t="inlineStr"/>
    </row>
    <row r="982" ht="15" customHeight="1">
      <c r="A982" t="inlineStr">
        <is>
          <t>A 19-2024</t>
        </is>
      </c>
      <c r="B982" s="1" t="n">
        <v>45293</v>
      </c>
      <c r="C982" s="1" t="n">
        <v>46203</v>
      </c>
      <c r="D982" t="inlineStr">
        <is>
          <t>STOCKHOLMS LÄN</t>
        </is>
      </c>
      <c r="E982" t="inlineStr">
        <is>
          <t>NORRTÄLJE</t>
        </is>
      </c>
      <c r="G982" t="n">
        <v>0.3</v>
      </c>
      <c r="H982" t="n">
        <v>0</v>
      </c>
      <c r="I982" t="n">
        <v>0</v>
      </c>
      <c r="J982" t="n">
        <v>0</v>
      </c>
      <c r="K982" t="n">
        <v>0</v>
      </c>
      <c r="L982" t="n">
        <v>0</v>
      </c>
      <c r="M982" t="n">
        <v>0</v>
      </c>
      <c r="N982" t="n">
        <v>0</v>
      </c>
      <c r="O982" t="n">
        <v>0</v>
      </c>
      <c r="P982" t="n">
        <v>0</v>
      </c>
      <c r="Q982" t="n">
        <v>0</v>
      </c>
      <c r="R982" s="2" t="inlineStr"/>
    </row>
    <row r="983" ht="15" customHeight="1">
      <c r="A983" t="inlineStr">
        <is>
          <t>A 54496-2024</t>
        </is>
      </c>
      <c r="B983" s="1" t="n">
        <v>45617</v>
      </c>
      <c r="C983" s="1" t="n">
        <v>46203</v>
      </c>
      <c r="D983" t="inlineStr">
        <is>
          <t>STOCKHOLMS LÄN</t>
        </is>
      </c>
      <c r="E983" t="inlineStr">
        <is>
          <t>NORRTÄLJE</t>
        </is>
      </c>
      <c r="G983" t="n">
        <v>2.2</v>
      </c>
      <c r="H983" t="n">
        <v>0</v>
      </c>
      <c r="I983" t="n">
        <v>0</v>
      </c>
      <c r="J983" t="n">
        <v>0</v>
      </c>
      <c r="K983" t="n">
        <v>0</v>
      </c>
      <c r="L983" t="n">
        <v>0</v>
      </c>
      <c r="M983" t="n">
        <v>0</v>
      </c>
      <c r="N983" t="n">
        <v>0</v>
      </c>
      <c r="O983" t="n">
        <v>0</v>
      </c>
      <c r="P983" t="n">
        <v>0</v>
      </c>
      <c r="Q983" t="n">
        <v>0</v>
      </c>
      <c r="R983" s="2" t="inlineStr"/>
    </row>
    <row r="984" ht="15" customHeight="1">
      <c r="A984" t="inlineStr">
        <is>
          <t>A 59767-2022</t>
        </is>
      </c>
      <c r="B984" s="1" t="n">
        <v>44900</v>
      </c>
      <c r="C984" s="1" t="n">
        <v>46203</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22756-2022</t>
        </is>
      </c>
      <c r="B985" s="1" t="n">
        <v>44714</v>
      </c>
      <c r="C985" s="1" t="n">
        <v>46203</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58311-2023</t>
        </is>
      </c>
      <c r="B986" s="1" t="n">
        <v>45245</v>
      </c>
      <c r="C986" s="1" t="n">
        <v>46203</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8739-2024</t>
        </is>
      </c>
      <c r="B987" s="1" t="n">
        <v>45356</v>
      </c>
      <c r="C987" s="1" t="n">
        <v>46203</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26640-2023</t>
        </is>
      </c>
      <c r="B988" s="1" t="n">
        <v>45092</v>
      </c>
      <c r="C988" s="1" t="n">
        <v>46203</v>
      </c>
      <c r="D988" t="inlineStr">
        <is>
          <t>STOCKHOLMS LÄN</t>
        </is>
      </c>
      <c r="E988" t="inlineStr">
        <is>
          <t>NORRTÄLJE</t>
        </is>
      </c>
      <c r="G988" t="n">
        <v>5.7</v>
      </c>
      <c r="H988" t="n">
        <v>0</v>
      </c>
      <c r="I988" t="n">
        <v>0</v>
      </c>
      <c r="J988" t="n">
        <v>0</v>
      </c>
      <c r="K988" t="n">
        <v>0</v>
      </c>
      <c r="L988" t="n">
        <v>0</v>
      </c>
      <c r="M988" t="n">
        <v>0</v>
      </c>
      <c r="N988" t="n">
        <v>0</v>
      </c>
      <c r="O988" t="n">
        <v>0</v>
      </c>
      <c r="P988" t="n">
        <v>0</v>
      </c>
      <c r="Q988" t="n">
        <v>0</v>
      </c>
      <c r="R988" s="2" t="inlineStr"/>
    </row>
    <row r="989" ht="15" customHeight="1">
      <c r="A989" t="inlineStr">
        <is>
          <t>A 38990-2022</t>
        </is>
      </c>
      <c r="B989" s="1" t="n">
        <v>44816</v>
      </c>
      <c r="C989" s="1" t="n">
        <v>46203</v>
      </c>
      <c r="D989" t="inlineStr">
        <is>
          <t>STOCKHOLMS LÄN</t>
        </is>
      </c>
      <c r="E989" t="inlineStr">
        <is>
          <t>NORRTÄLJE</t>
        </is>
      </c>
      <c r="G989" t="n">
        <v>5.7</v>
      </c>
      <c r="H989" t="n">
        <v>0</v>
      </c>
      <c r="I989" t="n">
        <v>0</v>
      </c>
      <c r="J989" t="n">
        <v>0</v>
      </c>
      <c r="K989" t="n">
        <v>0</v>
      </c>
      <c r="L989" t="n">
        <v>0</v>
      </c>
      <c r="M989" t="n">
        <v>0</v>
      </c>
      <c r="N989" t="n">
        <v>0</v>
      </c>
      <c r="O989" t="n">
        <v>0</v>
      </c>
      <c r="P989" t="n">
        <v>0</v>
      </c>
      <c r="Q989" t="n">
        <v>0</v>
      </c>
      <c r="R989" s="2" t="inlineStr"/>
    </row>
    <row r="990" ht="15" customHeight="1">
      <c r="A990" t="inlineStr">
        <is>
          <t>A 23265-2023</t>
        </is>
      </c>
      <c r="B990" s="1" t="n">
        <v>45075</v>
      </c>
      <c r="C990" s="1" t="n">
        <v>46203</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30268-2024</t>
        </is>
      </c>
      <c r="B991" s="1" t="n">
        <v>45490</v>
      </c>
      <c r="C991" s="1" t="n">
        <v>46203</v>
      </c>
      <c r="D991" t="inlineStr">
        <is>
          <t>STOCKHOLMS LÄN</t>
        </is>
      </c>
      <c r="E991" t="inlineStr">
        <is>
          <t>NORRTÄLJE</t>
        </is>
      </c>
      <c r="G991" t="n">
        <v>5.6</v>
      </c>
      <c r="H991" t="n">
        <v>0</v>
      </c>
      <c r="I991" t="n">
        <v>0</v>
      </c>
      <c r="J991" t="n">
        <v>0</v>
      </c>
      <c r="K991" t="n">
        <v>0</v>
      </c>
      <c r="L991" t="n">
        <v>0</v>
      </c>
      <c r="M991" t="n">
        <v>0</v>
      </c>
      <c r="N991" t="n">
        <v>0</v>
      </c>
      <c r="O991" t="n">
        <v>0</v>
      </c>
      <c r="P991" t="n">
        <v>0</v>
      </c>
      <c r="Q991" t="n">
        <v>0</v>
      </c>
      <c r="R991" s="2" t="inlineStr"/>
    </row>
    <row r="992" ht="15" customHeight="1">
      <c r="A992" t="inlineStr">
        <is>
          <t>A 9246-2024</t>
        </is>
      </c>
      <c r="B992" s="1" t="n">
        <v>45357</v>
      </c>
      <c r="C992" s="1" t="n">
        <v>46203</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c r="A993" t="inlineStr">
        <is>
          <t>A 50355-2024</t>
        </is>
      </c>
      <c r="B993" s="1" t="n">
        <v>45600</v>
      </c>
      <c r="C993" s="1" t="n">
        <v>46203</v>
      </c>
      <c r="D993" t="inlineStr">
        <is>
          <t>STOCKHOLMS LÄN</t>
        </is>
      </c>
      <c r="E993" t="inlineStr">
        <is>
          <t>NORRTÄLJE</t>
        </is>
      </c>
      <c r="F993" t="inlineStr">
        <is>
          <t>Kommuner</t>
        </is>
      </c>
      <c r="G993" t="n">
        <v>1</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2026-06-30T00:56:21Z</dcterms:created>
  <dcterms:modified xmlns:dcterms="http://purl.org/dc/terms/" xmlns:xsi="http://www.w3.org/2001/XMLSchema-instance" xsi:type="dcterms:W3CDTF">2026-06-30T00:56:22Z</dcterms:modified>
</cp:coreProperties>
</file>