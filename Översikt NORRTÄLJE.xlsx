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45629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45629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45629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45629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45629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45629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45629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45629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45629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45629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45629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45629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45629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45629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45629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45629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45629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45629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45629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45629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45629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45629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45629</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45629</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45629</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45629</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45629</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45629</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45629</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45629</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45629</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45629</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45629</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45629</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45629</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45629</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45629</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45629</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45629</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45629</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45629</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45629</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45629</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45629</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45629</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45629</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45629</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45629</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45629</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45629</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56742-2024</t>
        </is>
      </c>
      <c r="B53" s="1" t="n">
        <v>45628</v>
      </c>
      <c r="C53" s="1" t="n">
        <v>45629</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56742-2024 artfynd.xlsx", "A 56742-2024")</f>
        <v/>
      </c>
      <c r="T53">
        <f>HYPERLINK("https://klasma.github.io/Logging_0188/kartor/A 56742-2024 karta.png", "A 56742-2024")</f>
        <v/>
      </c>
      <c r="V53">
        <f>HYPERLINK("https://klasma.github.io/Logging_0188/klagomål/A 56742-2024 FSC-klagomål.docx", "A 56742-2024")</f>
        <v/>
      </c>
      <c r="W53">
        <f>HYPERLINK("https://klasma.github.io/Logging_0188/klagomålsmail/A 56742-2024 FSC-klagomål mail.docx", "A 56742-2024")</f>
        <v/>
      </c>
      <c r="X53">
        <f>HYPERLINK("https://klasma.github.io/Logging_0188/tillsyn/A 56742-2024 tillsynsbegäran.docx", "A 56742-2024")</f>
        <v/>
      </c>
      <c r="Y53">
        <f>HYPERLINK("https://klasma.github.io/Logging_0188/tillsynsmail/A 56742-2024 tillsynsbegäran mail.docx", "A 56742-2024")</f>
        <v/>
      </c>
    </row>
    <row r="54" ht="15" customHeight="1">
      <c r="A54" t="inlineStr">
        <is>
          <t>A 56743-2024</t>
        </is>
      </c>
      <c r="B54" s="1" t="n">
        <v>45628</v>
      </c>
      <c r="C54" s="1" t="n">
        <v>45629</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56743-2024 artfynd.xlsx", "A 56743-2024")</f>
        <v/>
      </c>
      <c r="T54">
        <f>HYPERLINK("https://klasma.github.io/Logging_0188/kartor/A 56743-2024 karta.png", "A 56743-2024")</f>
        <v/>
      </c>
      <c r="V54">
        <f>HYPERLINK("https://klasma.github.io/Logging_0188/klagomål/A 56743-2024 FSC-klagomål.docx", "A 56743-2024")</f>
        <v/>
      </c>
      <c r="W54">
        <f>HYPERLINK("https://klasma.github.io/Logging_0188/klagomålsmail/A 56743-2024 FSC-klagomål mail.docx", "A 56743-2024")</f>
        <v/>
      </c>
      <c r="X54">
        <f>HYPERLINK("https://klasma.github.io/Logging_0188/tillsyn/A 56743-2024 tillsynsbegäran.docx", "A 56743-2024")</f>
        <v/>
      </c>
      <c r="Y54">
        <f>HYPERLINK("https://klasma.github.io/Logging_0188/tillsynsmail/A 56743-2024 tillsynsbegäran mail.docx", "A 56743-2024")</f>
        <v/>
      </c>
    </row>
    <row r="55" ht="15" customHeight="1">
      <c r="A55" t="inlineStr">
        <is>
          <t>A 45469-2019</t>
        </is>
      </c>
      <c r="B55" s="1" t="n">
        <v>43714</v>
      </c>
      <c r="C55" s="1" t="n">
        <v>45629</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45629</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45629</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45629</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45629</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45629</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45629</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45629</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45629</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45629</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45629</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45629</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45629</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45629</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45629</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45629</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45629</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45629</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45629</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45629</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45629</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45629</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45629</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45629</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45629</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45629</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45629</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45629</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45629</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45629</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45629</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45629</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45629</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45629</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45629</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45629</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45629</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45629</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45629</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45629</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45629</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45629</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45629</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Gullviva</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38597-2022</t>
        </is>
      </c>
      <c r="B98" s="1" t="n">
        <v>44813</v>
      </c>
      <c r="C98" s="1" t="n">
        <v>45629</v>
      </c>
      <c r="D98" t="inlineStr">
        <is>
          <t>STOCKHOLMS LÄN</t>
        </is>
      </c>
      <c r="E98" t="inlineStr">
        <is>
          <t>NORRTÄLJE</t>
        </is>
      </c>
      <c r="G98" t="n">
        <v>13.2</v>
      </c>
      <c r="H98" t="n">
        <v>1</v>
      </c>
      <c r="I98" t="n">
        <v>1</v>
      </c>
      <c r="J98" t="n">
        <v>0</v>
      </c>
      <c r="K98" t="n">
        <v>0</v>
      </c>
      <c r="L98" t="n">
        <v>1</v>
      </c>
      <c r="M98" t="n">
        <v>0</v>
      </c>
      <c r="N98" t="n">
        <v>0</v>
      </c>
      <c r="O98" t="n">
        <v>1</v>
      </c>
      <c r="P98" t="n">
        <v>1</v>
      </c>
      <c r="Q98" t="n">
        <v>2</v>
      </c>
      <c r="R98" s="2" t="inlineStr">
        <is>
          <t>Asknätfjäril
Scharlakansvårskål agg.</t>
        </is>
      </c>
      <c r="S98">
        <f>HYPERLINK("https://klasma.github.io/Logging_0188/artfynd/A 38597-2022 artfynd.xlsx", "A 38597-2022")</f>
        <v/>
      </c>
      <c r="T98">
        <f>HYPERLINK("https://klasma.github.io/Logging_0188/kartor/A 38597-2022 karta.png", "A 38597-2022")</f>
        <v/>
      </c>
      <c r="V98">
        <f>HYPERLINK("https://klasma.github.io/Logging_0188/klagomål/A 38597-2022 FSC-klagomål.docx", "A 38597-2022")</f>
        <v/>
      </c>
      <c r="W98">
        <f>HYPERLINK("https://klasma.github.io/Logging_0188/klagomålsmail/A 38597-2022 FSC-klagomål mail.docx", "A 38597-2022")</f>
        <v/>
      </c>
      <c r="X98">
        <f>HYPERLINK("https://klasma.github.io/Logging_0188/tillsyn/A 38597-2022 tillsynsbegäran.docx", "A 38597-2022")</f>
        <v/>
      </c>
      <c r="Y98">
        <f>HYPERLINK("https://klasma.github.io/Logging_0188/tillsynsmail/A 38597-2022 tillsynsbegäran mail.docx", "A 38597-2022")</f>
        <v/>
      </c>
    </row>
    <row r="99" ht="15" customHeight="1">
      <c r="A99" t="inlineStr">
        <is>
          <t>A 52124-2022</t>
        </is>
      </c>
      <c r="B99" s="1" t="n">
        <v>44868</v>
      </c>
      <c r="C99" s="1" t="n">
        <v>45629</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45629</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45629</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45629</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45629</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45629</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45629</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45629</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45629</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45629</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11995-2024</t>
        </is>
      </c>
      <c r="B109" s="1" t="n">
        <v>45377</v>
      </c>
      <c r="C109" s="1" t="n">
        <v>45629</v>
      </c>
      <c r="D109" t="inlineStr">
        <is>
          <t>STOCKHOLMS LÄN</t>
        </is>
      </c>
      <c r="E109" t="inlineStr">
        <is>
          <t>NORRTÄLJE</t>
        </is>
      </c>
      <c r="G109" t="n">
        <v>4.7</v>
      </c>
      <c r="H109" t="n">
        <v>0</v>
      </c>
      <c r="I109" t="n">
        <v>1</v>
      </c>
      <c r="J109" t="n">
        <v>1</v>
      </c>
      <c r="K109" t="n">
        <v>0</v>
      </c>
      <c r="L109" t="n">
        <v>0</v>
      </c>
      <c r="M109" t="n">
        <v>0</v>
      </c>
      <c r="N109" t="n">
        <v>0</v>
      </c>
      <c r="O109" t="n">
        <v>1</v>
      </c>
      <c r="P109" t="n">
        <v>0</v>
      </c>
      <c r="Q109" t="n">
        <v>2</v>
      </c>
      <c r="R109" s="2" t="inlineStr">
        <is>
          <t>Tallticka
Svavelriska</t>
        </is>
      </c>
      <c r="S109">
        <f>HYPERLINK("https://klasma.github.io/Logging_0188/artfynd/A 11995-2024 artfynd.xlsx", "A 11995-2024")</f>
        <v/>
      </c>
      <c r="T109">
        <f>HYPERLINK("https://klasma.github.io/Logging_0188/kartor/A 11995-2024 karta.png", "A 11995-2024")</f>
        <v/>
      </c>
      <c r="V109">
        <f>HYPERLINK("https://klasma.github.io/Logging_0188/klagomål/A 11995-2024 FSC-klagomål.docx", "A 11995-2024")</f>
        <v/>
      </c>
      <c r="W109">
        <f>HYPERLINK("https://klasma.github.io/Logging_0188/klagomålsmail/A 11995-2024 FSC-klagomål mail.docx", "A 11995-2024")</f>
        <v/>
      </c>
      <c r="X109">
        <f>HYPERLINK("https://klasma.github.io/Logging_0188/tillsyn/A 11995-2024 tillsynsbegäran.docx", "A 11995-2024")</f>
        <v/>
      </c>
      <c r="Y109">
        <f>HYPERLINK("https://klasma.github.io/Logging_0188/tillsynsmail/A 11995-2024 tillsynsbegäran mail.docx", "A 11995-2024")</f>
        <v/>
      </c>
    </row>
    <row r="110" ht="15" customHeight="1">
      <c r="A110" t="inlineStr">
        <is>
          <t>A 13150-2024</t>
        </is>
      </c>
      <c r="B110" s="1" t="n">
        <v>45386</v>
      </c>
      <c r="C110" s="1" t="n">
        <v>45629</v>
      </c>
      <c r="D110" t="inlineStr">
        <is>
          <t>STOCKHOLMS LÄN</t>
        </is>
      </c>
      <c r="E110" t="inlineStr">
        <is>
          <t>NORRTÄLJE</t>
        </is>
      </c>
      <c r="G110" t="n">
        <v>7.4</v>
      </c>
      <c r="H110" t="n">
        <v>0</v>
      </c>
      <c r="I110" t="n">
        <v>1</v>
      </c>
      <c r="J110" t="n">
        <v>1</v>
      </c>
      <c r="K110" t="n">
        <v>0</v>
      </c>
      <c r="L110" t="n">
        <v>0</v>
      </c>
      <c r="M110" t="n">
        <v>0</v>
      </c>
      <c r="N110" t="n">
        <v>0</v>
      </c>
      <c r="O110" t="n">
        <v>1</v>
      </c>
      <c r="P110" t="n">
        <v>0</v>
      </c>
      <c r="Q110" t="n">
        <v>2</v>
      </c>
      <c r="R110" s="2" t="inlineStr">
        <is>
          <t>Orange taggsvamp
Mönjevaxskivling</t>
        </is>
      </c>
      <c r="S110">
        <f>HYPERLINK("https://klasma.github.io/Logging_0188/artfynd/A 13150-2024 artfynd.xlsx", "A 13150-2024")</f>
        <v/>
      </c>
      <c r="T110">
        <f>HYPERLINK("https://klasma.github.io/Logging_0188/kartor/A 13150-2024 karta.png", "A 13150-2024")</f>
        <v/>
      </c>
      <c r="V110">
        <f>HYPERLINK("https://klasma.github.io/Logging_0188/klagomål/A 13150-2024 FSC-klagomål.docx", "A 13150-2024")</f>
        <v/>
      </c>
      <c r="W110">
        <f>HYPERLINK("https://klasma.github.io/Logging_0188/klagomålsmail/A 13150-2024 FSC-klagomål mail.docx", "A 13150-2024")</f>
        <v/>
      </c>
      <c r="X110">
        <f>HYPERLINK("https://klasma.github.io/Logging_0188/tillsyn/A 13150-2024 tillsynsbegäran.docx", "A 13150-2024")</f>
        <v/>
      </c>
      <c r="Y110">
        <f>HYPERLINK("https://klasma.github.io/Logging_0188/tillsynsmail/A 13150-2024 tillsynsbegäran mail.docx", "A 13150-2024")</f>
        <v/>
      </c>
    </row>
    <row r="111" ht="15" customHeight="1">
      <c r="A111" t="inlineStr">
        <is>
          <t>A 24025-2024</t>
        </is>
      </c>
      <c r="B111" s="1" t="n">
        <v>45456</v>
      </c>
      <c r="C111" s="1" t="n">
        <v>45629</v>
      </c>
      <c r="D111" t="inlineStr">
        <is>
          <t>STOCKHOLMS LÄN</t>
        </is>
      </c>
      <c r="E111" t="inlineStr">
        <is>
          <t>NORRTÄLJE</t>
        </is>
      </c>
      <c r="G111" t="n">
        <v>6</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HYPERLINK("https://klasma.github.io/Logging_0188/artfynd/A 24025-2024 artfynd.xlsx", "A 24025-2024")</f>
        <v/>
      </c>
      <c r="T111">
        <f>HYPERLINK("https://klasma.github.io/Logging_0188/kartor/A 24025-2024 karta.png", "A 24025-2024")</f>
        <v/>
      </c>
      <c r="V111">
        <f>HYPERLINK("https://klasma.github.io/Logging_0188/klagomål/A 24025-2024 FSC-klagomål.docx", "A 24025-2024")</f>
        <v/>
      </c>
      <c r="W111">
        <f>HYPERLINK("https://klasma.github.io/Logging_0188/klagomålsmail/A 24025-2024 FSC-klagomål mail.docx", "A 24025-2024")</f>
        <v/>
      </c>
      <c r="X111">
        <f>HYPERLINK("https://klasma.github.io/Logging_0188/tillsyn/A 24025-2024 tillsynsbegäran.docx", "A 24025-2024")</f>
        <v/>
      </c>
      <c r="Y111">
        <f>HYPERLINK("https://klasma.github.io/Logging_0188/tillsynsmail/A 24025-2024 tillsynsbegäran mail.docx", "A 24025-2024")</f>
        <v/>
      </c>
    </row>
    <row r="112" ht="15" customHeight="1">
      <c r="A112" t="inlineStr">
        <is>
          <t>A 50326-2024</t>
        </is>
      </c>
      <c r="B112" s="1" t="n">
        <v>45600</v>
      </c>
      <c r="C112" s="1" t="n">
        <v>45629</v>
      </c>
      <c r="D112" t="inlineStr">
        <is>
          <t>STOCKHOLMS LÄN</t>
        </is>
      </c>
      <c r="E112" t="inlineStr">
        <is>
          <t>NORRTÄLJE</t>
        </is>
      </c>
      <c r="G112" t="n">
        <v>23.9</v>
      </c>
      <c r="H112" t="n">
        <v>1</v>
      </c>
      <c r="I112" t="n">
        <v>1</v>
      </c>
      <c r="J112" t="n">
        <v>1</v>
      </c>
      <c r="K112" t="n">
        <v>0</v>
      </c>
      <c r="L112" t="n">
        <v>0</v>
      </c>
      <c r="M112" t="n">
        <v>0</v>
      </c>
      <c r="N112" t="n">
        <v>0</v>
      </c>
      <c r="O112" t="n">
        <v>1</v>
      </c>
      <c r="P112" t="n">
        <v>0</v>
      </c>
      <c r="Q112" t="n">
        <v>2</v>
      </c>
      <c r="R112" s="2" t="inlineStr">
        <is>
          <t>Sommarfibbla
Nästrot</t>
        </is>
      </c>
      <c r="S112">
        <f>HYPERLINK("https://klasma.github.io/Logging_0188/artfynd/A 50326-2024 artfynd.xlsx", "A 50326-2024")</f>
        <v/>
      </c>
      <c r="T112">
        <f>HYPERLINK("https://klasma.github.io/Logging_0188/kartor/A 50326-2024 karta.png", "A 50326-2024")</f>
        <v/>
      </c>
      <c r="V112">
        <f>HYPERLINK("https://klasma.github.io/Logging_0188/klagomål/A 50326-2024 FSC-klagomål.docx", "A 50326-2024")</f>
        <v/>
      </c>
      <c r="W112">
        <f>HYPERLINK("https://klasma.github.io/Logging_0188/klagomålsmail/A 50326-2024 FSC-klagomål mail.docx", "A 50326-2024")</f>
        <v/>
      </c>
      <c r="X112">
        <f>HYPERLINK("https://klasma.github.io/Logging_0188/tillsyn/A 50326-2024 tillsynsbegäran.docx", "A 50326-2024")</f>
        <v/>
      </c>
      <c r="Y112">
        <f>HYPERLINK("https://klasma.github.io/Logging_0188/tillsynsmail/A 50326-2024 tillsynsbegäran mail.docx", "A 50326-2024")</f>
        <v/>
      </c>
    </row>
    <row r="113" ht="15" customHeight="1">
      <c r="A113" t="inlineStr">
        <is>
          <t>A 20740-2019</t>
        </is>
      </c>
      <c r="B113" s="1" t="n">
        <v>43573</v>
      </c>
      <c r="C113" s="1" t="n">
        <v>45629</v>
      </c>
      <c r="D113" t="inlineStr">
        <is>
          <t>STOCKHOLMS LÄN</t>
        </is>
      </c>
      <c r="E113" t="inlineStr">
        <is>
          <t>NORRTÄLJE</t>
        </is>
      </c>
      <c r="G113" t="n">
        <v>1.6</v>
      </c>
      <c r="H113" t="n">
        <v>0</v>
      </c>
      <c r="I113" t="n">
        <v>0</v>
      </c>
      <c r="J113" t="n">
        <v>1</v>
      </c>
      <c r="K113" t="n">
        <v>0</v>
      </c>
      <c r="L113" t="n">
        <v>0</v>
      </c>
      <c r="M113" t="n">
        <v>0</v>
      </c>
      <c r="N113" t="n">
        <v>0</v>
      </c>
      <c r="O113" t="n">
        <v>1</v>
      </c>
      <c r="P113" t="n">
        <v>0</v>
      </c>
      <c r="Q113" t="n">
        <v>1</v>
      </c>
      <c r="R113" s="2" t="inlineStr">
        <is>
          <t>Slåtterfibbla</t>
        </is>
      </c>
      <c r="S113">
        <f>HYPERLINK("https://klasma.github.io/Logging_0188/artfynd/A 20740-2019 artfynd.xlsx", "A 20740-2019")</f>
        <v/>
      </c>
      <c r="T113">
        <f>HYPERLINK("https://klasma.github.io/Logging_0188/kartor/A 20740-2019 karta.png", "A 20740-2019")</f>
        <v/>
      </c>
      <c r="V113">
        <f>HYPERLINK("https://klasma.github.io/Logging_0188/klagomål/A 20740-2019 FSC-klagomål.docx", "A 20740-2019")</f>
        <v/>
      </c>
      <c r="W113">
        <f>HYPERLINK("https://klasma.github.io/Logging_0188/klagomålsmail/A 20740-2019 FSC-klagomål mail.docx", "A 20740-2019")</f>
        <v/>
      </c>
      <c r="X113">
        <f>HYPERLINK("https://klasma.github.io/Logging_0188/tillsyn/A 20740-2019 tillsynsbegäran.docx", "A 20740-2019")</f>
        <v/>
      </c>
      <c r="Y113">
        <f>HYPERLINK("https://klasma.github.io/Logging_0188/tillsynsmail/A 20740-2019 tillsynsbegäran mail.docx", "A 20740-2019")</f>
        <v/>
      </c>
    </row>
    <row r="114" ht="15" customHeight="1">
      <c r="A114" t="inlineStr">
        <is>
          <t>A 26275-2019</t>
        </is>
      </c>
      <c r="B114" s="1" t="n">
        <v>43611</v>
      </c>
      <c r="C114" s="1" t="n">
        <v>45629</v>
      </c>
      <c r="D114" t="inlineStr">
        <is>
          <t>STOCKHOLMS LÄN</t>
        </is>
      </c>
      <c r="E114" t="inlineStr">
        <is>
          <t>NORRTÄLJE</t>
        </is>
      </c>
      <c r="G114" t="n">
        <v>0.5</v>
      </c>
      <c r="H114" t="n">
        <v>0</v>
      </c>
      <c r="I114" t="n">
        <v>1</v>
      </c>
      <c r="J114" t="n">
        <v>0</v>
      </c>
      <c r="K114" t="n">
        <v>0</v>
      </c>
      <c r="L114" t="n">
        <v>0</v>
      </c>
      <c r="M114" t="n">
        <v>0</v>
      </c>
      <c r="N114" t="n">
        <v>0</v>
      </c>
      <c r="O114" t="n">
        <v>0</v>
      </c>
      <c r="P114" t="n">
        <v>0</v>
      </c>
      <c r="Q114" t="n">
        <v>1</v>
      </c>
      <c r="R114" s="2" t="inlineStr">
        <is>
          <t>Blåmossa</t>
        </is>
      </c>
      <c r="S114">
        <f>HYPERLINK("https://klasma.github.io/Logging_0188/artfynd/A 26275-2019 artfynd.xlsx", "A 26275-2019")</f>
        <v/>
      </c>
      <c r="T114">
        <f>HYPERLINK("https://klasma.github.io/Logging_0188/kartor/A 26275-2019 karta.png", "A 26275-2019")</f>
        <v/>
      </c>
      <c r="V114">
        <f>HYPERLINK("https://klasma.github.io/Logging_0188/klagomål/A 26275-2019 FSC-klagomål.docx", "A 26275-2019")</f>
        <v/>
      </c>
      <c r="W114">
        <f>HYPERLINK("https://klasma.github.io/Logging_0188/klagomålsmail/A 26275-2019 FSC-klagomål mail.docx", "A 26275-2019")</f>
        <v/>
      </c>
      <c r="X114">
        <f>HYPERLINK("https://klasma.github.io/Logging_0188/tillsyn/A 26275-2019 tillsynsbegäran.docx", "A 26275-2019")</f>
        <v/>
      </c>
      <c r="Y114">
        <f>HYPERLINK("https://klasma.github.io/Logging_0188/tillsynsmail/A 26275-2019 tillsynsbegäran mail.docx", "A 26275-2019")</f>
        <v/>
      </c>
    </row>
    <row r="115" ht="15" customHeight="1">
      <c r="A115" t="inlineStr">
        <is>
          <t>A 30011-2019</t>
        </is>
      </c>
      <c r="B115" s="1" t="n">
        <v>43633</v>
      </c>
      <c r="C115" s="1" t="n">
        <v>45629</v>
      </c>
      <c r="D115" t="inlineStr">
        <is>
          <t>STOCKHOLMS LÄN</t>
        </is>
      </c>
      <c r="E115" t="inlineStr">
        <is>
          <t>NORRTÄLJE</t>
        </is>
      </c>
      <c r="G115" t="n">
        <v>2.6</v>
      </c>
      <c r="H115" t="n">
        <v>0</v>
      </c>
      <c r="I115" t="n">
        <v>1</v>
      </c>
      <c r="J115" t="n">
        <v>0</v>
      </c>
      <c r="K115" t="n">
        <v>0</v>
      </c>
      <c r="L115" t="n">
        <v>0</v>
      </c>
      <c r="M115" t="n">
        <v>0</v>
      </c>
      <c r="N115" t="n">
        <v>0</v>
      </c>
      <c r="O115" t="n">
        <v>0</v>
      </c>
      <c r="P115" t="n">
        <v>0</v>
      </c>
      <c r="Q115" t="n">
        <v>1</v>
      </c>
      <c r="R115" s="2" t="inlineStr">
        <is>
          <t>Tibast</t>
        </is>
      </c>
      <c r="S115">
        <f>HYPERLINK("https://klasma.github.io/Logging_0188/artfynd/A 30011-2019 artfynd.xlsx", "A 30011-2019")</f>
        <v/>
      </c>
      <c r="T115">
        <f>HYPERLINK("https://klasma.github.io/Logging_0188/kartor/A 30011-2019 karta.png", "A 30011-2019")</f>
        <v/>
      </c>
      <c r="V115">
        <f>HYPERLINK("https://klasma.github.io/Logging_0188/klagomål/A 30011-2019 FSC-klagomål.docx", "A 30011-2019")</f>
        <v/>
      </c>
      <c r="W115">
        <f>HYPERLINK("https://klasma.github.io/Logging_0188/klagomålsmail/A 30011-2019 FSC-klagomål mail.docx", "A 30011-2019")</f>
        <v/>
      </c>
      <c r="X115">
        <f>HYPERLINK("https://klasma.github.io/Logging_0188/tillsyn/A 30011-2019 tillsynsbegäran.docx", "A 30011-2019")</f>
        <v/>
      </c>
      <c r="Y115">
        <f>HYPERLINK("https://klasma.github.io/Logging_0188/tillsynsmail/A 30011-2019 tillsynsbegäran mail.docx", "A 30011-2019")</f>
        <v/>
      </c>
    </row>
    <row r="116" ht="15" customHeight="1">
      <c r="A116" t="inlineStr">
        <is>
          <t>A 38137-2019</t>
        </is>
      </c>
      <c r="B116" s="1" t="n">
        <v>43684</v>
      </c>
      <c r="C116" s="1" t="n">
        <v>45629</v>
      </c>
      <c r="D116" t="inlineStr">
        <is>
          <t>STOCKHOLMS LÄN</t>
        </is>
      </c>
      <c r="E116" t="inlineStr">
        <is>
          <t>NORRTÄLJE</t>
        </is>
      </c>
      <c r="G116" t="n">
        <v>12.9</v>
      </c>
      <c r="H116" t="n">
        <v>0</v>
      </c>
      <c r="I116" t="n">
        <v>0</v>
      </c>
      <c r="J116" t="n">
        <v>1</v>
      </c>
      <c r="K116" t="n">
        <v>0</v>
      </c>
      <c r="L116" t="n">
        <v>0</v>
      </c>
      <c r="M116" t="n">
        <v>0</v>
      </c>
      <c r="N116" t="n">
        <v>0</v>
      </c>
      <c r="O116" t="n">
        <v>1</v>
      </c>
      <c r="P116" t="n">
        <v>0</v>
      </c>
      <c r="Q116" t="n">
        <v>1</v>
      </c>
      <c r="R116" s="2" t="inlineStr">
        <is>
          <t>Rutskinn</t>
        </is>
      </c>
      <c r="S116">
        <f>HYPERLINK("https://klasma.github.io/Logging_0188/artfynd/A 38137-2019 artfynd.xlsx", "A 38137-2019")</f>
        <v/>
      </c>
      <c r="T116">
        <f>HYPERLINK("https://klasma.github.io/Logging_0188/kartor/A 38137-2019 karta.png", "A 38137-2019")</f>
        <v/>
      </c>
      <c r="V116">
        <f>HYPERLINK("https://klasma.github.io/Logging_0188/klagomål/A 38137-2019 FSC-klagomål.docx", "A 38137-2019")</f>
        <v/>
      </c>
      <c r="W116">
        <f>HYPERLINK("https://klasma.github.io/Logging_0188/klagomålsmail/A 38137-2019 FSC-klagomål mail.docx", "A 38137-2019")</f>
        <v/>
      </c>
      <c r="X116">
        <f>HYPERLINK("https://klasma.github.io/Logging_0188/tillsyn/A 38137-2019 tillsynsbegäran.docx", "A 38137-2019")</f>
        <v/>
      </c>
      <c r="Y116">
        <f>HYPERLINK("https://klasma.github.io/Logging_0188/tillsynsmail/A 38137-2019 tillsynsbegäran mail.docx", "A 38137-2019")</f>
        <v/>
      </c>
    </row>
    <row r="117" ht="15" customHeight="1">
      <c r="A117" t="inlineStr">
        <is>
          <t>A 62848-2019</t>
        </is>
      </c>
      <c r="B117" s="1" t="n">
        <v>43790</v>
      </c>
      <c r="C117" s="1" t="n">
        <v>45629</v>
      </c>
      <c r="D117" t="inlineStr">
        <is>
          <t>STOCKHOLMS LÄN</t>
        </is>
      </c>
      <c r="E117" t="inlineStr">
        <is>
          <t>NORRTÄLJE</t>
        </is>
      </c>
      <c r="F117" t="inlineStr">
        <is>
          <t>Holmen skog AB</t>
        </is>
      </c>
      <c r="G117" t="n">
        <v>6.6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62848-2019 artfynd.xlsx", "A 62848-2019")</f>
        <v/>
      </c>
      <c r="T117">
        <f>HYPERLINK("https://klasma.github.io/Logging_0188/kartor/A 62848-2019 karta.png", "A 62848-2019")</f>
        <v/>
      </c>
      <c r="V117">
        <f>HYPERLINK("https://klasma.github.io/Logging_0188/klagomål/A 62848-2019 FSC-klagomål.docx", "A 62848-2019")</f>
        <v/>
      </c>
      <c r="W117">
        <f>HYPERLINK("https://klasma.github.io/Logging_0188/klagomålsmail/A 62848-2019 FSC-klagomål mail.docx", "A 62848-2019")</f>
        <v/>
      </c>
      <c r="X117">
        <f>HYPERLINK("https://klasma.github.io/Logging_0188/tillsyn/A 62848-2019 tillsynsbegäran.docx", "A 62848-2019")</f>
        <v/>
      </c>
      <c r="Y117">
        <f>HYPERLINK("https://klasma.github.io/Logging_0188/tillsynsmail/A 62848-2019 tillsynsbegäran mail.docx", "A 62848-2019")</f>
        <v/>
      </c>
    </row>
    <row r="118" ht="15" customHeight="1">
      <c r="A118" t="inlineStr">
        <is>
          <t>A 64849-2019</t>
        </is>
      </c>
      <c r="B118" s="1" t="n">
        <v>43801</v>
      </c>
      <c r="C118" s="1" t="n">
        <v>45629</v>
      </c>
      <c r="D118" t="inlineStr">
        <is>
          <t>STOCKHOLMS LÄN</t>
        </is>
      </c>
      <c r="E118" t="inlineStr">
        <is>
          <t>NORRTÄLJE</t>
        </is>
      </c>
      <c r="G118" t="n">
        <v>1.6</v>
      </c>
      <c r="H118" t="n">
        <v>0</v>
      </c>
      <c r="I118" t="n">
        <v>0</v>
      </c>
      <c r="J118" t="n">
        <v>1</v>
      </c>
      <c r="K118" t="n">
        <v>0</v>
      </c>
      <c r="L118" t="n">
        <v>0</v>
      </c>
      <c r="M118" t="n">
        <v>0</v>
      </c>
      <c r="N118" t="n">
        <v>0</v>
      </c>
      <c r="O118" t="n">
        <v>1</v>
      </c>
      <c r="P118" t="n">
        <v>0</v>
      </c>
      <c r="Q118" t="n">
        <v>1</v>
      </c>
      <c r="R118" s="2" t="inlineStr">
        <is>
          <t>Skogsklocka</t>
        </is>
      </c>
      <c r="S118">
        <f>HYPERLINK("https://klasma.github.io/Logging_0188/artfynd/A 64849-2019 artfynd.xlsx", "A 64849-2019")</f>
        <v/>
      </c>
      <c r="T118">
        <f>HYPERLINK("https://klasma.github.io/Logging_0188/kartor/A 64849-2019 karta.png", "A 64849-2019")</f>
        <v/>
      </c>
      <c r="V118">
        <f>HYPERLINK("https://klasma.github.io/Logging_0188/klagomål/A 64849-2019 FSC-klagomål.docx", "A 64849-2019")</f>
        <v/>
      </c>
      <c r="W118">
        <f>HYPERLINK("https://klasma.github.io/Logging_0188/klagomålsmail/A 64849-2019 FSC-klagomål mail.docx", "A 64849-2019")</f>
        <v/>
      </c>
      <c r="X118">
        <f>HYPERLINK("https://klasma.github.io/Logging_0188/tillsyn/A 64849-2019 tillsynsbegäran.docx", "A 64849-2019")</f>
        <v/>
      </c>
      <c r="Y118">
        <f>HYPERLINK("https://klasma.github.io/Logging_0188/tillsynsmail/A 64849-2019 tillsynsbegäran mail.docx", "A 64849-2019")</f>
        <v/>
      </c>
    </row>
    <row r="119" ht="15" customHeight="1">
      <c r="A119" t="inlineStr">
        <is>
          <t>A 2808-2020</t>
        </is>
      </c>
      <c r="B119" s="1" t="n">
        <v>43850</v>
      </c>
      <c r="C119" s="1" t="n">
        <v>45629</v>
      </c>
      <c r="D119" t="inlineStr">
        <is>
          <t>STOCKHOLMS LÄN</t>
        </is>
      </c>
      <c r="E119" t="inlineStr">
        <is>
          <t>NORRTÄLJE</t>
        </is>
      </c>
      <c r="G119" t="n">
        <v>1</v>
      </c>
      <c r="H119" t="n">
        <v>1</v>
      </c>
      <c r="I119" t="n">
        <v>0</v>
      </c>
      <c r="J119" t="n">
        <v>0</v>
      </c>
      <c r="K119" t="n">
        <v>1</v>
      </c>
      <c r="L119" t="n">
        <v>0</v>
      </c>
      <c r="M119" t="n">
        <v>0</v>
      </c>
      <c r="N119" t="n">
        <v>0</v>
      </c>
      <c r="O119" t="n">
        <v>1</v>
      </c>
      <c r="P119" t="n">
        <v>1</v>
      </c>
      <c r="Q119" t="n">
        <v>1</v>
      </c>
      <c r="R119" s="2" t="inlineStr">
        <is>
          <t>Knärot</t>
        </is>
      </c>
      <c r="S119">
        <f>HYPERLINK("https://klasma.github.io/Logging_0188/artfynd/A 2808-2020 artfynd.xlsx", "A 2808-2020")</f>
        <v/>
      </c>
      <c r="T119">
        <f>HYPERLINK("https://klasma.github.io/Logging_0188/kartor/A 2808-2020 karta.png", "A 2808-2020")</f>
        <v/>
      </c>
      <c r="U119">
        <f>HYPERLINK("https://klasma.github.io/Logging_0188/knärot/A 2808-2020 karta knärot.png", "A 2808-2020")</f>
        <v/>
      </c>
      <c r="V119">
        <f>HYPERLINK("https://klasma.github.io/Logging_0188/klagomål/A 2808-2020 FSC-klagomål.docx", "A 2808-2020")</f>
        <v/>
      </c>
      <c r="W119">
        <f>HYPERLINK("https://klasma.github.io/Logging_0188/klagomålsmail/A 2808-2020 FSC-klagomål mail.docx", "A 2808-2020")</f>
        <v/>
      </c>
      <c r="X119">
        <f>HYPERLINK("https://klasma.github.io/Logging_0188/tillsyn/A 2808-2020 tillsynsbegäran.docx", "A 2808-2020")</f>
        <v/>
      </c>
      <c r="Y119">
        <f>HYPERLINK("https://klasma.github.io/Logging_0188/tillsynsmail/A 2808-2020 tillsynsbegäran mail.docx", "A 2808-2020")</f>
        <v/>
      </c>
    </row>
    <row r="120" ht="15" customHeight="1">
      <c r="A120" t="inlineStr">
        <is>
          <t>A 2796-2020</t>
        </is>
      </c>
      <c r="B120" s="1" t="n">
        <v>43850</v>
      </c>
      <c r="C120" s="1" t="n">
        <v>45629</v>
      </c>
      <c r="D120" t="inlineStr">
        <is>
          <t>STOCKHOLMS LÄN</t>
        </is>
      </c>
      <c r="E120" t="inlineStr">
        <is>
          <t>NORRTÄLJE</t>
        </is>
      </c>
      <c r="G120" t="n">
        <v>5.6</v>
      </c>
      <c r="H120" t="n">
        <v>1</v>
      </c>
      <c r="I120" t="n">
        <v>1</v>
      </c>
      <c r="J120" t="n">
        <v>0</v>
      </c>
      <c r="K120" t="n">
        <v>0</v>
      </c>
      <c r="L120" t="n">
        <v>0</v>
      </c>
      <c r="M120" t="n">
        <v>0</v>
      </c>
      <c r="N120" t="n">
        <v>0</v>
      </c>
      <c r="O120" t="n">
        <v>0</v>
      </c>
      <c r="P120" t="n">
        <v>0</v>
      </c>
      <c r="Q120" t="n">
        <v>1</v>
      </c>
      <c r="R120" s="2" t="inlineStr">
        <is>
          <t>Spindelblomster</t>
        </is>
      </c>
      <c r="S120">
        <f>HYPERLINK("https://klasma.github.io/Logging_0188/artfynd/A 2796-2020 artfynd.xlsx", "A 2796-2020")</f>
        <v/>
      </c>
      <c r="T120">
        <f>HYPERLINK("https://klasma.github.io/Logging_0188/kartor/A 2796-2020 karta.png", "A 2796-2020")</f>
        <v/>
      </c>
      <c r="V120">
        <f>HYPERLINK("https://klasma.github.io/Logging_0188/klagomål/A 2796-2020 FSC-klagomål.docx", "A 2796-2020")</f>
        <v/>
      </c>
      <c r="W120">
        <f>HYPERLINK("https://klasma.github.io/Logging_0188/klagomålsmail/A 2796-2020 FSC-klagomål mail.docx", "A 2796-2020")</f>
        <v/>
      </c>
      <c r="X120">
        <f>HYPERLINK("https://klasma.github.io/Logging_0188/tillsyn/A 2796-2020 tillsynsbegäran.docx", "A 2796-2020")</f>
        <v/>
      </c>
      <c r="Y120">
        <f>HYPERLINK("https://klasma.github.io/Logging_0188/tillsynsmail/A 2796-2020 tillsynsbegäran mail.docx", "A 2796-2020")</f>
        <v/>
      </c>
    </row>
    <row r="121" ht="15" customHeight="1">
      <c r="A121" t="inlineStr">
        <is>
          <t>A 9051-2020</t>
        </is>
      </c>
      <c r="B121" s="1" t="n">
        <v>43879</v>
      </c>
      <c r="C121" s="1" t="n">
        <v>45629</v>
      </c>
      <c r="D121" t="inlineStr">
        <is>
          <t>STOCKHOLMS LÄN</t>
        </is>
      </c>
      <c r="E121" t="inlineStr">
        <is>
          <t>NORRTÄLJE</t>
        </is>
      </c>
      <c r="G121" t="n">
        <v>12.5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9051-2020 artfynd.xlsx", "A 9051-2020")</f>
        <v/>
      </c>
      <c r="T121">
        <f>HYPERLINK("https://klasma.github.io/Logging_0188/kartor/A 9051-2020 karta.png", "A 9051-2020")</f>
        <v/>
      </c>
      <c r="V121">
        <f>HYPERLINK("https://klasma.github.io/Logging_0188/klagomål/A 9051-2020 FSC-klagomål.docx", "A 9051-2020")</f>
        <v/>
      </c>
      <c r="W121">
        <f>HYPERLINK("https://klasma.github.io/Logging_0188/klagomålsmail/A 9051-2020 FSC-klagomål mail.docx", "A 9051-2020")</f>
        <v/>
      </c>
      <c r="X121">
        <f>HYPERLINK("https://klasma.github.io/Logging_0188/tillsyn/A 9051-2020 tillsynsbegäran.docx", "A 9051-2020")</f>
        <v/>
      </c>
      <c r="Y121">
        <f>HYPERLINK("https://klasma.github.io/Logging_0188/tillsynsmail/A 9051-2020 tillsynsbegäran mail.docx", "A 9051-2020")</f>
        <v/>
      </c>
    </row>
    <row r="122" ht="15" customHeight="1">
      <c r="A122" t="inlineStr">
        <is>
          <t>A 12843-2020</t>
        </is>
      </c>
      <c r="B122" s="1" t="n">
        <v>43899</v>
      </c>
      <c r="C122" s="1" t="n">
        <v>45629</v>
      </c>
      <c r="D122" t="inlineStr">
        <is>
          <t>STOCKHOLMS LÄN</t>
        </is>
      </c>
      <c r="E122" t="inlineStr">
        <is>
          <t>NORRTÄLJE</t>
        </is>
      </c>
      <c r="G122" t="n">
        <v>7.5</v>
      </c>
      <c r="H122" t="n">
        <v>1</v>
      </c>
      <c r="I122" t="n">
        <v>0</v>
      </c>
      <c r="J122" t="n">
        <v>1</v>
      </c>
      <c r="K122" t="n">
        <v>0</v>
      </c>
      <c r="L122" t="n">
        <v>0</v>
      </c>
      <c r="M122" t="n">
        <v>0</v>
      </c>
      <c r="N122" t="n">
        <v>0</v>
      </c>
      <c r="O122" t="n">
        <v>1</v>
      </c>
      <c r="P122" t="n">
        <v>0</v>
      </c>
      <c r="Q122" t="n">
        <v>1</v>
      </c>
      <c r="R122" s="2" t="inlineStr">
        <is>
          <t>Talltita</t>
        </is>
      </c>
      <c r="S122">
        <f>HYPERLINK("https://klasma.github.io/Logging_0188/artfynd/A 12843-2020 artfynd.xlsx", "A 12843-2020")</f>
        <v/>
      </c>
      <c r="T122">
        <f>HYPERLINK("https://klasma.github.io/Logging_0188/kartor/A 12843-2020 karta.png", "A 12843-2020")</f>
        <v/>
      </c>
      <c r="V122">
        <f>HYPERLINK("https://klasma.github.io/Logging_0188/klagomål/A 12843-2020 FSC-klagomål.docx", "A 12843-2020")</f>
        <v/>
      </c>
      <c r="W122">
        <f>HYPERLINK("https://klasma.github.io/Logging_0188/klagomålsmail/A 12843-2020 FSC-klagomål mail.docx", "A 12843-2020")</f>
        <v/>
      </c>
      <c r="X122">
        <f>HYPERLINK("https://klasma.github.io/Logging_0188/tillsyn/A 12843-2020 tillsynsbegäran.docx", "A 12843-2020")</f>
        <v/>
      </c>
      <c r="Y122">
        <f>HYPERLINK("https://klasma.github.io/Logging_0188/tillsynsmail/A 12843-2020 tillsynsbegäran mail.docx", "A 12843-2020")</f>
        <v/>
      </c>
      <c r="Z122">
        <f>HYPERLINK("https://klasma.github.io/Logging_0188/fåglar/A 12843-2020 prioriterade fågelarter.docx", "A 12843-2020")</f>
        <v/>
      </c>
    </row>
    <row r="123" ht="15" customHeight="1">
      <c r="A123" t="inlineStr">
        <is>
          <t>A 28380-2020</t>
        </is>
      </c>
      <c r="B123" s="1" t="n">
        <v>43998</v>
      </c>
      <c r="C123" s="1" t="n">
        <v>45629</v>
      </c>
      <c r="D123" t="inlineStr">
        <is>
          <t>STOCKHOLMS LÄN</t>
        </is>
      </c>
      <c r="E123" t="inlineStr">
        <is>
          <t>NORRTÄLJE</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28380-2020 artfynd.xlsx", "A 28380-2020")</f>
        <v/>
      </c>
      <c r="T123">
        <f>HYPERLINK("https://klasma.github.io/Logging_0188/kartor/A 28380-2020 karta.png", "A 28380-2020")</f>
        <v/>
      </c>
      <c r="V123">
        <f>HYPERLINK("https://klasma.github.io/Logging_0188/klagomål/A 28380-2020 FSC-klagomål.docx", "A 28380-2020")</f>
        <v/>
      </c>
      <c r="W123">
        <f>HYPERLINK("https://klasma.github.io/Logging_0188/klagomålsmail/A 28380-2020 FSC-klagomål mail.docx", "A 28380-2020")</f>
        <v/>
      </c>
      <c r="X123">
        <f>HYPERLINK("https://klasma.github.io/Logging_0188/tillsyn/A 28380-2020 tillsynsbegäran.docx", "A 28380-2020")</f>
        <v/>
      </c>
      <c r="Y123">
        <f>HYPERLINK("https://klasma.github.io/Logging_0188/tillsynsmail/A 28380-2020 tillsynsbegäran mail.docx", "A 28380-2020")</f>
        <v/>
      </c>
    </row>
    <row r="124" ht="15" customHeight="1">
      <c r="A124" t="inlineStr">
        <is>
          <t>A 48288-2020</t>
        </is>
      </c>
      <c r="B124" s="1" t="n">
        <v>44102</v>
      </c>
      <c r="C124" s="1" t="n">
        <v>45629</v>
      </c>
      <c r="D124" t="inlineStr">
        <is>
          <t>STOCKHOLMS LÄN</t>
        </is>
      </c>
      <c r="E124" t="inlineStr">
        <is>
          <t>NORRTÄLJE</t>
        </is>
      </c>
      <c r="F124" t="inlineStr">
        <is>
          <t>Holmen skog AB</t>
        </is>
      </c>
      <c r="G124" t="n">
        <v>2.9</v>
      </c>
      <c r="H124" t="n">
        <v>1</v>
      </c>
      <c r="I124" t="n">
        <v>0</v>
      </c>
      <c r="J124" t="n">
        <v>0</v>
      </c>
      <c r="K124" t="n">
        <v>0</v>
      </c>
      <c r="L124" t="n">
        <v>1</v>
      </c>
      <c r="M124" t="n">
        <v>0</v>
      </c>
      <c r="N124" t="n">
        <v>0</v>
      </c>
      <c r="O124" t="n">
        <v>1</v>
      </c>
      <c r="P124" t="n">
        <v>1</v>
      </c>
      <c r="Q124" t="n">
        <v>1</v>
      </c>
      <c r="R124" s="2" t="inlineStr">
        <is>
          <t>Asknätfjäril</t>
        </is>
      </c>
      <c r="S124">
        <f>HYPERLINK("https://klasma.github.io/Logging_0188/artfynd/A 48288-2020 artfynd.xlsx", "A 48288-2020")</f>
        <v/>
      </c>
      <c r="T124">
        <f>HYPERLINK("https://klasma.github.io/Logging_0188/kartor/A 48288-2020 karta.png", "A 48288-2020")</f>
        <v/>
      </c>
      <c r="V124">
        <f>HYPERLINK("https://klasma.github.io/Logging_0188/klagomål/A 48288-2020 FSC-klagomål.docx", "A 48288-2020")</f>
        <v/>
      </c>
      <c r="W124">
        <f>HYPERLINK("https://klasma.github.io/Logging_0188/klagomålsmail/A 48288-2020 FSC-klagomål mail.docx", "A 48288-2020")</f>
        <v/>
      </c>
      <c r="X124">
        <f>HYPERLINK("https://klasma.github.io/Logging_0188/tillsyn/A 48288-2020 tillsynsbegäran.docx", "A 48288-2020")</f>
        <v/>
      </c>
      <c r="Y124">
        <f>HYPERLINK("https://klasma.github.io/Logging_0188/tillsynsmail/A 48288-2020 tillsynsbegäran mail.docx", "A 48288-2020")</f>
        <v/>
      </c>
    </row>
    <row r="125" ht="15" customHeight="1">
      <c r="A125" t="inlineStr">
        <is>
          <t>A 62846-2020</t>
        </is>
      </c>
      <c r="B125" s="1" t="n">
        <v>44161</v>
      </c>
      <c r="C125" s="1" t="n">
        <v>45629</v>
      </c>
      <c r="D125" t="inlineStr">
        <is>
          <t>STOCKHOLMS LÄN</t>
        </is>
      </c>
      <c r="E125" t="inlineStr">
        <is>
          <t>NORRTÄLJE</t>
        </is>
      </c>
      <c r="G125" t="n">
        <v>1.4</v>
      </c>
      <c r="H125" t="n">
        <v>1</v>
      </c>
      <c r="I125" t="n">
        <v>0</v>
      </c>
      <c r="J125" t="n">
        <v>0</v>
      </c>
      <c r="K125" t="n">
        <v>0</v>
      </c>
      <c r="L125" t="n">
        <v>0</v>
      </c>
      <c r="M125" t="n">
        <v>0</v>
      </c>
      <c r="N125" t="n">
        <v>0</v>
      </c>
      <c r="O125" t="n">
        <v>0</v>
      </c>
      <c r="P125" t="n">
        <v>0</v>
      </c>
      <c r="Q125" t="n">
        <v>1</v>
      </c>
      <c r="R125" s="2" t="inlineStr">
        <is>
          <t>Fläcknycklar</t>
        </is>
      </c>
      <c r="S125">
        <f>HYPERLINK("https://klasma.github.io/Logging_0188/artfynd/A 62846-2020 artfynd.xlsx", "A 62846-2020")</f>
        <v/>
      </c>
      <c r="T125">
        <f>HYPERLINK("https://klasma.github.io/Logging_0188/kartor/A 62846-2020 karta.png", "A 62846-2020")</f>
        <v/>
      </c>
      <c r="V125">
        <f>HYPERLINK("https://klasma.github.io/Logging_0188/klagomål/A 62846-2020 FSC-klagomål.docx", "A 62846-2020")</f>
        <v/>
      </c>
      <c r="W125">
        <f>HYPERLINK("https://klasma.github.io/Logging_0188/klagomålsmail/A 62846-2020 FSC-klagomål mail.docx", "A 62846-2020")</f>
        <v/>
      </c>
      <c r="X125">
        <f>HYPERLINK("https://klasma.github.io/Logging_0188/tillsyn/A 62846-2020 tillsynsbegäran.docx", "A 62846-2020")</f>
        <v/>
      </c>
      <c r="Y125">
        <f>HYPERLINK("https://klasma.github.io/Logging_0188/tillsynsmail/A 62846-2020 tillsynsbegäran mail.docx", "A 62846-2020")</f>
        <v/>
      </c>
    </row>
    <row r="126" ht="15" customHeight="1">
      <c r="A126" t="inlineStr">
        <is>
          <t>A 1162-2021</t>
        </is>
      </c>
      <c r="B126" s="1" t="n">
        <v>44207</v>
      </c>
      <c r="C126" s="1" t="n">
        <v>45629</v>
      </c>
      <c r="D126" t="inlineStr">
        <is>
          <t>STOCKHOLMS LÄN</t>
        </is>
      </c>
      <c r="E126" t="inlineStr">
        <is>
          <t>NORRTÄLJE</t>
        </is>
      </c>
      <c r="G126" t="n">
        <v>2.2</v>
      </c>
      <c r="H126" t="n">
        <v>1</v>
      </c>
      <c r="I126" t="n">
        <v>0</v>
      </c>
      <c r="J126" t="n">
        <v>0</v>
      </c>
      <c r="K126" t="n">
        <v>1</v>
      </c>
      <c r="L126" t="n">
        <v>0</v>
      </c>
      <c r="M126" t="n">
        <v>0</v>
      </c>
      <c r="N126" t="n">
        <v>0</v>
      </c>
      <c r="O126" t="n">
        <v>1</v>
      </c>
      <c r="P126" t="n">
        <v>1</v>
      </c>
      <c r="Q126" t="n">
        <v>1</v>
      </c>
      <c r="R126" s="2" t="inlineStr">
        <is>
          <t>Hällebräcka</t>
        </is>
      </c>
      <c r="S126">
        <f>HYPERLINK("https://klasma.github.io/Logging_0188/artfynd/A 1162-2021 artfynd.xlsx", "A 1162-2021")</f>
        <v/>
      </c>
      <c r="T126">
        <f>HYPERLINK("https://klasma.github.io/Logging_0188/kartor/A 1162-2021 karta.png", "A 1162-2021")</f>
        <v/>
      </c>
      <c r="V126">
        <f>HYPERLINK("https://klasma.github.io/Logging_0188/klagomål/A 1162-2021 FSC-klagomål.docx", "A 1162-2021")</f>
        <v/>
      </c>
      <c r="W126">
        <f>HYPERLINK("https://klasma.github.io/Logging_0188/klagomålsmail/A 1162-2021 FSC-klagomål mail.docx", "A 1162-2021")</f>
        <v/>
      </c>
      <c r="X126">
        <f>HYPERLINK("https://klasma.github.io/Logging_0188/tillsyn/A 1162-2021 tillsynsbegäran.docx", "A 1162-2021")</f>
        <v/>
      </c>
      <c r="Y126">
        <f>HYPERLINK("https://klasma.github.io/Logging_0188/tillsynsmail/A 1162-2021 tillsynsbegäran mail.docx", "A 1162-2021")</f>
        <v/>
      </c>
    </row>
    <row r="127" ht="15" customHeight="1">
      <c r="A127" t="inlineStr">
        <is>
          <t>A 30138-2021</t>
        </is>
      </c>
      <c r="B127" s="1" t="n">
        <v>44363</v>
      </c>
      <c r="C127" s="1" t="n">
        <v>45629</v>
      </c>
      <c r="D127" t="inlineStr">
        <is>
          <t>STOCKHOLMS LÄN</t>
        </is>
      </c>
      <c r="E127" t="inlineStr">
        <is>
          <t>NORRTÄLJE</t>
        </is>
      </c>
      <c r="G127" t="n">
        <v>4.5</v>
      </c>
      <c r="H127" t="n">
        <v>0</v>
      </c>
      <c r="I127" t="n">
        <v>1</v>
      </c>
      <c r="J127" t="n">
        <v>0</v>
      </c>
      <c r="K127" t="n">
        <v>0</v>
      </c>
      <c r="L127" t="n">
        <v>0</v>
      </c>
      <c r="M127" t="n">
        <v>0</v>
      </c>
      <c r="N127" t="n">
        <v>0</v>
      </c>
      <c r="O127" t="n">
        <v>0</v>
      </c>
      <c r="P127" t="n">
        <v>0</v>
      </c>
      <c r="Q127" t="n">
        <v>1</v>
      </c>
      <c r="R127" s="2" t="inlineStr">
        <is>
          <t>Vårärt</t>
        </is>
      </c>
      <c r="S127">
        <f>HYPERLINK("https://klasma.github.io/Logging_0188/artfynd/A 30138-2021 artfynd.xlsx", "A 30138-2021")</f>
        <v/>
      </c>
      <c r="T127">
        <f>HYPERLINK("https://klasma.github.io/Logging_0188/kartor/A 30138-2021 karta.png", "A 30138-2021")</f>
        <v/>
      </c>
      <c r="V127">
        <f>HYPERLINK("https://klasma.github.io/Logging_0188/klagomål/A 30138-2021 FSC-klagomål.docx", "A 30138-2021")</f>
        <v/>
      </c>
      <c r="W127">
        <f>HYPERLINK("https://klasma.github.io/Logging_0188/klagomålsmail/A 30138-2021 FSC-klagomål mail.docx", "A 30138-2021")</f>
        <v/>
      </c>
      <c r="X127">
        <f>HYPERLINK("https://klasma.github.io/Logging_0188/tillsyn/A 30138-2021 tillsynsbegäran.docx", "A 30138-2021")</f>
        <v/>
      </c>
      <c r="Y127">
        <f>HYPERLINK("https://klasma.github.io/Logging_0188/tillsynsmail/A 30138-2021 tillsynsbegäran mail.docx", "A 30138-2021")</f>
        <v/>
      </c>
    </row>
    <row r="128" ht="15" customHeight="1">
      <c r="A128" t="inlineStr">
        <is>
          <t>A 33302-2021</t>
        </is>
      </c>
      <c r="B128" s="1" t="n">
        <v>44377</v>
      </c>
      <c r="C128" s="1" t="n">
        <v>45629</v>
      </c>
      <c r="D128" t="inlineStr">
        <is>
          <t>STOCKHOLMS LÄN</t>
        </is>
      </c>
      <c r="E128" t="inlineStr">
        <is>
          <t>NORRTÄLJE</t>
        </is>
      </c>
      <c r="G128" t="n">
        <v>12.5</v>
      </c>
      <c r="H128" t="n">
        <v>1</v>
      </c>
      <c r="I128" t="n">
        <v>0</v>
      </c>
      <c r="J128" t="n">
        <v>1</v>
      </c>
      <c r="K128" t="n">
        <v>0</v>
      </c>
      <c r="L128" t="n">
        <v>0</v>
      </c>
      <c r="M128" t="n">
        <v>0</v>
      </c>
      <c r="N128" t="n">
        <v>0</v>
      </c>
      <c r="O128" t="n">
        <v>1</v>
      </c>
      <c r="P128" t="n">
        <v>0</v>
      </c>
      <c r="Q128" t="n">
        <v>1</v>
      </c>
      <c r="R128" s="2" t="inlineStr">
        <is>
          <t>Spillkråka</t>
        </is>
      </c>
      <c r="S128">
        <f>HYPERLINK("https://klasma.github.io/Logging_0188/artfynd/A 33302-2021 artfynd.xlsx", "A 33302-2021")</f>
        <v/>
      </c>
      <c r="T128">
        <f>HYPERLINK("https://klasma.github.io/Logging_0188/kartor/A 33302-2021 karta.png", "A 33302-2021")</f>
        <v/>
      </c>
      <c r="V128">
        <f>HYPERLINK("https://klasma.github.io/Logging_0188/klagomål/A 33302-2021 FSC-klagomål.docx", "A 33302-2021")</f>
        <v/>
      </c>
      <c r="W128">
        <f>HYPERLINK("https://klasma.github.io/Logging_0188/klagomålsmail/A 33302-2021 FSC-klagomål mail.docx", "A 33302-2021")</f>
        <v/>
      </c>
      <c r="X128">
        <f>HYPERLINK("https://klasma.github.io/Logging_0188/tillsyn/A 33302-2021 tillsynsbegäran.docx", "A 33302-2021")</f>
        <v/>
      </c>
      <c r="Y128">
        <f>HYPERLINK("https://klasma.github.io/Logging_0188/tillsynsmail/A 33302-2021 tillsynsbegäran mail.docx", "A 33302-2021")</f>
        <v/>
      </c>
      <c r="Z128">
        <f>HYPERLINK("https://klasma.github.io/Logging_0188/fåglar/A 33302-2021 prioriterade fågelarter.docx", "A 33302-2021")</f>
        <v/>
      </c>
    </row>
    <row r="129" ht="15" customHeight="1">
      <c r="A129" t="inlineStr">
        <is>
          <t>A 58888-2021</t>
        </is>
      </c>
      <c r="B129" s="1" t="n">
        <v>44489</v>
      </c>
      <c r="C129" s="1" t="n">
        <v>45629</v>
      </c>
      <c r="D129" t="inlineStr">
        <is>
          <t>STOCKHOLMS LÄN</t>
        </is>
      </c>
      <c r="E129" t="inlineStr">
        <is>
          <t>NORRTÄLJE</t>
        </is>
      </c>
      <c r="F129" t="inlineStr">
        <is>
          <t>Holmen skog AB</t>
        </is>
      </c>
      <c r="G129" t="n">
        <v>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58888-2021 artfynd.xlsx", "A 58888-2021")</f>
        <v/>
      </c>
      <c r="T129">
        <f>HYPERLINK("https://klasma.github.io/Logging_0188/kartor/A 58888-2021 karta.png", "A 58888-2021")</f>
        <v/>
      </c>
      <c r="V129">
        <f>HYPERLINK("https://klasma.github.io/Logging_0188/klagomål/A 58888-2021 FSC-klagomål.docx", "A 58888-2021")</f>
        <v/>
      </c>
      <c r="W129">
        <f>HYPERLINK("https://klasma.github.io/Logging_0188/klagomålsmail/A 58888-2021 FSC-klagomål mail.docx", "A 58888-2021")</f>
        <v/>
      </c>
      <c r="X129">
        <f>HYPERLINK("https://klasma.github.io/Logging_0188/tillsyn/A 58888-2021 tillsynsbegäran.docx", "A 58888-2021")</f>
        <v/>
      </c>
      <c r="Y129">
        <f>HYPERLINK("https://klasma.github.io/Logging_0188/tillsynsmail/A 58888-2021 tillsynsbegäran mail.docx", "A 58888-2021")</f>
        <v/>
      </c>
    </row>
    <row r="130" ht="15" customHeight="1">
      <c r="A130" t="inlineStr">
        <is>
          <t>A 68692-2021</t>
        </is>
      </c>
      <c r="B130" s="1" t="n">
        <v>44529</v>
      </c>
      <c r="C130" s="1" t="n">
        <v>45629</v>
      </c>
      <c r="D130" t="inlineStr">
        <is>
          <t>STOCKHOLMS LÄN</t>
        </is>
      </c>
      <c r="E130" t="inlineStr">
        <is>
          <t>NORRTÄLJE</t>
        </is>
      </c>
      <c r="F130" t="inlineStr">
        <is>
          <t>Holmen skog AB</t>
        </is>
      </c>
      <c r="G130" t="n">
        <v>0.7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68692-2021 artfynd.xlsx", "A 68692-2021")</f>
        <v/>
      </c>
      <c r="T130">
        <f>HYPERLINK("https://klasma.github.io/Logging_0188/kartor/A 68692-2021 karta.png", "A 68692-2021")</f>
        <v/>
      </c>
      <c r="V130">
        <f>HYPERLINK("https://klasma.github.io/Logging_0188/klagomål/A 68692-2021 FSC-klagomål.docx", "A 68692-2021")</f>
        <v/>
      </c>
      <c r="W130">
        <f>HYPERLINK("https://klasma.github.io/Logging_0188/klagomålsmail/A 68692-2021 FSC-klagomål mail.docx", "A 68692-2021")</f>
        <v/>
      </c>
      <c r="X130">
        <f>HYPERLINK("https://klasma.github.io/Logging_0188/tillsyn/A 68692-2021 tillsynsbegäran.docx", "A 68692-2021")</f>
        <v/>
      </c>
      <c r="Y130">
        <f>HYPERLINK("https://klasma.github.io/Logging_0188/tillsynsmail/A 68692-2021 tillsynsbegäran mail.docx", "A 68692-2021")</f>
        <v/>
      </c>
    </row>
    <row r="131" ht="15" customHeight="1">
      <c r="A131" t="inlineStr">
        <is>
          <t>A 188-2022</t>
        </is>
      </c>
      <c r="B131" s="1" t="n">
        <v>44564</v>
      </c>
      <c r="C131" s="1" t="n">
        <v>45629</v>
      </c>
      <c r="D131" t="inlineStr">
        <is>
          <t>STOCKHOLMS LÄN</t>
        </is>
      </c>
      <c r="E131" t="inlineStr">
        <is>
          <t>NORRTÄLJE</t>
        </is>
      </c>
      <c r="G131" t="n">
        <v>4.1</v>
      </c>
      <c r="H131" t="n">
        <v>0</v>
      </c>
      <c r="I131" t="n">
        <v>1</v>
      </c>
      <c r="J131" t="n">
        <v>0</v>
      </c>
      <c r="K131" t="n">
        <v>0</v>
      </c>
      <c r="L131" t="n">
        <v>0</v>
      </c>
      <c r="M131" t="n">
        <v>0</v>
      </c>
      <c r="N131" t="n">
        <v>0</v>
      </c>
      <c r="O131" t="n">
        <v>0</v>
      </c>
      <c r="P131" t="n">
        <v>0</v>
      </c>
      <c r="Q131" t="n">
        <v>1</v>
      </c>
      <c r="R131" s="2" t="inlineStr">
        <is>
          <t>Svart trolldruva</t>
        </is>
      </c>
      <c r="S131">
        <f>HYPERLINK("https://klasma.github.io/Logging_0188/artfynd/A 188-2022 artfynd.xlsx", "A 188-2022")</f>
        <v/>
      </c>
      <c r="T131">
        <f>HYPERLINK("https://klasma.github.io/Logging_0188/kartor/A 188-2022 karta.png", "A 188-2022")</f>
        <v/>
      </c>
      <c r="V131">
        <f>HYPERLINK("https://klasma.github.io/Logging_0188/klagomål/A 188-2022 FSC-klagomål.docx", "A 188-2022")</f>
        <v/>
      </c>
      <c r="W131">
        <f>HYPERLINK("https://klasma.github.io/Logging_0188/klagomålsmail/A 188-2022 FSC-klagomål mail.docx", "A 188-2022")</f>
        <v/>
      </c>
      <c r="X131">
        <f>HYPERLINK("https://klasma.github.io/Logging_0188/tillsyn/A 188-2022 tillsynsbegäran.docx", "A 188-2022")</f>
        <v/>
      </c>
      <c r="Y131">
        <f>HYPERLINK("https://klasma.github.io/Logging_0188/tillsynsmail/A 188-2022 tillsynsbegäran mail.docx", "A 188-2022")</f>
        <v/>
      </c>
    </row>
    <row r="132" ht="15" customHeight="1">
      <c r="A132" t="inlineStr">
        <is>
          <t>A 1547-2022</t>
        </is>
      </c>
      <c r="B132" s="1" t="n">
        <v>44573</v>
      </c>
      <c r="C132" s="1" t="n">
        <v>45629</v>
      </c>
      <c r="D132" t="inlineStr">
        <is>
          <t>STOCKHOLMS LÄN</t>
        </is>
      </c>
      <c r="E132" t="inlineStr">
        <is>
          <t>NORRTÄLJE</t>
        </is>
      </c>
      <c r="G132" t="n">
        <v>1.8</v>
      </c>
      <c r="H132" t="n">
        <v>1</v>
      </c>
      <c r="I132" t="n">
        <v>0</v>
      </c>
      <c r="J132" t="n">
        <v>0</v>
      </c>
      <c r="K132" t="n">
        <v>1</v>
      </c>
      <c r="L132" t="n">
        <v>0</v>
      </c>
      <c r="M132" t="n">
        <v>0</v>
      </c>
      <c r="N132" t="n">
        <v>0</v>
      </c>
      <c r="O132" t="n">
        <v>1</v>
      </c>
      <c r="P132" t="n">
        <v>1</v>
      </c>
      <c r="Q132" t="n">
        <v>1</v>
      </c>
      <c r="R132" s="2" t="inlineStr">
        <is>
          <t>Hällebräcka</t>
        </is>
      </c>
      <c r="S132">
        <f>HYPERLINK("https://klasma.github.io/Logging_0188/artfynd/A 1547-2022 artfynd.xlsx", "A 1547-2022")</f>
        <v/>
      </c>
      <c r="T132">
        <f>HYPERLINK("https://klasma.github.io/Logging_0188/kartor/A 1547-2022 karta.png", "A 1547-2022")</f>
        <v/>
      </c>
      <c r="V132">
        <f>HYPERLINK("https://klasma.github.io/Logging_0188/klagomål/A 1547-2022 FSC-klagomål.docx", "A 1547-2022")</f>
        <v/>
      </c>
      <c r="W132">
        <f>HYPERLINK("https://klasma.github.io/Logging_0188/klagomålsmail/A 1547-2022 FSC-klagomål mail.docx", "A 1547-2022")</f>
        <v/>
      </c>
      <c r="X132">
        <f>HYPERLINK("https://klasma.github.io/Logging_0188/tillsyn/A 1547-2022 tillsynsbegäran.docx", "A 1547-2022")</f>
        <v/>
      </c>
      <c r="Y132">
        <f>HYPERLINK("https://klasma.github.io/Logging_0188/tillsynsmail/A 1547-2022 tillsynsbegäran mail.docx", "A 1547-2022")</f>
        <v/>
      </c>
    </row>
    <row r="133" ht="15" customHeight="1">
      <c r="A133" t="inlineStr">
        <is>
          <t>A 7172-2022</t>
        </is>
      </c>
      <c r="B133" s="1" t="n">
        <v>44604</v>
      </c>
      <c r="C133" s="1" t="n">
        <v>45629</v>
      </c>
      <c r="D133" t="inlineStr">
        <is>
          <t>STOCKHOLMS LÄN</t>
        </is>
      </c>
      <c r="E133" t="inlineStr">
        <is>
          <t>NORRTÄLJE</t>
        </is>
      </c>
      <c r="G133" t="n">
        <v>4.8</v>
      </c>
      <c r="H133" t="n">
        <v>0</v>
      </c>
      <c r="I133" t="n">
        <v>1</v>
      </c>
      <c r="J133" t="n">
        <v>0</v>
      </c>
      <c r="K133" t="n">
        <v>0</v>
      </c>
      <c r="L133" t="n">
        <v>0</v>
      </c>
      <c r="M133" t="n">
        <v>0</v>
      </c>
      <c r="N133" t="n">
        <v>0</v>
      </c>
      <c r="O133" t="n">
        <v>0</v>
      </c>
      <c r="P133" t="n">
        <v>0</v>
      </c>
      <c r="Q133" t="n">
        <v>1</v>
      </c>
      <c r="R133" s="2" t="inlineStr">
        <is>
          <t>Trådticka</t>
        </is>
      </c>
      <c r="S133">
        <f>HYPERLINK("https://klasma.github.io/Logging_0188/artfynd/A 7172-2022 artfynd.xlsx", "A 7172-2022")</f>
        <v/>
      </c>
      <c r="T133">
        <f>HYPERLINK("https://klasma.github.io/Logging_0188/kartor/A 7172-2022 karta.png", "A 7172-2022")</f>
        <v/>
      </c>
      <c r="U133">
        <f>HYPERLINK("https://klasma.github.io/Logging_0188/knärot/A 7172-2022 karta knärot.png", "A 7172-2022")</f>
        <v/>
      </c>
      <c r="V133">
        <f>HYPERLINK("https://klasma.github.io/Logging_0188/klagomål/A 7172-2022 FSC-klagomål.docx", "A 7172-2022")</f>
        <v/>
      </c>
      <c r="W133">
        <f>HYPERLINK("https://klasma.github.io/Logging_0188/klagomålsmail/A 7172-2022 FSC-klagomål mail.docx", "A 7172-2022")</f>
        <v/>
      </c>
      <c r="X133">
        <f>HYPERLINK("https://klasma.github.io/Logging_0188/tillsyn/A 7172-2022 tillsynsbegäran.docx", "A 7172-2022")</f>
        <v/>
      </c>
      <c r="Y133">
        <f>HYPERLINK("https://klasma.github.io/Logging_0188/tillsynsmail/A 7172-2022 tillsynsbegäran mail.docx", "A 7172-2022")</f>
        <v/>
      </c>
    </row>
    <row r="134" ht="15" customHeight="1">
      <c r="A134" t="inlineStr">
        <is>
          <t>A 9955-2022</t>
        </is>
      </c>
      <c r="B134" s="1" t="n">
        <v>44620</v>
      </c>
      <c r="C134" s="1" t="n">
        <v>45629</v>
      </c>
      <c r="D134" t="inlineStr">
        <is>
          <t>STOCKHOLMS LÄN</t>
        </is>
      </c>
      <c r="E134" t="inlineStr">
        <is>
          <t>NORRTÄLJE</t>
        </is>
      </c>
      <c r="G134" t="n">
        <v>7.8</v>
      </c>
      <c r="H134" t="n">
        <v>1</v>
      </c>
      <c r="I134" t="n">
        <v>0</v>
      </c>
      <c r="J134" t="n">
        <v>0</v>
      </c>
      <c r="K134" t="n">
        <v>0</v>
      </c>
      <c r="L134" t="n">
        <v>0</v>
      </c>
      <c r="M134" t="n">
        <v>0</v>
      </c>
      <c r="N134" t="n">
        <v>0</v>
      </c>
      <c r="O134" t="n">
        <v>0</v>
      </c>
      <c r="P134" t="n">
        <v>0</v>
      </c>
      <c r="Q134" t="n">
        <v>1</v>
      </c>
      <c r="R134" s="2" t="inlineStr">
        <is>
          <t>Åkergroda</t>
        </is>
      </c>
      <c r="S134">
        <f>HYPERLINK("https://klasma.github.io/Logging_0188/artfynd/A 9955-2022 artfynd.xlsx", "A 9955-2022")</f>
        <v/>
      </c>
      <c r="T134">
        <f>HYPERLINK("https://klasma.github.io/Logging_0188/kartor/A 9955-2022 karta.png", "A 9955-2022")</f>
        <v/>
      </c>
      <c r="V134">
        <f>HYPERLINK("https://klasma.github.io/Logging_0188/klagomål/A 9955-2022 FSC-klagomål.docx", "A 9955-2022")</f>
        <v/>
      </c>
      <c r="W134">
        <f>HYPERLINK("https://klasma.github.io/Logging_0188/klagomålsmail/A 9955-2022 FSC-klagomål mail.docx", "A 9955-2022")</f>
        <v/>
      </c>
      <c r="X134">
        <f>HYPERLINK("https://klasma.github.io/Logging_0188/tillsyn/A 9955-2022 tillsynsbegäran.docx", "A 9955-2022")</f>
        <v/>
      </c>
      <c r="Y134">
        <f>HYPERLINK("https://klasma.github.io/Logging_0188/tillsynsmail/A 9955-2022 tillsynsbegäran mail.docx", "A 9955-2022")</f>
        <v/>
      </c>
    </row>
    <row r="135" ht="15" customHeight="1">
      <c r="A135" t="inlineStr">
        <is>
          <t>A 10712-2022</t>
        </is>
      </c>
      <c r="B135" s="1" t="n">
        <v>44626</v>
      </c>
      <c r="C135" s="1" t="n">
        <v>45629</v>
      </c>
      <c r="D135" t="inlineStr">
        <is>
          <t>STOCKHOLMS LÄN</t>
        </is>
      </c>
      <c r="E135" t="inlineStr">
        <is>
          <t>NORRTÄLJE</t>
        </is>
      </c>
      <c r="G135" t="n">
        <v>4.5</v>
      </c>
      <c r="H135" t="n">
        <v>1</v>
      </c>
      <c r="I135" t="n">
        <v>0</v>
      </c>
      <c r="J135" t="n">
        <v>0</v>
      </c>
      <c r="K135" t="n">
        <v>0</v>
      </c>
      <c r="L135" t="n">
        <v>0</v>
      </c>
      <c r="M135" t="n">
        <v>0</v>
      </c>
      <c r="N135" t="n">
        <v>0</v>
      </c>
      <c r="O135" t="n">
        <v>0</v>
      </c>
      <c r="P135" t="n">
        <v>0</v>
      </c>
      <c r="Q135" t="n">
        <v>1</v>
      </c>
      <c r="R135" s="2" t="inlineStr">
        <is>
          <t>Åkergroda</t>
        </is>
      </c>
      <c r="S135">
        <f>HYPERLINK("https://klasma.github.io/Logging_0188/artfynd/A 10712-2022 artfynd.xlsx", "A 10712-2022")</f>
        <v/>
      </c>
      <c r="T135">
        <f>HYPERLINK("https://klasma.github.io/Logging_0188/kartor/A 10712-2022 karta.png", "A 10712-2022")</f>
        <v/>
      </c>
      <c r="V135">
        <f>HYPERLINK("https://klasma.github.io/Logging_0188/klagomål/A 10712-2022 FSC-klagomål.docx", "A 10712-2022")</f>
        <v/>
      </c>
      <c r="W135">
        <f>HYPERLINK("https://klasma.github.io/Logging_0188/klagomålsmail/A 10712-2022 FSC-klagomål mail.docx", "A 10712-2022")</f>
        <v/>
      </c>
      <c r="X135">
        <f>HYPERLINK("https://klasma.github.io/Logging_0188/tillsyn/A 10712-2022 tillsynsbegäran.docx", "A 10712-2022")</f>
        <v/>
      </c>
      <c r="Y135">
        <f>HYPERLINK("https://klasma.github.io/Logging_0188/tillsynsmail/A 10712-2022 tillsynsbegäran mail.docx", "A 10712-2022")</f>
        <v/>
      </c>
    </row>
    <row r="136" ht="15" customHeight="1">
      <c r="A136" t="inlineStr">
        <is>
          <t>A 14720-2022</t>
        </is>
      </c>
      <c r="B136" s="1" t="n">
        <v>44656</v>
      </c>
      <c r="C136" s="1" t="n">
        <v>45629</v>
      </c>
      <c r="D136" t="inlineStr">
        <is>
          <t>STOCKHOLMS LÄN</t>
        </is>
      </c>
      <c r="E136" t="inlineStr">
        <is>
          <t>NORRTÄLJE</t>
        </is>
      </c>
      <c r="F136" t="inlineStr">
        <is>
          <t>Sveaskog</t>
        </is>
      </c>
      <c r="G136" t="n">
        <v>5.1</v>
      </c>
      <c r="H136" t="n">
        <v>0</v>
      </c>
      <c r="I136" t="n">
        <v>0</v>
      </c>
      <c r="J136" t="n">
        <v>1</v>
      </c>
      <c r="K136" t="n">
        <v>0</v>
      </c>
      <c r="L136" t="n">
        <v>0</v>
      </c>
      <c r="M136" t="n">
        <v>0</v>
      </c>
      <c r="N136" t="n">
        <v>0</v>
      </c>
      <c r="O136" t="n">
        <v>1</v>
      </c>
      <c r="P136" t="n">
        <v>0</v>
      </c>
      <c r="Q136" t="n">
        <v>1</v>
      </c>
      <c r="R136" s="2" t="inlineStr">
        <is>
          <t>Loppstarr</t>
        </is>
      </c>
      <c r="S136">
        <f>HYPERLINK("https://klasma.github.io/Logging_0188/artfynd/A 14720-2022 artfynd.xlsx", "A 14720-2022")</f>
        <v/>
      </c>
      <c r="T136">
        <f>HYPERLINK("https://klasma.github.io/Logging_0188/kartor/A 14720-2022 karta.png", "A 14720-2022")</f>
        <v/>
      </c>
      <c r="V136">
        <f>HYPERLINK("https://klasma.github.io/Logging_0188/klagomål/A 14720-2022 FSC-klagomål.docx", "A 14720-2022")</f>
        <v/>
      </c>
      <c r="W136">
        <f>HYPERLINK("https://klasma.github.io/Logging_0188/klagomålsmail/A 14720-2022 FSC-klagomål mail.docx", "A 14720-2022")</f>
        <v/>
      </c>
      <c r="X136">
        <f>HYPERLINK("https://klasma.github.io/Logging_0188/tillsyn/A 14720-2022 tillsynsbegäran.docx", "A 14720-2022")</f>
        <v/>
      </c>
      <c r="Y136">
        <f>HYPERLINK("https://klasma.github.io/Logging_0188/tillsynsmail/A 14720-2022 tillsynsbegäran mail.docx", "A 14720-2022")</f>
        <v/>
      </c>
    </row>
    <row r="137" ht="15" customHeight="1">
      <c r="A137" t="inlineStr">
        <is>
          <t>A 16539-2022</t>
        </is>
      </c>
      <c r="B137" s="1" t="n">
        <v>44672</v>
      </c>
      <c r="C137" s="1" t="n">
        <v>45629</v>
      </c>
      <c r="D137" t="inlineStr">
        <is>
          <t>STOCKHOLMS LÄN</t>
        </is>
      </c>
      <c r="E137" t="inlineStr">
        <is>
          <t>NORRTÄLJE</t>
        </is>
      </c>
      <c r="G137" t="n">
        <v>8.6</v>
      </c>
      <c r="H137" t="n">
        <v>1</v>
      </c>
      <c r="I137" t="n">
        <v>1</v>
      </c>
      <c r="J137" t="n">
        <v>0</v>
      </c>
      <c r="K137" t="n">
        <v>0</v>
      </c>
      <c r="L137" t="n">
        <v>0</v>
      </c>
      <c r="M137" t="n">
        <v>0</v>
      </c>
      <c r="N137" t="n">
        <v>0</v>
      </c>
      <c r="O137" t="n">
        <v>0</v>
      </c>
      <c r="P137" t="n">
        <v>0</v>
      </c>
      <c r="Q137" t="n">
        <v>1</v>
      </c>
      <c r="R137" s="2" t="inlineStr">
        <is>
          <t>Nästrot</t>
        </is>
      </c>
      <c r="S137">
        <f>HYPERLINK("https://klasma.github.io/Logging_0188/artfynd/A 16539-2022 artfynd.xlsx", "A 16539-2022")</f>
        <v/>
      </c>
      <c r="T137">
        <f>HYPERLINK("https://klasma.github.io/Logging_0188/kartor/A 16539-2022 karta.png", "A 16539-2022")</f>
        <v/>
      </c>
      <c r="V137">
        <f>HYPERLINK("https://klasma.github.io/Logging_0188/klagomål/A 16539-2022 FSC-klagomål.docx", "A 16539-2022")</f>
        <v/>
      </c>
      <c r="W137">
        <f>HYPERLINK("https://klasma.github.io/Logging_0188/klagomålsmail/A 16539-2022 FSC-klagomål mail.docx", "A 16539-2022")</f>
        <v/>
      </c>
      <c r="X137">
        <f>HYPERLINK("https://klasma.github.io/Logging_0188/tillsyn/A 16539-2022 tillsynsbegäran.docx", "A 16539-2022")</f>
        <v/>
      </c>
      <c r="Y137">
        <f>HYPERLINK("https://klasma.github.io/Logging_0188/tillsynsmail/A 16539-2022 tillsynsbegäran mail.docx", "A 16539-2022")</f>
        <v/>
      </c>
    </row>
    <row r="138" ht="15" customHeight="1">
      <c r="A138" t="inlineStr">
        <is>
          <t>A 19829-2022</t>
        </is>
      </c>
      <c r="B138" s="1" t="n">
        <v>44695</v>
      </c>
      <c r="C138" s="1" t="n">
        <v>45629</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21150-2022</t>
        </is>
      </c>
      <c r="B139" s="1" t="n">
        <v>44704</v>
      </c>
      <c r="C139" s="1" t="n">
        <v>45629</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21150-2022 artfynd.xlsx", "A 21150-2022")</f>
        <v/>
      </c>
      <c r="T139">
        <f>HYPERLINK("https://klasma.github.io/Logging_0188/kartor/A 21150-2022 karta.png", "A 21150-2022")</f>
        <v/>
      </c>
      <c r="V139">
        <f>HYPERLINK("https://klasma.github.io/Logging_0188/klagomål/A 21150-2022 FSC-klagomål.docx", "A 21150-2022")</f>
        <v/>
      </c>
      <c r="W139">
        <f>HYPERLINK("https://klasma.github.io/Logging_0188/klagomålsmail/A 21150-2022 FSC-klagomål mail.docx", "A 21150-2022")</f>
        <v/>
      </c>
      <c r="X139">
        <f>HYPERLINK("https://klasma.github.io/Logging_0188/tillsyn/A 21150-2022 tillsynsbegäran.docx", "A 21150-2022")</f>
        <v/>
      </c>
      <c r="Y139">
        <f>HYPERLINK("https://klasma.github.io/Logging_0188/tillsynsmail/A 21150-2022 tillsynsbegäran mail.docx", "A 21150-2022")</f>
        <v/>
      </c>
    </row>
    <row r="140" ht="15" customHeight="1">
      <c r="A140" t="inlineStr">
        <is>
          <t>A 31194-2022</t>
        </is>
      </c>
      <c r="B140" s="1" t="n">
        <v>44770</v>
      </c>
      <c r="C140" s="1" t="n">
        <v>45629</v>
      </c>
      <c r="D140" t="inlineStr">
        <is>
          <t>STOCKHOLMS LÄN</t>
        </is>
      </c>
      <c r="E140" t="inlineStr">
        <is>
          <t>NORRTÄLJE</t>
        </is>
      </c>
      <c r="G140" t="n">
        <v>2.7</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31194-2022 artfynd.xlsx", "A 31194-2022")</f>
        <v/>
      </c>
      <c r="T140">
        <f>HYPERLINK("https://klasma.github.io/Logging_0188/kartor/A 31194-2022 karta.png", "A 31194-2022")</f>
        <v/>
      </c>
      <c r="V140">
        <f>HYPERLINK("https://klasma.github.io/Logging_0188/klagomål/A 31194-2022 FSC-klagomål.docx", "A 31194-2022")</f>
        <v/>
      </c>
      <c r="W140">
        <f>HYPERLINK("https://klasma.github.io/Logging_0188/klagomålsmail/A 31194-2022 FSC-klagomål mail.docx", "A 31194-2022")</f>
        <v/>
      </c>
      <c r="X140">
        <f>HYPERLINK("https://klasma.github.io/Logging_0188/tillsyn/A 31194-2022 tillsynsbegäran.docx", "A 31194-2022")</f>
        <v/>
      </c>
      <c r="Y140">
        <f>HYPERLINK("https://klasma.github.io/Logging_0188/tillsynsmail/A 31194-2022 tillsynsbegäran mail.docx", "A 31194-2022")</f>
        <v/>
      </c>
    </row>
    <row r="141" ht="15" customHeight="1">
      <c r="A141" t="inlineStr">
        <is>
          <t>A 33477-2022</t>
        </is>
      </c>
      <c r="B141" s="1" t="n">
        <v>44788</v>
      </c>
      <c r="C141" s="1" t="n">
        <v>45629</v>
      </c>
      <c r="D141" t="inlineStr">
        <is>
          <t>STOCKHOLMS LÄN</t>
        </is>
      </c>
      <c r="E141" t="inlineStr">
        <is>
          <t>NORRTÄLJE</t>
        </is>
      </c>
      <c r="G141" t="n">
        <v>5.7</v>
      </c>
      <c r="H141" t="n">
        <v>1</v>
      </c>
      <c r="I141" t="n">
        <v>1</v>
      </c>
      <c r="J141" t="n">
        <v>0</v>
      </c>
      <c r="K141" t="n">
        <v>0</v>
      </c>
      <c r="L141" t="n">
        <v>0</v>
      </c>
      <c r="M141" t="n">
        <v>0</v>
      </c>
      <c r="N141" t="n">
        <v>0</v>
      </c>
      <c r="O141" t="n">
        <v>0</v>
      </c>
      <c r="P141" t="n">
        <v>0</v>
      </c>
      <c r="Q141" t="n">
        <v>1</v>
      </c>
      <c r="R141" s="2" t="inlineStr">
        <is>
          <t>Nästrot</t>
        </is>
      </c>
      <c r="S141">
        <f>HYPERLINK("https://klasma.github.io/Logging_0188/artfynd/A 33477-2022 artfynd.xlsx", "A 33477-2022")</f>
        <v/>
      </c>
      <c r="T141">
        <f>HYPERLINK("https://klasma.github.io/Logging_0188/kartor/A 33477-2022 karta.png", "A 33477-2022")</f>
        <v/>
      </c>
      <c r="V141">
        <f>HYPERLINK("https://klasma.github.io/Logging_0188/klagomål/A 33477-2022 FSC-klagomål.docx", "A 33477-2022")</f>
        <v/>
      </c>
      <c r="W141">
        <f>HYPERLINK("https://klasma.github.io/Logging_0188/klagomålsmail/A 33477-2022 FSC-klagomål mail.docx", "A 33477-2022")</f>
        <v/>
      </c>
      <c r="X141">
        <f>HYPERLINK("https://klasma.github.io/Logging_0188/tillsyn/A 33477-2022 tillsynsbegäran.docx", "A 33477-2022")</f>
        <v/>
      </c>
      <c r="Y141">
        <f>HYPERLINK("https://klasma.github.io/Logging_0188/tillsynsmail/A 33477-2022 tillsynsbegäran mail.docx", "A 33477-2022")</f>
        <v/>
      </c>
    </row>
    <row r="142" ht="15" customHeight="1">
      <c r="A142" t="inlineStr">
        <is>
          <t>A 37522-2022</t>
        </is>
      </c>
      <c r="B142" s="1" t="n">
        <v>44809</v>
      </c>
      <c r="C142" s="1" t="n">
        <v>45629</v>
      </c>
      <c r="D142" t="inlineStr">
        <is>
          <t>STOCKHOLMS LÄN</t>
        </is>
      </c>
      <c r="E142" t="inlineStr">
        <is>
          <t>NORRTÄLJE</t>
        </is>
      </c>
      <c r="G142" t="n">
        <v>2.4</v>
      </c>
      <c r="H142" t="n">
        <v>1</v>
      </c>
      <c r="I142" t="n">
        <v>0</v>
      </c>
      <c r="J142" t="n">
        <v>0</v>
      </c>
      <c r="K142" t="n">
        <v>0</v>
      </c>
      <c r="L142" t="n">
        <v>0</v>
      </c>
      <c r="M142" t="n">
        <v>0</v>
      </c>
      <c r="N142" t="n">
        <v>0</v>
      </c>
      <c r="O142" t="n">
        <v>0</v>
      </c>
      <c r="P142" t="n">
        <v>0</v>
      </c>
      <c r="Q142" t="n">
        <v>1</v>
      </c>
      <c r="R142" s="2" t="inlineStr">
        <is>
          <t>Blåsippa</t>
        </is>
      </c>
      <c r="S142">
        <f>HYPERLINK("https://klasma.github.io/Logging_0188/artfynd/A 37522-2022 artfynd.xlsx", "A 37522-2022")</f>
        <v/>
      </c>
      <c r="T142">
        <f>HYPERLINK("https://klasma.github.io/Logging_0188/kartor/A 37522-2022 karta.png", "A 37522-2022")</f>
        <v/>
      </c>
      <c r="V142">
        <f>HYPERLINK("https://klasma.github.io/Logging_0188/klagomål/A 37522-2022 FSC-klagomål.docx", "A 37522-2022")</f>
        <v/>
      </c>
      <c r="W142">
        <f>HYPERLINK("https://klasma.github.io/Logging_0188/klagomålsmail/A 37522-2022 FSC-klagomål mail.docx", "A 37522-2022")</f>
        <v/>
      </c>
      <c r="X142">
        <f>HYPERLINK("https://klasma.github.io/Logging_0188/tillsyn/A 37522-2022 tillsynsbegäran.docx", "A 37522-2022")</f>
        <v/>
      </c>
      <c r="Y142">
        <f>HYPERLINK("https://klasma.github.io/Logging_0188/tillsynsmail/A 37522-2022 tillsynsbegäran mail.docx", "A 37522-2022")</f>
        <v/>
      </c>
    </row>
    <row r="143" ht="15" customHeight="1">
      <c r="A143" t="inlineStr">
        <is>
          <t>A 39318-2022</t>
        </is>
      </c>
      <c r="B143" s="1" t="n">
        <v>44817</v>
      </c>
      <c r="C143" s="1" t="n">
        <v>45629</v>
      </c>
      <c r="D143" t="inlineStr">
        <is>
          <t>STOCKHOLMS LÄN</t>
        </is>
      </c>
      <c r="E143" t="inlineStr">
        <is>
          <t>NORRTÄLJE</t>
        </is>
      </c>
      <c r="G143" t="n">
        <v>2.4</v>
      </c>
      <c r="H143" t="n">
        <v>1</v>
      </c>
      <c r="I143" t="n">
        <v>0</v>
      </c>
      <c r="J143" t="n">
        <v>0</v>
      </c>
      <c r="K143" t="n">
        <v>1</v>
      </c>
      <c r="L143" t="n">
        <v>0</v>
      </c>
      <c r="M143" t="n">
        <v>0</v>
      </c>
      <c r="N143" t="n">
        <v>0</v>
      </c>
      <c r="O143" t="n">
        <v>1</v>
      </c>
      <c r="P143" t="n">
        <v>1</v>
      </c>
      <c r="Q143" t="n">
        <v>1</v>
      </c>
      <c r="R143" s="2" t="inlineStr">
        <is>
          <t>Stare</t>
        </is>
      </c>
      <c r="S143">
        <f>HYPERLINK("https://klasma.github.io/Logging_0188/artfynd/A 39318-2022 artfynd.xlsx", "A 39318-2022")</f>
        <v/>
      </c>
      <c r="T143">
        <f>HYPERLINK("https://klasma.github.io/Logging_0188/kartor/A 39318-2022 karta.png", "A 39318-2022")</f>
        <v/>
      </c>
      <c r="V143">
        <f>HYPERLINK("https://klasma.github.io/Logging_0188/klagomål/A 39318-2022 FSC-klagomål.docx", "A 39318-2022")</f>
        <v/>
      </c>
      <c r="W143">
        <f>HYPERLINK("https://klasma.github.io/Logging_0188/klagomålsmail/A 39318-2022 FSC-klagomål mail.docx", "A 39318-2022")</f>
        <v/>
      </c>
      <c r="X143">
        <f>HYPERLINK("https://klasma.github.io/Logging_0188/tillsyn/A 39318-2022 tillsynsbegäran.docx", "A 39318-2022")</f>
        <v/>
      </c>
      <c r="Y143">
        <f>HYPERLINK("https://klasma.github.io/Logging_0188/tillsynsmail/A 39318-2022 tillsynsbegäran mail.docx", "A 39318-2022")</f>
        <v/>
      </c>
    </row>
    <row r="144" ht="15" customHeight="1">
      <c r="A144" t="inlineStr">
        <is>
          <t>A 40672-2022</t>
        </is>
      </c>
      <c r="B144" s="1" t="n">
        <v>44824</v>
      </c>
      <c r="C144" s="1" t="n">
        <v>45629</v>
      </c>
      <c r="D144" t="inlineStr">
        <is>
          <t>STOCKHOLMS LÄN</t>
        </is>
      </c>
      <c r="E144" t="inlineStr">
        <is>
          <t>NORRTÄLJE</t>
        </is>
      </c>
      <c r="F144" t="inlineStr">
        <is>
          <t>Övriga Aktiebolag</t>
        </is>
      </c>
      <c r="G144" t="n">
        <v>1.3</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40672-2022 artfynd.xlsx", "A 40672-2022")</f>
        <v/>
      </c>
      <c r="T144">
        <f>HYPERLINK("https://klasma.github.io/Logging_0188/kartor/A 40672-2022 karta.png", "A 40672-2022")</f>
        <v/>
      </c>
      <c r="V144">
        <f>HYPERLINK("https://klasma.github.io/Logging_0188/klagomål/A 40672-2022 FSC-klagomål.docx", "A 40672-2022")</f>
        <v/>
      </c>
      <c r="W144">
        <f>HYPERLINK("https://klasma.github.io/Logging_0188/klagomålsmail/A 40672-2022 FSC-klagomål mail.docx", "A 40672-2022")</f>
        <v/>
      </c>
      <c r="X144">
        <f>HYPERLINK("https://klasma.github.io/Logging_0188/tillsyn/A 40672-2022 tillsynsbegäran.docx", "A 40672-2022")</f>
        <v/>
      </c>
      <c r="Y144">
        <f>HYPERLINK("https://klasma.github.io/Logging_0188/tillsynsmail/A 40672-2022 tillsynsbegäran mail.docx", "A 40672-2022")</f>
        <v/>
      </c>
    </row>
    <row r="145" ht="15" customHeight="1">
      <c r="A145" t="inlineStr">
        <is>
          <t>A 44709-2022</t>
        </is>
      </c>
      <c r="B145" s="1" t="n">
        <v>44839</v>
      </c>
      <c r="C145" s="1" t="n">
        <v>45629</v>
      </c>
      <c r="D145" t="inlineStr">
        <is>
          <t>STOCKHOLMS LÄN</t>
        </is>
      </c>
      <c r="E145" t="inlineStr">
        <is>
          <t>NORRTÄLJE</t>
        </is>
      </c>
      <c r="G145" t="n">
        <v>16.3</v>
      </c>
      <c r="H145" t="n">
        <v>0</v>
      </c>
      <c r="I145" t="n">
        <v>0</v>
      </c>
      <c r="J145" t="n">
        <v>1</v>
      </c>
      <c r="K145" t="n">
        <v>0</v>
      </c>
      <c r="L145" t="n">
        <v>0</v>
      </c>
      <c r="M145" t="n">
        <v>0</v>
      </c>
      <c r="N145" t="n">
        <v>0</v>
      </c>
      <c r="O145" t="n">
        <v>1</v>
      </c>
      <c r="P145" t="n">
        <v>0</v>
      </c>
      <c r="Q145" t="n">
        <v>1</v>
      </c>
      <c r="R145" s="2" t="inlineStr">
        <is>
          <t>Asppraktbagge</t>
        </is>
      </c>
      <c r="S145">
        <f>HYPERLINK("https://klasma.github.io/Logging_0188/artfynd/A 44709-2022 artfynd.xlsx", "A 44709-2022")</f>
        <v/>
      </c>
      <c r="T145">
        <f>HYPERLINK("https://klasma.github.io/Logging_0188/kartor/A 44709-2022 karta.png", "A 44709-2022")</f>
        <v/>
      </c>
      <c r="V145">
        <f>HYPERLINK("https://klasma.github.io/Logging_0188/klagomål/A 44709-2022 FSC-klagomål.docx", "A 44709-2022")</f>
        <v/>
      </c>
      <c r="W145">
        <f>HYPERLINK("https://klasma.github.io/Logging_0188/klagomålsmail/A 44709-2022 FSC-klagomål mail.docx", "A 44709-2022")</f>
        <v/>
      </c>
      <c r="X145">
        <f>HYPERLINK("https://klasma.github.io/Logging_0188/tillsyn/A 44709-2022 tillsynsbegäran.docx", "A 44709-2022")</f>
        <v/>
      </c>
      <c r="Y145">
        <f>HYPERLINK("https://klasma.github.io/Logging_0188/tillsynsmail/A 44709-2022 tillsynsbegäran mail.docx", "A 44709-2022")</f>
        <v/>
      </c>
    </row>
    <row r="146" ht="15" customHeight="1">
      <c r="A146" t="inlineStr">
        <is>
          <t>A 47898-2022</t>
        </is>
      </c>
      <c r="B146" s="1" t="n">
        <v>44855</v>
      </c>
      <c r="C146" s="1" t="n">
        <v>45629</v>
      </c>
      <c r="D146" t="inlineStr">
        <is>
          <t>STOCKHOLMS LÄN</t>
        </is>
      </c>
      <c r="E146" t="inlineStr">
        <is>
          <t>NORRTÄLJE</t>
        </is>
      </c>
      <c r="G146" t="n">
        <v>6.7</v>
      </c>
      <c r="H146" t="n">
        <v>1</v>
      </c>
      <c r="I146" t="n">
        <v>1</v>
      </c>
      <c r="J146" t="n">
        <v>0</v>
      </c>
      <c r="K146" t="n">
        <v>0</v>
      </c>
      <c r="L146" t="n">
        <v>0</v>
      </c>
      <c r="M146" t="n">
        <v>0</v>
      </c>
      <c r="N146" t="n">
        <v>0</v>
      </c>
      <c r="O146" t="n">
        <v>0</v>
      </c>
      <c r="P146" t="n">
        <v>0</v>
      </c>
      <c r="Q146" t="n">
        <v>1</v>
      </c>
      <c r="R146" s="2" t="inlineStr">
        <is>
          <t>Guckusko</t>
        </is>
      </c>
      <c r="S146">
        <f>HYPERLINK("https://klasma.github.io/Logging_0188/artfynd/A 47898-2022 artfynd.xlsx", "A 47898-2022")</f>
        <v/>
      </c>
      <c r="T146">
        <f>HYPERLINK("https://klasma.github.io/Logging_0188/kartor/A 47898-2022 karta.png", "A 47898-2022")</f>
        <v/>
      </c>
      <c r="V146">
        <f>HYPERLINK("https://klasma.github.io/Logging_0188/klagomål/A 47898-2022 FSC-klagomål.docx", "A 47898-2022")</f>
        <v/>
      </c>
      <c r="W146">
        <f>HYPERLINK("https://klasma.github.io/Logging_0188/klagomålsmail/A 47898-2022 FSC-klagomål mail.docx", "A 47898-2022")</f>
        <v/>
      </c>
      <c r="X146">
        <f>HYPERLINK("https://klasma.github.io/Logging_0188/tillsyn/A 47898-2022 tillsynsbegäran.docx", "A 47898-2022")</f>
        <v/>
      </c>
      <c r="Y146">
        <f>HYPERLINK("https://klasma.github.io/Logging_0188/tillsynsmail/A 47898-2022 tillsynsbegäran mail.docx", "A 47898-2022")</f>
        <v/>
      </c>
    </row>
    <row r="147" ht="15" customHeight="1">
      <c r="A147" t="inlineStr">
        <is>
          <t>A 50854-2022</t>
        </is>
      </c>
      <c r="B147" s="1" t="n">
        <v>44863</v>
      </c>
      <c r="C147" s="1" t="n">
        <v>45629</v>
      </c>
      <c r="D147" t="inlineStr">
        <is>
          <t>STOCKHOLMS LÄN</t>
        </is>
      </c>
      <c r="E147" t="inlineStr">
        <is>
          <t>NORRTÄLJE</t>
        </is>
      </c>
      <c r="G147" t="n">
        <v>2.9</v>
      </c>
      <c r="H147" t="n">
        <v>0</v>
      </c>
      <c r="I147" t="n">
        <v>1</v>
      </c>
      <c r="J147" t="n">
        <v>0</v>
      </c>
      <c r="K147" t="n">
        <v>0</v>
      </c>
      <c r="L147" t="n">
        <v>0</v>
      </c>
      <c r="M147" t="n">
        <v>0</v>
      </c>
      <c r="N147" t="n">
        <v>0</v>
      </c>
      <c r="O147" t="n">
        <v>0</v>
      </c>
      <c r="P147" t="n">
        <v>0</v>
      </c>
      <c r="Q147" t="n">
        <v>1</v>
      </c>
      <c r="R147" s="2" t="inlineStr">
        <is>
          <t>Tibast</t>
        </is>
      </c>
      <c r="S147">
        <f>HYPERLINK("https://klasma.github.io/Logging_0188/artfynd/A 50854-2022 artfynd.xlsx", "A 50854-2022")</f>
        <v/>
      </c>
      <c r="T147">
        <f>HYPERLINK("https://klasma.github.io/Logging_0188/kartor/A 50854-2022 karta.png", "A 50854-2022")</f>
        <v/>
      </c>
      <c r="V147">
        <f>HYPERLINK("https://klasma.github.io/Logging_0188/klagomål/A 50854-2022 FSC-klagomål.docx", "A 50854-2022")</f>
        <v/>
      </c>
      <c r="W147">
        <f>HYPERLINK("https://klasma.github.io/Logging_0188/klagomålsmail/A 50854-2022 FSC-klagomål mail.docx", "A 50854-2022")</f>
        <v/>
      </c>
      <c r="X147">
        <f>HYPERLINK("https://klasma.github.io/Logging_0188/tillsyn/A 50854-2022 tillsynsbegäran.docx", "A 50854-2022")</f>
        <v/>
      </c>
      <c r="Y147">
        <f>HYPERLINK("https://klasma.github.io/Logging_0188/tillsynsmail/A 50854-2022 tillsynsbegäran mail.docx", "A 50854-2022")</f>
        <v/>
      </c>
    </row>
    <row r="148" ht="15" customHeight="1">
      <c r="A148" t="inlineStr">
        <is>
          <t>A 52130-2022</t>
        </is>
      </c>
      <c r="B148" s="1" t="n">
        <v>44868</v>
      </c>
      <c r="C148" s="1" t="n">
        <v>45629</v>
      </c>
      <c r="D148" t="inlineStr">
        <is>
          <t>STOCKHOLMS LÄN</t>
        </is>
      </c>
      <c r="E148" t="inlineStr">
        <is>
          <t>NORRTÄLJE</t>
        </is>
      </c>
      <c r="G148" t="n">
        <v>3.7</v>
      </c>
      <c r="H148" t="n">
        <v>0</v>
      </c>
      <c r="I148" t="n">
        <v>0</v>
      </c>
      <c r="J148" t="n">
        <v>1</v>
      </c>
      <c r="K148" t="n">
        <v>0</v>
      </c>
      <c r="L148" t="n">
        <v>0</v>
      </c>
      <c r="M148" t="n">
        <v>0</v>
      </c>
      <c r="N148" t="n">
        <v>0</v>
      </c>
      <c r="O148" t="n">
        <v>1</v>
      </c>
      <c r="P148" t="n">
        <v>0</v>
      </c>
      <c r="Q148" t="n">
        <v>1</v>
      </c>
      <c r="R148" s="2" t="inlineStr">
        <is>
          <t>Flattoppad klubbsvamp</t>
        </is>
      </c>
      <c r="S148">
        <f>HYPERLINK("https://klasma.github.io/Logging_0188/artfynd/A 52130-2022 artfynd.xlsx", "A 52130-2022")</f>
        <v/>
      </c>
      <c r="T148">
        <f>HYPERLINK("https://klasma.github.io/Logging_0188/kartor/A 52130-2022 karta.png", "A 52130-2022")</f>
        <v/>
      </c>
      <c r="V148">
        <f>HYPERLINK("https://klasma.github.io/Logging_0188/klagomål/A 52130-2022 FSC-klagomål.docx", "A 52130-2022")</f>
        <v/>
      </c>
      <c r="W148">
        <f>HYPERLINK("https://klasma.github.io/Logging_0188/klagomålsmail/A 52130-2022 FSC-klagomål mail.docx", "A 52130-2022")</f>
        <v/>
      </c>
      <c r="X148">
        <f>HYPERLINK("https://klasma.github.io/Logging_0188/tillsyn/A 52130-2022 tillsynsbegäran.docx", "A 52130-2022")</f>
        <v/>
      </c>
      <c r="Y148">
        <f>HYPERLINK("https://klasma.github.io/Logging_0188/tillsynsmail/A 52130-2022 tillsynsbegäran mail.docx", "A 52130-2022")</f>
        <v/>
      </c>
    </row>
    <row r="149" ht="15" customHeight="1">
      <c r="A149" t="inlineStr">
        <is>
          <t>A 61011-2022</t>
        </is>
      </c>
      <c r="B149" s="1" t="n">
        <v>44914</v>
      </c>
      <c r="C149" s="1" t="n">
        <v>45629</v>
      </c>
      <c r="D149" t="inlineStr">
        <is>
          <t>STOCKHOLMS LÄN</t>
        </is>
      </c>
      <c r="E149" t="inlineStr">
        <is>
          <t>NORRTÄLJE</t>
        </is>
      </c>
      <c r="G149" t="n">
        <v>2.2</v>
      </c>
      <c r="H149" t="n">
        <v>0</v>
      </c>
      <c r="I149" t="n">
        <v>0</v>
      </c>
      <c r="J149" t="n">
        <v>1</v>
      </c>
      <c r="K149" t="n">
        <v>0</v>
      </c>
      <c r="L149" t="n">
        <v>0</v>
      </c>
      <c r="M149" t="n">
        <v>0</v>
      </c>
      <c r="N149" t="n">
        <v>0</v>
      </c>
      <c r="O149" t="n">
        <v>1</v>
      </c>
      <c r="P149" t="n">
        <v>0</v>
      </c>
      <c r="Q149" t="n">
        <v>1</v>
      </c>
      <c r="R149" s="2" t="inlineStr">
        <is>
          <t>Orange taggsvamp</t>
        </is>
      </c>
      <c r="S149">
        <f>HYPERLINK("https://klasma.github.io/Logging_0188/artfynd/A 61011-2022 artfynd.xlsx", "A 61011-2022")</f>
        <v/>
      </c>
      <c r="T149">
        <f>HYPERLINK("https://klasma.github.io/Logging_0188/kartor/A 61011-2022 karta.png", "A 61011-2022")</f>
        <v/>
      </c>
      <c r="V149">
        <f>HYPERLINK("https://klasma.github.io/Logging_0188/klagomål/A 61011-2022 FSC-klagomål.docx", "A 61011-2022")</f>
        <v/>
      </c>
      <c r="W149">
        <f>HYPERLINK("https://klasma.github.io/Logging_0188/klagomålsmail/A 61011-2022 FSC-klagomål mail.docx", "A 61011-2022")</f>
        <v/>
      </c>
      <c r="X149">
        <f>HYPERLINK("https://klasma.github.io/Logging_0188/tillsyn/A 61011-2022 tillsynsbegäran.docx", "A 61011-2022")</f>
        <v/>
      </c>
      <c r="Y149">
        <f>HYPERLINK("https://klasma.github.io/Logging_0188/tillsynsmail/A 61011-2022 tillsynsbegäran mail.docx", "A 61011-2022")</f>
        <v/>
      </c>
    </row>
    <row r="150" ht="15" customHeight="1">
      <c r="A150" t="inlineStr">
        <is>
          <t>A 4385-2023</t>
        </is>
      </c>
      <c r="B150" s="1" t="n">
        <v>44955</v>
      </c>
      <c r="C150" s="1" t="n">
        <v>45629</v>
      </c>
      <c r="D150" t="inlineStr">
        <is>
          <t>STOCKHOLMS LÄN</t>
        </is>
      </c>
      <c r="E150" t="inlineStr">
        <is>
          <t>NORRTÄLJE</t>
        </is>
      </c>
      <c r="G150" t="n">
        <v>7.8</v>
      </c>
      <c r="H150" t="n">
        <v>1</v>
      </c>
      <c r="I150" t="n">
        <v>1</v>
      </c>
      <c r="J150" t="n">
        <v>0</v>
      </c>
      <c r="K150" t="n">
        <v>0</v>
      </c>
      <c r="L150" t="n">
        <v>0</v>
      </c>
      <c r="M150" t="n">
        <v>0</v>
      </c>
      <c r="N150" t="n">
        <v>0</v>
      </c>
      <c r="O150" t="n">
        <v>0</v>
      </c>
      <c r="P150" t="n">
        <v>0</v>
      </c>
      <c r="Q150" t="n">
        <v>1</v>
      </c>
      <c r="R150" s="2" t="inlineStr">
        <is>
          <t>Skogsknipprot</t>
        </is>
      </c>
      <c r="S150">
        <f>HYPERLINK("https://klasma.github.io/Logging_0188/artfynd/A 4385-2023 artfynd.xlsx", "A 4385-2023")</f>
        <v/>
      </c>
      <c r="T150">
        <f>HYPERLINK("https://klasma.github.io/Logging_0188/kartor/A 4385-2023 karta.png", "A 4385-2023")</f>
        <v/>
      </c>
      <c r="V150">
        <f>HYPERLINK("https://klasma.github.io/Logging_0188/klagomål/A 4385-2023 FSC-klagomål.docx", "A 4385-2023")</f>
        <v/>
      </c>
      <c r="W150">
        <f>HYPERLINK("https://klasma.github.io/Logging_0188/klagomålsmail/A 4385-2023 FSC-klagomål mail.docx", "A 4385-2023")</f>
        <v/>
      </c>
      <c r="X150">
        <f>HYPERLINK("https://klasma.github.io/Logging_0188/tillsyn/A 4385-2023 tillsynsbegäran.docx", "A 4385-2023")</f>
        <v/>
      </c>
      <c r="Y150">
        <f>HYPERLINK("https://klasma.github.io/Logging_0188/tillsynsmail/A 4385-2023 tillsynsbegäran mail.docx", "A 4385-2023")</f>
        <v/>
      </c>
    </row>
    <row r="151" ht="15" customHeight="1">
      <c r="A151" t="inlineStr">
        <is>
          <t>A 4595-2023</t>
        </is>
      </c>
      <c r="B151" s="1" t="n">
        <v>44956</v>
      </c>
      <c r="C151" s="1" t="n">
        <v>45629</v>
      </c>
      <c r="D151" t="inlineStr">
        <is>
          <t>STOCKHOLMS LÄN</t>
        </is>
      </c>
      <c r="E151" t="inlineStr">
        <is>
          <t>NORRTÄLJE</t>
        </is>
      </c>
      <c r="G151" t="n">
        <v>0.6</v>
      </c>
      <c r="H151" t="n">
        <v>1</v>
      </c>
      <c r="I151" t="n">
        <v>0</v>
      </c>
      <c r="J151" t="n">
        <v>0</v>
      </c>
      <c r="K151" t="n">
        <v>0</v>
      </c>
      <c r="L151" t="n">
        <v>0</v>
      </c>
      <c r="M151" t="n">
        <v>0</v>
      </c>
      <c r="N151" t="n">
        <v>0</v>
      </c>
      <c r="O151" t="n">
        <v>0</v>
      </c>
      <c r="P151" t="n">
        <v>0</v>
      </c>
      <c r="Q151" t="n">
        <v>1</v>
      </c>
      <c r="R151" s="2" t="inlineStr">
        <is>
          <t>Blåsippa</t>
        </is>
      </c>
      <c r="S151">
        <f>HYPERLINK("https://klasma.github.io/Logging_0188/artfynd/A 4595-2023 artfynd.xlsx", "A 4595-2023")</f>
        <v/>
      </c>
      <c r="T151">
        <f>HYPERLINK("https://klasma.github.io/Logging_0188/kartor/A 4595-2023 karta.png", "A 4595-2023")</f>
        <v/>
      </c>
      <c r="V151">
        <f>HYPERLINK("https://klasma.github.io/Logging_0188/klagomål/A 4595-2023 FSC-klagomål.docx", "A 4595-2023")</f>
        <v/>
      </c>
      <c r="W151">
        <f>HYPERLINK("https://klasma.github.io/Logging_0188/klagomålsmail/A 4595-2023 FSC-klagomål mail.docx", "A 4595-2023")</f>
        <v/>
      </c>
      <c r="X151">
        <f>HYPERLINK("https://klasma.github.io/Logging_0188/tillsyn/A 4595-2023 tillsynsbegäran.docx", "A 4595-2023")</f>
        <v/>
      </c>
      <c r="Y151">
        <f>HYPERLINK("https://klasma.github.io/Logging_0188/tillsynsmail/A 4595-2023 tillsynsbegäran mail.docx", "A 4595-2023")</f>
        <v/>
      </c>
    </row>
    <row r="152" ht="15" customHeight="1">
      <c r="A152" t="inlineStr">
        <is>
          <t>A 6381-2023</t>
        </is>
      </c>
      <c r="B152" s="1" t="n">
        <v>44965</v>
      </c>
      <c r="C152" s="1" t="n">
        <v>45629</v>
      </c>
      <c r="D152" t="inlineStr">
        <is>
          <t>STOCKHOLMS LÄN</t>
        </is>
      </c>
      <c r="E152" t="inlineStr">
        <is>
          <t>NORRTÄLJE</t>
        </is>
      </c>
      <c r="G152" t="n">
        <v>3.5</v>
      </c>
      <c r="H152" t="n">
        <v>1</v>
      </c>
      <c r="I152" t="n">
        <v>1</v>
      </c>
      <c r="J152" t="n">
        <v>0</v>
      </c>
      <c r="K152" t="n">
        <v>0</v>
      </c>
      <c r="L152" t="n">
        <v>0</v>
      </c>
      <c r="M152" t="n">
        <v>0</v>
      </c>
      <c r="N152" t="n">
        <v>0</v>
      </c>
      <c r="O152" t="n">
        <v>0</v>
      </c>
      <c r="P152" t="n">
        <v>0</v>
      </c>
      <c r="Q152" t="n">
        <v>1</v>
      </c>
      <c r="R152" s="2" t="inlineStr">
        <is>
          <t>Guckusko</t>
        </is>
      </c>
      <c r="S152">
        <f>HYPERLINK("https://klasma.github.io/Logging_0188/artfynd/A 6381-2023 artfynd.xlsx", "A 6381-2023")</f>
        <v/>
      </c>
      <c r="T152">
        <f>HYPERLINK("https://klasma.github.io/Logging_0188/kartor/A 6381-2023 karta.png", "A 6381-2023")</f>
        <v/>
      </c>
      <c r="V152">
        <f>HYPERLINK("https://klasma.github.io/Logging_0188/klagomål/A 6381-2023 FSC-klagomål.docx", "A 6381-2023")</f>
        <v/>
      </c>
      <c r="W152">
        <f>HYPERLINK("https://klasma.github.io/Logging_0188/klagomålsmail/A 6381-2023 FSC-klagomål mail.docx", "A 6381-2023")</f>
        <v/>
      </c>
      <c r="X152">
        <f>HYPERLINK("https://klasma.github.io/Logging_0188/tillsyn/A 6381-2023 tillsynsbegäran.docx", "A 6381-2023")</f>
        <v/>
      </c>
      <c r="Y152">
        <f>HYPERLINK("https://klasma.github.io/Logging_0188/tillsynsmail/A 6381-2023 tillsynsbegäran mail.docx", "A 6381-2023")</f>
        <v/>
      </c>
    </row>
    <row r="153" ht="15" customHeight="1">
      <c r="A153" t="inlineStr">
        <is>
          <t>A 9214-2023</t>
        </is>
      </c>
      <c r="B153" s="1" t="n">
        <v>44980</v>
      </c>
      <c r="C153" s="1" t="n">
        <v>45629</v>
      </c>
      <c r="D153" t="inlineStr">
        <is>
          <t>STOCKHOLMS LÄN</t>
        </is>
      </c>
      <c r="E153" t="inlineStr">
        <is>
          <t>NORRTÄLJE</t>
        </is>
      </c>
      <c r="G153" t="n">
        <v>10.6</v>
      </c>
      <c r="H153" t="n">
        <v>1</v>
      </c>
      <c r="I153" t="n">
        <v>1</v>
      </c>
      <c r="J153" t="n">
        <v>0</v>
      </c>
      <c r="K153" t="n">
        <v>0</v>
      </c>
      <c r="L153" t="n">
        <v>0</v>
      </c>
      <c r="M153" t="n">
        <v>0</v>
      </c>
      <c r="N153" t="n">
        <v>0</v>
      </c>
      <c r="O153" t="n">
        <v>0</v>
      </c>
      <c r="P153" t="n">
        <v>0</v>
      </c>
      <c r="Q153" t="n">
        <v>1</v>
      </c>
      <c r="R153" s="2" t="inlineStr">
        <is>
          <t>Guckusko</t>
        </is>
      </c>
      <c r="S153">
        <f>HYPERLINK("https://klasma.github.io/Logging_0188/artfynd/A 9214-2023 artfynd.xlsx", "A 9214-2023")</f>
        <v/>
      </c>
      <c r="T153">
        <f>HYPERLINK("https://klasma.github.io/Logging_0188/kartor/A 9214-2023 karta.png", "A 9214-2023")</f>
        <v/>
      </c>
      <c r="V153">
        <f>HYPERLINK("https://klasma.github.io/Logging_0188/klagomål/A 9214-2023 FSC-klagomål.docx", "A 9214-2023")</f>
        <v/>
      </c>
      <c r="W153">
        <f>HYPERLINK("https://klasma.github.io/Logging_0188/klagomålsmail/A 9214-2023 FSC-klagomål mail.docx", "A 9214-2023")</f>
        <v/>
      </c>
      <c r="X153">
        <f>HYPERLINK("https://klasma.github.io/Logging_0188/tillsyn/A 9214-2023 tillsynsbegäran.docx", "A 9214-2023")</f>
        <v/>
      </c>
      <c r="Y153">
        <f>HYPERLINK("https://klasma.github.io/Logging_0188/tillsynsmail/A 9214-2023 tillsynsbegäran mail.docx", "A 9214-2023")</f>
        <v/>
      </c>
    </row>
    <row r="154" ht="15" customHeight="1">
      <c r="A154" t="inlineStr">
        <is>
          <t>A 9271-2023</t>
        </is>
      </c>
      <c r="B154" s="1" t="n">
        <v>44980</v>
      </c>
      <c r="C154" s="1" t="n">
        <v>45629</v>
      </c>
      <c r="D154" t="inlineStr">
        <is>
          <t>STOCKHOLMS LÄN</t>
        </is>
      </c>
      <c r="E154" t="inlineStr">
        <is>
          <t>NORRTÄLJE</t>
        </is>
      </c>
      <c r="G154" t="n">
        <v>5.3</v>
      </c>
      <c r="H154" t="n">
        <v>1</v>
      </c>
      <c r="I154" t="n">
        <v>0</v>
      </c>
      <c r="J154" t="n">
        <v>0</v>
      </c>
      <c r="K154" t="n">
        <v>1</v>
      </c>
      <c r="L154" t="n">
        <v>0</v>
      </c>
      <c r="M154" t="n">
        <v>0</v>
      </c>
      <c r="N154" t="n">
        <v>0</v>
      </c>
      <c r="O154" t="n">
        <v>1</v>
      </c>
      <c r="P154" t="n">
        <v>1</v>
      </c>
      <c r="Q154" t="n">
        <v>1</v>
      </c>
      <c r="R154" s="2" t="inlineStr">
        <is>
          <t>Hällebräcka</t>
        </is>
      </c>
      <c r="S154">
        <f>HYPERLINK("https://klasma.github.io/Logging_0188/artfynd/A 9271-2023 artfynd.xlsx", "A 9271-2023")</f>
        <v/>
      </c>
      <c r="T154">
        <f>HYPERLINK("https://klasma.github.io/Logging_0188/kartor/A 9271-2023 karta.png", "A 9271-2023")</f>
        <v/>
      </c>
      <c r="V154">
        <f>HYPERLINK("https://klasma.github.io/Logging_0188/klagomål/A 9271-2023 FSC-klagomål.docx", "A 9271-2023")</f>
        <v/>
      </c>
      <c r="W154">
        <f>HYPERLINK("https://klasma.github.io/Logging_0188/klagomålsmail/A 9271-2023 FSC-klagomål mail.docx", "A 9271-2023")</f>
        <v/>
      </c>
      <c r="X154">
        <f>HYPERLINK("https://klasma.github.io/Logging_0188/tillsyn/A 9271-2023 tillsynsbegäran.docx", "A 9271-2023")</f>
        <v/>
      </c>
      <c r="Y154">
        <f>HYPERLINK("https://klasma.github.io/Logging_0188/tillsynsmail/A 9271-2023 tillsynsbegäran mail.docx", "A 9271-2023")</f>
        <v/>
      </c>
    </row>
    <row r="155" ht="15" customHeight="1">
      <c r="A155" t="inlineStr">
        <is>
          <t>A 9522-2023</t>
        </is>
      </c>
      <c r="B155" s="1" t="n">
        <v>44981</v>
      </c>
      <c r="C155" s="1" t="n">
        <v>45629</v>
      </c>
      <c r="D155" t="inlineStr">
        <is>
          <t>STOCKHOLMS LÄN</t>
        </is>
      </c>
      <c r="E155" t="inlineStr">
        <is>
          <t>NORRTÄLJE</t>
        </is>
      </c>
      <c r="F155" t="inlineStr">
        <is>
          <t>Holmen skog AB</t>
        </is>
      </c>
      <c r="G155" t="n">
        <v>7.5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9522-2023 artfynd.xlsx", "A 9522-2023")</f>
        <v/>
      </c>
      <c r="T155">
        <f>HYPERLINK("https://klasma.github.io/Logging_0188/kartor/A 9522-2023 karta.png", "A 9522-2023")</f>
        <v/>
      </c>
      <c r="V155">
        <f>HYPERLINK("https://klasma.github.io/Logging_0188/klagomål/A 9522-2023 FSC-klagomål.docx", "A 9522-2023")</f>
        <v/>
      </c>
      <c r="W155">
        <f>HYPERLINK("https://klasma.github.io/Logging_0188/klagomålsmail/A 9522-2023 FSC-klagomål mail.docx", "A 9522-2023")</f>
        <v/>
      </c>
      <c r="X155">
        <f>HYPERLINK("https://klasma.github.io/Logging_0188/tillsyn/A 9522-2023 tillsynsbegäran.docx", "A 9522-2023")</f>
        <v/>
      </c>
      <c r="Y155">
        <f>HYPERLINK("https://klasma.github.io/Logging_0188/tillsynsmail/A 9522-2023 tillsynsbegäran mail.docx", "A 9522-2023")</f>
        <v/>
      </c>
    </row>
    <row r="156" ht="15" customHeight="1">
      <c r="A156" t="inlineStr">
        <is>
          <t>A 10019-2023</t>
        </is>
      </c>
      <c r="B156" s="1" t="n">
        <v>44985</v>
      </c>
      <c r="C156" s="1" t="n">
        <v>45629</v>
      </c>
      <c r="D156" t="inlineStr">
        <is>
          <t>STOCKHOLMS LÄN</t>
        </is>
      </c>
      <c r="E156" t="inlineStr">
        <is>
          <t>NORRTÄLJE</t>
        </is>
      </c>
      <c r="G156" t="n">
        <v>8.4</v>
      </c>
      <c r="H156" t="n">
        <v>0</v>
      </c>
      <c r="I156" t="n">
        <v>1</v>
      </c>
      <c r="J156" t="n">
        <v>0</v>
      </c>
      <c r="K156" t="n">
        <v>0</v>
      </c>
      <c r="L156" t="n">
        <v>0</v>
      </c>
      <c r="M156" t="n">
        <v>0</v>
      </c>
      <c r="N156" t="n">
        <v>0</v>
      </c>
      <c r="O156" t="n">
        <v>0</v>
      </c>
      <c r="P156" t="n">
        <v>0</v>
      </c>
      <c r="Q156" t="n">
        <v>1</v>
      </c>
      <c r="R156" s="2" t="inlineStr">
        <is>
          <t>Underviol</t>
        </is>
      </c>
      <c r="S156">
        <f>HYPERLINK("https://klasma.github.io/Logging_0188/artfynd/A 10019-2023 artfynd.xlsx", "A 10019-2023")</f>
        <v/>
      </c>
      <c r="T156">
        <f>HYPERLINK("https://klasma.github.io/Logging_0188/kartor/A 10019-2023 karta.png", "A 10019-2023")</f>
        <v/>
      </c>
      <c r="V156">
        <f>HYPERLINK("https://klasma.github.io/Logging_0188/klagomål/A 10019-2023 FSC-klagomål.docx", "A 10019-2023")</f>
        <v/>
      </c>
      <c r="W156">
        <f>HYPERLINK("https://klasma.github.io/Logging_0188/klagomålsmail/A 10019-2023 FSC-klagomål mail.docx", "A 10019-2023")</f>
        <v/>
      </c>
      <c r="X156">
        <f>HYPERLINK("https://klasma.github.io/Logging_0188/tillsyn/A 10019-2023 tillsynsbegäran.docx", "A 10019-2023")</f>
        <v/>
      </c>
      <c r="Y156">
        <f>HYPERLINK("https://klasma.github.io/Logging_0188/tillsynsmail/A 10019-2023 tillsynsbegäran mail.docx", "A 10019-2023")</f>
        <v/>
      </c>
    </row>
    <row r="157" ht="15" customHeight="1">
      <c r="A157" t="inlineStr">
        <is>
          <t>A 11429-2023</t>
        </is>
      </c>
      <c r="B157" s="1" t="n">
        <v>44993</v>
      </c>
      <c r="C157" s="1" t="n">
        <v>45629</v>
      </c>
      <c r="D157" t="inlineStr">
        <is>
          <t>STOCKHOLMS LÄN</t>
        </is>
      </c>
      <c r="E157" t="inlineStr">
        <is>
          <t>NORRTÄLJE</t>
        </is>
      </c>
      <c r="G157" t="n">
        <v>2</v>
      </c>
      <c r="H157" t="n">
        <v>0</v>
      </c>
      <c r="I157" t="n">
        <v>0</v>
      </c>
      <c r="J157" t="n">
        <v>1</v>
      </c>
      <c r="K157" t="n">
        <v>0</v>
      </c>
      <c r="L157" t="n">
        <v>0</v>
      </c>
      <c r="M157" t="n">
        <v>0</v>
      </c>
      <c r="N157" t="n">
        <v>0</v>
      </c>
      <c r="O157" t="n">
        <v>1</v>
      </c>
      <c r="P157" t="n">
        <v>0</v>
      </c>
      <c r="Q157" t="n">
        <v>1</v>
      </c>
      <c r="R157" s="2" t="inlineStr">
        <is>
          <t>Skogsklocka</t>
        </is>
      </c>
      <c r="S157">
        <f>HYPERLINK("https://klasma.github.io/Logging_0188/artfynd/A 11429-2023 artfynd.xlsx", "A 11429-2023")</f>
        <v/>
      </c>
      <c r="T157">
        <f>HYPERLINK("https://klasma.github.io/Logging_0188/kartor/A 11429-2023 karta.png", "A 11429-2023")</f>
        <v/>
      </c>
      <c r="V157">
        <f>HYPERLINK("https://klasma.github.io/Logging_0188/klagomål/A 11429-2023 FSC-klagomål.docx", "A 11429-2023")</f>
        <v/>
      </c>
      <c r="W157">
        <f>HYPERLINK("https://klasma.github.io/Logging_0188/klagomålsmail/A 11429-2023 FSC-klagomål mail.docx", "A 11429-2023")</f>
        <v/>
      </c>
      <c r="X157">
        <f>HYPERLINK("https://klasma.github.io/Logging_0188/tillsyn/A 11429-2023 tillsynsbegäran.docx", "A 11429-2023")</f>
        <v/>
      </c>
      <c r="Y157">
        <f>HYPERLINK("https://klasma.github.io/Logging_0188/tillsynsmail/A 11429-2023 tillsynsbegäran mail.docx", "A 11429-2023")</f>
        <v/>
      </c>
    </row>
    <row r="158" ht="15" customHeight="1">
      <c r="A158" t="inlineStr">
        <is>
          <t>A 12442-2023</t>
        </is>
      </c>
      <c r="B158" s="1" t="n">
        <v>44999</v>
      </c>
      <c r="C158" s="1" t="n">
        <v>45629</v>
      </c>
      <c r="D158" t="inlineStr">
        <is>
          <t>STOCKHOLMS LÄN</t>
        </is>
      </c>
      <c r="E158" t="inlineStr">
        <is>
          <t>NORRTÄLJE</t>
        </is>
      </c>
      <c r="G158" t="n">
        <v>1.9</v>
      </c>
      <c r="H158" t="n">
        <v>1</v>
      </c>
      <c r="I158" t="n">
        <v>0</v>
      </c>
      <c r="J158" t="n">
        <v>0</v>
      </c>
      <c r="K158" t="n">
        <v>0</v>
      </c>
      <c r="L158" t="n">
        <v>0</v>
      </c>
      <c r="M158" t="n">
        <v>0</v>
      </c>
      <c r="N158" t="n">
        <v>0</v>
      </c>
      <c r="O158" t="n">
        <v>0</v>
      </c>
      <c r="P158" t="n">
        <v>0</v>
      </c>
      <c r="Q158" t="n">
        <v>1</v>
      </c>
      <c r="R158" s="2" t="inlineStr">
        <is>
          <t>Gullviva</t>
        </is>
      </c>
      <c r="S158">
        <f>HYPERLINK("https://klasma.github.io/Logging_0188/artfynd/A 12442-2023 artfynd.xlsx", "A 12442-2023")</f>
        <v/>
      </c>
      <c r="T158">
        <f>HYPERLINK("https://klasma.github.io/Logging_0188/kartor/A 12442-2023 karta.png", "A 12442-2023")</f>
        <v/>
      </c>
      <c r="V158">
        <f>HYPERLINK("https://klasma.github.io/Logging_0188/klagomål/A 12442-2023 FSC-klagomål.docx", "A 12442-2023")</f>
        <v/>
      </c>
      <c r="W158">
        <f>HYPERLINK("https://klasma.github.io/Logging_0188/klagomålsmail/A 12442-2023 FSC-klagomål mail.docx", "A 12442-2023")</f>
        <v/>
      </c>
      <c r="X158">
        <f>HYPERLINK("https://klasma.github.io/Logging_0188/tillsyn/A 12442-2023 tillsynsbegäran.docx", "A 12442-2023")</f>
        <v/>
      </c>
      <c r="Y158">
        <f>HYPERLINK("https://klasma.github.io/Logging_0188/tillsynsmail/A 12442-2023 tillsynsbegäran mail.docx", "A 12442-2023")</f>
        <v/>
      </c>
    </row>
    <row r="159" ht="15" customHeight="1">
      <c r="A159" t="inlineStr">
        <is>
          <t>A 15644-2023</t>
        </is>
      </c>
      <c r="B159" s="1" t="n">
        <v>45021</v>
      </c>
      <c r="C159" s="1" t="n">
        <v>45629</v>
      </c>
      <c r="D159" t="inlineStr">
        <is>
          <t>STOCKHOLMS LÄN</t>
        </is>
      </c>
      <c r="E159" t="inlineStr">
        <is>
          <t>NORRTÄLJE</t>
        </is>
      </c>
      <c r="F159" t="inlineStr">
        <is>
          <t>Holmen skog AB</t>
        </is>
      </c>
      <c r="G159" t="n">
        <v>13</v>
      </c>
      <c r="H159" t="n">
        <v>1</v>
      </c>
      <c r="I159" t="n">
        <v>0</v>
      </c>
      <c r="J159" t="n">
        <v>0</v>
      </c>
      <c r="K159" t="n">
        <v>0</v>
      </c>
      <c r="L159" t="n">
        <v>1</v>
      </c>
      <c r="M159" t="n">
        <v>0</v>
      </c>
      <c r="N159" t="n">
        <v>0</v>
      </c>
      <c r="O159" t="n">
        <v>1</v>
      </c>
      <c r="P159" t="n">
        <v>1</v>
      </c>
      <c r="Q159" t="n">
        <v>1</v>
      </c>
      <c r="R159" s="2" t="inlineStr">
        <is>
          <t>Asknätfjäril</t>
        </is>
      </c>
      <c r="S159">
        <f>HYPERLINK("https://klasma.github.io/Logging_0188/artfynd/A 15644-2023 artfynd.xlsx", "A 15644-2023")</f>
        <v/>
      </c>
      <c r="T159">
        <f>HYPERLINK("https://klasma.github.io/Logging_0188/kartor/A 15644-2023 karta.png", "A 15644-2023")</f>
        <v/>
      </c>
      <c r="V159">
        <f>HYPERLINK("https://klasma.github.io/Logging_0188/klagomål/A 15644-2023 FSC-klagomål.docx", "A 15644-2023")</f>
        <v/>
      </c>
      <c r="W159">
        <f>HYPERLINK("https://klasma.github.io/Logging_0188/klagomålsmail/A 15644-2023 FSC-klagomål mail.docx", "A 15644-2023")</f>
        <v/>
      </c>
      <c r="X159">
        <f>HYPERLINK("https://klasma.github.io/Logging_0188/tillsyn/A 15644-2023 tillsynsbegäran.docx", "A 15644-2023")</f>
        <v/>
      </c>
      <c r="Y159">
        <f>HYPERLINK("https://klasma.github.io/Logging_0188/tillsynsmail/A 15644-2023 tillsynsbegäran mail.docx", "A 15644-2023")</f>
        <v/>
      </c>
    </row>
    <row r="160" ht="15" customHeight="1">
      <c r="A160" t="inlineStr">
        <is>
          <t>A 18216-2023</t>
        </is>
      </c>
      <c r="B160" s="1" t="n">
        <v>45041</v>
      </c>
      <c r="C160" s="1" t="n">
        <v>45629</v>
      </c>
      <c r="D160" t="inlineStr">
        <is>
          <t>STOCKHOLMS LÄN</t>
        </is>
      </c>
      <c r="E160" t="inlineStr">
        <is>
          <t>NORRTÄLJE</t>
        </is>
      </c>
      <c r="F160" t="inlineStr">
        <is>
          <t>Holmen skog AB</t>
        </is>
      </c>
      <c r="G160" t="n">
        <v>1.9</v>
      </c>
      <c r="H160" t="n">
        <v>0</v>
      </c>
      <c r="I160" t="n">
        <v>1</v>
      </c>
      <c r="J160" t="n">
        <v>0</v>
      </c>
      <c r="K160" t="n">
        <v>0</v>
      </c>
      <c r="L160" t="n">
        <v>0</v>
      </c>
      <c r="M160" t="n">
        <v>0</v>
      </c>
      <c r="N160" t="n">
        <v>0</v>
      </c>
      <c r="O160" t="n">
        <v>0</v>
      </c>
      <c r="P160" t="n">
        <v>0</v>
      </c>
      <c r="Q160" t="n">
        <v>1</v>
      </c>
      <c r="R160" s="2" t="inlineStr">
        <is>
          <t>Vårärt</t>
        </is>
      </c>
      <c r="S160">
        <f>HYPERLINK("https://klasma.github.io/Logging_0188/artfynd/A 18216-2023 artfynd.xlsx", "A 18216-2023")</f>
        <v/>
      </c>
      <c r="T160">
        <f>HYPERLINK("https://klasma.github.io/Logging_0188/kartor/A 18216-2023 karta.png", "A 18216-2023")</f>
        <v/>
      </c>
      <c r="V160">
        <f>HYPERLINK("https://klasma.github.io/Logging_0188/klagomål/A 18216-2023 FSC-klagomål.docx", "A 18216-2023")</f>
        <v/>
      </c>
      <c r="W160">
        <f>HYPERLINK("https://klasma.github.io/Logging_0188/klagomålsmail/A 18216-2023 FSC-klagomål mail.docx", "A 18216-2023")</f>
        <v/>
      </c>
      <c r="X160">
        <f>HYPERLINK("https://klasma.github.io/Logging_0188/tillsyn/A 18216-2023 tillsynsbegäran.docx", "A 18216-2023")</f>
        <v/>
      </c>
      <c r="Y160">
        <f>HYPERLINK("https://klasma.github.io/Logging_0188/tillsynsmail/A 18216-2023 tillsynsbegäran mail.docx", "A 18216-2023")</f>
        <v/>
      </c>
    </row>
    <row r="161" ht="15" customHeight="1">
      <c r="A161" t="inlineStr">
        <is>
          <t>A 21431-2023</t>
        </is>
      </c>
      <c r="B161" s="1" t="n">
        <v>45063</v>
      </c>
      <c r="C161" s="1" t="n">
        <v>45629</v>
      </c>
      <c r="D161" t="inlineStr">
        <is>
          <t>STOCKHOLMS LÄN</t>
        </is>
      </c>
      <c r="E161" t="inlineStr">
        <is>
          <t>NORRTÄLJE</t>
        </is>
      </c>
      <c r="F161" t="inlineStr">
        <is>
          <t>Holmen skog AB</t>
        </is>
      </c>
      <c r="G161" t="n">
        <v>4</v>
      </c>
      <c r="H161" t="n">
        <v>1</v>
      </c>
      <c r="I161" t="n">
        <v>1</v>
      </c>
      <c r="J161" t="n">
        <v>0</v>
      </c>
      <c r="K161" t="n">
        <v>0</v>
      </c>
      <c r="L161" t="n">
        <v>0</v>
      </c>
      <c r="M161" t="n">
        <v>0</v>
      </c>
      <c r="N161" t="n">
        <v>0</v>
      </c>
      <c r="O161" t="n">
        <v>0</v>
      </c>
      <c r="P161" t="n">
        <v>0</v>
      </c>
      <c r="Q161" t="n">
        <v>1</v>
      </c>
      <c r="R161" s="2" t="inlineStr">
        <is>
          <t>Nästrot</t>
        </is>
      </c>
      <c r="S161">
        <f>HYPERLINK("https://klasma.github.io/Logging_0188/artfynd/A 21431-2023 artfynd.xlsx", "A 21431-2023")</f>
        <v/>
      </c>
      <c r="T161">
        <f>HYPERLINK("https://klasma.github.io/Logging_0188/kartor/A 21431-2023 karta.png", "A 21431-2023")</f>
        <v/>
      </c>
      <c r="V161">
        <f>HYPERLINK("https://klasma.github.io/Logging_0188/klagomål/A 21431-2023 FSC-klagomål.docx", "A 21431-2023")</f>
        <v/>
      </c>
      <c r="W161">
        <f>HYPERLINK("https://klasma.github.io/Logging_0188/klagomålsmail/A 21431-2023 FSC-klagomål mail.docx", "A 21431-2023")</f>
        <v/>
      </c>
      <c r="X161">
        <f>HYPERLINK("https://klasma.github.io/Logging_0188/tillsyn/A 21431-2023 tillsynsbegäran.docx", "A 21431-2023")</f>
        <v/>
      </c>
      <c r="Y161">
        <f>HYPERLINK("https://klasma.github.io/Logging_0188/tillsynsmail/A 21431-2023 tillsynsbegäran mail.docx", "A 21431-2023")</f>
        <v/>
      </c>
    </row>
    <row r="162" ht="15" customHeight="1">
      <c r="A162" t="inlineStr">
        <is>
          <t>A 21744-2023</t>
        </is>
      </c>
      <c r="B162" s="1" t="n">
        <v>45065</v>
      </c>
      <c r="C162" s="1" t="n">
        <v>45629</v>
      </c>
      <c r="D162" t="inlineStr">
        <is>
          <t>STOCKHOLMS LÄN</t>
        </is>
      </c>
      <c r="E162" t="inlineStr">
        <is>
          <t>NORRTÄLJE</t>
        </is>
      </c>
      <c r="F162" t="inlineStr">
        <is>
          <t>Holmen skog AB</t>
        </is>
      </c>
      <c r="G162" t="n">
        <v>4.2</v>
      </c>
      <c r="H162" t="n">
        <v>0</v>
      </c>
      <c r="I162" t="n">
        <v>1</v>
      </c>
      <c r="J162" t="n">
        <v>0</v>
      </c>
      <c r="K162" t="n">
        <v>0</v>
      </c>
      <c r="L162" t="n">
        <v>0</v>
      </c>
      <c r="M162" t="n">
        <v>0</v>
      </c>
      <c r="N162" t="n">
        <v>0</v>
      </c>
      <c r="O162" t="n">
        <v>0</v>
      </c>
      <c r="P162" t="n">
        <v>0</v>
      </c>
      <c r="Q162" t="n">
        <v>1</v>
      </c>
      <c r="R162" s="2" t="inlineStr">
        <is>
          <t>Korallblylav</t>
        </is>
      </c>
      <c r="S162">
        <f>HYPERLINK("https://klasma.github.io/Logging_0188/artfynd/A 21744-2023 artfynd.xlsx", "A 21744-2023")</f>
        <v/>
      </c>
      <c r="T162">
        <f>HYPERLINK("https://klasma.github.io/Logging_0188/kartor/A 21744-2023 karta.png", "A 21744-2023")</f>
        <v/>
      </c>
      <c r="V162">
        <f>HYPERLINK("https://klasma.github.io/Logging_0188/klagomål/A 21744-2023 FSC-klagomål.docx", "A 21744-2023")</f>
        <v/>
      </c>
      <c r="W162">
        <f>HYPERLINK("https://klasma.github.io/Logging_0188/klagomålsmail/A 21744-2023 FSC-klagomål mail.docx", "A 21744-2023")</f>
        <v/>
      </c>
      <c r="X162">
        <f>HYPERLINK("https://klasma.github.io/Logging_0188/tillsyn/A 21744-2023 tillsynsbegäran.docx", "A 21744-2023")</f>
        <v/>
      </c>
      <c r="Y162">
        <f>HYPERLINK("https://klasma.github.io/Logging_0188/tillsynsmail/A 21744-2023 tillsynsbegäran mail.docx", "A 21744-2023")</f>
        <v/>
      </c>
    </row>
    <row r="163" ht="15" customHeight="1">
      <c r="A163" t="inlineStr">
        <is>
          <t>A 24535-2023</t>
        </is>
      </c>
      <c r="B163" s="1" t="n">
        <v>45082</v>
      </c>
      <c r="C163" s="1" t="n">
        <v>45629</v>
      </c>
      <c r="D163" t="inlineStr">
        <is>
          <t>STOCKHOLMS LÄN</t>
        </is>
      </c>
      <c r="E163" t="inlineStr">
        <is>
          <t>NORRTÄLJE</t>
        </is>
      </c>
      <c r="F163" t="inlineStr">
        <is>
          <t>Kommuner</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HYPERLINK("https://klasma.github.io/Logging_0188/artfynd/A 24535-2023 artfynd.xlsx", "A 24535-2023")</f>
        <v/>
      </c>
      <c r="T163">
        <f>HYPERLINK("https://klasma.github.io/Logging_0188/kartor/A 24535-2023 karta.png", "A 24535-2023")</f>
        <v/>
      </c>
      <c r="V163">
        <f>HYPERLINK("https://klasma.github.io/Logging_0188/klagomål/A 24535-2023 FSC-klagomål.docx", "A 24535-2023")</f>
        <v/>
      </c>
      <c r="W163">
        <f>HYPERLINK("https://klasma.github.io/Logging_0188/klagomålsmail/A 24535-2023 FSC-klagomål mail.docx", "A 24535-2023")</f>
        <v/>
      </c>
      <c r="X163">
        <f>HYPERLINK("https://klasma.github.io/Logging_0188/tillsyn/A 24535-2023 tillsynsbegäran.docx", "A 24535-2023")</f>
        <v/>
      </c>
      <c r="Y163">
        <f>HYPERLINK("https://klasma.github.io/Logging_0188/tillsynsmail/A 24535-2023 tillsynsbegäran mail.docx", "A 24535-2023")</f>
        <v/>
      </c>
    </row>
    <row r="164" ht="15" customHeight="1">
      <c r="A164" t="inlineStr">
        <is>
          <t>A 26635-2023</t>
        </is>
      </c>
      <c r="B164" s="1" t="n">
        <v>45092</v>
      </c>
      <c r="C164" s="1" t="n">
        <v>45629</v>
      </c>
      <c r="D164" t="inlineStr">
        <is>
          <t>STOCKHOLMS LÄN</t>
        </is>
      </c>
      <c r="E164" t="inlineStr">
        <is>
          <t>NORRTÄLJE</t>
        </is>
      </c>
      <c r="G164" t="n">
        <v>3.1</v>
      </c>
      <c r="H164" t="n">
        <v>1</v>
      </c>
      <c r="I164" t="n">
        <v>0</v>
      </c>
      <c r="J164" t="n">
        <v>0</v>
      </c>
      <c r="K164" t="n">
        <v>0</v>
      </c>
      <c r="L164" t="n">
        <v>0</v>
      </c>
      <c r="M164" t="n">
        <v>0</v>
      </c>
      <c r="N164" t="n">
        <v>0</v>
      </c>
      <c r="O164" t="n">
        <v>0</v>
      </c>
      <c r="P164" t="n">
        <v>0</v>
      </c>
      <c r="Q164" t="n">
        <v>1</v>
      </c>
      <c r="R164" s="2" t="inlineStr">
        <is>
          <t>Fläcknycklar</t>
        </is>
      </c>
      <c r="S164">
        <f>HYPERLINK("https://klasma.github.io/Logging_0188/artfynd/A 26635-2023 artfynd.xlsx", "A 26635-2023")</f>
        <v/>
      </c>
      <c r="T164">
        <f>HYPERLINK("https://klasma.github.io/Logging_0188/kartor/A 26635-2023 karta.png", "A 26635-2023")</f>
        <v/>
      </c>
      <c r="V164">
        <f>HYPERLINK("https://klasma.github.io/Logging_0188/klagomål/A 26635-2023 FSC-klagomål.docx", "A 26635-2023")</f>
        <v/>
      </c>
      <c r="W164">
        <f>HYPERLINK("https://klasma.github.io/Logging_0188/klagomålsmail/A 26635-2023 FSC-klagomål mail.docx", "A 26635-2023")</f>
        <v/>
      </c>
      <c r="X164">
        <f>HYPERLINK("https://klasma.github.io/Logging_0188/tillsyn/A 26635-2023 tillsynsbegäran.docx", "A 26635-2023")</f>
        <v/>
      </c>
      <c r="Y164">
        <f>HYPERLINK("https://klasma.github.io/Logging_0188/tillsynsmail/A 26635-2023 tillsynsbegäran mail.docx", "A 26635-2023")</f>
        <v/>
      </c>
    </row>
    <row r="165" ht="15" customHeight="1">
      <c r="A165" t="inlineStr">
        <is>
          <t>A 35649-2023</t>
        </is>
      </c>
      <c r="B165" s="1" t="n">
        <v>45146</v>
      </c>
      <c r="C165" s="1" t="n">
        <v>45629</v>
      </c>
      <c r="D165" t="inlineStr">
        <is>
          <t>STOCKHOLMS LÄN</t>
        </is>
      </c>
      <c r="E165" t="inlineStr">
        <is>
          <t>NORRTÄLJE</t>
        </is>
      </c>
      <c r="G165" t="n">
        <v>25.1</v>
      </c>
      <c r="H165" t="n">
        <v>0</v>
      </c>
      <c r="I165" t="n">
        <v>0</v>
      </c>
      <c r="J165" t="n">
        <v>1</v>
      </c>
      <c r="K165" t="n">
        <v>0</v>
      </c>
      <c r="L165" t="n">
        <v>0</v>
      </c>
      <c r="M165" t="n">
        <v>0</v>
      </c>
      <c r="N165" t="n">
        <v>0</v>
      </c>
      <c r="O165" t="n">
        <v>1</v>
      </c>
      <c r="P165" t="n">
        <v>0</v>
      </c>
      <c r="Q165" t="n">
        <v>1</v>
      </c>
      <c r="R165" s="2" t="inlineStr">
        <is>
          <t>Månlåsbräken</t>
        </is>
      </c>
      <c r="S165">
        <f>HYPERLINK("https://klasma.github.io/Logging_0188/artfynd/A 35649-2023 artfynd.xlsx", "A 35649-2023")</f>
        <v/>
      </c>
      <c r="T165">
        <f>HYPERLINK("https://klasma.github.io/Logging_0188/kartor/A 35649-2023 karta.png", "A 35649-2023")</f>
        <v/>
      </c>
      <c r="V165">
        <f>HYPERLINK("https://klasma.github.io/Logging_0188/klagomål/A 35649-2023 FSC-klagomål.docx", "A 35649-2023")</f>
        <v/>
      </c>
      <c r="W165">
        <f>HYPERLINK("https://klasma.github.io/Logging_0188/klagomålsmail/A 35649-2023 FSC-klagomål mail.docx", "A 35649-2023")</f>
        <v/>
      </c>
      <c r="X165">
        <f>HYPERLINK("https://klasma.github.io/Logging_0188/tillsyn/A 35649-2023 tillsynsbegäran.docx", "A 35649-2023")</f>
        <v/>
      </c>
      <c r="Y165">
        <f>HYPERLINK("https://klasma.github.io/Logging_0188/tillsynsmail/A 35649-2023 tillsynsbegäran mail.docx", "A 35649-2023")</f>
        <v/>
      </c>
    </row>
    <row r="166" ht="15" customHeight="1">
      <c r="A166" t="inlineStr">
        <is>
          <t>A 39255-2023</t>
        </is>
      </c>
      <c r="B166" s="1" t="n">
        <v>45166</v>
      </c>
      <c r="C166" s="1" t="n">
        <v>45629</v>
      </c>
      <c r="D166" t="inlineStr">
        <is>
          <t>STOCKHOLMS LÄN</t>
        </is>
      </c>
      <c r="E166" t="inlineStr">
        <is>
          <t>NORRTÄLJE</t>
        </is>
      </c>
      <c r="G166" t="n">
        <v>14.2</v>
      </c>
      <c r="H166" t="n">
        <v>1</v>
      </c>
      <c r="I166" t="n">
        <v>0</v>
      </c>
      <c r="J166" t="n">
        <v>0</v>
      </c>
      <c r="K166" t="n">
        <v>0</v>
      </c>
      <c r="L166" t="n">
        <v>0</v>
      </c>
      <c r="M166" t="n">
        <v>0</v>
      </c>
      <c r="N166" t="n">
        <v>0</v>
      </c>
      <c r="O166" t="n">
        <v>0</v>
      </c>
      <c r="P166" t="n">
        <v>0</v>
      </c>
      <c r="Q166" t="n">
        <v>1</v>
      </c>
      <c r="R166" s="2" t="inlineStr">
        <is>
          <t>Lopplummer</t>
        </is>
      </c>
      <c r="S166">
        <f>HYPERLINK("https://klasma.github.io/Logging_0188/artfynd/A 39255-2023 artfynd.xlsx", "A 39255-2023")</f>
        <v/>
      </c>
      <c r="T166">
        <f>HYPERLINK("https://klasma.github.io/Logging_0188/kartor/A 39255-2023 karta.png", "A 39255-2023")</f>
        <v/>
      </c>
      <c r="V166">
        <f>HYPERLINK("https://klasma.github.io/Logging_0188/klagomål/A 39255-2023 FSC-klagomål.docx", "A 39255-2023")</f>
        <v/>
      </c>
      <c r="W166">
        <f>HYPERLINK("https://klasma.github.io/Logging_0188/klagomålsmail/A 39255-2023 FSC-klagomål mail.docx", "A 39255-2023")</f>
        <v/>
      </c>
      <c r="X166">
        <f>HYPERLINK("https://klasma.github.io/Logging_0188/tillsyn/A 39255-2023 tillsynsbegäran.docx", "A 39255-2023")</f>
        <v/>
      </c>
      <c r="Y166">
        <f>HYPERLINK("https://klasma.github.io/Logging_0188/tillsynsmail/A 39255-2023 tillsynsbegäran mail.docx", "A 39255-2023")</f>
        <v/>
      </c>
    </row>
    <row r="167" ht="15" customHeight="1">
      <c r="A167" t="inlineStr">
        <is>
          <t>A 43178-2023</t>
        </is>
      </c>
      <c r="B167" s="1" t="n">
        <v>45183</v>
      </c>
      <c r="C167" s="1" t="n">
        <v>45629</v>
      </c>
      <c r="D167" t="inlineStr">
        <is>
          <t>STOCKHOLMS LÄN</t>
        </is>
      </c>
      <c r="E167" t="inlineStr">
        <is>
          <t>NORRTÄLJE</t>
        </is>
      </c>
      <c r="F167" t="inlineStr">
        <is>
          <t>Kyrkan</t>
        </is>
      </c>
      <c r="G167" t="n">
        <v>1.5</v>
      </c>
      <c r="H167" t="n">
        <v>0</v>
      </c>
      <c r="I167" t="n">
        <v>0</v>
      </c>
      <c r="J167" t="n">
        <v>1</v>
      </c>
      <c r="K167" t="n">
        <v>0</v>
      </c>
      <c r="L167" t="n">
        <v>0</v>
      </c>
      <c r="M167" t="n">
        <v>0</v>
      </c>
      <c r="N167" t="n">
        <v>0</v>
      </c>
      <c r="O167" t="n">
        <v>1</v>
      </c>
      <c r="P167" t="n">
        <v>0</v>
      </c>
      <c r="Q167" t="n">
        <v>1</v>
      </c>
      <c r="R167" s="2" t="inlineStr">
        <is>
          <t>Mindre bastardsvärmare</t>
        </is>
      </c>
      <c r="S167">
        <f>HYPERLINK("https://klasma.github.io/Logging_0188/artfynd/A 43178-2023 artfynd.xlsx", "A 43178-2023")</f>
        <v/>
      </c>
      <c r="T167">
        <f>HYPERLINK("https://klasma.github.io/Logging_0188/kartor/A 43178-2023 karta.png", "A 43178-2023")</f>
        <v/>
      </c>
      <c r="V167">
        <f>HYPERLINK("https://klasma.github.io/Logging_0188/klagomål/A 43178-2023 FSC-klagomål.docx", "A 43178-2023")</f>
        <v/>
      </c>
      <c r="W167">
        <f>HYPERLINK("https://klasma.github.io/Logging_0188/klagomålsmail/A 43178-2023 FSC-klagomål mail.docx", "A 43178-2023")</f>
        <v/>
      </c>
      <c r="X167">
        <f>HYPERLINK("https://klasma.github.io/Logging_0188/tillsyn/A 43178-2023 tillsynsbegäran.docx", "A 43178-2023")</f>
        <v/>
      </c>
      <c r="Y167">
        <f>HYPERLINK("https://klasma.github.io/Logging_0188/tillsynsmail/A 43178-2023 tillsynsbegäran mail.docx", "A 43178-2023")</f>
        <v/>
      </c>
    </row>
    <row r="168" ht="15" customHeight="1">
      <c r="A168" t="inlineStr">
        <is>
          <t>A 43171-2023</t>
        </is>
      </c>
      <c r="B168" s="1" t="n">
        <v>45183</v>
      </c>
      <c r="C168" s="1" t="n">
        <v>45629</v>
      </c>
      <c r="D168" t="inlineStr">
        <is>
          <t>STOCKHOLMS LÄN</t>
        </is>
      </c>
      <c r="E168" t="inlineStr">
        <is>
          <t>NORRTÄLJE</t>
        </is>
      </c>
      <c r="F168" t="inlineStr">
        <is>
          <t>Kyrkan</t>
        </is>
      </c>
      <c r="G168" t="n">
        <v>1.3</v>
      </c>
      <c r="H168" t="n">
        <v>0</v>
      </c>
      <c r="I168" t="n">
        <v>0</v>
      </c>
      <c r="J168" t="n">
        <v>0</v>
      </c>
      <c r="K168" t="n">
        <v>0</v>
      </c>
      <c r="L168" t="n">
        <v>1</v>
      </c>
      <c r="M168" t="n">
        <v>0</v>
      </c>
      <c r="N168" t="n">
        <v>0</v>
      </c>
      <c r="O168" t="n">
        <v>1</v>
      </c>
      <c r="P168" t="n">
        <v>1</v>
      </c>
      <c r="Q168" t="n">
        <v>1</v>
      </c>
      <c r="R168" s="2" t="inlineStr">
        <is>
          <t>Ryl</t>
        </is>
      </c>
      <c r="S168">
        <f>HYPERLINK("https://klasma.github.io/Logging_0188/artfynd/A 43171-2023 artfynd.xlsx", "A 43171-2023")</f>
        <v/>
      </c>
      <c r="T168">
        <f>HYPERLINK("https://klasma.github.io/Logging_0188/kartor/A 43171-2023 karta.png", "A 43171-2023")</f>
        <v/>
      </c>
      <c r="U168">
        <f>HYPERLINK("https://klasma.github.io/Logging_0188/knärot/A 43171-2023 karta knärot.png", "A 43171-2023")</f>
        <v/>
      </c>
      <c r="V168">
        <f>HYPERLINK("https://klasma.github.io/Logging_0188/klagomål/A 43171-2023 FSC-klagomål.docx", "A 43171-2023")</f>
        <v/>
      </c>
      <c r="W168">
        <f>HYPERLINK("https://klasma.github.io/Logging_0188/klagomålsmail/A 43171-2023 FSC-klagomål mail.docx", "A 43171-2023")</f>
        <v/>
      </c>
      <c r="X168">
        <f>HYPERLINK("https://klasma.github.io/Logging_0188/tillsyn/A 43171-2023 tillsynsbegäran.docx", "A 43171-2023")</f>
        <v/>
      </c>
      <c r="Y168">
        <f>HYPERLINK("https://klasma.github.io/Logging_0188/tillsynsmail/A 43171-2023 tillsynsbegäran mail.docx", "A 43171-2023")</f>
        <v/>
      </c>
    </row>
    <row r="169" ht="15" customHeight="1">
      <c r="A169" t="inlineStr">
        <is>
          <t>A 43350-2023</t>
        </is>
      </c>
      <c r="B169" s="1" t="n">
        <v>45183</v>
      </c>
      <c r="C169" s="1" t="n">
        <v>45629</v>
      </c>
      <c r="D169" t="inlineStr">
        <is>
          <t>STOCKHOLMS LÄN</t>
        </is>
      </c>
      <c r="E169" t="inlineStr">
        <is>
          <t>NORRTÄLJE</t>
        </is>
      </c>
      <c r="F169" t="inlineStr">
        <is>
          <t>Holmen skog AB</t>
        </is>
      </c>
      <c r="G169" t="n">
        <v>4.2</v>
      </c>
      <c r="H169" t="n">
        <v>1</v>
      </c>
      <c r="I169" t="n">
        <v>0</v>
      </c>
      <c r="J169" t="n">
        <v>0</v>
      </c>
      <c r="K169" t="n">
        <v>0</v>
      </c>
      <c r="L169" t="n">
        <v>0</v>
      </c>
      <c r="M169" t="n">
        <v>0</v>
      </c>
      <c r="N169" t="n">
        <v>0</v>
      </c>
      <c r="O169" t="n">
        <v>0</v>
      </c>
      <c r="P169" t="n">
        <v>0</v>
      </c>
      <c r="Q169" t="n">
        <v>1</v>
      </c>
      <c r="R169" s="2" t="inlineStr">
        <is>
          <t>Revlummer</t>
        </is>
      </c>
      <c r="S169">
        <f>HYPERLINK("https://klasma.github.io/Logging_0188/artfynd/A 43350-2023 artfynd.xlsx", "A 43350-2023")</f>
        <v/>
      </c>
      <c r="T169">
        <f>HYPERLINK("https://klasma.github.io/Logging_0188/kartor/A 43350-2023 karta.png", "A 43350-2023")</f>
        <v/>
      </c>
      <c r="V169">
        <f>HYPERLINK("https://klasma.github.io/Logging_0188/klagomål/A 43350-2023 FSC-klagomål.docx", "A 43350-2023")</f>
        <v/>
      </c>
      <c r="W169">
        <f>HYPERLINK("https://klasma.github.io/Logging_0188/klagomålsmail/A 43350-2023 FSC-klagomål mail.docx", "A 43350-2023")</f>
        <v/>
      </c>
      <c r="X169">
        <f>HYPERLINK("https://klasma.github.io/Logging_0188/tillsyn/A 43350-2023 tillsynsbegäran.docx", "A 43350-2023")</f>
        <v/>
      </c>
      <c r="Y169">
        <f>HYPERLINK("https://klasma.github.io/Logging_0188/tillsynsmail/A 43350-2023 tillsynsbegäran mail.docx", "A 43350-2023")</f>
        <v/>
      </c>
    </row>
    <row r="170" ht="15" customHeight="1">
      <c r="A170" t="inlineStr">
        <is>
          <t>A 43354-2023</t>
        </is>
      </c>
      <c r="B170" s="1" t="n">
        <v>45183</v>
      </c>
      <c r="C170" s="1" t="n">
        <v>45629</v>
      </c>
      <c r="D170" t="inlineStr">
        <is>
          <t>STOCKHOLMS LÄN</t>
        </is>
      </c>
      <c r="E170" t="inlineStr">
        <is>
          <t>NORRTÄLJE</t>
        </is>
      </c>
      <c r="F170" t="inlineStr">
        <is>
          <t>Holmen skog AB</t>
        </is>
      </c>
      <c r="G170" t="n">
        <v>9.9</v>
      </c>
      <c r="H170" t="n">
        <v>0</v>
      </c>
      <c r="I170" t="n">
        <v>1</v>
      </c>
      <c r="J170" t="n">
        <v>0</v>
      </c>
      <c r="K170" t="n">
        <v>0</v>
      </c>
      <c r="L170" t="n">
        <v>0</v>
      </c>
      <c r="M170" t="n">
        <v>0</v>
      </c>
      <c r="N170" t="n">
        <v>0</v>
      </c>
      <c r="O170" t="n">
        <v>0</v>
      </c>
      <c r="P170" t="n">
        <v>0</v>
      </c>
      <c r="Q170" t="n">
        <v>1</v>
      </c>
      <c r="R170" s="2" t="inlineStr">
        <is>
          <t>Tibast</t>
        </is>
      </c>
      <c r="S170">
        <f>HYPERLINK("https://klasma.github.io/Logging_0188/artfynd/A 43354-2023 artfynd.xlsx", "A 43354-2023")</f>
        <v/>
      </c>
      <c r="T170">
        <f>HYPERLINK("https://klasma.github.io/Logging_0188/kartor/A 43354-2023 karta.png", "A 43354-2023")</f>
        <v/>
      </c>
      <c r="V170">
        <f>HYPERLINK("https://klasma.github.io/Logging_0188/klagomål/A 43354-2023 FSC-klagomål.docx", "A 43354-2023")</f>
        <v/>
      </c>
      <c r="W170">
        <f>HYPERLINK("https://klasma.github.io/Logging_0188/klagomålsmail/A 43354-2023 FSC-klagomål mail.docx", "A 43354-2023")</f>
        <v/>
      </c>
      <c r="X170">
        <f>HYPERLINK("https://klasma.github.io/Logging_0188/tillsyn/A 43354-2023 tillsynsbegäran.docx", "A 43354-2023")</f>
        <v/>
      </c>
      <c r="Y170">
        <f>HYPERLINK("https://klasma.github.io/Logging_0188/tillsynsmail/A 43354-2023 tillsynsbegäran mail.docx", "A 43354-2023")</f>
        <v/>
      </c>
    </row>
    <row r="171" ht="15" customHeight="1">
      <c r="A171" t="inlineStr">
        <is>
          <t>A 45172-2023</t>
        </is>
      </c>
      <c r="B171" s="1" t="n">
        <v>45191</v>
      </c>
      <c r="C171" s="1" t="n">
        <v>45629</v>
      </c>
      <c r="D171" t="inlineStr">
        <is>
          <t>STOCKHOLMS LÄN</t>
        </is>
      </c>
      <c r="E171" t="inlineStr">
        <is>
          <t>NORRTÄLJE</t>
        </is>
      </c>
      <c r="F171" t="inlineStr">
        <is>
          <t>Sveaskog</t>
        </is>
      </c>
      <c r="G171" t="n">
        <v>3.8</v>
      </c>
      <c r="H171" t="n">
        <v>1</v>
      </c>
      <c r="I171" t="n">
        <v>0</v>
      </c>
      <c r="J171" t="n">
        <v>1</v>
      </c>
      <c r="K171" t="n">
        <v>0</v>
      </c>
      <c r="L171" t="n">
        <v>0</v>
      </c>
      <c r="M171" t="n">
        <v>0</v>
      </c>
      <c r="N171" t="n">
        <v>0</v>
      </c>
      <c r="O171" t="n">
        <v>1</v>
      </c>
      <c r="P171" t="n">
        <v>0</v>
      </c>
      <c r="Q171" t="n">
        <v>1</v>
      </c>
      <c r="R171" s="2" t="inlineStr">
        <is>
          <t>Slaguggla</t>
        </is>
      </c>
      <c r="S171">
        <f>HYPERLINK("https://klasma.github.io/Logging_0188/artfynd/A 45172-2023 artfynd.xlsx", "A 45172-2023")</f>
        <v/>
      </c>
      <c r="T171">
        <f>HYPERLINK("https://klasma.github.io/Logging_0188/kartor/A 45172-2023 karta.png", "A 45172-2023")</f>
        <v/>
      </c>
      <c r="V171">
        <f>HYPERLINK("https://klasma.github.io/Logging_0188/klagomål/A 45172-2023 FSC-klagomål.docx", "A 45172-2023")</f>
        <v/>
      </c>
      <c r="W171">
        <f>HYPERLINK("https://klasma.github.io/Logging_0188/klagomålsmail/A 45172-2023 FSC-klagomål mail.docx", "A 45172-2023")</f>
        <v/>
      </c>
      <c r="X171">
        <f>HYPERLINK("https://klasma.github.io/Logging_0188/tillsyn/A 45172-2023 tillsynsbegäran.docx", "A 45172-2023")</f>
        <v/>
      </c>
      <c r="Y171">
        <f>HYPERLINK("https://klasma.github.io/Logging_0188/tillsynsmail/A 45172-2023 tillsynsbegäran mail.docx", "A 45172-2023")</f>
        <v/>
      </c>
      <c r="Z171">
        <f>HYPERLINK("https://klasma.github.io/Logging_0188/fåglar/A 45172-2023 prioriterade fågelarter.docx", "A 45172-2023")</f>
        <v/>
      </c>
    </row>
    <row r="172" ht="15" customHeight="1">
      <c r="A172" t="inlineStr">
        <is>
          <t>A 48131-2023</t>
        </is>
      </c>
      <c r="B172" s="1" t="n">
        <v>45205</v>
      </c>
      <c r="C172" s="1" t="n">
        <v>45629</v>
      </c>
      <c r="D172" t="inlineStr">
        <is>
          <t>STOCKHOLMS LÄN</t>
        </is>
      </c>
      <c r="E172" t="inlineStr">
        <is>
          <t>NORRTÄLJE</t>
        </is>
      </c>
      <c r="G172" t="n">
        <v>2.3</v>
      </c>
      <c r="H172" t="n">
        <v>0</v>
      </c>
      <c r="I172" t="n">
        <v>0</v>
      </c>
      <c r="J172" t="n">
        <v>1</v>
      </c>
      <c r="K172" t="n">
        <v>0</v>
      </c>
      <c r="L172" t="n">
        <v>0</v>
      </c>
      <c r="M172" t="n">
        <v>0</v>
      </c>
      <c r="N172" t="n">
        <v>0</v>
      </c>
      <c r="O172" t="n">
        <v>1</v>
      </c>
      <c r="P172" t="n">
        <v>0</v>
      </c>
      <c r="Q172" t="n">
        <v>1</v>
      </c>
      <c r="R172" s="2" t="inlineStr">
        <is>
          <t>Slåtterfibbla</t>
        </is>
      </c>
      <c r="S172">
        <f>HYPERLINK("https://klasma.github.io/Logging_0188/artfynd/A 48131-2023 artfynd.xlsx", "A 48131-2023")</f>
        <v/>
      </c>
      <c r="T172">
        <f>HYPERLINK("https://klasma.github.io/Logging_0188/kartor/A 48131-2023 karta.png", "A 48131-2023")</f>
        <v/>
      </c>
      <c r="V172">
        <f>HYPERLINK("https://klasma.github.io/Logging_0188/klagomål/A 48131-2023 FSC-klagomål.docx", "A 48131-2023")</f>
        <v/>
      </c>
      <c r="W172">
        <f>HYPERLINK("https://klasma.github.io/Logging_0188/klagomålsmail/A 48131-2023 FSC-klagomål mail.docx", "A 48131-2023")</f>
        <v/>
      </c>
      <c r="X172">
        <f>HYPERLINK("https://klasma.github.io/Logging_0188/tillsyn/A 48131-2023 tillsynsbegäran.docx", "A 48131-2023")</f>
        <v/>
      </c>
      <c r="Y172">
        <f>HYPERLINK("https://klasma.github.io/Logging_0188/tillsynsmail/A 48131-2023 tillsynsbegäran mail.docx", "A 48131-2023")</f>
        <v/>
      </c>
    </row>
    <row r="173" ht="15" customHeight="1">
      <c r="A173" t="inlineStr">
        <is>
          <t>A 51695-2023</t>
        </is>
      </c>
      <c r="B173" s="1" t="n">
        <v>45222</v>
      </c>
      <c r="C173" s="1" t="n">
        <v>45629</v>
      </c>
      <c r="D173" t="inlineStr">
        <is>
          <t>STOCKHOLMS LÄN</t>
        </is>
      </c>
      <c r="E173" t="inlineStr">
        <is>
          <t>NORRTÄLJE</t>
        </is>
      </c>
      <c r="G173" t="n">
        <v>4.9</v>
      </c>
      <c r="H173" t="n">
        <v>0</v>
      </c>
      <c r="I173" t="n">
        <v>1</v>
      </c>
      <c r="J173" t="n">
        <v>0</v>
      </c>
      <c r="K173" t="n">
        <v>0</v>
      </c>
      <c r="L173" t="n">
        <v>0</v>
      </c>
      <c r="M173" t="n">
        <v>0</v>
      </c>
      <c r="N173" t="n">
        <v>0</v>
      </c>
      <c r="O173" t="n">
        <v>0</v>
      </c>
      <c r="P173" t="n">
        <v>0</v>
      </c>
      <c r="Q173" t="n">
        <v>1</v>
      </c>
      <c r="R173" s="2" t="inlineStr">
        <is>
          <t>Fjällig taggsvamp s.str.</t>
        </is>
      </c>
      <c r="S173">
        <f>HYPERLINK("https://klasma.github.io/Logging_0188/artfynd/A 51695-2023 artfynd.xlsx", "A 51695-2023")</f>
        <v/>
      </c>
      <c r="T173">
        <f>HYPERLINK("https://klasma.github.io/Logging_0188/kartor/A 51695-2023 karta.png", "A 51695-2023")</f>
        <v/>
      </c>
      <c r="V173">
        <f>HYPERLINK("https://klasma.github.io/Logging_0188/klagomål/A 51695-2023 FSC-klagomål.docx", "A 51695-2023")</f>
        <v/>
      </c>
      <c r="W173">
        <f>HYPERLINK("https://klasma.github.io/Logging_0188/klagomålsmail/A 51695-2023 FSC-klagomål mail.docx", "A 51695-2023")</f>
        <v/>
      </c>
      <c r="X173">
        <f>HYPERLINK("https://klasma.github.io/Logging_0188/tillsyn/A 51695-2023 tillsynsbegäran.docx", "A 51695-2023")</f>
        <v/>
      </c>
      <c r="Y173">
        <f>HYPERLINK("https://klasma.github.io/Logging_0188/tillsynsmail/A 51695-2023 tillsynsbegäran mail.docx", "A 51695-2023")</f>
        <v/>
      </c>
    </row>
    <row r="174" ht="15" customHeight="1">
      <c r="A174" t="inlineStr">
        <is>
          <t>A 51909-2023</t>
        </is>
      </c>
      <c r="B174" s="1" t="n">
        <v>45223</v>
      </c>
      <c r="C174" s="1" t="n">
        <v>45629</v>
      </c>
      <c r="D174" t="inlineStr">
        <is>
          <t>STOCKHOLMS LÄN</t>
        </is>
      </c>
      <c r="E174" t="inlineStr">
        <is>
          <t>NORRTÄLJE</t>
        </is>
      </c>
      <c r="G174" t="n">
        <v>8.1</v>
      </c>
      <c r="H174" t="n">
        <v>1</v>
      </c>
      <c r="I174" t="n">
        <v>1</v>
      </c>
      <c r="J174" t="n">
        <v>0</v>
      </c>
      <c r="K174" t="n">
        <v>0</v>
      </c>
      <c r="L174" t="n">
        <v>0</v>
      </c>
      <c r="M174" t="n">
        <v>0</v>
      </c>
      <c r="N174" t="n">
        <v>0</v>
      </c>
      <c r="O174" t="n">
        <v>0</v>
      </c>
      <c r="P174" t="n">
        <v>0</v>
      </c>
      <c r="Q174" t="n">
        <v>1</v>
      </c>
      <c r="R174" s="2" t="inlineStr">
        <is>
          <t>Skogsknipprot</t>
        </is>
      </c>
      <c r="S174">
        <f>HYPERLINK("https://klasma.github.io/Logging_0188/artfynd/A 51909-2023 artfynd.xlsx", "A 51909-2023")</f>
        <v/>
      </c>
      <c r="T174">
        <f>HYPERLINK("https://klasma.github.io/Logging_0188/kartor/A 51909-2023 karta.png", "A 51909-2023")</f>
        <v/>
      </c>
      <c r="V174">
        <f>HYPERLINK("https://klasma.github.io/Logging_0188/klagomål/A 51909-2023 FSC-klagomål.docx", "A 51909-2023")</f>
        <v/>
      </c>
      <c r="W174">
        <f>HYPERLINK("https://klasma.github.io/Logging_0188/klagomålsmail/A 51909-2023 FSC-klagomål mail.docx", "A 51909-2023")</f>
        <v/>
      </c>
      <c r="X174">
        <f>HYPERLINK("https://klasma.github.io/Logging_0188/tillsyn/A 51909-2023 tillsynsbegäran.docx", "A 51909-2023")</f>
        <v/>
      </c>
      <c r="Y174">
        <f>HYPERLINK("https://klasma.github.io/Logging_0188/tillsynsmail/A 51909-2023 tillsynsbegäran mail.docx", "A 51909-2023")</f>
        <v/>
      </c>
    </row>
    <row r="175" ht="15" customHeight="1">
      <c r="A175" t="inlineStr">
        <is>
          <t>A 52508-2023</t>
        </is>
      </c>
      <c r="B175" s="1" t="n">
        <v>45225</v>
      </c>
      <c r="C175" s="1" t="n">
        <v>45629</v>
      </c>
      <c r="D175" t="inlineStr">
        <is>
          <t>STOCKHOLMS LÄN</t>
        </is>
      </c>
      <c r="E175" t="inlineStr">
        <is>
          <t>NORRTÄLJE</t>
        </is>
      </c>
      <c r="G175" t="n">
        <v>19.7</v>
      </c>
      <c r="H175" t="n">
        <v>1</v>
      </c>
      <c r="I175" t="n">
        <v>0</v>
      </c>
      <c r="J175" t="n">
        <v>0</v>
      </c>
      <c r="K175" t="n">
        <v>1</v>
      </c>
      <c r="L175" t="n">
        <v>0</v>
      </c>
      <c r="M175" t="n">
        <v>0</v>
      </c>
      <c r="N175" t="n">
        <v>0</v>
      </c>
      <c r="O175" t="n">
        <v>1</v>
      </c>
      <c r="P175" t="n">
        <v>1</v>
      </c>
      <c r="Q175" t="n">
        <v>1</v>
      </c>
      <c r="R175" s="2" t="inlineStr">
        <is>
          <t>Svärta</t>
        </is>
      </c>
      <c r="S175">
        <f>HYPERLINK("https://klasma.github.io/Logging_0188/artfynd/A 52508-2023 artfynd.xlsx", "A 52508-2023")</f>
        <v/>
      </c>
      <c r="T175">
        <f>HYPERLINK("https://klasma.github.io/Logging_0188/kartor/A 52508-2023 karta.png", "A 52508-2023")</f>
        <v/>
      </c>
      <c r="V175">
        <f>HYPERLINK("https://klasma.github.io/Logging_0188/klagomål/A 52508-2023 FSC-klagomål.docx", "A 52508-2023")</f>
        <v/>
      </c>
      <c r="W175">
        <f>HYPERLINK("https://klasma.github.io/Logging_0188/klagomålsmail/A 52508-2023 FSC-klagomål mail.docx", "A 52508-2023")</f>
        <v/>
      </c>
      <c r="X175">
        <f>HYPERLINK("https://klasma.github.io/Logging_0188/tillsyn/A 52508-2023 tillsynsbegäran.docx", "A 52508-2023")</f>
        <v/>
      </c>
      <c r="Y175">
        <f>HYPERLINK("https://klasma.github.io/Logging_0188/tillsynsmail/A 52508-2023 tillsynsbegäran mail.docx", "A 52508-2023")</f>
        <v/>
      </c>
    </row>
    <row r="176" ht="15" customHeight="1">
      <c r="A176" t="inlineStr">
        <is>
          <t>A 55767-2023</t>
        </is>
      </c>
      <c r="B176" s="1" t="n">
        <v>45239</v>
      </c>
      <c r="C176" s="1" t="n">
        <v>45629</v>
      </c>
      <c r="D176" t="inlineStr">
        <is>
          <t>STOCKHOLMS LÄN</t>
        </is>
      </c>
      <c r="E176" t="inlineStr">
        <is>
          <t>NORRTÄLJE</t>
        </is>
      </c>
      <c r="G176" t="n">
        <v>3.7</v>
      </c>
      <c r="H176" t="n">
        <v>0</v>
      </c>
      <c r="I176" t="n">
        <v>1</v>
      </c>
      <c r="J176" t="n">
        <v>0</v>
      </c>
      <c r="K176" t="n">
        <v>0</v>
      </c>
      <c r="L176" t="n">
        <v>0</v>
      </c>
      <c r="M176" t="n">
        <v>0</v>
      </c>
      <c r="N176" t="n">
        <v>0</v>
      </c>
      <c r="O176" t="n">
        <v>0</v>
      </c>
      <c r="P176" t="n">
        <v>0</v>
      </c>
      <c r="Q176" t="n">
        <v>1</v>
      </c>
      <c r="R176" s="2" t="inlineStr">
        <is>
          <t>Ögonpyrola</t>
        </is>
      </c>
      <c r="S176">
        <f>HYPERLINK("https://klasma.github.io/Logging_0188/artfynd/A 55767-2023 artfynd.xlsx", "A 55767-2023")</f>
        <v/>
      </c>
      <c r="T176">
        <f>HYPERLINK("https://klasma.github.io/Logging_0188/kartor/A 55767-2023 karta.png", "A 55767-2023")</f>
        <v/>
      </c>
      <c r="V176">
        <f>HYPERLINK("https://klasma.github.io/Logging_0188/klagomål/A 55767-2023 FSC-klagomål.docx", "A 55767-2023")</f>
        <v/>
      </c>
      <c r="W176">
        <f>HYPERLINK("https://klasma.github.io/Logging_0188/klagomålsmail/A 55767-2023 FSC-klagomål mail.docx", "A 55767-2023")</f>
        <v/>
      </c>
      <c r="X176">
        <f>HYPERLINK("https://klasma.github.io/Logging_0188/tillsyn/A 55767-2023 tillsynsbegäran.docx", "A 55767-2023")</f>
        <v/>
      </c>
      <c r="Y176">
        <f>HYPERLINK("https://klasma.github.io/Logging_0188/tillsynsmail/A 55767-2023 tillsynsbegäran mail.docx", "A 55767-2023")</f>
        <v/>
      </c>
    </row>
    <row r="177" ht="15" customHeight="1">
      <c r="A177" t="inlineStr">
        <is>
          <t>A 59580-2023</t>
        </is>
      </c>
      <c r="B177" s="1" t="n">
        <v>45254</v>
      </c>
      <c r="C177" s="1" t="n">
        <v>45629</v>
      </c>
      <c r="D177" t="inlineStr">
        <is>
          <t>STOCKHOLMS LÄN</t>
        </is>
      </c>
      <c r="E177" t="inlineStr">
        <is>
          <t>NORRTÄLJE</t>
        </is>
      </c>
      <c r="G177" t="n">
        <v>3.2</v>
      </c>
      <c r="H177" t="n">
        <v>0</v>
      </c>
      <c r="I177" t="n">
        <v>1</v>
      </c>
      <c r="J177" t="n">
        <v>0</v>
      </c>
      <c r="K177" t="n">
        <v>0</v>
      </c>
      <c r="L177" t="n">
        <v>0</v>
      </c>
      <c r="M177" t="n">
        <v>0</v>
      </c>
      <c r="N177" t="n">
        <v>0</v>
      </c>
      <c r="O177" t="n">
        <v>0</v>
      </c>
      <c r="P177" t="n">
        <v>0</v>
      </c>
      <c r="Q177" t="n">
        <v>1</v>
      </c>
      <c r="R177" s="2" t="inlineStr">
        <is>
          <t>Trådticka</t>
        </is>
      </c>
      <c r="S177">
        <f>HYPERLINK("https://klasma.github.io/Logging_0188/artfynd/A 59580-2023 artfynd.xlsx", "A 59580-2023")</f>
        <v/>
      </c>
      <c r="T177">
        <f>HYPERLINK("https://klasma.github.io/Logging_0188/kartor/A 59580-2023 karta.png", "A 59580-2023")</f>
        <v/>
      </c>
      <c r="V177">
        <f>HYPERLINK("https://klasma.github.io/Logging_0188/klagomål/A 59580-2023 FSC-klagomål.docx", "A 59580-2023")</f>
        <v/>
      </c>
      <c r="W177">
        <f>HYPERLINK("https://klasma.github.io/Logging_0188/klagomålsmail/A 59580-2023 FSC-klagomål mail.docx", "A 59580-2023")</f>
        <v/>
      </c>
      <c r="X177">
        <f>HYPERLINK("https://klasma.github.io/Logging_0188/tillsyn/A 59580-2023 tillsynsbegäran.docx", "A 59580-2023")</f>
        <v/>
      </c>
      <c r="Y177">
        <f>HYPERLINK("https://klasma.github.io/Logging_0188/tillsynsmail/A 59580-2023 tillsynsbegäran mail.docx", "A 59580-2023")</f>
        <v/>
      </c>
    </row>
    <row r="178" ht="15" customHeight="1">
      <c r="A178" t="inlineStr">
        <is>
          <t>A 63851-2023</t>
        </is>
      </c>
      <c r="B178" s="1" t="n">
        <v>45278</v>
      </c>
      <c r="C178" s="1" t="n">
        <v>45629</v>
      </c>
      <c r="D178" t="inlineStr">
        <is>
          <t>STOCKHOLMS LÄN</t>
        </is>
      </c>
      <c r="E178" t="inlineStr">
        <is>
          <t>NORRTÄLJE</t>
        </is>
      </c>
      <c r="G178" t="n">
        <v>5.6</v>
      </c>
      <c r="H178" t="n">
        <v>1</v>
      </c>
      <c r="I178" t="n">
        <v>0</v>
      </c>
      <c r="J178" t="n">
        <v>0</v>
      </c>
      <c r="K178" t="n">
        <v>0</v>
      </c>
      <c r="L178" t="n">
        <v>0</v>
      </c>
      <c r="M178" t="n">
        <v>0</v>
      </c>
      <c r="N178" t="n">
        <v>0</v>
      </c>
      <c r="O178" t="n">
        <v>0</v>
      </c>
      <c r="P178" t="n">
        <v>0</v>
      </c>
      <c r="Q178" t="n">
        <v>1</v>
      </c>
      <c r="R178" s="2" t="inlineStr">
        <is>
          <t>Tjäder</t>
        </is>
      </c>
      <c r="S178">
        <f>HYPERLINK("https://klasma.github.io/Logging_0188/artfynd/A 63851-2023 artfynd.xlsx", "A 63851-2023")</f>
        <v/>
      </c>
      <c r="T178">
        <f>HYPERLINK("https://klasma.github.io/Logging_0188/kartor/A 63851-2023 karta.png", "A 63851-2023")</f>
        <v/>
      </c>
      <c r="V178">
        <f>HYPERLINK("https://klasma.github.io/Logging_0188/klagomål/A 63851-2023 FSC-klagomål.docx", "A 63851-2023")</f>
        <v/>
      </c>
      <c r="W178">
        <f>HYPERLINK("https://klasma.github.io/Logging_0188/klagomålsmail/A 63851-2023 FSC-klagomål mail.docx", "A 63851-2023")</f>
        <v/>
      </c>
      <c r="X178">
        <f>HYPERLINK("https://klasma.github.io/Logging_0188/tillsyn/A 63851-2023 tillsynsbegäran.docx", "A 63851-2023")</f>
        <v/>
      </c>
      <c r="Y178">
        <f>HYPERLINK("https://klasma.github.io/Logging_0188/tillsynsmail/A 63851-2023 tillsynsbegäran mail.docx", "A 63851-2023")</f>
        <v/>
      </c>
      <c r="Z178">
        <f>HYPERLINK("https://klasma.github.io/Logging_0188/fåglar/A 63851-2023 prioriterade fågelarter.docx", "A 63851-2023")</f>
        <v/>
      </c>
    </row>
    <row r="179" ht="15" customHeight="1">
      <c r="A179" t="inlineStr">
        <is>
          <t>A 64456-2023</t>
        </is>
      </c>
      <c r="B179" s="1" t="n">
        <v>45280</v>
      </c>
      <c r="C179" s="1" t="n">
        <v>45629</v>
      </c>
      <c r="D179" t="inlineStr">
        <is>
          <t>STOCKHOLMS LÄN</t>
        </is>
      </c>
      <c r="E179" t="inlineStr">
        <is>
          <t>NORRTÄLJE</t>
        </is>
      </c>
      <c r="G179" t="n">
        <v>2.5</v>
      </c>
      <c r="H179" t="n">
        <v>0</v>
      </c>
      <c r="I179" t="n">
        <v>1</v>
      </c>
      <c r="J179" t="n">
        <v>0</v>
      </c>
      <c r="K179" t="n">
        <v>0</v>
      </c>
      <c r="L179" t="n">
        <v>0</v>
      </c>
      <c r="M179" t="n">
        <v>0</v>
      </c>
      <c r="N179" t="n">
        <v>0</v>
      </c>
      <c r="O179" t="n">
        <v>0</v>
      </c>
      <c r="P179" t="n">
        <v>0</v>
      </c>
      <c r="Q179" t="n">
        <v>1</v>
      </c>
      <c r="R179" s="2" t="inlineStr">
        <is>
          <t>Rödgul trumpetsvamp</t>
        </is>
      </c>
      <c r="S179">
        <f>HYPERLINK("https://klasma.github.io/Logging_0188/artfynd/A 64456-2023 artfynd.xlsx", "A 64456-2023")</f>
        <v/>
      </c>
      <c r="T179">
        <f>HYPERLINK("https://klasma.github.io/Logging_0188/kartor/A 64456-2023 karta.png", "A 64456-2023")</f>
        <v/>
      </c>
      <c r="V179">
        <f>HYPERLINK("https://klasma.github.io/Logging_0188/klagomål/A 64456-2023 FSC-klagomål.docx", "A 64456-2023")</f>
        <v/>
      </c>
      <c r="W179">
        <f>HYPERLINK("https://klasma.github.io/Logging_0188/klagomålsmail/A 64456-2023 FSC-klagomål mail.docx", "A 64456-2023")</f>
        <v/>
      </c>
      <c r="X179">
        <f>HYPERLINK("https://klasma.github.io/Logging_0188/tillsyn/A 64456-2023 tillsynsbegäran.docx", "A 64456-2023")</f>
        <v/>
      </c>
      <c r="Y179">
        <f>HYPERLINK("https://klasma.github.io/Logging_0188/tillsynsmail/A 64456-2023 tillsynsbegäran mail.docx", "A 64456-2023")</f>
        <v/>
      </c>
    </row>
    <row r="180" ht="15" customHeight="1">
      <c r="A180" t="inlineStr">
        <is>
          <t>A 6950-2024</t>
        </is>
      </c>
      <c r="B180" s="1" t="n">
        <v>45343</v>
      </c>
      <c r="C180" s="1" t="n">
        <v>45629</v>
      </c>
      <c r="D180" t="inlineStr">
        <is>
          <t>STOCKHOLMS LÄN</t>
        </is>
      </c>
      <c r="E180" t="inlineStr">
        <is>
          <t>NORRTÄLJE</t>
        </is>
      </c>
      <c r="G180" t="n">
        <v>26.8</v>
      </c>
      <c r="H180" t="n">
        <v>1</v>
      </c>
      <c r="I180" t="n">
        <v>0</v>
      </c>
      <c r="J180" t="n">
        <v>0</v>
      </c>
      <c r="K180" t="n">
        <v>0</v>
      </c>
      <c r="L180" t="n">
        <v>0</v>
      </c>
      <c r="M180" t="n">
        <v>0</v>
      </c>
      <c r="N180" t="n">
        <v>0</v>
      </c>
      <c r="O180" t="n">
        <v>0</v>
      </c>
      <c r="P180" t="n">
        <v>0</v>
      </c>
      <c r="Q180" t="n">
        <v>1</v>
      </c>
      <c r="R180" s="2" t="inlineStr">
        <is>
          <t>Blåsippa</t>
        </is>
      </c>
      <c r="S180">
        <f>HYPERLINK("https://klasma.github.io/Logging_0188/artfynd/A 6950-2024 artfynd.xlsx", "A 6950-2024")</f>
        <v/>
      </c>
      <c r="T180">
        <f>HYPERLINK("https://klasma.github.io/Logging_0188/kartor/A 6950-2024 karta.png", "A 6950-2024")</f>
        <v/>
      </c>
      <c r="V180">
        <f>HYPERLINK("https://klasma.github.io/Logging_0188/klagomål/A 6950-2024 FSC-klagomål.docx", "A 6950-2024")</f>
        <v/>
      </c>
      <c r="W180">
        <f>HYPERLINK("https://klasma.github.io/Logging_0188/klagomålsmail/A 6950-2024 FSC-klagomål mail.docx", "A 6950-2024")</f>
        <v/>
      </c>
      <c r="X180">
        <f>HYPERLINK("https://klasma.github.io/Logging_0188/tillsyn/A 6950-2024 tillsynsbegäran.docx", "A 6950-2024")</f>
        <v/>
      </c>
      <c r="Y180">
        <f>HYPERLINK("https://klasma.github.io/Logging_0188/tillsynsmail/A 6950-2024 tillsynsbegäran mail.docx", "A 6950-2024")</f>
        <v/>
      </c>
    </row>
    <row r="181" ht="15" customHeight="1">
      <c r="A181" t="inlineStr">
        <is>
          <t>A 20468-2024</t>
        </is>
      </c>
      <c r="B181" s="1" t="n">
        <v>45435</v>
      </c>
      <c r="C181" s="1" t="n">
        <v>45629</v>
      </c>
      <c r="D181" t="inlineStr">
        <is>
          <t>STOCKHOLMS LÄN</t>
        </is>
      </c>
      <c r="E181" t="inlineStr">
        <is>
          <t>NORRTÄLJE</t>
        </is>
      </c>
      <c r="G181" t="n">
        <v>2.2</v>
      </c>
      <c r="H181" t="n">
        <v>0</v>
      </c>
      <c r="I181" t="n">
        <v>0</v>
      </c>
      <c r="J181" t="n">
        <v>0</v>
      </c>
      <c r="K181" t="n">
        <v>0</v>
      </c>
      <c r="L181" t="n">
        <v>1</v>
      </c>
      <c r="M181" t="n">
        <v>0</v>
      </c>
      <c r="N181" t="n">
        <v>0</v>
      </c>
      <c r="O181" t="n">
        <v>1</v>
      </c>
      <c r="P181" t="n">
        <v>1</v>
      </c>
      <c r="Q181" t="n">
        <v>1</v>
      </c>
      <c r="R181" s="2" t="inlineStr">
        <is>
          <t>Fältgentiana</t>
        </is>
      </c>
      <c r="S181">
        <f>HYPERLINK("https://klasma.github.io/Logging_0188/artfynd/A 20468-2024 artfynd.xlsx", "A 20468-2024")</f>
        <v/>
      </c>
      <c r="T181">
        <f>HYPERLINK("https://klasma.github.io/Logging_0188/kartor/A 20468-2024 karta.png", "A 20468-2024")</f>
        <v/>
      </c>
      <c r="V181">
        <f>HYPERLINK("https://klasma.github.io/Logging_0188/klagomål/A 20468-2024 FSC-klagomål.docx", "A 20468-2024")</f>
        <v/>
      </c>
      <c r="W181">
        <f>HYPERLINK("https://klasma.github.io/Logging_0188/klagomålsmail/A 20468-2024 FSC-klagomål mail.docx", "A 20468-2024")</f>
        <v/>
      </c>
      <c r="X181">
        <f>HYPERLINK("https://klasma.github.io/Logging_0188/tillsyn/A 20468-2024 tillsynsbegäran.docx", "A 20468-2024")</f>
        <v/>
      </c>
      <c r="Y181">
        <f>HYPERLINK("https://klasma.github.io/Logging_0188/tillsynsmail/A 20468-2024 tillsynsbegäran mail.docx", "A 20468-2024")</f>
        <v/>
      </c>
    </row>
    <row r="182" ht="15" customHeight="1">
      <c r="A182" t="inlineStr">
        <is>
          <t>A 23146-2024</t>
        </is>
      </c>
      <c r="B182" s="1" t="n">
        <v>45450</v>
      </c>
      <c r="C182" s="1" t="n">
        <v>45629</v>
      </c>
      <c r="D182" t="inlineStr">
        <is>
          <t>STOCKHOLMS LÄN</t>
        </is>
      </c>
      <c r="E182" t="inlineStr">
        <is>
          <t>NORRTÄLJE</t>
        </is>
      </c>
      <c r="F182" t="inlineStr">
        <is>
          <t>Kommuner</t>
        </is>
      </c>
      <c r="G182" t="n">
        <v>6</v>
      </c>
      <c r="H182" t="n">
        <v>0</v>
      </c>
      <c r="I182" t="n">
        <v>0</v>
      </c>
      <c r="J182" t="n">
        <v>1</v>
      </c>
      <c r="K182" t="n">
        <v>0</v>
      </c>
      <c r="L182" t="n">
        <v>0</v>
      </c>
      <c r="M182" t="n">
        <v>0</v>
      </c>
      <c r="N182" t="n">
        <v>0</v>
      </c>
      <c r="O182" t="n">
        <v>1</v>
      </c>
      <c r="P182" t="n">
        <v>0</v>
      </c>
      <c r="Q182" t="n">
        <v>1</v>
      </c>
      <c r="R182" s="2" t="inlineStr">
        <is>
          <t>Motaggsvamp</t>
        </is>
      </c>
      <c r="S182">
        <f>HYPERLINK("https://klasma.github.io/Logging_0188/artfynd/A 23146-2024 artfynd.xlsx", "A 23146-2024")</f>
        <v/>
      </c>
      <c r="T182">
        <f>HYPERLINK("https://klasma.github.io/Logging_0188/kartor/A 23146-2024 karta.png", "A 23146-2024")</f>
        <v/>
      </c>
      <c r="V182">
        <f>HYPERLINK("https://klasma.github.io/Logging_0188/klagomål/A 23146-2024 FSC-klagomål.docx", "A 23146-2024")</f>
        <v/>
      </c>
      <c r="W182">
        <f>HYPERLINK("https://klasma.github.io/Logging_0188/klagomålsmail/A 23146-2024 FSC-klagomål mail.docx", "A 23146-2024")</f>
        <v/>
      </c>
      <c r="X182">
        <f>HYPERLINK("https://klasma.github.io/Logging_0188/tillsyn/A 23146-2024 tillsynsbegäran.docx", "A 23146-2024")</f>
        <v/>
      </c>
      <c r="Y182">
        <f>HYPERLINK("https://klasma.github.io/Logging_0188/tillsynsmail/A 23146-2024 tillsynsbegäran mail.docx", "A 23146-2024")</f>
        <v/>
      </c>
    </row>
    <row r="183" ht="15" customHeight="1">
      <c r="A183" t="inlineStr">
        <is>
          <t>A 24577-2024</t>
        </is>
      </c>
      <c r="B183" s="1" t="n">
        <v>45460</v>
      </c>
      <c r="C183" s="1" t="n">
        <v>45629</v>
      </c>
      <c r="D183" t="inlineStr">
        <is>
          <t>STOCKHOLMS LÄN</t>
        </is>
      </c>
      <c r="E183" t="inlineStr">
        <is>
          <t>NORRTÄLJE</t>
        </is>
      </c>
      <c r="G183" t="n">
        <v>3.8</v>
      </c>
      <c r="H183" t="n">
        <v>0</v>
      </c>
      <c r="I183" t="n">
        <v>1</v>
      </c>
      <c r="J183" t="n">
        <v>0</v>
      </c>
      <c r="K183" t="n">
        <v>0</v>
      </c>
      <c r="L183" t="n">
        <v>0</v>
      </c>
      <c r="M183" t="n">
        <v>0</v>
      </c>
      <c r="N183" t="n">
        <v>0</v>
      </c>
      <c r="O183" t="n">
        <v>0</v>
      </c>
      <c r="P183" t="n">
        <v>0</v>
      </c>
      <c r="Q183" t="n">
        <v>1</v>
      </c>
      <c r="R183" s="2" t="inlineStr">
        <is>
          <t>Rostfläck</t>
        </is>
      </c>
      <c r="S183">
        <f>HYPERLINK("https://klasma.github.io/Logging_0188/artfynd/A 24577-2024 artfynd.xlsx", "A 24577-2024")</f>
        <v/>
      </c>
      <c r="T183">
        <f>HYPERLINK("https://klasma.github.io/Logging_0188/kartor/A 24577-2024 karta.png", "A 24577-2024")</f>
        <v/>
      </c>
      <c r="V183">
        <f>HYPERLINK("https://klasma.github.io/Logging_0188/klagomål/A 24577-2024 FSC-klagomål.docx", "A 24577-2024")</f>
        <v/>
      </c>
      <c r="W183">
        <f>HYPERLINK("https://klasma.github.io/Logging_0188/klagomålsmail/A 24577-2024 FSC-klagomål mail.docx", "A 24577-2024")</f>
        <v/>
      </c>
      <c r="X183">
        <f>HYPERLINK("https://klasma.github.io/Logging_0188/tillsyn/A 24577-2024 tillsynsbegäran.docx", "A 24577-2024")</f>
        <v/>
      </c>
      <c r="Y183">
        <f>HYPERLINK("https://klasma.github.io/Logging_0188/tillsynsmail/A 24577-2024 tillsynsbegäran mail.docx", "A 24577-2024")</f>
        <v/>
      </c>
    </row>
    <row r="184" ht="15" customHeight="1">
      <c r="A184" t="inlineStr">
        <is>
          <t>A 24528-2024</t>
        </is>
      </c>
      <c r="B184" s="1" t="n">
        <v>45460</v>
      </c>
      <c r="C184" s="1" t="n">
        <v>45629</v>
      </c>
      <c r="D184" t="inlineStr">
        <is>
          <t>STOCKHOLMS LÄN</t>
        </is>
      </c>
      <c r="E184" t="inlineStr">
        <is>
          <t>NORRTÄLJE</t>
        </is>
      </c>
      <c r="G184" t="n">
        <v>1.4</v>
      </c>
      <c r="H184" t="n">
        <v>1</v>
      </c>
      <c r="I184" t="n">
        <v>0</v>
      </c>
      <c r="J184" t="n">
        <v>0</v>
      </c>
      <c r="K184" t="n">
        <v>1</v>
      </c>
      <c r="L184" t="n">
        <v>0</v>
      </c>
      <c r="M184" t="n">
        <v>0</v>
      </c>
      <c r="N184" t="n">
        <v>0</v>
      </c>
      <c r="O184" t="n">
        <v>1</v>
      </c>
      <c r="P184" t="n">
        <v>1</v>
      </c>
      <c r="Q184" t="n">
        <v>1</v>
      </c>
      <c r="R184" s="2" t="inlineStr">
        <is>
          <t>Hällebräcka</t>
        </is>
      </c>
      <c r="S184">
        <f>HYPERLINK("https://klasma.github.io/Logging_0188/artfynd/A 24528-2024 artfynd.xlsx", "A 24528-2024")</f>
        <v/>
      </c>
      <c r="T184">
        <f>HYPERLINK("https://klasma.github.io/Logging_0188/kartor/A 24528-2024 karta.png", "A 24528-2024")</f>
        <v/>
      </c>
      <c r="V184">
        <f>HYPERLINK("https://klasma.github.io/Logging_0188/klagomål/A 24528-2024 FSC-klagomål.docx", "A 24528-2024")</f>
        <v/>
      </c>
      <c r="W184">
        <f>HYPERLINK("https://klasma.github.io/Logging_0188/klagomålsmail/A 24528-2024 FSC-klagomål mail.docx", "A 24528-2024")</f>
        <v/>
      </c>
      <c r="X184">
        <f>HYPERLINK("https://klasma.github.io/Logging_0188/tillsyn/A 24528-2024 tillsynsbegäran.docx", "A 24528-2024")</f>
        <v/>
      </c>
      <c r="Y184">
        <f>HYPERLINK("https://klasma.github.io/Logging_0188/tillsynsmail/A 24528-2024 tillsynsbegäran mail.docx", "A 24528-2024")</f>
        <v/>
      </c>
    </row>
    <row r="185" ht="15" customHeight="1">
      <c r="A185" t="inlineStr">
        <is>
          <t>A 26120-2024</t>
        </is>
      </c>
      <c r="B185" s="1" t="n">
        <v>45468</v>
      </c>
      <c r="C185" s="1" t="n">
        <v>45629</v>
      </c>
      <c r="D185" t="inlineStr">
        <is>
          <t>STOCKHOLMS LÄN</t>
        </is>
      </c>
      <c r="E185" t="inlineStr">
        <is>
          <t>NORRTÄLJE</t>
        </is>
      </c>
      <c r="G185" t="n">
        <v>1.8</v>
      </c>
      <c r="H185" t="n">
        <v>0</v>
      </c>
      <c r="I185" t="n">
        <v>0</v>
      </c>
      <c r="J185" t="n">
        <v>1</v>
      </c>
      <c r="K185" t="n">
        <v>0</v>
      </c>
      <c r="L185" t="n">
        <v>0</v>
      </c>
      <c r="M185" t="n">
        <v>0</v>
      </c>
      <c r="N185" t="n">
        <v>0</v>
      </c>
      <c r="O185" t="n">
        <v>1</v>
      </c>
      <c r="P185" t="n">
        <v>0</v>
      </c>
      <c r="Q185" t="n">
        <v>1</v>
      </c>
      <c r="R185" s="2" t="inlineStr">
        <is>
          <t>Majviva</t>
        </is>
      </c>
      <c r="S185">
        <f>HYPERLINK("https://klasma.github.io/Logging_0188/artfynd/A 26120-2024 artfynd.xlsx", "A 26120-2024")</f>
        <v/>
      </c>
      <c r="T185">
        <f>HYPERLINK("https://klasma.github.io/Logging_0188/kartor/A 26120-2024 karta.png", "A 26120-2024")</f>
        <v/>
      </c>
      <c r="V185">
        <f>HYPERLINK("https://klasma.github.io/Logging_0188/klagomål/A 26120-2024 FSC-klagomål.docx", "A 26120-2024")</f>
        <v/>
      </c>
      <c r="W185">
        <f>HYPERLINK("https://klasma.github.io/Logging_0188/klagomålsmail/A 26120-2024 FSC-klagomål mail.docx", "A 26120-2024")</f>
        <v/>
      </c>
      <c r="X185">
        <f>HYPERLINK("https://klasma.github.io/Logging_0188/tillsyn/A 26120-2024 tillsynsbegäran.docx", "A 26120-2024")</f>
        <v/>
      </c>
      <c r="Y185">
        <f>HYPERLINK("https://klasma.github.io/Logging_0188/tillsynsmail/A 26120-2024 tillsynsbegäran mail.docx", "A 26120-2024")</f>
        <v/>
      </c>
    </row>
    <row r="186" ht="15" customHeight="1">
      <c r="A186" t="inlineStr">
        <is>
          <t>A 27538-2024</t>
        </is>
      </c>
      <c r="B186" s="1" t="n">
        <v>45474</v>
      </c>
      <c r="C186" s="1" t="n">
        <v>45629</v>
      </c>
      <c r="D186" t="inlineStr">
        <is>
          <t>STOCKHOLMS LÄN</t>
        </is>
      </c>
      <c r="E186" t="inlineStr">
        <is>
          <t>NORRTÄLJE</t>
        </is>
      </c>
      <c r="G186" t="n">
        <v>1.5</v>
      </c>
      <c r="H186" t="n">
        <v>1</v>
      </c>
      <c r="I186" t="n">
        <v>1</v>
      </c>
      <c r="J186" t="n">
        <v>0</v>
      </c>
      <c r="K186" t="n">
        <v>0</v>
      </c>
      <c r="L186" t="n">
        <v>0</v>
      </c>
      <c r="M186" t="n">
        <v>0</v>
      </c>
      <c r="N186" t="n">
        <v>0</v>
      </c>
      <c r="O186" t="n">
        <v>0</v>
      </c>
      <c r="P186" t="n">
        <v>0</v>
      </c>
      <c r="Q186" t="n">
        <v>1</v>
      </c>
      <c r="R186" s="2" t="inlineStr">
        <is>
          <t>Skogsknipprot</t>
        </is>
      </c>
      <c r="S186">
        <f>HYPERLINK("https://klasma.github.io/Logging_0188/artfynd/A 27538-2024 artfynd.xlsx", "A 27538-2024")</f>
        <v/>
      </c>
      <c r="T186">
        <f>HYPERLINK("https://klasma.github.io/Logging_0188/kartor/A 27538-2024 karta.png", "A 27538-2024")</f>
        <v/>
      </c>
      <c r="V186">
        <f>HYPERLINK("https://klasma.github.io/Logging_0188/klagomål/A 27538-2024 FSC-klagomål.docx", "A 27538-2024")</f>
        <v/>
      </c>
      <c r="W186">
        <f>HYPERLINK("https://klasma.github.io/Logging_0188/klagomålsmail/A 27538-2024 FSC-klagomål mail.docx", "A 27538-2024")</f>
        <v/>
      </c>
      <c r="X186">
        <f>HYPERLINK("https://klasma.github.io/Logging_0188/tillsyn/A 27538-2024 tillsynsbegäran.docx", "A 27538-2024")</f>
        <v/>
      </c>
      <c r="Y186">
        <f>HYPERLINK("https://klasma.github.io/Logging_0188/tillsynsmail/A 27538-2024 tillsynsbegäran mail.docx", "A 27538-2024")</f>
        <v/>
      </c>
    </row>
    <row r="187" ht="15" customHeight="1">
      <c r="A187" t="inlineStr">
        <is>
          <t>A 35764-2024</t>
        </is>
      </c>
      <c r="B187" s="1" t="n">
        <v>45532</v>
      </c>
      <c r="C187" s="1" t="n">
        <v>45629</v>
      </c>
      <c r="D187" t="inlineStr">
        <is>
          <t>STOCKHOLMS LÄN</t>
        </is>
      </c>
      <c r="E187" t="inlineStr">
        <is>
          <t>NORRTÄLJE</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HYPERLINK("https://klasma.github.io/Logging_0188/artfynd/A 35764-2024 artfynd.xlsx", "A 35764-2024")</f>
        <v/>
      </c>
      <c r="T187">
        <f>HYPERLINK("https://klasma.github.io/Logging_0188/kartor/A 35764-2024 karta.png", "A 35764-2024")</f>
        <v/>
      </c>
      <c r="U187">
        <f>HYPERLINK("https://klasma.github.io/Logging_0188/knärot/A 35764-2024 karta knärot.png", "A 35764-2024")</f>
        <v/>
      </c>
      <c r="V187">
        <f>HYPERLINK("https://klasma.github.io/Logging_0188/klagomål/A 35764-2024 FSC-klagomål.docx", "A 35764-2024")</f>
        <v/>
      </c>
      <c r="W187">
        <f>HYPERLINK("https://klasma.github.io/Logging_0188/klagomålsmail/A 35764-2024 FSC-klagomål mail.docx", "A 35764-2024")</f>
        <v/>
      </c>
      <c r="X187">
        <f>HYPERLINK("https://klasma.github.io/Logging_0188/tillsyn/A 35764-2024 tillsynsbegäran.docx", "A 35764-2024")</f>
        <v/>
      </c>
      <c r="Y187">
        <f>HYPERLINK("https://klasma.github.io/Logging_0188/tillsynsmail/A 35764-2024 tillsynsbegäran mail.docx", "A 35764-2024")</f>
        <v/>
      </c>
    </row>
    <row r="188" ht="15" customHeight="1">
      <c r="A188" t="inlineStr">
        <is>
          <t>A 37918-2024</t>
        </is>
      </c>
      <c r="B188" s="1" t="n">
        <v>45544</v>
      </c>
      <c r="C188" s="1" t="n">
        <v>45629</v>
      </c>
      <c r="D188" t="inlineStr">
        <is>
          <t>STOCKHOLMS LÄN</t>
        </is>
      </c>
      <c r="E188" t="inlineStr">
        <is>
          <t>NORRTÄLJE</t>
        </is>
      </c>
      <c r="F188" t="inlineStr">
        <is>
          <t>Holmen skog AB</t>
        </is>
      </c>
      <c r="G188" t="n">
        <v>8.4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37918-2024 artfynd.xlsx", "A 37918-2024")</f>
        <v/>
      </c>
      <c r="T188">
        <f>HYPERLINK("https://klasma.github.io/Logging_0188/kartor/A 37918-2024 karta.png", "A 37918-2024")</f>
        <v/>
      </c>
      <c r="V188">
        <f>HYPERLINK("https://klasma.github.io/Logging_0188/klagomål/A 37918-2024 FSC-klagomål.docx", "A 37918-2024")</f>
        <v/>
      </c>
      <c r="W188">
        <f>HYPERLINK("https://klasma.github.io/Logging_0188/klagomålsmail/A 37918-2024 FSC-klagomål mail.docx", "A 37918-2024")</f>
        <v/>
      </c>
      <c r="X188">
        <f>HYPERLINK("https://klasma.github.io/Logging_0188/tillsyn/A 37918-2024 tillsynsbegäran.docx", "A 37918-2024")</f>
        <v/>
      </c>
      <c r="Y188">
        <f>HYPERLINK("https://klasma.github.io/Logging_0188/tillsynsmail/A 37918-2024 tillsynsbegäran mail.docx", "A 37918-2024")</f>
        <v/>
      </c>
    </row>
    <row r="189" ht="15" customHeight="1">
      <c r="A189" t="inlineStr">
        <is>
          <t>A 44547-2024</t>
        </is>
      </c>
      <c r="B189" s="1" t="n">
        <v>45574</v>
      </c>
      <c r="C189" s="1" t="n">
        <v>45629</v>
      </c>
      <c r="D189" t="inlineStr">
        <is>
          <t>STOCKHOLMS LÄN</t>
        </is>
      </c>
      <c r="E189" t="inlineStr">
        <is>
          <t>NORRTÄLJE</t>
        </is>
      </c>
      <c r="G189" t="n">
        <v>11.1</v>
      </c>
      <c r="H189" t="n">
        <v>0</v>
      </c>
      <c r="I189" t="n">
        <v>0</v>
      </c>
      <c r="J189" t="n">
        <v>1</v>
      </c>
      <c r="K189" t="n">
        <v>0</v>
      </c>
      <c r="L189" t="n">
        <v>0</v>
      </c>
      <c r="M189" t="n">
        <v>0</v>
      </c>
      <c r="N189" t="n">
        <v>0</v>
      </c>
      <c r="O189" t="n">
        <v>1</v>
      </c>
      <c r="P189" t="n">
        <v>0</v>
      </c>
      <c r="Q189" t="n">
        <v>1</v>
      </c>
      <c r="R189" s="2" t="inlineStr">
        <is>
          <t>Skogsklocka</t>
        </is>
      </c>
      <c r="S189">
        <f>HYPERLINK("https://klasma.github.io/Logging_0188/artfynd/A 44547-2024 artfynd.xlsx", "A 44547-2024")</f>
        <v/>
      </c>
      <c r="T189">
        <f>HYPERLINK("https://klasma.github.io/Logging_0188/kartor/A 44547-2024 karta.png", "A 44547-2024")</f>
        <v/>
      </c>
      <c r="V189">
        <f>HYPERLINK("https://klasma.github.io/Logging_0188/klagomål/A 44547-2024 FSC-klagomål.docx", "A 44547-2024")</f>
        <v/>
      </c>
      <c r="W189">
        <f>HYPERLINK("https://klasma.github.io/Logging_0188/klagomålsmail/A 44547-2024 FSC-klagomål mail.docx", "A 44547-2024")</f>
        <v/>
      </c>
      <c r="X189">
        <f>HYPERLINK("https://klasma.github.io/Logging_0188/tillsyn/A 44547-2024 tillsynsbegäran.docx", "A 44547-2024")</f>
        <v/>
      </c>
      <c r="Y189">
        <f>HYPERLINK("https://klasma.github.io/Logging_0188/tillsynsmail/A 44547-2024 tillsynsbegäran mail.docx", "A 44547-2024")</f>
        <v/>
      </c>
    </row>
    <row r="190" ht="15" customHeight="1">
      <c r="A190" t="inlineStr">
        <is>
          <t>A 52611-2024</t>
        </is>
      </c>
      <c r="B190" s="1" t="n">
        <v>45609</v>
      </c>
      <c r="C190" s="1" t="n">
        <v>45629</v>
      </c>
      <c r="D190" t="inlineStr">
        <is>
          <t>STOCKHOLMS LÄN</t>
        </is>
      </c>
      <c r="E190" t="inlineStr">
        <is>
          <t>NORRTÄLJE</t>
        </is>
      </c>
      <c r="G190" t="n">
        <v>10.6</v>
      </c>
      <c r="H190" t="n">
        <v>1</v>
      </c>
      <c r="I190" t="n">
        <v>0</v>
      </c>
      <c r="J190" t="n">
        <v>0</v>
      </c>
      <c r="K190" t="n">
        <v>0</v>
      </c>
      <c r="L190" t="n">
        <v>0</v>
      </c>
      <c r="M190" t="n">
        <v>0</v>
      </c>
      <c r="N190" t="n">
        <v>0</v>
      </c>
      <c r="O190" t="n">
        <v>0</v>
      </c>
      <c r="P190" t="n">
        <v>0</v>
      </c>
      <c r="Q190" t="n">
        <v>1</v>
      </c>
      <c r="R190" s="2" t="inlineStr">
        <is>
          <t>Blåsippa</t>
        </is>
      </c>
      <c r="S190">
        <f>HYPERLINK("https://klasma.github.io/Logging_0188/artfynd/A 52611-2024 artfynd.xlsx", "A 52611-2024")</f>
        <v/>
      </c>
      <c r="T190">
        <f>HYPERLINK("https://klasma.github.io/Logging_0188/kartor/A 52611-2024 karta.png", "A 52611-2024")</f>
        <v/>
      </c>
      <c r="V190">
        <f>HYPERLINK("https://klasma.github.io/Logging_0188/klagomål/A 52611-2024 FSC-klagomål.docx", "A 52611-2024")</f>
        <v/>
      </c>
      <c r="W190">
        <f>HYPERLINK("https://klasma.github.io/Logging_0188/klagomålsmail/A 52611-2024 FSC-klagomål mail.docx", "A 52611-2024")</f>
        <v/>
      </c>
      <c r="X190">
        <f>HYPERLINK("https://klasma.github.io/Logging_0188/tillsyn/A 52611-2024 tillsynsbegäran.docx", "A 52611-2024")</f>
        <v/>
      </c>
      <c r="Y190">
        <f>HYPERLINK("https://klasma.github.io/Logging_0188/tillsynsmail/A 52611-2024 tillsynsbegäran mail.docx", "A 52611-2024")</f>
        <v/>
      </c>
    </row>
    <row r="191" ht="15" customHeight="1">
      <c r="A191" t="inlineStr">
        <is>
          <t>A 56792-2024</t>
        </is>
      </c>
      <c r="B191" s="1" t="n">
        <v>45628</v>
      </c>
      <c r="C191" s="1" t="n">
        <v>45629</v>
      </c>
      <c r="D191" t="inlineStr">
        <is>
          <t>STOCKHOLMS LÄN</t>
        </is>
      </c>
      <c r="E191" t="inlineStr">
        <is>
          <t>NORRTÄLJE</t>
        </is>
      </c>
      <c r="G191" t="n">
        <v>9.699999999999999</v>
      </c>
      <c r="H191" t="n">
        <v>0</v>
      </c>
      <c r="I191" t="n">
        <v>0</v>
      </c>
      <c r="J191" t="n">
        <v>1</v>
      </c>
      <c r="K191" t="n">
        <v>0</v>
      </c>
      <c r="L191" t="n">
        <v>0</v>
      </c>
      <c r="M191" t="n">
        <v>0</v>
      </c>
      <c r="N191" t="n">
        <v>0</v>
      </c>
      <c r="O191" t="n">
        <v>1</v>
      </c>
      <c r="P191" t="n">
        <v>0</v>
      </c>
      <c r="Q191" t="n">
        <v>1</v>
      </c>
      <c r="R191" s="2" t="inlineStr">
        <is>
          <t>Kandelabersvamp</t>
        </is>
      </c>
      <c r="S191">
        <f>HYPERLINK("https://klasma.github.io/Logging_0188/artfynd/A 56792-2024 artfynd.xlsx", "A 56792-2024")</f>
        <v/>
      </c>
      <c r="T191">
        <f>HYPERLINK("https://klasma.github.io/Logging_0188/kartor/A 56792-2024 karta.png", "A 56792-2024")</f>
        <v/>
      </c>
      <c r="V191">
        <f>HYPERLINK("https://klasma.github.io/Logging_0188/klagomål/A 56792-2024 FSC-klagomål.docx", "A 56792-2024")</f>
        <v/>
      </c>
      <c r="W191">
        <f>HYPERLINK("https://klasma.github.io/Logging_0188/klagomålsmail/A 56792-2024 FSC-klagomål mail.docx", "A 56792-2024")</f>
        <v/>
      </c>
      <c r="X191">
        <f>HYPERLINK("https://klasma.github.io/Logging_0188/tillsyn/A 56792-2024 tillsynsbegäran.docx", "A 56792-2024")</f>
        <v/>
      </c>
      <c r="Y191">
        <f>HYPERLINK("https://klasma.github.io/Logging_0188/tillsynsmail/A 56792-2024 tillsynsbegäran mail.docx", "A 56792-2024")</f>
        <v/>
      </c>
    </row>
    <row r="192" ht="15" customHeight="1">
      <c r="A192" t="inlineStr">
        <is>
          <t>A 17752-2019</t>
        </is>
      </c>
      <c r="B192" s="1" t="n">
        <v>43556</v>
      </c>
      <c r="C192" s="1" t="n">
        <v>45629</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17795-2019</t>
        </is>
      </c>
      <c r="B193" s="1" t="n">
        <v>43556</v>
      </c>
      <c r="C193" s="1" t="n">
        <v>45629</v>
      </c>
      <c r="D193" t="inlineStr">
        <is>
          <t>STOCKHOLMS LÄN</t>
        </is>
      </c>
      <c r="E193" t="inlineStr">
        <is>
          <t>NORRTÄLJE</t>
        </is>
      </c>
      <c r="G193" t="n">
        <v>0.8</v>
      </c>
      <c r="H193" t="n">
        <v>0</v>
      </c>
      <c r="I193" t="n">
        <v>0</v>
      </c>
      <c r="J193" t="n">
        <v>0</v>
      </c>
      <c r="K193" t="n">
        <v>0</v>
      </c>
      <c r="L193" t="n">
        <v>0</v>
      </c>
      <c r="M193" t="n">
        <v>0</v>
      </c>
      <c r="N193" t="n">
        <v>0</v>
      </c>
      <c r="O193" t="n">
        <v>0</v>
      </c>
      <c r="P193" t="n">
        <v>0</v>
      </c>
      <c r="Q193" t="n">
        <v>0</v>
      </c>
      <c r="R193" s="2" t="inlineStr"/>
    </row>
    <row r="194" ht="15" customHeight="1">
      <c r="A194" t="inlineStr">
        <is>
          <t>A 17757-2019</t>
        </is>
      </c>
      <c r="B194" s="1" t="n">
        <v>43556</v>
      </c>
      <c r="C194" s="1" t="n">
        <v>45629</v>
      </c>
      <c r="D194" t="inlineStr">
        <is>
          <t>STOCKHOLMS LÄN</t>
        </is>
      </c>
      <c r="E194" t="inlineStr">
        <is>
          <t>NORRTÄLJE</t>
        </is>
      </c>
      <c r="G194" t="n">
        <v>2.5</v>
      </c>
      <c r="H194" t="n">
        <v>0</v>
      </c>
      <c r="I194" t="n">
        <v>0</v>
      </c>
      <c r="J194" t="n">
        <v>0</v>
      </c>
      <c r="K194" t="n">
        <v>0</v>
      </c>
      <c r="L194" t="n">
        <v>0</v>
      </c>
      <c r="M194" t="n">
        <v>0</v>
      </c>
      <c r="N194" t="n">
        <v>0</v>
      </c>
      <c r="O194" t="n">
        <v>0</v>
      </c>
      <c r="P194" t="n">
        <v>0</v>
      </c>
      <c r="Q194" t="n">
        <v>0</v>
      </c>
      <c r="R194" s="2" t="inlineStr"/>
    </row>
    <row r="195" ht="15" customHeight="1">
      <c r="A195" t="inlineStr">
        <is>
          <t>A 17963-2019</t>
        </is>
      </c>
      <c r="B195" s="1" t="n">
        <v>43557</v>
      </c>
      <c r="C195" s="1" t="n">
        <v>45629</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18378-2019</t>
        </is>
      </c>
      <c r="B196" s="1" t="n">
        <v>43559</v>
      </c>
      <c r="C196" s="1" t="n">
        <v>45629</v>
      </c>
      <c r="D196" t="inlineStr">
        <is>
          <t>STOCKHOLMS LÄN</t>
        </is>
      </c>
      <c r="E196" t="inlineStr">
        <is>
          <t>NORRTÄLJE</t>
        </is>
      </c>
      <c r="G196" t="n">
        <v>5.8</v>
      </c>
      <c r="H196" t="n">
        <v>0</v>
      </c>
      <c r="I196" t="n">
        <v>0</v>
      </c>
      <c r="J196" t="n">
        <v>0</v>
      </c>
      <c r="K196" t="n">
        <v>0</v>
      </c>
      <c r="L196" t="n">
        <v>0</v>
      </c>
      <c r="M196" t="n">
        <v>0</v>
      </c>
      <c r="N196" t="n">
        <v>0</v>
      </c>
      <c r="O196" t="n">
        <v>0</v>
      </c>
      <c r="P196" t="n">
        <v>0</v>
      </c>
      <c r="Q196" t="n">
        <v>0</v>
      </c>
      <c r="R196" s="2" t="inlineStr"/>
    </row>
    <row r="197" ht="15" customHeight="1">
      <c r="A197" t="inlineStr">
        <is>
          <t>A 18664-2019</t>
        </is>
      </c>
      <c r="B197" s="1" t="n">
        <v>43560</v>
      </c>
      <c r="C197" s="1" t="n">
        <v>45629</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18767-2019</t>
        </is>
      </c>
      <c r="B198" s="1" t="n">
        <v>43560</v>
      </c>
      <c r="C198" s="1" t="n">
        <v>45629</v>
      </c>
      <c r="D198" t="inlineStr">
        <is>
          <t>STOCKHOLMS LÄN</t>
        </is>
      </c>
      <c r="E198" t="inlineStr">
        <is>
          <t>NORRTÄLJE</t>
        </is>
      </c>
      <c r="G198" t="n">
        <v>4</v>
      </c>
      <c r="H198" t="n">
        <v>0</v>
      </c>
      <c r="I198" t="n">
        <v>0</v>
      </c>
      <c r="J198" t="n">
        <v>0</v>
      </c>
      <c r="K198" t="n">
        <v>0</v>
      </c>
      <c r="L198" t="n">
        <v>0</v>
      </c>
      <c r="M198" t="n">
        <v>0</v>
      </c>
      <c r="N198" t="n">
        <v>0</v>
      </c>
      <c r="O198" t="n">
        <v>0</v>
      </c>
      <c r="P198" t="n">
        <v>0</v>
      </c>
      <c r="Q198" t="n">
        <v>0</v>
      </c>
      <c r="R198" s="2" t="inlineStr"/>
    </row>
    <row r="199" ht="15" customHeight="1">
      <c r="A199" t="inlineStr">
        <is>
          <t>A 18820-2019</t>
        </is>
      </c>
      <c r="B199" s="1" t="n">
        <v>43563</v>
      </c>
      <c r="C199" s="1" t="n">
        <v>45629</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18890-2019</t>
        </is>
      </c>
      <c r="B200" s="1" t="n">
        <v>43563</v>
      </c>
      <c r="C200" s="1" t="n">
        <v>45629</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18909-2019</t>
        </is>
      </c>
      <c r="B201" s="1" t="n">
        <v>43563</v>
      </c>
      <c r="C201" s="1" t="n">
        <v>45629</v>
      </c>
      <c r="D201" t="inlineStr">
        <is>
          <t>STOCKHOLMS LÄN</t>
        </is>
      </c>
      <c r="E201" t="inlineStr">
        <is>
          <t>NORRTÄLJE</t>
        </is>
      </c>
      <c r="G201" t="n">
        <v>2.9</v>
      </c>
      <c r="H201" t="n">
        <v>0</v>
      </c>
      <c r="I201" t="n">
        <v>0</v>
      </c>
      <c r="J201" t="n">
        <v>0</v>
      </c>
      <c r="K201" t="n">
        <v>0</v>
      </c>
      <c r="L201" t="n">
        <v>0</v>
      </c>
      <c r="M201" t="n">
        <v>0</v>
      </c>
      <c r="N201" t="n">
        <v>0</v>
      </c>
      <c r="O201" t="n">
        <v>0</v>
      </c>
      <c r="P201" t="n">
        <v>0</v>
      </c>
      <c r="Q201" t="n">
        <v>0</v>
      </c>
      <c r="R201" s="2" t="inlineStr"/>
    </row>
    <row r="202" ht="15" customHeight="1">
      <c r="A202" t="inlineStr">
        <is>
          <t>A 19026-2019</t>
        </is>
      </c>
      <c r="B202" s="1" t="n">
        <v>43563</v>
      </c>
      <c r="C202" s="1" t="n">
        <v>45629</v>
      </c>
      <c r="D202" t="inlineStr">
        <is>
          <t>STOCKHOLMS LÄN</t>
        </is>
      </c>
      <c r="E202" t="inlineStr">
        <is>
          <t>NORRTÄLJE</t>
        </is>
      </c>
      <c r="G202" t="n">
        <v>4.4</v>
      </c>
      <c r="H202" t="n">
        <v>0</v>
      </c>
      <c r="I202" t="n">
        <v>0</v>
      </c>
      <c r="J202" t="n">
        <v>0</v>
      </c>
      <c r="K202" t="n">
        <v>0</v>
      </c>
      <c r="L202" t="n">
        <v>0</v>
      </c>
      <c r="M202" t="n">
        <v>0</v>
      </c>
      <c r="N202" t="n">
        <v>0</v>
      </c>
      <c r="O202" t="n">
        <v>0</v>
      </c>
      <c r="P202" t="n">
        <v>0</v>
      </c>
      <c r="Q202" t="n">
        <v>0</v>
      </c>
      <c r="R202" s="2" t="inlineStr"/>
    </row>
    <row r="203" ht="15" customHeight="1">
      <c r="A203" t="inlineStr">
        <is>
          <t>A 19014-2019</t>
        </is>
      </c>
      <c r="B203" s="1" t="n">
        <v>43563</v>
      </c>
      <c r="C203" s="1" t="n">
        <v>45629</v>
      </c>
      <c r="D203" t="inlineStr">
        <is>
          <t>STOCKHOLMS LÄN</t>
        </is>
      </c>
      <c r="E203" t="inlineStr">
        <is>
          <t>NORRTÄLJE</t>
        </is>
      </c>
      <c r="G203" t="n">
        <v>2.2</v>
      </c>
      <c r="H203" t="n">
        <v>0</v>
      </c>
      <c r="I203" t="n">
        <v>0</v>
      </c>
      <c r="J203" t="n">
        <v>0</v>
      </c>
      <c r="K203" t="n">
        <v>0</v>
      </c>
      <c r="L203" t="n">
        <v>0</v>
      </c>
      <c r="M203" t="n">
        <v>0</v>
      </c>
      <c r="N203" t="n">
        <v>0</v>
      </c>
      <c r="O203" t="n">
        <v>0</v>
      </c>
      <c r="P203" t="n">
        <v>0</v>
      </c>
      <c r="Q203" t="n">
        <v>0</v>
      </c>
      <c r="R203" s="2" t="inlineStr"/>
    </row>
    <row r="204" ht="15" customHeight="1">
      <c r="A204" t="inlineStr">
        <is>
          <t>A 19247-2019</t>
        </is>
      </c>
      <c r="B204" s="1" t="n">
        <v>43564</v>
      </c>
      <c r="C204" s="1" t="n">
        <v>45629</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19255-2019</t>
        </is>
      </c>
      <c r="B205" s="1" t="n">
        <v>43564</v>
      </c>
      <c r="C205" s="1" t="n">
        <v>45629</v>
      </c>
      <c r="D205" t="inlineStr">
        <is>
          <t>STOCKHOLMS LÄN</t>
        </is>
      </c>
      <c r="E205" t="inlineStr">
        <is>
          <t>NORRTÄLJE</t>
        </is>
      </c>
      <c r="G205" t="n">
        <v>2.6</v>
      </c>
      <c r="H205" t="n">
        <v>0</v>
      </c>
      <c r="I205" t="n">
        <v>0</v>
      </c>
      <c r="J205" t="n">
        <v>0</v>
      </c>
      <c r="K205" t="n">
        <v>0</v>
      </c>
      <c r="L205" t="n">
        <v>0</v>
      </c>
      <c r="M205" t="n">
        <v>0</v>
      </c>
      <c r="N205" t="n">
        <v>0</v>
      </c>
      <c r="O205" t="n">
        <v>0</v>
      </c>
      <c r="P205" t="n">
        <v>0</v>
      </c>
      <c r="Q205" t="n">
        <v>0</v>
      </c>
      <c r="R205" s="2" t="inlineStr"/>
    </row>
    <row r="206" ht="15" customHeight="1">
      <c r="A206" t="inlineStr">
        <is>
          <t>A 19302-2019</t>
        </is>
      </c>
      <c r="B206" s="1" t="n">
        <v>43565</v>
      </c>
      <c r="C206" s="1" t="n">
        <v>45629</v>
      </c>
      <c r="D206" t="inlineStr">
        <is>
          <t>STOCKHOLMS LÄN</t>
        </is>
      </c>
      <c r="E206" t="inlineStr">
        <is>
          <t>NORRTÄLJE</t>
        </is>
      </c>
      <c r="F206" t="inlineStr">
        <is>
          <t>Kommuner</t>
        </is>
      </c>
      <c r="G206" t="n">
        <v>4.2</v>
      </c>
      <c r="H206" t="n">
        <v>0</v>
      </c>
      <c r="I206" t="n">
        <v>0</v>
      </c>
      <c r="J206" t="n">
        <v>0</v>
      </c>
      <c r="K206" t="n">
        <v>0</v>
      </c>
      <c r="L206" t="n">
        <v>0</v>
      </c>
      <c r="M206" t="n">
        <v>0</v>
      </c>
      <c r="N206" t="n">
        <v>0</v>
      </c>
      <c r="O206" t="n">
        <v>0</v>
      </c>
      <c r="P206" t="n">
        <v>0</v>
      </c>
      <c r="Q206" t="n">
        <v>0</v>
      </c>
      <c r="R206" s="2" t="inlineStr"/>
    </row>
    <row r="207" ht="15" customHeight="1">
      <c r="A207" t="inlineStr">
        <is>
          <t>A 19301-2019</t>
        </is>
      </c>
      <c r="B207" s="1" t="n">
        <v>43565</v>
      </c>
      <c r="C207" s="1" t="n">
        <v>45629</v>
      </c>
      <c r="D207" t="inlineStr">
        <is>
          <t>STOCKHOLMS LÄN</t>
        </is>
      </c>
      <c r="E207" t="inlineStr">
        <is>
          <t>NORRTÄLJE</t>
        </is>
      </c>
      <c r="F207" t="inlineStr">
        <is>
          <t>Kommuner</t>
        </is>
      </c>
      <c r="G207" t="n">
        <v>3.9</v>
      </c>
      <c r="H207" t="n">
        <v>0</v>
      </c>
      <c r="I207" t="n">
        <v>0</v>
      </c>
      <c r="J207" t="n">
        <v>0</v>
      </c>
      <c r="K207" t="n">
        <v>0</v>
      </c>
      <c r="L207" t="n">
        <v>0</v>
      </c>
      <c r="M207" t="n">
        <v>0</v>
      </c>
      <c r="N207" t="n">
        <v>0</v>
      </c>
      <c r="O207" t="n">
        <v>0</v>
      </c>
      <c r="P207" t="n">
        <v>0</v>
      </c>
      <c r="Q207" t="n">
        <v>0</v>
      </c>
      <c r="R207" s="2" t="inlineStr"/>
    </row>
    <row r="208" ht="15" customHeight="1">
      <c r="A208" t="inlineStr">
        <is>
          <t>A 19297-2019</t>
        </is>
      </c>
      <c r="B208" s="1" t="n">
        <v>43565</v>
      </c>
      <c r="C208" s="1" t="n">
        <v>45629</v>
      </c>
      <c r="D208" t="inlineStr">
        <is>
          <t>STOCKHOLMS LÄN</t>
        </is>
      </c>
      <c r="E208" t="inlineStr">
        <is>
          <t>NORRTÄLJE</t>
        </is>
      </c>
      <c r="F208" t="inlineStr">
        <is>
          <t>Kommuner</t>
        </is>
      </c>
      <c r="G208" t="n">
        <v>1.2</v>
      </c>
      <c r="H208" t="n">
        <v>0</v>
      </c>
      <c r="I208" t="n">
        <v>0</v>
      </c>
      <c r="J208" t="n">
        <v>0</v>
      </c>
      <c r="K208" t="n">
        <v>0</v>
      </c>
      <c r="L208" t="n">
        <v>0</v>
      </c>
      <c r="M208" t="n">
        <v>0</v>
      </c>
      <c r="N208" t="n">
        <v>0</v>
      </c>
      <c r="O208" t="n">
        <v>0</v>
      </c>
      <c r="P208" t="n">
        <v>0</v>
      </c>
      <c r="Q208" t="n">
        <v>0</v>
      </c>
      <c r="R208" s="2" t="inlineStr"/>
    </row>
    <row r="209" ht="15" customHeight="1">
      <c r="A209" t="inlineStr">
        <is>
          <t>A 19537-2019</t>
        </is>
      </c>
      <c r="B209" s="1" t="n">
        <v>43565</v>
      </c>
      <c r="C209" s="1" t="n">
        <v>45629</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19539-2019</t>
        </is>
      </c>
      <c r="B210" s="1" t="n">
        <v>43565</v>
      </c>
      <c r="C210" s="1" t="n">
        <v>45629</v>
      </c>
      <c r="D210" t="inlineStr">
        <is>
          <t>STOCKHOLMS LÄN</t>
        </is>
      </c>
      <c r="E210" t="inlineStr">
        <is>
          <t>NORRTÄLJE</t>
        </is>
      </c>
      <c r="G210" t="n">
        <v>2.4</v>
      </c>
      <c r="H210" t="n">
        <v>0</v>
      </c>
      <c r="I210" t="n">
        <v>0</v>
      </c>
      <c r="J210" t="n">
        <v>0</v>
      </c>
      <c r="K210" t="n">
        <v>0</v>
      </c>
      <c r="L210" t="n">
        <v>0</v>
      </c>
      <c r="M210" t="n">
        <v>0</v>
      </c>
      <c r="N210" t="n">
        <v>0</v>
      </c>
      <c r="O210" t="n">
        <v>0</v>
      </c>
      <c r="P210" t="n">
        <v>0</v>
      </c>
      <c r="Q210" t="n">
        <v>0</v>
      </c>
      <c r="R210" s="2" t="inlineStr"/>
    </row>
    <row r="211" ht="15" customHeight="1">
      <c r="A211" t="inlineStr">
        <is>
          <t>A 19540-2019</t>
        </is>
      </c>
      <c r="B211" s="1" t="n">
        <v>43565</v>
      </c>
      <c r="C211" s="1" t="n">
        <v>45629</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19638-2019</t>
        </is>
      </c>
      <c r="B212" s="1" t="n">
        <v>43566</v>
      </c>
      <c r="C212" s="1" t="n">
        <v>45629</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19593-2019</t>
        </is>
      </c>
      <c r="B213" s="1" t="n">
        <v>43566</v>
      </c>
      <c r="C213" s="1" t="n">
        <v>45629</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19872-2019</t>
        </is>
      </c>
      <c r="B214" s="1" t="n">
        <v>43567</v>
      </c>
      <c r="C214" s="1" t="n">
        <v>45629</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19811-2019</t>
        </is>
      </c>
      <c r="B215" s="1" t="n">
        <v>43567</v>
      </c>
      <c r="C215" s="1" t="n">
        <v>45629</v>
      </c>
      <c r="D215" t="inlineStr">
        <is>
          <t>STOCKHOLMS LÄN</t>
        </is>
      </c>
      <c r="E215" t="inlineStr">
        <is>
          <t>NORRTÄLJE</t>
        </is>
      </c>
      <c r="F215" t="inlineStr">
        <is>
          <t>Kommuner</t>
        </is>
      </c>
      <c r="G215" t="n">
        <v>1.6</v>
      </c>
      <c r="H215" t="n">
        <v>0</v>
      </c>
      <c r="I215" t="n">
        <v>0</v>
      </c>
      <c r="J215" t="n">
        <v>0</v>
      </c>
      <c r="K215" t="n">
        <v>0</v>
      </c>
      <c r="L215" t="n">
        <v>0</v>
      </c>
      <c r="M215" t="n">
        <v>0</v>
      </c>
      <c r="N215" t="n">
        <v>0</v>
      </c>
      <c r="O215" t="n">
        <v>0</v>
      </c>
      <c r="P215" t="n">
        <v>0</v>
      </c>
      <c r="Q215" t="n">
        <v>0</v>
      </c>
      <c r="R215" s="2" t="inlineStr"/>
    </row>
    <row r="216" ht="15" customHeight="1">
      <c r="A216" t="inlineStr">
        <is>
          <t>A 19812-2019</t>
        </is>
      </c>
      <c r="B216" s="1" t="n">
        <v>43567</v>
      </c>
      <c r="C216" s="1" t="n">
        <v>45629</v>
      </c>
      <c r="D216" t="inlineStr">
        <is>
          <t>STOCKHOLMS LÄN</t>
        </is>
      </c>
      <c r="E216" t="inlineStr">
        <is>
          <t>NORRTÄLJE</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19931-2019</t>
        </is>
      </c>
      <c r="B217" s="1" t="n">
        <v>43568</v>
      </c>
      <c r="C217" s="1" t="n">
        <v>45629</v>
      </c>
      <c r="D217" t="inlineStr">
        <is>
          <t>STOCKHOLMS LÄN</t>
        </is>
      </c>
      <c r="E217" t="inlineStr">
        <is>
          <t>NORRTÄLJE</t>
        </is>
      </c>
      <c r="G217" t="n">
        <v>4.2</v>
      </c>
      <c r="H217" t="n">
        <v>0</v>
      </c>
      <c r="I217" t="n">
        <v>0</v>
      </c>
      <c r="J217" t="n">
        <v>0</v>
      </c>
      <c r="K217" t="n">
        <v>0</v>
      </c>
      <c r="L217" t="n">
        <v>0</v>
      </c>
      <c r="M217" t="n">
        <v>0</v>
      </c>
      <c r="N217" t="n">
        <v>0</v>
      </c>
      <c r="O217" t="n">
        <v>0</v>
      </c>
      <c r="P217" t="n">
        <v>0</v>
      </c>
      <c r="Q217" t="n">
        <v>0</v>
      </c>
      <c r="R217" s="2" t="inlineStr"/>
    </row>
    <row r="218" ht="15" customHeight="1">
      <c r="A218" t="inlineStr">
        <is>
          <t>A 20033-2019</t>
        </is>
      </c>
      <c r="B218" s="1" t="n">
        <v>43570</v>
      </c>
      <c r="C218" s="1" t="n">
        <v>45629</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20020-2019</t>
        </is>
      </c>
      <c r="B219" s="1" t="n">
        <v>43570</v>
      </c>
      <c r="C219" s="1" t="n">
        <v>45629</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20051-2019</t>
        </is>
      </c>
      <c r="B220" s="1" t="n">
        <v>43570</v>
      </c>
      <c r="C220" s="1" t="n">
        <v>45629</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20137-2019</t>
        </is>
      </c>
      <c r="B221" s="1" t="n">
        <v>43570</v>
      </c>
      <c r="C221" s="1" t="n">
        <v>45629</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20007-2019</t>
        </is>
      </c>
      <c r="B222" s="1" t="n">
        <v>43570</v>
      </c>
      <c r="C222" s="1" t="n">
        <v>45629</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20052-2019</t>
        </is>
      </c>
      <c r="B223" s="1" t="n">
        <v>43570</v>
      </c>
      <c r="C223" s="1" t="n">
        <v>45629</v>
      </c>
      <c r="D223" t="inlineStr">
        <is>
          <t>STOCKHOLMS LÄN</t>
        </is>
      </c>
      <c r="E223" t="inlineStr">
        <is>
          <t>NORRTÄLJE</t>
        </is>
      </c>
      <c r="G223" t="n">
        <v>0.5</v>
      </c>
      <c r="H223" t="n">
        <v>0</v>
      </c>
      <c r="I223" t="n">
        <v>0</v>
      </c>
      <c r="J223" t="n">
        <v>0</v>
      </c>
      <c r="K223" t="n">
        <v>0</v>
      </c>
      <c r="L223" t="n">
        <v>0</v>
      </c>
      <c r="M223" t="n">
        <v>0</v>
      </c>
      <c r="N223" t="n">
        <v>0</v>
      </c>
      <c r="O223" t="n">
        <v>0</v>
      </c>
      <c r="P223" t="n">
        <v>0</v>
      </c>
      <c r="Q223" t="n">
        <v>0</v>
      </c>
      <c r="R223" s="2" t="inlineStr"/>
    </row>
    <row r="224" ht="15" customHeight="1">
      <c r="A224" t="inlineStr">
        <is>
          <t>A 20159-2019</t>
        </is>
      </c>
      <c r="B224" s="1" t="n">
        <v>43570</v>
      </c>
      <c r="C224" s="1" t="n">
        <v>45629</v>
      </c>
      <c r="D224" t="inlineStr">
        <is>
          <t>STOCKHOLMS LÄN</t>
        </is>
      </c>
      <c r="E224" t="inlineStr">
        <is>
          <t>NORRTÄLJE</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20181-2019</t>
        </is>
      </c>
      <c r="B225" s="1" t="n">
        <v>43570</v>
      </c>
      <c r="C225" s="1" t="n">
        <v>45629</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20184-2019</t>
        </is>
      </c>
      <c r="B226" s="1" t="n">
        <v>43570</v>
      </c>
      <c r="C226" s="1" t="n">
        <v>45629</v>
      </c>
      <c r="D226" t="inlineStr">
        <is>
          <t>STOCKHOLMS LÄN</t>
        </is>
      </c>
      <c r="E226" t="inlineStr">
        <is>
          <t>NORRTÄLJE</t>
        </is>
      </c>
      <c r="G226" t="n">
        <v>2.8</v>
      </c>
      <c r="H226" t="n">
        <v>0</v>
      </c>
      <c r="I226" t="n">
        <v>0</v>
      </c>
      <c r="J226" t="n">
        <v>0</v>
      </c>
      <c r="K226" t="n">
        <v>0</v>
      </c>
      <c r="L226" t="n">
        <v>0</v>
      </c>
      <c r="M226" t="n">
        <v>0</v>
      </c>
      <c r="N226" t="n">
        <v>0</v>
      </c>
      <c r="O226" t="n">
        <v>0</v>
      </c>
      <c r="P226" t="n">
        <v>0</v>
      </c>
      <c r="Q226" t="n">
        <v>0</v>
      </c>
      <c r="R226" s="2" t="inlineStr"/>
    </row>
    <row r="227" ht="15" customHeight="1">
      <c r="A227" t="inlineStr">
        <is>
          <t>A 20193-2019</t>
        </is>
      </c>
      <c r="B227" s="1" t="n">
        <v>43570</v>
      </c>
      <c r="C227" s="1" t="n">
        <v>45629</v>
      </c>
      <c r="D227" t="inlineStr">
        <is>
          <t>STOCKHOLMS LÄN</t>
        </is>
      </c>
      <c r="E227" t="inlineStr">
        <is>
          <t>NORRTÄLJE</t>
        </is>
      </c>
      <c r="G227" t="n">
        <v>1.7</v>
      </c>
      <c r="H227" t="n">
        <v>0</v>
      </c>
      <c r="I227" t="n">
        <v>0</v>
      </c>
      <c r="J227" t="n">
        <v>0</v>
      </c>
      <c r="K227" t="n">
        <v>0</v>
      </c>
      <c r="L227" t="n">
        <v>0</v>
      </c>
      <c r="M227" t="n">
        <v>0</v>
      </c>
      <c r="N227" t="n">
        <v>0</v>
      </c>
      <c r="O227" t="n">
        <v>0</v>
      </c>
      <c r="P227" t="n">
        <v>0</v>
      </c>
      <c r="Q227" t="n">
        <v>0</v>
      </c>
      <c r="R227" s="2" t="inlineStr"/>
    </row>
    <row r="228" ht="15" customHeight="1">
      <c r="A228" t="inlineStr">
        <is>
          <t>A 20090-2019</t>
        </is>
      </c>
      <c r="B228" s="1" t="n">
        <v>43570</v>
      </c>
      <c r="C228" s="1" t="n">
        <v>45629</v>
      </c>
      <c r="D228" t="inlineStr">
        <is>
          <t>STOCKHOLMS LÄN</t>
        </is>
      </c>
      <c r="E228" t="inlineStr">
        <is>
          <t>NORRTÄLJE</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20165-2019</t>
        </is>
      </c>
      <c r="B229" s="1" t="n">
        <v>43570</v>
      </c>
      <c r="C229" s="1" t="n">
        <v>45629</v>
      </c>
      <c r="D229" t="inlineStr">
        <is>
          <t>STOCKHOLMS LÄN</t>
        </is>
      </c>
      <c r="E229" t="inlineStr">
        <is>
          <t>NORRTÄLJE</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20023-2019</t>
        </is>
      </c>
      <c r="B230" s="1" t="n">
        <v>43570</v>
      </c>
      <c r="C230" s="1" t="n">
        <v>45629</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20531-2019</t>
        </is>
      </c>
      <c r="B231" s="1" t="n">
        <v>43572</v>
      </c>
      <c r="C231" s="1" t="n">
        <v>45629</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20743-2019</t>
        </is>
      </c>
      <c r="B232" s="1" t="n">
        <v>43573</v>
      </c>
      <c r="C232" s="1" t="n">
        <v>45629</v>
      </c>
      <c r="D232" t="inlineStr">
        <is>
          <t>STOCKHOLMS LÄN</t>
        </is>
      </c>
      <c r="E232" t="inlineStr">
        <is>
          <t>NORRTÄLJE</t>
        </is>
      </c>
      <c r="G232" t="n">
        <v>2.2</v>
      </c>
      <c r="H232" t="n">
        <v>0</v>
      </c>
      <c r="I232" t="n">
        <v>0</v>
      </c>
      <c r="J232" t="n">
        <v>0</v>
      </c>
      <c r="K232" t="n">
        <v>0</v>
      </c>
      <c r="L232" t="n">
        <v>0</v>
      </c>
      <c r="M232" t="n">
        <v>0</v>
      </c>
      <c r="N232" t="n">
        <v>0</v>
      </c>
      <c r="O232" t="n">
        <v>0</v>
      </c>
      <c r="P232" t="n">
        <v>0</v>
      </c>
      <c r="Q232" t="n">
        <v>0</v>
      </c>
      <c r="R232" s="2" t="inlineStr"/>
    </row>
    <row r="233" ht="15" customHeight="1">
      <c r="A233" t="inlineStr">
        <is>
          <t>A 20809-2019</t>
        </is>
      </c>
      <c r="B233" s="1" t="n">
        <v>43573</v>
      </c>
      <c r="C233" s="1" t="n">
        <v>45629</v>
      </c>
      <c r="D233" t="inlineStr">
        <is>
          <t>STOCKHOLMS LÄN</t>
        </is>
      </c>
      <c r="E233" t="inlineStr">
        <is>
          <t>NORRTÄLJE</t>
        </is>
      </c>
      <c r="F233" t="inlineStr">
        <is>
          <t>Kommuner</t>
        </is>
      </c>
      <c r="G233" t="n">
        <v>2.2</v>
      </c>
      <c r="H233" t="n">
        <v>0</v>
      </c>
      <c r="I233" t="n">
        <v>0</v>
      </c>
      <c r="J233" t="n">
        <v>0</v>
      </c>
      <c r="K233" t="n">
        <v>0</v>
      </c>
      <c r="L233" t="n">
        <v>0</v>
      </c>
      <c r="M233" t="n">
        <v>0</v>
      </c>
      <c r="N233" t="n">
        <v>0</v>
      </c>
      <c r="O233" t="n">
        <v>0</v>
      </c>
      <c r="P233" t="n">
        <v>0</v>
      </c>
      <c r="Q233" t="n">
        <v>0</v>
      </c>
      <c r="R233" s="2" t="inlineStr"/>
    </row>
    <row r="234" ht="15" customHeight="1">
      <c r="A234" t="inlineStr">
        <is>
          <t>A 20925-2019</t>
        </is>
      </c>
      <c r="B234" s="1" t="n">
        <v>43578</v>
      </c>
      <c r="C234" s="1" t="n">
        <v>45629</v>
      </c>
      <c r="D234" t="inlineStr">
        <is>
          <t>STOCKHOLMS LÄN</t>
        </is>
      </c>
      <c r="E234" t="inlineStr">
        <is>
          <t>NORRTÄLJE</t>
        </is>
      </c>
      <c r="G234" t="n">
        <v>5</v>
      </c>
      <c r="H234" t="n">
        <v>0</v>
      </c>
      <c r="I234" t="n">
        <v>0</v>
      </c>
      <c r="J234" t="n">
        <v>0</v>
      </c>
      <c r="K234" t="n">
        <v>0</v>
      </c>
      <c r="L234" t="n">
        <v>0</v>
      </c>
      <c r="M234" t="n">
        <v>0</v>
      </c>
      <c r="N234" t="n">
        <v>0</v>
      </c>
      <c r="O234" t="n">
        <v>0</v>
      </c>
      <c r="P234" t="n">
        <v>0</v>
      </c>
      <c r="Q234" t="n">
        <v>0</v>
      </c>
      <c r="R234" s="2" t="inlineStr"/>
    </row>
    <row r="235" ht="15" customHeight="1">
      <c r="A235" t="inlineStr">
        <is>
          <t>A 21062-2019</t>
        </is>
      </c>
      <c r="B235" s="1" t="n">
        <v>43578</v>
      </c>
      <c r="C235" s="1" t="n">
        <v>45629</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21441-2019</t>
        </is>
      </c>
      <c r="B236" s="1" t="n">
        <v>43580</v>
      </c>
      <c r="C236" s="1" t="n">
        <v>45629</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21521-2019</t>
        </is>
      </c>
      <c r="B237" s="1" t="n">
        <v>43580</v>
      </c>
      <c r="C237" s="1" t="n">
        <v>45629</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21508-2019</t>
        </is>
      </c>
      <c r="B238" s="1" t="n">
        <v>43580</v>
      </c>
      <c r="C238" s="1" t="n">
        <v>45629</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21457-2019</t>
        </is>
      </c>
      <c r="B239" s="1" t="n">
        <v>43580</v>
      </c>
      <c r="C239" s="1" t="n">
        <v>45629</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21501-2019</t>
        </is>
      </c>
      <c r="B240" s="1" t="n">
        <v>43580</v>
      </c>
      <c r="C240" s="1" t="n">
        <v>45629</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21616-2019</t>
        </is>
      </c>
      <c r="B241" s="1" t="n">
        <v>43581</v>
      </c>
      <c r="C241" s="1" t="n">
        <v>45629</v>
      </c>
      <c r="D241" t="inlineStr">
        <is>
          <t>STOCKHOLMS LÄN</t>
        </is>
      </c>
      <c r="E241" t="inlineStr">
        <is>
          <t>NORRTÄLJE</t>
        </is>
      </c>
      <c r="G241" t="n">
        <v>5.3</v>
      </c>
      <c r="H241" t="n">
        <v>0</v>
      </c>
      <c r="I241" t="n">
        <v>0</v>
      </c>
      <c r="J241" t="n">
        <v>0</v>
      </c>
      <c r="K241" t="n">
        <v>0</v>
      </c>
      <c r="L241" t="n">
        <v>0</v>
      </c>
      <c r="M241" t="n">
        <v>0</v>
      </c>
      <c r="N241" t="n">
        <v>0</v>
      </c>
      <c r="O241" t="n">
        <v>0</v>
      </c>
      <c r="P241" t="n">
        <v>0</v>
      </c>
      <c r="Q241" t="n">
        <v>0</v>
      </c>
      <c r="R241" s="2" t="inlineStr"/>
    </row>
    <row r="242" ht="15" customHeight="1">
      <c r="A242" t="inlineStr">
        <is>
          <t>A 21662-2019</t>
        </is>
      </c>
      <c r="B242" s="1" t="n">
        <v>43581</v>
      </c>
      <c r="C242" s="1" t="n">
        <v>45629</v>
      </c>
      <c r="D242" t="inlineStr">
        <is>
          <t>STOCKHOLMS LÄN</t>
        </is>
      </c>
      <c r="E242" t="inlineStr">
        <is>
          <t>NORRTÄLJE</t>
        </is>
      </c>
      <c r="G242" t="n">
        <v>1.5</v>
      </c>
      <c r="H242" t="n">
        <v>0</v>
      </c>
      <c r="I242" t="n">
        <v>0</v>
      </c>
      <c r="J242" t="n">
        <v>0</v>
      </c>
      <c r="K242" t="n">
        <v>0</v>
      </c>
      <c r="L242" t="n">
        <v>0</v>
      </c>
      <c r="M242" t="n">
        <v>0</v>
      </c>
      <c r="N242" t="n">
        <v>0</v>
      </c>
      <c r="O242" t="n">
        <v>0</v>
      </c>
      <c r="P242" t="n">
        <v>0</v>
      </c>
      <c r="Q242" t="n">
        <v>0</v>
      </c>
      <c r="R242" s="2" t="inlineStr"/>
    </row>
    <row r="243" ht="15" customHeight="1">
      <c r="A243" t="inlineStr">
        <is>
          <t>A 21720-2019</t>
        </is>
      </c>
      <c r="B243" s="1" t="n">
        <v>43581</v>
      </c>
      <c r="C243" s="1" t="n">
        <v>45629</v>
      </c>
      <c r="D243" t="inlineStr">
        <is>
          <t>STOCKHOLMS LÄN</t>
        </is>
      </c>
      <c r="E243" t="inlineStr">
        <is>
          <t>NORRTÄLJE</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21692-2019</t>
        </is>
      </c>
      <c r="B244" s="1" t="n">
        <v>43581</v>
      </c>
      <c r="C244" s="1" t="n">
        <v>45629</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21811-2019</t>
        </is>
      </c>
      <c r="B245" s="1" t="n">
        <v>43582</v>
      </c>
      <c r="C245" s="1" t="n">
        <v>45629</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22207-2019</t>
        </is>
      </c>
      <c r="B246" s="1" t="n">
        <v>43585</v>
      </c>
      <c r="C246" s="1" t="n">
        <v>45629</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22211-2019</t>
        </is>
      </c>
      <c r="B247" s="1" t="n">
        <v>43585</v>
      </c>
      <c r="C247" s="1" t="n">
        <v>45629</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22254-2019</t>
        </is>
      </c>
      <c r="B248" s="1" t="n">
        <v>43585</v>
      </c>
      <c r="C248" s="1" t="n">
        <v>45629</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22218-2019</t>
        </is>
      </c>
      <c r="B249" s="1" t="n">
        <v>43585</v>
      </c>
      <c r="C249" s="1" t="n">
        <v>45629</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22331-2019</t>
        </is>
      </c>
      <c r="B250" s="1" t="n">
        <v>43586</v>
      </c>
      <c r="C250" s="1" t="n">
        <v>45629</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22359-2019</t>
        </is>
      </c>
      <c r="B251" s="1" t="n">
        <v>43587</v>
      </c>
      <c r="C251" s="1" t="n">
        <v>45629</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22422-2019</t>
        </is>
      </c>
      <c r="B252" s="1" t="n">
        <v>43587</v>
      </c>
      <c r="C252" s="1" t="n">
        <v>45629</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22490-2019</t>
        </is>
      </c>
      <c r="B253" s="1" t="n">
        <v>43587</v>
      </c>
      <c r="C253" s="1" t="n">
        <v>45629</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22496-2019</t>
        </is>
      </c>
      <c r="B254" s="1" t="n">
        <v>43587</v>
      </c>
      <c r="C254" s="1" t="n">
        <v>45629</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23711-2019</t>
        </is>
      </c>
      <c r="B255" s="1" t="n">
        <v>43594</v>
      </c>
      <c r="C255" s="1" t="n">
        <v>45629</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23710-2019</t>
        </is>
      </c>
      <c r="B256" s="1" t="n">
        <v>43594</v>
      </c>
      <c r="C256" s="1" t="n">
        <v>45629</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23862-2019</t>
        </is>
      </c>
      <c r="B257" s="1" t="n">
        <v>43595</v>
      </c>
      <c r="C257" s="1" t="n">
        <v>45629</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23878-2019</t>
        </is>
      </c>
      <c r="B258" s="1" t="n">
        <v>43595</v>
      </c>
      <c r="C258" s="1" t="n">
        <v>45629</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23961-2019</t>
        </is>
      </c>
      <c r="B259" s="1" t="n">
        <v>43597</v>
      </c>
      <c r="C259" s="1" t="n">
        <v>45629</v>
      </c>
      <c r="D259" t="inlineStr">
        <is>
          <t>STOCKHOLMS LÄN</t>
        </is>
      </c>
      <c r="E259" t="inlineStr">
        <is>
          <t>NORRTÄLJE</t>
        </is>
      </c>
      <c r="G259" t="n">
        <v>17.6</v>
      </c>
      <c r="H259" t="n">
        <v>0</v>
      </c>
      <c r="I259" t="n">
        <v>0</v>
      </c>
      <c r="J259" t="n">
        <v>0</v>
      </c>
      <c r="K259" t="n">
        <v>0</v>
      </c>
      <c r="L259" t="n">
        <v>0</v>
      </c>
      <c r="M259" t="n">
        <v>0</v>
      </c>
      <c r="N259" t="n">
        <v>0</v>
      </c>
      <c r="O259" t="n">
        <v>0</v>
      </c>
      <c r="P259" t="n">
        <v>0</v>
      </c>
      <c r="Q259" t="n">
        <v>0</v>
      </c>
      <c r="R259" s="2" t="inlineStr"/>
    </row>
    <row r="260" ht="15" customHeight="1">
      <c r="A260" t="inlineStr">
        <is>
          <t>A 23965-2019</t>
        </is>
      </c>
      <c r="B260" s="1" t="n">
        <v>43597</v>
      </c>
      <c r="C260" s="1" t="n">
        <v>45629</v>
      </c>
      <c r="D260" t="inlineStr">
        <is>
          <t>STOCKHOLMS LÄN</t>
        </is>
      </c>
      <c r="E260" t="inlineStr">
        <is>
          <t>NORRTÄLJE</t>
        </is>
      </c>
      <c r="G260" t="n">
        <v>6.1</v>
      </c>
      <c r="H260" t="n">
        <v>0</v>
      </c>
      <c r="I260" t="n">
        <v>0</v>
      </c>
      <c r="J260" t="n">
        <v>0</v>
      </c>
      <c r="K260" t="n">
        <v>0</v>
      </c>
      <c r="L260" t="n">
        <v>0</v>
      </c>
      <c r="M260" t="n">
        <v>0</v>
      </c>
      <c r="N260" t="n">
        <v>0</v>
      </c>
      <c r="O260" t="n">
        <v>0</v>
      </c>
      <c r="P260" t="n">
        <v>0</v>
      </c>
      <c r="Q260" t="n">
        <v>0</v>
      </c>
      <c r="R260" s="2" t="inlineStr"/>
    </row>
    <row r="261" ht="15" customHeight="1">
      <c r="A261" t="inlineStr">
        <is>
          <t>A 23963-2019</t>
        </is>
      </c>
      <c r="B261" s="1" t="n">
        <v>43597</v>
      </c>
      <c r="C261" s="1" t="n">
        <v>45629</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24124-2019</t>
        </is>
      </c>
      <c r="B262" s="1" t="n">
        <v>43598</v>
      </c>
      <c r="C262" s="1" t="n">
        <v>45629</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24058-2019</t>
        </is>
      </c>
      <c r="B263" s="1" t="n">
        <v>43598</v>
      </c>
      <c r="C263" s="1" t="n">
        <v>45629</v>
      </c>
      <c r="D263" t="inlineStr">
        <is>
          <t>STOCKHOLMS LÄN</t>
        </is>
      </c>
      <c r="E263" t="inlineStr">
        <is>
          <t>NORRTÄLJE</t>
        </is>
      </c>
      <c r="G263" t="n">
        <v>2.5</v>
      </c>
      <c r="H263" t="n">
        <v>0</v>
      </c>
      <c r="I263" t="n">
        <v>0</v>
      </c>
      <c r="J263" t="n">
        <v>0</v>
      </c>
      <c r="K263" t="n">
        <v>0</v>
      </c>
      <c r="L263" t="n">
        <v>0</v>
      </c>
      <c r="M263" t="n">
        <v>0</v>
      </c>
      <c r="N263" t="n">
        <v>0</v>
      </c>
      <c r="O263" t="n">
        <v>0</v>
      </c>
      <c r="P263" t="n">
        <v>0</v>
      </c>
      <c r="Q263" t="n">
        <v>0</v>
      </c>
      <c r="R263" s="2" t="inlineStr"/>
    </row>
    <row r="264" ht="15" customHeight="1">
      <c r="A264" t="inlineStr">
        <is>
          <t>A 24562-2019</t>
        </is>
      </c>
      <c r="B264" s="1" t="n">
        <v>43600</v>
      </c>
      <c r="C264" s="1" t="n">
        <v>45629</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24721-2019</t>
        </is>
      </c>
      <c r="B265" s="1" t="n">
        <v>43601</v>
      </c>
      <c r="C265" s="1" t="n">
        <v>45629</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25284-2019</t>
        </is>
      </c>
      <c r="B266" s="1" t="n">
        <v>43605</v>
      </c>
      <c r="C266" s="1" t="n">
        <v>45629</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25535-2019</t>
        </is>
      </c>
      <c r="B267" s="1" t="n">
        <v>43606</v>
      </c>
      <c r="C267" s="1" t="n">
        <v>45629</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25316-2019</t>
        </is>
      </c>
      <c r="B268" s="1" t="n">
        <v>43606</v>
      </c>
      <c r="C268" s="1" t="n">
        <v>45629</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26374-2019</t>
        </is>
      </c>
      <c r="B269" s="1" t="n">
        <v>43606</v>
      </c>
      <c r="C269" s="1" t="n">
        <v>45629</v>
      </c>
      <c r="D269" t="inlineStr">
        <is>
          <t>STOCKHOLMS LÄN</t>
        </is>
      </c>
      <c r="E269" t="inlineStr">
        <is>
          <t>NORRTÄLJE</t>
        </is>
      </c>
      <c r="G269" t="n">
        <v>11.6</v>
      </c>
      <c r="H269" t="n">
        <v>0</v>
      </c>
      <c r="I269" t="n">
        <v>0</v>
      </c>
      <c r="J269" t="n">
        <v>0</v>
      </c>
      <c r="K269" t="n">
        <v>0</v>
      </c>
      <c r="L269" t="n">
        <v>0</v>
      </c>
      <c r="M269" t="n">
        <v>0</v>
      </c>
      <c r="N269" t="n">
        <v>0</v>
      </c>
      <c r="O269" t="n">
        <v>0</v>
      </c>
      <c r="P269" t="n">
        <v>0</v>
      </c>
      <c r="Q269" t="n">
        <v>0</v>
      </c>
      <c r="R269" s="2" t="inlineStr"/>
    </row>
    <row r="270" ht="15" customHeight="1">
      <c r="A270" t="inlineStr">
        <is>
          <t>A 25315-2019</t>
        </is>
      </c>
      <c r="B270" s="1" t="n">
        <v>43606</v>
      </c>
      <c r="C270" s="1" t="n">
        <v>45629</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25625-2019</t>
        </is>
      </c>
      <c r="B271" s="1" t="n">
        <v>43607</v>
      </c>
      <c r="C271" s="1" t="n">
        <v>45629</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26272-2019</t>
        </is>
      </c>
      <c r="B272" s="1" t="n">
        <v>43611</v>
      </c>
      <c r="C272" s="1" t="n">
        <v>45629</v>
      </c>
      <c r="D272" t="inlineStr">
        <is>
          <t>STOCKHOLMS LÄN</t>
        </is>
      </c>
      <c r="E272" t="inlineStr">
        <is>
          <t>NORRTÄLJE</t>
        </is>
      </c>
      <c r="G272" t="n">
        <v>0.8</v>
      </c>
      <c r="H272" t="n">
        <v>0</v>
      </c>
      <c r="I272" t="n">
        <v>0</v>
      </c>
      <c r="J272" t="n">
        <v>0</v>
      </c>
      <c r="K272" t="n">
        <v>0</v>
      </c>
      <c r="L272" t="n">
        <v>0</v>
      </c>
      <c r="M272" t="n">
        <v>0</v>
      </c>
      <c r="N272" t="n">
        <v>0</v>
      </c>
      <c r="O272" t="n">
        <v>0</v>
      </c>
      <c r="P272" t="n">
        <v>0</v>
      </c>
      <c r="Q272" t="n">
        <v>0</v>
      </c>
      <c r="R272" s="2" t="inlineStr"/>
    </row>
    <row r="273" ht="15" customHeight="1">
      <c r="A273" t="inlineStr">
        <is>
          <t>A 26620-2019</t>
        </is>
      </c>
      <c r="B273" s="1" t="n">
        <v>43612</v>
      </c>
      <c r="C273" s="1" t="n">
        <v>45629</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26391-2019</t>
        </is>
      </c>
      <c r="B274" s="1" t="n">
        <v>43612</v>
      </c>
      <c r="C274" s="1" t="n">
        <v>45629</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26933-2019</t>
        </is>
      </c>
      <c r="B275" s="1" t="n">
        <v>43613</v>
      </c>
      <c r="C275" s="1" t="n">
        <v>45629</v>
      </c>
      <c r="D275" t="inlineStr">
        <is>
          <t>STOCKHOLMS LÄN</t>
        </is>
      </c>
      <c r="E275" t="inlineStr">
        <is>
          <t>NORRTÄLJE</t>
        </is>
      </c>
      <c r="G275" t="n">
        <v>2.8</v>
      </c>
      <c r="H275" t="n">
        <v>0</v>
      </c>
      <c r="I275" t="n">
        <v>0</v>
      </c>
      <c r="J275" t="n">
        <v>0</v>
      </c>
      <c r="K275" t="n">
        <v>0</v>
      </c>
      <c r="L275" t="n">
        <v>0</v>
      </c>
      <c r="M275" t="n">
        <v>0</v>
      </c>
      <c r="N275" t="n">
        <v>0</v>
      </c>
      <c r="O275" t="n">
        <v>0</v>
      </c>
      <c r="P275" t="n">
        <v>0</v>
      </c>
      <c r="Q275" t="n">
        <v>0</v>
      </c>
      <c r="R275" s="2" t="inlineStr"/>
    </row>
    <row r="276" ht="15" customHeight="1">
      <c r="A276" t="inlineStr">
        <is>
          <t>A 26830-2019</t>
        </is>
      </c>
      <c r="B276" s="1" t="n">
        <v>43613</v>
      </c>
      <c r="C276" s="1" t="n">
        <v>45629</v>
      </c>
      <c r="D276" t="inlineStr">
        <is>
          <t>STOCKHOLMS LÄN</t>
        </is>
      </c>
      <c r="E276" t="inlineStr">
        <is>
          <t>NORRTÄLJE</t>
        </is>
      </c>
      <c r="G276" t="n">
        <v>2.1</v>
      </c>
      <c r="H276" t="n">
        <v>0</v>
      </c>
      <c r="I276" t="n">
        <v>0</v>
      </c>
      <c r="J276" t="n">
        <v>0</v>
      </c>
      <c r="K276" t="n">
        <v>0</v>
      </c>
      <c r="L276" t="n">
        <v>0</v>
      </c>
      <c r="M276" t="n">
        <v>0</v>
      </c>
      <c r="N276" t="n">
        <v>0</v>
      </c>
      <c r="O276" t="n">
        <v>0</v>
      </c>
      <c r="P276" t="n">
        <v>0</v>
      </c>
      <c r="Q276" t="n">
        <v>0</v>
      </c>
      <c r="R276" s="2" t="inlineStr"/>
    </row>
    <row r="277" ht="15" customHeight="1">
      <c r="A277" t="inlineStr">
        <is>
          <t>A 27095-2019</t>
        </is>
      </c>
      <c r="B277" s="1" t="n">
        <v>43614</v>
      </c>
      <c r="C277" s="1" t="n">
        <v>45629</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28157-2019</t>
        </is>
      </c>
      <c r="B278" s="1" t="n">
        <v>43614</v>
      </c>
      <c r="C278" s="1" t="n">
        <v>45629</v>
      </c>
      <c r="D278" t="inlineStr">
        <is>
          <t>STOCKHOLMS LÄN</t>
        </is>
      </c>
      <c r="E278" t="inlineStr">
        <is>
          <t>NORRTÄLJE</t>
        </is>
      </c>
      <c r="F278" t="inlineStr">
        <is>
          <t>Kyrkan</t>
        </is>
      </c>
      <c r="G278" t="n">
        <v>0.5</v>
      </c>
      <c r="H278" t="n">
        <v>0</v>
      </c>
      <c r="I278" t="n">
        <v>0</v>
      </c>
      <c r="J278" t="n">
        <v>0</v>
      </c>
      <c r="K278" t="n">
        <v>0</v>
      </c>
      <c r="L278" t="n">
        <v>0</v>
      </c>
      <c r="M278" t="n">
        <v>0</v>
      </c>
      <c r="N278" t="n">
        <v>0</v>
      </c>
      <c r="O278" t="n">
        <v>0</v>
      </c>
      <c r="P278" t="n">
        <v>0</v>
      </c>
      <c r="Q278" t="n">
        <v>0</v>
      </c>
      <c r="R278" s="2" t="inlineStr"/>
    </row>
    <row r="279" ht="15" customHeight="1">
      <c r="A279" t="inlineStr">
        <is>
          <t>A 27264-2019</t>
        </is>
      </c>
      <c r="B279" s="1" t="n">
        <v>43615</v>
      </c>
      <c r="C279" s="1" t="n">
        <v>45629</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27971-2019</t>
        </is>
      </c>
      <c r="B280" s="1" t="n">
        <v>43620</v>
      </c>
      <c r="C280" s="1" t="n">
        <v>45629</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27967-2019</t>
        </is>
      </c>
      <c r="B281" s="1" t="n">
        <v>43620</v>
      </c>
      <c r="C281" s="1" t="n">
        <v>45629</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28121-2019</t>
        </is>
      </c>
      <c r="B282" s="1" t="n">
        <v>43621</v>
      </c>
      <c r="C282" s="1" t="n">
        <v>45629</v>
      </c>
      <c r="D282" t="inlineStr">
        <is>
          <t>STOCKHOLMS LÄN</t>
        </is>
      </c>
      <c r="E282" t="inlineStr">
        <is>
          <t>NORRTÄLJE</t>
        </is>
      </c>
      <c r="F282" t="inlineStr">
        <is>
          <t>Kyrkan</t>
        </is>
      </c>
      <c r="G282" t="n">
        <v>2.5</v>
      </c>
      <c r="H282" t="n">
        <v>0</v>
      </c>
      <c r="I282" t="n">
        <v>0</v>
      </c>
      <c r="J282" t="n">
        <v>0</v>
      </c>
      <c r="K282" t="n">
        <v>0</v>
      </c>
      <c r="L282" t="n">
        <v>0</v>
      </c>
      <c r="M282" t="n">
        <v>0</v>
      </c>
      <c r="N282" t="n">
        <v>0</v>
      </c>
      <c r="O282" t="n">
        <v>0</v>
      </c>
      <c r="P282" t="n">
        <v>0</v>
      </c>
      <c r="Q282" t="n">
        <v>0</v>
      </c>
      <c r="R282" s="2" t="inlineStr"/>
    </row>
    <row r="283" ht="15" customHeight="1">
      <c r="A283" t="inlineStr">
        <is>
          <t>A 28289-2019</t>
        </is>
      </c>
      <c r="B283" s="1" t="n">
        <v>43623</v>
      </c>
      <c r="C283" s="1" t="n">
        <v>45629</v>
      </c>
      <c r="D283" t="inlineStr">
        <is>
          <t>STOCKHOLMS LÄN</t>
        </is>
      </c>
      <c r="E283" t="inlineStr">
        <is>
          <t>NORRTÄLJE</t>
        </is>
      </c>
      <c r="G283" t="n">
        <v>7.7</v>
      </c>
      <c r="H283" t="n">
        <v>0</v>
      </c>
      <c r="I283" t="n">
        <v>0</v>
      </c>
      <c r="J283" t="n">
        <v>0</v>
      </c>
      <c r="K283" t="n">
        <v>0</v>
      </c>
      <c r="L283" t="n">
        <v>0</v>
      </c>
      <c r="M283" t="n">
        <v>0</v>
      </c>
      <c r="N283" t="n">
        <v>0</v>
      </c>
      <c r="O283" t="n">
        <v>0</v>
      </c>
      <c r="P283" t="n">
        <v>0</v>
      </c>
      <c r="Q283" t="n">
        <v>0</v>
      </c>
      <c r="R283" s="2" t="inlineStr"/>
    </row>
    <row r="284" ht="15" customHeight="1">
      <c r="A284" t="inlineStr">
        <is>
          <t>A 28519-2019</t>
        </is>
      </c>
      <c r="B284" s="1" t="n">
        <v>43626</v>
      </c>
      <c r="C284" s="1" t="n">
        <v>45629</v>
      </c>
      <c r="D284" t="inlineStr">
        <is>
          <t>STOCKHOLMS LÄN</t>
        </is>
      </c>
      <c r="E284" t="inlineStr">
        <is>
          <t>NORRTÄLJE</t>
        </is>
      </c>
      <c r="G284" t="n">
        <v>3</v>
      </c>
      <c r="H284" t="n">
        <v>0</v>
      </c>
      <c r="I284" t="n">
        <v>0</v>
      </c>
      <c r="J284" t="n">
        <v>0</v>
      </c>
      <c r="K284" t="n">
        <v>0</v>
      </c>
      <c r="L284" t="n">
        <v>0</v>
      </c>
      <c r="M284" t="n">
        <v>0</v>
      </c>
      <c r="N284" t="n">
        <v>0</v>
      </c>
      <c r="O284" t="n">
        <v>0</v>
      </c>
      <c r="P284" t="n">
        <v>0</v>
      </c>
      <c r="Q284" t="n">
        <v>0</v>
      </c>
      <c r="R284" s="2" t="inlineStr"/>
    </row>
    <row r="285" ht="15" customHeight="1">
      <c r="A285" t="inlineStr">
        <is>
          <t>A 28495-2019</t>
        </is>
      </c>
      <c r="B285" s="1" t="n">
        <v>43626</v>
      </c>
      <c r="C285" s="1" t="n">
        <v>45629</v>
      </c>
      <c r="D285" t="inlineStr">
        <is>
          <t>STOCKHOLMS LÄN</t>
        </is>
      </c>
      <c r="E285" t="inlineStr">
        <is>
          <t>NORRTÄLJE</t>
        </is>
      </c>
      <c r="G285" t="n">
        <v>14.7</v>
      </c>
      <c r="H285" t="n">
        <v>0</v>
      </c>
      <c r="I285" t="n">
        <v>0</v>
      </c>
      <c r="J285" t="n">
        <v>0</v>
      </c>
      <c r="K285" t="n">
        <v>0</v>
      </c>
      <c r="L285" t="n">
        <v>0</v>
      </c>
      <c r="M285" t="n">
        <v>0</v>
      </c>
      <c r="N285" t="n">
        <v>0</v>
      </c>
      <c r="O285" t="n">
        <v>0</v>
      </c>
      <c r="P285" t="n">
        <v>0</v>
      </c>
      <c r="Q285" t="n">
        <v>0</v>
      </c>
      <c r="R285" s="2" t="inlineStr"/>
    </row>
    <row r="286" ht="15" customHeight="1">
      <c r="A286" t="inlineStr">
        <is>
          <t>A 28394-2019</t>
        </is>
      </c>
      <c r="B286" s="1" t="n">
        <v>43626</v>
      </c>
      <c r="C286" s="1" t="n">
        <v>45629</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29260-2019</t>
        </is>
      </c>
      <c r="B287" s="1" t="n">
        <v>43629</v>
      </c>
      <c r="C287" s="1" t="n">
        <v>45629</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29312-2019</t>
        </is>
      </c>
      <c r="B288" s="1" t="n">
        <v>43629</v>
      </c>
      <c r="C288" s="1" t="n">
        <v>45629</v>
      </c>
      <c r="D288" t="inlineStr">
        <is>
          <t>STOCKHOLMS LÄN</t>
        </is>
      </c>
      <c r="E288" t="inlineStr">
        <is>
          <t>NORRTÄLJE</t>
        </is>
      </c>
      <c r="G288" t="n">
        <v>7.1</v>
      </c>
      <c r="H288" t="n">
        <v>0</v>
      </c>
      <c r="I288" t="n">
        <v>0</v>
      </c>
      <c r="J288" t="n">
        <v>0</v>
      </c>
      <c r="K288" t="n">
        <v>0</v>
      </c>
      <c r="L288" t="n">
        <v>0</v>
      </c>
      <c r="M288" t="n">
        <v>0</v>
      </c>
      <c r="N288" t="n">
        <v>0</v>
      </c>
      <c r="O288" t="n">
        <v>0</v>
      </c>
      <c r="P288" t="n">
        <v>0</v>
      </c>
      <c r="Q288" t="n">
        <v>0</v>
      </c>
      <c r="R288" s="2" t="inlineStr"/>
    </row>
    <row r="289" ht="15" customHeight="1">
      <c r="A289" t="inlineStr">
        <is>
          <t>A 29759-2019</t>
        </is>
      </c>
      <c r="B289" s="1" t="n">
        <v>43631</v>
      </c>
      <c r="C289" s="1" t="n">
        <v>45629</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30000-2019</t>
        </is>
      </c>
      <c r="B290" s="1" t="n">
        <v>43633</v>
      </c>
      <c r="C290" s="1" t="n">
        <v>45629</v>
      </c>
      <c r="D290" t="inlineStr">
        <is>
          <t>STOCKHOLMS LÄN</t>
        </is>
      </c>
      <c r="E290" t="inlineStr">
        <is>
          <t>NORRTÄLJE</t>
        </is>
      </c>
      <c r="G290" t="n">
        <v>5.4</v>
      </c>
      <c r="H290" t="n">
        <v>0</v>
      </c>
      <c r="I290" t="n">
        <v>0</v>
      </c>
      <c r="J290" t="n">
        <v>0</v>
      </c>
      <c r="K290" t="n">
        <v>0</v>
      </c>
      <c r="L290" t="n">
        <v>0</v>
      </c>
      <c r="M290" t="n">
        <v>0</v>
      </c>
      <c r="N290" t="n">
        <v>0</v>
      </c>
      <c r="O290" t="n">
        <v>0</v>
      </c>
      <c r="P290" t="n">
        <v>0</v>
      </c>
      <c r="Q290" t="n">
        <v>0</v>
      </c>
      <c r="R290" s="2" t="inlineStr"/>
    </row>
    <row r="291" ht="15" customHeight="1">
      <c r="A291" t="inlineStr">
        <is>
          <t>A 30833-2019</t>
        </is>
      </c>
      <c r="B291" s="1" t="n">
        <v>43636</v>
      </c>
      <c r="C291" s="1" t="n">
        <v>45629</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31215-2019</t>
        </is>
      </c>
      <c r="B292" s="1" t="n">
        <v>43640</v>
      </c>
      <c r="C292" s="1" t="n">
        <v>45629</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31017-2019</t>
        </is>
      </c>
      <c r="B293" s="1" t="n">
        <v>43640</v>
      </c>
      <c r="C293" s="1" t="n">
        <v>45629</v>
      </c>
      <c r="D293" t="inlineStr">
        <is>
          <t>STOCKHOLMS LÄN</t>
        </is>
      </c>
      <c r="E293" t="inlineStr">
        <is>
          <t>NORRTÄLJE</t>
        </is>
      </c>
      <c r="G293" t="n">
        <v>3.4</v>
      </c>
      <c r="H293" t="n">
        <v>0</v>
      </c>
      <c r="I293" t="n">
        <v>0</v>
      </c>
      <c r="J293" t="n">
        <v>0</v>
      </c>
      <c r="K293" t="n">
        <v>0</v>
      </c>
      <c r="L293" t="n">
        <v>0</v>
      </c>
      <c r="M293" t="n">
        <v>0</v>
      </c>
      <c r="N293" t="n">
        <v>0</v>
      </c>
      <c r="O293" t="n">
        <v>0</v>
      </c>
      <c r="P293" t="n">
        <v>0</v>
      </c>
      <c r="Q293" t="n">
        <v>0</v>
      </c>
      <c r="R293" s="2" t="inlineStr"/>
    </row>
    <row r="294" ht="15" customHeight="1">
      <c r="A294" t="inlineStr">
        <is>
          <t>A 31966-2019</t>
        </is>
      </c>
      <c r="B294" s="1" t="n">
        <v>43643</v>
      </c>
      <c r="C294" s="1" t="n">
        <v>45629</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32725-2019</t>
        </is>
      </c>
      <c r="B295" s="1" t="n">
        <v>43647</v>
      </c>
      <c r="C295" s="1" t="n">
        <v>45629</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32726-2019</t>
        </is>
      </c>
      <c r="B296" s="1" t="n">
        <v>43647</v>
      </c>
      <c r="C296" s="1" t="n">
        <v>45629</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33207-2019</t>
        </is>
      </c>
      <c r="B297" s="1" t="n">
        <v>43649</v>
      </c>
      <c r="C297" s="1" t="n">
        <v>45629</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33955-2019</t>
        </is>
      </c>
      <c r="B298" s="1" t="n">
        <v>43654</v>
      </c>
      <c r="C298" s="1" t="n">
        <v>45629</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33966-2019</t>
        </is>
      </c>
      <c r="B299" s="1" t="n">
        <v>43654</v>
      </c>
      <c r="C299" s="1" t="n">
        <v>45629</v>
      </c>
      <c r="D299" t="inlineStr">
        <is>
          <t>STOCKHOLMS LÄN</t>
        </is>
      </c>
      <c r="E299" t="inlineStr">
        <is>
          <t>NORRTÄLJE</t>
        </is>
      </c>
      <c r="G299" t="n">
        <v>3.2</v>
      </c>
      <c r="H299" t="n">
        <v>0</v>
      </c>
      <c r="I299" t="n">
        <v>0</v>
      </c>
      <c r="J299" t="n">
        <v>0</v>
      </c>
      <c r="K299" t="n">
        <v>0</v>
      </c>
      <c r="L299" t="n">
        <v>0</v>
      </c>
      <c r="M299" t="n">
        <v>0</v>
      </c>
      <c r="N299" t="n">
        <v>0</v>
      </c>
      <c r="O299" t="n">
        <v>0</v>
      </c>
      <c r="P299" t="n">
        <v>0</v>
      </c>
      <c r="Q299" t="n">
        <v>0</v>
      </c>
      <c r="R299" s="2" t="inlineStr"/>
    </row>
    <row r="300" ht="15" customHeight="1">
      <c r="A300" t="inlineStr">
        <is>
          <t>A 35247-2019</t>
        </is>
      </c>
      <c r="B300" s="1" t="n">
        <v>43656</v>
      </c>
      <c r="C300" s="1" t="n">
        <v>45629</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35244-2019</t>
        </is>
      </c>
      <c r="B301" s="1" t="n">
        <v>43656</v>
      </c>
      <c r="C301" s="1" t="n">
        <v>45629</v>
      </c>
      <c r="D301" t="inlineStr">
        <is>
          <t>STOCKHOLMS LÄN</t>
        </is>
      </c>
      <c r="E301" t="inlineStr">
        <is>
          <t>NORRTÄLJE</t>
        </is>
      </c>
      <c r="G301" t="n">
        <v>1.9</v>
      </c>
      <c r="H301" t="n">
        <v>0</v>
      </c>
      <c r="I301" t="n">
        <v>0</v>
      </c>
      <c r="J301" t="n">
        <v>0</v>
      </c>
      <c r="K301" t="n">
        <v>0</v>
      </c>
      <c r="L301" t="n">
        <v>0</v>
      </c>
      <c r="M301" t="n">
        <v>0</v>
      </c>
      <c r="N301" t="n">
        <v>0</v>
      </c>
      <c r="O301" t="n">
        <v>0</v>
      </c>
      <c r="P301" t="n">
        <v>0</v>
      </c>
      <c r="Q301" t="n">
        <v>0</v>
      </c>
      <c r="R301" s="2" t="inlineStr"/>
    </row>
    <row r="302" ht="15" customHeight="1">
      <c r="A302" t="inlineStr">
        <is>
          <t>A 35249-2019</t>
        </is>
      </c>
      <c r="B302" s="1" t="n">
        <v>43656</v>
      </c>
      <c r="C302" s="1" t="n">
        <v>45629</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35251-2019</t>
        </is>
      </c>
      <c r="B303" s="1" t="n">
        <v>43656</v>
      </c>
      <c r="C303" s="1" t="n">
        <v>45629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35492-2019</t>
        </is>
      </c>
      <c r="B304" s="1" t="n">
        <v>43663</v>
      </c>
      <c r="C304" s="1" t="n">
        <v>45629</v>
      </c>
      <c r="D304" t="inlineStr">
        <is>
          <t>STOCKHOLMS LÄN</t>
        </is>
      </c>
      <c r="E304" t="inlineStr">
        <is>
          <t>NORRTÄLJE</t>
        </is>
      </c>
      <c r="G304" t="n">
        <v>14</v>
      </c>
      <c r="H304" t="n">
        <v>0</v>
      </c>
      <c r="I304" t="n">
        <v>0</v>
      </c>
      <c r="J304" t="n">
        <v>0</v>
      </c>
      <c r="K304" t="n">
        <v>0</v>
      </c>
      <c r="L304" t="n">
        <v>0</v>
      </c>
      <c r="M304" t="n">
        <v>0</v>
      </c>
      <c r="N304" t="n">
        <v>0</v>
      </c>
      <c r="O304" t="n">
        <v>0</v>
      </c>
      <c r="P304" t="n">
        <v>0</v>
      </c>
      <c r="Q304" t="n">
        <v>0</v>
      </c>
      <c r="R304" s="2" t="inlineStr"/>
    </row>
    <row r="305" ht="15" customHeight="1">
      <c r="A305" t="inlineStr">
        <is>
          <t>A 35770-2019</t>
        </is>
      </c>
      <c r="B305" s="1" t="n">
        <v>43665</v>
      </c>
      <c r="C305" s="1" t="n">
        <v>45629</v>
      </c>
      <c r="D305" t="inlineStr">
        <is>
          <t>STOCKHOLMS LÄN</t>
        </is>
      </c>
      <c r="E305" t="inlineStr">
        <is>
          <t>NORRTÄLJE</t>
        </is>
      </c>
      <c r="G305" t="n">
        <v>6.3</v>
      </c>
      <c r="H305" t="n">
        <v>0</v>
      </c>
      <c r="I305" t="n">
        <v>0</v>
      </c>
      <c r="J305" t="n">
        <v>0</v>
      </c>
      <c r="K305" t="n">
        <v>0</v>
      </c>
      <c r="L305" t="n">
        <v>0</v>
      </c>
      <c r="M305" t="n">
        <v>0</v>
      </c>
      <c r="N305" t="n">
        <v>0</v>
      </c>
      <c r="O305" t="n">
        <v>0</v>
      </c>
      <c r="P305" t="n">
        <v>0</v>
      </c>
      <c r="Q305" t="n">
        <v>0</v>
      </c>
      <c r="R305" s="2" t="inlineStr"/>
    </row>
    <row r="306" ht="15" customHeight="1">
      <c r="A306" t="inlineStr">
        <is>
          <t>A 35766-2019</t>
        </is>
      </c>
      <c r="B306" s="1" t="n">
        <v>43665</v>
      </c>
      <c r="C306" s="1" t="n">
        <v>45629</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36418-2019</t>
        </is>
      </c>
      <c r="B307" s="1" t="n">
        <v>43670</v>
      </c>
      <c r="C307" s="1" t="n">
        <v>45629</v>
      </c>
      <c r="D307" t="inlineStr">
        <is>
          <t>STOCKHOLMS LÄN</t>
        </is>
      </c>
      <c r="E307" t="inlineStr">
        <is>
          <t>NORRTÄLJE</t>
        </is>
      </c>
      <c r="G307" t="n">
        <v>16.8</v>
      </c>
      <c r="H307" t="n">
        <v>0</v>
      </c>
      <c r="I307" t="n">
        <v>0</v>
      </c>
      <c r="J307" t="n">
        <v>0</v>
      </c>
      <c r="K307" t="n">
        <v>0</v>
      </c>
      <c r="L307" t="n">
        <v>0</v>
      </c>
      <c r="M307" t="n">
        <v>0</v>
      </c>
      <c r="N307" t="n">
        <v>0</v>
      </c>
      <c r="O307" t="n">
        <v>0</v>
      </c>
      <c r="P307" t="n">
        <v>0</v>
      </c>
      <c r="Q307" t="n">
        <v>0</v>
      </c>
      <c r="R307" s="2" t="inlineStr"/>
    </row>
    <row r="308" ht="15" customHeight="1">
      <c r="A308" t="inlineStr">
        <is>
          <t>A 37401-2019</t>
        </is>
      </c>
      <c r="B308" s="1" t="n">
        <v>43678</v>
      </c>
      <c r="C308" s="1" t="n">
        <v>45629</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37662-2019</t>
        </is>
      </c>
      <c r="B309" s="1" t="n">
        <v>43682</v>
      </c>
      <c r="C309" s="1" t="n">
        <v>45629</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38144-2019</t>
        </is>
      </c>
      <c r="B310" s="1" t="n">
        <v>43684</v>
      </c>
      <c r="C310" s="1" t="n">
        <v>45629</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38139-2019</t>
        </is>
      </c>
      <c r="B311" s="1" t="n">
        <v>43684</v>
      </c>
      <c r="C311" s="1" t="n">
        <v>45629</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38145-2019</t>
        </is>
      </c>
      <c r="B312" s="1" t="n">
        <v>43684</v>
      </c>
      <c r="C312" s="1" t="n">
        <v>45629</v>
      </c>
      <c r="D312" t="inlineStr">
        <is>
          <t>STOCKHOLMS LÄN</t>
        </is>
      </c>
      <c r="E312" t="inlineStr">
        <is>
          <t>NORRTÄLJE</t>
        </is>
      </c>
      <c r="G312" t="n">
        <v>9.9</v>
      </c>
      <c r="H312" t="n">
        <v>0</v>
      </c>
      <c r="I312" t="n">
        <v>0</v>
      </c>
      <c r="J312" t="n">
        <v>0</v>
      </c>
      <c r="K312" t="n">
        <v>0</v>
      </c>
      <c r="L312" t="n">
        <v>0</v>
      </c>
      <c r="M312" t="n">
        <v>0</v>
      </c>
      <c r="N312" t="n">
        <v>0</v>
      </c>
      <c r="O312" t="n">
        <v>0</v>
      </c>
      <c r="P312" t="n">
        <v>0</v>
      </c>
      <c r="Q312" t="n">
        <v>0</v>
      </c>
      <c r="R312" s="2" t="inlineStr"/>
    </row>
    <row r="313" ht="15" customHeight="1">
      <c r="A313" t="inlineStr">
        <is>
          <t>A 38140-2019</t>
        </is>
      </c>
      <c r="B313" s="1" t="n">
        <v>43684</v>
      </c>
      <c r="C313" s="1" t="n">
        <v>45629</v>
      </c>
      <c r="D313" t="inlineStr">
        <is>
          <t>STOCKHOLMS LÄN</t>
        </is>
      </c>
      <c r="E313" t="inlineStr">
        <is>
          <t>NORRTÄLJE</t>
        </is>
      </c>
      <c r="G313" t="n">
        <v>3.4</v>
      </c>
      <c r="H313" t="n">
        <v>0</v>
      </c>
      <c r="I313" t="n">
        <v>0</v>
      </c>
      <c r="J313" t="n">
        <v>0</v>
      </c>
      <c r="K313" t="n">
        <v>0</v>
      </c>
      <c r="L313" t="n">
        <v>0</v>
      </c>
      <c r="M313" t="n">
        <v>0</v>
      </c>
      <c r="N313" t="n">
        <v>0</v>
      </c>
      <c r="O313" t="n">
        <v>0</v>
      </c>
      <c r="P313" t="n">
        <v>0</v>
      </c>
      <c r="Q313" t="n">
        <v>0</v>
      </c>
      <c r="R313" s="2" t="inlineStr"/>
    </row>
    <row r="314" ht="15" customHeight="1">
      <c r="A314" t="inlineStr">
        <is>
          <t>A 38143-2019</t>
        </is>
      </c>
      <c r="B314" s="1" t="n">
        <v>43684</v>
      </c>
      <c r="C314" s="1" t="n">
        <v>45629</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38506-2019</t>
        </is>
      </c>
      <c r="B315" s="1" t="n">
        <v>43685</v>
      </c>
      <c r="C315" s="1" t="n">
        <v>45629</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38605-2019</t>
        </is>
      </c>
      <c r="B316" s="1" t="n">
        <v>43686</v>
      </c>
      <c r="C316" s="1" t="n">
        <v>45629</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38737-2019</t>
        </is>
      </c>
      <c r="B317" s="1" t="n">
        <v>43686</v>
      </c>
      <c r="C317" s="1" t="n">
        <v>45629</v>
      </c>
      <c r="D317" t="inlineStr">
        <is>
          <t>STOCKHOLMS LÄN</t>
        </is>
      </c>
      <c r="E317" t="inlineStr">
        <is>
          <t>NORRTÄLJE</t>
        </is>
      </c>
      <c r="G317" t="n">
        <v>4.7</v>
      </c>
      <c r="H317" t="n">
        <v>0</v>
      </c>
      <c r="I317" t="n">
        <v>0</v>
      </c>
      <c r="J317" t="n">
        <v>0</v>
      </c>
      <c r="K317" t="n">
        <v>0</v>
      </c>
      <c r="L317" t="n">
        <v>0</v>
      </c>
      <c r="M317" t="n">
        <v>0</v>
      </c>
      <c r="N317" t="n">
        <v>0</v>
      </c>
      <c r="O317" t="n">
        <v>0</v>
      </c>
      <c r="P317" t="n">
        <v>0</v>
      </c>
      <c r="Q317" t="n">
        <v>0</v>
      </c>
      <c r="R317" s="2" t="inlineStr"/>
    </row>
    <row r="318" ht="15" customHeight="1">
      <c r="A318" t="inlineStr">
        <is>
          <t>A 40571-2019</t>
        </is>
      </c>
      <c r="B318" s="1" t="n">
        <v>43696</v>
      </c>
      <c r="C318" s="1" t="n">
        <v>45629</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42330-2019</t>
        </is>
      </c>
      <c r="B319" s="1" t="n">
        <v>43703</v>
      </c>
      <c r="C319" s="1" t="n">
        <v>45629</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43379-2019</t>
        </is>
      </c>
      <c r="B320" s="1" t="n">
        <v>43703</v>
      </c>
      <c r="C320" s="1" t="n">
        <v>45629</v>
      </c>
      <c r="D320" t="inlineStr">
        <is>
          <t>STOCKHOLMS LÄN</t>
        </is>
      </c>
      <c r="E320" t="inlineStr">
        <is>
          <t>NORRTÄLJE</t>
        </is>
      </c>
      <c r="G320" t="n">
        <v>1.1</v>
      </c>
      <c r="H320" t="n">
        <v>0</v>
      </c>
      <c r="I320" t="n">
        <v>0</v>
      </c>
      <c r="J320" t="n">
        <v>0</v>
      </c>
      <c r="K320" t="n">
        <v>0</v>
      </c>
      <c r="L320" t="n">
        <v>0</v>
      </c>
      <c r="M320" t="n">
        <v>0</v>
      </c>
      <c r="N320" t="n">
        <v>0</v>
      </c>
      <c r="O320" t="n">
        <v>0</v>
      </c>
      <c r="P320" t="n">
        <v>0</v>
      </c>
      <c r="Q320" t="n">
        <v>0</v>
      </c>
      <c r="R320" s="2" t="inlineStr"/>
    </row>
    <row r="321" ht="15" customHeight="1">
      <c r="A321" t="inlineStr">
        <is>
          <t>A 43296-2019</t>
        </is>
      </c>
      <c r="B321" s="1" t="n">
        <v>43706</v>
      </c>
      <c r="C321" s="1" t="n">
        <v>45629</v>
      </c>
      <c r="D321" t="inlineStr">
        <is>
          <t>STOCKHOLMS LÄN</t>
        </is>
      </c>
      <c r="E321" t="inlineStr">
        <is>
          <t>NORRTÄLJE</t>
        </is>
      </c>
      <c r="F321" t="inlineStr">
        <is>
          <t>Kommuner</t>
        </is>
      </c>
      <c r="G321" t="n">
        <v>1.7</v>
      </c>
      <c r="H321" t="n">
        <v>0</v>
      </c>
      <c r="I321" t="n">
        <v>0</v>
      </c>
      <c r="J321" t="n">
        <v>0</v>
      </c>
      <c r="K321" t="n">
        <v>0</v>
      </c>
      <c r="L321" t="n">
        <v>0</v>
      </c>
      <c r="M321" t="n">
        <v>0</v>
      </c>
      <c r="N321" t="n">
        <v>0</v>
      </c>
      <c r="O321" t="n">
        <v>0</v>
      </c>
      <c r="P321" t="n">
        <v>0</v>
      </c>
      <c r="Q321" t="n">
        <v>0</v>
      </c>
      <c r="R321" s="2" t="inlineStr"/>
    </row>
    <row r="322" ht="15" customHeight="1">
      <c r="A322" t="inlineStr">
        <is>
          <t>A 44643-2019</t>
        </is>
      </c>
      <c r="B322" s="1" t="n">
        <v>43712</v>
      </c>
      <c r="C322" s="1" t="n">
        <v>45629</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45463-2019</t>
        </is>
      </c>
      <c r="B323" s="1" t="n">
        <v>43714</v>
      </c>
      <c r="C323" s="1" t="n">
        <v>45629</v>
      </c>
      <c r="D323" t="inlineStr">
        <is>
          <t>STOCKHOLMS LÄN</t>
        </is>
      </c>
      <c r="E323" t="inlineStr">
        <is>
          <t>NORRTÄLJE</t>
        </is>
      </c>
      <c r="F323" t="inlineStr">
        <is>
          <t>Övriga statliga verk och myndigheter</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45477-2019</t>
        </is>
      </c>
      <c r="B324" s="1" t="n">
        <v>43714</v>
      </c>
      <c r="C324" s="1" t="n">
        <v>45629</v>
      </c>
      <c r="D324" t="inlineStr">
        <is>
          <t>STOCKHOLMS LÄN</t>
        </is>
      </c>
      <c r="E324" t="inlineStr">
        <is>
          <t>NORRTÄLJE</t>
        </is>
      </c>
      <c r="F324" t="inlineStr">
        <is>
          <t>Övriga statliga verk och myndigheter</t>
        </is>
      </c>
      <c r="G324" t="n">
        <v>8.9</v>
      </c>
      <c r="H324" t="n">
        <v>0</v>
      </c>
      <c r="I324" t="n">
        <v>0</v>
      </c>
      <c r="J324" t="n">
        <v>0</v>
      </c>
      <c r="K324" t="n">
        <v>0</v>
      </c>
      <c r="L324" t="n">
        <v>0</v>
      </c>
      <c r="M324" t="n">
        <v>0</v>
      </c>
      <c r="N324" t="n">
        <v>0</v>
      </c>
      <c r="O324" t="n">
        <v>0</v>
      </c>
      <c r="P324" t="n">
        <v>0</v>
      </c>
      <c r="Q324" t="n">
        <v>0</v>
      </c>
      <c r="R324" s="2" t="inlineStr"/>
    </row>
    <row r="325" ht="15" customHeight="1">
      <c r="A325" t="inlineStr">
        <is>
          <t>A 46327-2019</t>
        </is>
      </c>
      <c r="B325" s="1" t="n">
        <v>43718</v>
      </c>
      <c r="C325" s="1" t="n">
        <v>45629</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47876-2019</t>
        </is>
      </c>
      <c r="B326" s="1" t="n">
        <v>43725</v>
      </c>
      <c r="C326" s="1" t="n">
        <v>45629</v>
      </c>
      <c r="D326" t="inlineStr">
        <is>
          <t>STOCKHOLMS LÄN</t>
        </is>
      </c>
      <c r="E326" t="inlineStr">
        <is>
          <t>NORRTÄLJE</t>
        </is>
      </c>
      <c r="G326" t="n">
        <v>11.4</v>
      </c>
      <c r="H326" t="n">
        <v>0</v>
      </c>
      <c r="I326" t="n">
        <v>0</v>
      </c>
      <c r="J326" t="n">
        <v>0</v>
      </c>
      <c r="K326" t="n">
        <v>0</v>
      </c>
      <c r="L326" t="n">
        <v>0</v>
      </c>
      <c r="M326" t="n">
        <v>0</v>
      </c>
      <c r="N326" t="n">
        <v>0</v>
      </c>
      <c r="O326" t="n">
        <v>0</v>
      </c>
      <c r="P326" t="n">
        <v>0</v>
      </c>
      <c r="Q326" t="n">
        <v>0</v>
      </c>
      <c r="R326" s="2" t="inlineStr"/>
    </row>
    <row r="327" ht="15" customHeight="1">
      <c r="A327" t="inlineStr">
        <is>
          <t>A 47877-2019</t>
        </is>
      </c>
      <c r="B327" s="1" t="n">
        <v>43725</v>
      </c>
      <c r="C327" s="1" t="n">
        <v>45629</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47903-2019</t>
        </is>
      </c>
      <c r="B328" s="1" t="n">
        <v>43725</v>
      </c>
      <c r="C328" s="1" t="n">
        <v>45629</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47901-2019</t>
        </is>
      </c>
      <c r="B329" s="1" t="n">
        <v>43725</v>
      </c>
      <c r="C329" s="1" t="n">
        <v>45629</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47939-2019</t>
        </is>
      </c>
      <c r="B330" s="1" t="n">
        <v>43725</v>
      </c>
      <c r="C330" s="1" t="n">
        <v>45629</v>
      </c>
      <c r="D330" t="inlineStr">
        <is>
          <t>STOCKHOLMS LÄN</t>
        </is>
      </c>
      <c r="E330" t="inlineStr">
        <is>
          <t>NORRTÄLJE</t>
        </is>
      </c>
      <c r="G330" t="n">
        <v>4.5</v>
      </c>
      <c r="H330" t="n">
        <v>0</v>
      </c>
      <c r="I330" t="n">
        <v>0</v>
      </c>
      <c r="J330" t="n">
        <v>0</v>
      </c>
      <c r="K330" t="n">
        <v>0</v>
      </c>
      <c r="L330" t="n">
        <v>0</v>
      </c>
      <c r="M330" t="n">
        <v>0</v>
      </c>
      <c r="N330" t="n">
        <v>0</v>
      </c>
      <c r="O330" t="n">
        <v>0</v>
      </c>
      <c r="P330" t="n">
        <v>0</v>
      </c>
      <c r="Q330" t="n">
        <v>0</v>
      </c>
      <c r="R330" s="2" t="inlineStr"/>
    </row>
    <row r="331" ht="15" customHeight="1">
      <c r="A331" t="inlineStr">
        <is>
          <t>A 47941-2019</t>
        </is>
      </c>
      <c r="B331" s="1" t="n">
        <v>43725</v>
      </c>
      <c r="C331" s="1" t="n">
        <v>45629</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47879-2019</t>
        </is>
      </c>
      <c r="B332" s="1" t="n">
        <v>43725</v>
      </c>
      <c r="C332" s="1" t="n">
        <v>45629</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48730-2019</t>
        </is>
      </c>
      <c r="B333" s="1" t="n">
        <v>43728</v>
      </c>
      <c r="C333" s="1" t="n">
        <v>45629</v>
      </c>
      <c r="D333" t="inlineStr">
        <is>
          <t>STOCKHOLMS LÄN</t>
        </is>
      </c>
      <c r="E333" t="inlineStr">
        <is>
          <t>NORRTÄLJE</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49252-2019</t>
        </is>
      </c>
      <c r="B334" s="1" t="n">
        <v>43731</v>
      </c>
      <c r="C334" s="1" t="n">
        <v>45629</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51940-2019</t>
        </is>
      </c>
      <c r="B335" s="1" t="n">
        <v>43741</v>
      </c>
      <c r="C335" s="1" t="n">
        <v>45629</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51942-2019</t>
        </is>
      </c>
      <c r="B336" s="1" t="n">
        <v>43741</v>
      </c>
      <c r="C336" s="1" t="n">
        <v>45629</v>
      </c>
      <c r="D336" t="inlineStr">
        <is>
          <t>STOCKHOLMS LÄN</t>
        </is>
      </c>
      <c r="E336" t="inlineStr">
        <is>
          <t>NORRTÄLJE</t>
        </is>
      </c>
      <c r="G336" t="n">
        <v>5.6</v>
      </c>
      <c r="H336" t="n">
        <v>0</v>
      </c>
      <c r="I336" t="n">
        <v>0</v>
      </c>
      <c r="J336" t="n">
        <v>0</v>
      </c>
      <c r="K336" t="n">
        <v>0</v>
      </c>
      <c r="L336" t="n">
        <v>0</v>
      </c>
      <c r="M336" t="n">
        <v>0</v>
      </c>
      <c r="N336" t="n">
        <v>0</v>
      </c>
      <c r="O336" t="n">
        <v>0</v>
      </c>
      <c r="P336" t="n">
        <v>0</v>
      </c>
      <c r="Q336" t="n">
        <v>0</v>
      </c>
      <c r="R336" s="2" t="inlineStr"/>
    </row>
    <row r="337" ht="15" customHeight="1">
      <c r="A337" t="inlineStr">
        <is>
          <t>A 55481-2019</t>
        </is>
      </c>
      <c r="B337" s="1" t="n">
        <v>43759</v>
      </c>
      <c r="C337" s="1" t="n">
        <v>45629</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55891-2019</t>
        </is>
      </c>
      <c r="B338" s="1" t="n">
        <v>43761</v>
      </c>
      <c r="C338" s="1" t="n">
        <v>45629</v>
      </c>
      <c r="D338" t="inlineStr">
        <is>
          <t>STOCKHOLMS LÄN</t>
        </is>
      </c>
      <c r="E338" t="inlineStr">
        <is>
          <t>NORRTÄLJE</t>
        </is>
      </c>
      <c r="G338" t="n">
        <v>7.6</v>
      </c>
      <c r="H338" t="n">
        <v>0</v>
      </c>
      <c r="I338" t="n">
        <v>0</v>
      </c>
      <c r="J338" t="n">
        <v>0</v>
      </c>
      <c r="K338" t="n">
        <v>0</v>
      </c>
      <c r="L338" t="n">
        <v>0</v>
      </c>
      <c r="M338" t="n">
        <v>0</v>
      </c>
      <c r="N338" t="n">
        <v>0</v>
      </c>
      <c r="O338" t="n">
        <v>0</v>
      </c>
      <c r="P338" t="n">
        <v>0</v>
      </c>
      <c r="Q338" t="n">
        <v>0</v>
      </c>
      <c r="R338" s="2" t="inlineStr"/>
    </row>
    <row r="339" ht="15" customHeight="1">
      <c r="A339" t="inlineStr">
        <is>
          <t>A 56349-2019</t>
        </is>
      </c>
      <c r="B339" s="1" t="n">
        <v>43762</v>
      </c>
      <c r="C339" s="1" t="n">
        <v>45629</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57759-2019</t>
        </is>
      </c>
      <c r="B340" s="1" t="n">
        <v>43763</v>
      </c>
      <c r="C340" s="1" t="n">
        <v>45629</v>
      </c>
      <c r="D340" t="inlineStr">
        <is>
          <t>STOCKHOLMS LÄN</t>
        </is>
      </c>
      <c r="E340" t="inlineStr">
        <is>
          <t>NORRTÄLJE</t>
        </is>
      </c>
      <c r="F340" t="inlineStr">
        <is>
          <t>Övriga Aktiebolag</t>
        </is>
      </c>
      <c r="G340" t="n">
        <v>7.3</v>
      </c>
      <c r="H340" t="n">
        <v>0</v>
      </c>
      <c r="I340" t="n">
        <v>0</v>
      </c>
      <c r="J340" t="n">
        <v>0</v>
      </c>
      <c r="K340" t="n">
        <v>0</v>
      </c>
      <c r="L340" t="n">
        <v>0</v>
      </c>
      <c r="M340" t="n">
        <v>0</v>
      </c>
      <c r="N340" t="n">
        <v>0</v>
      </c>
      <c r="O340" t="n">
        <v>0</v>
      </c>
      <c r="P340" t="n">
        <v>0</v>
      </c>
      <c r="Q340" t="n">
        <v>0</v>
      </c>
      <c r="R340" s="2" t="inlineStr"/>
    </row>
    <row r="341" ht="15" customHeight="1">
      <c r="A341" t="inlineStr">
        <is>
          <t>A 57063-2019</t>
        </is>
      </c>
      <c r="B341" s="1" t="n">
        <v>43766</v>
      </c>
      <c r="C341" s="1" t="n">
        <v>45629</v>
      </c>
      <c r="D341" t="inlineStr">
        <is>
          <t>STOCKHOLMS LÄN</t>
        </is>
      </c>
      <c r="E341" t="inlineStr">
        <is>
          <t>NORRTÄLJE</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56950-2019</t>
        </is>
      </c>
      <c r="B342" s="1" t="n">
        <v>43766</v>
      </c>
      <c r="C342" s="1" t="n">
        <v>45629</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57605-2019</t>
        </is>
      </c>
      <c r="B343" s="1" t="n">
        <v>43768</v>
      </c>
      <c r="C343" s="1" t="n">
        <v>45629</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58064-2019</t>
        </is>
      </c>
      <c r="B344" s="1" t="n">
        <v>43769</v>
      </c>
      <c r="C344" s="1" t="n">
        <v>45629</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58631-2019</t>
        </is>
      </c>
      <c r="B345" s="1" t="n">
        <v>43773</v>
      </c>
      <c r="C345" s="1" t="n">
        <v>45629</v>
      </c>
      <c r="D345" t="inlineStr">
        <is>
          <t>STOCKHOLMS LÄN</t>
        </is>
      </c>
      <c r="E345" t="inlineStr">
        <is>
          <t>NORRTÄLJE</t>
        </is>
      </c>
      <c r="G345" t="n">
        <v>6</v>
      </c>
      <c r="H345" t="n">
        <v>0</v>
      </c>
      <c r="I345" t="n">
        <v>0</v>
      </c>
      <c r="J345" t="n">
        <v>0</v>
      </c>
      <c r="K345" t="n">
        <v>0</v>
      </c>
      <c r="L345" t="n">
        <v>0</v>
      </c>
      <c r="M345" t="n">
        <v>0</v>
      </c>
      <c r="N345" t="n">
        <v>0</v>
      </c>
      <c r="O345" t="n">
        <v>0</v>
      </c>
      <c r="P345" t="n">
        <v>0</v>
      </c>
      <c r="Q345" t="n">
        <v>0</v>
      </c>
      <c r="R345" s="2" t="inlineStr"/>
    </row>
    <row r="346" ht="15" customHeight="1">
      <c r="A346" t="inlineStr">
        <is>
          <t>A 60214-2019</t>
        </is>
      </c>
      <c r="B346" s="1" t="n">
        <v>43780</v>
      </c>
      <c r="C346" s="1" t="n">
        <v>45629</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60208-2019</t>
        </is>
      </c>
      <c r="B347" s="1" t="n">
        <v>43780</v>
      </c>
      <c r="C347" s="1" t="n">
        <v>45629</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60842-2019</t>
        </is>
      </c>
      <c r="B348" s="1" t="n">
        <v>43781</v>
      </c>
      <c r="C348" s="1" t="n">
        <v>45629</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60844-2019</t>
        </is>
      </c>
      <c r="B349" s="1" t="n">
        <v>43781</v>
      </c>
      <c r="C349" s="1" t="n">
        <v>45629</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61657-2019</t>
        </is>
      </c>
      <c r="B350" s="1" t="n">
        <v>43784</v>
      </c>
      <c r="C350" s="1" t="n">
        <v>45629</v>
      </c>
      <c r="D350" t="inlineStr">
        <is>
          <t>STOCKHOLMS LÄN</t>
        </is>
      </c>
      <c r="E350" t="inlineStr">
        <is>
          <t>NORRTÄLJE</t>
        </is>
      </c>
      <c r="G350" t="n">
        <v>5</v>
      </c>
      <c r="H350" t="n">
        <v>0</v>
      </c>
      <c r="I350" t="n">
        <v>0</v>
      </c>
      <c r="J350" t="n">
        <v>0</v>
      </c>
      <c r="K350" t="n">
        <v>0</v>
      </c>
      <c r="L350" t="n">
        <v>0</v>
      </c>
      <c r="M350" t="n">
        <v>0</v>
      </c>
      <c r="N350" t="n">
        <v>0</v>
      </c>
      <c r="O350" t="n">
        <v>0</v>
      </c>
      <c r="P350" t="n">
        <v>0</v>
      </c>
      <c r="Q350" t="n">
        <v>0</v>
      </c>
      <c r="R350" s="2" t="inlineStr"/>
    </row>
    <row r="351" ht="15" customHeight="1">
      <c r="A351" t="inlineStr">
        <is>
          <t>A 62980-2019</t>
        </is>
      </c>
      <c r="B351" s="1" t="n">
        <v>43790</v>
      </c>
      <c r="C351" s="1" t="n">
        <v>45629</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63513-2019</t>
        </is>
      </c>
      <c r="B352" s="1" t="n">
        <v>43794</v>
      </c>
      <c r="C352" s="1" t="n">
        <v>45629</v>
      </c>
      <c r="D352" t="inlineStr">
        <is>
          <t>STOCKHOLMS LÄN</t>
        </is>
      </c>
      <c r="E352" t="inlineStr">
        <is>
          <t>NORRTÄLJE</t>
        </is>
      </c>
      <c r="G352" t="n">
        <v>9</v>
      </c>
      <c r="H352" t="n">
        <v>0</v>
      </c>
      <c r="I352" t="n">
        <v>0</v>
      </c>
      <c r="J352" t="n">
        <v>0</v>
      </c>
      <c r="K352" t="n">
        <v>0</v>
      </c>
      <c r="L352" t="n">
        <v>0</v>
      </c>
      <c r="M352" t="n">
        <v>0</v>
      </c>
      <c r="N352" t="n">
        <v>0</v>
      </c>
      <c r="O352" t="n">
        <v>0</v>
      </c>
      <c r="P352" t="n">
        <v>0</v>
      </c>
      <c r="Q352" t="n">
        <v>0</v>
      </c>
      <c r="R352" s="2" t="inlineStr"/>
    </row>
    <row r="353" ht="15" customHeight="1">
      <c r="A353" t="inlineStr">
        <is>
          <t>A 63529-2019</t>
        </is>
      </c>
      <c r="B353" s="1" t="n">
        <v>43794</v>
      </c>
      <c r="C353" s="1" t="n">
        <v>45629</v>
      </c>
      <c r="D353" t="inlineStr">
        <is>
          <t>STOCKHOLMS LÄN</t>
        </is>
      </c>
      <c r="E353" t="inlineStr">
        <is>
          <t>NORRTÄLJE</t>
        </is>
      </c>
      <c r="G353" t="n">
        <v>0.4</v>
      </c>
      <c r="H353" t="n">
        <v>0</v>
      </c>
      <c r="I353" t="n">
        <v>0</v>
      </c>
      <c r="J353" t="n">
        <v>0</v>
      </c>
      <c r="K353" t="n">
        <v>0</v>
      </c>
      <c r="L353" t="n">
        <v>0</v>
      </c>
      <c r="M353" t="n">
        <v>0</v>
      </c>
      <c r="N353" t="n">
        <v>0</v>
      </c>
      <c r="O353" t="n">
        <v>0</v>
      </c>
      <c r="P353" t="n">
        <v>0</v>
      </c>
      <c r="Q353" t="n">
        <v>0</v>
      </c>
      <c r="R353" s="2" t="inlineStr"/>
    </row>
    <row r="354" ht="15" customHeight="1">
      <c r="A354" t="inlineStr">
        <is>
          <t>A 63495-2019</t>
        </is>
      </c>
      <c r="B354" s="1" t="n">
        <v>43794</v>
      </c>
      <c r="C354" s="1" t="n">
        <v>45629</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63504-2019</t>
        </is>
      </c>
      <c r="B355" s="1" t="n">
        <v>43794</v>
      </c>
      <c r="C355" s="1" t="n">
        <v>45629</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63528-2019</t>
        </is>
      </c>
      <c r="B356" s="1" t="n">
        <v>43794</v>
      </c>
      <c r="C356" s="1" t="n">
        <v>45629</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63515-2019</t>
        </is>
      </c>
      <c r="B357" s="1" t="n">
        <v>43794</v>
      </c>
      <c r="C357" s="1" t="n">
        <v>45629</v>
      </c>
      <c r="D357" t="inlineStr">
        <is>
          <t>STOCKHOLMS LÄN</t>
        </is>
      </c>
      <c r="E357" t="inlineStr">
        <is>
          <t>NORRTÄLJE</t>
        </is>
      </c>
      <c r="G357" t="n">
        <v>7.1</v>
      </c>
      <c r="H357" t="n">
        <v>0</v>
      </c>
      <c r="I357" t="n">
        <v>0</v>
      </c>
      <c r="J357" t="n">
        <v>0</v>
      </c>
      <c r="K357" t="n">
        <v>0</v>
      </c>
      <c r="L357" t="n">
        <v>0</v>
      </c>
      <c r="M357" t="n">
        <v>0</v>
      </c>
      <c r="N357" t="n">
        <v>0</v>
      </c>
      <c r="O357" t="n">
        <v>0</v>
      </c>
      <c r="P357" t="n">
        <v>0</v>
      </c>
      <c r="Q357" t="n">
        <v>0</v>
      </c>
      <c r="R357" s="2" t="inlineStr"/>
    </row>
    <row r="358" ht="15" customHeight="1">
      <c r="A358" t="inlineStr">
        <is>
          <t>A 64293-2019</t>
        </is>
      </c>
      <c r="B358" s="1" t="n">
        <v>43797</v>
      </c>
      <c r="C358" s="1" t="n">
        <v>45629</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65640-2019</t>
        </is>
      </c>
      <c r="B359" s="1" t="n">
        <v>43804</v>
      </c>
      <c r="C359" s="1" t="n">
        <v>45629</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65998-2019</t>
        </is>
      </c>
      <c r="B360" s="1" t="n">
        <v>43805</v>
      </c>
      <c r="C360" s="1" t="n">
        <v>45629</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66604-2019</t>
        </is>
      </c>
      <c r="B361" s="1" t="n">
        <v>43809</v>
      </c>
      <c r="C361" s="1" t="n">
        <v>45629</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67158-2019</t>
        </is>
      </c>
      <c r="B362" s="1" t="n">
        <v>43811</v>
      </c>
      <c r="C362" s="1" t="n">
        <v>45629</v>
      </c>
      <c r="D362" t="inlineStr">
        <is>
          <t>STOCKHOLMS LÄN</t>
        </is>
      </c>
      <c r="E362" t="inlineStr">
        <is>
          <t>NORRTÄLJE</t>
        </is>
      </c>
      <c r="G362" t="n">
        <v>4.4</v>
      </c>
      <c r="H362" t="n">
        <v>0</v>
      </c>
      <c r="I362" t="n">
        <v>0</v>
      </c>
      <c r="J362" t="n">
        <v>0</v>
      </c>
      <c r="K362" t="n">
        <v>0</v>
      </c>
      <c r="L362" t="n">
        <v>0</v>
      </c>
      <c r="M362" t="n">
        <v>0</v>
      </c>
      <c r="N362" t="n">
        <v>0</v>
      </c>
      <c r="O362" t="n">
        <v>0</v>
      </c>
      <c r="P362" t="n">
        <v>0</v>
      </c>
      <c r="Q362" t="n">
        <v>0</v>
      </c>
      <c r="R362" s="2" t="inlineStr"/>
    </row>
    <row r="363" ht="15" customHeight="1">
      <c r="A363" t="inlineStr">
        <is>
          <t>A 67324-2019</t>
        </is>
      </c>
      <c r="B363" s="1" t="n">
        <v>43812</v>
      </c>
      <c r="C363" s="1" t="n">
        <v>45629</v>
      </c>
      <c r="D363" t="inlineStr">
        <is>
          <t>STOCKHOLMS LÄN</t>
        </is>
      </c>
      <c r="E363" t="inlineStr">
        <is>
          <t>NORRTÄLJE</t>
        </is>
      </c>
      <c r="G363" t="n">
        <v>7.7</v>
      </c>
      <c r="H363" t="n">
        <v>0</v>
      </c>
      <c r="I363" t="n">
        <v>0</v>
      </c>
      <c r="J363" t="n">
        <v>0</v>
      </c>
      <c r="K363" t="n">
        <v>0</v>
      </c>
      <c r="L363" t="n">
        <v>0</v>
      </c>
      <c r="M363" t="n">
        <v>0</v>
      </c>
      <c r="N363" t="n">
        <v>0</v>
      </c>
      <c r="O363" t="n">
        <v>0</v>
      </c>
      <c r="P363" t="n">
        <v>0</v>
      </c>
      <c r="Q363" t="n">
        <v>0</v>
      </c>
      <c r="R363" s="2" t="inlineStr"/>
    </row>
    <row r="364" ht="15" customHeight="1">
      <c r="A364" t="inlineStr">
        <is>
          <t>A 68865-2019</t>
        </is>
      </c>
      <c r="B364" s="1" t="n">
        <v>43821</v>
      </c>
      <c r="C364" s="1" t="n">
        <v>45629</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1099-2020</t>
        </is>
      </c>
      <c r="B365" s="1" t="n">
        <v>43822</v>
      </c>
      <c r="C365" s="1" t="n">
        <v>45629</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4475-2020</t>
        </is>
      </c>
      <c r="B366" s="1" t="n">
        <v>43849</v>
      </c>
      <c r="C366" s="1" t="n">
        <v>45629</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3882-2020</t>
        </is>
      </c>
      <c r="B367" s="1" t="n">
        <v>43854</v>
      </c>
      <c r="C367" s="1" t="n">
        <v>45629</v>
      </c>
      <c r="D367" t="inlineStr">
        <is>
          <t>STOCKHOLMS LÄN</t>
        </is>
      </c>
      <c r="E367" t="inlineStr">
        <is>
          <t>NORRTÄLJE</t>
        </is>
      </c>
      <c r="G367" t="n">
        <v>5.9</v>
      </c>
      <c r="H367" t="n">
        <v>0</v>
      </c>
      <c r="I367" t="n">
        <v>0</v>
      </c>
      <c r="J367" t="n">
        <v>0</v>
      </c>
      <c r="K367" t="n">
        <v>0</v>
      </c>
      <c r="L367" t="n">
        <v>0</v>
      </c>
      <c r="M367" t="n">
        <v>0</v>
      </c>
      <c r="N367" t="n">
        <v>0</v>
      </c>
      <c r="O367" t="n">
        <v>0</v>
      </c>
      <c r="P367" t="n">
        <v>0</v>
      </c>
      <c r="Q367" t="n">
        <v>0</v>
      </c>
      <c r="R367" s="2" t="inlineStr"/>
    </row>
    <row r="368" ht="15" customHeight="1">
      <c r="A368" t="inlineStr">
        <is>
          <t>A 4094-2020</t>
        </is>
      </c>
      <c r="B368" s="1" t="n">
        <v>43857</v>
      </c>
      <c r="C368" s="1" t="n">
        <v>45629</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4950-2020</t>
        </is>
      </c>
      <c r="B369" s="1" t="n">
        <v>43859</v>
      </c>
      <c r="C369" s="1" t="n">
        <v>45629</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5084-2020</t>
        </is>
      </c>
      <c r="B370" s="1" t="n">
        <v>43859</v>
      </c>
      <c r="C370" s="1" t="n">
        <v>45629</v>
      </c>
      <c r="D370" t="inlineStr">
        <is>
          <t>STOCKHOLMS LÄN</t>
        </is>
      </c>
      <c r="E370" t="inlineStr">
        <is>
          <t>NORRTÄLJE</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4952-2020</t>
        </is>
      </c>
      <c r="B371" s="1" t="n">
        <v>43859</v>
      </c>
      <c r="C371" s="1" t="n">
        <v>45629</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5735-2020</t>
        </is>
      </c>
      <c r="B372" s="1" t="n">
        <v>43863</v>
      </c>
      <c r="C372" s="1" t="n">
        <v>45629</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5733-2020</t>
        </is>
      </c>
      <c r="B373" s="1" t="n">
        <v>43863</v>
      </c>
      <c r="C373" s="1" t="n">
        <v>45629</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5739-2020</t>
        </is>
      </c>
      <c r="B374" s="1" t="n">
        <v>43863</v>
      </c>
      <c r="C374" s="1" t="n">
        <v>45629</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7471-2020</t>
        </is>
      </c>
      <c r="B375" s="1" t="n">
        <v>43871</v>
      </c>
      <c r="C375" s="1" t="n">
        <v>45629</v>
      </c>
      <c r="D375" t="inlineStr">
        <is>
          <t>STOCKHOLMS LÄN</t>
        </is>
      </c>
      <c r="E375" t="inlineStr">
        <is>
          <t>NORRTÄLJE</t>
        </is>
      </c>
      <c r="G375" t="n">
        <v>7.8</v>
      </c>
      <c r="H375" t="n">
        <v>0</v>
      </c>
      <c r="I375" t="n">
        <v>0</v>
      </c>
      <c r="J375" t="n">
        <v>0</v>
      </c>
      <c r="K375" t="n">
        <v>0</v>
      </c>
      <c r="L375" t="n">
        <v>0</v>
      </c>
      <c r="M375" t="n">
        <v>0</v>
      </c>
      <c r="N375" t="n">
        <v>0</v>
      </c>
      <c r="O375" t="n">
        <v>0</v>
      </c>
      <c r="P375" t="n">
        <v>0</v>
      </c>
      <c r="Q375" t="n">
        <v>0</v>
      </c>
      <c r="R375" s="2" t="inlineStr"/>
    </row>
    <row r="376" ht="15" customHeight="1">
      <c r="A376" t="inlineStr">
        <is>
          <t>A 9845-2020</t>
        </is>
      </c>
      <c r="B376" s="1" t="n">
        <v>43881</v>
      </c>
      <c r="C376" s="1" t="n">
        <v>45629</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10618-2020</t>
        </is>
      </c>
      <c r="B377" s="1" t="n">
        <v>43887</v>
      </c>
      <c r="C377" s="1" t="n">
        <v>45629</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11184-2020</t>
        </is>
      </c>
      <c r="B378" s="1" t="n">
        <v>43892</v>
      </c>
      <c r="C378" s="1" t="n">
        <v>45629</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11576-2020</t>
        </is>
      </c>
      <c r="B379" s="1" t="n">
        <v>43893</v>
      </c>
      <c r="C379" s="1" t="n">
        <v>45629</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12113-2020</t>
        </is>
      </c>
      <c r="B380" s="1" t="n">
        <v>43895</v>
      </c>
      <c r="C380" s="1" t="n">
        <v>45629</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12970-2020</t>
        </is>
      </c>
      <c r="B381" s="1" t="n">
        <v>43900</v>
      </c>
      <c r="C381" s="1" t="n">
        <v>45629</v>
      </c>
      <c r="D381" t="inlineStr">
        <is>
          <t>STOCKHOLMS LÄN</t>
        </is>
      </c>
      <c r="E381" t="inlineStr">
        <is>
          <t>NORRTÄLJE</t>
        </is>
      </c>
      <c r="F381" t="inlineStr">
        <is>
          <t>Kommuner</t>
        </is>
      </c>
      <c r="G381" t="n">
        <v>3</v>
      </c>
      <c r="H381" t="n">
        <v>0</v>
      </c>
      <c r="I381" t="n">
        <v>0</v>
      </c>
      <c r="J381" t="n">
        <v>0</v>
      </c>
      <c r="K381" t="n">
        <v>0</v>
      </c>
      <c r="L381" t="n">
        <v>0</v>
      </c>
      <c r="M381" t="n">
        <v>0</v>
      </c>
      <c r="N381" t="n">
        <v>0</v>
      </c>
      <c r="O381" t="n">
        <v>0</v>
      </c>
      <c r="P381" t="n">
        <v>0</v>
      </c>
      <c r="Q381" t="n">
        <v>0</v>
      </c>
      <c r="R381" s="2" t="inlineStr"/>
    </row>
    <row r="382" ht="15" customHeight="1">
      <c r="A382" t="inlineStr">
        <is>
          <t>A 13230-2020</t>
        </is>
      </c>
      <c r="B382" s="1" t="n">
        <v>43901</v>
      </c>
      <c r="C382" s="1" t="n">
        <v>45629</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13287-2020</t>
        </is>
      </c>
      <c r="B383" s="1" t="n">
        <v>43901</v>
      </c>
      <c r="C383" s="1" t="n">
        <v>45629</v>
      </c>
      <c r="D383" t="inlineStr">
        <is>
          <t>STOCKHOLMS LÄN</t>
        </is>
      </c>
      <c r="E383" t="inlineStr">
        <is>
          <t>NORRTÄLJE</t>
        </is>
      </c>
      <c r="F383" t="inlineStr">
        <is>
          <t>Kommuner</t>
        </is>
      </c>
      <c r="G383" t="n">
        <v>3.2</v>
      </c>
      <c r="H383" t="n">
        <v>0</v>
      </c>
      <c r="I383" t="n">
        <v>0</v>
      </c>
      <c r="J383" t="n">
        <v>0</v>
      </c>
      <c r="K383" t="n">
        <v>0</v>
      </c>
      <c r="L383" t="n">
        <v>0</v>
      </c>
      <c r="M383" t="n">
        <v>0</v>
      </c>
      <c r="N383" t="n">
        <v>0</v>
      </c>
      <c r="O383" t="n">
        <v>0</v>
      </c>
      <c r="P383" t="n">
        <v>0</v>
      </c>
      <c r="Q383" t="n">
        <v>0</v>
      </c>
      <c r="R383" s="2" t="inlineStr"/>
    </row>
    <row r="384" ht="15" customHeight="1">
      <c r="A384" t="inlineStr">
        <is>
          <t>A 13281-2020</t>
        </is>
      </c>
      <c r="B384" s="1" t="n">
        <v>43901</v>
      </c>
      <c r="C384" s="1" t="n">
        <v>45629</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13501-2020</t>
        </is>
      </c>
      <c r="B385" s="1" t="n">
        <v>43902</v>
      </c>
      <c r="C385" s="1" t="n">
        <v>45629</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13506-2020</t>
        </is>
      </c>
      <c r="B386" s="1" t="n">
        <v>43902</v>
      </c>
      <c r="C386" s="1" t="n">
        <v>45629</v>
      </c>
      <c r="D386" t="inlineStr">
        <is>
          <t>STOCKHOLMS LÄN</t>
        </is>
      </c>
      <c r="E386" t="inlineStr">
        <is>
          <t>NORRTÄLJE</t>
        </is>
      </c>
      <c r="G386" t="n">
        <v>5.7</v>
      </c>
      <c r="H386" t="n">
        <v>0</v>
      </c>
      <c r="I386" t="n">
        <v>0</v>
      </c>
      <c r="J386" t="n">
        <v>0</v>
      </c>
      <c r="K386" t="n">
        <v>0</v>
      </c>
      <c r="L386" t="n">
        <v>0</v>
      </c>
      <c r="M386" t="n">
        <v>0</v>
      </c>
      <c r="N386" t="n">
        <v>0</v>
      </c>
      <c r="O386" t="n">
        <v>0</v>
      </c>
      <c r="P386" t="n">
        <v>0</v>
      </c>
      <c r="Q386" t="n">
        <v>0</v>
      </c>
      <c r="R386" s="2" t="inlineStr"/>
    </row>
    <row r="387" ht="15" customHeight="1">
      <c r="A387" t="inlineStr">
        <is>
          <t>A 14525-2020</t>
        </is>
      </c>
      <c r="B387" s="1" t="n">
        <v>43908</v>
      </c>
      <c r="C387" s="1" t="n">
        <v>45629</v>
      </c>
      <c r="D387" t="inlineStr">
        <is>
          <t>STOCKHOLMS LÄN</t>
        </is>
      </c>
      <c r="E387" t="inlineStr">
        <is>
          <t>NORRTÄLJE</t>
        </is>
      </c>
      <c r="G387" t="n">
        <v>10.2</v>
      </c>
      <c r="H387" t="n">
        <v>0</v>
      </c>
      <c r="I387" t="n">
        <v>0</v>
      </c>
      <c r="J387" t="n">
        <v>0</v>
      </c>
      <c r="K387" t="n">
        <v>0</v>
      </c>
      <c r="L387" t="n">
        <v>0</v>
      </c>
      <c r="M387" t="n">
        <v>0</v>
      </c>
      <c r="N387" t="n">
        <v>0</v>
      </c>
      <c r="O387" t="n">
        <v>0</v>
      </c>
      <c r="P387" t="n">
        <v>0</v>
      </c>
      <c r="Q387" t="n">
        <v>0</v>
      </c>
      <c r="R387" s="2" t="inlineStr"/>
    </row>
    <row r="388" ht="15" customHeight="1">
      <c r="A388" t="inlineStr">
        <is>
          <t>A 14565-2020</t>
        </is>
      </c>
      <c r="B388" s="1" t="n">
        <v>43908</v>
      </c>
      <c r="C388" s="1" t="n">
        <v>45629</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45629</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45629</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45629</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45629</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45629</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45629</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45629</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45629</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45629</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45629</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45629</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45629</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45629</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45629</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45629</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45629</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45629</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45629</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45629</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45629</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45629</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45629</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45629</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45629</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45629</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45629</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45629</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45629</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45629</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45629</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45629</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45629</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45629</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45629</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45629</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45629</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45629</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45629</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45629</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45629</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45629</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45629</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45629</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45629</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45629</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45629</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45629</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45629</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45629</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45629</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45629</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45629</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45629</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45629</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45629</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45629</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45629</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45629</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45629</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45629</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45629</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45629</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45629</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45629</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45629</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45629</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45629</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45629</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45629</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45629</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45629</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45629</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45629</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45629</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45629</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45629</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45629</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45629</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45629</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45629</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45629</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45629</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45629</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45629</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45629</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45629</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45629</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45629</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45629</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45629</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45629</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45629</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45629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45629</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45629</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45629</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45629</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45629</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45629</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45629</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45629</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45629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45629</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45629</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45629</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45629</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45629</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45629</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45629</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45629</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45629</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45629</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45629</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45629</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45629</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45629</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45629</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45629</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45629</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45629</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45629</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45629</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45629</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45629</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45629</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45629</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45629</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45629</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45629</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45629</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45629</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45629</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45629</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45629</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45629</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45629</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45629</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45629</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45629</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45629</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45629</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45629</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45629</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45629</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45629</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45629</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45629</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45629</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45629</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45629</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45629</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45629</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45629</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45629</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45629</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45629</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45629</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45629</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45629</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45629</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45629</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45629</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45629</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45629</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45629</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45629</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45629</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45629</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45629</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45629</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45629</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45629</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45629</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45629</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45629</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45629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45629</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45629</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45629</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45629</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45629</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45629</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45629</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45629</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45629</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45629</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45629</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45629</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45629</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45629</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45629</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45629</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45629</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45629</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45629</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45629</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45629</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45629</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45629</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45629</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45629</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45629</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45629</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45629</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45629</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45629</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45629</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45629</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45629</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45629</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45629</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45629</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45629</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45629</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45629</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45629</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45629</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45629</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45629</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45629</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45629</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45629</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45629</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45629</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45629</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45629</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45629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45629</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45629</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45629</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45629</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45629</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45629</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45629</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45629</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45629</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45629</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45629</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45629</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45629</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45629</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45629</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45629</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45629</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45629</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45629</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45629</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45629</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45629</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45629</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45629</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45629</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45629</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45629</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45629</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45629</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45629</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45629</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45629</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45629</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45629</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45629</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45629</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45629</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45629</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45629</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45629</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45629</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45629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45629</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45629</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45629</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45629</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45629</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45629</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45629</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45629</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45629</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45629</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45629</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45629</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45629</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45629</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45629</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45629</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45629</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45629</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45629</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45629</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45629</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45629</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45629</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45629</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45629</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45629</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45629</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45629</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45629</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45629</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45629</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45629</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45629</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45629</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45629</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45629</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45629</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45629</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45629</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45629</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45629</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45629</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45629</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45629</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45629</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45629</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45629</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45629</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45629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45629</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45629</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45629</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45629</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45629</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45629</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45629</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45629</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45629</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45629</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45629</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45629</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45629</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45629</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45629</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45629</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45629</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45629</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45629</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45629</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45629</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45629</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45629</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45629</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45629</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45629</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45629</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45629</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45629</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45629</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45629</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45629</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45629</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45629</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45629</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45629</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45629</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45629</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45629</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45629</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45629</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45629</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45629</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45629</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45629</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45629</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45629</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45629</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45629</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45629</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45629</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45629</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45629</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45629</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45629</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45629</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45629</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45629</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45629</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45629</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45629</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45629</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45629</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45629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45629</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45629</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45629</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45629</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45629</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45629</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45629</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45629</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45629</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45629</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45629</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45629</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45629</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45629</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45629</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45629</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45629</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45629</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45629</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45629</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45629</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45629</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45629</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45629</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45629</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45629</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45629</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45629</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45629</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45629</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45629</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45629</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45629</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45629</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45629</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45629</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45629</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45629</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45629</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45629</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45629</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45629</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45629</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45629</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45629</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45629</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45629</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45629</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45629</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45629</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45629</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45629</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45629</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45629</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45629</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45629</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45629</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45629</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45629</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45629</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45629</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45629</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45629</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45629</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45629</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45629</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45629</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45629</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45629</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45629</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45629</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45629</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45629</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45629</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45629</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45629</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45629</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45629</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45629</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45629</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45629</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45629</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45629</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45629</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45629</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45629</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45629</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45629</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45629</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45629</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45629</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45629</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45629</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45629</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45629</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45629</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45629</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45629</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45629</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45629</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45629</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45629</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45629</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45629</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45629</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45629</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45629</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45629</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45629</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45629</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45629</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45629</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45629</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45629</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45629</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45629</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45629</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45629</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45629</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45629</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45629</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45629</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45629</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45629</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45629</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45629</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45629</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45629</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45629</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45629</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45629</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45629</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45629</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45629</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45629</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45629</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45629</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45629</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45629</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45629</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45629</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45629</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45629</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45629</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45629</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45629</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45629</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45629</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45629</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45629</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45629</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45629</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45629</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45629</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45629</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45629</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45629</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45629</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45629</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45629</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45629</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45629</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45629</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45629</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45629</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45629</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45629</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45629</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45629</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45629</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45629</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45629</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45629</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45629</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45629</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45629</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45629</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45629</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45629</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45629</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45629</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45629</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45629</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45629</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45629</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45629</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45629</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45629</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45629</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45629</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45629</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45629</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45629</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45629</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45629</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45629</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45629</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45629</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45629</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45629</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45629</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45629</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45629</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45629</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45629</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45629</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45629</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45629</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45629</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45629</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45629</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45629</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45629</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45629</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45629</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45629</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45629</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45629</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45629</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45629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45629</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45629</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45629</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45629</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45629</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45629</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45629</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45629</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45629</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45629</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45629</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45629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45629</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45629</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45629</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45629</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45629</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45629</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45629</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45629</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45629</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45629</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45629</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45629</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45629</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45629</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45629</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45629</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45629</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45629</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45629</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45629</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45629</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45629</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45629</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45629</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45629</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45629</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45629</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45629</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45629</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45629</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45629</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45629</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45629</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45629</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45629</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45629</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45629</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45629</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45629</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45629</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45629</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45629</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45629</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45629</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45629</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45629</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45629</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45629</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45629</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45629</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45629</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45629</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45629</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45629</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45629</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45629</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45629</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45629</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45629</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45629</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45629</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45629</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45629</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45629</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45629</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45629</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45629</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45629</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45629</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45629</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45629</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45629</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45629</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45629</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45629</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45629</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45629</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45629</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45629</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45629</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45629</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45629</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45629</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45629</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45629</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45629</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45629</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45629</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45629</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45629</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45629</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45629</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45629</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45629</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45629</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45629</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45629</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45629</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45629</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45629</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45629</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45629</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45629</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45629</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45629</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45629</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45629</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45629</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45629</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45629</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45629</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45629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45629</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45629</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45629</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45629</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45629</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45629</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45629</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45629</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45629</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45629</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45629</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45629</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45629</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45629</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45629</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45629</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45629</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45629</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45629</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45629</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45629</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45629</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45629</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45629</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45629</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45629</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45629</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45629</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45629</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45629</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45629</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45629</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45629</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45629</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45629</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45629</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45629</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45629</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45629</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45629</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45629</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45629</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45629</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45629</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45629</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45629</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45629</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45629</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45629</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45629</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45629</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45629</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45629</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45629</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45629</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45629</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45629</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45629</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45629</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45629</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45629</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45629</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45629</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45629</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45629</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45629</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45629</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45629</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45629</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45629</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45629</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45629</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45629</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45629</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45629</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45629</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45629</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45629</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45629</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45629</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45629</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45629</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45629</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45629</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45629</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45629</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45629</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45629</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45629</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45629</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45629</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45629</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45629</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45629</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45629</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45629</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45629</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45629</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45629</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45629</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45629</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45629</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45629</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45629</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45629</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45629</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45629</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45629</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45629</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45629</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45629</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45629</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45629</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45629</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45629</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45629</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45629</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45629</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45629</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45629</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45629</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45629</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45629</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45629</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45629</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45629</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45629</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45629</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45629</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45629</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45629</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45629</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45629</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45629</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45629</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45629</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45629</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45629</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45629</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45629</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45629</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45629</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45629</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45629</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45629</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45629</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45629</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45629</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45629</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45629</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45629</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45629</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45629</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45629</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45629</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45629</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45629</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45629</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45629</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45629</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45629</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45629</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45629</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45629</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45629</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45629</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45629</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45629</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45629</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45629</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45629</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45629</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45629</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45629</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45629</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45629</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45629</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45629</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45629</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45629</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45629</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45629</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45629</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45629</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45629</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45629</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45629</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45629</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45629</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45629</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45629</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45629</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45629</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45629</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45629</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45629</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45629</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45629</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45629</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45629</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45629</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45629</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45629</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45629</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45629</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45629</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45629</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45629</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45629</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45629</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45629</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45629</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45629</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45629</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45629</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45629</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45629</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45629</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45629</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45629</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45629</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45629</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45629</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45629</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45629</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45629</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45629</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45629</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45629</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45629</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45629</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45629</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45629</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45629</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45629</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45629</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45629</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45629</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45629</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45629</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45629</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45629</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45629</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45629</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45629</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45629</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45629</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45629</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45629</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45629</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45629</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45629</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45629</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45629</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45629</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45629</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45629</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45629</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45629</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45629</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45629</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45629</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45629</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45629</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45629</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45629</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45629</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45629</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45629</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45629</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45629</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45629</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45629</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45629</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45629</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45629</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45629</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45629</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45629</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45629</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45629</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45629</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45629</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45629</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45629</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45629</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45629</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45629</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45629</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45629</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45629</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45629</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45629</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45629</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45629</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45629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45629</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45629</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45629</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45629</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45629</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45629</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45629</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45629</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45629</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45629</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45629</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45629</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45629</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45629</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45629</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45629</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45629</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45629</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45629</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45629</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45629</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45629</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45629</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45629</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45629</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45629</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45629</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45629</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45629</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45629</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45629</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45629</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45629</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45629</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45629</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45629</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45629</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45629</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45629</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45629</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45629</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45629</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45629</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45629</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45629</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45629</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45629</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45629</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45629</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45629</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45629</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45629</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45629</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45629</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45629</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45629</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45629</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45629</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45629</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45629</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45629</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45629</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45629</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45629</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45629</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45629</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45629</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45629</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45629</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45629</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45629</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45629</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45629</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45629</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45629</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45629</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45629</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45629</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45629</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45629</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45629</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45629</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45629</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45629</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45629</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45629</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45629</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45629</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45629</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45629</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45629</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45629</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45629</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45629</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45629</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45629</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45629</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45629</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45629</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45629</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45629</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45629</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45629</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45629</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45629</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45629</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45629</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45629</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45629</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45629</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45629</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45629</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45629</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45629</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45629</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45629</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45629</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45629</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45629</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45629</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45629</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45629</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45629</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45629</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45629</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45629</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45629</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45629</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45629</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45629</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45629</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45629</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45629</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45629</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45629</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45629</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45629</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45629</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45629</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45629</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45629</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45629</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45629</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45629</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45629</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45629</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45629</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45629</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45629</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45629</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45629</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45629</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45629</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45629</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45629</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45629</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45629</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45629</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45629</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45629</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45629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45629</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45629</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45629</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45629</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45629</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45629</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45629</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45629</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45629</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45629</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45629</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45629</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45629</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45629</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45629</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45629</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45629</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45629</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45629</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45629</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45629</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45629</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45629</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45629</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45629</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45629</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45629</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45629</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45629</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45629</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45629</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45629</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45629</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45629</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45629</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45629</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45629</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45629</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45629</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45629</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45629</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45629</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45629</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45629</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45629</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45629</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45629</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45629</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45629</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45629</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45629</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45629</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45629</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45629</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45629</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45629</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45629</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45629</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45629</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45629</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45629</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45629</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45629</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45629</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45629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45629</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45629</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45629</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45629</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45629</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45629</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45629</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45629</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45629</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45629</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45629</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45629</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45629</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45629</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45629</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45629</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45629</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45629</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45629</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45629</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45629</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45629</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45629</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45629</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45629</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45629</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45629</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45629</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45629</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45629</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45629</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45629</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45629</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45629</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45629</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45629</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45629</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45629</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45629</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45629</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45629</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45629</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45629</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45629</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45629</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45629</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45629</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45629</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45629</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45629</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45629</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45629</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45629</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45629</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45629</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45629</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45629</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45629</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45629</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45629</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45629</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45629</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45629</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45629</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45629</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45629</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45629</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45629</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45629</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45629</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45629</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45629</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45629</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45629</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45629</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45629</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45629</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45629</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45629</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45629</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45629</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45629</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45629</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45629</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45629</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45629</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45629</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45629</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45629</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45629</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45629</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45629</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45629</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45629</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45629</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45629</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45629</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45629</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45629</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45629</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45629</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45629</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45629</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45629</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45629</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45629</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45629</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45629</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45629</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45629</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45629</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45629</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45629</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45629</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45629</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45629</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45629</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45629</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45629</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45629</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45629</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45629</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45629</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45629</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45629</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45629</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45629</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45629</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45629</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45629</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45629</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45629</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45629</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45629</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45629</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45629</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45629</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45629</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45629</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45629</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45629</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45629</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45629</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45629</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45629</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45629</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45629</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45629</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45629</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45629</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45629</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45629</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45629</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45629</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45629</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45629</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45629</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45629</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45629</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45629</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45629</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45629</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50154-2024</t>
        </is>
      </c>
      <c r="B1799" s="1" t="n">
        <v>45600</v>
      </c>
      <c r="C1799" s="1" t="n">
        <v>45629</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50182-2024</t>
        </is>
      </c>
      <c r="B1800" s="1" t="n">
        <v>45600</v>
      </c>
      <c r="C1800" s="1" t="n">
        <v>45629</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50355-2024</t>
        </is>
      </c>
      <c r="B1801" s="1" t="n">
        <v>45600</v>
      </c>
      <c r="C1801" s="1" t="n">
        <v>45629</v>
      </c>
      <c r="D1801" t="inlineStr">
        <is>
          <t>STOCKHOLMS LÄN</t>
        </is>
      </c>
      <c r="E1801" t="inlineStr">
        <is>
          <t>NORRTÄLJE</t>
        </is>
      </c>
      <c r="F1801" t="inlineStr">
        <is>
          <t>Kommuner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50113-2024</t>
        </is>
      </c>
      <c r="B1802" s="1" t="n">
        <v>45600</v>
      </c>
      <c r="C1802" s="1" t="n">
        <v>45629</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45629</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45629</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45629</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52360-2024</t>
        </is>
      </c>
      <c r="B1806" s="1" t="n">
        <v>45609</v>
      </c>
      <c r="C1806" s="1" t="n">
        <v>45629</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52363-2024</t>
        </is>
      </c>
      <c r="B1807" s="1" t="n">
        <v>45609</v>
      </c>
      <c r="C1807" s="1" t="n">
        <v>45629</v>
      </c>
      <c r="D1807" t="inlineStr">
        <is>
          <t>STOCKHOLMS LÄN</t>
        </is>
      </c>
      <c r="E1807" t="inlineStr">
        <is>
          <t>NORRTÄLJE</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45629</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52614-2024</t>
        </is>
      </c>
      <c r="B1809" s="1" t="n">
        <v>45609</v>
      </c>
      <c r="C1809" s="1" t="n">
        <v>45629</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52618-2024</t>
        </is>
      </c>
      <c r="B1810" s="1" t="n">
        <v>45609</v>
      </c>
      <c r="C1810" s="1" t="n">
        <v>45629</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52617-2024</t>
        </is>
      </c>
      <c r="B1811" s="1" t="n">
        <v>45609</v>
      </c>
      <c r="C1811" s="1" t="n">
        <v>45629</v>
      </c>
      <c r="D1811" t="inlineStr">
        <is>
          <t>STOCKHOLMS LÄN</t>
        </is>
      </c>
      <c r="E1811" t="inlineStr">
        <is>
          <t>NORRTÄLJE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52593-2024</t>
        </is>
      </c>
      <c r="B1812" s="1" t="n">
        <v>45609</v>
      </c>
      <c r="C1812" s="1" t="n">
        <v>45629</v>
      </c>
      <c r="D1812" t="inlineStr">
        <is>
          <t>STOCKHOLMS LÄN</t>
        </is>
      </c>
      <c r="E1812" t="inlineStr">
        <is>
          <t>NORRTÄLJE</t>
        </is>
      </c>
      <c r="F1812" t="inlineStr">
        <is>
          <t>Holmen skog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52615-2024</t>
        </is>
      </c>
      <c r="B1813" s="1" t="n">
        <v>45609</v>
      </c>
      <c r="C1813" s="1" t="n">
        <v>45629</v>
      </c>
      <c r="D1813" t="inlineStr">
        <is>
          <t>STOCKHOLMS LÄN</t>
        </is>
      </c>
      <c r="E1813" t="inlineStr">
        <is>
          <t>NORRTÄLJE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45629</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45629</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45629</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53305-2024</t>
        </is>
      </c>
      <c r="B1817" s="1" t="n">
        <v>45614</v>
      </c>
      <c r="C1817" s="1" t="n">
        <v>45629</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45629</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45629</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54315-2024</t>
        </is>
      </c>
      <c r="B1820" s="1" t="n">
        <v>45617</v>
      </c>
      <c r="C1820" s="1" t="n">
        <v>45629</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54558-2024</t>
        </is>
      </c>
      <c r="B1821" s="1" t="n">
        <v>45617</v>
      </c>
      <c r="C1821" s="1" t="n">
        <v>45629</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54496-2024</t>
        </is>
      </c>
      <c r="B1822" s="1" t="n">
        <v>45617</v>
      </c>
      <c r="C1822" s="1" t="n">
        <v>45629</v>
      </c>
      <c r="D1822" t="inlineStr">
        <is>
          <t>STOCKHOLMS LÄN</t>
        </is>
      </c>
      <c r="E1822" t="inlineStr">
        <is>
          <t>NORRTÄLJE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54504-2024</t>
        </is>
      </c>
      <c r="B1823" s="1" t="n">
        <v>45617</v>
      </c>
      <c r="C1823" s="1" t="n">
        <v>45629</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45629</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45629</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45629</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45629</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45629</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c r="A1829" t="inlineStr">
        <is>
          <t>A 56631-2024</t>
        </is>
      </c>
      <c r="B1829" s="1" t="n">
        <v>45625</v>
      </c>
      <c r="C1829" s="1" t="n">
        <v>45629</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2024-12-03T15:10:16Z</dcterms:created>
  <dcterms:modified xmlns:dcterms="http://purl.org/dc/terms/" xmlns:xsi="http://www.w3.org/2001/XMLSchema-instance" xsi:type="dcterms:W3CDTF">2024-12-03T15:10:18Z</dcterms:modified>
</cp:coreProperties>
</file>