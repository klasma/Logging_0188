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46077</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46077</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46077</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46077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46077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46077</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24218-2024</t>
        </is>
      </c>
      <c r="B11" s="1" t="n">
        <v>45457</v>
      </c>
      <c r="C11" s="1" t="n">
        <v>46077</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56024-2025</t>
        </is>
      </c>
      <c r="B12" s="1" t="n">
        <v>45973</v>
      </c>
      <c r="C12" s="1" t="n">
        <v>46077</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21837-2025</t>
        </is>
      </c>
      <c r="B13" s="1" t="n">
        <v>45784.32179398148</v>
      </c>
      <c r="C13" s="1" t="n">
        <v>46077</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46077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46077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46077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46077</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46077</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639-2026</t>
        </is>
      </c>
      <c r="B19" s="1" t="n">
        <v>46029</v>
      </c>
      <c r="C19" s="1" t="n">
        <v>46077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46077</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11231-2021</t>
        </is>
      </c>
      <c r="B21" s="1" t="n">
        <v>44263</v>
      </c>
      <c r="C21" s="1" t="n">
        <v>46077</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20722-2024</t>
        </is>
      </c>
      <c r="B22" s="1" t="n">
        <v>45436</v>
      </c>
      <c r="C22" s="1" t="n">
        <v>46077</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46077</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73093-2021</t>
        </is>
      </c>
      <c r="B24" s="1" t="n">
        <v>44550</v>
      </c>
      <c r="C24" s="1" t="n">
        <v>46077</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52815-2021</t>
        </is>
      </c>
      <c r="B25" s="1" t="n">
        <v>44467</v>
      </c>
      <c r="C25" s="1" t="n">
        <v>46077</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46077</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46077</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47951-2025</t>
        </is>
      </c>
      <c r="B28" s="1" t="n">
        <v>45932.58491898148</v>
      </c>
      <c r="C28" s="1" t="n">
        <v>46077</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46077</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Leptoporus erubescens
Spillkråka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25732-2025</t>
        </is>
      </c>
      <c r="B30" s="1" t="n">
        <v>45800</v>
      </c>
      <c r="C30" s="1" t="n">
        <v>46077</v>
      </c>
      <c r="D30" t="inlineStr">
        <is>
          <t>STOCKHOLMS LÄN</t>
        </is>
      </c>
      <c r="E30" t="inlineStr">
        <is>
          <t>NORRTÄLJE</t>
        </is>
      </c>
      <c r="G30" t="n">
        <v>7.4</v>
      </c>
      <c r="H30" t="n">
        <v>4</v>
      </c>
      <c r="I30" t="n">
        <v>3</v>
      </c>
      <c r="J30" t="n">
        <v>3</v>
      </c>
      <c r="K30" t="n">
        <v>1</v>
      </c>
      <c r="L30" t="n">
        <v>0</v>
      </c>
      <c r="M30" t="n">
        <v>0</v>
      </c>
      <c r="N30" t="n">
        <v>0</v>
      </c>
      <c r="O30" t="n">
        <v>4</v>
      </c>
      <c r="P30" t="n">
        <v>1</v>
      </c>
      <c r="Q30" t="n">
        <v>8</v>
      </c>
      <c r="R30" s="2" t="inlineStr">
        <is>
          <t>Knärot
Blå taggsvamp
Skrovlig taggsvamp
Spillkråka
Björksplintborre
Grönpyrola
Plattlummer
Kungsfågel</t>
        </is>
      </c>
      <c r="S30">
        <f>HYPERLINK("https://klasma.github.io/Logging_0188/artfynd/A 25732-2025 artfynd.xlsx", "A 25732-2025")</f>
        <v/>
      </c>
      <c r="T30">
        <f>HYPERLINK("https://klasma.github.io/Logging_0188/kartor/A 25732-2025 karta.png", "A 25732-2025")</f>
        <v/>
      </c>
      <c r="U30">
        <f>HYPERLINK("https://klasma.github.io/Logging_0188/knärot/A 25732-2025 karta knärot.png", "A 25732-2025")</f>
        <v/>
      </c>
      <c r="V30">
        <f>HYPERLINK("https://klasma.github.io/Logging_0188/klagomål/A 25732-2025 FSC-klagomål.docx", "A 25732-2025")</f>
        <v/>
      </c>
      <c r="W30">
        <f>HYPERLINK("https://klasma.github.io/Logging_0188/klagomålsmail/A 25732-2025 FSC-klagomål mail.docx", "A 25732-2025")</f>
        <v/>
      </c>
      <c r="X30">
        <f>HYPERLINK("https://klasma.github.io/Logging_0188/tillsyn/A 25732-2025 tillsynsbegäran.docx", "A 25732-2025")</f>
        <v/>
      </c>
      <c r="Y30">
        <f>HYPERLINK("https://klasma.github.io/Logging_0188/tillsynsmail/A 25732-2025 tillsynsbegäran mail.docx", "A 25732-2025")</f>
        <v/>
      </c>
      <c r="Z30">
        <f>HYPERLINK("https://klasma.github.io/Logging_0188/fåglar/A 25732-2025 prioriterade fågelarter.docx", "A 25732-2025")</f>
        <v/>
      </c>
    </row>
    <row r="31" ht="15" customHeight="1">
      <c r="A31" t="inlineStr">
        <is>
          <t>A 59582-2024</t>
        </is>
      </c>
      <c r="B31" s="1" t="n">
        <v>45638</v>
      </c>
      <c r="C31" s="1" t="n">
        <v>46077</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46077</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46077</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46077</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46077</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46077</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46077</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46077</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15804-2025</t>
        </is>
      </c>
      <c r="B39" s="1" t="n">
        <v>45748.6521875</v>
      </c>
      <c r="C39" s="1" t="n">
        <v>46077</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21922-2023</t>
        </is>
      </c>
      <c r="B40" s="1" t="n">
        <v>45068</v>
      </c>
      <c r="C40" s="1" t="n">
        <v>46077</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3444-2023</t>
        </is>
      </c>
      <c r="B41" s="1" t="n">
        <v>44949</v>
      </c>
      <c r="C41" s="1" t="n">
        <v>46077</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30687-2025</t>
        </is>
      </c>
      <c r="B42" s="1" t="n">
        <v>45831.53390046296</v>
      </c>
      <c r="C42" s="1" t="n">
        <v>46077</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72111-2021</t>
        </is>
      </c>
      <c r="B43" s="1" t="n">
        <v>44544</v>
      </c>
      <c r="C43" s="1" t="n">
        <v>46077</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56791-2025</t>
        </is>
      </c>
      <c r="B44" s="1" t="n">
        <v>45978</v>
      </c>
      <c r="C44" s="1" t="n">
        <v>46077</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22071-2022</t>
        </is>
      </c>
      <c r="B45" s="1" t="n">
        <v>44711</v>
      </c>
      <c r="C45" s="1" t="n">
        <v>46077</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72305-2021</t>
        </is>
      </c>
      <c r="B46" s="1" t="n">
        <v>44545</v>
      </c>
      <c r="C46" s="1" t="n">
        <v>46077</v>
      </c>
      <c r="D46" t="inlineStr">
        <is>
          <t>STOCKHOLMS LÄN</t>
        </is>
      </c>
      <c r="E46" t="inlineStr">
        <is>
          <t>NORRTÄLJE</t>
        </is>
      </c>
      <c r="G46" t="n">
        <v>1.5</v>
      </c>
      <c r="H46" t="n">
        <v>1</v>
      </c>
      <c r="I46" t="n">
        <v>3</v>
      </c>
      <c r="J46" t="n">
        <v>0</v>
      </c>
      <c r="K46" t="n">
        <v>0</v>
      </c>
      <c r="L46" t="n">
        <v>0</v>
      </c>
      <c r="M46" t="n">
        <v>0</v>
      </c>
      <c r="N46" t="n">
        <v>0</v>
      </c>
      <c r="O46" t="n">
        <v>0</v>
      </c>
      <c r="P46" t="n">
        <v>0</v>
      </c>
      <c r="Q46" t="n">
        <v>4</v>
      </c>
      <c r="R46" s="2" t="inlineStr">
        <is>
          <t>Svart trolldruva
Sårläka
Vårärt
Blåsippa</t>
        </is>
      </c>
      <c r="S46">
        <f>HYPERLINK("https://klasma.github.io/Logging_0188/artfynd/A 72305-2021 artfynd.xlsx", "A 72305-2021")</f>
        <v/>
      </c>
      <c r="T46">
        <f>HYPERLINK("https://klasma.github.io/Logging_0188/kartor/A 72305-2021 karta.png", "A 72305-2021")</f>
        <v/>
      </c>
      <c r="V46">
        <f>HYPERLINK("https://klasma.github.io/Logging_0188/klagomål/A 72305-2021 FSC-klagomål.docx", "A 72305-2021")</f>
        <v/>
      </c>
      <c r="W46">
        <f>HYPERLINK("https://klasma.github.io/Logging_0188/klagomålsmail/A 72305-2021 FSC-klagomål mail.docx", "A 72305-2021")</f>
        <v/>
      </c>
      <c r="X46">
        <f>HYPERLINK("https://klasma.github.io/Logging_0188/tillsyn/A 72305-2021 tillsynsbegäran.docx", "A 72305-2021")</f>
        <v/>
      </c>
      <c r="Y46">
        <f>HYPERLINK("https://klasma.github.io/Logging_0188/tillsynsmail/A 72305-2021 tillsynsbegäran mail.docx", "A 72305-2021")</f>
        <v/>
      </c>
    </row>
    <row r="47" ht="15" customHeight="1">
      <c r="A47" t="inlineStr">
        <is>
          <t>A 24052-2021</t>
        </is>
      </c>
      <c r="B47" s="1" t="n">
        <v>44336</v>
      </c>
      <c r="C47" s="1" t="n">
        <v>46077</v>
      </c>
      <c r="D47" t="inlineStr">
        <is>
          <t>STOCKHOLMS LÄN</t>
        </is>
      </c>
      <c r="E47" t="inlineStr">
        <is>
          <t>NORRTÄLJE</t>
        </is>
      </c>
      <c r="G47" t="n">
        <v>8.6</v>
      </c>
      <c r="H47" t="n">
        <v>4</v>
      </c>
      <c r="I47" t="n">
        <v>0</v>
      </c>
      <c r="J47" t="n">
        <v>2</v>
      </c>
      <c r="K47" t="n">
        <v>0</v>
      </c>
      <c r="L47" t="n">
        <v>0</v>
      </c>
      <c r="M47" t="n">
        <v>0</v>
      </c>
      <c r="N47" t="n">
        <v>0</v>
      </c>
      <c r="O47" t="n">
        <v>2</v>
      </c>
      <c r="P47" t="n">
        <v>0</v>
      </c>
      <c r="Q47" t="n">
        <v>4</v>
      </c>
      <c r="R47" s="2" t="inlineStr">
        <is>
          <t>Brunlångöra
Nordfladdermus
Dvärgpipistrell
Större brunfladdermus</t>
        </is>
      </c>
      <c r="S47">
        <f>HYPERLINK("https://klasma.github.io/Logging_0188/artfynd/A 24052-2021 artfynd.xlsx", "A 24052-2021")</f>
        <v/>
      </c>
      <c r="T47">
        <f>HYPERLINK("https://klasma.github.io/Logging_0188/kartor/A 24052-2021 karta.png", "A 24052-2021")</f>
        <v/>
      </c>
      <c r="V47">
        <f>HYPERLINK("https://klasma.github.io/Logging_0188/klagomål/A 24052-2021 FSC-klagomål.docx", "A 24052-2021")</f>
        <v/>
      </c>
      <c r="W47">
        <f>HYPERLINK("https://klasma.github.io/Logging_0188/klagomålsmail/A 24052-2021 FSC-klagomål mail.docx", "A 24052-2021")</f>
        <v/>
      </c>
      <c r="X47">
        <f>HYPERLINK("https://klasma.github.io/Logging_0188/tillsyn/A 24052-2021 tillsynsbegäran.docx", "A 24052-2021")</f>
        <v/>
      </c>
      <c r="Y47">
        <f>HYPERLINK("https://klasma.github.io/Logging_0188/tillsynsmail/A 24052-2021 tillsynsbegäran mail.docx", "A 24052-2021")</f>
        <v/>
      </c>
    </row>
    <row r="48" ht="15" customHeight="1">
      <c r="A48" t="inlineStr">
        <is>
          <t>A 44709-2022</t>
        </is>
      </c>
      <c r="B48" s="1" t="n">
        <v>44839</v>
      </c>
      <c r="C48" s="1" t="n">
        <v>46077</v>
      </c>
      <c r="D48" t="inlineStr">
        <is>
          <t>STOCKHOLMS LÄN</t>
        </is>
      </c>
      <c r="E48" t="inlineStr">
        <is>
          <t>NORRTÄLJE</t>
        </is>
      </c>
      <c r="G48" t="n">
        <v>16.3</v>
      </c>
      <c r="H48" t="n">
        <v>3</v>
      </c>
      <c r="I48" t="n">
        <v>0</v>
      </c>
      <c r="J48" t="n">
        <v>2</v>
      </c>
      <c r="K48" t="n">
        <v>0</v>
      </c>
      <c r="L48" t="n">
        <v>0</v>
      </c>
      <c r="M48" t="n">
        <v>0</v>
      </c>
      <c r="N48" t="n">
        <v>0</v>
      </c>
      <c r="O48" t="n">
        <v>2</v>
      </c>
      <c r="P48" t="n">
        <v>0</v>
      </c>
      <c r="Q48" t="n">
        <v>4</v>
      </c>
      <c r="R48" s="2" t="inlineStr">
        <is>
          <t>Asppraktbagge
Spillkråka
Enkelbeckasin
Orre</t>
        </is>
      </c>
      <c r="S48">
        <f>HYPERLINK("https://klasma.github.io/Logging_0188/artfynd/A 44709-2022 artfynd.xlsx", "A 44709-2022")</f>
        <v/>
      </c>
      <c r="T48">
        <f>HYPERLINK("https://klasma.github.io/Logging_0188/kartor/A 44709-2022 karta.png", "A 44709-2022")</f>
        <v/>
      </c>
      <c r="V48">
        <f>HYPERLINK("https://klasma.github.io/Logging_0188/klagomål/A 44709-2022 FSC-klagomål.docx", "A 44709-2022")</f>
        <v/>
      </c>
      <c r="W48">
        <f>HYPERLINK("https://klasma.github.io/Logging_0188/klagomålsmail/A 44709-2022 FSC-klagomål mail.docx", "A 44709-2022")</f>
        <v/>
      </c>
      <c r="X48">
        <f>HYPERLINK("https://klasma.github.io/Logging_0188/tillsyn/A 44709-2022 tillsynsbegäran.docx", "A 44709-2022")</f>
        <v/>
      </c>
      <c r="Y48">
        <f>HYPERLINK("https://klasma.github.io/Logging_0188/tillsynsmail/A 44709-2022 tillsynsbegäran mail.docx", "A 44709-2022")</f>
        <v/>
      </c>
      <c r="Z48">
        <f>HYPERLINK("https://klasma.github.io/Logging_0188/fåglar/A 44709-2022 prioriterade fågelarter.docx", "A 44709-2022")</f>
        <v/>
      </c>
    </row>
    <row r="49" ht="15" customHeight="1">
      <c r="A49" t="inlineStr">
        <is>
          <t>A 41276-2025</t>
        </is>
      </c>
      <c r="B49" s="1" t="n">
        <v>45898.62723379629</v>
      </c>
      <c r="C49" s="1" t="n">
        <v>46077</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46077</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46077</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21730-2025</t>
        </is>
      </c>
      <c r="B52" s="1" t="n">
        <v>45783.58123842593</v>
      </c>
      <c r="C52" s="1" t="n">
        <v>46077</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25687-2025</t>
        </is>
      </c>
      <c r="B53" s="1" t="n">
        <v>45800</v>
      </c>
      <c r="C53" s="1" t="n">
        <v>46077</v>
      </c>
      <c r="D53" t="inlineStr">
        <is>
          <t>STOCKHOLMS LÄN</t>
        </is>
      </c>
      <c r="E53" t="inlineStr">
        <is>
          <t>NORRTÄLJE</t>
        </is>
      </c>
      <c r="G53" t="n">
        <v>15.7</v>
      </c>
      <c r="H53" t="n">
        <v>2</v>
      </c>
      <c r="I53" t="n">
        <v>1</v>
      </c>
      <c r="J53" t="n">
        <v>2</v>
      </c>
      <c r="K53" t="n">
        <v>0</v>
      </c>
      <c r="L53" t="n">
        <v>0</v>
      </c>
      <c r="M53" t="n">
        <v>0</v>
      </c>
      <c r="N53" t="n">
        <v>0</v>
      </c>
      <c r="O53" t="n">
        <v>2</v>
      </c>
      <c r="P53" t="n">
        <v>0</v>
      </c>
      <c r="Q53" t="n">
        <v>4</v>
      </c>
      <c r="R53" s="2" t="inlineStr">
        <is>
          <t>Spillkråka
Ullticka
Grönpyrola
Kungsfågel</t>
        </is>
      </c>
      <c r="S53">
        <f>HYPERLINK("https://klasma.github.io/Logging_0188/artfynd/A 25687-2025 artfynd.xlsx", "A 25687-2025")</f>
        <v/>
      </c>
      <c r="T53">
        <f>HYPERLINK("https://klasma.github.io/Logging_0188/kartor/A 25687-2025 karta.png", "A 25687-2025")</f>
        <v/>
      </c>
      <c r="V53">
        <f>HYPERLINK("https://klasma.github.io/Logging_0188/klagomål/A 25687-2025 FSC-klagomål.docx", "A 25687-2025")</f>
        <v/>
      </c>
      <c r="W53">
        <f>HYPERLINK("https://klasma.github.io/Logging_0188/klagomålsmail/A 25687-2025 FSC-klagomål mail.docx", "A 25687-2025")</f>
        <v/>
      </c>
      <c r="X53">
        <f>HYPERLINK("https://klasma.github.io/Logging_0188/tillsyn/A 25687-2025 tillsynsbegäran.docx", "A 25687-2025")</f>
        <v/>
      </c>
      <c r="Y53">
        <f>HYPERLINK("https://klasma.github.io/Logging_0188/tillsynsmail/A 25687-2025 tillsynsbegäran mail.docx", "A 25687-2025")</f>
        <v/>
      </c>
      <c r="Z53">
        <f>HYPERLINK("https://klasma.github.io/Logging_0188/fåglar/A 25687-2025 prioriterade fågelarter.docx", "A 25687-2025")</f>
        <v/>
      </c>
    </row>
    <row r="54" ht="15" customHeight="1">
      <c r="A54" t="inlineStr">
        <is>
          <t>A 34521-2025</t>
        </is>
      </c>
      <c r="B54" s="1" t="n">
        <v>45847.47052083333</v>
      </c>
      <c r="C54" s="1" t="n">
        <v>46077</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17673-2021</t>
        </is>
      </c>
      <c r="B55" s="1" t="n">
        <v>44300</v>
      </c>
      <c r="C55" s="1" t="n">
        <v>46077</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46077</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46077</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46077</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2851-2023</t>
        </is>
      </c>
      <c r="B59" s="1" t="n">
        <v>44945</v>
      </c>
      <c r="C59" s="1" t="n">
        <v>46077</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46077</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53065-2024</t>
        </is>
      </c>
      <c r="B61" s="1" t="n">
        <v>45611.47233796296</v>
      </c>
      <c r="C61" s="1" t="n">
        <v>46077</v>
      </c>
      <c r="D61" t="inlineStr">
        <is>
          <t>STOCKHOLMS LÄN</t>
        </is>
      </c>
      <c r="E61" t="inlineStr">
        <is>
          <t>NORRTÄLJE</t>
        </is>
      </c>
      <c r="G61" t="n">
        <v>12.3</v>
      </c>
      <c r="H61" t="n">
        <v>0</v>
      </c>
      <c r="I61" t="n">
        <v>1</v>
      </c>
      <c r="J61" t="n">
        <v>1</v>
      </c>
      <c r="K61" t="n">
        <v>1</v>
      </c>
      <c r="L61" t="n">
        <v>0</v>
      </c>
      <c r="M61" t="n">
        <v>0</v>
      </c>
      <c r="N61" t="n">
        <v>0</v>
      </c>
      <c r="O61" t="n">
        <v>2</v>
      </c>
      <c r="P61" t="n">
        <v>1</v>
      </c>
      <c r="Q61" t="n">
        <v>3</v>
      </c>
      <c r="R61" s="2" t="inlineStr">
        <is>
          <t>Aspsplintbock
Grön aspvedbock
Gulröd blankbock</t>
        </is>
      </c>
      <c r="S61">
        <f>HYPERLINK("https://klasma.github.io/Logging_0188/artfynd/A 53065-2024 artfynd.xlsx", "A 53065-2024")</f>
        <v/>
      </c>
      <c r="T61">
        <f>HYPERLINK("https://klasma.github.io/Logging_0188/kartor/A 53065-2024 karta.png", "A 53065-2024")</f>
        <v/>
      </c>
      <c r="V61">
        <f>HYPERLINK("https://klasma.github.io/Logging_0188/klagomål/A 53065-2024 FSC-klagomål.docx", "A 53065-2024")</f>
        <v/>
      </c>
      <c r="W61">
        <f>HYPERLINK("https://klasma.github.io/Logging_0188/klagomålsmail/A 53065-2024 FSC-klagomål mail.docx", "A 53065-2024")</f>
        <v/>
      </c>
      <c r="X61">
        <f>HYPERLINK("https://klasma.github.io/Logging_0188/tillsyn/A 53065-2024 tillsynsbegäran.docx", "A 53065-2024")</f>
        <v/>
      </c>
      <c r="Y61">
        <f>HYPERLINK("https://klasma.github.io/Logging_0188/tillsynsmail/A 53065-2024 tillsynsbegäran mail.docx", "A 53065-2024")</f>
        <v/>
      </c>
    </row>
    <row r="62" ht="15" customHeight="1">
      <c r="A62" t="inlineStr">
        <is>
          <t>A 50618-2022</t>
        </is>
      </c>
      <c r="B62" s="1" t="n">
        <v>44866</v>
      </c>
      <c r="C62" s="1" t="n">
        <v>46077</v>
      </c>
      <c r="D62" t="inlineStr">
        <is>
          <t>STOCKHOLMS LÄN</t>
        </is>
      </c>
      <c r="E62" t="inlineStr">
        <is>
          <t>NORRTÄLJE</t>
        </is>
      </c>
      <c r="G62" t="n">
        <v>7.8</v>
      </c>
      <c r="H62" t="n">
        <v>2</v>
      </c>
      <c r="I62" t="n">
        <v>2</v>
      </c>
      <c r="J62" t="n">
        <v>0</v>
      </c>
      <c r="K62" t="n">
        <v>0</v>
      </c>
      <c r="L62" t="n">
        <v>0</v>
      </c>
      <c r="M62" t="n">
        <v>0</v>
      </c>
      <c r="N62" t="n">
        <v>0</v>
      </c>
      <c r="O62" t="n">
        <v>0</v>
      </c>
      <c r="P62" t="n">
        <v>0</v>
      </c>
      <c r="Q62" t="n">
        <v>3</v>
      </c>
      <c r="R62" s="2" t="inlineStr">
        <is>
          <t>Skogsknipprot
Vårärt
Blåsippa</t>
        </is>
      </c>
      <c r="S62">
        <f>HYPERLINK("https://klasma.github.io/Logging_0188/artfynd/A 50618-2022 artfynd.xlsx", "A 50618-2022")</f>
        <v/>
      </c>
      <c r="T62">
        <f>HYPERLINK("https://klasma.github.io/Logging_0188/kartor/A 50618-2022 karta.png", "A 50618-2022")</f>
        <v/>
      </c>
      <c r="V62">
        <f>HYPERLINK("https://klasma.github.io/Logging_0188/klagomål/A 50618-2022 FSC-klagomål.docx", "A 50618-2022")</f>
        <v/>
      </c>
      <c r="W62">
        <f>HYPERLINK("https://klasma.github.io/Logging_0188/klagomålsmail/A 50618-2022 FSC-klagomål mail.docx", "A 50618-2022")</f>
        <v/>
      </c>
      <c r="X62">
        <f>HYPERLINK("https://klasma.github.io/Logging_0188/tillsyn/A 50618-2022 tillsynsbegäran.docx", "A 50618-2022")</f>
        <v/>
      </c>
      <c r="Y62">
        <f>HYPERLINK("https://klasma.github.io/Logging_0188/tillsynsmail/A 50618-2022 tillsynsbegäran mail.docx", "A 50618-2022")</f>
        <v/>
      </c>
    </row>
    <row r="63" ht="15" customHeight="1">
      <c r="A63" t="inlineStr">
        <is>
          <t>A 27870-2022</t>
        </is>
      </c>
      <c r="B63" s="1" t="n">
        <v>44743.64592592593</v>
      </c>
      <c r="C63" s="1" t="n">
        <v>46077</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52726-2025</t>
        </is>
      </c>
      <c r="B64" s="1" t="n">
        <v>45957.34722222222</v>
      </c>
      <c r="C64" s="1" t="n">
        <v>46077</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54110-2024</t>
        </is>
      </c>
      <c r="B65" s="1" t="n">
        <v>45616.54866898148</v>
      </c>
      <c r="C65" s="1" t="n">
        <v>46077</v>
      </c>
      <c r="D65" t="inlineStr">
        <is>
          <t>STOCKHOLMS LÄN</t>
        </is>
      </c>
      <c r="E65" t="inlineStr">
        <is>
          <t>NORRTÄLJE</t>
        </is>
      </c>
      <c r="G65" t="n">
        <v>6.7</v>
      </c>
      <c r="H65" t="n">
        <v>2</v>
      </c>
      <c r="I65" t="n">
        <v>0</v>
      </c>
      <c r="J65" t="n">
        <v>1</v>
      </c>
      <c r="K65" t="n">
        <v>0</v>
      </c>
      <c r="L65" t="n">
        <v>0</v>
      </c>
      <c r="M65" t="n">
        <v>0</v>
      </c>
      <c r="N65" t="n">
        <v>0</v>
      </c>
      <c r="O65" t="n">
        <v>1</v>
      </c>
      <c r="P65" t="n">
        <v>0</v>
      </c>
      <c r="Q65" t="n">
        <v>3</v>
      </c>
      <c r="R65" s="2" t="inlineStr">
        <is>
          <t>Klasefibbla
Nattviol
Gullviva</t>
        </is>
      </c>
      <c r="S65">
        <f>HYPERLINK("https://klasma.github.io/Logging_0188/artfynd/A 54110-2024 artfynd.xlsx", "A 54110-2024")</f>
        <v/>
      </c>
      <c r="T65">
        <f>HYPERLINK("https://klasma.github.io/Logging_0188/kartor/A 54110-2024 karta.png", "A 54110-2024")</f>
        <v/>
      </c>
      <c r="V65">
        <f>HYPERLINK("https://klasma.github.io/Logging_0188/klagomål/A 54110-2024 FSC-klagomål.docx", "A 54110-2024")</f>
        <v/>
      </c>
      <c r="W65">
        <f>HYPERLINK("https://klasma.github.io/Logging_0188/klagomålsmail/A 54110-2024 FSC-klagomål mail.docx", "A 54110-2024")</f>
        <v/>
      </c>
      <c r="X65">
        <f>HYPERLINK("https://klasma.github.io/Logging_0188/tillsyn/A 54110-2024 tillsynsbegäran.docx", "A 54110-2024")</f>
        <v/>
      </c>
      <c r="Y65">
        <f>HYPERLINK("https://klasma.github.io/Logging_0188/tillsynsmail/A 54110-2024 tillsynsbegäran mail.docx", "A 54110-2024")</f>
        <v/>
      </c>
    </row>
    <row r="66" ht="15" customHeight="1">
      <c r="A66" t="inlineStr">
        <is>
          <t>A 25270-2025</t>
        </is>
      </c>
      <c r="B66" s="1" t="n">
        <v>45800</v>
      </c>
      <c r="C66" s="1" t="n">
        <v>46077</v>
      </c>
      <c r="D66" t="inlineStr">
        <is>
          <t>STOCKHOLMS LÄN</t>
        </is>
      </c>
      <c r="E66" t="inlineStr">
        <is>
          <t>NORRTÄLJE</t>
        </is>
      </c>
      <c r="F66" t="inlineStr">
        <is>
          <t>Övriga Aktiebolag</t>
        </is>
      </c>
      <c r="G66" t="n">
        <v>30</v>
      </c>
      <c r="H66" t="n">
        <v>0</v>
      </c>
      <c r="I66" t="n">
        <v>2</v>
      </c>
      <c r="J66" t="n">
        <v>1</v>
      </c>
      <c r="K66" t="n">
        <v>0</v>
      </c>
      <c r="L66" t="n">
        <v>0</v>
      </c>
      <c r="M66" t="n">
        <v>0</v>
      </c>
      <c r="N66" t="n">
        <v>0</v>
      </c>
      <c r="O66" t="n">
        <v>1</v>
      </c>
      <c r="P66" t="n">
        <v>0</v>
      </c>
      <c r="Q66" t="n">
        <v>3</v>
      </c>
      <c r="R66" s="2" t="inlineStr">
        <is>
          <t>Kandelabersvamp
Fjällig taggsvamp s.str.
Skarp dropptaggsvamp</t>
        </is>
      </c>
      <c r="S66">
        <f>HYPERLINK("https://klasma.github.io/Logging_0188/artfynd/A 25270-2025 artfynd.xlsx", "A 25270-2025")</f>
        <v/>
      </c>
      <c r="T66">
        <f>HYPERLINK("https://klasma.github.io/Logging_0188/kartor/A 25270-2025 karta.png", "A 25270-2025")</f>
        <v/>
      </c>
      <c r="V66">
        <f>HYPERLINK("https://klasma.github.io/Logging_0188/klagomål/A 25270-2025 FSC-klagomål.docx", "A 25270-2025")</f>
        <v/>
      </c>
      <c r="W66">
        <f>HYPERLINK("https://klasma.github.io/Logging_0188/klagomålsmail/A 25270-2025 FSC-klagomål mail.docx", "A 25270-2025")</f>
        <v/>
      </c>
      <c r="X66">
        <f>HYPERLINK("https://klasma.github.io/Logging_0188/tillsyn/A 25270-2025 tillsynsbegäran.docx", "A 25270-2025")</f>
        <v/>
      </c>
      <c r="Y66">
        <f>HYPERLINK("https://klasma.github.io/Logging_0188/tillsynsmail/A 25270-2025 tillsynsbegäran mail.docx", "A 25270-2025")</f>
        <v/>
      </c>
    </row>
    <row r="67" ht="15" customHeight="1">
      <c r="A67" t="inlineStr">
        <is>
          <t>A 29185-2025</t>
        </is>
      </c>
      <c r="B67" s="1" t="n">
        <v>45821</v>
      </c>
      <c r="C67" s="1" t="n">
        <v>46077</v>
      </c>
      <c r="D67" t="inlineStr">
        <is>
          <t>STOCKHOLMS LÄN</t>
        </is>
      </c>
      <c r="E67" t="inlineStr">
        <is>
          <t>NORRTÄLJE</t>
        </is>
      </c>
      <c r="F67" t="inlineStr">
        <is>
          <t>Övriga Aktiebolag</t>
        </is>
      </c>
      <c r="G67" t="n">
        <v>8.5</v>
      </c>
      <c r="H67" t="n">
        <v>2</v>
      </c>
      <c r="I67" t="n">
        <v>1</v>
      </c>
      <c r="J67" t="n">
        <v>0</v>
      </c>
      <c r="K67" t="n">
        <v>0</v>
      </c>
      <c r="L67" t="n">
        <v>0</v>
      </c>
      <c r="M67" t="n">
        <v>0</v>
      </c>
      <c r="N67" t="n">
        <v>0</v>
      </c>
      <c r="O67" t="n">
        <v>0</v>
      </c>
      <c r="P67" t="n">
        <v>0</v>
      </c>
      <c r="Q67" t="n">
        <v>3</v>
      </c>
      <c r="R67" s="2" t="inlineStr">
        <is>
          <t>Vårärt
Fläcknycklar
Blåsippa</t>
        </is>
      </c>
      <c r="S67">
        <f>HYPERLINK("https://klasma.github.io/Logging_0188/artfynd/A 29185-2025 artfynd.xlsx", "A 29185-2025")</f>
        <v/>
      </c>
      <c r="T67">
        <f>HYPERLINK("https://klasma.github.io/Logging_0188/kartor/A 29185-2025 karta.png", "A 29185-2025")</f>
        <v/>
      </c>
      <c r="V67">
        <f>HYPERLINK("https://klasma.github.io/Logging_0188/klagomål/A 29185-2025 FSC-klagomål.docx", "A 29185-2025")</f>
        <v/>
      </c>
      <c r="W67">
        <f>HYPERLINK("https://klasma.github.io/Logging_0188/klagomålsmail/A 29185-2025 FSC-klagomål mail.docx", "A 29185-2025")</f>
        <v/>
      </c>
      <c r="X67">
        <f>HYPERLINK("https://klasma.github.io/Logging_0188/tillsyn/A 29185-2025 tillsynsbegäran.docx", "A 29185-2025")</f>
        <v/>
      </c>
      <c r="Y67">
        <f>HYPERLINK("https://klasma.github.io/Logging_0188/tillsynsmail/A 29185-2025 tillsynsbegäran mail.docx", "A 29185-2025")</f>
        <v/>
      </c>
    </row>
    <row r="68" ht="15" customHeight="1">
      <c r="A68" t="inlineStr">
        <is>
          <t>A 34524-2025</t>
        </is>
      </c>
      <c r="B68" s="1" t="n">
        <v>45847.47685185185</v>
      </c>
      <c r="C68" s="1" t="n">
        <v>46077</v>
      </c>
      <c r="D68" t="inlineStr">
        <is>
          <t>STOCKHOLMS LÄN</t>
        </is>
      </c>
      <c r="E68" t="inlineStr">
        <is>
          <t>NORRTÄLJE</t>
        </is>
      </c>
      <c r="G68" t="n">
        <v>3.3</v>
      </c>
      <c r="H68" t="n">
        <v>0</v>
      </c>
      <c r="I68" t="n">
        <v>1</v>
      </c>
      <c r="J68" t="n">
        <v>2</v>
      </c>
      <c r="K68" t="n">
        <v>0</v>
      </c>
      <c r="L68" t="n">
        <v>0</v>
      </c>
      <c r="M68" t="n">
        <v>0</v>
      </c>
      <c r="N68" t="n">
        <v>0</v>
      </c>
      <c r="O68" t="n">
        <v>2</v>
      </c>
      <c r="P68" t="n">
        <v>0</v>
      </c>
      <c r="Q68" t="n">
        <v>3</v>
      </c>
      <c r="R68" s="2" t="inlineStr">
        <is>
          <t>Tallticka
Vedtrappmossa
Kornknutmossa</t>
        </is>
      </c>
      <c r="S68">
        <f>HYPERLINK("https://klasma.github.io/Logging_0188/artfynd/A 34524-2025 artfynd.xlsx", "A 34524-2025")</f>
        <v/>
      </c>
      <c r="T68">
        <f>HYPERLINK("https://klasma.github.io/Logging_0188/kartor/A 34524-2025 karta.png", "A 34524-2025")</f>
        <v/>
      </c>
      <c r="V68">
        <f>HYPERLINK("https://klasma.github.io/Logging_0188/klagomål/A 34524-2025 FSC-klagomål.docx", "A 34524-2025")</f>
        <v/>
      </c>
      <c r="W68">
        <f>HYPERLINK("https://klasma.github.io/Logging_0188/klagomålsmail/A 34524-2025 FSC-klagomål mail.docx", "A 34524-2025")</f>
        <v/>
      </c>
      <c r="X68">
        <f>HYPERLINK("https://klasma.github.io/Logging_0188/tillsyn/A 34524-2025 tillsynsbegäran.docx", "A 34524-2025")</f>
        <v/>
      </c>
      <c r="Y68">
        <f>HYPERLINK("https://klasma.github.io/Logging_0188/tillsynsmail/A 34524-2025 tillsynsbegäran mail.docx", "A 34524-2025")</f>
        <v/>
      </c>
    </row>
    <row r="69" ht="15" customHeight="1">
      <c r="A69" t="inlineStr">
        <is>
          <t>A 52133-2022</t>
        </is>
      </c>
      <c r="B69" s="1" t="n">
        <v>44868</v>
      </c>
      <c r="C69" s="1" t="n">
        <v>46077</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46077</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46077</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46077</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46077</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46077</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22190-2024</t>
        </is>
      </c>
      <c r="B75" s="1" t="n">
        <v>45446.35888888889</v>
      </c>
      <c r="C75" s="1" t="n">
        <v>46077</v>
      </c>
      <c r="D75" t="inlineStr">
        <is>
          <t>STOCKHOLMS LÄN</t>
        </is>
      </c>
      <c r="E75" t="inlineStr">
        <is>
          <t>NORRTÄLJE</t>
        </is>
      </c>
      <c r="G75" t="n">
        <v>2.8</v>
      </c>
      <c r="H75" t="n">
        <v>2</v>
      </c>
      <c r="I75" t="n">
        <v>1</v>
      </c>
      <c r="J75" t="n">
        <v>0</v>
      </c>
      <c r="K75" t="n">
        <v>0</v>
      </c>
      <c r="L75" t="n">
        <v>0</v>
      </c>
      <c r="M75" t="n">
        <v>0</v>
      </c>
      <c r="N75" t="n">
        <v>0</v>
      </c>
      <c r="O75" t="n">
        <v>0</v>
      </c>
      <c r="P75" t="n">
        <v>0</v>
      </c>
      <c r="Q75" t="n">
        <v>2</v>
      </c>
      <c r="R75" s="2" t="inlineStr">
        <is>
          <t>Skogsknipprot
Vanlig groda</t>
        </is>
      </c>
      <c r="S75">
        <f>HYPERLINK("https://klasma.github.io/Logging_0188/artfynd/A 22190-2024 artfynd.xlsx", "A 22190-2024")</f>
        <v/>
      </c>
      <c r="T75">
        <f>HYPERLINK("https://klasma.github.io/Logging_0188/kartor/A 22190-2024 karta.png", "A 22190-2024")</f>
        <v/>
      </c>
      <c r="V75">
        <f>HYPERLINK("https://klasma.github.io/Logging_0188/klagomål/A 22190-2024 FSC-klagomål.docx", "A 22190-2024")</f>
        <v/>
      </c>
      <c r="W75">
        <f>HYPERLINK("https://klasma.github.io/Logging_0188/klagomålsmail/A 22190-2024 FSC-klagomål mail.docx", "A 22190-2024")</f>
        <v/>
      </c>
      <c r="X75">
        <f>HYPERLINK("https://klasma.github.io/Logging_0188/tillsyn/A 22190-2024 tillsynsbegäran.docx", "A 22190-2024")</f>
        <v/>
      </c>
      <c r="Y75">
        <f>HYPERLINK("https://klasma.github.io/Logging_0188/tillsynsmail/A 22190-2024 tillsynsbegäran mail.docx", "A 22190-2024")</f>
        <v/>
      </c>
    </row>
    <row r="76" ht="15" customHeight="1">
      <c r="A76" t="inlineStr">
        <is>
          <t>A 11031-2025</t>
        </is>
      </c>
      <c r="B76" s="1" t="n">
        <v>45723</v>
      </c>
      <c r="C76" s="1" t="n">
        <v>46077</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17952-2022</t>
        </is>
      </c>
      <c r="B77" s="1" t="n">
        <v>44683</v>
      </c>
      <c r="C77" s="1" t="n">
        <v>46077</v>
      </c>
      <c r="D77" t="inlineStr">
        <is>
          <t>STOCKHOLMS LÄN</t>
        </is>
      </c>
      <c r="E77" t="inlineStr">
        <is>
          <t>NORRTÄLJE</t>
        </is>
      </c>
      <c r="G77" t="n">
        <v>51.1</v>
      </c>
      <c r="H77" t="n">
        <v>1</v>
      </c>
      <c r="I77" t="n">
        <v>0</v>
      </c>
      <c r="J77" t="n">
        <v>0</v>
      </c>
      <c r="K77" t="n">
        <v>1</v>
      </c>
      <c r="L77" t="n">
        <v>0</v>
      </c>
      <c r="M77" t="n">
        <v>0</v>
      </c>
      <c r="N77" t="n">
        <v>0</v>
      </c>
      <c r="O77" t="n">
        <v>1</v>
      </c>
      <c r="P77" t="n">
        <v>1</v>
      </c>
      <c r="Q77" t="n">
        <v>2</v>
      </c>
      <c r="R77" s="2" t="inlineStr">
        <is>
          <t>Kattunvisslare
Revlummer</t>
        </is>
      </c>
      <c r="S77">
        <f>HYPERLINK("https://klasma.github.io/Logging_0188/artfynd/A 17952-2022 artfynd.xlsx", "A 17952-2022")</f>
        <v/>
      </c>
      <c r="T77">
        <f>HYPERLINK("https://klasma.github.io/Logging_0188/kartor/A 17952-2022 karta.png", "A 17952-2022")</f>
        <v/>
      </c>
      <c r="V77">
        <f>HYPERLINK("https://klasma.github.io/Logging_0188/klagomål/A 17952-2022 FSC-klagomål.docx", "A 17952-2022")</f>
        <v/>
      </c>
      <c r="W77">
        <f>HYPERLINK("https://klasma.github.io/Logging_0188/klagomålsmail/A 17952-2022 FSC-klagomål mail.docx", "A 17952-2022")</f>
        <v/>
      </c>
      <c r="X77">
        <f>HYPERLINK("https://klasma.github.io/Logging_0188/tillsyn/A 17952-2022 tillsynsbegäran.docx", "A 17952-2022")</f>
        <v/>
      </c>
      <c r="Y77">
        <f>HYPERLINK("https://klasma.github.io/Logging_0188/tillsynsmail/A 17952-2022 tillsynsbegäran mail.docx", "A 17952-2022")</f>
        <v/>
      </c>
    </row>
    <row r="78" ht="15" customHeight="1">
      <c r="A78" t="inlineStr">
        <is>
          <t>A 16260-2022</t>
        </is>
      </c>
      <c r="B78" s="1" t="n">
        <v>44670</v>
      </c>
      <c r="C78" s="1" t="n">
        <v>46077</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52360-2024</t>
        </is>
      </c>
      <c r="B79" s="1" t="n">
        <v>45609.37094907407</v>
      </c>
      <c r="C79" s="1" t="n">
        <v>46077</v>
      </c>
      <c r="D79" t="inlineStr">
        <is>
          <t>STOCKHOLMS LÄN</t>
        </is>
      </c>
      <c r="E79" t="inlineStr">
        <is>
          <t>NORRTÄLJE</t>
        </is>
      </c>
      <c r="G79" t="n">
        <v>2.2</v>
      </c>
      <c r="H79" t="n">
        <v>1</v>
      </c>
      <c r="I79" t="n">
        <v>1</v>
      </c>
      <c r="J79" t="n">
        <v>0</v>
      </c>
      <c r="K79" t="n">
        <v>0</v>
      </c>
      <c r="L79" t="n">
        <v>0</v>
      </c>
      <c r="M79" t="n">
        <v>0</v>
      </c>
      <c r="N79" t="n">
        <v>0</v>
      </c>
      <c r="O79" t="n">
        <v>0</v>
      </c>
      <c r="P79" t="n">
        <v>0</v>
      </c>
      <c r="Q79" t="n">
        <v>2</v>
      </c>
      <c r="R79" s="2" t="inlineStr">
        <is>
          <t>Brandticka
Blåsippa</t>
        </is>
      </c>
      <c r="S79">
        <f>HYPERLINK("https://klasma.github.io/Logging_0188/artfynd/A 52360-2024 artfynd.xlsx", "A 52360-2024")</f>
        <v/>
      </c>
      <c r="T79">
        <f>HYPERLINK("https://klasma.github.io/Logging_0188/kartor/A 52360-2024 karta.png", "A 52360-2024")</f>
        <v/>
      </c>
      <c r="V79">
        <f>HYPERLINK("https://klasma.github.io/Logging_0188/klagomål/A 52360-2024 FSC-klagomål.docx", "A 52360-2024")</f>
        <v/>
      </c>
      <c r="W79">
        <f>HYPERLINK("https://klasma.github.io/Logging_0188/klagomålsmail/A 52360-2024 FSC-klagomål mail.docx", "A 52360-2024")</f>
        <v/>
      </c>
      <c r="X79">
        <f>HYPERLINK("https://klasma.github.io/Logging_0188/tillsyn/A 52360-2024 tillsynsbegäran.docx", "A 52360-2024")</f>
        <v/>
      </c>
      <c r="Y79">
        <f>HYPERLINK("https://klasma.github.io/Logging_0188/tillsynsmail/A 52360-2024 tillsynsbegäran mail.docx", "A 52360-2024")</f>
        <v/>
      </c>
    </row>
    <row r="80" ht="15" customHeight="1">
      <c r="A80" t="inlineStr">
        <is>
          <t>A 52825-2023</t>
        </is>
      </c>
      <c r="B80" s="1" t="n">
        <v>45226</v>
      </c>
      <c r="C80" s="1" t="n">
        <v>46077</v>
      </c>
      <c r="D80" t="inlineStr">
        <is>
          <t>STOCKHOLMS LÄN</t>
        </is>
      </c>
      <c r="E80" t="inlineStr">
        <is>
          <t>NORRTÄLJE</t>
        </is>
      </c>
      <c r="G80" t="n">
        <v>1</v>
      </c>
      <c r="H80" t="n">
        <v>0</v>
      </c>
      <c r="I80" t="n">
        <v>2</v>
      </c>
      <c r="J80" t="n">
        <v>0</v>
      </c>
      <c r="K80" t="n">
        <v>0</v>
      </c>
      <c r="L80" t="n">
        <v>0</v>
      </c>
      <c r="M80" t="n">
        <v>0</v>
      </c>
      <c r="N80" t="n">
        <v>0</v>
      </c>
      <c r="O80" t="n">
        <v>0</v>
      </c>
      <c r="P80" t="n">
        <v>0</v>
      </c>
      <c r="Q80" t="n">
        <v>2</v>
      </c>
      <c r="R80" s="2" t="inlineStr">
        <is>
          <t>Fjällig taggsvamp s.str.
Strimspindling</t>
        </is>
      </c>
      <c r="S80">
        <f>HYPERLINK("https://klasma.github.io/Logging_0188/artfynd/A 52825-2023 artfynd.xlsx", "A 52825-2023")</f>
        <v/>
      </c>
      <c r="T80">
        <f>HYPERLINK("https://klasma.github.io/Logging_0188/kartor/A 52825-2023 karta.png", "A 52825-2023")</f>
        <v/>
      </c>
      <c r="V80">
        <f>HYPERLINK("https://klasma.github.io/Logging_0188/klagomål/A 52825-2023 FSC-klagomål.docx", "A 52825-2023")</f>
        <v/>
      </c>
      <c r="W80">
        <f>HYPERLINK("https://klasma.github.io/Logging_0188/klagomålsmail/A 52825-2023 FSC-klagomål mail.docx", "A 52825-2023")</f>
        <v/>
      </c>
      <c r="X80">
        <f>HYPERLINK("https://klasma.github.io/Logging_0188/tillsyn/A 52825-2023 tillsynsbegäran.docx", "A 52825-2023")</f>
        <v/>
      </c>
      <c r="Y80">
        <f>HYPERLINK("https://klasma.github.io/Logging_0188/tillsynsmail/A 52825-2023 tillsynsbegäran mail.docx", "A 52825-2023")</f>
        <v/>
      </c>
    </row>
    <row r="81" ht="15" customHeight="1">
      <c r="A81" t="inlineStr">
        <is>
          <t>A 52124-2022</t>
        </is>
      </c>
      <c r="B81" s="1" t="n">
        <v>44868</v>
      </c>
      <c r="C81" s="1" t="n">
        <v>46077</v>
      </c>
      <c r="D81" t="inlineStr">
        <is>
          <t>STOCKHOLMS LÄN</t>
        </is>
      </c>
      <c r="E81" t="inlineStr">
        <is>
          <t>NORRTÄLJE</t>
        </is>
      </c>
      <c r="G81" t="n">
        <v>4.8</v>
      </c>
      <c r="H81" t="n">
        <v>1</v>
      </c>
      <c r="I81" t="n">
        <v>0</v>
      </c>
      <c r="J81" t="n">
        <v>1</v>
      </c>
      <c r="K81" t="n">
        <v>0</v>
      </c>
      <c r="L81" t="n">
        <v>0</v>
      </c>
      <c r="M81" t="n">
        <v>0</v>
      </c>
      <c r="N81" t="n">
        <v>0</v>
      </c>
      <c r="O81" t="n">
        <v>1</v>
      </c>
      <c r="P81" t="n">
        <v>0</v>
      </c>
      <c r="Q81" t="n">
        <v>2</v>
      </c>
      <c r="R81" s="2" t="inlineStr">
        <is>
          <t>Kandelabersvamp
Blåsippa</t>
        </is>
      </c>
      <c r="S81">
        <f>HYPERLINK("https://klasma.github.io/Logging_0188/artfynd/A 52124-2022 artfynd.xlsx", "A 52124-2022")</f>
        <v/>
      </c>
      <c r="T81">
        <f>HYPERLINK("https://klasma.github.io/Logging_0188/kartor/A 52124-2022 karta.png", "A 52124-2022")</f>
        <v/>
      </c>
      <c r="V81">
        <f>HYPERLINK("https://klasma.github.io/Logging_0188/klagomål/A 52124-2022 FSC-klagomål.docx", "A 52124-2022")</f>
        <v/>
      </c>
      <c r="W81">
        <f>HYPERLINK("https://klasma.github.io/Logging_0188/klagomålsmail/A 52124-2022 FSC-klagomål mail.docx", "A 52124-2022")</f>
        <v/>
      </c>
      <c r="X81">
        <f>HYPERLINK("https://klasma.github.io/Logging_0188/tillsyn/A 52124-2022 tillsynsbegäran.docx", "A 52124-2022")</f>
        <v/>
      </c>
      <c r="Y81">
        <f>HYPERLINK("https://klasma.github.io/Logging_0188/tillsynsmail/A 52124-2022 tillsynsbegäran mail.docx", "A 52124-2022")</f>
        <v/>
      </c>
    </row>
    <row r="82" ht="15" customHeight="1">
      <c r="A82" t="inlineStr">
        <is>
          <t>A 51980-2022</t>
        </is>
      </c>
      <c r="B82" s="1" t="n">
        <v>44872</v>
      </c>
      <c r="C82" s="1" t="n">
        <v>46077</v>
      </c>
      <c r="D82" t="inlineStr">
        <is>
          <t>STOCKHOLMS LÄN</t>
        </is>
      </c>
      <c r="E82" t="inlineStr">
        <is>
          <t>NORRTÄLJE</t>
        </is>
      </c>
      <c r="G82" t="n">
        <v>7.9</v>
      </c>
      <c r="H82" t="n">
        <v>1</v>
      </c>
      <c r="I82" t="n">
        <v>2</v>
      </c>
      <c r="J82" t="n">
        <v>0</v>
      </c>
      <c r="K82" t="n">
        <v>0</v>
      </c>
      <c r="L82" t="n">
        <v>0</v>
      </c>
      <c r="M82" t="n">
        <v>0</v>
      </c>
      <c r="N82" t="n">
        <v>0</v>
      </c>
      <c r="O82" t="n">
        <v>0</v>
      </c>
      <c r="P82" t="n">
        <v>0</v>
      </c>
      <c r="Q82" t="n">
        <v>2</v>
      </c>
      <c r="R82" s="2" t="inlineStr">
        <is>
          <t>Rödgul trumpetsvamp
Skogsknipprot</t>
        </is>
      </c>
      <c r="S82">
        <f>HYPERLINK("https://klasma.github.io/Logging_0188/artfynd/A 51980-2022 artfynd.xlsx", "A 51980-2022")</f>
        <v/>
      </c>
      <c r="T82">
        <f>HYPERLINK("https://klasma.github.io/Logging_0188/kartor/A 51980-2022 karta.png", "A 51980-2022")</f>
        <v/>
      </c>
      <c r="V82">
        <f>HYPERLINK("https://klasma.github.io/Logging_0188/klagomål/A 51980-2022 FSC-klagomål.docx", "A 51980-2022")</f>
        <v/>
      </c>
      <c r="W82">
        <f>HYPERLINK("https://klasma.github.io/Logging_0188/klagomålsmail/A 51980-2022 FSC-klagomål mail.docx", "A 51980-2022")</f>
        <v/>
      </c>
      <c r="X82">
        <f>HYPERLINK("https://klasma.github.io/Logging_0188/tillsyn/A 51980-2022 tillsynsbegäran.docx", "A 51980-2022")</f>
        <v/>
      </c>
      <c r="Y82">
        <f>HYPERLINK("https://klasma.github.io/Logging_0188/tillsynsmail/A 51980-2022 tillsynsbegäran mail.docx", "A 51980-2022")</f>
        <v/>
      </c>
    </row>
    <row r="83" ht="15" customHeight="1">
      <c r="A83" t="inlineStr">
        <is>
          <t>A 50697-2025</t>
        </is>
      </c>
      <c r="B83" s="1" t="n">
        <v>45945.90854166666</v>
      </c>
      <c r="C83" s="1" t="n">
        <v>46077</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53608-2025</t>
        </is>
      </c>
      <c r="B84" s="1" t="n">
        <v>45960</v>
      </c>
      <c r="C84" s="1" t="n">
        <v>46077</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33548-2025</t>
        </is>
      </c>
      <c r="B85" s="1" t="n">
        <v>45841.5721875</v>
      </c>
      <c r="C85" s="1" t="n">
        <v>46077</v>
      </c>
      <c r="D85" t="inlineStr">
        <is>
          <t>STOCKHOLMS LÄN</t>
        </is>
      </c>
      <c r="E85" t="inlineStr">
        <is>
          <t>NORRTÄLJE</t>
        </is>
      </c>
      <c r="G85" t="n">
        <v>12.2</v>
      </c>
      <c r="H85" t="n">
        <v>1</v>
      </c>
      <c r="I85" t="n">
        <v>0</v>
      </c>
      <c r="J85" t="n">
        <v>1</v>
      </c>
      <c r="K85" t="n">
        <v>0</v>
      </c>
      <c r="L85" t="n">
        <v>0</v>
      </c>
      <c r="M85" t="n">
        <v>0</v>
      </c>
      <c r="N85" t="n">
        <v>0</v>
      </c>
      <c r="O85" t="n">
        <v>1</v>
      </c>
      <c r="P85" t="n">
        <v>0</v>
      </c>
      <c r="Q85" t="n">
        <v>2</v>
      </c>
      <c r="R85" s="2" t="inlineStr">
        <is>
          <t>Dofttaggsvamp
Sparvuggla</t>
        </is>
      </c>
      <c r="S85">
        <f>HYPERLINK("https://klasma.github.io/Logging_0188/artfynd/A 33548-2025 artfynd.xlsx", "A 33548-2025")</f>
        <v/>
      </c>
      <c r="T85">
        <f>HYPERLINK("https://klasma.github.io/Logging_0188/kartor/A 33548-2025 karta.png", "A 33548-2025")</f>
        <v/>
      </c>
      <c r="V85">
        <f>HYPERLINK("https://klasma.github.io/Logging_0188/klagomål/A 33548-2025 FSC-klagomål.docx", "A 33548-2025")</f>
        <v/>
      </c>
      <c r="W85">
        <f>HYPERLINK("https://klasma.github.io/Logging_0188/klagomålsmail/A 33548-2025 FSC-klagomål mail.docx", "A 33548-2025")</f>
        <v/>
      </c>
      <c r="X85">
        <f>HYPERLINK("https://klasma.github.io/Logging_0188/tillsyn/A 33548-2025 tillsynsbegäran.docx", "A 33548-2025")</f>
        <v/>
      </c>
      <c r="Y85">
        <f>HYPERLINK("https://klasma.github.io/Logging_0188/tillsynsmail/A 33548-2025 tillsynsbegäran mail.docx", "A 33548-2025")</f>
        <v/>
      </c>
      <c r="Z85">
        <f>HYPERLINK("https://klasma.github.io/Logging_0188/fåglar/A 33548-2025 prioriterade fågelarter.docx", "A 33548-2025")</f>
        <v/>
      </c>
    </row>
    <row r="86" ht="15" customHeight="1">
      <c r="A86" t="inlineStr">
        <is>
          <t>A 1547-2022</t>
        </is>
      </c>
      <c r="B86" s="1" t="n">
        <v>44573</v>
      </c>
      <c r="C86" s="1" t="n">
        <v>46077</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46077</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46077</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46077</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46077</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32111-2022</t>
        </is>
      </c>
      <c r="B91" s="1" t="n">
        <v>44778.92797453704</v>
      </c>
      <c r="C91" s="1" t="n">
        <v>46077</v>
      </c>
      <c r="D91" t="inlineStr">
        <is>
          <t>STOCKHOLMS LÄN</t>
        </is>
      </c>
      <c r="E91" t="inlineStr">
        <is>
          <t>NORRTÄLJE</t>
        </is>
      </c>
      <c r="G91" t="n">
        <v>3.1</v>
      </c>
      <c r="H91" t="n">
        <v>0</v>
      </c>
      <c r="I91" t="n">
        <v>0</v>
      </c>
      <c r="J91" t="n">
        <v>1</v>
      </c>
      <c r="K91" t="n">
        <v>0</v>
      </c>
      <c r="L91" t="n">
        <v>0</v>
      </c>
      <c r="M91" t="n">
        <v>0</v>
      </c>
      <c r="N91" t="n">
        <v>0</v>
      </c>
      <c r="O91" t="n">
        <v>1</v>
      </c>
      <c r="P91" t="n">
        <v>0</v>
      </c>
      <c r="Q91" t="n">
        <v>1</v>
      </c>
      <c r="R91" s="2" t="inlineStr">
        <is>
          <t>Orange taggsvamp</t>
        </is>
      </c>
      <c r="S91">
        <f>HYPERLINK("https://klasma.github.io/Logging_0188/artfynd/A 32111-2022 artfynd.xlsx", "A 32111-2022")</f>
        <v/>
      </c>
      <c r="T91">
        <f>HYPERLINK("https://klasma.github.io/Logging_0188/kartor/A 32111-2022 karta.png", "A 32111-2022")</f>
        <v/>
      </c>
      <c r="V91">
        <f>HYPERLINK("https://klasma.github.io/Logging_0188/klagomål/A 32111-2022 FSC-klagomål.docx", "A 32111-2022")</f>
        <v/>
      </c>
      <c r="W91">
        <f>HYPERLINK("https://klasma.github.io/Logging_0188/klagomålsmail/A 32111-2022 FSC-klagomål mail.docx", "A 32111-2022")</f>
        <v/>
      </c>
      <c r="X91">
        <f>HYPERLINK("https://klasma.github.io/Logging_0188/tillsyn/A 32111-2022 tillsynsbegäran.docx", "A 32111-2022")</f>
        <v/>
      </c>
      <c r="Y91">
        <f>HYPERLINK("https://klasma.github.io/Logging_0188/tillsynsmail/A 32111-2022 tillsynsbegäran mail.docx", "A 32111-2022")</f>
        <v/>
      </c>
    </row>
    <row r="92" ht="15" customHeight="1">
      <c r="A92" t="inlineStr">
        <is>
          <t>A 13291-2025</t>
        </is>
      </c>
      <c r="B92" s="1" t="n">
        <v>45735</v>
      </c>
      <c r="C92" s="1" t="n">
        <v>46077</v>
      </c>
      <c r="D92" t="inlineStr">
        <is>
          <t>STOCKHOLMS LÄN</t>
        </is>
      </c>
      <c r="E92" t="inlineStr">
        <is>
          <t>NORRTÄLJE</t>
        </is>
      </c>
      <c r="G92" t="n">
        <v>3.8</v>
      </c>
      <c r="H92" t="n">
        <v>1</v>
      </c>
      <c r="I92" t="n">
        <v>0</v>
      </c>
      <c r="J92" t="n">
        <v>0</v>
      </c>
      <c r="K92" t="n">
        <v>0</v>
      </c>
      <c r="L92" t="n">
        <v>0</v>
      </c>
      <c r="M92" t="n">
        <v>0</v>
      </c>
      <c r="N92" t="n">
        <v>0</v>
      </c>
      <c r="O92" t="n">
        <v>0</v>
      </c>
      <c r="P92" t="n">
        <v>0</v>
      </c>
      <c r="Q92" t="n">
        <v>1</v>
      </c>
      <c r="R92" s="2" t="inlineStr">
        <is>
          <t>Blåsippa</t>
        </is>
      </c>
      <c r="S92">
        <f>HYPERLINK("https://klasma.github.io/Logging_0188/artfynd/A 13291-2025 artfynd.xlsx", "A 13291-2025")</f>
        <v/>
      </c>
      <c r="T92">
        <f>HYPERLINK("https://klasma.github.io/Logging_0188/kartor/A 13291-2025 karta.png", "A 13291-2025")</f>
        <v/>
      </c>
      <c r="V92">
        <f>HYPERLINK("https://klasma.github.io/Logging_0188/klagomål/A 13291-2025 FSC-klagomål.docx", "A 13291-2025")</f>
        <v/>
      </c>
      <c r="W92">
        <f>HYPERLINK("https://klasma.github.io/Logging_0188/klagomålsmail/A 13291-2025 FSC-klagomål mail.docx", "A 13291-2025")</f>
        <v/>
      </c>
      <c r="X92">
        <f>HYPERLINK("https://klasma.github.io/Logging_0188/tillsyn/A 13291-2025 tillsynsbegäran.docx", "A 13291-2025")</f>
        <v/>
      </c>
      <c r="Y92">
        <f>HYPERLINK("https://klasma.github.io/Logging_0188/tillsynsmail/A 13291-2025 tillsynsbegäran mail.docx", "A 13291-2025")</f>
        <v/>
      </c>
    </row>
    <row r="93" ht="15" customHeight="1">
      <c r="A93" t="inlineStr">
        <is>
          <t>A 47898-2022</t>
        </is>
      </c>
      <c r="B93" s="1" t="n">
        <v>44855</v>
      </c>
      <c r="C93" s="1" t="n">
        <v>46077</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21744-2023</t>
        </is>
      </c>
      <c r="B94" s="1" t="n">
        <v>45065</v>
      </c>
      <c r="C94" s="1" t="n">
        <v>46077</v>
      </c>
      <c r="D94" t="inlineStr">
        <is>
          <t>STOCKHOLMS LÄN</t>
        </is>
      </c>
      <c r="E94" t="inlineStr">
        <is>
          <t>NORRTÄLJE</t>
        </is>
      </c>
      <c r="F94" t="inlineStr">
        <is>
          <t>Holmen skog AB</t>
        </is>
      </c>
      <c r="G94" t="n">
        <v>4.2</v>
      </c>
      <c r="H94" t="n">
        <v>0</v>
      </c>
      <c r="I94" t="n">
        <v>1</v>
      </c>
      <c r="J94" t="n">
        <v>0</v>
      </c>
      <c r="K94" t="n">
        <v>0</v>
      </c>
      <c r="L94" t="n">
        <v>0</v>
      </c>
      <c r="M94" t="n">
        <v>0</v>
      </c>
      <c r="N94" t="n">
        <v>0</v>
      </c>
      <c r="O94" t="n">
        <v>0</v>
      </c>
      <c r="P94" t="n">
        <v>0</v>
      </c>
      <c r="Q94" t="n">
        <v>1</v>
      </c>
      <c r="R94" s="2" t="inlineStr">
        <is>
          <t>Korallblylav</t>
        </is>
      </c>
      <c r="S94">
        <f>HYPERLINK("https://klasma.github.io/Logging_0188/artfynd/A 21744-2023 artfynd.xlsx", "A 21744-2023")</f>
        <v/>
      </c>
      <c r="T94">
        <f>HYPERLINK("https://klasma.github.io/Logging_0188/kartor/A 21744-2023 karta.png", "A 21744-2023")</f>
        <v/>
      </c>
      <c r="V94">
        <f>HYPERLINK("https://klasma.github.io/Logging_0188/klagomål/A 21744-2023 FSC-klagomål.docx", "A 21744-2023")</f>
        <v/>
      </c>
      <c r="W94">
        <f>HYPERLINK("https://klasma.github.io/Logging_0188/klagomålsmail/A 21744-2023 FSC-klagomål mail.docx", "A 21744-2023")</f>
        <v/>
      </c>
      <c r="X94">
        <f>HYPERLINK("https://klasma.github.io/Logging_0188/tillsyn/A 21744-2023 tillsynsbegäran.docx", "A 21744-2023")</f>
        <v/>
      </c>
      <c r="Y94">
        <f>HYPERLINK("https://klasma.github.io/Logging_0188/tillsynsmail/A 21744-2023 tillsynsbegäran mail.docx", "A 21744-2023")</f>
        <v/>
      </c>
    </row>
    <row r="95" ht="15" customHeight="1">
      <c r="A95" t="inlineStr">
        <is>
          <t>A 27538-2024</t>
        </is>
      </c>
      <c r="B95" s="1" t="n">
        <v>45474</v>
      </c>
      <c r="C95" s="1" t="n">
        <v>46077</v>
      </c>
      <c r="D95" t="inlineStr">
        <is>
          <t>STOCKHOLMS LÄN</t>
        </is>
      </c>
      <c r="E95" t="inlineStr">
        <is>
          <t>NORRTÄLJE</t>
        </is>
      </c>
      <c r="G95" t="n">
        <v>1.5</v>
      </c>
      <c r="H95" t="n">
        <v>1</v>
      </c>
      <c r="I95" t="n">
        <v>1</v>
      </c>
      <c r="J95" t="n">
        <v>0</v>
      </c>
      <c r="K95" t="n">
        <v>0</v>
      </c>
      <c r="L95" t="n">
        <v>0</v>
      </c>
      <c r="M95" t="n">
        <v>0</v>
      </c>
      <c r="N95" t="n">
        <v>0</v>
      </c>
      <c r="O95" t="n">
        <v>0</v>
      </c>
      <c r="P95" t="n">
        <v>0</v>
      </c>
      <c r="Q95" t="n">
        <v>1</v>
      </c>
      <c r="R95" s="2" t="inlineStr">
        <is>
          <t>Skogsknipprot</t>
        </is>
      </c>
      <c r="S95">
        <f>HYPERLINK("https://klasma.github.io/Logging_0188/artfynd/A 27538-2024 artfynd.xlsx", "A 27538-2024")</f>
        <v/>
      </c>
      <c r="T95">
        <f>HYPERLINK("https://klasma.github.io/Logging_0188/kartor/A 27538-2024 karta.png", "A 27538-2024")</f>
        <v/>
      </c>
      <c r="V95">
        <f>HYPERLINK("https://klasma.github.io/Logging_0188/klagomål/A 27538-2024 FSC-klagomål.docx", "A 27538-2024")</f>
        <v/>
      </c>
      <c r="W95">
        <f>HYPERLINK("https://klasma.github.io/Logging_0188/klagomålsmail/A 27538-2024 FSC-klagomål mail.docx", "A 27538-2024")</f>
        <v/>
      </c>
      <c r="X95">
        <f>HYPERLINK("https://klasma.github.io/Logging_0188/tillsyn/A 27538-2024 tillsynsbegäran.docx", "A 27538-2024")</f>
        <v/>
      </c>
      <c r="Y95">
        <f>HYPERLINK("https://klasma.github.io/Logging_0188/tillsynsmail/A 27538-2024 tillsynsbegäran mail.docx", "A 27538-2024")</f>
        <v/>
      </c>
    </row>
    <row r="96" ht="15" customHeight="1">
      <c r="A96" t="inlineStr">
        <is>
          <t>A 4385-2023</t>
        </is>
      </c>
      <c r="B96" s="1" t="n">
        <v>44955.71322916666</v>
      </c>
      <c r="C96" s="1" t="n">
        <v>46077</v>
      </c>
      <c r="D96" t="inlineStr">
        <is>
          <t>STOCKHOLMS LÄN</t>
        </is>
      </c>
      <c r="E96" t="inlineStr">
        <is>
          <t>NORRTÄLJE</t>
        </is>
      </c>
      <c r="G96" t="n">
        <v>7.8</v>
      </c>
      <c r="H96" t="n">
        <v>1</v>
      </c>
      <c r="I96" t="n">
        <v>1</v>
      </c>
      <c r="J96" t="n">
        <v>0</v>
      </c>
      <c r="K96" t="n">
        <v>0</v>
      </c>
      <c r="L96" t="n">
        <v>0</v>
      </c>
      <c r="M96" t="n">
        <v>0</v>
      </c>
      <c r="N96" t="n">
        <v>0</v>
      </c>
      <c r="O96" t="n">
        <v>0</v>
      </c>
      <c r="P96" t="n">
        <v>0</v>
      </c>
      <c r="Q96" t="n">
        <v>1</v>
      </c>
      <c r="R96" s="2" t="inlineStr">
        <is>
          <t>Skogsknipprot</t>
        </is>
      </c>
      <c r="S96">
        <f>HYPERLINK("https://klasma.github.io/Logging_0188/artfynd/A 4385-2023 artfynd.xlsx", "A 4385-2023")</f>
        <v/>
      </c>
      <c r="T96">
        <f>HYPERLINK("https://klasma.github.io/Logging_0188/kartor/A 4385-2023 karta.png", "A 4385-2023")</f>
        <v/>
      </c>
      <c r="V96">
        <f>HYPERLINK("https://klasma.github.io/Logging_0188/klagomål/A 4385-2023 FSC-klagomål.docx", "A 4385-2023")</f>
        <v/>
      </c>
      <c r="W96">
        <f>HYPERLINK("https://klasma.github.io/Logging_0188/klagomålsmail/A 4385-2023 FSC-klagomål mail.docx", "A 4385-2023")</f>
        <v/>
      </c>
      <c r="X96">
        <f>HYPERLINK("https://klasma.github.io/Logging_0188/tillsyn/A 4385-2023 tillsynsbegäran.docx", "A 4385-2023")</f>
        <v/>
      </c>
      <c r="Y96">
        <f>HYPERLINK("https://klasma.github.io/Logging_0188/tillsynsmail/A 4385-2023 tillsynsbegäran mail.docx", "A 4385-2023")</f>
        <v/>
      </c>
    </row>
    <row r="97" ht="15" customHeight="1">
      <c r="A97" t="inlineStr">
        <is>
          <t>A 23146-2024</t>
        </is>
      </c>
      <c r="B97" s="1" t="n">
        <v>45450.63958333333</v>
      </c>
      <c r="C97" s="1" t="n">
        <v>46077</v>
      </c>
      <c r="D97" t="inlineStr">
        <is>
          <t>STOCKHOLMS LÄN</t>
        </is>
      </c>
      <c r="E97" t="inlineStr">
        <is>
          <t>NORRTÄLJE</t>
        </is>
      </c>
      <c r="F97" t="inlineStr">
        <is>
          <t>Kommuner</t>
        </is>
      </c>
      <c r="G97" t="n">
        <v>6</v>
      </c>
      <c r="H97" t="n">
        <v>0</v>
      </c>
      <c r="I97" t="n">
        <v>0</v>
      </c>
      <c r="J97" t="n">
        <v>1</v>
      </c>
      <c r="K97" t="n">
        <v>0</v>
      </c>
      <c r="L97" t="n">
        <v>0</v>
      </c>
      <c r="M97" t="n">
        <v>0</v>
      </c>
      <c r="N97" t="n">
        <v>0</v>
      </c>
      <c r="O97" t="n">
        <v>1</v>
      </c>
      <c r="P97" t="n">
        <v>0</v>
      </c>
      <c r="Q97" t="n">
        <v>1</v>
      </c>
      <c r="R97" s="2" t="inlineStr">
        <is>
          <t>Motaggsvamp</t>
        </is>
      </c>
      <c r="S97">
        <f>HYPERLINK("https://klasma.github.io/Logging_0188/artfynd/A 23146-2024 artfynd.xlsx", "A 23146-2024")</f>
        <v/>
      </c>
      <c r="T97">
        <f>HYPERLINK("https://klasma.github.io/Logging_0188/kartor/A 23146-2024 karta.png", "A 23146-2024")</f>
        <v/>
      </c>
      <c r="V97">
        <f>HYPERLINK("https://klasma.github.io/Logging_0188/klagomål/A 23146-2024 FSC-klagomål.docx", "A 23146-2024")</f>
        <v/>
      </c>
      <c r="W97">
        <f>HYPERLINK("https://klasma.github.io/Logging_0188/klagomålsmail/A 23146-2024 FSC-klagomål mail.docx", "A 23146-2024")</f>
        <v/>
      </c>
      <c r="X97">
        <f>HYPERLINK("https://klasma.github.io/Logging_0188/tillsyn/A 23146-2024 tillsynsbegäran.docx", "A 23146-2024")</f>
        <v/>
      </c>
      <c r="Y97">
        <f>HYPERLINK("https://klasma.github.io/Logging_0188/tillsynsmail/A 23146-2024 tillsynsbegäran mail.docx", "A 23146-2024")</f>
        <v/>
      </c>
    </row>
    <row r="98" ht="15" customHeight="1">
      <c r="A98" t="inlineStr">
        <is>
          <t>A 24330-2023</t>
        </is>
      </c>
      <c r="B98" s="1" t="n">
        <v>45081</v>
      </c>
      <c r="C98" s="1" t="n">
        <v>46077</v>
      </c>
      <c r="D98" t="inlineStr">
        <is>
          <t>STOCKHOLMS LÄN</t>
        </is>
      </c>
      <c r="E98" t="inlineStr">
        <is>
          <t>NORRTÄLJE</t>
        </is>
      </c>
      <c r="G98" t="n">
        <v>5</v>
      </c>
      <c r="H98" t="n">
        <v>1</v>
      </c>
      <c r="I98" t="n">
        <v>0</v>
      </c>
      <c r="J98" t="n">
        <v>1</v>
      </c>
      <c r="K98" t="n">
        <v>0</v>
      </c>
      <c r="L98" t="n">
        <v>0</v>
      </c>
      <c r="M98" t="n">
        <v>0</v>
      </c>
      <c r="N98" t="n">
        <v>0</v>
      </c>
      <c r="O98" t="n">
        <v>1</v>
      </c>
      <c r="P98" t="n">
        <v>0</v>
      </c>
      <c r="Q98" t="n">
        <v>1</v>
      </c>
      <c r="R98" s="2" t="inlineStr">
        <is>
          <t>Mindre hackspett</t>
        </is>
      </c>
      <c r="S98">
        <f>HYPERLINK("https://klasma.github.io/Logging_0188/artfynd/A 24330-2023 artfynd.xlsx", "A 24330-2023")</f>
        <v/>
      </c>
      <c r="T98">
        <f>HYPERLINK("https://klasma.github.io/Logging_0188/kartor/A 24330-2023 karta.png", "A 24330-2023")</f>
        <v/>
      </c>
      <c r="V98">
        <f>HYPERLINK("https://klasma.github.io/Logging_0188/klagomål/A 24330-2023 FSC-klagomål.docx", "A 24330-2023")</f>
        <v/>
      </c>
      <c r="W98">
        <f>HYPERLINK("https://klasma.github.io/Logging_0188/klagomålsmail/A 24330-2023 FSC-klagomål mail.docx", "A 24330-2023")</f>
        <v/>
      </c>
      <c r="X98">
        <f>HYPERLINK("https://klasma.github.io/Logging_0188/tillsyn/A 24330-2023 tillsynsbegäran.docx", "A 24330-2023")</f>
        <v/>
      </c>
      <c r="Y98">
        <f>HYPERLINK("https://klasma.github.io/Logging_0188/tillsynsmail/A 24330-2023 tillsynsbegäran mail.docx", "A 24330-2023")</f>
        <v/>
      </c>
      <c r="Z98">
        <f>HYPERLINK("https://klasma.github.io/Logging_0188/fåglar/A 24330-2023 prioriterade fågelarter.docx", "A 24330-2023")</f>
        <v/>
      </c>
    </row>
    <row r="99" ht="15" customHeight="1">
      <c r="A99" t="inlineStr">
        <is>
          <t>A 24535-2023</t>
        </is>
      </c>
      <c r="B99" s="1" t="n">
        <v>45082</v>
      </c>
      <c r="C99" s="1" t="n">
        <v>46077</v>
      </c>
      <c r="D99" t="inlineStr">
        <is>
          <t>STOCKHOLMS LÄN</t>
        </is>
      </c>
      <c r="E99" t="inlineStr">
        <is>
          <t>NORRTÄLJE</t>
        </is>
      </c>
      <c r="F99" t="inlineStr">
        <is>
          <t>Kommuner</t>
        </is>
      </c>
      <c r="G99" t="n">
        <v>2</v>
      </c>
      <c r="H99" t="n">
        <v>1</v>
      </c>
      <c r="I99" t="n">
        <v>0</v>
      </c>
      <c r="J99" t="n">
        <v>0</v>
      </c>
      <c r="K99" t="n">
        <v>0</v>
      </c>
      <c r="L99" t="n">
        <v>0</v>
      </c>
      <c r="M99" t="n">
        <v>0</v>
      </c>
      <c r="N99" t="n">
        <v>0</v>
      </c>
      <c r="O99" t="n">
        <v>0</v>
      </c>
      <c r="P99" t="n">
        <v>0</v>
      </c>
      <c r="Q99" t="n">
        <v>1</v>
      </c>
      <c r="R99" s="2" t="inlineStr">
        <is>
          <t>Blåsippa</t>
        </is>
      </c>
      <c r="S99">
        <f>HYPERLINK("https://klasma.github.io/Logging_0188/artfynd/A 24535-2023 artfynd.xlsx", "A 24535-2023")</f>
        <v/>
      </c>
      <c r="T99">
        <f>HYPERLINK("https://klasma.github.io/Logging_0188/kartor/A 24535-2023 karta.png", "A 24535-2023")</f>
        <v/>
      </c>
      <c r="V99">
        <f>HYPERLINK("https://klasma.github.io/Logging_0188/klagomål/A 24535-2023 FSC-klagomål.docx", "A 24535-2023")</f>
        <v/>
      </c>
      <c r="W99">
        <f>HYPERLINK("https://klasma.github.io/Logging_0188/klagomålsmail/A 24535-2023 FSC-klagomål mail.docx", "A 24535-2023")</f>
        <v/>
      </c>
      <c r="X99">
        <f>HYPERLINK("https://klasma.github.io/Logging_0188/tillsyn/A 24535-2023 tillsynsbegäran.docx", "A 24535-2023")</f>
        <v/>
      </c>
      <c r="Y99">
        <f>HYPERLINK("https://klasma.github.io/Logging_0188/tillsynsmail/A 24535-2023 tillsynsbegäran mail.docx", "A 24535-2023")</f>
        <v/>
      </c>
    </row>
    <row r="100" ht="15" customHeight="1">
      <c r="A100" t="inlineStr">
        <is>
          <t>A 4595-2023</t>
        </is>
      </c>
      <c r="B100" s="1" t="n">
        <v>44956</v>
      </c>
      <c r="C100" s="1" t="n">
        <v>46077</v>
      </c>
      <c r="D100" t="inlineStr">
        <is>
          <t>STOCKHOLMS LÄN</t>
        </is>
      </c>
      <c r="E100" t="inlineStr">
        <is>
          <t>NORRTÄLJE</t>
        </is>
      </c>
      <c r="G100" t="n">
        <v>0.6</v>
      </c>
      <c r="H100" t="n">
        <v>1</v>
      </c>
      <c r="I100" t="n">
        <v>0</v>
      </c>
      <c r="J100" t="n">
        <v>0</v>
      </c>
      <c r="K100" t="n">
        <v>0</v>
      </c>
      <c r="L100" t="n">
        <v>0</v>
      </c>
      <c r="M100" t="n">
        <v>0</v>
      </c>
      <c r="N100" t="n">
        <v>0</v>
      </c>
      <c r="O100" t="n">
        <v>0</v>
      </c>
      <c r="P100" t="n">
        <v>0</v>
      </c>
      <c r="Q100" t="n">
        <v>1</v>
      </c>
      <c r="R100" s="2" t="inlineStr">
        <is>
          <t>Blåsippa</t>
        </is>
      </c>
      <c r="S100">
        <f>HYPERLINK("https://klasma.github.io/Logging_0188/artfynd/A 4595-2023 artfynd.xlsx", "A 4595-2023")</f>
        <v/>
      </c>
      <c r="T100">
        <f>HYPERLINK("https://klasma.github.io/Logging_0188/kartor/A 4595-2023 karta.png", "A 4595-2023")</f>
        <v/>
      </c>
      <c r="V100">
        <f>HYPERLINK("https://klasma.github.io/Logging_0188/klagomål/A 4595-2023 FSC-klagomål.docx", "A 4595-2023")</f>
        <v/>
      </c>
      <c r="W100">
        <f>HYPERLINK("https://klasma.github.io/Logging_0188/klagomålsmail/A 4595-2023 FSC-klagomål mail.docx", "A 4595-2023")</f>
        <v/>
      </c>
      <c r="X100">
        <f>HYPERLINK("https://klasma.github.io/Logging_0188/tillsyn/A 4595-2023 tillsynsbegäran.docx", "A 4595-2023")</f>
        <v/>
      </c>
      <c r="Y100">
        <f>HYPERLINK("https://klasma.github.io/Logging_0188/tillsynsmail/A 4595-2023 tillsynsbegäran mail.docx", "A 4595-2023")</f>
        <v/>
      </c>
    </row>
    <row r="101" ht="15" customHeight="1">
      <c r="A101" t="inlineStr">
        <is>
          <t>A 58888-2021</t>
        </is>
      </c>
      <c r="B101" s="1" t="n">
        <v>44489</v>
      </c>
      <c r="C101" s="1" t="n">
        <v>46077</v>
      </c>
      <c r="D101" t="inlineStr">
        <is>
          <t>STOCKHOLMS LÄN</t>
        </is>
      </c>
      <c r="E101" t="inlineStr">
        <is>
          <t>NORRTÄLJE</t>
        </is>
      </c>
      <c r="F101" t="inlineStr">
        <is>
          <t>Holmen skog AB</t>
        </is>
      </c>
      <c r="G101" t="n">
        <v>2.5</v>
      </c>
      <c r="H101" t="n">
        <v>1</v>
      </c>
      <c r="I101" t="n">
        <v>0</v>
      </c>
      <c r="J101" t="n">
        <v>0</v>
      </c>
      <c r="K101" t="n">
        <v>0</v>
      </c>
      <c r="L101" t="n">
        <v>1</v>
      </c>
      <c r="M101" t="n">
        <v>0</v>
      </c>
      <c r="N101" t="n">
        <v>0</v>
      </c>
      <c r="O101" t="n">
        <v>1</v>
      </c>
      <c r="P101" t="n">
        <v>1</v>
      </c>
      <c r="Q101" t="n">
        <v>1</v>
      </c>
      <c r="R101" s="2" t="inlineStr">
        <is>
          <t>Asknätfjäril</t>
        </is>
      </c>
      <c r="S101">
        <f>HYPERLINK("https://klasma.github.io/Logging_0188/artfynd/A 58888-2021 artfynd.xlsx", "A 58888-2021")</f>
        <v/>
      </c>
      <c r="T101">
        <f>HYPERLINK("https://klasma.github.io/Logging_0188/kartor/A 58888-2021 karta.png", "A 58888-2021")</f>
        <v/>
      </c>
      <c r="V101">
        <f>HYPERLINK("https://klasma.github.io/Logging_0188/klagomål/A 58888-2021 FSC-klagomål.docx", "A 58888-2021")</f>
        <v/>
      </c>
      <c r="W101">
        <f>HYPERLINK("https://klasma.github.io/Logging_0188/klagomålsmail/A 58888-2021 FSC-klagomål mail.docx", "A 58888-2021")</f>
        <v/>
      </c>
      <c r="X101">
        <f>HYPERLINK("https://klasma.github.io/Logging_0188/tillsyn/A 58888-2021 tillsynsbegäran.docx", "A 58888-2021")</f>
        <v/>
      </c>
      <c r="Y101">
        <f>HYPERLINK("https://klasma.github.io/Logging_0188/tillsynsmail/A 58888-2021 tillsynsbegäran mail.docx", "A 58888-2021")</f>
        <v/>
      </c>
    </row>
    <row r="102" ht="15" customHeight="1">
      <c r="A102" t="inlineStr">
        <is>
          <t>A 26635-2023</t>
        </is>
      </c>
      <c r="B102" s="1" t="n">
        <v>45092</v>
      </c>
      <c r="C102" s="1" t="n">
        <v>46077</v>
      </c>
      <c r="D102" t="inlineStr">
        <is>
          <t>STOCKHOLMS LÄN</t>
        </is>
      </c>
      <c r="E102" t="inlineStr">
        <is>
          <t>NORRTÄLJE</t>
        </is>
      </c>
      <c r="G102" t="n">
        <v>3.1</v>
      </c>
      <c r="H102" t="n">
        <v>1</v>
      </c>
      <c r="I102" t="n">
        <v>0</v>
      </c>
      <c r="J102" t="n">
        <v>0</v>
      </c>
      <c r="K102" t="n">
        <v>0</v>
      </c>
      <c r="L102" t="n">
        <v>0</v>
      </c>
      <c r="M102" t="n">
        <v>0</v>
      </c>
      <c r="N102" t="n">
        <v>0</v>
      </c>
      <c r="O102" t="n">
        <v>0</v>
      </c>
      <c r="P102" t="n">
        <v>0</v>
      </c>
      <c r="Q102" t="n">
        <v>1</v>
      </c>
      <c r="R102" s="2" t="inlineStr">
        <is>
          <t>Fläcknycklar</t>
        </is>
      </c>
      <c r="S102">
        <f>HYPERLINK("https://klasma.github.io/Logging_0188/artfynd/A 26635-2023 artfynd.xlsx", "A 26635-2023")</f>
        <v/>
      </c>
      <c r="T102">
        <f>HYPERLINK("https://klasma.github.io/Logging_0188/kartor/A 26635-2023 karta.png", "A 26635-2023")</f>
        <v/>
      </c>
      <c r="V102">
        <f>HYPERLINK("https://klasma.github.io/Logging_0188/klagomål/A 26635-2023 FSC-klagomål.docx", "A 26635-2023")</f>
        <v/>
      </c>
      <c r="W102">
        <f>HYPERLINK("https://klasma.github.io/Logging_0188/klagomålsmail/A 26635-2023 FSC-klagomål mail.docx", "A 26635-2023")</f>
        <v/>
      </c>
      <c r="X102">
        <f>HYPERLINK("https://klasma.github.io/Logging_0188/tillsyn/A 26635-2023 tillsynsbegäran.docx", "A 26635-2023")</f>
        <v/>
      </c>
      <c r="Y102">
        <f>HYPERLINK("https://klasma.github.io/Logging_0188/tillsynsmail/A 26635-2023 tillsynsbegäran mail.docx", "A 26635-2023")</f>
        <v/>
      </c>
    </row>
    <row r="103" ht="15" customHeight="1">
      <c r="A103" t="inlineStr">
        <is>
          <t>A 28816-2023</t>
        </is>
      </c>
      <c r="B103" s="1" t="n">
        <v>45104</v>
      </c>
      <c r="C103" s="1" t="n">
        <v>46077</v>
      </c>
      <c r="D103" t="inlineStr">
        <is>
          <t>STOCKHOLMS LÄN</t>
        </is>
      </c>
      <c r="E103" t="inlineStr">
        <is>
          <t>NORRTÄLJE</t>
        </is>
      </c>
      <c r="F103" t="inlineStr">
        <is>
          <t>Kommuner</t>
        </is>
      </c>
      <c r="G103" t="n">
        <v>0.5</v>
      </c>
      <c r="H103" t="n">
        <v>1</v>
      </c>
      <c r="I103" t="n">
        <v>0</v>
      </c>
      <c r="J103" t="n">
        <v>0</v>
      </c>
      <c r="K103" t="n">
        <v>0</v>
      </c>
      <c r="L103" t="n">
        <v>0</v>
      </c>
      <c r="M103" t="n">
        <v>0</v>
      </c>
      <c r="N103" t="n">
        <v>0</v>
      </c>
      <c r="O103" t="n">
        <v>0</v>
      </c>
      <c r="P103" t="n">
        <v>0</v>
      </c>
      <c r="Q103" t="n">
        <v>1</v>
      </c>
      <c r="R103" s="2" t="inlineStr">
        <is>
          <t>Kungsfågel</t>
        </is>
      </c>
      <c r="S103">
        <f>HYPERLINK("https://klasma.github.io/Logging_0188/artfynd/A 28816-2023 artfynd.xlsx", "A 28816-2023")</f>
        <v/>
      </c>
      <c r="T103">
        <f>HYPERLINK("https://klasma.github.io/Logging_0188/kartor/A 28816-2023 karta.png", "A 28816-2023")</f>
        <v/>
      </c>
      <c r="V103">
        <f>HYPERLINK("https://klasma.github.io/Logging_0188/klagomål/A 28816-2023 FSC-klagomål.docx", "A 28816-2023")</f>
        <v/>
      </c>
      <c r="W103">
        <f>HYPERLINK("https://klasma.github.io/Logging_0188/klagomålsmail/A 28816-2023 FSC-klagomål mail.docx", "A 28816-2023")</f>
        <v/>
      </c>
      <c r="X103">
        <f>HYPERLINK("https://klasma.github.io/Logging_0188/tillsyn/A 28816-2023 tillsynsbegäran.docx", "A 28816-2023")</f>
        <v/>
      </c>
      <c r="Y103">
        <f>HYPERLINK("https://klasma.github.io/Logging_0188/tillsynsmail/A 28816-2023 tillsynsbegäran mail.docx", "A 28816-2023")</f>
        <v/>
      </c>
      <c r="Z103">
        <f>HYPERLINK("https://klasma.github.io/Logging_0188/fåglar/A 28816-2023 prioriterade fågelarter.docx", "A 28816-2023")</f>
        <v/>
      </c>
    </row>
    <row r="104" ht="15" customHeight="1">
      <c r="A104" t="inlineStr">
        <is>
          <t>A 19829-2022</t>
        </is>
      </c>
      <c r="B104" s="1" t="n">
        <v>44695.43527777777</v>
      </c>
      <c r="C104" s="1" t="n">
        <v>46077</v>
      </c>
      <c r="D104" t="inlineStr">
        <is>
          <t>STOCKHOLMS LÄN</t>
        </is>
      </c>
      <c r="E104" t="inlineStr">
        <is>
          <t>NORRTÄLJE</t>
        </is>
      </c>
      <c r="G104" t="n">
        <v>2</v>
      </c>
      <c r="H104" t="n">
        <v>1</v>
      </c>
      <c r="I104" t="n">
        <v>1</v>
      </c>
      <c r="J104" t="n">
        <v>0</v>
      </c>
      <c r="K104" t="n">
        <v>0</v>
      </c>
      <c r="L104" t="n">
        <v>0</v>
      </c>
      <c r="M104" t="n">
        <v>0</v>
      </c>
      <c r="N104" t="n">
        <v>0</v>
      </c>
      <c r="O104" t="n">
        <v>0</v>
      </c>
      <c r="P104" t="n">
        <v>0</v>
      </c>
      <c r="Q104" t="n">
        <v>1</v>
      </c>
      <c r="R104" s="2" t="inlineStr">
        <is>
          <t>Guckusko</t>
        </is>
      </c>
      <c r="S104">
        <f>HYPERLINK("https://klasma.github.io/Logging_0188/artfynd/A 19829-2022 artfynd.xlsx", "A 19829-2022")</f>
        <v/>
      </c>
      <c r="T104">
        <f>HYPERLINK("https://klasma.github.io/Logging_0188/kartor/A 19829-2022 karta.png", "A 19829-2022")</f>
        <v/>
      </c>
      <c r="V104">
        <f>HYPERLINK("https://klasma.github.io/Logging_0188/klagomål/A 19829-2022 FSC-klagomål.docx", "A 19829-2022")</f>
        <v/>
      </c>
      <c r="W104">
        <f>HYPERLINK("https://klasma.github.io/Logging_0188/klagomålsmail/A 19829-2022 FSC-klagomål mail.docx", "A 19829-2022")</f>
        <v/>
      </c>
      <c r="X104">
        <f>HYPERLINK("https://klasma.github.io/Logging_0188/tillsyn/A 19829-2022 tillsynsbegäran.docx", "A 19829-2022")</f>
        <v/>
      </c>
      <c r="Y104">
        <f>HYPERLINK("https://klasma.github.io/Logging_0188/tillsynsmail/A 19829-2022 tillsynsbegäran mail.docx", "A 19829-2022")</f>
        <v/>
      </c>
    </row>
    <row r="105" ht="15" customHeight="1">
      <c r="A105" t="inlineStr">
        <is>
          <t>A 35691-2023</t>
        </is>
      </c>
      <c r="B105" s="1" t="n">
        <v>45147.65222222222</v>
      </c>
      <c r="C105" s="1" t="n">
        <v>46077</v>
      </c>
      <c r="D105" t="inlineStr">
        <is>
          <t>STOCKHOLMS LÄN</t>
        </is>
      </c>
      <c r="E105" t="inlineStr">
        <is>
          <t>NORRTÄLJE</t>
        </is>
      </c>
      <c r="G105" t="n">
        <v>2.3</v>
      </c>
      <c r="H105" t="n">
        <v>1</v>
      </c>
      <c r="I105" t="n">
        <v>0</v>
      </c>
      <c r="J105" t="n">
        <v>0</v>
      </c>
      <c r="K105" t="n">
        <v>0</v>
      </c>
      <c r="L105" t="n">
        <v>0</v>
      </c>
      <c r="M105" t="n">
        <v>0</v>
      </c>
      <c r="N105" t="n">
        <v>0</v>
      </c>
      <c r="O105" t="n">
        <v>0</v>
      </c>
      <c r="P105" t="n">
        <v>0</v>
      </c>
      <c r="Q105" t="n">
        <v>1</v>
      </c>
      <c r="R105" s="2" t="inlineStr">
        <is>
          <t>Kungsfågel</t>
        </is>
      </c>
      <c r="S105">
        <f>HYPERLINK("https://klasma.github.io/Logging_0188/artfynd/A 35691-2023 artfynd.xlsx", "A 35691-2023")</f>
        <v/>
      </c>
      <c r="T105">
        <f>HYPERLINK("https://klasma.github.io/Logging_0188/kartor/A 35691-2023 karta.png", "A 35691-2023")</f>
        <v/>
      </c>
      <c r="V105">
        <f>HYPERLINK("https://klasma.github.io/Logging_0188/klagomål/A 35691-2023 FSC-klagomål.docx", "A 35691-2023")</f>
        <v/>
      </c>
      <c r="W105">
        <f>HYPERLINK("https://klasma.github.io/Logging_0188/klagomålsmail/A 35691-2023 FSC-klagomål mail.docx", "A 35691-2023")</f>
        <v/>
      </c>
      <c r="X105">
        <f>HYPERLINK("https://klasma.github.io/Logging_0188/tillsyn/A 35691-2023 tillsynsbegäran.docx", "A 35691-2023")</f>
        <v/>
      </c>
      <c r="Y105">
        <f>HYPERLINK("https://klasma.github.io/Logging_0188/tillsynsmail/A 35691-2023 tillsynsbegäran mail.docx", "A 35691-2023")</f>
        <v/>
      </c>
      <c r="Z105">
        <f>HYPERLINK("https://klasma.github.io/Logging_0188/fåglar/A 35691-2023 prioriterade fågelarter.docx", "A 35691-2023")</f>
        <v/>
      </c>
    </row>
    <row r="106" ht="15" customHeight="1">
      <c r="A106" t="inlineStr">
        <is>
          <t>A 35693-2023</t>
        </is>
      </c>
      <c r="B106" s="1" t="n">
        <v>45147.65311342593</v>
      </c>
      <c r="C106" s="1" t="n">
        <v>46077</v>
      </c>
      <c r="D106" t="inlineStr">
        <is>
          <t>STOCKHOLMS LÄN</t>
        </is>
      </c>
      <c r="E106" t="inlineStr">
        <is>
          <t>NORRTÄLJE</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HYPERLINK("https://klasma.github.io/Logging_0188/artfynd/A 35693-2023 artfynd.xlsx", "A 35693-2023")</f>
        <v/>
      </c>
      <c r="T106">
        <f>HYPERLINK("https://klasma.github.io/Logging_0188/kartor/A 35693-2023 karta.png", "A 35693-2023")</f>
        <v/>
      </c>
      <c r="V106">
        <f>HYPERLINK("https://klasma.github.io/Logging_0188/klagomål/A 35693-2023 FSC-klagomål.docx", "A 35693-2023")</f>
        <v/>
      </c>
      <c r="W106">
        <f>HYPERLINK("https://klasma.github.io/Logging_0188/klagomålsmail/A 35693-2023 FSC-klagomål mail.docx", "A 35693-2023")</f>
        <v/>
      </c>
      <c r="X106">
        <f>HYPERLINK("https://klasma.github.io/Logging_0188/tillsyn/A 35693-2023 tillsynsbegäran.docx", "A 35693-2023")</f>
        <v/>
      </c>
      <c r="Y106">
        <f>HYPERLINK("https://klasma.github.io/Logging_0188/tillsynsmail/A 35693-2023 tillsynsbegäran mail.docx", "A 35693-2023")</f>
        <v/>
      </c>
    </row>
    <row r="107" ht="15" customHeight="1">
      <c r="A107" t="inlineStr">
        <is>
          <t>A 14365-2025</t>
        </is>
      </c>
      <c r="B107" s="1" t="n">
        <v>45741.38688657407</v>
      </c>
      <c r="C107" s="1" t="n">
        <v>46077</v>
      </c>
      <c r="D107" t="inlineStr">
        <is>
          <t>STOCKHOLMS LÄN</t>
        </is>
      </c>
      <c r="E107" t="inlineStr">
        <is>
          <t>NORRTÄLJE</t>
        </is>
      </c>
      <c r="G107" t="n">
        <v>2.4</v>
      </c>
      <c r="H107" t="n">
        <v>0</v>
      </c>
      <c r="I107" t="n">
        <v>0</v>
      </c>
      <c r="J107" t="n">
        <v>1</v>
      </c>
      <c r="K107" t="n">
        <v>0</v>
      </c>
      <c r="L107" t="n">
        <v>0</v>
      </c>
      <c r="M107" t="n">
        <v>0</v>
      </c>
      <c r="N107" t="n">
        <v>0</v>
      </c>
      <c r="O107" t="n">
        <v>1</v>
      </c>
      <c r="P107" t="n">
        <v>0</v>
      </c>
      <c r="Q107" t="n">
        <v>1</v>
      </c>
      <c r="R107" s="2" t="inlineStr">
        <is>
          <t>Granticka</t>
        </is>
      </c>
      <c r="S107">
        <f>HYPERLINK("https://klasma.github.io/Logging_0188/artfynd/A 14365-2025 artfynd.xlsx", "A 14365-2025")</f>
        <v/>
      </c>
      <c r="T107">
        <f>HYPERLINK("https://klasma.github.io/Logging_0188/kartor/A 14365-2025 karta.png", "A 14365-2025")</f>
        <v/>
      </c>
      <c r="V107">
        <f>HYPERLINK("https://klasma.github.io/Logging_0188/klagomål/A 14365-2025 FSC-klagomål.docx", "A 14365-2025")</f>
        <v/>
      </c>
      <c r="W107">
        <f>HYPERLINK("https://klasma.github.io/Logging_0188/klagomålsmail/A 14365-2025 FSC-klagomål mail.docx", "A 14365-2025")</f>
        <v/>
      </c>
      <c r="X107">
        <f>HYPERLINK("https://klasma.github.io/Logging_0188/tillsyn/A 14365-2025 tillsynsbegäran.docx", "A 14365-2025")</f>
        <v/>
      </c>
      <c r="Y107">
        <f>HYPERLINK("https://klasma.github.io/Logging_0188/tillsynsmail/A 14365-2025 tillsynsbegäran mail.docx", "A 14365-2025")</f>
        <v/>
      </c>
    </row>
    <row r="108" ht="15" customHeight="1">
      <c r="A108" t="inlineStr">
        <is>
          <t>A 21150-2022</t>
        </is>
      </c>
      <c r="B108" s="1" t="n">
        <v>44704</v>
      </c>
      <c r="C108" s="1" t="n">
        <v>46077</v>
      </c>
      <c r="D108" t="inlineStr">
        <is>
          <t>STOCKHOLMS LÄN</t>
        </is>
      </c>
      <c r="E108" t="inlineStr">
        <is>
          <t>NORRTÄLJE</t>
        </is>
      </c>
      <c r="G108" t="n">
        <v>12.5</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21150-2022 artfynd.xlsx", "A 21150-2022")</f>
        <v/>
      </c>
      <c r="T108">
        <f>HYPERLINK("https://klasma.github.io/Logging_0188/kartor/A 21150-2022 karta.png", "A 21150-2022")</f>
        <v/>
      </c>
      <c r="V108">
        <f>HYPERLINK("https://klasma.github.io/Logging_0188/klagomål/A 21150-2022 FSC-klagomål.docx", "A 21150-2022")</f>
        <v/>
      </c>
      <c r="W108">
        <f>HYPERLINK("https://klasma.github.io/Logging_0188/klagomålsmail/A 21150-2022 FSC-klagomål mail.docx", "A 21150-2022")</f>
        <v/>
      </c>
      <c r="X108">
        <f>HYPERLINK("https://klasma.github.io/Logging_0188/tillsyn/A 21150-2022 tillsynsbegäran.docx", "A 21150-2022")</f>
        <v/>
      </c>
      <c r="Y108">
        <f>HYPERLINK("https://klasma.github.io/Logging_0188/tillsynsmail/A 21150-2022 tillsynsbegäran mail.docx", "A 21150-2022")</f>
        <v/>
      </c>
    </row>
    <row r="109" ht="15" customHeight="1">
      <c r="A109" t="inlineStr">
        <is>
          <t>A 4532-2025</t>
        </is>
      </c>
      <c r="B109" s="1" t="n">
        <v>45687.34177083334</v>
      </c>
      <c r="C109" s="1" t="n">
        <v>46077</v>
      </c>
      <c r="D109" t="inlineStr">
        <is>
          <t>STOCKHOLMS LÄN</t>
        </is>
      </c>
      <c r="E109" t="inlineStr">
        <is>
          <t>NORRTÄLJE</t>
        </is>
      </c>
      <c r="F109" t="inlineStr">
        <is>
          <t>Holmen skog AB</t>
        </is>
      </c>
      <c r="G109" t="n">
        <v>6.4</v>
      </c>
      <c r="H109" t="n">
        <v>1</v>
      </c>
      <c r="I109" t="n">
        <v>0</v>
      </c>
      <c r="J109" t="n">
        <v>0</v>
      </c>
      <c r="K109" t="n">
        <v>0</v>
      </c>
      <c r="L109" t="n">
        <v>1</v>
      </c>
      <c r="M109" t="n">
        <v>0</v>
      </c>
      <c r="N109" t="n">
        <v>0</v>
      </c>
      <c r="O109" t="n">
        <v>1</v>
      </c>
      <c r="P109" t="n">
        <v>1</v>
      </c>
      <c r="Q109" t="n">
        <v>1</v>
      </c>
      <c r="R109" s="2" t="inlineStr">
        <is>
          <t>Asknätfjäril</t>
        </is>
      </c>
      <c r="S109">
        <f>HYPERLINK("https://klasma.github.io/Logging_0188/artfynd/A 4532-2025 artfynd.xlsx", "A 4532-2025")</f>
        <v/>
      </c>
      <c r="T109">
        <f>HYPERLINK("https://klasma.github.io/Logging_0188/kartor/A 4532-2025 karta.png", "A 4532-2025")</f>
        <v/>
      </c>
      <c r="V109">
        <f>HYPERLINK("https://klasma.github.io/Logging_0188/klagomål/A 4532-2025 FSC-klagomål.docx", "A 4532-2025")</f>
        <v/>
      </c>
      <c r="W109">
        <f>HYPERLINK("https://klasma.github.io/Logging_0188/klagomålsmail/A 4532-2025 FSC-klagomål mail.docx", "A 4532-2025")</f>
        <v/>
      </c>
      <c r="X109">
        <f>HYPERLINK("https://klasma.github.io/Logging_0188/tillsyn/A 4532-2025 tillsynsbegäran.docx", "A 4532-2025")</f>
        <v/>
      </c>
      <c r="Y109">
        <f>HYPERLINK("https://klasma.github.io/Logging_0188/tillsynsmail/A 4532-2025 tillsynsbegäran mail.docx", "A 4532-2025")</f>
        <v/>
      </c>
    </row>
    <row r="110" ht="15" customHeight="1">
      <c r="A110" t="inlineStr">
        <is>
          <t>A 4860-2022</t>
        </is>
      </c>
      <c r="B110" s="1" t="n">
        <v>44592</v>
      </c>
      <c r="C110" s="1" t="n">
        <v>46077</v>
      </c>
      <c r="D110" t="inlineStr">
        <is>
          <t>STOCKHOLMS LÄN</t>
        </is>
      </c>
      <c r="E110" t="inlineStr">
        <is>
          <t>NORRTÄLJE</t>
        </is>
      </c>
      <c r="G110" t="n">
        <v>22.3</v>
      </c>
      <c r="H110" t="n">
        <v>0</v>
      </c>
      <c r="I110" t="n">
        <v>0</v>
      </c>
      <c r="J110" t="n">
        <v>1</v>
      </c>
      <c r="K110" t="n">
        <v>0</v>
      </c>
      <c r="L110" t="n">
        <v>0</v>
      </c>
      <c r="M110" t="n">
        <v>0</v>
      </c>
      <c r="N110" t="n">
        <v>0</v>
      </c>
      <c r="O110" t="n">
        <v>1</v>
      </c>
      <c r="P110" t="n">
        <v>0</v>
      </c>
      <c r="Q110" t="n">
        <v>1</v>
      </c>
      <c r="R110" s="2" t="inlineStr">
        <is>
          <t>Igelkott</t>
        </is>
      </c>
      <c r="S110">
        <f>HYPERLINK("https://klasma.github.io/Logging_0188/artfynd/A 4860-2022 artfynd.xlsx", "A 4860-2022")</f>
        <v/>
      </c>
      <c r="T110">
        <f>HYPERLINK("https://klasma.github.io/Logging_0188/kartor/A 4860-2022 karta.png", "A 4860-2022")</f>
        <v/>
      </c>
      <c r="V110">
        <f>HYPERLINK("https://klasma.github.io/Logging_0188/klagomål/A 4860-2022 FSC-klagomål.docx", "A 4860-2022")</f>
        <v/>
      </c>
      <c r="W110">
        <f>HYPERLINK("https://klasma.github.io/Logging_0188/klagomålsmail/A 4860-2022 FSC-klagomål mail.docx", "A 4860-2022")</f>
        <v/>
      </c>
      <c r="X110">
        <f>HYPERLINK("https://klasma.github.io/Logging_0188/tillsyn/A 4860-2022 tillsynsbegäran.docx", "A 4860-2022")</f>
        <v/>
      </c>
      <c r="Y110">
        <f>HYPERLINK("https://klasma.github.io/Logging_0188/tillsynsmail/A 4860-2022 tillsynsbegäran mail.docx", "A 4860-2022")</f>
        <v/>
      </c>
    </row>
    <row r="111" ht="15" customHeight="1">
      <c r="A111" t="inlineStr">
        <is>
          <t>A 26120-2024</t>
        </is>
      </c>
      <c r="B111" s="1" t="n">
        <v>45468.45995370371</v>
      </c>
      <c r="C111" s="1" t="n">
        <v>46077</v>
      </c>
      <c r="D111" t="inlineStr">
        <is>
          <t>STOCKHOLMS LÄN</t>
        </is>
      </c>
      <c r="E111" t="inlineStr">
        <is>
          <t>NORRTÄLJE</t>
        </is>
      </c>
      <c r="G111" t="n">
        <v>1.8</v>
      </c>
      <c r="H111" t="n">
        <v>0</v>
      </c>
      <c r="I111" t="n">
        <v>0</v>
      </c>
      <c r="J111" t="n">
        <v>1</v>
      </c>
      <c r="K111" t="n">
        <v>0</v>
      </c>
      <c r="L111" t="n">
        <v>0</v>
      </c>
      <c r="M111" t="n">
        <v>0</v>
      </c>
      <c r="N111" t="n">
        <v>0</v>
      </c>
      <c r="O111" t="n">
        <v>1</v>
      </c>
      <c r="P111" t="n">
        <v>0</v>
      </c>
      <c r="Q111" t="n">
        <v>1</v>
      </c>
      <c r="R111" s="2" t="inlineStr">
        <is>
          <t>Majviva</t>
        </is>
      </c>
      <c r="S111">
        <f>HYPERLINK("https://klasma.github.io/Logging_0188/artfynd/A 26120-2024 artfynd.xlsx", "A 26120-2024")</f>
        <v/>
      </c>
      <c r="T111">
        <f>HYPERLINK("https://klasma.github.io/Logging_0188/kartor/A 26120-2024 karta.png", "A 26120-2024")</f>
        <v/>
      </c>
      <c r="V111">
        <f>HYPERLINK("https://klasma.github.io/Logging_0188/klagomål/A 26120-2024 FSC-klagomål.docx", "A 26120-2024")</f>
        <v/>
      </c>
      <c r="W111">
        <f>HYPERLINK("https://klasma.github.io/Logging_0188/klagomålsmail/A 26120-2024 FSC-klagomål mail.docx", "A 26120-2024")</f>
        <v/>
      </c>
      <c r="X111">
        <f>HYPERLINK("https://klasma.github.io/Logging_0188/tillsyn/A 26120-2024 tillsynsbegäran.docx", "A 26120-2024")</f>
        <v/>
      </c>
      <c r="Y111">
        <f>HYPERLINK("https://klasma.github.io/Logging_0188/tillsynsmail/A 26120-2024 tillsynsbegäran mail.docx", "A 26120-2024")</f>
        <v/>
      </c>
    </row>
    <row r="112" ht="15" customHeight="1">
      <c r="A112" t="inlineStr">
        <is>
          <t>A 40861-2025</t>
        </is>
      </c>
      <c r="B112" s="1" t="n">
        <v>45897.56356481482</v>
      </c>
      <c r="C112" s="1" t="n">
        <v>46077</v>
      </c>
      <c r="D112" t="inlineStr">
        <is>
          <t>STOCKHOLMS LÄN</t>
        </is>
      </c>
      <c r="E112" t="inlineStr">
        <is>
          <t>NORRTÄLJE</t>
        </is>
      </c>
      <c r="G112" t="n">
        <v>4</v>
      </c>
      <c r="H112" t="n">
        <v>0</v>
      </c>
      <c r="I112" t="n">
        <v>0</v>
      </c>
      <c r="J112" t="n">
        <v>1</v>
      </c>
      <c r="K112" t="n">
        <v>0</v>
      </c>
      <c r="L112" t="n">
        <v>0</v>
      </c>
      <c r="M112" t="n">
        <v>0</v>
      </c>
      <c r="N112" t="n">
        <v>0</v>
      </c>
      <c r="O112" t="n">
        <v>1</v>
      </c>
      <c r="P112" t="n">
        <v>0</v>
      </c>
      <c r="Q112" t="n">
        <v>1</v>
      </c>
      <c r="R112" s="2" t="inlineStr">
        <is>
          <t>Skogsklocka</t>
        </is>
      </c>
      <c r="S112">
        <f>HYPERLINK("https://klasma.github.io/Logging_0188/artfynd/A 40861-2025 artfynd.xlsx", "A 40861-2025")</f>
        <v/>
      </c>
      <c r="T112">
        <f>HYPERLINK("https://klasma.github.io/Logging_0188/kartor/A 40861-2025 karta.png", "A 40861-2025")</f>
        <v/>
      </c>
      <c r="V112">
        <f>HYPERLINK("https://klasma.github.io/Logging_0188/klagomål/A 40861-2025 FSC-klagomål.docx", "A 40861-2025")</f>
        <v/>
      </c>
      <c r="W112">
        <f>HYPERLINK("https://klasma.github.io/Logging_0188/klagomålsmail/A 40861-2025 FSC-klagomål mail.docx", "A 40861-2025")</f>
        <v/>
      </c>
      <c r="X112">
        <f>HYPERLINK("https://klasma.github.io/Logging_0188/tillsyn/A 40861-2025 tillsynsbegäran.docx", "A 40861-2025")</f>
        <v/>
      </c>
      <c r="Y112">
        <f>HYPERLINK("https://klasma.github.io/Logging_0188/tillsynsmail/A 40861-2025 tillsynsbegäran mail.docx", "A 40861-2025")</f>
        <v/>
      </c>
    </row>
    <row r="113" ht="15" customHeight="1">
      <c r="A113" t="inlineStr">
        <is>
          <t>A 11429-2023</t>
        </is>
      </c>
      <c r="B113" s="1" t="n">
        <v>44993</v>
      </c>
      <c r="C113" s="1" t="n">
        <v>46077</v>
      </c>
      <c r="D113" t="inlineStr">
        <is>
          <t>STOCKHOLMS LÄN</t>
        </is>
      </c>
      <c r="E113" t="inlineStr">
        <is>
          <t>NORRTÄLJE</t>
        </is>
      </c>
      <c r="G113" t="n">
        <v>2</v>
      </c>
      <c r="H113" t="n">
        <v>0</v>
      </c>
      <c r="I113" t="n">
        <v>0</v>
      </c>
      <c r="J113" t="n">
        <v>1</v>
      </c>
      <c r="K113" t="n">
        <v>0</v>
      </c>
      <c r="L113" t="n">
        <v>0</v>
      </c>
      <c r="M113" t="n">
        <v>0</v>
      </c>
      <c r="N113" t="n">
        <v>0</v>
      </c>
      <c r="O113" t="n">
        <v>1</v>
      </c>
      <c r="P113" t="n">
        <v>0</v>
      </c>
      <c r="Q113" t="n">
        <v>1</v>
      </c>
      <c r="R113" s="2" t="inlineStr">
        <is>
          <t>Skogsklocka</t>
        </is>
      </c>
      <c r="S113">
        <f>HYPERLINK("https://klasma.github.io/Logging_0188/artfynd/A 11429-2023 artfynd.xlsx", "A 11429-2023")</f>
        <v/>
      </c>
      <c r="T113">
        <f>HYPERLINK("https://klasma.github.io/Logging_0188/kartor/A 11429-2023 karta.png", "A 11429-2023")</f>
        <v/>
      </c>
      <c r="V113">
        <f>HYPERLINK("https://klasma.github.io/Logging_0188/klagomål/A 11429-2023 FSC-klagomål.docx", "A 11429-2023")</f>
        <v/>
      </c>
      <c r="W113">
        <f>HYPERLINK("https://klasma.github.io/Logging_0188/klagomålsmail/A 11429-2023 FSC-klagomål mail.docx", "A 11429-2023")</f>
        <v/>
      </c>
      <c r="X113">
        <f>HYPERLINK("https://klasma.github.io/Logging_0188/tillsyn/A 11429-2023 tillsynsbegäran.docx", "A 11429-2023")</f>
        <v/>
      </c>
      <c r="Y113">
        <f>HYPERLINK("https://klasma.github.io/Logging_0188/tillsynsmail/A 11429-2023 tillsynsbegäran mail.docx", "A 11429-2023")</f>
        <v/>
      </c>
    </row>
    <row r="114" ht="15" customHeight="1">
      <c r="A114" t="inlineStr">
        <is>
          <t>A 13271-2025</t>
        </is>
      </c>
      <c r="B114" s="1" t="n">
        <v>45735.54510416667</v>
      </c>
      <c r="C114" s="1" t="n">
        <v>46077</v>
      </c>
      <c r="D114" t="inlineStr">
        <is>
          <t>STOCKHOLMS LÄN</t>
        </is>
      </c>
      <c r="E114" t="inlineStr">
        <is>
          <t>NORRTÄLJE</t>
        </is>
      </c>
      <c r="G114" t="n">
        <v>7.2</v>
      </c>
      <c r="H114" t="n">
        <v>1</v>
      </c>
      <c r="I114" t="n">
        <v>0</v>
      </c>
      <c r="J114" t="n">
        <v>0</v>
      </c>
      <c r="K114" t="n">
        <v>0</v>
      </c>
      <c r="L114" t="n">
        <v>1</v>
      </c>
      <c r="M114" t="n">
        <v>0</v>
      </c>
      <c r="N114" t="n">
        <v>0</v>
      </c>
      <c r="O114" t="n">
        <v>1</v>
      </c>
      <c r="P114" t="n">
        <v>1</v>
      </c>
      <c r="Q114" t="n">
        <v>1</v>
      </c>
      <c r="R114" s="2" t="inlineStr">
        <is>
          <t>Asknätfjäril</t>
        </is>
      </c>
      <c r="S114">
        <f>HYPERLINK("https://klasma.github.io/Logging_0188/artfynd/A 13271-2025 artfynd.xlsx", "A 13271-2025")</f>
        <v/>
      </c>
      <c r="T114">
        <f>HYPERLINK("https://klasma.github.io/Logging_0188/kartor/A 13271-2025 karta.png", "A 13271-2025")</f>
        <v/>
      </c>
      <c r="V114">
        <f>HYPERLINK("https://klasma.github.io/Logging_0188/klagomål/A 13271-2025 FSC-klagomål.docx", "A 13271-2025")</f>
        <v/>
      </c>
      <c r="W114">
        <f>HYPERLINK("https://klasma.github.io/Logging_0188/klagomålsmail/A 13271-2025 FSC-klagomål mail.docx", "A 13271-2025")</f>
        <v/>
      </c>
      <c r="X114">
        <f>HYPERLINK("https://klasma.github.io/Logging_0188/tillsyn/A 13271-2025 tillsynsbegäran.docx", "A 13271-2025")</f>
        <v/>
      </c>
      <c r="Y114">
        <f>HYPERLINK("https://klasma.github.io/Logging_0188/tillsynsmail/A 13271-2025 tillsynsbegäran mail.docx", "A 13271-2025")</f>
        <v/>
      </c>
    </row>
    <row r="115" ht="15" customHeight="1">
      <c r="A115" t="inlineStr">
        <is>
          <t>A 50854-2022</t>
        </is>
      </c>
      <c r="B115" s="1" t="n">
        <v>44863</v>
      </c>
      <c r="C115" s="1" t="n">
        <v>46077</v>
      </c>
      <c r="D115" t="inlineStr">
        <is>
          <t>STOCKHOLMS LÄN</t>
        </is>
      </c>
      <c r="E115" t="inlineStr">
        <is>
          <t>NORRTÄLJE</t>
        </is>
      </c>
      <c r="G115" t="n">
        <v>2.9</v>
      </c>
      <c r="H115" t="n">
        <v>0</v>
      </c>
      <c r="I115" t="n">
        <v>1</v>
      </c>
      <c r="J115" t="n">
        <v>0</v>
      </c>
      <c r="K115" t="n">
        <v>0</v>
      </c>
      <c r="L115" t="n">
        <v>0</v>
      </c>
      <c r="M115" t="n">
        <v>0</v>
      </c>
      <c r="N115" t="n">
        <v>0</v>
      </c>
      <c r="O115" t="n">
        <v>0</v>
      </c>
      <c r="P115" t="n">
        <v>0</v>
      </c>
      <c r="Q115" t="n">
        <v>1</v>
      </c>
      <c r="R115" s="2" t="inlineStr">
        <is>
          <t>Tibast</t>
        </is>
      </c>
      <c r="S115">
        <f>HYPERLINK("https://klasma.github.io/Logging_0188/artfynd/A 50854-2022 artfynd.xlsx", "A 50854-2022")</f>
        <v/>
      </c>
      <c r="T115">
        <f>HYPERLINK("https://klasma.github.io/Logging_0188/kartor/A 50854-2022 karta.png", "A 50854-2022")</f>
        <v/>
      </c>
      <c r="V115">
        <f>HYPERLINK("https://klasma.github.io/Logging_0188/klagomål/A 50854-2022 FSC-klagomål.docx", "A 50854-2022")</f>
        <v/>
      </c>
      <c r="W115">
        <f>HYPERLINK("https://klasma.github.io/Logging_0188/klagomålsmail/A 50854-2022 FSC-klagomål mail.docx", "A 50854-2022")</f>
        <v/>
      </c>
      <c r="X115">
        <f>HYPERLINK("https://klasma.github.io/Logging_0188/tillsyn/A 50854-2022 tillsynsbegäran.docx", "A 50854-2022")</f>
        <v/>
      </c>
      <c r="Y115">
        <f>HYPERLINK("https://klasma.github.io/Logging_0188/tillsynsmail/A 50854-2022 tillsynsbegäran mail.docx", "A 50854-2022")</f>
        <v/>
      </c>
    </row>
    <row r="116" ht="15" customHeight="1">
      <c r="A116" t="inlineStr">
        <is>
          <t>A 42313-2025</t>
        </is>
      </c>
      <c r="B116" s="1" t="n">
        <v>45904.6575</v>
      </c>
      <c r="C116" s="1" t="n">
        <v>46077</v>
      </c>
      <c r="D116" t="inlineStr">
        <is>
          <t>STOCKHOLMS LÄN</t>
        </is>
      </c>
      <c r="E116" t="inlineStr">
        <is>
          <t>NORRTÄLJE</t>
        </is>
      </c>
      <c r="G116" t="n">
        <v>1.7</v>
      </c>
      <c r="H116" t="n">
        <v>1</v>
      </c>
      <c r="I116" t="n">
        <v>0</v>
      </c>
      <c r="J116" t="n">
        <v>0</v>
      </c>
      <c r="K116" t="n">
        <v>0</v>
      </c>
      <c r="L116" t="n">
        <v>0</v>
      </c>
      <c r="M116" t="n">
        <v>0</v>
      </c>
      <c r="N116" t="n">
        <v>0</v>
      </c>
      <c r="O116" t="n">
        <v>0</v>
      </c>
      <c r="P116" t="n">
        <v>0</v>
      </c>
      <c r="Q116" t="n">
        <v>1</v>
      </c>
      <c r="R116" s="2" t="inlineStr">
        <is>
          <t>Vanlig padda</t>
        </is>
      </c>
      <c r="S116">
        <f>HYPERLINK("https://klasma.github.io/Logging_0188/artfynd/A 42313-2025 artfynd.xlsx", "A 42313-2025")</f>
        <v/>
      </c>
      <c r="T116">
        <f>HYPERLINK("https://klasma.github.io/Logging_0188/kartor/A 42313-2025 karta.png", "A 42313-2025")</f>
        <v/>
      </c>
      <c r="V116">
        <f>HYPERLINK("https://klasma.github.io/Logging_0188/klagomål/A 42313-2025 FSC-klagomål.docx", "A 42313-2025")</f>
        <v/>
      </c>
      <c r="W116">
        <f>HYPERLINK("https://klasma.github.io/Logging_0188/klagomålsmail/A 42313-2025 FSC-klagomål mail.docx", "A 42313-2025")</f>
        <v/>
      </c>
      <c r="X116">
        <f>HYPERLINK("https://klasma.github.io/Logging_0188/tillsyn/A 42313-2025 tillsynsbegäran.docx", "A 42313-2025")</f>
        <v/>
      </c>
      <c r="Y116">
        <f>HYPERLINK("https://klasma.github.io/Logging_0188/tillsynsmail/A 42313-2025 tillsynsbegäran mail.docx", "A 42313-2025")</f>
        <v/>
      </c>
    </row>
    <row r="117" ht="15" customHeight="1">
      <c r="A117" t="inlineStr">
        <is>
          <t>A 64456-2023</t>
        </is>
      </c>
      <c r="B117" s="1" t="n">
        <v>45280</v>
      </c>
      <c r="C117" s="1" t="n">
        <v>46077</v>
      </c>
      <c r="D117" t="inlineStr">
        <is>
          <t>STOCKHOLMS LÄN</t>
        </is>
      </c>
      <c r="E117" t="inlineStr">
        <is>
          <t>NORRTÄLJE</t>
        </is>
      </c>
      <c r="G117" t="n">
        <v>2.5</v>
      </c>
      <c r="H117" t="n">
        <v>0</v>
      </c>
      <c r="I117" t="n">
        <v>1</v>
      </c>
      <c r="J117" t="n">
        <v>0</v>
      </c>
      <c r="K117" t="n">
        <v>0</v>
      </c>
      <c r="L117" t="n">
        <v>0</v>
      </c>
      <c r="M117" t="n">
        <v>0</v>
      </c>
      <c r="N117" t="n">
        <v>0</v>
      </c>
      <c r="O117" t="n">
        <v>0</v>
      </c>
      <c r="P117" t="n">
        <v>0</v>
      </c>
      <c r="Q117" t="n">
        <v>1</v>
      </c>
      <c r="R117" s="2" t="inlineStr">
        <is>
          <t>Rödgul trumpetsvamp</t>
        </is>
      </c>
      <c r="S117">
        <f>HYPERLINK("https://klasma.github.io/Logging_0188/artfynd/A 64456-2023 artfynd.xlsx", "A 64456-2023")</f>
        <v/>
      </c>
      <c r="T117">
        <f>HYPERLINK("https://klasma.github.io/Logging_0188/kartor/A 64456-2023 karta.png", "A 64456-2023")</f>
        <v/>
      </c>
      <c r="V117">
        <f>HYPERLINK("https://klasma.github.io/Logging_0188/klagomål/A 64456-2023 FSC-klagomål.docx", "A 64456-2023")</f>
        <v/>
      </c>
      <c r="W117">
        <f>HYPERLINK("https://klasma.github.io/Logging_0188/klagomålsmail/A 64456-2023 FSC-klagomål mail.docx", "A 64456-2023")</f>
        <v/>
      </c>
      <c r="X117">
        <f>HYPERLINK("https://klasma.github.io/Logging_0188/tillsyn/A 64456-2023 tillsynsbegäran.docx", "A 64456-2023")</f>
        <v/>
      </c>
      <c r="Y117">
        <f>HYPERLINK("https://klasma.github.io/Logging_0188/tillsynsmail/A 64456-2023 tillsynsbegäran mail.docx", "A 64456-2023")</f>
        <v/>
      </c>
    </row>
    <row r="118" ht="15" customHeight="1">
      <c r="A118" t="inlineStr">
        <is>
          <t>A 39158-2025</t>
        </is>
      </c>
      <c r="B118" s="1" t="n">
        <v>45888</v>
      </c>
      <c r="C118" s="1" t="n">
        <v>46077</v>
      </c>
      <c r="D118" t="inlineStr">
        <is>
          <t>STOCKHOLMS LÄN</t>
        </is>
      </c>
      <c r="E118" t="inlineStr">
        <is>
          <t>NORRTÄLJE</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HYPERLINK("https://klasma.github.io/Logging_0188/artfynd/A 39158-2025 artfynd.xlsx", "A 39158-2025")</f>
        <v/>
      </c>
      <c r="T118">
        <f>HYPERLINK("https://klasma.github.io/Logging_0188/kartor/A 39158-2025 karta.png", "A 39158-2025")</f>
        <v/>
      </c>
      <c r="V118">
        <f>HYPERLINK("https://klasma.github.io/Logging_0188/klagomål/A 39158-2025 FSC-klagomål.docx", "A 39158-2025")</f>
        <v/>
      </c>
      <c r="W118">
        <f>HYPERLINK("https://klasma.github.io/Logging_0188/klagomålsmail/A 39158-2025 FSC-klagomål mail.docx", "A 39158-2025")</f>
        <v/>
      </c>
      <c r="X118">
        <f>HYPERLINK("https://klasma.github.io/Logging_0188/tillsyn/A 39158-2025 tillsynsbegäran.docx", "A 39158-2025")</f>
        <v/>
      </c>
      <c r="Y118">
        <f>HYPERLINK("https://klasma.github.io/Logging_0188/tillsynsmail/A 39158-2025 tillsynsbegäran mail.docx", "A 39158-2025")</f>
        <v/>
      </c>
    </row>
    <row r="119" ht="15" customHeight="1">
      <c r="A119" t="inlineStr">
        <is>
          <t>A 52611-2024</t>
        </is>
      </c>
      <c r="B119" s="1" t="n">
        <v>45609.83747685186</v>
      </c>
      <c r="C119" s="1" t="n">
        <v>46077</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52508-2023</t>
        </is>
      </c>
      <c r="B120" s="1" t="n">
        <v>45225</v>
      </c>
      <c r="C120" s="1" t="n">
        <v>46077</v>
      </c>
      <c r="D120" t="inlineStr">
        <is>
          <t>STOCKHOLMS LÄN</t>
        </is>
      </c>
      <c r="E120" t="inlineStr">
        <is>
          <t>NORRTÄLJE</t>
        </is>
      </c>
      <c r="G120" t="n">
        <v>19.7</v>
      </c>
      <c r="H120" t="n">
        <v>1</v>
      </c>
      <c r="I120" t="n">
        <v>0</v>
      </c>
      <c r="J120" t="n">
        <v>0</v>
      </c>
      <c r="K120" t="n">
        <v>1</v>
      </c>
      <c r="L120" t="n">
        <v>0</v>
      </c>
      <c r="M120" t="n">
        <v>0</v>
      </c>
      <c r="N120" t="n">
        <v>0</v>
      </c>
      <c r="O120" t="n">
        <v>1</v>
      </c>
      <c r="P120" t="n">
        <v>1</v>
      </c>
      <c r="Q120" t="n">
        <v>1</v>
      </c>
      <c r="R120" s="2" t="inlineStr">
        <is>
          <t>Svärta</t>
        </is>
      </c>
      <c r="S120">
        <f>HYPERLINK("https://klasma.github.io/Logging_0188/artfynd/A 52508-2023 artfynd.xlsx", "A 52508-2023")</f>
        <v/>
      </c>
      <c r="T120">
        <f>HYPERLINK("https://klasma.github.io/Logging_0188/kartor/A 52508-2023 karta.png", "A 52508-2023")</f>
        <v/>
      </c>
      <c r="V120">
        <f>HYPERLINK("https://klasma.github.io/Logging_0188/klagomål/A 52508-2023 FSC-klagomål.docx", "A 52508-2023")</f>
        <v/>
      </c>
      <c r="W120">
        <f>HYPERLINK("https://klasma.github.io/Logging_0188/klagomålsmail/A 52508-2023 FSC-klagomål mail.docx", "A 52508-2023")</f>
        <v/>
      </c>
      <c r="X120">
        <f>HYPERLINK("https://klasma.github.io/Logging_0188/tillsyn/A 52508-2023 tillsynsbegäran.docx", "A 52508-2023")</f>
        <v/>
      </c>
      <c r="Y120">
        <f>HYPERLINK("https://klasma.github.io/Logging_0188/tillsynsmail/A 52508-2023 tillsynsbegäran mail.docx", "A 52508-2023")</f>
        <v/>
      </c>
    </row>
    <row r="121" ht="15" customHeight="1">
      <c r="A121" t="inlineStr">
        <is>
          <t>A 48131-2023</t>
        </is>
      </c>
      <c r="B121" s="1" t="n">
        <v>45205</v>
      </c>
      <c r="C121" s="1" t="n">
        <v>46077</v>
      </c>
      <c r="D121" t="inlineStr">
        <is>
          <t>STOCKHOLMS LÄN</t>
        </is>
      </c>
      <c r="E121" t="inlineStr">
        <is>
          <t>NORRTÄLJE</t>
        </is>
      </c>
      <c r="G121" t="n">
        <v>2.3</v>
      </c>
      <c r="H121" t="n">
        <v>0</v>
      </c>
      <c r="I121" t="n">
        <v>0</v>
      </c>
      <c r="J121" t="n">
        <v>1</v>
      </c>
      <c r="K121" t="n">
        <v>0</v>
      </c>
      <c r="L121" t="n">
        <v>0</v>
      </c>
      <c r="M121" t="n">
        <v>0</v>
      </c>
      <c r="N121" t="n">
        <v>0</v>
      </c>
      <c r="O121" t="n">
        <v>1</v>
      </c>
      <c r="P121" t="n">
        <v>0</v>
      </c>
      <c r="Q121" t="n">
        <v>1</v>
      </c>
      <c r="R121" s="2" t="inlineStr">
        <is>
          <t>Slåtterfibbla</t>
        </is>
      </c>
      <c r="S121">
        <f>HYPERLINK("https://klasma.github.io/Logging_0188/artfynd/A 48131-2023 artfynd.xlsx", "A 48131-2023")</f>
        <v/>
      </c>
      <c r="T121">
        <f>HYPERLINK("https://klasma.github.io/Logging_0188/kartor/A 48131-2023 karta.png", "A 48131-2023")</f>
        <v/>
      </c>
      <c r="V121">
        <f>HYPERLINK("https://klasma.github.io/Logging_0188/klagomål/A 48131-2023 FSC-klagomål.docx", "A 48131-2023")</f>
        <v/>
      </c>
      <c r="W121">
        <f>HYPERLINK("https://klasma.github.io/Logging_0188/klagomålsmail/A 48131-2023 FSC-klagomål mail.docx", "A 48131-2023")</f>
        <v/>
      </c>
      <c r="X121">
        <f>HYPERLINK("https://klasma.github.io/Logging_0188/tillsyn/A 48131-2023 tillsynsbegäran.docx", "A 48131-2023")</f>
        <v/>
      </c>
      <c r="Y121">
        <f>HYPERLINK("https://klasma.github.io/Logging_0188/tillsynsmail/A 48131-2023 tillsynsbegäran mail.docx", "A 48131-2023")</f>
        <v/>
      </c>
    </row>
    <row r="122" ht="15" customHeight="1">
      <c r="A122" t="inlineStr">
        <is>
          <t>A 52775-2025</t>
        </is>
      </c>
      <c r="B122" s="1" t="n">
        <v>45957.41608796296</v>
      </c>
      <c r="C122" s="1" t="n">
        <v>46077</v>
      </c>
      <c r="D122" t="inlineStr">
        <is>
          <t>STOCKHOLMS LÄN</t>
        </is>
      </c>
      <c r="E122" t="inlineStr">
        <is>
          <t>NORRTÄLJE</t>
        </is>
      </c>
      <c r="F122" t="inlineStr">
        <is>
          <t>Sveaskog</t>
        </is>
      </c>
      <c r="G122" t="n">
        <v>5.6</v>
      </c>
      <c r="H122" t="n">
        <v>0</v>
      </c>
      <c r="I122" t="n">
        <v>0</v>
      </c>
      <c r="J122" t="n">
        <v>1</v>
      </c>
      <c r="K122" t="n">
        <v>0</v>
      </c>
      <c r="L122" t="n">
        <v>0</v>
      </c>
      <c r="M122" t="n">
        <v>0</v>
      </c>
      <c r="N122" t="n">
        <v>0</v>
      </c>
      <c r="O122" t="n">
        <v>1</v>
      </c>
      <c r="P122" t="n">
        <v>0</v>
      </c>
      <c r="Q122" t="n">
        <v>1</v>
      </c>
      <c r="R122" s="2" t="inlineStr">
        <is>
          <t>Vedtrappmossa</t>
        </is>
      </c>
      <c r="S122">
        <f>HYPERLINK("https://klasma.github.io/Logging_0188/artfynd/A 52775-2025 artfynd.xlsx", "A 52775-2025")</f>
        <v/>
      </c>
      <c r="T122">
        <f>HYPERLINK("https://klasma.github.io/Logging_0188/kartor/A 52775-2025 karta.png", "A 52775-2025")</f>
        <v/>
      </c>
      <c r="V122">
        <f>HYPERLINK("https://klasma.github.io/Logging_0188/klagomål/A 52775-2025 FSC-klagomål.docx", "A 52775-2025")</f>
        <v/>
      </c>
      <c r="W122">
        <f>HYPERLINK("https://klasma.github.io/Logging_0188/klagomålsmail/A 52775-2025 FSC-klagomål mail.docx", "A 52775-2025")</f>
        <v/>
      </c>
      <c r="X122">
        <f>HYPERLINK("https://klasma.github.io/Logging_0188/tillsyn/A 52775-2025 tillsynsbegäran.docx", "A 52775-2025")</f>
        <v/>
      </c>
      <c r="Y122">
        <f>HYPERLINK("https://klasma.github.io/Logging_0188/tillsynsmail/A 52775-2025 tillsynsbegäran mail.docx", "A 52775-2025")</f>
        <v/>
      </c>
    </row>
    <row r="123" ht="15" customHeight="1">
      <c r="A123" t="inlineStr">
        <is>
          <t>A 53716-2025</t>
        </is>
      </c>
      <c r="B123" s="1" t="n">
        <v>45960.61782407408</v>
      </c>
      <c r="C123" s="1" t="n">
        <v>46077</v>
      </c>
      <c r="D123" t="inlineStr">
        <is>
          <t>STOCKHOLMS LÄN</t>
        </is>
      </c>
      <c r="E123" t="inlineStr">
        <is>
          <t>NORRTÄLJE</t>
        </is>
      </c>
      <c r="G123" t="n">
        <v>3.4</v>
      </c>
      <c r="H123" t="n">
        <v>0</v>
      </c>
      <c r="I123" t="n">
        <v>0</v>
      </c>
      <c r="J123" t="n">
        <v>0</v>
      </c>
      <c r="K123" t="n">
        <v>0</v>
      </c>
      <c r="L123" t="n">
        <v>1</v>
      </c>
      <c r="M123" t="n">
        <v>0</v>
      </c>
      <c r="N123" t="n">
        <v>0</v>
      </c>
      <c r="O123" t="n">
        <v>1</v>
      </c>
      <c r="P123" t="n">
        <v>1</v>
      </c>
      <c r="Q123" t="n">
        <v>1</v>
      </c>
      <c r="R123" s="2" t="inlineStr">
        <is>
          <t>Fältgentiana</t>
        </is>
      </c>
      <c r="S123">
        <f>HYPERLINK("https://klasma.github.io/Logging_0188/artfynd/A 53716-2025 artfynd.xlsx", "A 53716-2025")</f>
        <v/>
      </c>
      <c r="T123">
        <f>HYPERLINK("https://klasma.github.io/Logging_0188/kartor/A 53716-2025 karta.png", "A 53716-2025")</f>
        <v/>
      </c>
      <c r="V123">
        <f>HYPERLINK("https://klasma.github.io/Logging_0188/klagomål/A 53716-2025 FSC-klagomål.docx", "A 53716-2025")</f>
        <v/>
      </c>
      <c r="W123">
        <f>HYPERLINK("https://klasma.github.io/Logging_0188/klagomålsmail/A 53716-2025 FSC-klagomål mail.docx", "A 53716-2025")</f>
        <v/>
      </c>
      <c r="X123">
        <f>HYPERLINK("https://klasma.github.io/Logging_0188/tillsyn/A 53716-2025 tillsynsbegäran.docx", "A 53716-2025")</f>
        <v/>
      </c>
      <c r="Y123">
        <f>HYPERLINK("https://klasma.github.io/Logging_0188/tillsynsmail/A 53716-2025 tillsynsbegäran mail.docx", "A 53716-2025")</f>
        <v/>
      </c>
    </row>
    <row r="124" ht="15" customHeight="1">
      <c r="A124" t="inlineStr">
        <is>
          <t>A 16870-2025</t>
        </is>
      </c>
      <c r="B124" s="1" t="n">
        <v>45754</v>
      </c>
      <c r="C124" s="1" t="n">
        <v>46077</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27827-2022</t>
        </is>
      </c>
      <c r="B125" s="1" t="n">
        <v>44743.59504629629</v>
      </c>
      <c r="C125" s="1" t="n">
        <v>46077</v>
      </c>
      <c r="D125" t="inlineStr">
        <is>
          <t>STOCKHOLMS LÄN</t>
        </is>
      </c>
      <c r="E125" t="inlineStr">
        <is>
          <t>NORRTÄLJE</t>
        </is>
      </c>
      <c r="F125" t="inlineStr">
        <is>
          <t>Holmen skog AB</t>
        </is>
      </c>
      <c r="G125" t="n">
        <v>4.7</v>
      </c>
      <c r="H125" t="n">
        <v>1</v>
      </c>
      <c r="I125" t="n">
        <v>0</v>
      </c>
      <c r="J125" t="n">
        <v>1</v>
      </c>
      <c r="K125" t="n">
        <v>0</v>
      </c>
      <c r="L125" t="n">
        <v>0</v>
      </c>
      <c r="M125" t="n">
        <v>0</v>
      </c>
      <c r="N125" t="n">
        <v>0</v>
      </c>
      <c r="O125" t="n">
        <v>1</v>
      </c>
      <c r="P125" t="n">
        <v>0</v>
      </c>
      <c r="Q125" t="n">
        <v>1</v>
      </c>
      <c r="R125" s="2" t="inlineStr">
        <is>
          <t>Nordfladdermus</t>
        </is>
      </c>
      <c r="S125">
        <f>HYPERLINK("https://klasma.github.io/Logging_0188/artfynd/A 27827-2022 artfynd.xlsx", "A 27827-2022")</f>
        <v/>
      </c>
      <c r="T125">
        <f>HYPERLINK("https://klasma.github.io/Logging_0188/kartor/A 27827-2022 karta.png", "A 27827-2022")</f>
        <v/>
      </c>
      <c r="V125">
        <f>HYPERLINK("https://klasma.github.io/Logging_0188/klagomål/A 27827-2022 FSC-klagomål.docx", "A 27827-2022")</f>
        <v/>
      </c>
      <c r="W125">
        <f>HYPERLINK("https://klasma.github.io/Logging_0188/klagomålsmail/A 27827-2022 FSC-klagomål mail.docx", "A 27827-2022")</f>
        <v/>
      </c>
      <c r="X125">
        <f>HYPERLINK("https://klasma.github.io/Logging_0188/tillsyn/A 27827-2022 tillsynsbegäran.docx", "A 27827-2022")</f>
        <v/>
      </c>
      <c r="Y125">
        <f>HYPERLINK("https://klasma.github.io/Logging_0188/tillsynsmail/A 27827-2022 tillsynsbegäran mail.docx", "A 27827-2022")</f>
        <v/>
      </c>
    </row>
    <row r="126" ht="15" customHeight="1">
      <c r="A126" t="inlineStr">
        <is>
          <t>A 9955-2022</t>
        </is>
      </c>
      <c r="B126" s="1" t="n">
        <v>44620</v>
      </c>
      <c r="C126" s="1" t="n">
        <v>46077</v>
      </c>
      <c r="D126" t="inlineStr">
        <is>
          <t>STOCKHOLMS LÄN</t>
        </is>
      </c>
      <c r="E126" t="inlineStr">
        <is>
          <t>NORRTÄLJE</t>
        </is>
      </c>
      <c r="G126" t="n">
        <v>7.8</v>
      </c>
      <c r="H126" t="n">
        <v>1</v>
      </c>
      <c r="I126" t="n">
        <v>0</v>
      </c>
      <c r="J126" t="n">
        <v>0</v>
      </c>
      <c r="K126" t="n">
        <v>0</v>
      </c>
      <c r="L126" t="n">
        <v>0</v>
      </c>
      <c r="M126" t="n">
        <v>0</v>
      </c>
      <c r="N126" t="n">
        <v>0</v>
      </c>
      <c r="O126" t="n">
        <v>0</v>
      </c>
      <c r="P126" t="n">
        <v>0</v>
      </c>
      <c r="Q126" t="n">
        <v>1</v>
      </c>
      <c r="R126" s="2" t="inlineStr">
        <is>
          <t>Åkergroda</t>
        </is>
      </c>
      <c r="S126">
        <f>HYPERLINK("https://klasma.github.io/Logging_0188/artfynd/A 9955-2022 artfynd.xlsx", "A 9955-2022")</f>
        <v/>
      </c>
      <c r="T126">
        <f>HYPERLINK("https://klasma.github.io/Logging_0188/kartor/A 9955-2022 karta.png", "A 9955-2022")</f>
        <v/>
      </c>
      <c r="V126">
        <f>HYPERLINK("https://klasma.github.io/Logging_0188/klagomål/A 9955-2022 FSC-klagomål.docx", "A 9955-2022")</f>
        <v/>
      </c>
      <c r="W126">
        <f>HYPERLINK("https://klasma.github.io/Logging_0188/klagomålsmail/A 9955-2022 FSC-klagomål mail.docx", "A 9955-2022")</f>
        <v/>
      </c>
      <c r="X126">
        <f>HYPERLINK("https://klasma.github.io/Logging_0188/tillsyn/A 9955-2022 tillsynsbegäran.docx", "A 9955-2022")</f>
        <v/>
      </c>
      <c r="Y126">
        <f>HYPERLINK("https://klasma.github.io/Logging_0188/tillsynsmail/A 9955-2022 tillsynsbegäran mail.docx", "A 9955-2022")</f>
        <v/>
      </c>
    </row>
    <row r="127" ht="15" customHeight="1">
      <c r="A127" t="inlineStr">
        <is>
          <t>A 59682-2025</t>
        </is>
      </c>
      <c r="B127" s="1" t="n">
        <v>45992.47116898148</v>
      </c>
      <c r="C127" s="1" t="n">
        <v>46077</v>
      </c>
      <c r="D127" t="inlineStr">
        <is>
          <t>STOCKHOLMS LÄN</t>
        </is>
      </c>
      <c r="E127" t="inlineStr">
        <is>
          <t>NORRTÄLJE</t>
        </is>
      </c>
      <c r="G127" t="n">
        <v>1.6</v>
      </c>
      <c r="H127" t="n">
        <v>0</v>
      </c>
      <c r="I127" t="n">
        <v>1</v>
      </c>
      <c r="J127" t="n">
        <v>0</v>
      </c>
      <c r="K127" t="n">
        <v>0</v>
      </c>
      <c r="L127" t="n">
        <v>0</v>
      </c>
      <c r="M127" t="n">
        <v>0</v>
      </c>
      <c r="N127" t="n">
        <v>0</v>
      </c>
      <c r="O127" t="n">
        <v>0</v>
      </c>
      <c r="P127" t="n">
        <v>0</v>
      </c>
      <c r="Q127" t="n">
        <v>1</v>
      </c>
      <c r="R127" s="2" t="inlineStr">
        <is>
          <t>Grönpyrola</t>
        </is>
      </c>
      <c r="S127">
        <f>HYPERLINK("https://klasma.github.io/Logging_0188/artfynd/A 59682-2025 artfynd.xlsx", "A 59682-2025")</f>
        <v/>
      </c>
      <c r="T127">
        <f>HYPERLINK("https://klasma.github.io/Logging_0188/kartor/A 59682-2025 karta.png", "A 59682-2025")</f>
        <v/>
      </c>
      <c r="V127">
        <f>HYPERLINK("https://klasma.github.io/Logging_0188/klagomål/A 59682-2025 FSC-klagomål.docx", "A 59682-2025")</f>
        <v/>
      </c>
      <c r="W127">
        <f>HYPERLINK("https://klasma.github.io/Logging_0188/klagomålsmail/A 59682-2025 FSC-klagomål mail.docx", "A 59682-2025")</f>
        <v/>
      </c>
      <c r="X127">
        <f>HYPERLINK("https://klasma.github.io/Logging_0188/tillsyn/A 59682-2025 tillsynsbegäran.docx", "A 59682-2025")</f>
        <v/>
      </c>
      <c r="Y127">
        <f>HYPERLINK("https://klasma.github.io/Logging_0188/tillsynsmail/A 59682-2025 tillsynsbegäran mail.docx", "A 59682-2025")</f>
        <v/>
      </c>
    </row>
    <row r="128" ht="15" customHeight="1">
      <c r="A128" t="inlineStr">
        <is>
          <t>A 23905-2025</t>
        </is>
      </c>
      <c r="B128" s="1" t="n">
        <v>45794.63298611111</v>
      </c>
      <c r="C128" s="1" t="n">
        <v>46077</v>
      </c>
      <c r="D128" t="inlineStr">
        <is>
          <t>STOCKHOLMS LÄN</t>
        </is>
      </c>
      <c r="E128" t="inlineStr">
        <is>
          <t>NORRTÄLJE</t>
        </is>
      </c>
      <c r="G128" t="n">
        <v>8.4</v>
      </c>
      <c r="H128" t="n">
        <v>1</v>
      </c>
      <c r="I128" t="n">
        <v>0</v>
      </c>
      <c r="J128" t="n">
        <v>0</v>
      </c>
      <c r="K128" t="n">
        <v>0</v>
      </c>
      <c r="L128" t="n">
        <v>0</v>
      </c>
      <c r="M128" t="n">
        <v>0</v>
      </c>
      <c r="N128" t="n">
        <v>0</v>
      </c>
      <c r="O128" t="n">
        <v>0</v>
      </c>
      <c r="P128" t="n">
        <v>0</v>
      </c>
      <c r="Q128" t="n">
        <v>1</v>
      </c>
      <c r="R128" s="2" t="inlineStr">
        <is>
          <t>Blåsippa</t>
        </is>
      </c>
      <c r="S128">
        <f>HYPERLINK("https://klasma.github.io/Logging_0188/artfynd/A 23905-2025 artfynd.xlsx", "A 23905-2025")</f>
        <v/>
      </c>
      <c r="T128">
        <f>HYPERLINK("https://klasma.github.io/Logging_0188/kartor/A 23905-2025 karta.png", "A 23905-2025")</f>
        <v/>
      </c>
      <c r="V128">
        <f>HYPERLINK("https://klasma.github.io/Logging_0188/klagomål/A 23905-2025 FSC-klagomål.docx", "A 23905-2025")</f>
        <v/>
      </c>
      <c r="W128">
        <f>HYPERLINK("https://klasma.github.io/Logging_0188/klagomålsmail/A 23905-2025 FSC-klagomål mail.docx", "A 23905-2025")</f>
        <v/>
      </c>
      <c r="X128">
        <f>HYPERLINK("https://klasma.github.io/Logging_0188/tillsyn/A 23905-2025 tillsynsbegäran.docx", "A 23905-2025")</f>
        <v/>
      </c>
      <c r="Y128">
        <f>HYPERLINK("https://klasma.github.io/Logging_0188/tillsynsmail/A 23905-2025 tillsynsbegäran mail.docx", "A 23905-2025")</f>
        <v/>
      </c>
    </row>
    <row r="129" ht="15" customHeight="1">
      <c r="A129" t="inlineStr">
        <is>
          <t>A 25709-2025</t>
        </is>
      </c>
      <c r="B129" s="1" t="n">
        <v>45800</v>
      </c>
      <c r="C129" s="1" t="n">
        <v>46077</v>
      </c>
      <c r="D129" t="inlineStr">
        <is>
          <t>STOCKHOLMS LÄN</t>
        </is>
      </c>
      <c r="E129" t="inlineStr">
        <is>
          <t>NORRTÄLJE</t>
        </is>
      </c>
      <c r="G129" t="n">
        <v>4.6</v>
      </c>
      <c r="H129" t="n">
        <v>0</v>
      </c>
      <c r="I129" t="n">
        <v>0</v>
      </c>
      <c r="J129" t="n">
        <v>1</v>
      </c>
      <c r="K129" t="n">
        <v>0</v>
      </c>
      <c r="L129" t="n">
        <v>0</v>
      </c>
      <c r="M129" t="n">
        <v>0</v>
      </c>
      <c r="N129" t="n">
        <v>0</v>
      </c>
      <c r="O129" t="n">
        <v>1</v>
      </c>
      <c r="P129" t="n">
        <v>0</v>
      </c>
      <c r="Q129" t="n">
        <v>1</v>
      </c>
      <c r="R129" s="2" t="inlineStr">
        <is>
          <t>Ullticka</t>
        </is>
      </c>
      <c r="S129">
        <f>HYPERLINK("https://klasma.github.io/Logging_0188/artfynd/A 25709-2025 artfynd.xlsx", "A 25709-2025")</f>
        <v/>
      </c>
      <c r="T129">
        <f>HYPERLINK("https://klasma.github.io/Logging_0188/kartor/A 25709-2025 karta.png", "A 25709-2025")</f>
        <v/>
      </c>
      <c r="V129">
        <f>HYPERLINK("https://klasma.github.io/Logging_0188/klagomål/A 25709-2025 FSC-klagomål.docx", "A 25709-2025")</f>
        <v/>
      </c>
      <c r="W129">
        <f>HYPERLINK("https://klasma.github.io/Logging_0188/klagomålsmail/A 25709-2025 FSC-klagomål mail.docx", "A 25709-2025")</f>
        <v/>
      </c>
      <c r="X129">
        <f>HYPERLINK("https://klasma.github.io/Logging_0188/tillsyn/A 25709-2025 tillsynsbegäran.docx", "A 25709-2025")</f>
        <v/>
      </c>
      <c r="Y129">
        <f>HYPERLINK("https://klasma.github.io/Logging_0188/tillsynsmail/A 25709-2025 tillsynsbegäran mail.docx", "A 25709-2025")</f>
        <v/>
      </c>
    </row>
    <row r="130" ht="15" customHeight="1">
      <c r="A130" t="inlineStr">
        <is>
          <t>A 25725-2025</t>
        </is>
      </c>
      <c r="B130" s="1" t="n">
        <v>45800</v>
      </c>
      <c r="C130" s="1" t="n">
        <v>46077</v>
      </c>
      <c r="D130" t="inlineStr">
        <is>
          <t>STOCKHOLMS LÄN</t>
        </is>
      </c>
      <c r="E130" t="inlineStr">
        <is>
          <t>NORRTÄLJE</t>
        </is>
      </c>
      <c r="G130" t="n">
        <v>5.2</v>
      </c>
      <c r="H130" t="n">
        <v>0</v>
      </c>
      <c r="I130" t="n">
        <v>0</v>
      </c>
      <c r="J130" t="n">
        <v>1</v>
      </c>
      <c r="K130" t="n">
        <v>0</v>
      </c>
      <c r="L130" t="n">
        <v>0</v>
      </c>
      <c r="M130" t="n">
        <v>0</v>
      </c>
      <c r="N130" t="n">
        <v>0</v>
      </c>
      <c r="O130" t="n">
        <v>1</v>
      </c>
      <c r="P130" t="n">
        <v>0</v>
      </c>
      <c r="Q130" t="n">
        <v>1</v>
      </c>
      <c r="R130" s="2" t="inlineStr">
        <is>
          <t>Tallticka</t>
        </is>
      </c>
      <c r="S130">
        <f>HYPERLINK("https://klasma.github.io/Logging_0188/artfynd/A 25725-2025 artfynd.xlsx", "A 25725-2025")</f>
        <v/>
      </c>
      <c r="T130">
        <f>HYPERLINK("https://klasma.github.io/Logging_0188/kartor/A 25725-2025 karta.png", "A 25725-2025")</f>
        <v/>
      </c>
      <c r="V130">
        <f>HYPERLINK("https://klasma.github.io/Logging_0188/klagomål/A 25725-2025 FSC-klagomål.docx", "A 25725-2025")</f>
        <v/>
      </c>
      <c r="W130">
        <f>HYPERLINK("https://klasma.github.io/Logging_0188/klagomålsmail/A 25725-2025 FSC-klagomål mail.docx", "A 25725-2025")</f>
        <v/>
      </c>
      <c r="X130">
        <f>HYPERLINK("https://klasma.github.io/Logging_0188/tillsyn/A 25725-2025 tillsynsbegäran.docx", "A 25725-2025")</f>
        <v/>
      </c>
      <c r="Y130">
        <f>HYPERLINK("https://klasma.github.io/Logging_0188/tillsynsmail/A 25725-2025 tillsynsbegäran mail.docx", "A 25725-2025")</f>
        <v/>
      </c>
    </row>
    <row r="131" ht="15" customHeight="1">
      <c r="A131" t="inlineStr">
        <is>
          <t>A 35649-2023</t>
        </is>
      </c>
      <c r="B131" s="1" t="n">
        <v>45146</v>
      </c>
      <c r="C131" s="1" t="n">
        <v>46077</v>
      </c>
      <c r="D131" t="inlineStr">
        <is>
          <t>STOCKHOLMS LÄN</t>
        </is>
      </c>
      <c r="E131" t="inlineStr">
        <is>
          <t>NORRTÄLJE</t>
        </is>
      </c>
      <c r="G131" t="n">
        <v>25.1</v>
      </c>
      <c r="H131" t="n">
        <v>0</v>
      </c>
      <c r="I131" t="n">
        <v>0</v>
      </c>
      <c r="J131" t="n">
        <v>1</v>
      </c>
      <c r="K131" t="n">
        <v>0</v>
      </c>
      <c r="L131" t="n">
        <v>0</v>
      </c>
      <c r="M131" t="n">
        <v>0</v>
      </c>
      <c r="N131" t="n">
        <v>0</v>
      </c>
      <c r="O131" t="n">
        <v>1</v>
      </c>
      <c r="P131" t="n">
        <v>0</v>
      </c>
      <c r="Q131" t="n">
        <v>1</v>
      </c>
      <c r="R131" s="2" t="inlineStr">
        <is>
          <t>Månlåsbräken</t>
        </is>
      </c>
      <c r="S131">
        <f>HYPERLINK("https://klasma.github.io/Logging_0188/artfynd/A 35649-2023 artfynd.xlsx", "A 35649-2023")</f>
        <v/>
      </c>
      <c r="T131">
        <f>HYPERLINK("https://klasma.github.io/Logging_0188/kartor/A 35649-2023 karta.png", "A 35649-2023")</f>
        <v/>
      </c>
      <c r="V131">
        <f>HYPERLINK("https://klasma.github.io/Logging_0188/klagomål/A 35649-2023 FSC-klagomål.docx", "A 35649-2023")</f>
        <v/>
      </c>
      <c r="W131">
        <f>HYPERLINK("https://klasma.github.io/Logging_0188/klagomålsmail/A 35649-2023 FSC-klagomål mail.docx", "A 35649-2023")</f>
        <v/>
      </c>
      <c r="X131">
        <f>HYPERLINK("https://klasma.github.io/Logging_0188/tillsyn/A 35649-2023 tillsynsbegäran.docx", "A 35649-2023")</f>
        <v/>
      </c>
      <c r="Y131">
        <f>HYPERLINK("https://klasma.github.io/Logging_0188/tillsynsmail/A 35649-2023 tillsynsbegäran mail.docx", "A 35649-2023")</f>
        <v/>
      </c>
    </row>
    <row r="132" ht="15" customHeight="1">
      <c r="A132" t="inlineStr">
        <is>
          <t>A 35764-2024</t>
        </is>
      </c>
      <c r="B132" s="1" t="n">
        <v>45532</v>
      </c>
      <c r="C132" s="1" t="n">
        <v>46077</v>
      </c>
      <c r="D132" t="inlineStr">
        <is>
          <t>STOCKHOLMS LÄN</t>
        </is>
      </c>
      <c r="E132" t="inlineStr">
        <is>
          <t>NORRTÄLJE</t>
        </is>
      </c>
      <c r="G132" t="n">
        <v>14.2</v>
      </c>
      <c r="H132" t="n">
        <v>1</v>
      </c>
      <c r="I132" t="n">
        <v>0</v>
      </c>
      <c r="J132" t="n">
        <v>0</v>
      </c>
      <c r="K132" t="n">
        <v>1</v>
      </c>
      <c r="L132" t="n">
        <v>0</v>
      </c>
      <c r="M132" t="n">
        <v>0</v>
      </c>
      <c r="N132" t="n">
        <v>0</v>
      </c>
      <c r="O132" t="n">
        <v>1</v>
      </c>
      <c r="P132" t="n">
        <v>1</v>
      </c>
      <c r="Q132" t="n">
        <v>1</v>
      </c>
      <c r="R132" s="2" t="inlineStr">
        <is>
          <t>Knärot</t>
        </is>
      </c>
      <c r="S132">
        <f>HYPERLINK("https://klasma.github.io/Logging_0188/artfynd/A 35764-2024 artfynd.xlsx", "A 35764-2024")</f>
        <v/>
      </c>
      <c r="T132">
        <f>HYPERLINK("https://klasma.github.io/Logging_0188/kartor/A 35764-2024 karta.png", "A 35764-2024")</f>
        <v/>
      </c>
      <c r="U132">
        <f>HYPERLINK("https://klasma.github.io/Logging_0188/knärot/A 35764-2024 karta knärot.png", "A 35764-2024")</f>
        <v/>
      </c>
      <c r="V132">
        <f>HYPERLINK("https://klasma.github.io/Logging_0188/klagomål/A 35764-2024 FSC-klagomål.docx", "A 35764-2024")</f>
        <v/>
      </c>
      <c r="W132">
        <f>HYPERLINK("https://klasma.github.io/Logging_0188/klagomålsmail/A 35764-2024 FSC-klagomål mail.docx", "A 35764-2024")</f>
        <v/>
      </c>
      <c r="X132">
        <f>HYPERLINK("https://klasma.github.io/Logging_0188/tillsyn/A 35764-2024 tillsynsbegäran.docx", "A 35764-2024")</f>
        <v/>
      </c>
      <c r="Y132">
        <f>HYPERLINK("https://klasma.github.io/Logging_0188/tillsynsmail/A 35764-2024 tillsynsbegäran mail.docx", "A 35764-2024")</f>
        <v/>
      </c>
    </row>
    <row r="133" ht="15" customHeight="1">
      <c r="A133" t="inlineStr">
        <is>
          <t>A 25669-2025</t>
        </is>
      </c>
      <c r="B133" s="1" t="n">
        <v>45803.62766203703</v>
      </c>
      <c r="C133" s="1" t="n">
        <v>46077</v>
      </c>
      <c r="D133" t="inlineStr">
        <is>
          <t>STOCKHOLMS LÄN</t>
        </is>
      </c>
      <c r="E133" t="inlineStr">
        <is>
          <t>NORRTÄLJE</t>
        </is>
      </c>
      <c r="F133" t="inlineStr">
        <is>
          <t>Holmen skog AB</t>
        </is>
      </c>
      <c r="G133" t="n">
        <v>3.1</v>
      </c>
      <c r="H133" t="n">
        <v>1</v>
      </c>
      <c r="I133" t="n">
        <v>0</v>
      </c>
      <c r="J133" t="n">
        <v>0</v>
      </c>
      <c r="K133" t="n">
        <v>0</v>
      </c>
      <c r="L133" t="n">
        <v>0</v>
      </c>
      <c r="M133" t="n">
        <v>0</v>
      </c>
      <c r="N133" t="n">
        <v>0</v>
      </c>
      <c r="O133" t="n">
        <v>0</v>
      </c>
      <c r="P133" t="n">
        <v>0</v>
      </c>
      <c r="Q133" t="n">
        <v>1</v>
      </c>
      <c r="R133" s="2" t="inlineStr">
        <is>
          <t>Tjäder</t>
        </is>
      </c>
      <c r="S133">
        <f>HYPERLINK("https://klasma.github.io/Logging_0188/artfynd/A 25669-2025 artfynd.xlsx", "A 25669-2025")</f>
        <v/>
      </c>
      <c r="T133">
        <f>HYPERLINK("https://klasma.github.io/Logging_0188/kartor/A 25669-2025 karta.png", "A 25669-2025")</f>
        <v/>
      </c>
      <c r="V133">
        <f>HYPERLINK("https://klasma.github.io/Logging_0188/klagomål/A 25669-2025 FSC-klagomål.docx", "A 25669-2025")</f>
        <v/>
      </c>
      <c r="W133">
        <f>HYPERLINK("https://klasma.github.io/Logging_0188/klagomålsmail/A 25669-2025 FSC-klagomål mail.docx", "A 25669-2025")</f>
        <v/>
      </c>
      <c r="X133">
        <f>HYPERLINK("https://klasma.github.io/Logging_0188/tillsyn/A 25669-2025 tillsynsbegäran.docx", "A 25669-2025")</f>
        <v/>
      </c>
      <c r="Y133">
        <f>HYPERLINK("https://klasma.github.io/Logging_0188/tillsynsmail/A 25669-2025 tillsynsbegäran mail.docx", "A 25669-2025")</f>
        <v/>
      </c>
      <c r="Z133">
        <f>HYPERLINK("https://klasma.github.io/Logging_0188/fåglar/A 25669-2025 prioriterade fågelarter.docx", "A 25669-2025")</f>
        <v/>
      </c>
    </row>
    <row r="134" ht="15" customHeight="1">
      <c r="A134" t="inlineStr">
        <is>
          <t>A 62715-2025</t>
        </is>
      </c>
      <c r="B134" s="1" t="n">
        <v>46008.52034722222</v>
      </c>
      <c r="C134" s="1" t="n">
        <v>46077</v>
      </c>
      <c r="D134" t="inlineStr">
        <is>
          <t>STOCKHOLMS LÄN</t>
        </is>
      </c>
      <c r="E134" t="inlineStr">
        <is>
          <t>NORRTÄLJE</t>
        </is>
      </c>
      <c r="G134" t="n">
        <v>0.8</v>
      </c>
      <c r="H134" t="n">
        <v>0</v>
      </c>
      <c r="I134" t="n">
        <v>1</v>
      </c>
      <c r="J134" t="n">
        <v>0</v>
      </c>
      <c r="K134" t="n">
        <v>0</v>
      </c>
      <c r="L134" t="n">
        <v>0</v>
      </c>
      <c r="M134" t="n">
        <v>0</v>
      </c>
      <c r="N134" t="n">
        <v>0</v>
      </c>
      <c r="O134" t="n">
        <v>0</v>
      </c>
      <c r="P134" t="n">
        <v>0</v>
      </c>
      <c r="Q134" t="n">
        <v>1</v>
      </c>
      <c r="R134" s="2" t="inlineStr">
        <is>
          <t>Granbarkgnagare</t>
        </is>
      </c>
      <c r="S134">
        <f>HYPERLINK("https://klasma.github.io/Logging_0188/artfynd/A 62715-2025 artfynd.xlsx", "A 62715-2025")</f>
        <v/>
      </c>
      <c r="T134">
        <f>HYPERLINK("https://klasma.github.io/Logging_0188/kartor/A 62715-2025 karta.png", "A 62715-2025")</f>
        <v/>
      </c>
      <c r="V134">
        <f>HYPERLINK("https://klasma.github.io/Logging_0188/klagomål/A 62715-2025 FSC-klagomål.docx", "A 62715-2025")</f>
        <v/>
      </c>
      <c r="W134">
        <f>HYPERLINK("https://klasma.github.io/Logging_0188/klagomålsmail/A 62715-2025 FSC-klagomål mail.docx", "A 62715-2025")</f>
        <v/>
      </c>
      <c r="X134">
        <f>HYPERLINK("https://klasma.github.io/Logging_0188/tillsyn/A 62715-2025 tillsynsbegäran.docx", "A 62715-2025")</f>
        <v/>
      </c>
      <c r="Y134">
        <f>HYPERLINK("https://klasma.github.io/Logging_0188/tillsynsmail/A 62715-2025 tillsynsbegäran mail.docx", "A 62715-2025")</f>
        <v/>
      </c>
    </row>
    <row r="135" ht="15" customHeight="1">
      <c r="A135" t="inlineStr">
        <is>
          <t>A 63292-2025</t>
        </is>
      </c>
      <c r="B135" s="1" t="n">
        <v>46010.59232638889</v>
      </c>
      <c r="C135" s="1" t="n">
        <v>46077</v>
      </c>
      <c r="D135" t="inlineStr">
        <is>
          <t>STOCKHOLMS LÄN</t>
        </is>
      </c>
      <c r="E135" t="inlineStr">
        <is>
          <t>NORRTÄLJE</t>
        </is>
      </c>
      <c r="G135" t="n">
        <v>11.1</v>
      </c>
      <c r="H135" t="n">
        <v>1</v>
      </c>
      <c r="I135" t="n">
        <v>1</v>
      </c>
      <c r="J135" t="n">
        <v>0</v>
      </c>
      <c r="K135" t="n">
        <v>0</v>
      </c>
      <c r="L135" t="n">
        <v>0</v>
      </c>
      <c r="M135" t="n">
        <v>0</v>
      </c>
      <c r="N135" t="n">
        <v>0</v>
      </c>
      <c r="O135" t="n">
        <v>0</v>
      </c>
      <c r="P135" t="n">
        <v>0</v>
      </c>
      <c r="Q135" t="n">
        <v>1</v>
      </c>
      <c r="R135" s="2" t="inlineStr">
        <is>
          <t>Nästrot</t>
        </is>
      </c>
      <c r="S135">
        <f>HYPERLINK("https://klasma.github.io/Logging_0188/artfynd/A 63292-2025 artfynd.xlsx", "A 63292-2025")</f>
        <v/>
      </c>
      <c r="T135">
        <f>HYPERLINK("https://klasma.github.io/Logging_0188/kartor/A 63292-2025 karta.png", "A 63292-2025")</f>
        <v/>
      </c>
      <c r="V135">
        <f>HYPERLINK("https://klasma.github.io/Logging_0188/klagomål/A 63292-2025 FSC-klagomål.docx", "A 63292-2025")</f>
        <v/>
      </c>
      <c r="W135">
        <f>HYPERLINK("https://klasma.github.io/Logging_0188/klagomålsmail/A 63292-2025 FSC-klagomål mail.docx", "A 63292-2025")</f>
        <v/>
      </c>
      <c r="X135">
        <f>HYPERLINK("https://klasma.github.io/Logging_0188/tillsyn/A 63292-2025 tillsynsbegäran.docx", "A 63292-2025")</f>
        <v/>
      </c>
      <c r="Y135">
        <f>HYPERLINK("https://klasma.github.io/Logging_0188/tillsynsmail/A 63292-2025 tillsynsbegäran mail.docx", "A 63292-2025")</f>
        <v/>
      </c>
    </row>
    <row r="136" ht="15" customHeight="1">
      <c r="A136" t="inlineStr">
        <is>
          <t>A 6381-2023</t>
        </is>
      </c>
      <c r="B136" s="1" t="n">
        <v>44965</v>
      </c>
      <c r="C136" s="1" t="n">
        <v>46077</v>
      </c>
      <c r="D136" t="inlineStr">
        <is>
          <t>STOCKHOLMS LÄN</t>
        </is>
      </c>
      <c r="E136" t="inlineStr">
        <is>
          <t>NORRTÄLJE</t>
        </is>
      </c>
      <c r="G136" t="n">
        <v>3.5</v>
      </c>
      <c r="H136" t="n">
        <v>1</v>
      </c>
      <c r="I136" t="n">
        <v>1</v>
      </c>
      <c r="J136" t="n">
        <v>0</v>
      </c>
      <c r="K136" t="n">
        <v>0</v>
      </c>
      <c r="L136" t="n">
        <v>0</v>
      </c>
      <c r="M136" t="n">
        <v>0</v>
      </c>
      <c r="N136" t="n">
        <v>0</v>
      </c>
      <c r="O136" t="n">
        <v>0</v>
      </c>
      <c r="P136" t="n">
        <v>0</v>
      </c>
      <c r="Q136" t="n">
        <v>1</v>
      </c>
      <c r="R136" s="2" t="inlineStr">
        <is>
          <t>Guckusko</t>
        </is>
      </c>
      <c r="S136">
        <f>HYPERLINK("https://klasma.github.io/Logging_0188/artfynd/A 6381-2023 artfynd.xlsx", "A 6381-2023")</f>
        <v/>
      </c>
      <c r="T136">
        <f>HYPERLINK("https://klasma.github.io/Logging_0188/kartor/A 6381-2023 karta.png", "A 6381-2023")</f>
        <v/>
      </c>
      <c r="V136">
        <f>HYPERLINK("https://klasma.github.io/Logging_0188/klagomål/A 6381-2023 FSC-klagomål.docx", "A 6381-2023")</f>
        <v/>
      </c>
      <c r="W136">
        <f>HYPERLINK("https://klasma.github.io/Logging_0188/klagomålsmail/A 6381-2023 FSC-klagomål mail.docx", "A 6381-2023")</f>
        <v/>
      </c>
      <c r="X136">
        <f>HYPERLINK("https://klasma.github.io/Logging_0188/tillsyn/A 6381-2023 tillsynsbegäran.docx", "A 6381-2023")</f>
        <v/>
      </c>
      <c r="Y136">
        <f>HYPERLINK("https://klasma.github.io/Logging_0188/tillsynsmail/A 6381-2023 tillsynsbegäran mail.docx", "A 6381-2023")</f>
        <v/>
      </c>
    </row>
    <row r="137" ht="15" customHeight="1">
      <c r="A137" t="inlineStr">
        <is>
          <t>A 7734-2026</t>
        </is>
      </c>
      <c r="B137" s="1" t="n">
        <v>46062.52902777777</v>
      </c>
      <c r="C137" s="1" t="n">
        <v>46077</v>
      </c>
      <c r="D137" t="inlineStr">
        <is>
          <t>STOCKHOLMS LÄN</t>
        </is>
      </c>
      <c r="E137" t="inlineStr">
        <is>
          <t>NORRTÄLJE</t>
        </is>
      </c>
      <c r="G137" t="n">
        <v>6.6</v>
      </c>
      <c r="H137" t="n">
        <v>0</v>
      </c>
      <c r="I137" t="n">
        <v>1</v>
      </c>
      <c r="J137" t="n">
        <v>0</v>
      </c>
      <c r="K137" t="n">
        <v>0</v>
      </c>
      <c r="L137" t="n">
        <v>0</v>
      </c>
      <c r="M137" t="n">
        <v>0</v>
      </c>
      <c r="N137" t="n">
        <v>0</v>
      </c>
      <c r="O137" t="n">
        <v>0</v>
      </c>
      <c r="P137" t="n">
        <v>0</v>
      </c>
      <c r="Q137" t="n">
        <v>1</v>
      </c>
      <c r="R137" s="2" t="inlineStr">
        <is>
          <t>Kastanjefjällskivling</t>
        </is>
      </c>
      <c r="S137">
        <f>HYPERLINK("https://klasma.github.io/Logging_0188/artfynd/A 7734-2026 artfynd.xlsx", "A 7734-2026")</f>
        <v/>
      </c>
      <c r="T137">
        <f>HYPERLINK("https://klasma.github.io/Logging_0188/kartor/A 7734-2026 karta.png", "A 7734-2026")</f>
        <v/>
      </c>
      <c r="V137">
        <f>HYPERLINK("https://klasma.github.io/Logging_0188/klagomål/A 7734-2026 FSC-klagomål.docx", "A 7734-2026")</f>
        <v/>
      </c>
      <c r="W137">
        <f>HYPERLINK("https://klasma.github.io/Logging_0188/klagomålsmail/A 7734-2026 FSC-klagomål mail.docx", "A 7734-2026")</f>
        <v/>
      </c>
      <c r="X137">
        <f>HYPERLINK("https://klasma.github.io/Logging_0188/tillsyn/A 7734-2026 tillsynsbegäran.docx", "A 7734-2026")</f>
        <v/>
      </c>
      <c r="Y137">
        <f>HYPERLINK("https://klasma.github.io/Logging_0188/tillsynsmail/A 7734-2026 tillsynsbegäran mail.docx", "A 7734-2026")</f>
        <v/>
      </c>
    </row>
    <row r="138" ht="15" customHeight="1">
      <c r="A138" t="inlineStr">
        <is>
          <t>A 29946-2025</t>
        </is>
      </c>
      <c r="B138" s="1" t="n">
        <v>45826.46392361111</v>
      </c>
      <c r="C138" s="1" t="n">
        <v>46077</v>
      </c>
      <c r="D138" t="inlineStr">
        <is>
          <t>STOCKHOLMS LÄN</t>
        </is>
      </c>
      <c r="E138" t="inlineStr">
        <is>
          <t>NORRTÄLJE</t>
        </is>
      </c>
      <c r="F138" t="inlineStr">
        <is>
          <t>Holmen skog AB</t>
        </is>
      </c>
      <c r="G138" t="n">
        <v>3.6</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29946-2025 artfynd.xlsx", "A 29946-2025")</f>
        <v/>
      </c>
      <c r="T138">
        <f>HYPERLINK("https://klasma.github.io/Logging_0188/kartor/A 29946-2025 karta.png", "A 29946-2025")</f>
        <v/>
      </c>
      <c r="V138">
        <f>HYPERLINK("https://klasma.github.io/Logging_0188/klagomål/A 29946-2025 FSC-klagomål.docx", "A 29946-2025")</f>
        <v/>
      </c>
      <c r="W138">
        <f>HYPERLINK("https://klasma.github.io/Logging_0188/klagomålsmail/A 29946-2025 FSC-klagomål mail.docx", "A 29946-2025")</f>
        <v/>
      </c>
      <c r="X138">
        <f>HYPERLINK("https://klasma.github.io/Logging_0188/tillsyn/A 29946-2025 tillsynsbegäran.docx", "A 29946-2025")</f>
        <v/>
      </c>
      <c r="Y138">
        <f>HYPERLINK("https://klasma.github.io/Logging_0188/tillsynsmail/A 29946-2025 tillsynsbegäran mail.docx", "A 29946-2025")</f>
        <v/>
      </c>
    </row>
    <row r="139" ht="15" customHeight="1">
      <c r="A139" t="inlineStr">
        <is>
          <t>A 364-2026</t>
        </is>
      </c>
      <c r="B139" s="1" t="n">
        <v>46027.67134259259</v>
      </c>
      <c r="C139" s="1" t="n">
        <v>46077</v>
      </c>
      <c r="D139" t="inlineStr">
        <is>
          <t>STOCKHOLMS LÄN</t>
        </is>
      </c>
      <c r="E139" t="inlineStr">
        <is>
          <t>NORRTÄLJE</t>
        </is>
      </c>
      <c r="F139" t="inlineStr">
        <is>
          <t>Holmen skog AB</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364-2026 artfynd.xlsx", "A 364-2026")</f>
        <v/>
      </c>
      <c r="T139">
        <f>HYPERLINK("https://klasma.github.io/Logging_0188/kartor/A 364-2026 karta.png", "A 364-2026")</f>
        <v/>
      </c>
      <c r="V139">
        <f>HYPERLINK("https://klasma.github.io/Logging_0188/klagomål/A 364-2026 FSC-klagomål.docx", "A 364-2026")</f>
        <v/>
      </c>
      <c r="W139">
        <f>HYPERLINK("https://klasma.github.io/Logging_0188/klagomålsmail/A 364-2026 FSC-klagomål mail.docx", "A 364-2026")</f>
        <v/>
      </c>
      <c r="X139">
        <f>HYPERLINK("https://klasma.github.io/Logging_0188/tillsyn/A 364-2026 tillsynsbegäran.docx", "A 364-2026")</f>
        <v/>
      </c>
      <c r="Y139">
        <f>HYPERLINK("https://klasma.github.io/Logging_0188/tillsynsmail/A 364-2026 tillsynsbegäran mail.docx", "A 364-2026")</f>
        <v/>
      </c>
    </row>
    <row r="140" ht="15" customHeight="1">
      <c r="A140" t="inlineStr">
        <is>
          <t>A 33546-2025</t>
        </is>
      </c>
      <c r="B140" s="1" t="n">
        <v>45841.56996527778</v>
      </c>
      <c r="C140" s="1" t="n">
        <v>46077</v>
      </c>
      <c r="D140" t="inlineStr">
        <is>
          <t>STOCKHOLMS LÄN</t>
        </is>
      </c>
      <c r="E140" t="inlineStr">
        <is>
          <t>NORRTÄLJE</t>
        </is>
      </c>
      <c r="G140" t="n">
        <v>7.2</v>
      </c>
      <c r="H140" t="n">
        <v>1</v>
      </c>
      <c r="I140" t="n">
        <v>1</v>
      </c>
      <c r="J140" t="n">
        <v>0</v>
      </c>
      <c r="K140" t="n">
        <v>0</v>
      </c>
      <c r="L140" t="n">
        <v>0</v>
      </c>
      <c r="M140" t="n">
        <v>0</v>
      </c>
      <c r="N140" t="n">
        <v>0</v>
      </c>
      <c r="O140" t="n">
        <v>0</v>
      </c>
      <c r="P140" t="n">
        <v>0</v>
      </c>
      <c r="Q140" t="n">
        <v>1</v>
      </c>
      <c r="R140" s="2" t="inlineStr">
        <is>
          <t>Nästrot</t>
        </is>
      </c>
      <c r="S140">
        <f>HYPERLINK("https://klasma.github.io/Logging_0188/artfynd/A 33546-2025 artfynd.xlsx", "A 33546-2025")</f>
        <v/>
      </c>
      <c r="T140">
        <f>HYPERLINK("https://klasma.github.io/Logging_0188/kartor/A 33546-2025 karta.png", "A 33546-2025")</f>
        <v/>
      </c>
      <c r="V140">
        <f>HYPERLINK("https://klasma.github.io/Logging_0188/klagomål/A 33546-2025 FSC-klagomål.docx", "A 33546-2025")</f>
        <v/>
      </c>
      <c r="W140">
        <f>HYPERLINK("https://klasma.github.io/Logging_0188/klagomålsmail/A 33546-2025 FSC-klagomål mail.docx", "A 33546-2025")</f>
        <v/>
      </c>
      <c r="X140">
        <f>HYPERLINK("https://klasma.github.io/Logging_0188/tillsyn/A 33546-2025 tillsynsbegäran.docx", "A 33546-2025")</f>
        <v/>
      </c>
      <c r="Y140">
        <f>HYPERLINK("https://klasma.github.io/Logging_0188/tillsynsmail/A 33546-2025 tillsynsbegäran mail.docx", "A 33546-2025")</f>
        <v/>
      </c>
    </row>
    <row r="141" ht="15" customHeight="1">
      <c r="A141" t="inlineStr">
        <is>
          <t>A 8371-2025</t>
        </is>
      </c>
      <c r="B141" s="1" t="n">
        <v>45708</v>
      </c>
      <c r="C141" s="1" t="n">
        <v>46077</v>
      </c>
      <c r="D141" t="inlineStr">
        <is>
          <t>STOCKHOLMS LÄN</t>
        </is>
      </c>
      <c r="E141" t="inlineStr">
        <is>
          <t>NORRTÄLJE</t>
        </is>
      </c>
      <c r="F141" t="inlineStr">
        <is>
          <t>Övriga Aktiebolag</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HYPERLINK("https://klasma.github.io/Logging_0188/artfynd/A 8371-2025 artfynd.xlsx", "A 8371-2025")</f>
        <v/>
      </c>
      <c r="T141">
        <f>HYPERLINK("https://klasma.github.io/Logging_0188/kartor/A 8371-2025 karta.png", "A 8371-2025")</f>
        <v/>
      </c>
      <c r="V141">
        <f>HYPERLINK("https://klasma.github.io/Logging_0188/klagomål/A 8371-2025 FSC-klagomål.docx", "A 8371-2025")</f>
        <v/>
      </c>
      <c r="W141">
        <f>HYPERLINK("https://klasma.github.io/Logging_0188/klagomålsmail/A 8371-2025 FSC-klagomål mail.docx", "A 8371-2025")</f>
        <v/>
      </c>
      <c r="X141">
        <f>HYPERLINK("https://klasma.github.io/Logging_0188/tillsyn/A 8371-2025 tillsynsbegäran.docx", "A 8371-2025")</f>
        <v/>
      </c>
      <c r="Y141">
        <f>HYPERLINK("https://klasma.github.io/Logging_0188/tillsynsmail/A 8371-2025 tillsynsbegäran mail.docx", "A 8371-2025")</f>
        <v/>
      </c>
      <c r="Z141">
        <f>HYPERLINK("https://klasma.github.io/Logging_0188/fåglar/A 8371-2025 prioriterade fågelarter.docx", "A 8371-2025")</f>
        <v/>
      </c>
    </row>
    <row r="142" ht="15" customHeight="1">
      <c r="A142" t="inlineStr">
        <is>
          <t>A 18580-2021</t>
        </is>
      </c>
      <c r="B142" s="1" t="n">
        <v>44306</v>
      </c>
      <c r="C142" s="1" t="n">
        <v>46077</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46077</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46077</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46077</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46077</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46077</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46077</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46077</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46077</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46077</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74468-2021</t>
        </is>
      </c>
      <c r="B152" s="1" t="n">
        <v>44560</v>
      </c>
      <c r="C152" s="1" t="n">
        <v>46077</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54272-2021</t>
        </is>
      </c>
      <c r="B153" s="1" t="n">
        <v>44470.72148148148</v>
      </c>
      <c r="C153" s="1" t="n">
        <v>46077</v>
      </c>
      <c r="D153" t="inlineStr">
        <is>
          <t>STOCKHOLMS LÄN</t>
        </is>
      </c>
      <c r="E153" t="inlineStr">
        <is>
          <t>NORRTÄLJE</t>
        </is>
      </c>
      <c r="G153" t="n">
        <v>5.8</v>
      </c>
      <c r="H153" t="n">
        <v>0</v>
      </c>
      <c r="I153" t="n">
        <v>0</v>
      </c>
      <c r="J153" t="n">
        <v>0</v>
      </c>
      <c r="K153" t="n">
        <v>0</v>
      </c>
      <c r="L153" t="n">
        <v>0</v>
      </c>
      <c r="M153" t="n">
        <v>0</v>
      </c>
      <c r="N153" t="n">
        <v>0</v>
      </c>
      <c r="O153" t="n">
        <v>0</v>
      </c>
      <c r="P153" t="n">
        <v>0</v>
      </c>
      <c r="Q153" t="n">
        <v>0</v>
      </c>
      <c r="R153" s="2" t="inlineStr"/>
    </row>
    <row r="154" ht="15" customHeight="1">
      <c r="A154" t="inlineStr">
        <is>
          <t>A 9719-2021</t>
        </is>
      </c>
      <c r="B154" s="1" t="n">
        <v>44252</v>
      </c>
      <c r="C154" s="1" t="n">
        <v>46077</v>
      </c>
      <c r="D154" t="inlineStr">
        <is>
          <t>STOCKHOLMS LÄN</t>
        </is>
      </c>
      <c r="E154" t="inlineStr">
        <is>
          <t>NORRTÄLJE</t>
        </is>
      </c>
      <c r="F154" t="inlineStr">
        <is>
          <t>Holmen skog AB</t>
        </is>
      </c>
      <c r="G154" t="n">
        <v>2</v>
      </c>
      <c r="H154" t="n">
        <v>0</v>
      </c>
      <c r="I154" t="n">
        <v>0</v>
      </c>
      <c r="J154" t="n">
        <v>0</v>
      </c>
      <c r="K154" t="n">
        <v>0</v>
      </c>
      <c r="L154" t="n">
        <v>0</v>
      </c>
      <c r="M154" t="n">
        <v>0</v>
      </c>
      <c r="N154" t="n">
        <v>0</v>
      </c>
      <c r="O154" t="n">
        <v>0</v>
      </c>
      <c r="P154" t="n">
        <v>0</v>
      </c>
      <c r="Q154" t="n">
        <v>0</v>
      </c>
      <c r="R154" s="2" t="inlineStr"/>
    </row>
    <row r="155" ht="15" customHeight="1">
      <c r="A155" t="inlineStr">
        <is>
          <t>A 48384-2021</t>
        </is>
      </c>
      <c r="B155" s="1" t="n">
        <v>44451</v>
      </c>
      <c r="C155" s="1" t="n">
        <v>46077</v>
      </c>
      <c r="D155" t="inlineStr">
        <is>
          <t>STOCKHOLMS LÄN</t>
        </is>
      </c>
      <c r="E155" t="inlineStr">
        <is>
          <t>NORRTÄLJE</t>
        </is>
      </c>
      <c r="G155" t="n">
        <v>1.4</v>
      </c>
      <c r="H155" t="n">
        <v>0</v>
      </c>
      <c r="I155" t="n">
        <v>0</v>
      </c>
      <c r="J155" t="n">
        <v>0</v>
      </c>
      <c r="K155" t="n">
        <v>0</v>
      </c>
      <c r="L155" t="n">
        <v>0</v>
      </c>
      <c r="M155" t="n">
        <v>0</v>
      </c>
      <c r="N155" t="n">
        <v>0</v>
      </c>
      <c r="O155" t="n">
        <v>0</v>
      </c>
      <c r="P155" t="n">
        <v>0</v>
      </c>
      <c r="Q155" t="n">
        <v>0</v>
      </c>
      <c r="R155" s="2" t="inlineStr"/>
    </row>
    <row r="156" ht="15" customHeight="1">
      <c r="A156" t="inlineStr">
        <is>
          <t>A 1704-2022</t>
        </is>
      </c>
      <c r="B156" s="1" t="n">
        <v>44574.42978009259</v>
      </c>
      <c r="C156" s="1" t="n">
        <v>46077</v>
      </c>
      <c r="D156" t="inlineStr">
        <is>
          <t>STOCKHOLMS LÄN</t>
        </is>
      </c>
      <c r="E156" t="inlineStr">
        <is>
          <t>NORRTÄLJE</t>
        </is>
      </c>
      <c r="G156" t="n">
        <v>6.2</v>
      </c>
      <c r="H156" t="n">
        <v>0</v>
      </c>
      <c r="I156" t="n">
        <v>0</v>
      </c>
      <c r="J156" t="n">
        <v>0</v>
      </c>
      <c r="K156" t="n">
        <v>0</v>
      </c>
      <c r="L156" t="n">
        <v>0</v>
      </c>
      <c r="M156" t="n">
        <v>0</v>
      </c>
      <c r="N156" t="n">
        <v>0</v>
      </c>
      <c r="O156" t="n">
        <v>0</v>
      </c>
      <c r="P156" t="n">
        <v>0</v>
      </c>
      <c r="Q156" t="n">
        <v>0</v>
      </c>
      <c r="R156" s="2" t="inlineStr"/>
    </row>
    <row r="157" ht="15" customHeight="1">
      <c r="A157" t="inlineStr">
        <is>
          <t>A 65737-2021</t>
        </is>
      </c>
      <c r="B157" s="1" t="n">
        <v>44516.72827546296</v>
      </c>
      <c r="C157" s="1" t="n">
        <v>46077</v>
      </c>
      <c r="D157" t="inlineStr">
        <is>
          <t>STOCKHOLMS LÄN</t>
        </is>
      </c>
      <c r="E157" t="inlineStr">
        <is>
          <t>NORRTÄLJE</t>
        </is>
      </c>
      <c r="G157" t="n">
        <v>3</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46077</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24977-2022</t>
        </is>
      </c>
      <c r="B159" s="1" t="n">
        <v>44728.73465277778</v>
      </c>
      <c r="C159" s="1" t="n">
        <v>46077</v>
      </c>
      <c r="D159" t="inlineStr">
        <is>
          <t>STOCKHOLMS LÄN</t>
        </is>
      </c>
      <c r="E159" t="inlineStr">
        <is>
          <t>NORRTÄLJE</t>
        </is>
      </c>
      <c r="F159" t="inlineStr">
        <is>
          <t>Kyrkan</t>
        </is>
      </c>
      <c r="G159" t="n">
        <v>1</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46077</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37815-2022</t>
        </is>
      </c>
      <c r="B161" s="1" t="n">
        <v>44810.85092592592</v>
      </c>
      <c r="C161" s="1" t="n">
        <v>46077</v>
      </c>
      <c r="D161" t="inlineStr">
        <is>
          <t>STOCKHOLMS LÄN</t>
        </is>
      </c>
      <c r="E161" t="inlineStr">
        <is>
          <t>NORRTÄLJE</t>
        </is>
      </c>
      <c r="G161" t="n">
        <v>1.3</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46077</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43374-2022</t>
        </is>
      </c>
      <c r="B163" s="1" t="n">
        <v>44834</v>
      </c>
      <c r="C163" s="1" t="n">
        <v>46077</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19283-2021</t>
        </is>
      </c>
      <c r="B164" s="1" t="n">
        <v>44309.47061342592</v>
      </c>
      <c r="C164" s="1" t="n">
        <v>46077</v>
      </c>
      <c r="D164" t="inlineStr">
        <is>
          <t>STOCKHOLMS LÄN</t>
        </is>
      </c>
      <c r="E164" t="inlineStr">
        <is>
          <t>NORRTÄLJE</t>
        </is>
      </c>
      <c r="F164" t="inlineStr">
        <is>
          <t>Holmen skog AB</t>
        </is>
      </c>
      <c r="G164" t="n">
        <v>0.6</v>
      </c>
      <c r="H164" t="n">
        <v>0</v>
      </c>
      <c r="I164" t="n">
        <v>0</v>
      </c>
      <c r="J164" t="n">
        <v>0</v>
      </c>
      <c r="K164" t="n">
        <v>0</v>
      </c>
      <c r="L164" t="n">
        <v>0</v>
      </c>
      <c r="M164" t="n">
        <v>0</v>
      </c>
      <c r="N164" t="n">
        <v>0</v>
      </c>
      <c r="O164" t="n">
        <v>0</v>
      </c>
      <c r="P164" t="n">
        <v>0</v>
      </c>
      <c r="Q164" t="n">
        <v>0</v>
      </c>
      <c r="R164" s="2" t="inlineStr"/>
    </row>
    <row r="165" ht="15" customHeight="1">
      <c r="A165" t="inlineStr">
        <is>
          <t>A 73855-2021</t>
        </is>
      </c>
      <c r="B165" s="1" t="n">
        <v>44552</v>
      </c>
      <c r="C165" s="1" t="n">
        <v>46077</v>
      </c>
      <c r="D165" t="inlineStr">
        <is>
          <t>STOCKHOLMS LÄN</t>
        </is>
      </c>
      <c r="E165" t="inlineStr">
        <is>
          <t>NORRTÄLJE</t>
        </is>
      </c>
      <c r="F165" t="inlineStr">
        <is>
          <t>Övriga Aktiebolag</t>
        </is>
      </c>
      <c r="G165" t="n">
        <v>4</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46077</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46077</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46077</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11821-2022</t>
        </is>
      </c>
      <c r="B169" s="1" t="n">
        <v>44634</v>
      </c>
      <c r="C169" s="1" t="n">
        <v>46077</v>
      </c>
      <c r="D169" t="inlineStr">
        <is>
          <t>STOCKHOLMS LÄN</t>
        </is>
      </c>
      <c r="E169" t="inlineStr">
        <is>
          <t>NORRTÄLJE</t>
        </is>
      </c>
      <c r="G169" t="n">
        <v>1.1</v>
      </c>
      <c r="H169" t="n">
        <v>0</v>
      </c>
      <c r="I169" t="n">
        <v>0</v>
      </c>
      <c r="J169" t="n">
        <v>0</v>
      </c>
      <c r="K169" t="n">
        <v>0</v>
      </c>
      <c r="L169" t="n">
        <v>0</v>
      </c>
      <c r="M169" t="n">
        <v>0</v>
      </c>
      <c r="N169" t="n">
        <v>0</v>
      </c>
      <c r="O169" t="n">
        <v>0</v>
      </c>
      <c r="P169" t="n">
        <v>0</v>
      </c>
      <c r="Q169" t="n">
        <v>0</v>
      </c>
      <c r="R169" s="2" t="inlineStr"/>
    </row>
    <row r="170" ht="15" customHeight="1">
      <c r="A170" t="inlineStr">
        <is>
          <t>A 2977-2022</t>
        </is>
      </c>
      <c r="B170" s="1" t="n">
        <v>44581.75819444445</v>
      </c>
      <c r="C170" s="1" t="n">
        <v>46077</v>
      </c>
      <c r="D170" t="inlineStr">
        <is>
          <t>STOCKHOLMS LÄN</t>
        </is>
      </c>
      <c r="E170" t="inlineStr">
        <is>
          <t>NORRTÄLJE</t>
        </is>
      </c>
      <c r="G170" t="n">
        <v>0.9</v>
      </c>
      <c r="H170" t="n">
        <v>0</v>
      </c>
      <c r="I170" t="n">
        <v>0</v>
      </c>
      <c r="J170" t="n">
        <v>0</v>
      </c>
      <c r="K170" t="n">
        <v>0</v>
      </c>
      <c r="L170" t="n">
        <v>0</v>
      </c>
      <c r="M170" t="n">
        <v>0</v>
      </c>
      <c r="N170" t="n">
        <v>0</v>
      </c>
      <c r="O170" t="n">
        <v>0</v>
      </c>
      <c r="P170" t="n">
        <v>0</v>
      </c>
      <c r="Q170" t="n">
        <v>0</v>
      </c>
      <c r="R170" s="2" t="inlineStr"/>
    </row>
    <row r="171" ht="15" customHeight="1">
      <c r="A171" t="inlineStr">
        <is>
          <t>A 31807-2022</t>
        </is>
      </c>
      <c r="B171" s="1" t="n">
        <v>44776</v>
      </c>
      <c r="C171" s="1" t="n">
        <v>46077</v>
      </c>
      <c r="D171" t="inlineStr">
        <is>
          <t>STOCKHOLMS LÄN</t>
        </is>
      </c>
      <c r="E171" t="inlineStr">
        <is>
          <t>NORRTÄLJE</t>
        </is>
      </c>
      <c r="G171" t="n">
        <v>2.5</v>
      </c>
      <c r="H171" t="n">
        <v>0</v>
      </c>
      <c r="I171" t="n">
        <v>0</v>
      </c>
      <c r="J171" t="n">
        <v>0</v>
      </c>
      <c r="K171" t="n">
        <v>0</v>
      </c>
      <c r="L171" t="n">
        <v>0</v>
      </c>
      <c r="M171" t="n">
        <v>0</v>
      </c>
      <c r="N171" t="n">
        <v>0</v>
      </c>
      <c r="O171" t="n">
        <v>0</v>
      </c>
      <c r="P171" t="n">
        <v>0</v>
      </c>
      <c r="Q171" t="n">
        <v>0</v>
      </c>
      <c r="R171" s="2" t="inlineStr"/>
    </row>
    <row r="172" ht="15" customHeight="1">
      <c r="A172" t="inlineStr">
        <is>
          <t>A 71876-2021</t>
        </is>
      </c>
      <c r="B172" s="1" t="n">
        <v>44543</v>
      </c>
      <c r="C172" s="1" t="n">
        <v>46077</v>
      </c>
      <c r="D172" t="inlineStr">
        <is>
          <t>STOCKHOLMS LÄN</t>
        </is>
      </c>
      <c r="E172" t="inlineStr">
        <is>
          <t>NORRTÄLJE</t>
        </is>
      </c>
      <c r="G172" t="n">
        <v>2.8</v>
      </c>
      <c r="H172" t="n">
        <v>0</v>
      </c>
      <c r="I172" t="n">
        <v>0</v>
      </c>
      <c r="J172" t="n">
        <v>0</v>
      </c>
      <c r="K172" t="n">
        <v>0</v>
      </c>
      <c r="L172" t="n">
        <v>0</v>
      </c>
      <c r="M172" t="n">
        <v>0</v>
      </c>
      <c r="N172" t="n">
        <v>0</v>
      </c>
      <c r="O172" t="n">
        <v>0</v>
      </c>
      <c r="P172" t="n">
        <v>0</v>
      </c>
      <c r="Q172" t="n">
        <v>0</v>
      </c>
      <c r="R172" s="2" t="inlineStr"/>
    </row>
    <row r="173" ht="15" customHeight="1">
      <c r="A173" t="inlineStr">
        <is>
          <t>A 71878-2021</t>
        </is>
      </c>
      <c r="B173" s="1" t="n">
        <v>44543</v>
      </c>
      <c r="C173" s="1" t="n">
        <v>46077</v>
      </c>
      <c r="D173" t="inlineStr">
        <is>
          <t>STOCKHOLMS LÄN</t>
        </is>
      </c>
      <c r="E173" t="inlineStr">
        <is>
          <t>NORRTÄLJE</t>
        </is>
      </c>
      <c r="G173" t="n">
        <v>1.2</v>
      </c>
      <c r="H173" t="n">
        <v>0</v>
      </c>
      <c r="I173" t="n">
        <v>0</v>
      </c>
      <c r="J173" t="n">
        <v>0</v>
      </c>
      <c r="K173" t="n">
        <v>0</v>
      </c>
      <c r="L173" t="n">
        <v>0</v>
      </c>
      <c r="M173" t="n">
        <v>0</v>
      </c>
      <c r="N173" t="n">
        <v>0</v>
      </c>
      <c r="O173" t="n">
        <v>0</v>
      </c>
      <c r="P173" t="n">
        <v>0</v>
      </c>
      <c r="Q173" t="n">
        <v>0</v>
      </c>
      <c r="R173" s="2" t="inlineStr"/>
    </row>
    <row r="174" ht="15" customHeight="1">
      <c r="A174" t="inlineStr">
        <is>
          <t>A 28209-2022</t>
        </is>
      </c>
      <c r="B174" s="1" t="n">
        <v>44746</v>
      </c>
      <c r="C174" s="1" t="n">
        <v>46077</v>
      </c>
      <c r="D174" t="inlineStr">
        <is>
          <t>STOCKHOLMS LÄN</t>
        </is>
      </c>
      <c r="E174" t="inlineStr">
        <is>
          <t>NORRTÄLJE</t>
        </is>
      </c>
      <c r="G174" t="n">
        <v>0.6</v>
      </c>
      <c r="H174" t="n">
        <v>0</v>
      </c>
      <c r="I174" t="n">
        <v>0</v>
      </c>
      <c r="J174" t="n">
        <v>0</v>
      </c>
      <c r="K174" t="n">
        <v>0</v>
      </c>
      <c r="L174" t="n">
        <v>0</v>
      </c>
      <c r="M174" t="n">
        <v>0</v>
      </c>
      <c r="N174" t="n">
        <v>0</v>
      </c>
      <c r="O174" t="n">
        <v>0</v>
      </c>
      <c r="P174" t="n">
        <v>0</v>
      </c>
      <c r="Q174" t="n">
        <v>0</v>
      </c>
      <c r="R174" s="2" t="inlineStr"/>
    </row>
    <row r="175" ht="15" customHeight="1">
      <c r="A175" t="inlineStr">
        <is>
          <t>A 60186-2021</t>
        </is>
      </c>
      <c r="B175" s="1" t="n">
        <v>44495</v>
      </c>
      <c r="C175" s="1" t="n">
        <v>46077</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28959-2022</t>
        </is>
      </c>
      <c r="B176" s="1" t="n">
        <v>44749.61980324074</v>
      </c>
      <c r="C176" s="1" t="n">
        <v>46077</v>
      </c>
      <c r="D176" t="inlineStr">
        <is>
          <t>STOCKHOLMS LÄN</t>
        </is>
      </c>
      <c r="E176" t="inlineStr">
        <is>
          <t>NORRTÄLJE</t>
        </is>
      </c>
      <c r="G176" t="n">
        <v>5.2</v>
      </c>
      <c r="H176" t="n">
        <v>0</v>
      </c>
      <c r="I176" t="n">
        <v>0</v>
      </c>
      <c r="J176" t="n">
        <v>0</v>
      </c>
      <c r="K176" t="n">
        <v>0</v>
      </c>
      <c r="L176" t="n">
        <v>0</v>
      </c>
      <c r="M176" t="n">
        <v>0</v>
      </c>
      <c r="N176" t="n">
        <v>0</v>
      </c>
      <c r="O176" t="n">
        <v>0</v>
      </c>
      <c r="P176" t="n">
        <v>0</v>
      </c>
      <c r="Q176" t="n">
        <v>0</v>
      </c>
      <c r="R176" s="2" t="inlineStr"/>
    </row>
    <row r="177" ht="15" customHeight="1">
      <c r="A177" t="inlineStr">
        <is>
          <t>A 72308-2021</t>
        </is>
      </c>
      <c r="B177" s="1" t="n">
        <v>44545.4189699074</v>
      </c>
      <c r="C177" s="1" t="n">
        <v>46077</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18609-2021</t>
        </is>
      </c>
      <c r="B178" s="1" t="n">
        <v>44306</v>
      </c>
      <c r="C178" s="1" t="n">
        <v>46077</v>
      </c>
      <c r="D178" t="inlineStr">
        <is>
          <t>STOCKHOLMS LÄN</t>
        </is>
      </c>
      <c r="E178" t="inlineStr">
        <is>
          <t>NORRTÄLJE</t>
        </is>
      </c>
      <c r="G178" t="n">
        <v>9.5</v>
      </c>
      <c r="H178" t="n">
        <v>0</v>
      </c>
      <c r="I178" t="n">
        <v>0</v>
      </c>
      <c r="J178" t="n">
        <v>0</v>
      </c>
      <c r="K178" t="n">
        <v>0</v>
      </c>
      <c r="L178" t="n">
        <v>0</v>
      </c>
      <c r="M178" t="n">
        <v>0</v>
      </c>
      <c r="N178" t="n">
        <v>0</v>
      </c>
      <c r="O178" t="n">
        <v>0</v>
      </c>
      <c r="P178" t="n">
        <v>0</v>
      </c>
      <c r="Q178" t="n">
        <v>0</v>
      </c>
      <c r="R178" s="2" t="inlineStr"/>
    </row>
    <row r="179" ht="15" customHeight="1">
      <c r="A179" t="inlineStr">
        <is>
          <t>A 48492-2022</t>
        </is>
      </c>
      <c r="B179" s="1" t="n">
        <v>44858</v>
      </c>
      <c r="C179" s="1" t="n">
        <v>46077</v>
      </c>
      <c r="D179" t="inlineStr">
        <is>
          <t>STOCKHOLMS LÄN</t>
        </is>
      </c>
      <c r="E179" t="inlineStr">
        <is>
          <t>NORRTÄLJE</t>
        </is>
      </c>
      <c r="G179" t="n">
        <v>0.7</v>
      </c>
      <c r="H179" t="n">
        <v>0</v>
      </c>
      <c r="I179" t="n">
        <v>0</v>
      </c>
      <c r="J179" t="n">
        <v>0</v>
      </c>
      <c r="K179" t="n">
        <v>0</v>
      </c>
      <c r="L179" t="n">
        <v>0</v>
      </c>
      <c r="M179" t="n">
        <v>0</v>
      </c>
      <c r="N179" t="n">
        <v>0</v>
      </c>
      <c r="O179" t="n">
        <v>0</v>
      </c>
      <c r="P179" t="n">
        <v>0</v>
      </c>
      <c r="Q179" t="n">
        <v>0</v>
      </c>
      <c r="R179" s="2" t="inlineStr"/>
    </row>
    <row r="180" ht="15" customHeight="1">
      <c r="A180" t="inlineStr">
        <is>
          <t>A 54340-2022</t>
        </is>
      </c>
      <c r="B180" s="1" t="n">
        <v>44882.44732638889</v>
      </c>
      <c r="C180" s="1" t="n">
        <v>46077</v>
      </c>
      <c r="D180" t="inlineStr">
        <is>
          <t>STOCKHOLMS LÄN</t>
        </is>
      </c>
      <c r="E180" t="inlineStr">
        <is>
          <t>NORRTÄLJE</t>
        </is>
      </c>
      <c r="G180" t="n">
        <v>6.7</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46077</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18905-2022</t>
        </is>
      </c>
      <c r="B182" s="1" t="n">
        <v>44690</v>
      </c>
      <c r="C182" s="1" t="n">
        <v>46077</v>
      </c>
      <c r="D182" t="inlineStr">
        <is>
          <t>STOCKHOLMS LÄN</t>
        </is>
      </c>
      <c r="E182" t="inlineStr">
        <is>
          <t>NORRTÄLJE</t>
        </is>
      </c>
      <c r="G182" t="n">
        <v>0.7</v>
      </c>
      <c r="H182" t="n">
        <v>0</v>
      </c>
      <c r="I182" t="n">
        <v>0</v>
      </c>
      <c r="J182" t="n">
        <v>0</v>
      </c>
      <c r="K182" t="n">
        <v>0</v>
      </c>
      <c r="L182" t="n">
        <v>0</v>
      </c>
      <c r="M182" t="n">
        <v>0</v>
      </c>
      <c r="N182" t="n">
        <v>0</v>
      </c>
      <c r="O182" t="n">
        <v>0</v>
      </c>
      <c r="P182" t="n">
        <v>0</v>
      </c>
      <c r="Q182" t="n">
        <v>0</v>
      </c>
      <c r="R182" s="2" t="inlineStr"/>
    </row>
    <row r="183" ht="15" customHeight="1">
      <c r="A183" t="inlineStr">
        <is>
          <t>A 54355-2022</t>
        </is>
      </c>
      <c r="B183" s="1" t="n">
        <v>44882</v>
      </c>
      <c r="C183" s="1" t="n">
        <v>46077</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46077</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17703-2021</t>
        </is>
      </c>
      <c r="B185" s="1" t="n">
        <v>44300</v>
      </c>
      <c r="C185" s="1" t="n">
        <v>46077</v>
      </c>
      <c r="D185" t="inlineStr">
        <is>
          <t>STOCKHOLMS LÄN</t>
        </is>
      </c>
      <c r="E185" t="inlineStr">
        <is>
          <t>NORRTÄLJE</t>
        </is>
      </c>
      <c r="F185" t="inlineStr">
        <is>
          <t>Holmen skog AB</t>
        </is>
      </c>
      <c r="G185" t="n">
        <v>1.1</v>
      </c>
      <c r="H185" t="n">
        <v>0</v>
      </c>
      <c r="I185" t="n">
        <v>0</v>
      </c>
      <c r="J185" t="n">
        <v>0</v>
      </c>
      <c r="K185" t="n">
        <v>0</v>
      </c>
      <c r="L185" t="n">
        <v>0</v>
      </c>
      <c r="M185" t="n">
        <v>0</v>
      </c>
      <c r="N185" t="n">
        <v>0</v>
      </c>
      <c r="O185" t="n">
        <v>0</v>
      </c>
      <c r="P185" t="n">
        <v>0</v>
      </c>
      <c r="Q185" t="n">
        <v>0</v>
      </c>
      <c r="R185" s="2" t="inlineStr"/>
    </row>
    <row r="186" ht="15" customHeight="1">
      <c r="A186" t="inlineStr">
        <is>
          <t>A 60822-2021</t>
        </is>
      </c>
      <c r="B186" s="1" t="n">
        <v>44496</v>
      </c>
      <c r="C186" s="1" t="n">
        <v>46077</v>
      </c>
      <c r="D186" t="inlineStr">
        <is>
          <t>STOCKHOLMS LÄN</t>
        </is>
      </c>
      <c r="E186" t="inlineStr">
        <is>
          <t>NORRTÄLJE</t>
        </is>
      </c>
      <c r="G186" t="n">
        <v>7.6</v>
      </c>
      <c r="H186" t="n">
        <v>0</v>
      </c>
      <c r="I186" t="n">
        <v>0</v>
      </c>
      <c r="J186" t="n">
        <v>0</v>
      </c>
      <c r="K186" t="n">
        <v>0</v>
      </c>
      <c r="L186" t="n">
        <v>0</v>
      </c>
      <c r="M186" t="n">
        <v>0</v>
      </c>
      <c r="N186" t="n">
        <v>0</v>
      </c>
      <c r="O186" t="n">
        <v>0</v>
      </c>
      <c r="P186" t="n">
        <v>0</v>
      </c>
      <c r="Q186" t="n">
        <v>0</v>
      </c>
      <c r="R186" s="2" t="inlineStr"/>
    </row>
    <row r="187" ht="15" customHeight="1">
      <c r="A187" t="inlineStr">
        <is>
          <t>A 20073-2021</t>
        </is>
      </c>
      <c r="B187" s="1" t="n">
        <v>44314</v>
      </c>
      <c r="C187" s="1" t="n">
        <v>46077</v>
      </c>
      <c r="D187" t="inlineStr">
        <is>
          <t>STOCKHOLMS LÄN</t>
        </is>
      </c>
      <c r="E187" t="inlineStr">
        <is>
          <t>NORRTÄLJE</t>
        </is>
      </c>
      <c r="G187" t="n">
        <v>4.6</v>
      </c>
      <c r="H187" t="n">
        <v>0</v>
      </c>
      <c r="I187" t="n">
        <v>0</v>
      </c>
      <c r="J187" t="n">
        <v>0</v>
      </c>
      <c r="K187" t="n">
        <v>0</v>
      </c>
      <c r="L187" t="n">
        <v>0</v>
      </c>
      <c r="M187" t="n">
        <v>0</v>
      </c>
      <c r="N187" t="n">
        <v>0</v>
      </c>
      <c r="O187" t="n">
        <v>0</v>
      </c>
      <c r="P187" t="n">
        <v>0</v>
      </c>
      <c r="Q187" t="n">
        <v>0</v>
      </c>
      <c r="R187" s="2" t="inlineStr"/>
    </row>
    <row r="188" ht="15" customHeight="1">
      <c r="A188" t="inlineStr">
        <is>
          <t>A 14381-2021</t>
        </is>
      </c>
      <c r="B188" s="1" t="n">
        <v>44279</v>
      </c>
      <c r="C188" s="1" t="n">
        <v>46077</v>
      </c>
      <c r="D188" t="inlineStr">
        <is>
          <t>STOCKHOLMS LÄN</t>
        </is>
      </c>
      <c r="E188" t="inlineStr">
        <is>
          <t>NORRTÄLJE</t>
        </is>
      </c>
      <c r="G188" t="n">
        <v>0.9</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46077</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10711-2022</t>
        </is>
      </c>
      <c r="B190" s="1" t="n">
        <v>44626</v>
      </c>
      <c r="C190" s="1" t="n">
        <v>46077</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46077</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46077</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64212-2021</t>
        </is>
      </c>
      <c r="B193" s="1" t="n">
        <v>44510</v>
      </c>
      <c r="C193" s="1" t="n">
        <v>46077</v>
      </c>
      <c r="D193" t="inlineStr">
        <is>
          <t>STOCKHOLMS LÄN</t>
        </is>
      </c>
      <c r="E193" t="inlineStr">
        <is>
          <t>NORRTÄLJE</t>
        </is>
      </c>
      <c r="G193" t="n">
        <v>28.7</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46077</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46077</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46077</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46077</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46077</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64628-2021</t>
        </is>
      </c>
      <c r="B199" s="1" t="n">
        <v>44511</v>
      </c>
      <c r="C199" s="1" t="n">
        <v>46077</v>
      </c>
      <c r="D199" t="inlineStr">
        <is>
          <t>STOCKHOLMS LÄN</t>
        </is>
      </c>
      <c r="E199" t="inlineStr">
        <is>
          <t>NORRTÄLJE</t>
        </is>
      </c>
      <c r="G199" t="n">
        <v>0.7</v>
      </c>
      <c r="H199" t="n">
        <v>0</v>
      </c>
      <c r="I199" t="n">
        <v>0</v>
      </c>
      <c r="J199" t="n">
        <v>0</v>
      </c>
      <c r="K199" t="n">
        <v>0</v>
      </c>
      <c r="L199" t="n">
        <v>0</v>
      </c>
      <c r="M199" t="n">
        <v>0</v>
      </c>
      <c r="N199" t="n">
        <v>0</v>
      </c>
      <c r="O199" t="n">
        <v>0</v>
      </c>
      <c r="P199" t="n">
        <v>0</v>
      </c>
      <c r="Q199" t="n">
        <v>0</v>
      </c>
      <c r="R199" s="2" t="inlineStr"/>
    </row>
    <row r="200" ht="15" customHeight="1">
      <c r="A200" t="inlineStr">
        <is>
          <t>A 60209-2021</t>
        </is>
      </c>
      <c r="B200" s="1" t="n">
        <v>44495</v>
      </c>
      <c r="C200" s="1" t="n">
        <v>46077</v>
      </c>
      <c r="D200" t="inlineStr">
        <is>
          <t>STOCKHOLMS LÄN</t>
        </is>
      </c>
      <c r="E200" t="inlineStr">
        <is>
          <t>NORRTÄLJE</t>
        </is>
      </c>
      <c r="G200" t="n">
        <v>4.3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46077</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64599-2021</t>
        </is>
      </c>
      <c r="B202" s="1" t="n">
        <v>44511.69885416667</v>
      </c>
      <c r="C202" s="1" t="n">
        <v>46077</v>
      </c>
      <c r="D202" t="inlineStr">
        <is>
          <t>STOCKHOLMS LÄN</t>
        </is>
      </c>
      <c r="E202" t="inlineStr">
        <is>
          <t>NORRTÄLJE</t>
        </is>
      </c>
      <c r="G202" t="n">
        <v>1.1</v>
      </c>
      <c r="H202" t="n">
        <v>0</v>
      </c>
      <c r="I202" t="n">
        <v>0</v>
      </c>
      <c r="J202" t="n">
        <v>0</v>
      </c>
      <c r="K202" t="n">
        <v>0</v>
      </c>
      <c r="L202" t="n">
        <v>0</v>
      </c>
      <c r="M202" t="n">
        <v>0</v>
      </c>
      <c r="N202" t="n">
        <v>0</v>
      </c>
      <c r="O202" t="n">
        <v>0</v>
      </c>
      <c r="P202" t="n">
        <v>0</v>
      </c>
      <c r="Q202" t="n">
        <v>0</v>
      </c>
      <c r="R202" s="2" t="inlineStr"/>
    </row>
    <row r="203" ht="15" customHeight="1">
      <c r="A203" t="inlineStr">
        <is>
          <t>A 17777-2022</t>
        </is>
      </c>
      <c r="B203" s="1" t="n">
        <v>44682.79203703703</v>
      </c>
      <c r="C203" s="1" t="n">
        <v>46077</v>
      </c>
      <c r="D203" t="inlineStr">
        <is>
          <t>STOCKHOLMS LÄN</t>
        </is>
      </c>
      <c r="E203" t="inlineStr">
        <is>
          <t>NORRTÄLJE</t>
        </is>
      </c>
      <c r="G203" t="n">
        <v>3.7</v>
      </c>
      <c r="H203" t="n">
        <v>0</v>
      </c>
      <c r="I203" t="n">
        <v>0</v>
      </c>
      <c r="J203" t="n">
        <v>0</v>
      </c>
      <c r="K203" t="n">
        <v>0</v>
      </c>
      <c r="L203" t="n">
        <v>0</v>
      </c>
      <c r="M203" t="n">
        <v>0</v>
      </c>
      <c r="N203" t="n">
        <v>0</v>
      </c>
      <c r="O203" t="n">
        <v>0</v>
      </c>
      <c r="P203" t="n">
        <v>0</v>
      </c>
      <c r="Q203" t="n">
        <v>0</v>
      </c>
      <c r="R203" s="2" t="inlineStr"/>
    </row>
    <row r="204" ht="15" customHeight="1">
      <c r="A204" t="inlineStr">
        <is>
          <t>A 23123-2021</t>
        </is>
      </c>
      <c r="B204" s="1" t="n">
        <v>44330</v>
      </c>
      <c r="C204" s="1" t="n">
        <v>46077</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46077</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44274-2021</t>
        </is>
      </c>
      <c r="B206" s="1" t="n">
        <v>44435</v>
      </c>
      <c r="C206" s="1" t="n">
        <v>46077</v>
      </c>
      <c r="D206" t="inlineStr">
        <is>
          <t>STOCKHOLMS LÄN</t>
        </is>
      </c>
      <c r="E206" t="inlineStr">
        <is>
          <t>NORRTÄLJE</t>
        </is>
      </c>
      <c r="G206" t="n">
        <v>1</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46077</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46077</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65611-2021</t>
        </is>
      </c>
      <c r="B209" s="1" t="n">
        <v>44516.5275462963</v>
      </c>
      <c r="C209" s="1" t="n">
        <v>46077</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46077</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46077</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46077</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39497-2021</t>
        </is>
      </c>
      <c r="B213" s="1" t="n">
        <v>44414.81494212963</v>
      </c>
      <c r="C213" s="1" t="n">
        <v>46077</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22316-2022</t>
        </is>
      </c>
      <c r="B214" s="1" t="n">
        <v>44712.83118055556</v>
      </c>
      <c r="C214" s="1" t="n">
        <v>46077</v>
      </c>
      <c r="D214" t="inlineStr">
        <is>
          <t>STOCKHOLMS LÄN</t>
        </is>
      </c>
      <c r="E214" t="inlineStr">
        <is>
          <t>NORRTÄLJE</t>
        </is>
      </c>
      <c r="G214" t="n">
        <v>6.3</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46077</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46077</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46077</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46077</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34431-2021</t>
        </is>
      </c>
      <c r="B219" s="1" t="n">
        <v>44380</v>
      </c>
      <c r="C219" s="1" t="n">
        <v>46077</v>
      </c>
      <c r="D219" t="inlineStr">
        <is>
          <t>STOCKHOLMS LÄN</t>
        </is>
      </c>
      <c r="E219" t="inlineStr">
        <is>
          <t>NORRTÄLJE</t>
        </is>
      </c>
      <c r="G219" t="n">
        <v>3</v>
      </c>
      <c r="H219" t="n">
        <v>0</v>
      </c>
      <c r="I219" t="n">
        <v>0</v>
      </c>
      <c r="J219" t="n">
        <v>0</v>
      </c>
      <c r="K219" t="n">
        <v>0</v>
      </c>
      <c r="L219" t="n">
        <v>0</v>
      </c>
      <c r="M219" t="n">
        <v>0</v>
      </c>
      <c r="N219" t="n">
        <v>0</v>
      </c>
      <c r="O219" t="n">
        <v>0</v>
      </c>
      <c r="P219" t="n">
        <v>0</v>
      </c>
      <c r="Q219" t="n">
        <v>0</v>
      </c>
      <c r="R219" s="2" t="inlineStr"/>
    </row>
    <row r="220" ht="15" customHeight="1">
      <c r="A220" t="inlineStr">
        <is>
          <t>A 9467-2021</t>
        </is>
      </c>
      <c r="B220" s="1" t="n">
        <v>44251.43971064815</v>
      </c>
      <c r="C220" s="1" t="n">
        <v>46077</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5351-2022</t>
        </is>
      </c>
      <c r="B221" s="1" t="n">
        <v>44594.75950231482</v>
      </c>
      <c r="C221" s="1" t="n">
        <v>46077</v>
      </c>
      <c r="D221" t="inlineStr">
        <is>
          <t>STOCKHOLMS LÄN</t>
        </is>
      </c>
      <c r="E221" t="inlineStr">
        <is>
          <t>NORRTÄLJE</t>
        </is>
      </c>
      <c r="G221" t="n">
        <v>4</v>
      </c>
      <c r="H221" t="n">
        <v>0</v>
      </c>
      <c r="I221" t="n">
        <v>0</v>
      </c>
      <c r="J221" t="n">
        <v>0</v>
      </c>
      <c r="K221" t="n">
        <v>0</v>
      </c>
      <c r="L221" t="n">
        <v>0</v>
      </c>
      <c r="M221" t="n">
        <v>0</v>
      </c>
      <c r="N221" t="n">
        <v>0</v>
      </c>
      <c r="O221" t="n">
        <v>0</v>
      </c>
      <c r="P221" t="n">
        <v>0</v>
      </c>
      <c r="Q221" t="n">
        <v>0</v>
      </c>
      <c r="R221" s="2" t="inlineStr"/>
    </row>
    <row r="222" ht="15" customHeight="1">
      <c r="A222" t="inlineStr">
        <is>
          <t>A 12816-2022</t>
        </is>
      </c>
      <c r="B222" s="1" t="n">
        <v>44642</v>
      </c>
      <c r="C222" s="1" t="n">
        <v>46077</v>
      </c>
      <c r="D222" t="inlineStr">
        <is>
          <t>STOCKHOLMS LÄN</t>
        </is>
      </c>
      <c r="E222" t="inlineStr">
        <is>
          <t>NORRTÄLJE</t>
        </is>
      </c>
      <c r="G222" t="n">
        <v>4.4</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46077</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46077</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53884-2022</t>
        </is>
      </c>
      <c r="B225" s="1" t="n">
        <v>44880.68423611111</v>
      </c>
      <c r="C225" s="1" t="n">
        <v>46077</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12357-2022</t>
        </is>
      </c>
      <c r="B226" s="1" t="n">
        <v>44637</v>
      </c>
      <c r="C226" s="1" t="n">
        <v>46077</v>
      </c>
      <c r="D226" t="inlineStr">
        <is>
          <t>STOCKHOLMS LÄN</t>
        </is>
      </c>
      <c r="E226" t="inlineStr">
        <is>
          <t>NORRTÄLJE</t>
        </is>
      </c>
      <c r="G226" t="n">
        <v>1</v>
      </c>
      <c r="H226" t="n">
        <v>0</v>
      </c>
      <c r="I226" t="n">
        <v>0</v>
      </c>
      <c r="J226" t="n">
        <v>0</v>
      </c>
      <c r="K226" t="n">
        <v>0</v>
      </c>
      <c r="L226" t="n">
        <v>0</v>
      </c>
      <c r="M226" t="n">
        <v>0</v>
      </c>
      <c r="N226" t="n">
        <v>0</v>
      </c>
      <c r="O226" t="n">
        <v>0</v>
      </c>
      <c r="P226" t="n">
        <v>0</v>
      </c>
      <c r="Q226" t="n">
        <v>0</v>
      </c>
      <c r="R226" s="2" t="inlineStr"/>
    </row>
    <row r="227" ht="15" customHeight="1">
      <c r="A227" t="inlineStr">
        <is>
          <t>A 26335-2022</t>
        </is>
      </c>
      <c r="B227" s="1" t="n">
        <v>44735</v>
      </c>
      <c r="C227" s="1" t="n">
        <v>46077</v>
      </c>
      <c r="D227" t="inlineStr">
        <is>
          <t>STOCKHOLMS LÄN</t>
        </is>
      </c>
      <c r="E227" t="inlineStr">
        <is>
          <t>NORRTÄLJE</t>
        </is>
      </c>
      <c r="G227" t="n">
        <v>3.3</v>
      </c>
      <c r="H227" t="n">
        <v>0</v>
      </c>
      <c r="I227" t="n">
        <v>0</v>
      </c>
      <c r="J227" t="n">
        <v>0</v>
      </c>
      <c r="K227" t="n">
        <v>0</v>
      </c>
      <c r="L227" t="n">
        <v>0</v>
      </c>
      <c r="M227" t="n">
        <v>0</v>
      </c>
      <c r="N227" t="n">
        <v>0</v>
      </c>
      <c r="O227" t="n">
        <v>0</v>
      </c>
      <c r="P227" t="n">
        <v>0</v>
      </c>
      <c r="Q227" t="n">
        <v>0</v>
      </c>
      <c r="R227" s="2" t="inlineStr"/>
    </row>
    <row r="228" ht="15" customHeight="1">
      <c r="A228" t="inlineStr">
        <is>
          <t>A 21723-2022</t>
        </is>
      </c>
      <c r="B228" s="1" t="n">
        <v>44708</v>
      </c>
      <c r="C228" s="1" t="n">
        <v>46077</v>
      </c>
      <c r="D228" t="inlineStr">
        <is>
          <t>STOCKHOLMS LÄN</t>
        </is>
      </c>
      <c r="E228" t="inlineStr">
        <is>
          <t>NORRTÄLJE</t>
        </is>
      </c>
      <c r="G228" t="n">
        <v>0.3</v>
      </c>
      <c r="H228" t="n">
        <v>0</v>
      </c>
      <c r="I228" t="n">
        <v>0</v>
      </c>
      <c r="J228" t="n">
        <v>0</v>
      </c>
      <c r="K228" t="n">
        <v>0</v>
      </c>
      <c r="L228" t="n">
        <v>0</v>
      </c>
      <c r="M228" t="n">
        <v>0</v>
      </c>
      <c r="N228" t="n">
        <v>0</v>
      </c>
      <c r="O228" t="n">
        <v>0</v>
      </c>
      <c r="P228" t="n">
        <v>0</v>
      </c>
      <c r="Q228" t="n">
        <v>0</v>
      </c>
      <c r="R228" s="2" t="inlineStr"/>
    </row>
    <row r="229" ht="15" customHeight="1">
      <c r="A229" t="inlineStr">
        <is>
          <t>A 9988-2022</t>
        </is>
      </c>
      <c r="B229" s="1" t="n">
        <v>44621</v>
      </c>
      <c r="C229" s="1" t="n">
        <v>46077</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46077</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60733-2021</t>
        </is>
      </c>
      <c r="B231" s="1" t="n">
        <v>44496.77542824074</v>
      </c>
      <c r="C231" s="1" t="n">
        <v>46077</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30624-2022</t>
        </is>
      </c>
      <c r="B232" s="1" t="n">
        <v>44763.4182175926</v>
      </c>
      <c r="C232" s="1" t="n">
        <v>46077</v>
      </c>
      <c r="D232" t="inlineStr">
        <is>
          <t>STOCKHOLMS LÄN</t>
        </is>
      </c>
      <c r="E232" t="inlineStr">
        <is>
          <t>NORRTÄLJE</t>
        </is>
      </c>
      <c r="G232" t="n">
        <v>0.7</v>
      </c>
      <c r="H232" t="n">
        <v>0</v>
      </c>
      <c r="I232" t="n">
        <v>0</v>
      </c>
      <c r="J232" t="n">
        <v>0</v>
      </c>
      <c r="K232" t="n">
        <v>0</v>
      </c>
      <c r="L232" t="n">
        <v>0</v>
      </c>
      <c r="M232" t="n">
        <v>0</v>
      </c>
      <c r="N232" t="n">
        <v>0</v>
      </c>
      <c r="O232" t="n">
        <v>0</v>
      </c>
      <c r="P232" t="n">
        <v>0</v>
      </c>
      <c r="Q232" t="n">
        <v>0</v>
      </c>
      <c r="R232" s="2" t="inlineStr"/>
    </row>
    <row r="233" ht="15" customHeight="1">
      <c r="A233" t="inlineStr">
        <is>
          <t>A 15441-2021</t>
        </is>
      </c>
      <c r="B233" s="1" t="n">
        <v>44284</v>
      </c>
      <c r="C233" s="1" t="n">
        <v>46077</v>
      </c>
      <c r="D233" t="inlineStr">
        <is>
          <t>STOCKHOLMS LÄN</t>
        </is>
      </c>
      <c r="E233" t="inlineStr">
        <is>
          <t>NORRTÄLJE</t>
        </is>
      </c>
      <c r="G233" t="n">
        <v>27</v>
      </c>
      <c r="H233" t="n">
        <v>0</v>
      </c>
      <c r="I233" t="n">
        <v>0</v>
      </c>
      <c r="J233" t="n">
        <v>0</v>
      </c>
      <c r="K233" t="n">
        <v>0</v>
      </c>
      <c r="L233" t="n">
        <v>0</v>
      </c>
      <c r="M233" t="n">
        <v>0</v>
      </c>
      <c r="N233" t="n">
        <v>0</v>
      </c>
      <c r="O233" t="n">
        <v>0</v>
      </c>
      <c r="P233" t="n">
        <v>0</v>
      </c>
      <c r="Q233" t="n">
        <v>0</v>
      </c>
      <c r="R233" s="2" t="inlineStr"/>
    </row>
    <row r="234" ht="15" customHeight="1">
      <c r="A234" t="inlineStr">
        <is>
          <t>A 52449-2021</t>
        </is>
      </c>
      <c r="B234" s="1" t="n">
        <v>44466.37496527778</v>
      </c>
      <c r="C234" s="1" t="n">
        <v>46077</v>
      </c>
      <c r="D234" t="inlineStr">
        <is>
          <t>STOCKHOLMS LÄN</t>
        </is>
      </c>
      <c r="E234" t="inlineStr">
        <is>
          <t>NORRTÄLJE</t>
        </is>
      </c>
      <c r="F234" t="inlineStr">
        <is>
          <t>Holmen skog AB</t>
        </is>
      </c>
      <c r="G234" t="n">
        <v>1.8</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46077</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33046-2021</t>
        </is>
      </c>
      <c r="B236" s="1" t="n">
        <v>44376</v>
      </c>
      <c r="C236" s="1" t="n">
        <v>46077</v>
      </c>
      <c r="D236" t="inlineStr">
        <is>
          <t>STOCKHOLMS LÄN</t>
        </is>
      </c>
      <c r="E236" t="inlineStr">
        <is>
          <t>NORRTÄLJE</t>
        </is>
      </c>
      <c r="G236" t="n">
        <v>2.1</v>
      </c>
      <c r="H236" t="n">
        <v>0</v>
      </c>
      <c r="I236" t="n">
        <v>0</v>
      </c>
      <c r="J236" t="n">
        <v>0</v>
      </c>
      <c r="K236" t="n">
        <v>0</v>
      </c>
      <c r="L236" t="n">
        <v>0</v>
      </c>
      <c r="M236" t="n">
        <v>0</v>
      </c>
      <c r="N236" t="n">
        <v>0</v>
      </c>
      <c r="O236" t="n">
        <v>0</v>
      </c>
      <c r="P236" t="n">
        <v>0</v>
      </c>
      <c r="Q236" t="n">
        <v>0</v>
      </c>
      <c r="R236" s="2" t="inlineStr"/>
    </row>
    <row r="237" ht="15" customHeight="1">
      <c r="A237" t="inlineStr">
        <is>
          <t>A 34520-2021</t>
        </is>
      </c>
      <c r="B237" s="1" t="n">
        <v>44379</v>
      </c>
      <c r="C237" s="1" t="n">
        <v>46077</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16119-2022</t>
        </is>
      </c>
      <c r="B238" s="1" t="n">
        <v>44665.66407407408</v>
      </c>
      <c r="C238" s="1" t="n">
        <v>46077</v>
      </c>
      <c r="D238" t="inlineStr">
        <is>
          <t>STOCKHOLMS LÄN</t>
        </is>
      </c>
      <c r="E238" t="inlineStr">
        <is>
          <t>NORRTÄLJE</t>
        </is>
      </c>
      <c r="G238" t="n">
        <v>3.9</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46077</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46077</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24167-2022</t>
        </is>
      </c>
      <c r="B241" s="1" t="n">
        <v>44725.49491898148</v>
      </c>
      <c r="C241" s="1" t="n">
        <v>46077</v>
      </c>
      <c r="D241" t="inlineStr">
        <is>
          <t>STOCKHOLMS LÄN</t>
        </is>
      </c>
      <c r="E241" t="inlineStr">
        <is>
          <t>NORRTÄLJE</t>
        </is>
      </c>
      <c r="G241" t="n">
        <v>3.4</v>
      </c>
      <c r="H241" t="n">
        <v>0</v>
      </c>
      <c r="I241" t="n">
        <v>0</v>
      </c>
      <c r="J241" t="n">
        <v>0</v>
      </c>
      <c r="K241" t="n">
        <v>0</v>
      </c>
      <c r="L241" t="n">
        <v>0</v>
      </c>
      <c r="M241" t="n">
        <v>0</v>
      </c>
      <c r="N241" t="n">
        <v>0</v>
      </c>
      <c r="O241" t="n">
        <v>0</v>
      </c>
      <c r="P241" t="n">
        <v>0</v>
      </c>
      <c r="Q241" t="n">
        <v>0</v>
      </c>
      <c r="R241" s="2" t="inlineStr"/>
    </row>
    <row r="242" ht="15" customHeight="1">
      <c r="A242" t="inlineStr">
        <is>
          <t>A 42396-2021</t>
        </is>
      </c>
      <c r="B242" s="1" t="n">
        <v>44427</v>
      </c>
      <c r="C242" s="1" t="n">
        <v>46077</v>
      </c>
      <c r="D242" t="inlineStr">
        <is>
          <t>STOCKHOLMS LÄN</t>
        </is>
      </c>
      <c r="E242" t="inlineStr">
        <is>
          <t>NORRTÄLJE</t>
        </is>
      </c>
      <c r="G242" t="n">
        <v>2</v>
      </c>
      <c r="H242" t="n">
        <v>0</v>
      </c>
      <c r="I242" t="n">
        <v>0</v>
      </c>
      <c r="J242" t="n">
        <v>0</v>
      </c>
      <c r="K242" t="n">
        <v>0</v>
      </c>
      <c r="L242" t="n">
        <v>0</v>
      </c>
      <c r="M242" t="n">
        <v>0</v>
      </c>
      <c r="N242" t="n">
        <v>0</v>
      </c>
      <c r="O242" t="n">
        <v>0</v>
      </c>
      <c r="P242" t="n">
        <v>0</v>
      </c>
      <c r="Q242" t="n">
        <v>0</v>
      </c>
      <c r="R242" s="2" t="inlineStr"/>
    </row>
    <row r="243" ht="15" customHeight="1">
      <c r="A243" t="inlineStr">
        <is>
          <t>A 12270-2022</t>
        </is>
      </c>
      <c r="B243" s="1" t="n">
        <v>44637</v>
      </c>
      <c r="C243" s="1" t="n">
        <v>46077</v>
      </c>
      <c r="D243" t="inlineStr">
        <is>
          <t>STOCKHOLMS LÄN</t>
        </is>
      </c>
      <c r="E243" t="inlineStr">
        <is>
          <t>NORRTÄLJE</t>
        </is>
      </c>
      <c r="G243" t="n">
        <v>2.3</v>
      </c>
      <c r="H243" t="n">
        <v>0</v>
      </c>
      <c r="I243" t="n">
        <v>0</v>
      </c>
      <c r="J243" t="n">
        <v>0</v>
      </c>
      <c r="K243" t="n">
        <v>0</v>
      </c>
      <c r="L243" t="n">
        <v>0</v>
      </c>
      <c r="M243" t="n">
        <v>0</v>
      </c>
      <c r="N243" t="n">
        <v>0</v>
      </c>
      <c r="O243" t="n">
        <v>0</v>
      </c>
      <c r="P243" t="n">
        <v>0</v>
      </c>
      <c r="Q243" t="n">
        <v>0</v>
      </c>
      <c r="R243" s="2" t="inlineStr"/>
    </row>
    <row r="244" ht="15" customHeight="1">
      <c r="A244" t="inlineStr">
        <is>
          <t>A 14543-2022</t>
        </is>
      </c>
      <c r="B244" s="1" t="n">
        <v>44655.45373842592</v>
      </c>
      <c r="C244" s="1" t="n">
        <v>46077</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46077</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46077</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1229-2022</t>
        </is>
      </c>
      <c r="B247" s="1" t="n">
        <v>44572</v>
      </c>
      <c r="C247" s="1" t="n">
        <v>46077</v>
      </c>
      <c r="D247" t="inlineStr">
        <is>
          <t>STOCKHOLMS LÄN</t>
        </is>
      </c>
      <c r="E247" t="inlineStr">
        <is>
          <t>NORRTÄLJE</t>
        </is>
      </c>
      <c r="G247" t="n">
        <v>11.5</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46077</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46077</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68273-2021</t>
        </is>
      </c>
      <c r="B250" s="1" t="n">
        <v>44526</v>
      </c>
      <c r="C250" s="1" t="n">
        <v>46077</v>
      </c>
      <c r="D250" t="inlineStr">
        <is>
          <t>STOCKHOLMS LÄN</t>
        </is>
      </c>
      <c r="E250" t="inlineStr">
        <is>
          <t>NORRTÄLJE</t>
        </is>
      </c>
      <c r="G250" t="n">
        <v>5.3</v>
      </c>
      <c r="H250" t="n">
        <v>0</v>
      </c>
      <c r="I250" t="n">
        <v>0</v>
      </c>
      <c r="J250" t="n">
        <v>0</v>
      </c>
      <c r="K250" t="n">
        <v>0</v>
      </c>
      <c r="L250" t="n">
        <v>0</v>
      </c>
      <c r="M250" t="n">
        <v>0</v>
      </c>
      <c r="N250" t="n">
        <v>0</v>
      </c>
      <c r="O250" t="n">
        <v>0</v>
      </c>
      <c r="P250" t="n">
        <v>0</v>
      </c>
      <c r="Q250" t="n">
        <v>0</v>
      </c>
      <c r="R250" s="2" t="inlineStr"/>
    </row>
    <row r="251" ht="15" customHeight="1">
      <c r="A251" t="inlineStr">
        <is>
          <t>A 14051-2022</t>
        </is>
      </c>
      <c r="B251" s="1" t="n">
        <v>44650.92714120371</v>
      </c>
      <c r="C251" s="1" t="n">
        <v>46077</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19398-2021</t>
        </is>
      </c>
      <c r="B252" s="1" t="n">
        <v>44309</v>
      </c>
      <c r="C252" s="1" t="n">
        <v>46077</v>
      </c>
      <c r="D252" t="inlineStr">
        <is>
          <t>STOCKHOLMS LÄN</t>
        </is>
      </c>
      <c r="E252" t="inlineStr">
        <is>
          <t>NORRTÄLJE</t>
        </is>
      </c>
      <c r="F252" t="inlineStr">
        <is>
          <t>Kommuner</t>
        </is>
      </c>
      <c r="G252" t="n">
        <v>2.1</v>
      </c>
      <c r="H252" t="n">
        <v>0</v>
      </c>
      <c r="I252" t="n">
        <v>0</v>
      </c>
      <c r="J252" t="n">
        <v>0</v>
      </c>
      <c r="K252" t="n">
        <v>0</v>
      </c>
      <c r="L252" t="n">
        <v>0</v>
      </c>
      <c r="M252" t="n">
        <v>0</v>
      </c>
      <c r="N252" t="n">
        <v>0</v>
      </c>
      <c r="O252" t="n">
        <v>0</v>
      </c>
      <c r="P252" t="n">
        <v>0</v>
      </c>
      <c r="Q252" t="n">
        <v>0</v>
      </c>
      <c r="R252" s="2" t="inlineStr"/>
    </row>
    <row r="253" ht="15" customHeight="1">
      <c r="A253" t="inlineStr">
        <is>
          <t>A 17673-2021</t>
        </is>
      </c>
      <c r="B253" s="1" t="n">
        <v>44300</v>
      </c>
      <c r="C253" s="1" t="n">
        <v>46077</v>
      </c>
      <c r="D253" t="inlineStr">
        <is>
          <t>STOCKHOLMS LÄN</t>
        </is>
      </c>
      <c r="E253" t="inlineStr">
        <is>
          <t>NORRTÄLJE</t>
        </is>
      </c>
      <c r="G253" t="n">
        <v>1.1</v>
      </c>
      <c r="H253" t="n">
        <v>0</v>
      </c>
      <c r="I253" t="n">
        <v>0</v>
      </c>
      <c r="J253" t="n">
        <v>0</v>
      </c>
      <c r="K253" t="n">
        <v>0</v>
      </c>
      <c r="L253" t="n">
        <v>0</v>
      </c>
      <c r="M253" t="n">
        <v>0</v>
      </c>
      <c r="N253" t="n">
        <v>0</v>
      </c>
      <c r="O253" t="n">
        <v>0</v>
      </c>
      <c r="P253" t="n">
        <v>0</v>
      </c>
      <c r="Q253" t="n">
        <v>0</v>
      </c>
      <c r="R253" s="2" t="inlineStr"/>
      <c r="T253">
        <f>HYPERLINK("https://klasma.github.io/Logging_0188/kartor/A 17673-2021 karta.png", "A 17673-2021")</f>
        <v/>
      </c>
      <c r="V253">
        <f>HYPERLINK("https://klasma.github.io/Logging_0188/klagomål/A 17673-2021 FSC-klagomål.docx", "A 17673-2021")</f>
        <v/>
      </c>
      <c r="W253">
        <f>HYPERLINK("https://klasma.github.io/Logging_0188/klagomålsmail/A 17673-2021 FSC-klagomål mail.docx", "A 17673-2021")</f>
        <v/>
      </c>
      <c r="X253">
        <f>HYPERLINK("https://klasma.github.io/Logging_0188/tillsyn/A 17673-2021 tillsynsbegäran.docx", "A 17673-2021")</f>
        <v/>
      </c>
      <c r="Y253">
        <f>HYPERLINK("https://klasma.github.io/Logging_0188/tillsynsmail/A 17673-2021 tillsynsbegäran mail.docx", "A 17673-2021")</f>
        <v/>
      </c>
      <c r="Z253">
        <f>HYPERLINK("https://klasma.github.io/Logging_0188/fåglar/A 17673-2021 prioriterade fågelarter.docx", "A 17673-2021")</f>
        <v/>
      </c>
    </row>
    <row r="254" ht="15" customHeight="1">
      <c r="A254" t="inlineStr">
        <is>
          <t>A 45541-2022</t>
        </is>
      </c>
      <c r="B254" s="1" t="n">
        <v>44845.47672453704</v>
      </c>
      <c r="C254" s="1" t="n">
        <v>46077</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12779-2021</t>
        </is>
      </c>
      <c r="B255" s="1" t="n">
        <v>44270</v>
      </c>
      <c r="C255" s="1" t="n">
        <v>46077</v>
      </c>
      <c r="D255" t="inlineStr">
        <is>
          <t>STOCKHOLMS LÄN</t>
        </is>
      </c>
      <c r="E255" t="inlineStr">
        <is>
          <t>NORRTÄLJE</t>
        </is>
      </c>
      <c r="G255" t="n">
        <v>10.8</v>
      </c>
      <c r="H255" t="n">
        <v>0</v>
      </c>
      <c r="I255" t="n">
        <v>0</v>
      </c>
      <c r="J255" t="n">
        <v>0</v>
      </c>
      <c r="K255" t="n">
        <v>0</v>
      </c>
      <c r="L255" t="n">
        <v>0</v>
      </c>
      <c r="M255" t="n">
        <v>0</v>
      </c>
      <c r="N255" t="n">
        <v>0</v>
      </c>
      <c r="O255" t="n">
        <v>0</v>
      </c>
      <c r="P255" t="n">
        <v>0</v>
      </c>
      <c r="Q255" t="n">
        <v>0</v>
      </c>
      <c r="R255" s="2" t="inlineStr"/>
    </row>
    <row r="256" ht="15" customHeight="1">
      <c r="A256" t="inlineStr">
        <is>
          <t>A 12782-2021</t>
        </is>
      </c>
      <c r="B256" s="1" t="n">
        <v>44270</v>
      </c>
      <c r="C256" s="1" t="n">
        <v>46077</v>
      </c>
      <c r="D256" t="inlineStr">
        <is>
          <t>STOCKHOLMS LÄN</t>
        </is>
      </c>
      <c r="E256" t="inlineStr">
        <is>
          <t>NORRTÄLJE</t>
        </is>
      </c>
      <c r="G256" t="n">
        <v>3.8</v>
      </c>
      <c r="H256" t="n">
        <v>0</v>
      </c>
      <c r="I256" t="n">
        <v>0</v>
      </c>
      <c r="J256" t="n">
        <v>0</v>
      </c>
      <c r="K256" t="n">
        <v>0</v>
      </c>
      <c r="L256" t="n">
        <v>0</v>
      </c>
      <c r="M256" t="n">
        <v>0</v>
      </c>
      <c r="N256" t="n">
        <v>0</v>
      </c>
      <c r="O256" t="n">
        <v>0</v>
      </c>
      <c r="P256" t="n">
        <v>0</v>
      </c>
      <c r="Q256" t="n">
        <v>0</v>
      </c>
      <c r="R256" s="2" t="inlineStr"/>
    </row>
    <row r="257" ht="15" customHeight="1">
      <c r="A257" t="inlineStr">
        <is>
          <t>A 27217-2021</t>
        </is>
      </c>
      <c r="B257" s="1" t="n">
        <v>44350</v>
      </c>
      <c r="C257" s="1" t="n">
        <v>46077</v>
      </c>
      <c r="D257" t="inlineStr">
        <is>
          <t>STOCKHOLMS LÄN</t>
        </is>
      </c>
      <c r="E257" t="inlineStr">
        <is>
          <t>NORRTÄLJE</t>
        </is>
      </c>
      <c r="G257" t="n">
        <v>5.5</v>
      </c>
      <c r="H257" t="n">
        <v>0</v>
      </c>
      <c r="I257" t="n">
        <v>0</v>
      </c>
      <c r="J257" t="n">
        <v>0</v>
      </c>
      <c r="K257" t="n">
        <v>0</v>
      </c>
      <c r="L257" t="n">
        <v>0</v>
      </c>
      <c r="M257" t="n">
        <v>0</v>
      </c>
      <c r="N257" t="n">
        <v>0</v>
      </c>
      <c r="O257" t="n">
        <v>0</v>
      </c>
      <c r="P257" t="n">
        <v>0</v>
      </c>
      <c r="Q257" t="n">
        <v>0</v>
      </c>
      <c r="R257" s="2" t="inlineStr"/>
    </row>
    <row r="258" ht="15" customHeight="1">
      <c r="A258" t="inlineStr">
        <is>
          <t>A 62030-2021</t>
        </is>
      </c>
      <c r="B258" s="1" t="n">
        <v>44502</v>
      </c>
      <c r="C258" s="1" t="n">
        <v>46077</v>
      </c>
      <c r="D258" t="inlineStr">
        <is>
          <t>STOCKHOLMS LÄN</t>
        </is>
      </c>
      <c r="E258" t="inlineStr">
        <is>
          <t>NORRTÄLJE</t>
        </is>
      </c>
      <c r="G258" t="n">
        <v>4.7</v>
      </c>
      <c r="H258" t="n">
        <v>0</v>
      </c>
      <c r="I258" t="n">
        <v>0</v>
      </c>
      <c r="J258" t="n">
        <v>0</v>
      </c>
      <c r="K258" t="n">
        <v>0</v>
      </c>
      <c r="L258" t="n">
        <v>0</v>
      </c>
      <c r="M258" t="n">
        <v>0</v>
      </c>
      <c r="N258" t="n">
        <v>0</v>
      </c>
      <c r="O258" t="n">
        <v>0</v>
      </c>
      <c r="P258" t="n">
        <v>0</v>
      </c>
      <c r="Q258" t="n">
        <v>0</v>
      </c>
      <c r="R258" s="2" t="inlineStr"/>
    </row>
    <row r="259" ht="15" customHeight="1">
      <c r="A259" t="inlineStr">
        <is>
          <t>A 52139-2022</t>
        </is>
      </c>
      <c r="B259" s="1" t="n">
        <v>44868</v>
      </c>
      <c r="C259" s="1" t="n">
        <v>46077</v>
      </c>
      <c r="D259" t="inlineStr">
        <is>
          <t>STOCKHOLMS LÄN</t>
        </is>
      </c>
      <c r="E259" t="inlineStr">
        <is>
          <t>NORRTÄLJE</t>
        </is>
      </c>
      <c r="G259" t="n">
        <v>3.2</v>
      </c>
      <c r="H259" t="n">
        <v>0</v>
      </c>
      <c r="I259" t="n">
        <v>0</v>
      </c>
      <c r="J259" t="n">
        <v>0</v>
      </c>
      <c r="K259" t="n">
        <v>0</v>
      </c>
      <c r="L259" t="n">
        <v>0</v>
      </c>
      <c r="M259" t="n">
        <v>0</v>
      </c>
      <c r="N259" t="n">
        <v>0</v>
      </c>
      <c r="O259" t="n">
        <v>0</v>
      </c>
      <c r="P259" t="n">
        <v>0</v>
      </c>
      <c r="Q259" t="n">
        <v>0</v>
      </c>
      <c r="R259" s="2" t="inlineStr"/>
      <c r="U259">
        <f>HYPERLINK("https://klasma.github.io/Logging_0188/knärot/A 52139-2022 karta knärot.png", "A 52139-2022")</f>
        <v/>
      </c>
      <c r="V259">
        <f>HYPERLINK("https://klasma.github.io/Logging_0188/klagomål/A 52139-2022 FSC-klagomål.docx", "A 52139-2022")</f>
        <v/>
      </c>
      <c r="W259">
        <f>HYPERLINK("https://klasma.github.io/Logging_0188/klagomålsmail/A 52139-2022 FSC-klagomål mail.docx", "A 52139-2022")</f>
        <v/>
      </c>
      <c r="X259">
        <f>HYPERLINK("https://klasma.github.io/Logging_0188/tillsyn/A 52139-2022 tillsynsbegäran.docx", "A 52139-2022")</f>
        <v/>
      </c>
      <c r="Y259">
        <f>HYPERLINK("https://klasma.github.io/Logging_0188/tillsynsmail/A 52139-2022 tillsynsbegäran mail.docx", "A 52139-2022")</f>
        <v/>
      </c>
    </row>
    <row r="260" ht="15" customHeight="1">
      <c r="A260" t="inlineStr">
        <is>
          <t>A 12875-2022</t>
        </is>
      </c>
      <c r="B260" s="1" t="n">
        <v>44642.55565972222</v>
      </c>
      <c r="C260" s="1" t="n">
        <v>46077</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9446-2021</t>
        </is>
      </c>
      <c r="B261" s="1" t="n">
        <v>44251</v>
      </c>
      <c r="C261" s="1" t="n">
        <v>46077</v>
      </c>
      <c r="D261" t="inlineStr">
        <is>
          <t>STOCKHOLMS LÄN</t>
        </is>
      </c>
      <c r="E261" t="inlineStr">
        <is>
          <t>NORRTÄLJE</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28042-2022</t>
        </is>
      </c>
      <c r="B262" s="1" t="n">
        <v>44744</v>
      </c>
      <c r="C262" s="1" t="n">
        <v>46077</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46077</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41822-2021</t>
        </is>
      </c>
      <c r="B264" s="1" t="n">
        <v>44425</v>
      </c>
      <c r="C264" s="1" t="n">
        <v>46077</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41823-2021</t>
        </is>
      </c>
      <c r="B265" s="1" t="n">
        <v>44425</v>
      </c>
      <c r="C265" s="1" t="n">
        <v>46077</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30286-2022</t>
        </is>
      </c>
      <c r="B266" s="1" t="n">
        <v>44760</v>
      </c>
      <c r="C266" s="1" t="n">
        <v>46077</v>
      </c>
      <c r="D266" t="inlineStr">
        <is>
          <t>STOCKHOLMS LÄN</t>
        </is>
      </c>
      <c r="E266" t="inlineStr">
        <is>
          <t>NORRTÄLJE</t>
        </is>
      </c>
      <c r="G266" t="n">
        <v>0.3</v>
      </c>
      <c r="H266" t="n">
        <v>0</v>
      </c>
      <c r="I266" t="n">
        <v>0</v>
      </c>
      <c r="J266" t="n">
        <v>0</v>
      </c>
      <c r="K266" t="n">
        <v>0</v>
      </c>
      <c r="L266" t="n">
        <v>0</v>
      </c>
      <c r="M266" t="n">
        <v>0</v>
      </c>
      <c r="N266" t="n">
        <v>0</v>
      </c>
      <c r="O266" t="n">
        <v>0</v>
      </c>
      <c r="P266" t="n">
        <v>0</v>
      </c>
      <c r="Q266" t="n">
        <v>0</v>
      </c>
      <c r="R266" s="2" t="inlineStr"/>
    </row>
    <row r="267" ht="15" customHeight="1">
      <c r="A267" t="inlineStr">
        <is>
          <t>A 8160-2022</t>
        </is>
      </c>
      <c r="B267" s="1" t="n">
        <v>44609</v>
      </c>
      <c r="C267" s="1" t="n">
        <v>46077</v>
      </c>
      <c r="D267" t="inlineStr">
        <is>
          <t>STOCKHOLMS LÄN</t>
        </is>
      </c>
      <c r="E267" t="inlineStr">
        <is>
          <t>NORRTÄLJE</t>
        </is>
      </c>
      <c r="G267" t="n">
        <v>3.9</v>
      </c>
      <c r="H267" t="n">
        <v>0</v>
      </c>
      <c r="I267" t="n">
        <v>0</v>
      </c>
      <c r="J267" t="n">
        <v>0</v>
      </c>
      <c r="K267" t="n">
        <v>0</v>
      </c>
      <c r="L267" t="n">
        <v>0</v>
      </c>
      <c r="M267" t="n">
        <v>0</v>
      </c>
      <c r="N267" t="n">
        <v>0</v>
      </c>
      <c r="O267" t="n">
        <v>0</v>
      </c>
      <c r="P267" t="n">
        <v>0</v>
      </c>
      <c r="Q267" t="n">
        <v>0</v>
      </c>
      <c r="R267" s="2" t="inlineStr"/>
    </row>
    <row r="268" ht="15" customHeight="1">
      <c r="A268" t="inlineStr">
        <is>
          <t>A 23453-2021</t>
        </is>
      </c>
      <c r="B268" s="1" t="n">
        <v>44333</v>
      </c>
      <c r="C268" s="1" t="n">
        <v>46077</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46077</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56219-2021</t>
        </is>
      </c>
      <c r="B270" s="1" t="n">
        <v>44477</v>
      </c>
      <c r="C270" s="1" t="n">
        <v>46077</v>
      </c>
      <c r="D270" t="inlineStr">
        <is>
          <t>STOCKHOLMS LÄN</t>
        </is>
      </c>
      <c r="E270" t="inlineStr">
        <is>
          <t>NORRTÄLJE</t>
        </is>
      </c>
      <c r="F270" t="inlineStr">
        <is>
          <t>Kommuner</t>
        </is>
      </c>
      <c r="G270" t="n">
        <v>2.3</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46077</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46077</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20295-2022</t>
        </is>
      </c>
      <c r="B273" s="1" t="n">
        <v>44698</v>
      </c>
      <c r="C273" s="1" t="n">
        <v>46077</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15226-2022</t>
        </is>
      </c>
      <c r="B274" s="1" t="n">
        <v>44658</v>
      </c>
      <c r="C274" s="1" t="n">
        <v>46077</v>
      </c>
      <c r="D274" t="inlineStr">
        <is>
          <t>STOCKHOLMS LÄN</t>
        </is>
      </c>
      <c r="E274" t="inlineStr">
        <is>
          <t>NORRTÄLJE</t>
        </is>
      </c>
      <c r="G274" t="n">
        <v>1.1</v>
      </c>
      <c r="H274" t="n">
        <v>0</v>
      </c>
      <c r="I274" t="n">
        <v>0</v>
      </c>
      <c r="J274" t="n">
        <v>0</v>
      </c>
      <c r="K274" t="n">
        <v>0</v>
      </c>
      <c r="L274" t="n">
        <v>0</v>
      </c>
      <c r="M274" t="n">
        <v>0</v>
      </c>
      <c r="N274" t="n">
        <v>0</v>
      </c>
      <c r="O274" t="n">
        <v>0</v>
      </c>
      <c r="P274" t="n">
        <v>0</v>
      </c>
      <c r="Q274" t="n">
        <v>0</v>
      </c>
      <c r="R274" s="2" t="inlineStr"/>
    </row>
    <row r="275" ht="15" customHeight="1">
      <c r="A275" t="inlineStr">
        <is>
          <t>A 3300-2022</t>
        </is>
      </c>
      <c r="B275" s="1" t="n">
        <v>44584.91538194445</v>
      </c>
      <c r="C275" s="1" t="n">
        <v>46077</v>
      </c>
      <c r="D275" t="inlineStr">
        <is>
          <t>STOCKHOLMS LÄN</t>
        </is>
      </c>
      <c r="E275" t="inlineStr">
        <is>
          <t>NORRTÄLJE</t>
        </is>
      </c>
      <c r="G275" t="n">
        <v>0.4</v>
      </c>
      <c r="H275" t="n">
        <v>0</v>
      </c>
      <c r="I275" t="n">
        <v>0</v>
      </c>
      <c r="J275" t="n">
        <v>0</v>
      </c>
      <c r="K275" t="n">
        <v>0</v>
      </c>
      <c r="L275" t="n">
        <v>0</v>
      </c>
      <c r="M275" t="n">
        <v>0</v>
      </c>
      <c r="N275" t="n">
        <v>0</v>
      </c>
      <c r="O275" t="n">
        <v>0</v>
      </c>
      <c r="P275" t="n">
        <v>0</v>
      </c>
      <c r="Q275" t="n">
        <v>0</v>
      </c>
      <c r="R275" s="2" t="inlineStr"/>
    </row>
    <row r="276" ht="15" customHeight="1">
      <c r="A276" t="inlineStr">
        <is>
          <t>A 17388-2022</t>
        </is>
      </c>
      <c r="B276" s="1" t="n">
        <v>44678</v>
      </c>
      <c r="C276" s="1" t="n">
        <v>46077</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46077</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17771-2022</t>
        </is>
      </c>
      <c r="B278" s="1" t="n">
        <v>44682.75924768519</v>
      </c>
      <c r="C278" s="1" t="n">
        <v>46077</v>
      </c>
      <c r="D278" t="inlineStr">
        <is>
          <t>STOCKHOLMS LÄN</t>
        </is>
      </c>
      <c r="E278" t="inlineStr">
        <is>
          <t>NORRTÄLJE</t>
        </is>
      </c>
      <c r="G278" t="n">
        <v>13.3</v>
      </c>
      <c r="H278" t="n">
        <v>0</v>
      </c>
      <c r="I278" t="n">
        <v>0</v>
      </c>
      <c r="J278" t="n">
        <v>0</v>
      </c>
      <c r="K278" t="n">
        <v>0</v>
      </c>
      <c r="L278" t="n">
        <v>0</v>
      </c>
      <c r="M278" t="n">
        <v>0</v>
      </c>
      <c r="N278" t="n">
        <v>0</v>
      </c>
      <c r="O278" t="n">
        <v>0</v>
      </c>
      <c r="P278" t="n">
        <v>0</v>
      </c>
      <c r="Q278" t="n">
        <v>0</v>
      </c>
      <c r="R278" s="2" t="inlineStr"/>
    </row>
    <row r="279" ht="15" customHeight="1">
      <c r="A279" t="inlineStr">
        <is>
          <t>A 17773-2022</t>
        </is>
      </c>
      <c r="B279" s="1" t="n">
        <v>44682.77616898148</v>
      </c>
      <c r="C279" s="1" t="n">
        <v>46077</v>
      </c>
      <c r="D279" t="inlineStr">
        <is>
          <t>STOCKHOLMS LÄN</t>
        </is>
      </c>
      <c r="E279" t="inlineStr">
        <is>
          <t>NORRTÄLJE</t>
        </is>
      </c>
      <c r="G279" t="n">
        <v>10.8</v>
      </c>
      <c r="H279" t="n">
        <v>0</v>
      </c>
      <c r="I279" t="n">
        <v>0</v>
      </c>
      <c r="J279" t="n">
        <v>0</v>
      </c>
      <c r="K279" t="n">
        <v>0</v>
      </c>
      <c r="L279" t="n">
        <v>0</v>
      </c>
      <c r="M279" t="n">
        <v>0</v>
      </c>
      <c r="N279" t="n">
        <v>0</v>
      </c>
      <c r="O279" t="n">
        <v>0</v>
      </c>
      <c r="P279" t="n">
        <v>0</v>
      </c>
      <c r="Q279" t="n">
        <v>0</v>
      </c>
      <c r="R279" s="2" t="inlineStr"/>
    </row>
    <row r="280" ht="15" customHeight="1">
      <c r="A280" t="inlineStr">
        <is>
          <t>A 10521-2022</t>
        </is>
      </c>
      <c r="B280" s="1" t="n">
        <v>44623</v>
      </c>
      <c r="C280" s="1" t="n">
        <v>46077</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16117-2022</t>
        </is>
      </c>
      <c r="B281" s="1" t="n">
        <v>44665.65474537037</v>
      </c>
      <c r="C281" s="1" t="n">
        <v>46077</v>
      </c>
      <c r="D281" t="inlineStr">
        <is>
          <t>STOCKHOLMS LÄN</t>
        </is>
      </c>
      <c r="E281" t="inlineStr">
        <is>
          <t>NORRTÄLJE</t>
        </is>
      </c>
      <c r="G281" t="n">
        <v>8.1</v>
      </c>
      <c r="H281" t="n">
        <v>0</v>
      </c>
      <c r="I281" t="n">
        <v>0</v>
      </c>
      <c r="J281" t="n">
        <v>0</v>
      </c>
      <c r="K281" t="n">
        <v>0</v>
      </c>
      <c r="L281" t="n">
        <v>0</v>
      </c>
      <c r="M281" t="n">
        <v>0</v>
      </c>
      <c r="N281" t="n">
        <v>0</v>
      </c>
      <c r="O281" t="n">
        <v>0</v>
      </c>
      <c r="P281" t="n">
        <v>0</v>
      </c>
      <c r="Q281" t="n">
        <v>0</v>
      </c>
      <c r="R281" s="2" t="inlineStr"/>
    </row>
    <row r="282" ht="15" customHeight="1">
      <c r="A282" t="inlineStr">
        <is>
          <t>A 16132-2022</t>
        </is>
      </c>
      <c r="B282" s="1" t="n">
        <v>44665.78351851852</v>
      </c>
      <c r="C282" s="1" t="n">
        <v>46077</v>
      </c>
      <c r="D282" t="inlineStr">
        <is>
          <t>STOCKHOLMS LÄN</t>
        </is>
      </c>
      <c r="E282" t="inlineStr">
        <is>
          <t>NORRTÄLJE</t>
        </is>
      </c>
      <c r="G282" t="n">
        <v>4.4</v>
      </c>
      <c r="H282" t="n">
        <v>0</v>
      </c>
      <c r="I282" t="n">
        <v>0</v>
      </c>
      <c r="J282" t="n">
        <v>0</v>
      </c>
      <c r="K282" t="n">
        <v>0</v>
      </c>
      <c r="L282" t="n">
        <v>0</v>
      </c>
      <c r="M282" t="n">
        <v>0</v>
      </c>
      <c r="N282" t="n">
        <v>0</v>
      </c>
      <c r="O282" t="n">
        <v>0</v>
      </c>
      <c r="P282" t="n">
        <v>0</v>
      </c>
      <c r="Q282" t="n">
        <v>0</v>
      </c>
      <c r="R282" s="2" t="inlineStr"/>
    </row>
    <row r="283" ht="15" customHeight="1">
      <c r="A283" t="inlineStr">
        <is>
          <t>A 70170-2021</t>
        </is>
      </c>
      <c r="B283" s="1" t="n">
        <v>44533</v>
      </c>
      <c r="C283" s="1" t="n">
        <v>46077</v>
      </c>
      <c r="D283" t="inlineStr">
        <is>
          <t>STOCKHOLMS LÄN</t>
        </is>
      </c>
      <c r="E283" t="inlineStr">
        <is>
          <t>NORRTÄLJE</t>
        </is>
      </c>
      <c r="G283" t="n">
        <v>2.7</v>
      </c>
      <c r="H283" t="n">
        <v>0</v>
      </c>
      <c r="I283" t="n">
        <v>0</v>
      </c>
      <c r="J283" t="n">
        <v>0</v>
      </c>
      <c r="K283" t="n">
        <v>0</v>
      </c>
      <c r="L283" t="n">
        <v>0</v>
      </c>
      <c r="M283" t="n">
        <v>0</v>
      </c>
      <c r="N283" t="n">
        <v>0</v>
      </c>
      <c r="O283" t="n">
        <v>0</v>
      </c>
      <c r="P283" t="n">
        <v>0</v>
      </c>
      <c r="Q283" t="n">
        <v>0</v>
      </c>
      <c r="R283" s="2" t="inlineStr"/>
    </row>
    <row r="284" ht="15" customHeight="1">
      <c r="A284" t="inlineStr">
        <is>
          <t>A 25463-2021</t>
        </is>
      </c>
      <c r="B284" s="1" t="n">
        <v>44342</v>
      </c>
      <c r="C284" s="1" t="n">
        <v>46077</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55012-2024</t>
        </is>
      </c>
      <c r="B285" s="1" t="n">
        <v>45621.34813657407</v>
      </c>
      <c r="C285" s="1" t="n">
        <v>46077</v>
      </c>
      <c r="D285" t="inlineStr">
        <is>
          <t>STOCKHOLMS LÄN</t>
        </is>
      </c>
      <c r="E285" t="inlineStr">
        <is>
          <t>NORRTÄLJE</t>
        </is>
      </c>
      <c r="F285" t="inlineStr">
        <is>
          <t>Sveaskog</t>
        </is>
      </c>
      <c r="G285" t="n">
        <v>5.2</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46077</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46077</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23149-2024</t>
        </is>
      </c>
      <c r="B288" s="1" t="n">
        <v>45450.64208333333</v>
      </c>
      <c r="C288" s="1" t="n">
        <v>46077</v>
      </c>
      <c r="D288" t="inlineStr">
        <is>
          <t>STOCKHOLMS LÄN</t>
        </is>
      </c>
      <c r="E288" t="inlineStr">
        <is>
          <t>NORRTÄLJE</t>
        </is>
      </c>
      <c r="F288" t="inlineStr">
        <is>
          <t>Kommuner</t>
        </is>
      </c>
      <c r="G288" t="n">
        <v>1.3</v>
      </c>
      <c r="H288" t="n">
        <v>0</v>
      </c>
      <c r="I288" t="n">
        <v>0</v>
      </c>
      <c r="J288" t="n">
        <v>0</v>
      </c>
      <c r="K288" t="n">
        <v>0</v>
      </c>
      <c r="L288" t="n">
        <v>0</v>
      </c>
      <c r="M288" t="n">
        <v>0</v>
      </c>
      <c r="N288" t="n">
        <v>0</v>
      </c>
      <c r="O288" t="n">
        <v>0</v>
      </c>
      <c r="P288" t="n">
        <v>0</v>
      </c>
      <c r="Q288" t="n">
        <v>0</v>
      </c>
      <c r="R288" s="2" t="inlineStr"/>
    </row>
    <row r="289" ht="15" customHeight="1">
      <c r="A289" t="inlineStr">
        <is>
          <t>A 23151-2024</t>
        </is>
      </c>
      <c r="B289" s="1" t="n">
        <v>45450</v>
      </c>
      <c r="C289" s="1" t="n">
        <v>46077</v>
      </c>
      <c r="D289" t="inlineStr">
        <is>
          <t>STOCKHOLMS LÄN</t>
        </is>
      </c>
      <c r="E289" t="inlineStr">
        <is>
          <t>NORRTÄLJE</t>
        </is>
      </c>
      <c r="F289" t="inlineStr">
        <is>
          <t>Kommuner</t>
        </is>
      </c>
      <c r="G289" t="n">
        <v>1.2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46077</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67285-2021</t>
        </is>
      </c>
      <c r="B291" s="1" t="n">
        <v>44523.61635416667</v>
      </c>
      <c r="C291" s="1" t="n">
        <v>46077</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5611-2022</t>
        </is>
      </c>
      <c r="B292" s="1" t="n">
        <v>44595</v>
      </c>
      <c r="C292" s="1" t="n">
        <v>46077</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32055-2021</t>
        </is>
      </c>
      <c r="B293" s="1" t="n">
        <v>44370.72197916666</v>
      </c>
      <c r="C293" s="1" t="n">
        <v>46077</v>
      </c>
      <c r="D293" t="inlineStr">
        <is>
          <t>STOCKHOLMS LÄN</t>
        </is>
      </c>
      <c r="E293" t="inlineStr">
        <is>
          <t>NORRTÄLJE</t>
        </is>
      </c>
      <c r="G293" t="n">
        <v>1.2</v>
      </c>
      <c r="H293" t="n">
        <v>0</v>
      </c>
      <c r="I293" t="n">
        <v>0</v>
      </c>
      <c r="J293" t="n">
        <v>0</v>
      </c>
      <c r="K293" t="n">
        <v>0</v>
      </c>
      <c r="L293" t="n">
        <v>0</v>
      </c>
      <c r="M293" t="n">
        <v>0</v>
      </c>
      <c r="N293" t="n">
        <v>0</v>
      </c>
      <c r="O293" t="n">
        <v>0</v>
      </c>
      <c r="P293" t="n">
        <v>0</v>
      </c>
      <c r="Q293" t="n">
        <v>0</v>
      </c>
      <c r="R293" s="2" t="inlineStr"/>
    </row>
    <row r="294" ht="15" customHeight="1">
      <c r="A294" t="inlineStr">
        <is>
          <t>A 21696-2024</t>
        </is>
      </c>
      <c r="B294" s="1" t="n">
        <v>45442.45686342593</v>
      </c>
      <c r="C294" s="1" t="n">
        <v>46077</v>
      </c>
      <c r="D294" t="inlineStr">
        <is>
          <t>STOCKHOLMS LÄN</t>
        </is>
      </c>
      <c r="E294" t="inlineStr">
        <is>
          <t>NORRTÄLJE</t>
        </is>
      </c>
      <c r="G294" t="n">
        <v>2.9</v>
      </c>
      <c r="H294" t="n">
        <v>0</v>
      </c>
      <c r="I294" t="n">
        <v>0</v>
      </c>
      <c r="J294" t="n">
        <v>0</v>
      </c>
      <c r="K294" t="n">
        <v>0</v>
      </c>
      <c r="L294" t="n">
        <v>0</v>
      </c>
      <c r="M294" t="n">
        <v>0</v>
      </c>
      <c r="N294" t="n">
        <v>0</v>
      </c>
      <c r="O294" t="n">
        <v>0</v>
      </c>
      <c r="P294" t="n">
        <v>0</v>
      </c>
      <c r="Q294" t="n">
        <v>0</v>
      </c>
      <c r="R294" s="2" t="inlineStr"/>
    </row>
    <row r="295" ht="15" customHeight="1">
      <c r="A295" t="inlineStr">
        <is>
          <t>A 24101-2022</t>
        </is>
      </c>
      <c r="B295" s="1" t="n">
        <v>44725</v>
      </c>
      <c r="C295" s="1" t="n">
        <v>46077</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37136-2023</t>
        </is>
      </c>
      <c r="B296" s="1" t="n">
        <v>45155</v>
      </c>
      <c r="C296" s="1" t="n">
        <v>46077</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16913-2025</t>
        </is>
      </c>
      <c r="B297" s="1" t="n">
        <v>45755.36583333334</v>
      </c>
      <c r="C297" s="1" t="n">
        <v>46077</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12348-2025</t>
        </is>
      </c>
      <c r="B298" s="1" t="n">
        <v>45730.35026620371</v>
      </c>
      <c r="C298" s="1" t="n">
        <v>46077</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46077</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13148-2021</t>
        </is>
      </c>
      <c r="B300" s="1" t="n">
        <v>44272</v>
      </c>
      <c r="C300" s="1" t="n">
        <v>46077</v>
      </c>
      <c r="D300" t="inlineStr">
        <is>
          <t>STOCKHOLMS LÄN</t>
        </is>
      </c>
      <c r="E300" t="inlineStr">
        <is>
          <t>NORRTÄLJE</t>
        </is>
      </c>
      <c r="G300" t="n">
        <v>12.4</v>
      </c>
      <c r="H300" t="n">
        <v>0</v>
      </c>
      <c r="I300" t="n">
        <v>0</v>
      </c>
      <c r="J300" t="n">
        <v>0</v>
      </c>
      <c r="K300" t="n">
        <v>0</v>
      </c>
      <c r="L300" t="n">
        <v>0</v>
      </c>
      <c r="M300" t="n">
        <v>0</v>
      </c>
      <c r="N300" t="n">
        <v>0</v>
      </c>
      <c r="O300" t="n">
        <v>0</v>
      </c>
      <c r="P300" t="n">
        <v>0</v>
      </c>
      <c r="Q300" t="n">
        <v>0</v>
      </c>
      <c r="R300" s="2" t="inlineStr"/>
    </row>
    <row r="301" ht="15" customHeight="1">
      <c r="A301" t="inlineStr">
        <is>
          <t>A 27715-2022</t>
        </is>
      </c>
      <c r="B301" s="1" t="n">
        <v>44743.47407407407</v>
      </c>
      <c r="C301" s="1" t="n">
        <v>46077</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46077</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1740-2023</t>
        </is>
      </c>
      <c r="B303" s="1" t="n">
        <v>44938</v>
      </c>
      <c r="C303" s="1" t="n">
        <v>46077</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12111-2021</t>
        </is>
      </c>
      <c r="B304" s="1" t="n">
        <v>44266</v>
      </c>
      <c r="C304" s="1" t="n">
        <v>46077</v>
      </c>
      <c r="D304" t="inlineStr">
        <is>
          <t>STOCKHOLMS LÄN</t>
        </is>
      </c>
      <c r="E304" t="inlineStr">
        <is>
          <t>NORRTÄLJE</t>
        </is>
      </c>
      <c r="G304" t="n">
        <v>5.5</v>
      </c>
      <c r="H304" t="n">
        <v>0</v>
      </c>
      <c r="I304" t="n">
        <v>0</v>
      </c>
      <c r="J304" t="n">
        <v>0</v>
      </c>
      <c r="K304" t="n">
        <v>0</v>
      </c>
      <c r="L304" t="n">
        <v>0</v>
      </c>
      <c r="M304" t="n">
        <v>0</v>
      </c>
      <c r="N304" t="n">
        <v>0</v>
      </c>
      <c r="O304" t="n">
        <v>0</v>
      </c>
      <c r="P304" t="n">
        <v>0</v>
      </c>
      <c r="Q304" t="n">
        <v>0</v>
      </c>
      <c r="R304" s="2" t="inlineStr"/>
    </row>
    <row r="305" ht="15" customHeight="1">
      <c r="A305" t="inlineStr">
        <is>
          <t>A 33053-2021</t>
        </is>
      </c>
      <c r="B305" s="1" t="n">
        <v>44376</v>
      </c>
      <c r="C305" s="1" t="n">
        <v>46077</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21158-2022</t>
        </is>
      </c>
      <c r="B306" s="1" t="n">
        <v>44704</v>
      </c>
      <c r="C306" s="1" t="n">
        <v>46077</v>
      </c>
      <c r="D306" t="inlineStr">
        <is>
          <t>STOCKHOLMS LÄN</t>
        </is>
      </c>
      <c r="E306" t="inlineStr">
        <is>
          <t>NORRTÄLJE</t>
        </is>
      </c>
      <c r="G306" t="n">
        <v>17.8</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46077</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46077</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15915-2023</t>
        </is>
      </c>
      <c r="B309" s="1" t="n">
        <v>45022</v>
      </c>
      <c r="C309" s="1" t="n">
        <v>46077</v>
      </c>
      <c r="D309" t="inlineStr">
        <is>
          <t>STOCKHOLMS LÄN</t>
        </is>
      </c>
      <c r="E309" t="inlineStr">
        <is>
          <t>NORRTÄLJE</t>
        </is>
      </c>
      <c r="G309" t="n">
        <v>2.9</v>
      </c>
      <c r="H309" t="n">
        <v>0</v>
      </c>
      <c r="I309" t="n">
        <v>0</v>
      </c>
      <c r="J309" t="n">
        <v>0</v>
      </c>
      <c r="K309" t="n">
        <v>0</v>
      </c>
      <c r="L309" t="n">
        <v>0</v>
      </c>
      <c r="M309" t="n">
        <v>0</v>
      </c>
      <c r="N309" t="n">
        <v>0</v>
      </c>
      <c r="O309" t="n">
        <v>0</v>
      </c>
      <c r="P309" t="n">
        <v>0</v>
      </c>
      <c r="Q309" t="n">
        <v>0</v>
      </c>
      <c r="R309" s="2" t="inlineStr"/>
    </row>
    <row r="310" ht="15" customHeight="1">
      <c r="A310" t="inlineStr">
        <is>
          <t>A 58993-2022</t>
        </is>
      </c>
      <c r="B310" s="1" t="n">
        <v>44903</v>
      </c>
      <c r="C310" s="1" t="n">
        <v>46077</v>
      </c>
      <c r="D310" t="inlineStr">
        <is>
          <t>STOCKHOLMS LÄN</t>
        </is>
      </c>
      <c r="E310" t="inlineStr">
        <is>
          <t>NORRTÄLJE</t>
        </is>
      </c>
      <c r="G310" t="n">
        <v>2.3</v>
      </c>
      <c r="H310" t="n">
        <v>0</v>
      </c>
      <c r="I310" t="n">
        <v>0</v>
      </c>
      <c r="J310" t="n">
        <v>0</v>
      </c>
      <c r="K310" t="n">
        <v>0</v>
      </c>
      <c r="L310" t="n">
        <v>0</v>
      </c>
      <c r="M310" t="n">
        <v>0</v>
      </c>
      <c r="N310" t="n">
        <v>0</v>
      </c>
      <c r="O310" t="n">
        <v>0</v>
      </c>
      <c r="P310" t="n">
        <v>0</v>
      </c>
      <c r="Q310" t="n">
        <v>0</v>
      </c>
      <c r="R310" s="2" t="inlineStr"/>
    </row>
    <row r="311" ht="15" customHeight="1">
      <c r="A311" t="inlineStr">
        <is>
          <t>A 23271-2023</t>
        </is>
      </c>
      <c r="B311" s="1" t="n">
        <v>45075.91362268518</v>
      </c>
      <c r="C311" s="1" t="n">
        <v>46077</v>
      </c>
      <c r="D311" t="inlineStr">
        <is>
          <t>STOCKHOLMS LÄN</t>
        </is>
      </c>
      <c r="E311" t="inlineStr">
        <is>
          <t>NORRTÄLJE</t>
        </is>
      </c>
      <c r="G311" t="n">
        <v>5.1</v>
      </c>
      <c r="H311" t="n">
        <v>0</v>
      </c>
      <c r="I311" t="n">
        <v>0</v>
      </c>
      <c r="J311" t="n">
        <v>0</v>
      </c>
      <c r="K311" t="n">
        <v>0</v>
      </c>
      <c r="L311" t="n">
        <v>0</v>
      </c>
      <c r="M311" t="n">
        <v>0</v>
      </c>
      <c r="N311" t="n">
        <v>0</v>
      </c>
      <c r="O311" t="n">
        <v>0</v>
      </c>
      <c r="P311" t="n">
        <v>0</v>
      </c>
      <c r="Q311" t="n">
        <v>0</v>
      </c>
      <c r="R311" s="2" t="inlineStr"/>
    </row>
    <row r="312" ht="15" customHeight="1">
      <c r="A312" t="inlineStr">
        <is>
          <t>A 23273-2023</t>
        </is>
      </c>
      <c r="B312" s="1" t="n">
        <v>45075.91971064815</v>
      </c>
      <c r="C312" s="1" t="n">
        <v>46077</v>
      </c>
      <c r="D312" t="inlineStr">
        <is>
          <t>STOCKHOLMS LÄN</t>
        </is>
      </c>
      <c r="E312" t="inlineStr">
        <is>
          <t>NORRTÄLJE</t>
        </is>
      </c>
      <c r="G312" t="n">
        <v>7.5</v>
      </c>
      <c r="H312" t="n">
        <v>0</v>
      </c>
      <c r="I312" t="n">
        <v>0</v>
      </c>
      <c r="J312" t="n">
        <v>0</v>
      </c>
      <c r="K312" t="n">
        <v>0</v>
      </c>
      <c r="L312" t="n">
        <v>0</v>
      </c>
      <c r="M312" t="n">
        <v>0</v>
      </c>
      <c r="N312" t="n">
        <v>0</v>
      </c>
      <c r="O312" t="n">
        <v>0</v>
      </c>
      <c r="P312" t="n">
        <v>0</v>
      </c>
      <c r="Q312" t="n">
        <v>0</v>
      </c>
      <c r="R312" s="2" t="inlineStr"/>
    </row>
    <row r="313" ht="15" customHeight="1">
      <c r="A313" t="inlineStr">
        <is>
          <t>A 51978-2023</t>
        </is>
      </c>
      <c r="B313" s="1" t="n">
        <v>45223</v>
      </c>
      <c r="C313" s="1" t="n">
        <v>46077</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30802-2022</t>
        </is>
      </c>
      <c r="B314" s="1" t="n">
        <v>44764</v>
      </c>
      <c r="C314" s="1" t="n">
        <v>46077</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19706-2023</t>
        </is>
      </c>
      <c r="B315" s="1" t="n">
        <v>45051.455</v>
      </c>
      <c r="C315" s="1" t="n">
        <v>46077</v>
      </c>
      <c r="D315" t="inlineStr">
        <is>
          <t>STOCKHOLMS LÄN</t>
        </is>
      </c>
      <c r="E315" t="inlineStr">
        <is>
          <t>NORRTÄLJE</t>
        </is>
      </c>
      <c r="G315" t="n">
        <v>0.2</v>
      </c>
      <c r="H315" t="n">
        <v>0</v>
      </c>
      <c r="I315" t="n">
        <v>0</v>
      </c>
      <c r="J315" t="n">
        <v>0</v>
      </c>
      <c r="K315" t="n">
        <v>0</v>
      </c>
      <c r="L315" t="n">
        <v>0</v>
      </c>
      <c r="M315" t="n">
        <v>0</v>
      </c>
      <c r="N315" t="n">
        <v>0</v>
      </c>
      <c r="O315" t="n">
        <v>0</v>
      </c>
      <c r="P315" t="n">
        <v>0</v>
      </c>
      <c r="Q315" t="n">
        <v>0</v>
      </c>
      <c r="R315" s="2" t="inlineStr"/>
    </row>
    <row r="316" ht="15" customHeight="1">
      <c r="A316" t="inlineStr">
        <is>
          <t>A 13051-2021</t>
        </is>
      </c>
      <c r="B316" s="1" t="n">
        <v>44272</v>
      </c>
      <c r="C316" s="1" t="n">
        <v>46077</v>
      </c>
      <c r="D316" t="inlineStr">
        <is>
          <t>STOCKHOLMS LÄN</t>
        </is>
      </c>
      <c r="E316" t="inlineStr">
        <is>
          <t>NORRTÄLJE</t>
        </is>
      </c>
      <c r="G316" t="n">
        <v>9.1</v>
      </c>
      <c r="H316" t="n">
        <v>0</v>
      </c>
      <c r="I316" t="n">
        <v>0</v>
      </c>
      <c r="J316" t="n">
        <v>0</v>
      </c>
      <c r="K316" t="n">
        <v>0</v>
      </c>
      <c r="L316" t="n">
        <v>0</v>
      </c>
      <c r="M316" t="n">
        <v>0</v>
      </c>
      <c r="N316" t="n">
        <v>0</v>
      </c>
      <c r="O316" t="n">
        <v>0</v>
      </c>
      <c r="P316" t="n">
        <v>0</v>
      </c>
      <c r="Q316" t="n">
        <v>0</v>
      </c>
      <c r="R316" s="2" t="inlineStr"/>
    </row>
    <row r="317" ht="15" customHeight="1">
      <c r="A317" t="inlineStr">
        <is>
          <t>A 39905-2023</t>
        </is>
      </c>
      <c r="B317" s="1" t="n">
        <v>45168.44489583333</v>
      </c>
      <c r="C317" s="1" t="n">
        <v>46077</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16008-2025</t>
        </is>
      </c>
      <c r="B318" s="1" t="n">
        <v>45749</v>
      </c>
      <c r="C318" s="1" t="n">
        <v>46077</v>
      </c>
      <c r="D318" t="inlineStr">
        <is>
          <t>STOCKHOLMS LÄN</t>
        </is>
      </c>
      <c r="E318" t="inlineStr">
        <is>
          <t>NORRTÄLJE</t>
        </is>
      </c>
      <c r="F318" t="inlineStr">
        <is>
          <t>Holmen skog AB</t>
        </is>
      </c>
      <c r="G318" t="n">
        <v>0.9</v>
      </c>
      <c r="H318" t="n">
        <v>0</v>
      </c>
      <c r="I318" t="n">
        <v>0</v>
      </c>
      <c r="J318" t="n">
        <v>0</v>
      </c>
      <c r="K318" t="n">
        <v>0</v>
      </c>
      <c r="L318" t="n">
        <v>0</v>
      </c>
      <c r="M318" t="n">
        <v>0</v>
      </c>
      <c r="N318" t="n">
        <v>0</v>
      </c>
      <c r="O318" t="n">
        <v>0</v>
      </c>
      <c r="P318" t="n">
        <v>0</v>
      </c>
      <c r="Q318" t="n">
        <v>0</v>
      </c>
      <c r="R318" s="2" t="inlineStr"/>
    </row>
    <row r="319" ht="15" customHeight="1">
      <c r="A319" t="inlineStr">
        <is>
          <t>A 9765-2024</t>
        </is>
      </c>
      <c r="B319" s="1" t="n">
        <v>45362.62811342593</v>
      </c>
      <c r="C319" s="1" t="n">
        <v>46077</v>
      </c>
      <c r="D319" t="inlineStr">
        <is>
          <t>STOCKHOLMS LÄN</t>
        </is>
      </c>
      <c r="E319" t="inlineStr">
        <is>
          <t>NORRTÄLJE</t>
        </is>
      </c>
      <c r="G319" t="n">
        <v>1.4</v>
      </c>
      <c r="H319" t="n">
        <v>0</v>
      </c>
      <c r="I319" t="n">
        <v>0</v>
      </c>
      <c r="J319" t="n">
        <v>0</v>
      </c>
      <c r="K319" t="n">
        <v>0</v>
      </c>
      <c r="L319" t="n">
        <v>0</v>
      </c>
      <c r="M319" t="n">
        <v>0</v>
      </c>
      <c r="N319" t="n">
        <v>0</v>
      </c>
      <c r="O319" t="n">
        <v>0</v>
      </c>
      <c r="P319" t="n">
        <v>0</v>
      </c>
      <c r="Q319" t="n">
        <v>0</v>
      </c>
      <c r="R319" s="2" t="inlineStr"/>
    </row>
    <row r="320" ht="15" customHeight="1">
      <c r="A320" t="inlineStr">
        <is>
          <t>A 55755-2023</t>
        </is>
      </c>
      <c r="B320" s="1" t="n">
        <v>45239</v>
      </c>
      <c r="C320" s="1" t="n">
        <v>46077</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33793-2022</t>
        </is>
      </c>
      <c r="B321" s="1" t="n">
        <v>44790</v>
      </c>
      <c r="C321" s="1" t="n">
        <v>46077</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17304-2024</t>
        </is>
      </c>
      <c r="B322" s="1" t="n">
        <v>45414</v>
      </c>
      <c r="C322" s="1" t="n">
        <v>46077</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47694-2023</t>
        </is>
      </c>
      <c r="B323" s="1" t="n">
        <v>45203.63303240741</v>
      </c>
      <c r="C323" s="1" t="n">
        <v>46077</v>
      </c>
      <c r="D323" t="inlineStr">
        <is>
          <t>STOCKHOLMS LÄN</t>
        </is>
      </c>
      <c r="E323" t="inlineStr">
        <is>
          <t>NORRTÄLJE</t>
        </is>
      </c>
      <c r="G323" t="n">
        <v>5.2</v>
      </c>
      <c r="H323" t="n">
        <v>0</v>
      </c>
      <c r="I323" t="n">
        <v>0</v>
      </c>
      <c r="J323" t="n">
        <v>0</v>
      </c>
      <c r="K323" t="n">
        <v>0</v>
      </c>
      <c r="L323" t="n">
        <v>0</v>
      </c>
      <c r="M323" t="n">
        <v>0</v>
      </c>
      <c r="N323" t="n">
        <v>0</v>
      </c>
      <c r="O323" t="n">
        <v>0</v>
      </c>
      <c r="P323" t="n">
        <v>0</v>
      </c>
      <c r="Q323" t="n">
        <v>0</v>
      </c>
      <c r="R323" s="2" t="inlineStr"/>
    </row>
    <row r="324" ht="15" customHeight="1">
      <c r="A324" t="inlineStr">
        <is>
          <t>A 40656-2022</t>
        </is>
      </c>
      <c r="B324" s="1" t="n">
        <v>44824.36069444445</v>
      </c>
      <c r="C324" s="1" t="n">
        <v>46077</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16852-2024</t>
        </is>
      </c>
      <c r="B325" s="1" t="n">
        <v>45411.54768518519</v>
      </c>
      <c r="C325" s="1" t="n">
        <v>46077</v>
      </c>
      <c r="D325" t="inlineStr">
        <is>
          <t>STOCKHOLMS LÄN</t>
        </is>
      </c>
      <c r="E325" t="inlineStr">
        <is>
          <t>NORRTÄLJE</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40425-2021</t>
        </is>
      </c>
      <c r="B326" s="1" t="n">
        <v>44419</v>
      </c>
      <c r="C326" s="1" t="n">
        <v>46077</v>
      </c>
      <c r="D326" t="inlineStr">
        <is>
          <t>STOCKHOLMS LÄN</t>
        </is>
      </c>
      <c r="E326" t="inlineStr">
        <is>
          <t>NORRTÄLJE</t>
        </is>
      </c>
      <c r="G326" t="n">
        <v>5</v>
      </c>
      <c r="H326" t="n">
        <v>0</v>
      </c>
      <c r="I326" t="n">
        <v>0</v>
      </c>
      <c r="J326" t="n">
        <v>0</v>
      </c>
      <c r="K326" t="n">
        <v>0</v>
      </c>
      <c r="L326" t="n">
        <v>0</v>
      </c>
      <c r="M326" t="n">
        <v>0</v>
      </c>
      <c r="N326" t="n">
        <v>0</v>
      </c>
      <c r="O326" t="n">
        <v>0</v>
      </c>
      <c r="P326" t="n">
        <v>0</v>
      </c>
      <c r="Q326" t="n">
        <v>0</v>
      </c>
      <c r="R326" s="2" t="inlineStr"/>
    </row>
    <row r="327" ht="15" customHeight="1">
      <c r="A327" t="inlineStr">
        <is>
          <t>A 4326-2023</t>
        </is>
      </c>
      <c r="B327" s="1" t="n">
        <v>44953.70481481482</v>
      </c>
      <c r="C327" s="1" t="n">
        <v>46077</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45549-2022</t>
        </is>
      </c>
      <c r="B328" s="1" t="n">
        <v>44845.48064814815</v>
      </c>
      <c r="C328" s="1" t="n">
        <v>46077</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20014-2025</t>
        </is>
      </c>
      <c r="B329" s="1" t="n">
        <v>45772.3078125</v>
      </c>
      <c r="C329" s="1" t="n">
        <v>46077</v>
      </c>
      <c r="D329" t="inlineStr">
        <is>
          <t>STOCKHOLMS LÄN</t>
        </is>
      </c>
      <c r="E329" t="inlineStr">
        <is>
          <t>NORRTÄLJE</t>
        </is>
      </c>
      <c r="G329" t="n">
        <v>4.4</v>
      </c>
      <c r="H329" t="n">
        <v>0</v>
      </c>
      <c r="I329" t="n">
        <v>0</v>
      </c>
      <c r="J329" t="n">
        <v>0</v>
      </c>
      <c r="K329" t="n">
        <v>0</v>
      </c>
      <c r="L329" t="n">
        <v>0</v>
      </c>
      <c r="M329" t="n">
        <v>0</v>
      </c>
      <c r="N329" t="n">
        <v>0</v>
      </c>
      <c r="O329" t="n">
        <v>0</v>
      </c>
      <c r="P329" t="n">
        <v>0</v>
      </c>
      <c r="Q329" t="n">
        <v>0</v>
      </c>
      <c r="R329" s="2" t="inlineStr"/>
    </row>
    <row r="330" ht="15" customHeight="1">
      <c r="A330" t="inlineStr">
        <is>
          <t>A 33385-2024</t>
        </is>
      </c>
      <c r="B330" s="1" t="n">
        <v>45519</v>
      </c>
      <c r="C330" s="1" t="n">
        <v>46077</v>
      </c>
      <c r="D330" t="inlineStr">
        <is>
          <t>STOCKHOLMS LÄN</t>
        </is>
      </c>
      <c r="E330" t="inlineStr">
        <is>
          <t>NORRTÄLJE</t>
        </is>
      </c>
      <c r="G330" t="n">
        <v>1.7</v>
      </c>
      <c r="H330" t="n">
        <v>0</v>
      </c>
      <c r="I330" t="n">
        <v>0</v>
      </c>
      <c r="J330" t="n">
        <v>0</v>
      </c>
      <c r="K330" t="n">
        <v>0</v>
      </c>
      <c r="L330" t="n">
        <v>0</v>
      </c>
      <c r="M330" t="n">
        <v>0</v>
      </c>
      <c r="N330" t="n">
        <v>0</v>
      </c>
      <c r="O330" t="n">
        <v>0</v>
      </c>
      <c r="P330" t="n">
        <v>0</v>
      </c>
      <c r="Q330" t="n">
        <v>0</v>
      </c>
      <c r="R330" s="2" t="inlineStr"/>
    </row>
    <row r="331" ht="15" customHeight="1">
      <c r="A331" t="inlineStr">
        <is>
          <t>A 29714-2023</t>
        </is>
      </c>
      <c r="B331" s="1" t="n">
        <v>45107.42538194444</v>
      </c>
      <c r="C331" s="1" t="n">
        <v>46077</v>
      </c>
      <c r="D331" t="inlineStr">
        <is>
          <t>STOCKHOLMS LÄN</t>
        </is>
      </c>
      <c r="E331" t="inlineStr">
        <is>
          <t>NORRTÄLJE</t>
        </is>
      </c>
      <c r="G331" t="n">
        <v>1.6</v>
      </c>
      <c r="H331" t="n">
        <v>0</v>
      </c>
      <c r="I331" t="n">
        <v>0</v>
      </c>
      <c r="J331" t="n">
        <v>0</v>
      </c>
      <c r="K331" t="n">
        <v>0</v>
      </c>
      <c r="L331" t="n">
        <v>0</v>
      </c>
      <c r="M331" t="n">
        <v>0</v>
      </c>
      <c r="N331" t="n">
        <v>0</v>
      </c>
      <c r="O331" t="n">
        <v>0</v>
      </c>
      <c r="P331" t="n">
        <v>0</v>
      </c>
      <c r="Q331" t="n">
        <v>0</v>
      </c>
      <c r="R331" s="2" t="inlineStr"/>
    </row>
    <row r="332" ht="15" customHeight="1">
      <c r="A332" t="inlineStr">
        <is>
          <t>A 56631-2024</t>
        </is>
      </c>
      <c r="B332" s="1" t="n">
        <v>45625</v>
      </c>
      <c r="C332" s="1" t="n">
        <v>46077</v>
      </c>
      <c r="D332" t="inlineStr">
        <is>
          <t>STOCKHOLMS LÄN</t>
        </is>
      </c>
      <c r="E332" t="inlineStr">
        <is>
          <t>NORRTÄLJE</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30508-2023</t>
        </is>
      </c>
      <c r="B333" s="1" t="n">
        <v>45111</v>
      </c>
      <c r="C333" s="1" t="n">
        <v>46077</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48587-2023</t>
        </is>
      </c>
      <c r="B334" s="1" t="n">
        <v>45208</v>
      </c>
      <c r="C334" s="1" t="n">
        <v>46077</v>
      </c>
      <c r="D334" t="inlineStr">
        <is>
          <t>STOCKHOLMS LÄN</t>
        </is>
      </c>
      <c r="E334" t="inlineStr">
        <is>
          <t>NORRTÄLJE</t>
        </is>
      </c>
      <c r="G334" t="n">
        <v>7</v>
      </c>
      <c r="H334" t="n">
        <v>0</v>
      </c>
      <c r="I334" t="n">
        <v>0</v>
      </c>
      <c r="J334" t="n">
        <v>0</v>
      </c>
      <c r="K334" t="n">
        <v>0</v>
      </c>
      <c r="L334" t="n">
        <v>0</v>
      </c>
      <c r="M334" t="n">
        <v>0</v>
      </c>
      <c r="N334" t="n">
        <v>0</v>
      </c>
      <c r="O334" t="n">
        <v>0</v>
      </c>
      <c r="P334" t="n">
        <v>0</v>
      </c>
      <c r="Q334" t="n">
        <v>0</v>
      </c>
      <c r="R334" s="2" t="inlineStr"/>
    </row>
    <row r="335" ht="15" customHeight="1">
      <c r="A335" t="inlineStr">
        <is>
          <t>A 5423-2023</t>
        </is>
      </c>
      <c r="B335" s="1" t="n">
        <v>44959.74533564815</v>
      </c>
      <c r="C335" s="1" t="n">
        <v>46077</v>
      </c>
      <c r="D335" t="inlineStr">
        <is>
          <t>STOCKHOLMS LÄN</t>
        </is>
      </c>
      <c r="E335" t="inlineStr">
        <is>
          <t>NORRTÄLJE</t>
        </is>
      </c>
      <c r="G335" t="n">
        <v>2</v>
      </c>
      <c r="H335" t="n">
        <v>0</v>
      </c>
      <c r="I335" t="n">
        <v>0</v>
      </c>
      <c r="J335" t="n">
        <v>0</v>
      </c>
      <c r="K335" t="n">
        <v>0</v>
      </c>
      <c r="L335" t="n">
        <v>0</v>
      </c>
      <c r="M335" t="n">
        <v>0</v>
      </c>
      <c r="N335" t="n">
        <v>0</v>
      </c>
      <c r="O335" t="n">
        <v>0</v>
      </c>
      <c r="P335" t="n">
        <v>0</v>
      </c>
      <c r="Q335" t="n">
        <v>0</v>
      </c>
      <c r="R335" s="2" t="inlineStr"/>
    </row>
    <row r="336" ht="15" customHeight="1">
      <c r="A336" t="inlineStr">
        <is>
          <t>A 53600-2022</t>
        </is>
      </c>
      <c r="B336" s="1" t="n">
        <v>44879.70518518519</v>
      </c>
      <c r="C336" s="1" t="n">
        <v>46077</v>
      </c>
      <c r="D336" t="inlineStr">
        <is>
          <t>STOCKHOLMS LÄN</t>
        </is>
      </c>
      <c r="E336" t="inlineStr">
        <is>
          <t>NORRTÄLJE</t>
        </is>
      </c>
      <c r="G336" t="n">
        <v>4.3</v>
      </c>
      <c r="H336" t="n">
        <v>0</v>
      </c>
      <c r="I336" t="n">
        <v>0</v>
      </c>
      <c r="J336" t="n">
        <v>0</v>
      </c>
      <c r="K336" t="n">
        <v>0</v>
      </c>
      <c r="L336" t="n">
        <v>0</v>
      </c>
      <c r="M336" t="n">
        <v>0</v>
      </c>
      <c r="N336" t="n">
        <v>0</v>
      </c>
      <c r="O336" t="n">
        <v>0</v>
      </c>
      <c r="P336" t="n">
        <v>0</v>
      </c>
      <c r="Q336" t="n">
        <v>0</v>
      </c>
      <c r="R336" s="2" t="inlineStr"/>
    </row>
    <row r="337" ht="15" customHeight="1">
      <c r="A337" t="inlineStr">
        <is>
          <t>A 58492-2022</t>
        </is>
      </c>
      <c r="B337" s="1" t="n">
        <v>44902</v>
      </c>
      <c r="C337" s="1" t="n">
        <v>46077</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12031-2021</t>
        </is>
      </c>
      <c r="B338" s="1" t="n">
        <v>44266</v>
      </c>
      <c r="C338" s="1" t="n">
        <v>46077</v>
      </c>
      <c r="D338" t="inlineStr">
        <is>
          <t>STOCKHOLMS LÄN</t>
        </is>
      </c>
      <c r="E338" t="inlineStr">
        <is>
          <t>NORRTÄLJE</t>
        </is>
      </c>
      <c r="G338" t="n">
        <v>2.6</v>
      </c>
      <c r="H338" t="n">
        <v>0</v>
      </c>
      <c r="I338" t="n">
        <v>0</v>
      </c>
      <c r="J338" t="n">
        <v>0</v>
      </c>
      <c r="K338" t="n">
        <v>0</v>
      </c>
      <c r="L338" t="n">
        <v>0</v>
      </c>
      <c r="M338" t="n">
        <v>0</v>
      </c>
      <c r="N338" t="n">
        <v>0</v>
      </c>
      <c r="O338" t="n">
        <v>0</v>
      </c>
      <c r="P338" t="n">
        <v>0</v>
      </c>
      <c r="Q338" t="n">
        <v>0</v>
      </c>
      <c r="R338" s="2" t="inlineStr"/>
    </row>
    <row r="339" ht="15" customHeight="1">
      <c r="A339" t="inlineStr">
        <is>
          <t>A 40761-2024</t>
        </is>
      </c>
      <c r="B339" s="1" t="n">
        <v>45558.46283564815</v>
      </c>
      <c r="C339" s="1" t="n">
        <v>46077</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42955-2022</t>
        </is>
      </c>
      <c r="B340" s="1" t="n">
        <v>44833.40876157407</v>
      </c>
      <c r="C340" s="1" t="n">
        <v>46077</v>
      </c>
      <c r="D340" t="inlineStr">
        <is>
          <t>STOCKHOLMS LÄN</t>
        </is>
      </c>
      <c r="E340" t="inlineStr">
        <is>
          <t>NORRTÄLJE</t>
        </is>
      </c>
      <c r="G340" t="n">
        <v>13.1</v>
      </c>
      <c r="H340" t="n">
        <v>0</v>
      </c>
      <c r="I340" t="n">
        <v>0</v>
      </c>
      <c r="J340" t="n">
        <v>0</v>
      </c>
      <c r="K340" t="n">
        <v>0</v>
      </c>
      <c r="L340" t="n">
        <v>0</v>
      </c>
      <c r="M340" t="n">
        <v>0</v>
      </c>
      <c r="N340" t="n">
        <v>0</v>
      </c>
      <c r="O340" t="n">
        <v>0</v>
      </c>
      <c r="P340" t="n">
        <v>0</v>
      </c>
      <c r="Q340" t="n">
        <v>0</v>
      </c>
      <c r="R340" s="2" t="inlineStr"/>
    </row>
    <row r="341" ht="15" customHeight="1">
      <c r="A341" t="inlineStr">
        <is>
          <t>A 4581-2025</t>
        </is>
      </c>
      <c r="B341" s="1" t="n">
        <v>45687</v>
      </c>
      <c r="C341" s="1" t="n">
        <v>46077</v>
      </c>
      <c r="D341" t="inlineStr">
        <is>
          <t>STOCKHOLMS LÄN</t>
        </is>
      </c>
      <c r="E341" t="inlineStr">
        <is>
          <t>NORRTÄLJE</t>
        </is>
      </c>
      <c r="F341" t="inlineStr">
        <is>
          <t>Holmen skog AB</t>
        </is>
      </c>
      <c r="G341" t="n">
        <v>2.8</v>
      </c>
      <c r="H341" t="n">
        <v>0</v>
      </c>
      <c r="I341" t="n">
        <v>0</v>
      </c>
      <c r="J341" t="n">
        <v>0</v>
      </c>
      <c r="K341" t="n">
        <v>0</v>
      </c>
      <c r="L341" t="n">
        <v>0</v>
      </c>
      <c r="M341" t="n">
        <v>0</v>
      </c>
      <c r="N341" t="n">
        <v>0</v>
      </c>
      <c r="O341" t="n">
        <v>0</v>
      </c>
      <c r="P341" t="n">
        <v>0</v>
      </c>
      <c r="Q341" t="n">
        <v>0</v>
      </c>
      <c r="R341" s="2" t="inlineStr"/>
    </row>
    <row r="342" ht="15" customHeight="1">
      <c r="A342" t="inlineStr">
        <is>
          <t>A 8296-2023</t>
        </is>
      </c>
      <c r="B342" s="1" t="n">
        <v>44974</v>
      </c>
      <c r="C342" s="1" t="n">
        <v>46077</v>
      </c>
      <c r="D342" t="inlineStr">
        <is>
          <t>STOCKHOLMS LÄN</t>
        </is>
      </c>
      <c r="E342" t="inlineStr">
        <is>
          <t>NORRTÄLJE</t>
        </is>
      </c>
      <c r="G342" t="n">
        <v>3.8</v>
      </c>
      <c r="H342" t="n">
        <v>0</v>
      </c>
      <c r="I342" t="n">
        <v>0</v>
      </c>
      <c r="J342" t="n">
        <v>0</v>
      </c>
      <c r="K342" t="n">
        <v>0</v>
      </c>
      <c r="L342" t="n">
        <v>0</v>
      </c>
      <c r="M342" t="n">
        <v>0</v>
      </c>
      <c r="N342" t="n">
        <v>0</v>
      </c>
      <c r="O342" t="n">
        <v>0</v>
      </c>
      <c r="P342" t="n">
        <v>0</v>
      </c>
      <c r="Q342" t="n">
        <v>0</v>
      </c>
      <c r="R342" s="2" t="inlineStr"/>
    </row>
    <row r="343" ht="15" customHeight="1">
      <c r="A343" t="inlineStr">
        <is>
          <t>A 23692-2024</t>
        </is>
      </c>
      <c r="B343" s="1" t="n">
        <v>45454.65774305556</v>
      </c>
      <c r="C343" s="1" t="n">
        <v>46077</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20136-2025</t>
        </is>
      </c>
      <c r="B344" s="1" t="n">
        <v>45772.51127314815</v>
      </c>
      <c r="C344" s="1" t="n">
        <v>46077</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15978-2024</t>
        </is>
      </c>
      <c r="B345" s="1" t="n">
        <v>45405.57927083333</v>
      </c>
      <c r="C345" s="1" t="n">
        <v>46077</v>
      </c>
      <c r="D345" t="inlineStr">
        <is>
          <t>STOCKHOLMS LÄN</t>
        </is>
      </c>
      <c r="E345" t="inlineStr">
        <is>
          <t>NORRTÄLJE</t>
        </is>
      </c>
      <c r="G345" t="n">
        <v>1.5</v>
      </c>
      <c r="H345" t="n">
        <v>0</v>
      </c>
      <c r="I345" t="n">
        <v>0</v>
      </c>
      <c r="J345" t="n">
        <v>0</v>
      </c>
      <c r="K345" t="n">
        <v>0</v>
      </c>
      <c r="L345" t="n">
        <v>0</v>
      </c>
      <c r="M345" t="n">
        <v>0</v>
      </c>
      <c r="N345" t="n">
        <v>0</v>
      </c>
      <c r="O345" t="n">
        <v>0</v>
      </c>
      <c r="P345" t="n">
        <v>0</v>
      </c>
      <c r="Q345" t="n">
        <v>0</v>
      </c>
      <c r="R345" s="2" t="inlineStr"/>
    </row>
    <row r="346" ht="15" customHeight="1">
      <c r="A346" t="inlineStr">
        <is>
          <t>A 31236-2022</t>
        </is>
      </c>
      <c r="B346" s="1" t="n">
        <v>44771</v>
      </c>
      <c r="C346" s="1" t="n">
        <v>46077</v>
      </c>
      <c r="D346" t="inlineStr">
        <is>
          <t>STOCKHOLMS LÄN</t>
        </is>
      </c>
      <c r="E346" t="inlineStr">
        <is>
          <t>NORRTÄLJE</t>
        </is>
      </c>
      <c r="G346" t="n">
        <v>1.7</v>
      </c>
      <c r="H346" t="n">
        <v>0</v>
      </c>
      <c r="I346" t="n">
        <v>0</v>
      </c>
      <c r="J346" t="n">
        <v>0</v>
      </c>
      <c r="K346" t="n">
        <v>0</v>
      </c>
      <c r="L346" t="n">
        <v>0</v>
      </c>
      <c r="M346" t="n">
        <v>0</v>
      </c>
      <c r="N346" t="n">
        <v>0</v>
      </c>
      <c r="O346" t="n">
        <v>0</v>
      </c>
      <c r="P346" t="n">
        <v>0</v>
      </c>
      <c r="Q346" t="n">
        <v>0</v>
      </c>
      <c r="R346" s="2" t="inlineStr"/>
    </row>
    <row r="347" ht="15" customHeight="1">
      <c r="A347" t="inlineStr">
        <is>
          <t>A 36157-2024</t>
        </is>
      </c>
      <c r="B347" s="1" t="n">
        <v>45534.38240740741</v>
      </c>
      <c r="C347" s="1" t="n">
        <v>46077</v>
      </c>
      <c r="D347" t="inlineStr">
        <is>
          <t>STOCKHOLMS LÄN</t>
        </is>
      </c>
      <c r="E347" t="inlineStr">
        <is>
          <t>NORRTÄLJE</t>
        </is>
      </c>
      <c r="F347" t="inlineStr">
        <is>
          <t>Övriga Aktiebolag</t>
        </is>
      </c>
      <c r="G347" t="n">
        <v>1.1</v>
      </c>
      <c r="H347" t="n">
        <v>0</v>
      </c>
      <c r="I347" t="n">
        <v>0</v>
      </c>
      <c r="J347" t="n">
        <v>0</v>
      </c>
      <c r="K347" t="n">
        <v>0</v>
      </c>
      <c r="L347" t="n">
        <v>0</v>
      </c>
      <c r="M347" t="n">
        <v>0</v>
      </c>
      <c r="N347" t="n">
        <v>0</v>
      </c>
      <c r="O347" t="n">
        <v>0</v>
      </c>
      <c r="P347" t="n">
        <v>0</v>
      </c>
      <c r="Q347" t="n">
        <v>0</v>
      </c>
      <c r="R347" s="2" t="inlineStr"/>
    </row>
    <row r="348" ht="15" customHeight="1">
      <c r="A348" t="inlineStr">
        <is>
          <t>A 62398-2022</t>
        </is>
      </c>
      <c r="B348" s="1" t="n">
        <v>44923.90159722222</v>
      </c>
      <c r="C348" s="1" t="n">
        <v>46077</v>
      </c>
      <c r="D348" t="inlineStr">
        <is>
          <t>STOCKHOLMS LÄN</t>
        </is>
      </c>
      <c r="E348" t="inlineStr">
        <is>
          <t>NORRTÄLJE</t>
        </is>
      </c>
      <c r="G348" t="n">
        <v>4</v>
      </c>
      <c r="H348" t="n">
        <v>0</v>
      </c>
      <c r="I348" t="n">
        <v>0</v>
      </c>
      <c r="J348" t="n">
        <v>0</v>
      </c>
      <c r="K348" t="n">
        <v>0</v>
      </c>
      <c r="L348" t="n">
        <v>0</v>
      </c>
      <c r="M348" t="n">
        <v>0</v>
      </c>
      <c r="N348" t="n">
        <v>0</v>
      </c>
      <c r="O348" t="n">
        <v>0</v>
      </c>
      <c r="P348" t="n">
        <v>0</v>
      </c>
      <c r="Q348" t="n">
        <v>0</v>
      </c>
      <c r="R348" s="2" t="inlineStr"/>
    </row>
    <row r="349" ht="15" customHeight="1">
      <c r="A349" t="inlineStr">
        <is>
          <t>A 17039-2024</t>
        </is>
      </c>
      <c r="B349" s="1" t="n">
        <v>45412.4104050926</v>
      </c>
      <c r="C349" s="1" t="n">
        <v>46077</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20473-2021</t>
        </is>
      </c>
      <c r="B350" s="1" t="n">
        <v>44315</v>
      </c>
      <c r="C350" s="1" t="n">
        <v>46077</v>
      </c>
      <c r="D350" t="inlineStr">
        <is>
          <t>STOCKHOLMS LÄN</t>
        </is>
      </c>
      <c r="E350" t="inlineStr">
        <is>
          <t>NORRTÄLJE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7603-2025</t>
        </is>
      </c>
      <c r="B351" s="1" t="n">
        <v>45705.66126157407</v>
      </c>
      <c r="C351" s="1" t="n">
        <v>46077</v>
      </c>
      <c r="D351" t="inlineStr">
        <is>
          <t>STOCKHOLMS LÄN</t>
        </is>
      </c>
      <c r="E351" t="inlineStr">
        <is>
          <t>NORRTÄLJE</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3509-2022</t>
        </is>
      </c>
      <c r="B352" s="1" t="n">
        <v>44585</v>
      </c>
      <c r="C352" s="1" t="n">
        <v>46077</v>
      </c>
      <c r="D352" t="inlineStr">
        <is>
          <t>STOCKHOLMS LÄN</t>
        </is>
      </c>
      <c r="E352" t="inlineStr">
        <is>
          <t>NORRTÄLJE</t>
        </is>
      </c>
      <c r="F352" t="inlineStr">
        <is>
          <t>Kommuner</t>
        </is>
      </c>
      <c r="G352" t="n">
        <v>0.8</v>
      </c>
      <c r="H352" t="n">
        <v>0</v>
      </c>
      <c r="I352" t="n">
        <v>0</v>
      </c>
      <c r="J352" t="n">
        <v>0</v>
      </c>
      <c r="K352" t="n">
        <v>0</v>
      </c>
      <c r="L352" t="n">
        <v>0</v>
      </c>
      <c r="M352" t="n">
        <v>0</v>
      </c>
      <c r="N352" t="n">
        <v>0</v>
      </c>
      <c r="O352" t="n">
        <v>0</v>
      </c>
      <c r="P352" t="n">
        <v>0</v>
      </c>
      <c r="Q352" t="n">
        <v>0</v>
      </c>
      <c r="R352" s="2" t="inlineStr"/>
    </row>
    <row r="353" ht="15" customHeight="1">
      <c r="A353" t="inlineStr">
        <is>
          <t>A 52593-2024</t>
        </is>
      </c>
      <c r="B353" s="1" t="n">
        <v>45609.70778935185</v>
      </c>
      <c r="C353" s="1" t="n">
        <v>46077</v>
      </c>
      <c r="D353" t="inlineStr">
        <is>
          <t>STOCKHOLMS LÄN</t>
        </is>
      </c>
      <c r="E353" t="inlineStr">
        <is>
          <t>NORRTÄLJE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52617-2024</t>
        </is>
      </c>
      <c r="B354" s="1" t="n">
        <v>45609.85146990741</v>
      </c>
      <c r="C354" s="1" t="n">
        <v>46077</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27824-2022</t>
        </is>
      </c>
      <c r="B355" s="1" t="n">
        <v>44743.59331018518</v>
      </c>
      <c r="C355" s="1" t="n">
        <v>46077</v>
      </c>
      <c r="D355" t="inlineStr">
        <is>
          <t>STOCKHOLMS LÄN</t>
        </is>
      </c>
      <c r="E355" t="inlineStr">
        <is>
          <t>NORRTÄLJE</t>
        </is>
      </c>
      <c r="F355" t="inlineStr">
        <is>
          <t>Kommuner</t>
        </is>
      </c>
      <c r="G355" t="n">
        <v>3.1</v>
      </c>
      <c r="H355" t="n">
        <v>0</v>
      </c>
      <c r="I355" t="n">
        <v>0</v>
      </c>
      <c r="J355" t="n">
        <v>0</v>
      </c>
      <c r="K355" t="n">
        <v>0</v>
      </c>
      <c r="L355" t="n">
        <v>0</v>
      </c>
      <c r="M355" t="n">
        <v>0</v>
      </c>
      <c r="N355" t="n">
        <v>0</v>
      </c>
      <c r="O355" t="n">
        <v>0</v>
      </c>
      <c r="P355" t="n">
        <v>0</v>
      </c>
      <c r="Q355" t="n">
        <v>0</v>
      </c>
      <c r="R355" s="2" t="inlineStr"/>
    </row>
    <row r="356" ht="15" customHeight="1">
      <c r="A356" t="inlineStr">
        <is>
          <t>A 7697-2025</t>
        </is>
      </c>
      <c r="B356" s="1" t="n">
        <v>45706.40086805556</v>
      </c>
      <c r="C356" s="1" t="n">
        <v>46077</v>
      </c>
      <c r="D356" t="inlineStr">
        <is>
          <t>STOCKHOLMS LÄN</t>
        </is>
      </c>
      <c r="E356" t="inlineStr">
        <is>
          <t>NORRTÄLJE</t>
        </is>
      </c>
      <c r="F356" t="inlineStr">
        <is>
          <t>Holmen skog AB</t>
        </is>
      </c>
      <c r="G356" t="n">
        <v>1.8</v>
      </c>
      <c r="H356" t="n">
        <v>0</v>
      </c>
      <c r="I356" t="n">
        <v>0</v>
      </c>
      <c r="J356" t="n">
        <v>0</v>
      </c>
      <c r="K356" t="n">
        <v>0</v>
      </c>
      <c r="L356" t="n">
        <v>0</v>
      </c>
      <c r="M356" t="n">
        <v>0</v>
      </c>
      <c r="N356" t="n">
        <v>0</v>
      </c>
      <c r="O356" t="n">
        <v>0</v>
      </c>
      <c r="P356" t="n">
        <v>0</v>
      </c>
      <c r="Q356" t="n">
        <v>0</v>
      </c>
      <c r="R356" s="2" t="inlineStr"/>
    </row>
    <row r="357" ht="15" customHeight="1">
      <c r="A357" t="inlineStr">
        <is>
          <t>A 5158-2024</t>
        </is>
      </c>
      <c r="B357" s="1" t="n">
        <v>45330.50098379629</v>
      </c>
      <c r="C357" s="1" t="n">
        <v>46077</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39669-2024</t>
        </is>
      </c>
      <c r="B358" s="1" t="n">
        <v>45552.52827546297</v>
      </c>
      <c r="C358" s="1" t="n">
        <v>46077</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47521-2024</t>
        </is>
      </c>
      <c r="B359" s="1" t="n">
        <v>45587.62565972222</v>
      </c>
      <c r="C359" s="1" t="n">
        <v>46077</v>
      </c>
      <c r="D359" t="inlineStr">
        <is>
          <t>STOCKHOLMS LÄN</t>
        </is>
      </c>
      <c r="E359" t="inlineStr">
        <is>
          <t>NORRTÄLJE</t>
        </is>
      </c>
      <c r="G359" t="n">
        <v>4.7</v>
      </c>
      <c r="H359" t="n">
        <v>0</v>
      </c>
      <c r="I359" t="n">
        <v>0</v>
      </c>
      <c r="J359" t="n">
        <v>0</v>
      </c>
      <c r="K359" t="n">
        <v>0</v>
      </c>
      <c r="L359" t="n">
        <v>0</v>
      </c>
      <c r="M359" t="n">
        <v>0</v>
      </c>
      <c r="N359" t="n">
        <v>0</v>
      </c>
      <c r="O359" t="n">
        <v>0</v>
      </c>
      <c r="P359" t="n">
        <v>0</v>
      </c>
      <c r="Q359" t="n">
        <v>0</v>
      </c>
      <c r="R359" s="2" t="inlineStr"/>
    </row>
    <row r="360" ht="15" customHeight="1">
      <c r="A360" t="inlineStr">
        <is>
          <t>A 2982-2023</t>
        </is>
      </c>
      <c r="B360" s="1" t="n">
        <v>44945.67409722223</v>
      </c>
      <c r="C360" s="1" t="n">
        <v>46077</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51046-2023</t>
        </is>
      </c>
      <c r="B361" s="1" t="n">
        <v>45218</v>
      </c>
      <c r="C361" s="1" t="n">
        <v>46077</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1448-2023</t>
        </is>
      </c>
      <c r="B362" s="1" t="n">
        <v>44937</v>
      </c>
      <c r="C362" s="1" t="n">
        <v>46077</v>
      </c>
      <c r="D362" t="inlineStr">
        <is>
          <t>STOCKHOLMS LÄN</t>
        </is>
      </c>
      <c r="E362" t="inlineStr">
        <is>
          <t>NORRTÄLJE</t>
        </is>
      </c>
      <c r="G362" t="n">
        <v>1.9</v>
      </c>
      <c r="H362" t="n">
        <v>0</v>
      </c>
      <c r="I362" t="n">
        <v>0</v>
      </c>
      <c r="J362" t="n">
        <v>0</v>
      </c>
      <c r="K362" t="n">
        <v>0</v>
      </c>
      <c r="L362" t="n">
        <v>0</v>
      </c>
      <c r="M362" t="n">
        <v>0</v>
      </c>
      <c r="N362" t="n">
        <v>0</v>
      </c>
      <c r="O362" t="n">
        <v>0</v>
      </c>
      <c r="P362" t="n">
        <v>0</v>
      </c>
      <c r="Q362" t="n">
        <v>0</v>
      </c>
      <c r="R362" s="2" t="inlineStr"/>
    </row>
    <row r="363" ht="15" customHeight="1">
      <c r="A363" t="inlineStr">
        <is>
          <t>A 35127-2023</t>
        </is>
      </c>
      <c r="B363" s="1" t="n">
        <v>45145.51</v>
      </c>
      <c r="C363" s="1" t="n">
        <v>46077</v>
      </c>
      <c r="D363" t="inlineStr">
        <is>
          <t>STOCKHOLMS LÄN</t>
        </is>
      </c>
      <c r="E363" t="inlineStr">
        <is>
          <t>NORRTÄLJE</t>
        </is>
      </c>
      <c r="G363" t="n">
        <v>4.7</v>
      </c>
      <c r="H363" t="n">
        <v>0</v>
      </c>
      <c r="I363" t="n">
        <v>0</v>
      </c>
      <c r="J363" t="n">
        <v>0</v>
      </c>
      <c r="K363" t="n">
        <v>0</v>
      </c>
      <c r="L363" t="n">
        <v>0</v>
      </c>
      <c r="M363" t="n">
        <v>0</v>
      </c>
      <c r="N363" t="n">
        <v>0</v>
      </c>
      <c r="O363" t="n">
        <v>0</v>
      </c>
      <c r="P363" t="n">
        <v>0</v>
      </c>
      <c r="Q363" t="n">
        <v>0</v>
      </c>
      <c r="R363" s="2" t="inlineStr"/>
    </row>
    <row r="364" ht="15" customHeight="1">
      <c r="A364" t="inlineStr">
        <is>
          <t>A 50534-2024</t>
        </is>
      </c>
      <c r="B364" s="1" t="n">
        <v>45601.56726851852</v>
      </c>
      <c r="C364" s="1" t="n">
        <v>46077</v>
      </c>
      <c r="D364" t="inlineStr">
        <is>
          <t>STOCKHOLMS LÄN</t>
        </is>
      </c>
      <c r="E364" t="inlineStr">
        <is>
          <t>NORRTÄLJE</t>
        </is>
      </c>
      <c r="G364" t="n">
        <v>2.6</v>
      </c>
      <c r="H364" t="n">
        <v>0</v>
      </c>
      <c r="I364" t="n">
        <v>0</v>
      </c>
      <c r="J364" t="n">
        <v>0</v>
      </c>
      <c r="K364" t="n">
        <v>0</v>
      </c>
      <c r="L364" t="n">
        <v>0</v>
      </c>
      <c r="M364" t="n">
        <v>0</v>
      </c>
      <c r="N364" t="n">
        <v>0</v>
      </c>
      <c r="O364" t="n">
        <v>0</v>
      </c>
      <c r="P364" t="n">
        <v>0</v>
      </c>
      <c r="Q364" t="n">
        <v>0</v>
      </c>
      <c r="R364" s="2" t="inlineStr"/>
    </row>
    <row r="365" ht="15" customHeight="1">
      <c r="A365" t="inlineStr">
        <is>
          <t>A 50136-2023</t>
        </is>
      </c>
      <c r="B365" s="1" t="n">
        <v>45215</v>
      </c>
      <c r="C365" s="1" t="n">
        <v>46077</v>
      </c>
      <c r="D365" t="inlineStr">
        <is>
          <t>STOCKHOLMS LÄN</t>
        </is>
      </c>
      <c r="E365" t="inlineStr">
        <is>
          <t>NORRTÄLJE</t>
        </is>
      </c>
      <c r="G365" t="n">
        <v>5.2</v>
      </c>
      <c r="H365" t="n">
        <v>0</v>
      </c>
      <c r="I365" t="n">
        <v>0</v>
      </c>
      <c r="J365" t="n">
        <v>0</v>
      </c>
      <c r="K365" t="n">
        <v>0</v>
      </c>
      <c r="L365" t="n">
        <v>0</v>
      </c>
      <c r="M365" t="n">
        <v>0</v>
      </c>
      <c r="N365" t="n">
        <v>0</v>
      </c>
      <c r="O365" t="n">
        <v>0</v>
      </c>
      <c r="P365" t="n">
        <v>0</v>
      </c>
      <c r="Q365" t="n">
        <v>0</v>
      </c>
      <c r="R365" s="2" t="inlineStr"/>
    </row>
    <row r="366" ht="15" customHeight="1">
      <c r="A366" t="inlineStr">
        <is>
          <t>A 8736-2024</t>
        </is>
      </c>
      <c r="B366" s="1" t="n">
        <v>45356.4722800926</v>
      </c>
      <c r="C366" s="1" t="n">
        <v>46077</v>
      </c>
      <c r="D366" t="inlineStr">
        <is>
          <t>STOCKHOLMS LÄN</t>
        </is>
      </c>
      <c r="E366" t="inlineStr">
        <is>
          <t>NORRTÄLJE</t>
        </is>
      </c>
      <c r="G366" t="n">
        <v>8.9</v>
      </c>
      <c r="H366" t="n">
        <v>0</v>
      </c>
      <c r="I366" t="n">
        <v>0</v>
      </c>
      <c r="J366" t="n">
        <v>0</v>
      </c>
      <c r="K366" t="n">
        <v>0</v>
      </c>
      <c r="L366" t="n">
        <v>0</v>
      </c>
      <c r="M366" t="n">
        <v>0</v>
      </c>
      <c r="N366" t="n">
        <v>0</v>
      </c>
      <c r="O366" t="n">
        <v>0</v>
      </c>
      <c r="P366" t="n">
        <v>0</v>
      </c>
      <c r="Q366" t="n">
        <v>0</v>
      </c>
      <c r="R366" s="2" t="inlineStr"/>
    </row>
    <row r="367" ht="15" customHeight="1">
      <c r="A367" t="inlineStr">
        <is>
          <t>A 42094-2023</t>
        </is>
      </c>
      <c r="B367" s="1" t="n">
        <v>45177.61498842593</v>
      </c>
      <c r="C367" s="1" t="n">
        <v>46077</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58530-2024</t>
        </is>
      </c>
      <c r="B368" s="1" t="n">
        <v>45635.44788194444</v>
      </c>
      <c r="C368" s="1" t="n">
        <v>46077</v>
      </c>
      <c r="D368" t="inlineStr">
        <is>
          <t>STOCKHOLMS LÄN</t>
        </is>
      </c>
      <c r="E368" t="inlineStr">
        <is>
          <t>NORRTÄLJE</t>
        </is>
      </c>
      <c r="G368" t="n">
        <v>4.5</v>
      </c>
      <c r="H368" t="n">
        <v>0</v>
      </c>
      <c r="I368" t="n">
        <v>0</v>
      </c>
      <c r="J368" t="n">
        <v>0</v>
      </c>
      <c r="K368" t="n">
        <v>0</v>
      </c>
      <c r="L368" t="n">
        <v>0</v>
      </c>
      <c r="M368" t="n">
        <v>0</v>
      </c>
      <c r="N368" t="n">
        <v>0</v>
      </c>
      <c r="O368" t="n">
        <v>0</v>
      </c>
      <c r="P368" t="n">
        <v>0</v>
      </c>
      <c r="Q368" t="n">
        <v>0</v>
      </c>
      <c r="R368" s="2" t="inlineStr"/>
    </row>
    <row r="369" ht="15" customHeight="1">
      <c r="A369" t="inlineStr">
        <is>
          <t>A 15552-2021</t>
        </is>
      </c>
      <c r="B369" s="1" t="n">
        <v>44285</v>
      </c>
      <c r="C369" s="1" t="n">
        <v>46077</v>
      </c>
      <c r="D369" t="inlineStr">
        <is>
          <t>STOCKHOLMS LÄN</t>
        </is>
      </c>
      <c r="E369" t="inlineStr">
        <is>
          <t>NORRTÄLJE</t>
        </is>
      </c>
      <c r="G369" t="n">
        <v>10</v>
      </c>
      <c r="H369" t="n">
        <v>0</v>
      </c>
      <c r="I369" t="n">
        <v>0</v>
      </c>
      <c r="J369" t="n">
        <v>0</v>
      </c>
      <c r="K369" t="n">
        <v>0</v>
      </c>
      <c r="L369" t="n">
        <v>0</v>
      </c>
      <c r="M369" t="n">
        <v>0</v>
      </c>
      <c r="N369" t="n">
        <v>0</v>
      </c>
      <c r="O369" t="n">
        <v>0</v>
      </c>
      <c r="P369" t="n">
        <v>0</v>
      </c>
      <c r="Q369" t="n">
        <v>0</v>
      </c>
      <c r="R369" s="2" t="inlineStr"/>
    </row>
    <row r="370" ht="15" customHeight="1">
      <c r="A370" t="inlineStr">
        <is>
          <t>A 30620-2022</t>
        </is>
      </c>
      <c r="B370" s="1" t="n">
        <v>44763.40914351852</v>
      </c>
      <c r="C370" s="1" t="n">
        <v>46077</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11229-2022</t>
        </is>
      </c>
      <c r="B371" s="1" t="n">
        <v>44629</v>
      </c>
      <c r="C371" s="1" t="n">
        <v>46077</v>
      </c>
      <c r="D371" t="inlineStr">
        <is>
          <t>STOCKHOLMS LÄN</t>
        </is>
      </c>
      <c r="E371" t="inlineStr">
        <is>
          <t>NORRTÄLJE</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37550-2022</t>
        </is>
      </c>
      <c r="B372" s="1" t="n">
        <v>44809</v>
      </c>
      <c r="C372" s="1" t="n">
        <v>46077</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9654-2022</t>
        </is>
      </c>
      <c r="B373" s="1" t="n">
        <v>44617</v>
      </c>
      <c r="C373" s="1" t="n">
        <v>46077</v>
      </c>
      <c r="D373" t="inlineStr">
        <is>
          <t>STOCKHOLMS LÄN</t>
        </is>
      </c>
      <c r="E373" t="inlineStr">
        <is>
          <t>NORRTÄLJE</t>
        </is>
      </c>
      <c r="G373" t="n">
        <v>6.4</v>
      </c>
      <c r="H373" t="n">
        <v>0</v>
      </c>
      <c r="I373" t="n">
        <v>0</v>
      </c>
      <c r="J373" t="n">
        <v>0</v>
      </c>
      <c r="K373" t="n">
        <v>0</v>
      </c>
      <c r="L373" t="n">
        <v>0</v>
      </c>
      <c r="M373" t="n">
        <v>0</v>
      </c>
      <c r="N373" t="n">
        <v>0</v>
      </c>
      <c r="O373" t="n">
        <v>0</v>
      </c>
      <c r="P373" t="n">
        <v>0</v>
      </c>
      <c r="Q373" t="n">
        <v>0</v>
      </c>
      <c r="R373" s="2" t="inlineStr"/>
    </row>
    <row r="374" ht="15" customHeight="1">
      <c r="A374" t="inlineStr">
        <is>
          <t>A 5389-2025</t>
        </is>
      </c>
      <c r="B374" s="1" t="n">
        <v>45692</v>
      </c>
      <c r="C374" s="1" t="n">
        <v>46077</v>
      </c>
      <c r="D374" t="inlineStr">
        <is>
          <t>STOCKHOLMS LÄN</t>
        </is>
      </c>
      <c r="E374" t="inlineStr">
        <is>
          <t>NORRTÄLJE</t>
        </is>
      </c>
      <c r="G374" t="n">
        <v>0.8</v>
      </c>
      <c r="H374" t="n">
        <v>0</v>
      </c>
      <c r="I374" t="n">
        <v>0</v>
      </c>
      <c r="J374" t="n">
        <v>0</v>
      </c>
      <c r="K374" t="n">
        <v>0</v>
      </c>
      <c r="L374" t="n">
        <v>0</v>
      </c>
      <c r="M374" t="n">
        <v>0</v>
      </c>
      <c r="N374" t="n">
        <v>0</v>
      </c>
      <c r="O374" t="n">
        <v>0</v>
      </c>
      <c r="P374" t="n">
        <v>0</v>
      </c>
      <c r="Q374" t="n">
        <v>0</v>
      </c>
      <c r="R374" s="2" t="inlineStr"/>
    </row>
    <row r="375" ht="15" customHeight="1">
      <c r="A375" t="inlineStr">
        <is>
          <t>A 57602-2024</t>
        </is>
      </c>
      <c r="B375" s="1" t="n">
        <v>45630.52866898148</v>
      </c>
      <c r="C375" s="1" t="n">
        <v>46077</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47431-2023</t>
        </is>
      </c>
      <c r="B376" s="1" t="n">
        <v>45202</v>
      </c>
      <c r="C376" s="1" t="n">
        <v>46077</v>
      </c>
      <c r="D376" t="inlineStr">
        <is>
          <t>STOCKHOLMS LÄN</t>
        </is>
      </c>
      <c r="E376" t="inlineStr">
        <is>
          <t>NORRTÄLJE</t>
        </is>
      </c>
      <c r="F376" t="inlineStr">
        <is>
          <t>Naturvårdsverket</t>
        </is>
      </c>
      <c r="G376" t="n">
        <v>1.2</v>
      </c>
      <c r="H376" t="n">
        <v>0</v>
      </c>
      <c r="I376" t="n">
        <v>0</v>
      </c>
      <c r="J376" t="n">
        <v>0</v>
      </c>
      <c r="K376" t="n">
        <v>0</v>
      </c>
      <c r="L376" t="n">
        <v>0</v>
      </c>
      <c r="M376" t="n">
        <v>0</v>
      </c>
      <c r="N376" t="n">
        <v>0</v>
      </c>
      <c r="O376" t="n">
        <v>0</v>
      </c>
      <c r="P376" t="n">
        <v>0</v>
      </c>
      <c r="Q376" t="n">
        <v>0</v>
      </c>
      <c r="R376" s="2" t="inlineStr"/>
    </row>
    <row r="377" ht="15" customHeight="1">
      <c r="A377" t="inlineStr">
        <is>
          <t>A 37147-2023</t>
        </is>
      </c>
      <c r="B377" s="1" t="n">
        <v>45155</v>
      </c>
      <c r="C377" s="1" t="n">
        <v>46077</v>
      </c>
      <c r="D377" t="inlineStr">
        <is>
          <t>STOCKHOLMS LÄN</t>
        </is>
      </c>
      <c r="E377" t="inlineStr">
        <is>
          <t>NORRTÄLJE</t>
        </is>
      </c>
      <c r="G377" t="n">
        <v>8</v>
      </c>
      <c r="H377" t="n">
        <v>0</v>
      </c>
      <c r="I377" t="n">
        <v>0</v>
      </c>
      <c r="J377" t="n">
        <v>0</v>
      </c>
      <c r="K377" t="n">
        <v>0</v>
      </c>
      <c r="L377" t="n">
        <v>0</v>
      </c>
      <c r="M377" t="n">
        <v>0</v>
      </c>
      <c r="N377" t="n">
        <v>0</v>
      </c>
      <c r="O377" t="n">
        <v>0</v>
      </c>
      <c r="P377" t="n">
        <v>0</v>
      </c>
      <c r="Q377" t="n">
        <v>0</v>
      </c>
      <c r="R377" s="2" t="inlineStr"/>
    </row>
    <row r="378" ht="15" customHeight="1">
      <c r="A378" t="inlineStr">
        <is>
          <t>A 11854-2025</t>
        </is>
      </c>
      <c r="B378" s="1" t="n">
        <v>45728.38924768518</v>
      </c>
      <c r="C378" s="1" t="n">
        <v>46077</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1283-2025</t>
        </is>
      </c>
      <c r="B379" s="1" t="n">
        <v>45667.49878472222</v>
      </c>
      <c r="C379" s="1" t="n">
        <v>46077</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59499-2023</t>
        </is>
      </c>
      <c r="B380" s="1" t="n">
        <v>45254</v>
      </c>
      <c r="C380" s="1" t="n">
        <v>46077</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60654-2023</t>
        </is>
      </c>
      <c r="B381" s="1" t="n">
        <v>45260.43225694444</v>
      </c>
      <c r="C381" s="1" t="n">
        <v>46077</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60656-2023</t>
        </is>
      </c>
      <c r="B382" s="1" t="n">
        <v>45260.4333449074</v>
      </c>
      <c r="C382" s="1" t="n">
        <v>46077</v>
      </c>
      <c r="D382" t="inlineStr">
        <is>
          <t>STOCKHOLMS LÄN</t>
        </is>
      </c>
      <c r="E382" t="inlineStr">
        <is>
          <t>NORRTÄLJE</t>
        </is>
      </c>
      <c r="G382" t="n">
        <v>4.8</v>
      </c>
      <c r="H382" t="n">
        <v>0</v>
      </c>
      <c r="I382" t="n">
        <v>0</v>
      </c>
      <c r="J382" t="n">
        <v>0</v>
      </c>
      <c r="K382" t="n">
        <v>0</v>
      </c>
      <c r="L382" t="n">
        <v>0</v>
      </c>
      <c r="M382" t="n">
        <v>0</v>
      </c>
      <c r="N382" t="n">
        <v>0</v>
      </c>
      <c r="O382" t="n">
        <v>0</v>
      </c>
      <c r="P382" t="n">
        <v>0</v>
      </c>
      <c r="Q382" t="n">
        <v>0</v>
      </c>
      <c r="R382" s="2" t="inlineStr"/>
    </row>
    <row r="383" ht="15" customHeight="1">
      <c r="A383" t="inlineStr">
        <is>
          <t>A 45255-2022</t>
        </is>
      </c>
      <c r="B383" s="1" t="n">
        <v>44840</v>
      </c>
      <c r="C383" s="1" t="n">
        <v>46077</v>
      </c>
      <c r="D383" t="inlineStr">
        <is>
          <t>STOCKHOLMS LÄN</t>
        </is>
      </c>
      <c r="E383" t="inlineStr">
        <is>
          <t>NORRTÄLJE</t>
        </is>
      </c>
      <c r="G383" t="n">
        <v>4.1</v>
      </c>
      <c r="H383" t="n">
        <v>0</v>
      </c>
      <c r="I383" t="n">
        <v>0</v>
      </c>
      <c r="J383" t="n">
        <v>0</v>
      </c>
      <c r="K383" t="n">
        <v>0</v>
      </c>
      <c r="L383" t="n">
        <v>0</v>
      </c>
      <c r="M383" t="n">
        <v>0</v>
      </c>
      <c r="N383" t="n">
        <v>0</v>
      </c>
      <c r="O383" t="n">
        <v>0</v>
      </c>
      <c r="P383" t="n">
        <v>0</v>
      </c>
      <c r="Q383" t="n">
        <v>0</v>
      </c>
      <c r="R383" s="2" t="inlineStr"/>
    </row>
    <row r="384" ht="15" customHeight="1">
      <c r="A384" t="inlineStr">
        <is>
          <t>A 19915-2024</t>
        </is>
      </c>
      <c r="B384" s="1" t="n">
        <v>45433.58431712963</v>
      </c>
      <c r="C384" s="1" t="n">
        <v>46077</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12629-2024</t>
        </is>
      </c>
      <c r="B385" s="1" t="n">
        <v>45383</v>
      </c>
      <c r="C385" s="1" t="n">
        <v>46077</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22697-2022</t>
        </is>
      </c>
      <c r="B386" s="1" t="n">
        <v>44714.56040509259</v>
      </c>
      <c r="C386" s="1" t="n">
        <v>46077</v>
      </c>
      <c r="D386" t="inlineStr">
        <is>
          <t>STOCKHOLMS LÄN</t>
        </is>
      </c>
      <c r="E386" t="inlineStr">
        <is>
          <t>NORRTÄLJE</t>
        </is>
      </c>
      <c r="G386" t="n">
        <v>5.6</v>
      </c>
      <c r="H386" t="n">
        <v>0</v>
      </c>
      <c r="I386" t="n">
        <v>0</v>
      </c>
      <c r="J386" t="n">
        <v>0</v>
      </c>
      <c r="K386" t="n">
        <v>0</v>
      </c>
      <c r="L386" t="n">
        <v>0</v>
      </c>
      <c r="M386" t="n">
        <v>0</v>
      </c>
      <c r="N386" t="n">
        <v>0</v>
      </c>
      <c r="O386" t="n">
        <v>0</v>
      </c>
      <c r="P386" t="n">
        <v>0</v>
      </c>
      <c r="Q386" t="n">
        <v>0</v>
      </c>
      <c r="R386" s="2" t="inlineStr"/>
    </row>
    <row r="387" ht="15" customHeight="1">
      <c r="A387" t="inlineStr">
        <is>
          <t>A 20428-2024</t>
        </is>
      </c>
      <c r="B387" s="1" t="n">
        <v>45435</v>
      </c>
      <c r="C387" s="1" t="n">
        <v>46077</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60217-2021</t>
        </is>
      </c>
      <c r="B388" s="1" t="n">
        <v>44495.5893287037</v>
      </c>
      <c r="C388" s="1" t="n">
        <v>46077</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57037-2022</t>
        </is>
      </c>
      <c r="B389" s="1" t="n">
        <v>44895</v>
      </c>
      <c r="C389" s="1" t="n">
        <v>46077</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14762-2024</t>
        </is>
      </c>
      <c r="B390" s="1" t="n">
        <v>45397</v>
      </c>
      <c r="C390" s="1" t="n">
        <v>46077</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23262-2023</t>
        </is>
      </c>
      <c r="B391" s="1" t="n">
        <v>45075.90270833333</v>
      </c>
      <c r="C391" s="1" t="n">
        <v>46077</v>
      </c>
      <c r="D391" t="inlineStr">
        <is>
          <t>STOCKHOLMS LÄN</t>
        </is>
      </c>
      <c r="E391" t="inlineStr">
        <is>
          <t>NORRTÄLJE</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23268-2023</t>
        </is>
      </c>
      <c r="B392" s="1" t="n">
        <v>45075.91042824074</v>
      </c>
      <c r="C392" s="1" t="n">
        <v>46077</v>
      </c>
      <c r="D392" t="inlineStr">
        <is>
          <t>STOCKHOLMS LÄN</t>
        </is>
      </c>
      <c r="E392" t="inlineStr">
        <is>
          <t>NORRTÄLJE</t>
        </is>
      </c>
      <c r="G392" t="n">
        <v>3.3</v>
      </c>
      <c r="H392" t="n">
        <v>0</v>
      </c>
      <c r="I392" t="n">
        <v>0</v>
      </c>
      <c r="J392" t="n">
        <v>0</v>
      </c>
      <c r="K392" t="n">
        <v>0</v>
      </c>
      <c r="L392" t="n">
        <v>0</v>
      </c>
      <c r="M392" t="n">
        <v>0</v>
      </c>
      <c r="N392" t="n">
        <v>0</v>
      </c>
      <c r="O392" t="n">
        <v>0</v>
      </c>
      <c r="P392" t="n">
        <v>0</v>
      </c>
      <c r="Q392" t="n">
        <v>0</v>
      </c>
      <c r="R392" s="2" t="inlineStr"/>
    </row>
    <row r="393" ht="15" customHeight="1">
      <c r="A393" t="inlineStr">
        <is>
          <t>A 23270-2023</t>
        </is>
      </c>
      <c r="B393" s="1" t="n">
        <v>45075.91265046296</v>
      </c>
      <c r="C393" s="1" t="n">
        <v>46077</v>
      </c>
      <c r="D393" t="inlineStr">
        <is>
          <t>STOCKHOLMS LÄN</t>
        </is>
      </c>
      <c r="E393" t="inlineStr">
        <is>
          <t>NORRTÄLJE</t>
        </is>
      </c>
      <c r="G393" t="n">
        <v>12.3</v>
      </c>
      <c r="H393" t="n">
        <v>0</v>
      </c>
      <c r="I393" t="n">
        <v>0</v>
      </c>
      <c r="J393" t="n">
        <v>0</v>
      </c>
      <c r="K393" t="n">
        <v>0</v>
      </c>
      <c r="L393" t="n">
        <v>0</v>
      </c>
      <c r="M393" t="n">
        <v>0</v>
      </c>
      <c r="N393" t="n">
        <v>0</v>
      </c>
      <c r="O393" t="n">
        <v>0</v>
      </c>
      <c r="P393" t="n">
        <v>0</v>
      </c>
      <c r="Q393" t="n">
        <v>0</v>
      </c>
      <c r="R393" s="2" t="inlineStr"/>
    </row>
    <row r="394" ht="15" customHeight="1">
      <c r="A394" t="inlineStr">
        <is>
          <t>A 23274-2023</t>
        </is>
      </c>
      <c r="B394" s="1" t="n">
        <v>45075.92153935185</v>
      </c>
      <c r="C394" s="1" t="n">
        <v>46077</v>
      </c>
      <c r="D394" t="inlineStr">
        <is>
          <t>STOCKHOLMS LÄN</t>
        </is>
      </c>
      <c r="E394" t="inlineStr">
        <is>
          <t>NORRTÄLJE</t>
        </is>
      </c>
      <c r="G394" t="n">
        <v>1.2</v>
      </c>
      <c r="H394" t="n">
        <v>0</v>
      </c>
      <c r="I394" t="n">
        <v>0</v>
      </c>
      <c r="J394" t="n">
        <v>0</v>
      </c>
      <c r="K394" t="n">
        <v>0</v>
      </c>
      <c r="L394" t="n">
        <v>0</v>
      </c>
      <c r="M394" t="n">
        <v>0</v>
      </c>
      <c r="N394" t="n">
        <v>0</v>
      </c>
      <c r="O394" t="n">
        <v>0</v>
      </c>
      <c r="P394" t="n">
        <v>0</v>
      </c>
      <c r="Q394" t="n">
        <v>0</v>
      </c>
      <c r="R394" s="2" t="inlineStr"/>
    </row>
    <row r="395" ht="15" customHeight="1">
      <c r="A395" t="inlineStr">
        <is>
          <t>A 28900-2022</t>
        </is>
      </c>
      <c r="B395" s="1" t="n">
        <v>44749.55258101852</v>
      </c>
      <c r="C395" s="1" t="n">
        <v>46077</v>
      </c>
      <c r="D395" t="inlineStr">
        <is>
          <t>STOCKHOLMS LÄN</t>
        </is>
      </c>
      <c r="E395" t="inlineStr">
        <is>
          <t>NORRTÄLJE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32514-2022</t>
        </is>
      </c>
      <c r="B396" s="1" t="n">
        <v>44782</v>
      </c>
      <c r="C396" s="1" t="n">
        <v>46077</v>
      </c>
      <c r="D396" t="inlineStr">
        <is>
          <t>STOCKHOLMS LÄN</t>
        </is>
      </c>
      <c r="E396" t="inlineStr">
        <is>
          <t>NORRTÄLJE</t>
        </is>
      </c>
      <c r="G396" t="n">
        <v>5.1</v>
      </c>
      <c r="H396" t="n">
        <v>0</v>
      </c>
      <c r="I396" t="n">
        <v>0</v>
      </c>
      <c r="J396" t="n">
        <v>0</v>
      </c>
      <c r="K396" t="n">
        <v>0</v>
      </c>
      <c r="L396" t="n">
        <v>0</v>
      </c>
      <c r="M396" t="n">
        <v>0</v>
      </c>
      <c r="N396" t="n">
        <v>0</v>
      </c>
      <c r="O396" t="n">
        <v>0</v>
      </c>
      <c r="P396" t="n">
        <v>0</v>
      </c>
      <c r="Q396" t="n">
        <v>0</v>
      </c>
      <c r="R396" s="2" t="inlineStr"/>
    </row>
    <row r="397" ht="15" customHeight="1">
      <c r="A397" t="inlineStr">
        <is>
          <t>A 5732-2023</t>
        </is>
      </c>
      <c r="B397" s="1" t="n">
        <v>44962</v>
      </c>
      <c r="C397" s="1" t="n">
        <v>46077</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14130-2025</t>
        </is>
      </c>
      <c r="B398" s="1" t="n">
        <v>45740.47288194444</v>
      </c>
      <c r="C398" s="1" t="n">
        <v>46077</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12532-2025</t>
        </is>
      </c>
      <c r="B399" s="1" t="n">
        <v>45730.69143518519</v>
      </c>
      <c r="C399" s="1" t="n">
        <v>46077</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25609-2023</t>
        </is>
      </c>
      <c r="B400" s="1" t="n">
        <v>45089</v>
      </c>
      <c r="C400" s="1" t="n">
        <v>46077</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40175-2024</t>
        </is>
      </c>
      <c r="B401" s="1" t="n">
        <v>45554.55707175926</v>
      </c>
      <c r="C401" s="1" t="n">
        <v>46077</v>
      </c>
      <c r="D401" t="inlineStr">
        <is>
          <t>STOCKHOLMS LÄN</t>
        </is>
      </c>
      <c r="E401" t="inlineStr">
        <is>
          <t>NORRTÄLJE</t>
        </is>
      </c>
      <c r="G401" t="n">
        <v>7.7</v>
      </c>
      <c r="H401" t="n">
        <v>0</v>
      </c>
      <c r="I401" t="n">
        <v>0</v>
      </c>
      <c r="J401" t="n">
        <v>0</v>
      </c>
      <c r="K401" t="n">
        <v>0</v>
      </c>
      <c r="L401" t="n">
        <v>0</v>
      </c>
      <c r="M401" t="n">
        <v>0</v>
      </c>
      <c r="N401" t="n">
        <v>0</v>
      </c>
      <c r="O401" t="n">
        <v>0</v>
      </c>
      <c r="P401" t="n">
        <v>0</v>
      </c>
      <c r="Q401" t="n">
        <v>0</v>
      </c>
      <c r="R401" s="2" t="inlineStr"/>
    </row>
    <row r="402" ht="15" customHeight="1">
      <c r="A402" t="inlineStr">
        <is>
          <t>A 16229-2022</t>
        </is>
      </c>
      <c r="B402" s="1" t="n">
        <v>44670.4190162037</v>
      </c>
      <c r="C402" s="1" t="n">
        <v>46077</v>
      </c>
      <c r="D402" t="inlineStr">
        <is>
          <t>STOCKHOLMS LÄN</t>
        </is>
      </c>
      <c r="E402" t="inlineStr">
        <is>
          <t>NORRTÄLJE</t>
        </is>
      </c>
      <c r="G402" t="n">
        <v>7.4</v>
      </c>
      <c r="H402" t="n">
        <v>0</v>
      </c>
      <c r="I402" t="n">
        <v>0</v>
      </c>
      <c r="J402" t="n">
        <v>0</v>
      </c>
      <c r="K402" t="n">
        <v>0</v>
      </c>
      <c r="L402" t="n">
        <v>0</v>
      </c>
      <c r="M402" t="n">
        <v>0</v>
      </c>
      <c r="N402" t="n">
        <v>0</v>
      </c>
      <c r="O402" t="n">
        <v>0</v>
      </c>
      <c r="P402" t="n">
        <v>0</v>
      </c>
      <c r="Q402" t="n">
        <v>0</v>
      </c>
      <c r="R402" s="2" t="inlineStr"/>
    </row>
    <row r="403" ht="15" customHeight="1">
      <c r="A403" t="inlineStr">
        <is>
          <t>A 33569-2023</t>
        </is>
      </c>
      <c r="B403" s="1" t="n">
        <v>45131.666875</v>
      </c>
      <c r="C403" s="1" t="n">
        <v>46077</v>
      </c>
      <c r="D403" t="inlineStr">
        <is>
          <t>STOCKHOLMS LÄN</t>
        </is>
      </c>
      <c r="E403" t="inlineStr">
        <is>
          <t>NORRTÄLJE</t>
        </is>
      </c>
      <c r="G403" t="n">
        <v>2.3</v>
      </c>
      <c r="H403" t="n">
        <v>0</v>
      </c>
      <c r="I403" t="n">
        <v>0</v>
      </c>
      <c r="J403" t="n">
        <v>0</v>
      </c>
      <c r="K403" t="n">
        <v>0</v>
      </c>
      <c r="L403" t="n">
        <v>0</v>
      </c>
      <c r="M403" t="n">
        <v>0</v>
      </c>
      <c r="N403" t="n">
        <v>0</v>
      </c>
      <c r="O403" t="n">
        <v>0</v>
      </c>
      <c r="P403" t="n">
        <v>0</v>
      </c>
      <c r="Q403" t="n">
        <v>0</v>
      </c>
      <c r="R403" s="2" t="inlineStr"/>
    </row>
    <row r="404" ht="15" customHeight="1">
      <c r="A404" t="inlineStr">
        <is>
          <t>A 23125-2022</t>
        </is>
      </c>
      <c r="B404" s="1" t="n">
        <v>44719</v>
      </c>
      <c r="C404" s="1" t="n">
        <v>46077</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48180-2023</t>
        </is>
      </c>
      <c r="B405" s="1" t="n">
        <v>45205</v>
      </c>
      <c r="C405" s="1" t="n">
        <v>46077</v>
      </c>
      <c r="D405" t="inlineStr">
        <is>
          <t>STOCKHOLMS LÄN</t>
        </is>
      </c>
      <c r="E405" t="inlineStr">
        <is>
          <t>NORRTÄLJE</t>
        </is>
      </c>
      <c r="G405" t="n">
        <v>1.5</v>
      </c>
      <c r="H405" t="n">
        <v>0</v>
      </c>
      <c r="I405" t="n">
        <v>0</v>
      </c>
      <c r="J405" t="n">
        <v>0</v>
      </c>
      <c r="K405" t="n">
        <v>0</v>
      </c>
      <c r="L405" t="n">
        <v>0</v>
      </c>
      <c r="M405" t="n">
        <v>0</v>
      </c>
      <c r="N405" t="n">
        <v>0</v>
      </c>
      <c r="O405" t="n">
        <v>0</v>
      </c>
      <c r="P405" t="n">
        <v>0</v>
      </c>
      <c r="Q405" t="n">
        <v>0</v>
      </c>
      <c r="R405" s="2" t="inlineStr"/>
    </row>
    <row r="406" ht="15" customHeight="1">
      <c r="A406" t="inlineStr">
        <is>
          <t>A 57353-2024</t>
        </is>
      </c>
      <c r="B406" s="1" t="n">
        <v>45629.65143518519</v>
      </c>
      <c r="C406" s="1" t="n">
        <v>46077</v>
      </c>
      <c r="D406" t="inlineStr">
        <is>
          <t>STOCKHOLMS LÄN</t>
        </is>
      </c>
      <c r="E406" t="inlineStr">
        <is>
          <t>NORRTÄLJE</t>
        </is>
      </c>
      <c r="F406" t="inlineStr">
        <is>
          <t>Holmen skog AB</t>
        </is>
      </c>
      <c r="G406" t="n">
        <v>0.9</v>
      </c>
      <c r="H406" t="n">
        <v>0</v>
      </c>
      <c r="I406" t="n">
        <v>0</v>
      </c>
      <c r="J406" t="n">
        <v>0</v>
      </c>
      <c r="K406" t="n">
        <v>0</v>
      </c>
      <c r="L406" t="n">
        <v>0</v>
      </c>
      <c r="M406" t="n">
        <v>0</v>
      </c>
      <c r="N406" t="n">
        <v>0</v>
      </c>
      <c r="O406" t="n">
        <v>0</v>
      </c>
      <c r="P406" t="n">
        <v>0</v>
      </c>
      <c r="Q406" t="n">
        <v>0</v>
      </c>
      <c r="R406" s="2" t="inlineStr"/>
    </row>
    <row r="407" ht="15" customHeight="1">
      <c r="A407" t="inlineStr">
        <is>
          <t>A 46914-2022</t>
        </is>
      </c>
      <c r="B407" s="1" t="n">
        <v>44851</v>
      </c>
      <c r="C407" s="1" t="n">
        <v>46077</v>
      </c>
      <c r="D407" t="inlineStr">
        <is>
          <t>STOCKHOLMS LÄN</t>
        </is>
      </c>
      <c r="E407" t="inlineStr">
        <is>
          <t>NORRTÄLJE</t>
        </is>
      </c>
      <c r="G407" t="n">
        <v>2.4</v>
      </c>
      <c r="H407" t="n">
        <v>0</v>
      </c>
      <c r="I407" t="n">
        <v>0</v>
      </c>
      <c r="J407" t="n">
        <v>0</v>
      </c>
      <c r="K407" t="n">
        <v>0</v>
      </c>
      <c r="L407" t="n">
        <v>0</v>
      </c>
      <c r="M407" t="n">
        <v>0</v>
      </c>
      <c r="N407" t="n">
        <v>0</v>
      </c>
      <c r="O407" t="n">
        <v>0</v>
      </c>
      <c r="P407" t="n">
        <v>0</v>
      </c>
      <c r="Q407" t="n">
        <v>0</v>
      </c>
      <c r="R407" s="2" t="inlineStr"/>
    </row>
    <row r="408" ht="15" customHeight="1">
      <c r="A408" t="inlineStr">
        <is>
          <t>A 9329-2023</t>
        </is>
      </c>
      <c r="B408" s="1" t="n">
        <v>44980</v>
      </c>
      <c r="C408" s="1" t="n">
        <v>46077</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20244-2025</t>
        </is>
      </c>
      <c r="B409" s="1" t="n">
        <v>45772.71221064815</v>
      </c>
      <c r="C409" s="1" t="n">
        <v>46077</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6855-2025</t>
        </is>
      </c>
      <c r="B410" s="1" t="n">
        <v>45700</v>
      </c>
      <c r="C410" s="1" t="n">
        <v>46077</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55696-2022</t>
        </is>
      </c>
      <c r="B411" s="1" t="n">
        <v>44888</v>
      </c>
      <c r="C411" s="1" t="n">
        <v>46077</v>
      </c>
      <c r="D411" t="inlineStr">
        <is>
          <t>STOCKHOLMS LÄN</t>
        </is>
      </c>
      <c r="E411" t="inlineStr">
        <is>
          <t>NORRTÄLJE</t>
        </is>
      </c>
      <c r="G411" t="n">
        <v>2.2</v>
      </c>
      <c r="H411" t="n">
        <v>0</v>
      </c>
      <c r="I411" t="n">
        <v>0</v>
      </c>
      <c r="J411" t="n">
        <v>0</v>
      </c>
      <c r="K411" t="n">
        <v>0</v>
      </c>
      <c r="L411" t="n">
        <v>0</v>
      </c>
      <c r="M411" t="n">
        <v>0</v>
      </c>
      <c r="N411" t="n">
        <v>0</v>
      </c>
      <c r="O411" t="n">
        <v>0</v>
      </c>
      <c r="P411" t="n">
        <v>0</v>
      </c>
      <c r="Q411" t="n">
        <v>0</v>
      </c>
      <c r="R411" s="2" t="inlineStr"/>
    </row>
    <row r="412" ht="15" customHeight="1">
      <c r="A412" t="inlineStr">
        <is>
          <t>A 50907-2022</t>
        </is>
      </c>
      <c r="B412" s="1" t="n">
        <v>44867.62090277778</v>
      </c>
      <c r="C412" s="1" t="n">
        <v>46077</v>
      </c>
      <c r="D412" t="inlineStr">
        <is>
          <t>STOCKHOLMS LÄN</t>
        </is>
      </c>
      <c r="E412" t="inlineStr">
        <is>
          <t>NORRTÄLJE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50143-2023</t>
        </is>
      </c>
      <c r="B413" s="1" t="n">
        <v>45215</v>
      </c>
      <c r="C413" s="1" t="n">
        <v>46077</v>
      </c>
      <c r="D413" t="inlineStr">
        <is>
          <t>STOCKHOLMS LÄN</t>
        </is>
      </c>
      <c r="E413" t="inlineStr">
        <is>
          <t>NORRTÄLJE</t>
        </is>
      </c>
      <c r="G413" t="n">
        <v>10.3</v>
      </c>
      <c r="H413" t="n">
        <v>0</v>
      </c>
      <c r="I413" t="n">
        <v>0</v>
      </c>
      <c r="J413" t="n">
        <v>0</v>
      </c>
      <c r="K413" t="n">
        <v>0</v>
      </c>
      <c r="L413" t="n">
        <v>0</v>
      </c>
      <c r="M413" t="n">
        <v>0</v>
      </c>
      <c r="N413" t="n">
        <v>0</v>
      </c>
      <c r="O413" t="n">
        <v>0</v>
      </c>
      <c r="P413" t="n">
        <v>0</v>
      </c>
      <c r="Q413" t="n">
        <v>0</v>
      </c>
      <c r="R413" s="2" t="inlineStr"/>
    </row>
    <row r="414" ht="15" customHeight="1">
      <c r="A414" t="inlineStr">
        <is>
          <t>A 6919-2025</t>
        </is>
      </c>
      <c r="B414" s="1" t="n">
        <v>45701.44372685185</v>
      </c>
      <c r="C414" s="1" t="n">
        <v>46077</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50569-2022</t>
        </is>
      </c>
      <c r="B415" s="1" t="n">
        <v>44866.63775462963</v>
      </c>
      <c r="C415" s="1" t="n">
        <v>46077</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53362-2023</t>
        </is>
      </c>
      <c r="B416" s="1" t="n">
        <v>45223</v>
      </c>
      <c r="C416" s="1" t="n">
        <v>46077</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20015-2023</t>
        </is>
      </c>
      <c r="B417" s="1" t="n">
        <v>45054</v>
      </c>
      <c r="C417" s="1" t="n">
        <v>46077</v>
      </c>
      <c r="D417" t="inlineStr">
        <is>
          <t>STOCKHOLMS LÄN</t>
        </is>
      </c>
      <c r="E417" t="inlineStr">
        <is>
          <t>NORRTÄLJE</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14873-2025</t>
        </is>
      </c>
      <c r="B418" s="1" t="n">
        <v>45743.44953703704</v>
      </c>
      <c r="C418" s="1" t="n">
        <v>46077</v>
      </c>
      <c r="D418" t="inlineStr">
        <is>
          <t>STOCKHOLMS LÄN</t>
        </is>
      </c>
      <c r="E418" t="inlineStr">
        <is>
          <t>NORRTÄLJE</t>
        </is>
      </c>
      <c r="G418" t="n">
        <v>10.2</v>
      </c>
      <c r="H418" t="n">
        <v>0</v>
      </c>
      <c r="I418" t="n">
        <v>0</v>
      </c>
      <c r="J418" t="n">
        <v>0</v>
      </c>
      <c r="K418" t="n">
        <v>0</v>
      </c>
      <c r="L418" t="n">
        <v>0</v>
      </c>
      <c r="M418" t="n">
        <v>0</v>
      </c>
      <c r="N418" t="n">
        <v>0</v>
      </c>
      <c r="O418" t="n">
        <v>0</v>
      </c>
      <c r="P418" t="n">
        <v>0</v>
      </c>
      <c r="Q418" t="n">
        <v>0</v>
      </c>
      <c r="R418" s="2" t="inlineStr"/>
    </row>
    <row r="419" ht="15" customHeight="1">
      <c r="A419" t="inlineStr">
        <is>
          <t>A 8135-2025</t>
        </is>
      </c>
      <c r="B419" s="1" t="n">
        <v>45707.84997685185</v>
      </c>
      <c r="C419" s="1" t="n">
        <v>46077</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31936-2022</t>
        </is>
      </c>
      <c r="B420" s="1" t="n">
        <v>44777</v>
      </c>
      <c r="C420" s="1" t="n">
        <v>46077</v>
      </c>
      <c r="D420" t="inlineStr">
        <is>
          <t>STOCKHOLMS LÄN</t>
        </is>
      </c>
      <c r="E420" t="inlineStr">
        <is>
          <t>NORRTÄLJE</t>
        </is>
      </c>
      <c r="G420" t="n">
        <v>5.2</v>
      </c>
      <c r="H420" t="n">
        <v>0</v>
      </c>
      <c r="I420" t="n">
        <v>0</v>
      </c>
      <c r="J420" t="n">
        <v>0</v>
      </c>
      <c r="K420" t="n">
        <v>0</v>
      </c>
      <c r="L420" t="n">
        <v>0</v>
      </c>
      <c r="M420" t="n">
        <v>0</v>
      </c>
      <c r="N420" t="n">
        <v>0</v>
      </c>
      <c r="O420" t="n">
        <v>0</v>
      </c>
      <c r="P420" t="n">
        <v>0</v>
      </c>
      <c r="Q420" t="n">
        <v>0</v>
      </c>
      <c r="R420" s="2" t="inlineStr"/>
    </row>
    <row r="421" ht="15" customHeight="1">
      <c r="A421" t="inlineStr">
        <is>
          <t>A 5027-2025</t>
        </is>
      </c>
      <c r="B421" s="1" t="n">
        <v>45691.41101851852</v>
      </c>
      <c r="C421" s="1" t="n">
        <v>46077</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24887-2023</t>
        </is>
      </c>
      <c r="B422" s="1" t="n">
        <v>45085</v>
      </c>
      <c r="C422" s="1" t="n">
        <v>46077</v>
      </c>
      <c r="D422" t="inlineStr">
        <is>
          <t>STOCKHOLMS LÄN</t>
        </is>
      </c>
      <c r="E422" t="inlineStr">
        <is>
          <t>NORRTÄLJE</t>
        </is>
      </c>
      <c r="G422" t="n">
        <v>13.9</v>
      </c>
      <c r="H422" t="n">
        <v>0</v>
      </c>
      <c r="I422" t="n">
        <v>0</v>
      </c>
      <c r="J422" t="n">
        <v>0</v>
      </c>
      <c r="K422" t="n">
        <v>0</v>
      </c>
      <c r="L422" t="n">
        <v>0</v>
      </c>
      <c r="M422" t="n">
        <v>0</v>
      </c>
      <c r="N422" t="n">
        <v>0</v>
      </c>
      <c r="O422" t="n">
        <v>0</v>
      </c>
      <c r="P422" t="n">
        <v>0</v>
      </c>
      <c r="Q422" t="n">
        <v>0</v>
      </c>
      <c r="R422" s="2" t="inlineStr"/>
    </row>
    <row r="423" ht="15" customHeight="1">
      <c r="A423" t="inlineStr">
        <is>
          <t>A 56428-2023</t>
        </is>
      </c>
      <c r="B423" s="1" t="n">
        <v>45243.45289351852</v>
      </c>
      <c r="C423" s="1" t="n">
        <v>46077</v>
      </c>
      <c r="D423" t="inlineStr">
        <is>
          <t>STOCKHOLMS LÄN</t>
        </is>
      </c>
      <c r="E423" t="inlineStr">
        <is>
          <t>NORRTÄLJE</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8433-2022</t>
        </is>
      </c>
      <c r="B424" s="1" t="n">
        <v>44611</v>
      </c>
      <c r="C424" s="1" t="n">
        <v>46077</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8315-2025</t>
        </is>
      </c>
      <c r="B425" s="1" t="n">
        <v>45708.61761574074</v>
      </c>
      <c r="C425" s="1" t="n">
        <v>46077</v>
      </c>
      <c r="D425" t="inlineStr">
        <is>
          <t>STOCKHOLMS LÄN</t>
        </is>
      </c>
      <c r="E425" t="inlineStr">
        <is>
          <t>NORRTÄLJE</t>
        </is>
      </c>
      <c r="G425" t="n">
        <v>3.9</v>
      </c>
      <c r="H425" t="n">
        <v>0</v>
      </c>
      <c r="I425" t="n">
        <v>0</v>
      </c>
      <c r="J425" t="n">
        <v>0</v>
      </c>
      <c r="K425" t="n">
        <v>0</v>
      </c>
      <c r="L425" t="n">
        <v>0</v>
      </c>
      <c r="M425" t="n">
        <v>0</v>
      </c>
      <c r="N425" t="n">
        <v>0</v>
      </c>
      <c r="O425" t="n">
        <v>0</v>
      </c>
      <c r="P425" t="n">
        <v>0</v>
      </c>
      <c r="Q425" t="n">
        <v>0</v>
      </c>
      <c r="R425" s="2" t="inlineStr"/>
    </row>
    <row r="426" ht="15" customHeight="1">
      <c r="A426" t="inlineStr">
        <is>
          <t>A 30338-2022</t>
        </is>
      </c>
      <c r="B426" s="1" t="n">
        <v>44760</v>
      </c>
      <c r="C426" s="1" t="n">
        <v>46077</v>
      </c>
      <c r="D426" t="inlineStr">
        <is>
          <t>STOCKHOLMS LÄN</t>
        </is>
      </c>
      <c r="E426" t="inlineStr">
        <is>
          <t>NORRTÄLJE</t>
        </is>
      </c>
      <c r="G426" t="n">
        <v>0.3</v>
      </c>
      <c r="H426" t="n">
        <v>0</v>
      </c>
      <c r="I426" t="n">
        <v>0</v>
      </c>
      <c r="J426" t="n">
        <v>0</v>
      </c>
      <c r="K426" t="n">
        <v>0</v>
      </c>
      <c r="L426" t="n">
        <v>0</v>
      </c>
      <c r="M426" t="n">
        <v>0</v>
      </c>
      <c r="N426" t="n">
        <v>0</v>
      </c>
      <c r="O426" t="n">
        <v>0</v>
      </c>
      <c r="P426" t="n">
        <v>0</v>
      </c>
      <c r="Q426" t="n">
        <v>0</v>
      </c>
      <c r="R426" s="2" t="inlineStr"/>
    </row>
    <row r="427" ht="15" customHeight="1">
      <c r="A427" t="inlineStr">
        <is>
          <t>A 10215-2023</t>
        </is>
      </c>
      <c r="B427" s="1" t="n">
        <v>44986.5887962963</v>
      </c>
      <c r="C427" s="1" t="n">
        <v>46077</v>
      </c>
      <c r="D427" t="inlineStr">
        <is>
          <t>STOCKHOLMS LÄN</t>
        </is>
      </c>
      <c r="E427" t="inlineStr">
        <is>
          <t>NORRTÄLJE</t>
        </is>
      </c>
      <c r="G427" t="n">
        <v>6.5</v>
      </c>
      <c r="H427" t="n">
        <v>0</v>
      </c>
      <c r="I427" t="n">
        <v>0</v>
      </c>
      <c r="J427" t="n">
        <v>0</v>
      </c>
      <c r="K427" t="n">
        <v>0</v>
      </c>
      <c r="L427" t="n">
        <v>0</v>
      </c>
      <c r="M427" t="n">
        <v>0</v>
      </c>
      <c r="N427" t="n">
        <v>0</v>
      </c>
      <c r="O427" t="n">
        <v>0</v>
      </c>
      <c r="P427" t="n">
        <v>0</v>
      </c>
      <c r="Q427" t="n">
        <v>0</v>
      </c>
      <c r="R427" s="2" t="inlineStr"/>
    </row>
    <row r="428" ht="15" customHeight="1">
      <c r="A428" t="inlineStr">
        <is>
          <t>A 18541-2023</t>
        </is>
      </c>
      <c r="B428" s="1" t="n">
        <v>45042.74291666667</v>
      </c>
      <c r="C428" s="1" t="n">
        <v>46077</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32857-2021</t>
        </is>
      </c>
      <c r="B429" s="1" t="n">
        <v>44375</v>
      </c>
      <c r="C429" s="1" t="n">
        <v>46077</v>
      </c>
      <c r="D429" t="inlineStr">
        <is>
          <t>STOCKHOLMS LÄN</t>
        </is>
      </c>
      <c r="E429" t="inlineStr">
        <is>
          <t>NORRTÄLJE</t>
        </is>
      </c>
      <c r="G429" t="n">
        <v>2.9</v>
      </c>
      <c r="H429" t="n">
        <v>0</v>
      </c>
      <c r="I429" t="n">
        <v>0</v>
      </c>
      <c r="J429" t="n">
        <v>0</v>
      </c>
      <c r="K429" t="n">
        <v>0</v>
      </c>
      <c r="L429" t="n">
        <v>0</v>
      </c>
      <c r="M429" t="n">
        <v>0</v>
      </c>
      <c r="N429" t="n">
        <v>0</v>
      </c>
      <c r="O429" t="n">
        <v>0</v>
      </c>
      <c r="P429" t="n">
        <v>0</v>
      </c>
      <c r="Q429" t="n">
        <v>0</v>
      </c>
      <c r="R429" s="2" t="inlineStr"/>
    </row>
    <row r="430" ht="15" customHeight="1">
      <c r="A430" t="inlineStr">
        <is>
          <t>A 51325-2023</t>
        </is>
      </c>
      <c r="B430" s="1" t="n">
        <v>45219</v>
      </c>
      <c r="C430" s="1" t="n">
        <v>46077</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21729-2024</t>
        </is>
      </c>
      <c r="B431" s="1" t="n">
        <v>45442</v>
      </c>
      <c r="C431" s="1" t="n">
        <v>46077</v>
      </c>
      <c r="D431" t="inlineStr">
        <is>
          <t>STOCKHOLMS LÄN</t>
        </is>
      </c>
      <c r="E431" t="inlineStr">
        <is>
          <t>NORRTÄLJE</t>
        </is>
      </c>
      <c r="G431" t="n">
        <v>2.2</v>
      </c>
      <c r="H431" t="n">
        <v>0</v>
      </c>
      <c r="I431" t="n">
        <v>0</v>
      </c>
      <c r="J431" t="n">
        <v>0</v>
      </c>
      <c r="K431" t="n">
        <v>0</v>
      </c>
      <c r="L431" t="n">
        <v>0</v>
      </c>
      <c r="M431" t="n">
        <v>0</v>
      </c>
      <c r="N431" t="n">
        <v>0</v>
      </c>
      <c r="O431" t="n">
        <v>0</v>
      </c>
      <c r="P431" t="n">
        <v>0</v>
      </c>
      <c r="Q431" t="n">
        <v>0</v>
      </c>
      <c r="R431" s="2" t="inlineStr"/>
    </row>
    <row r="432" ht="15" customHeight="1">
      <c r="A432" t="inlineStr">
        <is>
          <t>A 12251-2025</t>
        </is>
      </c>
      <c r="B432" s="1" t="n">
        <v>45729.60859953704</v>
      </c>
      <c r="C432" s="1" t="n">
        <v>46077</v>
      </c>
      <c r="D432" t="inlineStr">
        <is>
          <t>STOCKHOLMS LÄN</t>
        </is>
      </c>
      <c r="E432" t="inlineStr">
        <is>
          <t>NORRTÄLJE</t>
        </is>
      </c>
      <c r="F432" t="inlineStr">
        <is>
          <t>Holmen skog AB</t>
        </is>
      </c>
      <c r="G432" t="n">
        <v>5.9</v>
      </c>
      <c r="H432" t="n">
        <v>0</v>
      </c>
      <c r="I432" t="n">
        <v>0</v>
      </c>
      <c r="J432" t="n">
        <v>0</v>
      </c>
      <c r="K432" t="n">
        <v>0</v>
      </c>
      <c r="L432" t="n">
        <v>0</v>
      </c>
      <c r="M432" t="n">
        <v>0</v>
      </c>
      <c r="N432" t="n">
        <v>0</v>
      </c>
      <c r="O432" t="n">
        <v>0</v>
      </c>
      <c r="P432" t="n">
        <v>0</v>
      </c>
      <c r="Q432" t="n">
        <v>0</v>
      </c>
      <c r="R432" s="2" t="inlineStr"/>
    </row>
    <row r="433" ht="15" customHeight="1">
      <c r="A433" t="inlineStr">
        <is>
          <t>A 21894-2023</t>
        </is>
      </c>
      <c r="B433" s="1" t="n">
        <v>45068.51783564815</v>
      </c>
      <c r="C433" s="1" t="n">
        <v>46077</v>
      </c>
      <c r="D433" t="inlineStr">
        <is>
          <t>STOCKHOLMS LÄN</t>
        </is>
      </c>
      <c r="E433" t="inlineStr">
        <is>
          <t>NORRTÄLJE</t>
        </is>
      </c>
      <c r="G433" t="n">
        <v>2.5</v>
      </c>
      <c r="H433" t="n">
        <v>0</v>
      </c>
      <c r="I433" t="n">
        <v>0</v>
      </c>
      <c r="J433" t="n">
        <v>0</v>
      </c>
      <c r="K433" t="n">
        <v>0</v>
      </c>
      <c r="L433" t="n">
        <v>0</v>
      </c>
      <c r="M433" t="n">
        <v>0</v>
      </c>
      <c r="N433" t="n">
        <v>0</v>
      </c>
      <c r="O433" t="n">
        <v>0</v>
      </c>
      <c r="P433" t="n">
        <v>0</v>
      </c>
      <c r="Q433" t="n">
        <v>0</v>
      </c>
      <c r="R433" s="2" t="inlineStr"/>
    </row>
    <row r="434" ht="15" customHeight="1">
      <c r="A434" t="inlineStr">
        <is>
          <t>A 14127-2025</t>
        </is>
      </c>
      <c r="B434" s="1" t="n">
        <v>45740.47055555556</v>
      </c>
      <c r="C434" s="1" t="n">
        <v>46077</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54776-2023</t>
        </is>
      </c>
      <c r="B435" s="1" t="n">
        <v>45236.46369212963</v>
      </c>
      <c r="C435" s="1" t="n">
        <v>46077</v>
      </c>
      <c r="D435" t="inlineStr">
        <is>
          <t>STOCKHOLMS LÄN</t>
        </is>
      </c>
      <c r="E435" t="inlineStr">
        <is>
          <t>NORRTÄLJE</t>
        </is>
      </c>
      <c r="G435" t="n">
        <v>0.3</v>
      </c>
      <c r="H435" t="n">
        <v>0</v>
      </c>
      <c r="I435" t="n">
        <v>0</v>
      </c>
      <c r="J435" t="n">
        <v>0</v>
      </c>
      <c r="K435" t="n">
        <v>0</v>
      </c>
      <c r="L435" t="n">
        <v>0</v>
      </c>
      <c r="M435" t="n">
        <v>0</v>
      </c>
      <c r="N435" t="n">
        <v>0</v>
      </c>
      <c r="O435" t="n">
        <v>0</v>
      </c>
      <c r="P435" t="n">
        <v>0</v>
      </c>
      <c r="Q435" t="n">
        <v>0</v>
      </c>
      <c r="R435" s="2" t="inlineStr"/>
    </row>
    <row r="436" ht="15" customHeight="1">
      <c r="A436" t="inlineStr">
        <is>
          <t>A 20144-2023</t>
        </is>
      </c>
      <c r="B436" s="1" t="n">
        <v>45055.43509259259</v>
      </c>
      <c r="C436" s="1" t="n">
        <v>46077</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31559-2022</t>
        </is>
      </c>
      <c r="B437" s="1" t="n">
        <v>44775</v>
      </c>
      <c r="C437" s="1" t="n">
        <v>46077</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21732-2023</t>
        </is>
      </c>
      <c r="B438" s="1" t="n">
        <v>45063</v>
      </c>
      <c r="C438" s="1" t="n">
        <v>46077</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52001-2023</t>
        </is>
      </c>
      <c r="B439" s="1" t="n">
        <v>45223</v>
      </c>
      <c r="C439" s="1" t="n">
        <v>46077</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13314-2025</t>
        </is>
      </c>
      <c r="B440" s="1" t="n">
        <v>45735.59287037037</v>
      </c>
      <c r="C440" s="1" t="n">
        <v>46077</v>
      </c>
      <c r="D440" t="inlineStr">
        <is>
          <t>STOCKHOLMS LÄN</t>
        </is>
      </c>
      <c r="E440" t="inlineStr">
        <is>
          <t>NORRTÄLJE</t>
        </is>
      </c>
      <c r="G440" t="n">
        <v>2.4</v>
      </c>
      <c r="H440" t="n">
        <v>0</v>
      </c>
      <c r="I440" t="n">
        <v>0</v>
      </c>
      <c r="J440" t="n">
        <v>0</v>
      </c>
      <c r="K440" t="n">
        <v>0</v>
      </c>
      <c r="L440" t="n">
        <v>0</v>
      </c>
      <c r="M440" t="n">
        <v>0</v>
      </c>
      <c r="N440" t="n">
        <v>0</v>
      </c>
      <c r="O440" t="n">
        <v>0</v>
      </c>
      <c r="P440" t="n">
        <v>0</v>
      </c>
      <c r="Q440" t="n">
        <v>0</v>
      </c>
      <c r="R440" s="2" t="inlineStr"/>
    </row>
    <row r="441" ht="15" customHeight="1">
      <c r="A441" t="inlineStr">
        <is>
          <t>A 23056-2023</t>
        </is>
      </c>
      <c r="B441" s="1" t="n">
        <v>45075</v>
      </c>
      <c r="C441" s="1" t="n">
        <v>46077</v>
      </c>
      <c r="D441" t="inlineStr">
        <is>
          <t>STOCKHOLMS LÄN</t>
        </is>
      </c>
      <c r="E441" t="inlineStr">
        <is>
          <t>NORRTÄLJE</t>
        </is>
      </c>
      <c r="G441" t="n">
        <v>1.7</v>
      </c>
      <c r="H441" t="n">
        <v>0</v>
      </c>
      <c r="I441" t="n">
        <v>0</v>
      </c>
      <c r="J441" t="n">
        <v>0</v>
      </c>
      <c r="K441" t="n">
        <v>0</v>
      </c>
      <c r="L441" t="n">
        <v>0</v>
      </c>
      <c r="M441" t="n">
        <v>0</v>
      </c>
      <c r="N441" t="n">
        <v>0</v>
      </c>
      <c r="O441" t="n">
        <v>0</v>
      </c>
      <c r="P441" t="n">
        <v>0</v>
      </c>
      <c r="Q441" t="n">
        <v>0</v>
      </c>
      <c r="R441" s="2" t="inlineStr"/>
    </row>
    <row r="442" ht="15" customHeight="1">
      <c r="A442" t="inlineStr">
        <is>
          <t>A 7806-2025</t>
        </is>
      </c>
      <c r="B442" s="1" t="n">
        <v>45706.61178240741</v>
      </c>
      <c r="C442" s="1" t="n">
        <v>46077</v>
      </c>
      <c r="D442" t="inlineStr">
        <is>
          <t>STOCKHOLMS LÄN</t>
        </is>
      </c>
      <c r="E442" t="inlineStr">
        <is>
          <t>NORRTÄLJE</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13172-2025</t>
        </is>
      </c>
      <c r="B443" s="1" t="n">
        <v>45735.36873842592</v>
      </c>
      <c r="C443" s="1" t="n">
        <v>46077</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37444-2021</t>
        </is>
      </c>
      <c r="B444" s="1" t="n">
        <v>44398</v>
      </c>
      <c r="C444" s="1" t="n">
        <v>46077</v>
      </c>
      <c r="D444" t="inlineStr">
        <is>
          <t>STOCKHOLMS LÄN</t>
        </is>
      </c>
      <c r="E444" t="inlineStr">
        <is>
          <t>NORRTÄLJE</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22456-2023</t>
        </is>
      </c>
      <c r="B445" s="1" t="n">
        <v>45070</v>
      </c>
      <c r="C445" s="1" t="n">
        <v>46077</v>
      </c>
      <c r="D445" t="inlineStr">
        <is>
          <t>STOCKHOLMS LÄN</t>
        </is>
      </c>
      <c r="E445" t="inlineStr">
        <is>
          <t>NORRTÄLJE</t>
        </is>
      </c>
      <c r="G445" t="n">
        <v>3.1</v>
      </c>
      <c r="H445" t="n">
        <v>0</v>
      </c>
      <c r="I445" t="n">
        <v>0</v>
      </c>
      <c r="J445" t="n">
        <v>0</v>
      </c>
      <c r="K445" t="n">
        <v>0</v>
      </c>
      <c r="L445" t="n">
        <v>0</v>
      </c>
      <c r="M445" t="n">
        <v>0</v>
      </c>
      <c r="N445" t="n">
        <v>0</v>
      </c>
      <c r="O445" t="n">
        <v>0</v>
      </c>
      <c r="P445" t="n">
        <v>0</v>
      </c>
      <c r="Q445" t="n">
        <v>0</v>
      </c>
      <c r="R445" s="2" t="inlineStr"/>
    </row>
    <row r="446" ht="15" customHeight="1">
      <c r="A446" t="inlineStr">
        <is>
          <t>A 22833-2024</t>
        </is>
      </c>
      <c r="B446" s="1" t="n">
        <v>45448.56746527777</v>
      </c>
      <c r="C446" s="1" t="n">
        <v>46077</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19025-2025</t>
        </is>
      </c>
      <c r="B447" s="1" t="n">
        <v>45764.6359837963</v>
      </c>
      <c r="C447" s="1" t="n">
        <v>46077</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45173-2023</t>
        </is>
      </c>
      <c r="B448" s="1" t="n">
        <v>45191</v>
      </c>
      <c r="C448" s="1" t="n">
        <v>46077</v>
      </c>
      <c r="D448" t="inlineStr">
        <is>
          <t>STOCKHOLMS LÄN</t>
        </is>
      </c>
      <c r="E448" t="inlineStr">
        <is>
          <t>NORRTÄLJE</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5867-2022</t>
        </is>
      </c>
      <c r="B449" s="1" t="n">
        <v>44596.66335648148</v>
      </c>
      <c r="C449" s="1" t="n">
        <v>46077</v>
      </c>
      <c r="D449" t="inlineStr">
        <is>
          <t>STOCKHOLMS LÄN</t>
        </is>
      </c>
      <c r="E449" t="inlineStr">
        <is>
          <t>NORRTÄLJE</t>
        </is>
      </c>
      <c r="F449" t="inlineStr">
        <is>
          <t>Naturvårdsverket</t>
        </is>
      </c>
      <c r="G449" t="n">
        <v>1.6</v>
      </c>
      <c r="H449" t="n">
        <v>0</v>
      </c>
      <c r="I449" t="n">
        <v>0</v>
      </c>
      <c r="J449" t="n">
        <v>0</v>
      </c>
      <c r="K449" t="n">
        <v>0</v>
      </c>
      <c r="L449" t="n">
        <v>0</v>
      </c>
      <c r="M449" t="n">
        <v>0</v>
      </c>
      <c r="N449" t="n">
        <v>0</v>
      </c>
      <c r="O449" t="n">
        <v>0</v>
      </c>
      <c r="P449" t="n">
        <v>0</v>
      </c>
      <c r="Q449" t="n">
        <v>0</v>
      </c>
      <c r="R449" s="2" t="inlineStr"/>
    </row>
    <row r="450" ht="15" customHeight="1">
      <c r="A450" t="inlineStr">
        <is>
          <t>A 60224-2023</t>
        </is>
      </c>
      <c r="B450" s="1" t="n">
        <v>45257</v>
      </c>
      <c r="C450" s="1" t="n">
        <v>46077</v>
      </c>
      <c r="D450" t="inlineStr">
        <is>
          <t>STOCKHOLMS LÄN</t>
        </is>
      </c>
      <c r="E450" t="inlineStr">
        <is>
          <t>NORRTÄLJE</t>
        </is>
      </c>
      <c r="G450" t="n">
        <v>8.1</v>
      </c>
      <c r="H450" t="n">
        <v>0</v>
      </c>
      <c r="I450" t="n">
        <v>0</v>
      </c>
      <c r="J450" t="n">
        <v>0</v>
      </c>
      <c r="K450" t="n">
        <v>0</v>
      </c>
      <c r="L450" t="n">
        <v>0</v>
      </c>
      <c r="M450" t="n">
        <v>0</v>
      </c>
      <c r="N450" t="n">
        <v>0</v>
      </c>
      <c r="O450" t="n">
        <v>0</v>
      </c>
      <c r="P450" t="n">
        <v>0</v>
      </c>
      <c r="Q450" t="n">
        <v>0</v>
      </c>
      <c r="R450" s="2" t="inlineStr"/>
    </row>
    <row r="451" ht="15" customHeight="1">
      <c r="A451" t="inlineStr">
        <is>
          <t>A 19580-2022</t>
        </is>
      </c>
      <c r="B451" s="1" t="n">
        <v>44693</v>
      </c>
      <c r="C451" s="1" t="n">
        <v>46077</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73307-2021</t>
        </is>
      </c>
      <c r="B452" s="1" t="n">
        <v>44549</v>
      </c>
      <c r="C452" s="1" t="n">
        <v>46077</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21731-2023</t>
        </is>
      </c>
      <c r="B453" s="1" t="n">
        <v>45063</v>
      </c>
      <c r="C453" s="1" t="n">
        <v>46077</v>
      </c>
      <c r="D453" t="inlineStr">
        <is>
          <t>STOCKHOLMS LÄN</t>
        </is>
      </c>
      <c r="E453" t="inlineStr">
        <is>
          <t>NORRTÄLJE</t>
        </is>
      </c>
      <c r="G453" t="n">
        <v>2.3</v>
      </c>
      <c r="H453" t="n">
        <v>0</v>
      </c>
      <c r="I453" t="n">
        <v>0</v>
      </c>
      <c r="J453" t="n">
        <v>0</v>
      </c>
      <c r="K453" t="n">
        <v>0</v>
      </c>
      <c r="L453" t="n">
        <v>0</v>
      </c>
      <c r="M453" t="n">
        <v>0</v>
      </c>
      <c r="N453" t="n">
        <v>0</v>
      </c>
      <c r="O453" t="n">
        <v>0</v>
      </c>
      <c r="P453" t="n">
        <v>0</v>
      </c>
      <c r="Q453" t="n">
        <v>0</v>
      </c>
      <c r="R453" s="2" t="inlineStr"/>
    </row>
    <row r="454" ht="15" customHeight="1">
      <c r="A454" t="inlineStr">
        <is>
          <t>A 21745-2023</t>
        </is>
      </c>
      <c r="B454" s="1" t="n">
        <v>45065.55917824074</v>
      </c>
      <c r="C454" s="1" t="n">
        <v>46077</v>
      </c>
      <c r="D454" t="inlineStr">
        <is>
          <t>STOCKHOLMS LÄN</t>
        </is>
      </c>
      <c r="E454" t="inlineStr">
        <is>
          <t>NORRTÄLJE</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64137-2021</t>
        </is>
      </c>
      <c r="B455" s="1" t="n">
        <v>44510.51422453704</v>
      </c>
      <c r="C455" s="1" t="n">
        <v>46077</v>
      </c>
      <c r="D455" t="inlineStr">
        <is>
          <t>STOCKHOLMS LÄN</t>
        </is>
      </c>
      <c r="E455" t="inlineStr">
        <is>
          <t>NORRTÄLJE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17785-2024</t>
        </is>
      </c>
      <c r="B456" s="1" t="n">
        <v>45418.6968287037</v>
      </c>
      <c r="C456" s="1" t="n">
        <v>46077</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38720-2022</t>
        </is>
      </c>
      <c r="B457" s="1" t="n">
        <v>44815.74539351852</v>
      </c>
      <c r="C457" s="1" t="n">
        <v>46077</v>
      </c>
      <c r="D457" t="inlineStr">
        <is>
          <t>STOCKHOLMS LÄN</t>
        </is>
      </c>
      <c r="E457" t="inlineStr">
        <is>
          <t>NORRTÄLJE</t>
        </is>
      </c>
      <c r="G457" t="n">
        <v>2.5</v>
      </c>
      <c r="H457" t="n">
        <v>0</v>
      </c>
      <c r="I457" t="n">
        <v>0</v>
      </c>
      <c r="J457" t="n">
        <v>0</v>
      </c>
      <c r="K457" t="n">
        <v>0</v>
      </c>
      <c r="L457" t="n">
        <v>0</v>
      </c>
      <c r="M457" t="n">
        <v>0</v>
      </c>
      <c r="N457" t="n">
        <v>0</v>
      </c>
      <c r="O457" t="n">
        <v>0</v>
      </c>
      <c r="P457" t="n">
        <v>0</v>
      </c>
      <c r="Q457" t="n">
        <v>0</v>
      </c>
      <c r="R457" s="2" t="inlineStr"/>
    </row>
    <row r="458" ht="15" customHeight="1">
      <c r="A458" t="inlineStr">
        <is>
          <t>A 34432-2021</t>
        </is>
      </c>
      <c r="B458" s="1" t="n">
        <v>44380.77346064815</v>
      </c>
      <c r="C458" s="1" t="n">
        <v>46077</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19911-2025</t>
        </is>
      </c>
      <c r="B459" s="1" t="n">
        <v>45771</v>
      </c>
      <c r="C459" s="1" t="n">
        <v>46077</v>
      </c>
      <c r="D459" t="inlineStr">
        <is>
          <t>STOCKHOLMS LÄN</t>
        </is>
      </c>
      <c r="E459" t="inlineStr">
        <is>
          <t>NORRTÄLJE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30221-2024</t>
        </is>
      </c>
      <c r="B460" s="1" t="n">
        <v>45490.45342592592</v>
      </c>
      <c r="C460" s="1" t="n">
        <v>46077</v>
      </c>
      <c r="D460" t="inlineStr">
        <is>
          <t>STOCKHOLMS LÄN</t>
        </is>
      </c>
      <c r="E460" t="inlineStr">
        <is>
          <t>NORRTÄLJE</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26365-2024</t>
        </is>
      </c>
      <c r="B461" s="1" t="n">
        <v>45469</v>
      </c>
      <c r="C461" s="1" t="n">
        <v>46077</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50602-2021</t>
        </is>
      </c>
      <c r="B462" s="1" t="n">
        <v>44459</v>
      </c>
      <c r="C462" s="1" t="n">
        <v>46077</v>
      </c>
      <c r="D462" t="inlineStr">
        <is>
          <t>STOCKHOLMS LÄN</t>
        </is>
      </c>
      <c r="E462" t="inlineStr">
        <is>
          <t>NORRTÄLJE</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5823-2023</t>
        </is>
      </c>
      <c r="B463" s="1" t="n">
        <v>44963</v>
      </c>
      <c r="C463" s="1" t="n">
        <v>46077</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30731-2023</t>
        </is>
      </c>
      <c r="B464" s="1" t="n">
        <v>45112</v>
      </c>
      <c r="C464" s="1" t="n">
        <v>46077</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29684-2021</t>
        </is>
      </c>
      <c r="B465" s="1" t="n">
        <v>44362.37172453704</v>
      </c>
      <c r="C465" s="1" t="n">
        <v>46077</v>
      </c>
      <c r="D465" t="inlineStr">
        <is>
          <t>STOCKHOLMS LÄN</t>
        </is>
      </c>
      <c r="E465" t="inlineStr">
        <is>
          <t>NORRTÄLJE</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48798-2021</t>
        </is>
      </c>
      <c r="B466" s="1" t="n">
        <v>44452</v>
      </c>
      <c r="C466" s="1" t="n">
        <v>46077</v>
      </c>
      <c r="D466" t="inlineStr">
        <is>
          <t>STOCKHOLMS LÄN</t>
        </is>
      </c>
      <c r="E466" t="inlineStr">
        <is>
          <t>NORRTÄLJE</t>
        </is>
      </c>
      <c r="G466" t="n">
        <v>2</v>
      </c>
      <c r="H466" t="n">
        <v>0</v>
      </c>
      <c r="I466" t="n">
        <v>0</v>
      </c>
      <c r="J466" t="n">
        <v>0</v>
      </c>
      <c r="K466" t="n">
        <v>0</v>
      </c>
      <c r="L466" t="n">
        <v>0</v>
      </c>
      <c r="M466" t="n">
        <v>0</v>
      </c>
      <c r="N466" t="n">
        <v>0</v>
      </c>
      <c r="O466" t="n">
        <v>0</v>
      </c>
      <c r="P466" t="n">
        <v>0</v>
      </c>
      <c r="Q466" t="n">
        <v>0</v>
      </c>
      <c r="R466" s="2" t="inlineStr"/>
    </row>
    <row r="467" ht="15" customHeight="1">
      <c r="A467" t="inlineStr">
        <is>
          <t>A 11988-2021</t>
        </is>
      </c>
      <c r="B467" s="1" t="n">
        <v>44266</v>
      </c>
      <c r="C467" s="1" t="n">
        <v>46077</v>
      </c>
      <c r="D467" t="inlineStr">
        <is>
          <t>STOCKHOLMS LÄN</t>
        </is>
      </c>
      <c r="E467" t="inlineStr">
        <is>
          <t>NORRTÄLJE</t>
        </is>
      </c>
      <c r="G467" t="n">
        <v>1.2</v>
      </c>
      <c r="H467" t="n">
        <v>0</v>
      </c>
      <c r="I467" t="n">
        <v>0</v>
      </c>
      <c r="J467" t="n">
        <v>0</v>
      </c>
      <c r="K467" t="n">
        <v>0</v>
      </c>
      <c r="L467" t="n">
        <v>0</v>
      </c>
      <c r="M467" t="n">
        <v>0</v>
      </c>
      <c r="N467" t="n">
        <v>0</v>
      </c>
      <c r="O467" t="n">
        <v>0</v>
      </c>
      <c r="P467" t="n">
        <v>0</v>
      </c>
      <c r="Q467" t="n">
        <v>0</v>
      </c>
      <c r="R467" s="2" t="inlineStr"/>
    </row>
    <row r="468" ht="15" customHeight="1">
      <c r="A468" t="inlineStr">
        <is>
          <t>A 12132-2021</t>
        </is>
      </c>
      <c r="B468" s="1" t="n">
        <v>44266</v>
      </c>
      <c r="C468" s="1" t="n">
        <v>46077</v>
      </c>
      <c r="D468" t="inlineStr">
        <is>
          <t>STOCKHOLMS LÄN</t>
        </is>
      </c>
      <c r="E468" t="inlineStr">
        <is>
          <t>NORRTÄLJE</t>
        </is>
      </c>
      <c r="G468" t="n">
        <v>4</v>
      </c>
      <c r="H468" t="n">
        <v>0</v>
      </c>
      <c r="I468" t="n">
        <v>0</v>
      </c>
      <c r="J468" t="n">
        <v>0</v>
      </c>
      <c r="K468" t="n">
        <v>0</v>
      </c>
      <c r="L468" t="n">
        <v>0</v>
      </c>
      <c r="M468" t="n">
        <v>0</v>
      </c>
      <c r="N468" t="n">
        <v>0</v>
      </c>
      <c r="O468" t="n">
        <v>0</v>
      </c>
      <c r="P468" t="n">
        <v>0</v>
      </c>
      <c r="Q468" t="n">
        <v>0</v>
      </c>
      <c r="R468" s="2" t="inlineStr"/>
    </row>
    <row r="469" ht="15" customHeight="1">
      <c r="A469" t="inlineStr">
        <is>
          <t>A 17843-2024</t>
        </is>
      </c>
      <c r="B469" s="1" t="n">
        <v>45418</v>
      </c>
      <c r="C469" s="1" t="n">
        <v>46077</v>
      </c>
      <c r="D469" t="inlineStr">
        <is>
          <t>STOCKHOLMS LÄN</t>
        </is>
      </c>
      <c r="E469" t="inlineStr">
        <is>
          <t>NORRTÄLJE</t>
        </is>
      </c>
      <c r="G469" t="n">
        <v>5.4</v>
      </c>
      <c r="H469" t="n">
        <v>0</v>
      </c>
      <c r="I469" t="n">
        <v>0</v>
      </c>
      <c r="J469" t="n">
        <v>0</v>
      </c>
      <c r="K469" t="n">
        <v>0</v>
      </c>
      <c r="L469" t="n">
        <v>0</v>
      </c>
      <c r="M469" t="n">
        <v>0</v>
      </c>
      <c r="N469" t="n">
        <v>0</v>
      </c>
      <c r="O469" t="n">
        <v>0</v>
      </c>
      <c r="P469" t="n">
        <v>0</v>
      </c>
      <c r="Q469" t="n">
        <v>0</v>
      </c>
      <c r="R469" s="2" t="inlineStr"/>
    </row>
    <row r="470" ht="15" customHeight="1">
      <c r="A470" t="inlineStr">
        <is>
          <t>A 51653-2022</t>
        </is>
      </c>
      <c r="B470" s="1" t="n">
        <v>44867</v>
      </c>
      <c r="C470" s="1" t="n">
        <v>46077</v>
      </c>
      <c r="D470" t="inlineStr">
        <is>
          <t>STOCKHOLMS LÄN</t>
        </is>
      </c>
      <c r="E470" t="inlineStr">
        <is>
          <t>NORRTÄLJE</t>
        </is>
      </c>
      <c r="G470" t="n">
        <v>6.6</v>
      </c>
      <c r="H470" t="n">
        <v>0</v>
      </c>
      <c r="I470" t="n">
        <v>0</v>
      </c>
      <c r="J470" t="n">
        <v>0</v>
      </c>
      <c r="K470" t="n">
        <v>0</v>
      </c>
      <c r="L470" t="n">
        <v>0</v>
      </c>
      <c r="M470" t="n">
        <v>0</v>
      </c>
      <c r="N470" t="n">
        <v>0</v>
      </c>
      <c r="O470" t="n">
        <v>0</v>
      </c>
      <c r="P470" t="n">
        <v>0</v>
      </c>
      <c r="Q470" t="n">
        <v>0</v>
      </c>
      <c r="R470" s="2" t="inlineStr"/>
    </row>
    <row r="471" ht="15" customHeight="1">
      <c r="A471" t="inlineStr">
        <is>
          <t>A 12890-2024</t>
        </is>
      </c>
      <c r="B471" s="1" t="n">
        <v>45385.36243055556</v>
      </c>
      <c r="C471" s="1" t="n">
        <v>46077</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21386-2023</t>
        </is>
      </c>
      <c r="B472" s="1" t="n">
        <v>45063.35880787037</v>
      </c>
      <c r="C472" s="1" t="n">
        <v>46077</v>
      </c>
      <c r="D472" t="inlineStr">
        <is>
          <t>STOCKHOLMS LÄN</t>
        </is>
      </c>
      <c r="E472" t="inlineStr">
        <is>
          <t>NORRTÄLJE</t>
        </is>
      </c>
      <c r="G472" t="n">
        <v>1.8</v>
      </c>
      <c r="H472" t="n">
        <v>0</v>
      </c>
      <c r="I472" t="n">
        <v>0</v>
      </c>
      <c r="J472" t="n">
        <v>0</v>
      </c>
      <c r="K472" t="n">
        <v>0</v>
      </c>
      <c r="L472" t="n">
        <v>0</v>
      </c>
      <c r="M472" t="n">
        <v>0</v>
      </c>
      <c r="N472" t="n">
        <v>0</v>
      </c>
      <c r="O472" t="n">
        <v>0</v>
      </c>
      <c r="P472" t="n">
        <v>0</v>
      </c>
      <c r="Q472" t="n">
        <v>0</v>
      </c>
      <c r="R472" s="2" t="inlineStr"/>
    </row>
    <row r="473" ht="15" customHeight="1">
      <c r="A473" t="inlineStr">
        <is>
          <t>A 4593-2023</t>
        </is>
      </c>
      <c r="B473" s="1" t="n">
        <v>44956</v>
      </c>
      <c r="C473" s="1" t="n">
        <v>46077</v>
      </c>
      <c r="D473" t="inlineStr">
        <is>
          <t>STOCKHOLMS LÄN</t>
        </is>
      </c>
      <c r="E473" t="inlineStr">
        <is>
          <t>NORRTÄLJE</t>
        </is>
      </c>
      <c r="G473" t="n">
        <v>0.4</v>
      </c>
      <c r="H473" t="n">
        <v>0</v>
      </c>
      <c r="I473" t="n">
        <v>0</v>
      </c>
      <c r="J473" t="n">
        <v>0</v>
      </c>
      <c r="K473" t="n">
        <v>0</v>
      </c>
      <c r="L473" t="n">
        <v>0</v>
      </c>
      <c r="M473" t="n">
        <v>0</v>
      </c>
      <c r="N473" t="n">
        <v>0</v>
      </c>
      <c r="O473" t="n">
        <v>0</v>
      </c>
      <c r="P473" t="n">
        <v>0</v>
      </c>
      <c r="Q473" t="n">
        <v>0</v>
      </c>
      <c r="R473" s="2" t="inlineStr"/>
    </row>
    <row r="474" ht="15" customHeight="1">
      <c r="A474" t="inlineStr">
        <is>
          <t>A 32103-2022</t>
        </is>
      </c>
      <c r="B474" s="1" t="n">
        <v>44778</v>
      </c>
      <c r="C474" s="1" t="n">
        <v>46077</v>
      </c>
      <c r="D474" t="inlineStr">
        <is>
          <t>STOCKHOLMS LÄN</t>
        </is>
      </c>
      <c r="E474" t="inlineStr">
        <is>
          <t>NORRTÄLJE</t>
        </is>
      </c>
      <c r="G474" t="n">
        <v>3.4</v>
      </c>
      <c r="H474" t="n">
        <v>0</v>
      </c>
      <c r="I474" t="n">
        <v>0</v>
      </c>
      <c r="J474" t="n">
        <v>0</v>
      </c>
      <c r="K474" t="n">
        <v>0</v>
      </c>
      <c r="L474" t="n">
        <v>0</v>
      </c>
      <c r="M474" t="n">
        <v>0</v>
      </c>
      <c r="N474" t="n">
        <v>0</v>
      </c>
      <c r="O474" t="n">
        <v>0</v>
      </c>
      <c r="P474" t="n">
        <v>0</v>
      </c>
      <c r="Q474" t="n">
        <v>0</v>
      </c>
      <c r="R474" s="2" t="inlineStr"/>
    </row>
    <row r="475" ht="15" customHeight="1">
      <c r="A475" t="inlineStr">
        <is>
          <t>A 55952-2024</t>
        </is>
      </c>
      <c r="B475" s="1" t="n">
        <v>45623.62563657408</v>
      </c>
      <c r="C475" s="1" t="n">
        <v>46077</v>
      </c>
      <c r="D475" t="inlineStr">
        <is>
          <t>STOCKHOLMS LÄN</t>
        </is>
      </c>
      <c r="E475" t="inlineStr">
        <is>
          <t>NORRTÄLJE</t>
        </is>
      </c>
      <c r="F475" t="inlineStr">
        <is>
          <t>Holmen skog AB</t>
        </is>
      </c>
      <c r="G475" t="n">
        <v>2.8</v>
      </c>
      <c r="H475" t="n">
        <v>0</v>
      </c>
      <c r="I475" t="n">
        <v>0</v>
      </c>
      <c r="J475" t="n">
        <v>0</v>
      </c>
      <c r="K475" t="n">
        <v>0</v>
      </c>
      <c r="L475" t="n">
        <v>0</v>
      </c>
      <c r="M475" t="n">
        <v>0</v>
      </c>
      <c r="N475" t="n">
        <v>0</v>
      </c>
      <c r="O475" t="n">
        <v>0</v>
      </c>
      <c r="P475" t="n">
        <v>0</v>
      </c>
      <c r="Q475" t="n">
        <v>0</v>
      </c>
      <c r="R475" s="2" t="inlineStr"/>
    </row>
    <row r="476" ht="15" customHeight="1">
      <c r="A476" t="inlineStr">
        <is>
          <t>A 36430-2024</t>
        </is>
      </c>
      <c r="B476" s="1" t="n">
        <v>45536</v>
      </c>
      <c r="C476" s="1" t="n">
        <v>46077</v>
      </c>
      <c r="D476" t="inlineStr">
        <is>
          <t>STOCKHOLMS LÄN</t>
        </is>
      </c>
      <c r="E476" t="inlineStr">
        <is>
          <t>NORRTÄLJE</t>
        </is>
      </c>
      <c r="G476" t="n">
        <v>1</v>
      </c>
      <c r="H476" t="n">
        <v>0</v>
      </c>
      <c r="I476" t="n">
        <v>0</v>
      </c>
      <c r="J476" t="n">
        <v>0</v>
      </c>
      <c r="K476" t="n">
        <v>0</v>
      </c>
      <c r="L476" t="n">
        <v>0</v>
      </c>
      <c r="M476" t="n">
        <v>0</v>
      </c>
      <c r="N476" t="n">
        <v>0</v>
      </c>
      <c r="O476" t="n">
        <v>0</v>
      </c>
      <c r="P476" t="n">
        <v>0</v>
      </c>
      <c r="Q476" t="n">
        <v>0</v>
      </c>
      <c r="R476" s="2" t="inlineStr"/>
    </row>
    <row r="477" ht="15" customHeight="1">
      <c r="A477" t="inlineStr">
        <is>
          <t>A 30283-2022</t>
        </is>
      </c>
      <c r="B477" s="1" t="n">
        <v>44760</v>
      </c>
      <c r="C477" s="1" t="n">
        <v>46077</v>
      </c>
      <c r="D477" t="inlineStr">
        <is>
          <t>STOCKHOLMS LÄN</t>
        </is>
      </c>
      <c r="E477" t="inlineStr">
        <is>
          <t>NORRTÄLJE</t>
        </is>
      </c>
      <c r="G477" t="n">
        <v>6.2</v>
      </c>
      <c r="H477" t="n">
        <v>0</v>
      </c>
      <c r="I477" t="n">
        <v>0</v>
      </c>
      <c r="J477" t="n">
        <v>0</v>
      </c>
      <c r="K477" t="n">
        <v>0</v>
      </c>
      <c r="L477" t="n">
        <v>0</v>
      </c>
      <c r="M477" t="n">
        <v>0</v>
      </c>
      <c r="N477" t="n">
        <v>0</v>
      </c>
      <c r="O477" t="n">
        <v>0</v>
      </c>
      <c r="P477" t="n">
        <v>0</v>
      </c>
      <c r="Q477" t="n">
        <v>0</v>
      </c>
      <c r="R477" s="2" t="inlineStr"/>
    </row>
    <row r="478" ht="15" customHeight="1">
      <c r="A478" t="inlineStr">
        <is>
          <t>A 30290-2022</t>
        </is>
      </c>
      <c r="B478" s="1" t="n">
        <v>44760</v>
      </c>
      <c r="C478" s="1" t="n">
        <v>46077</v>
      </c>
      <c r="D478" t="inlineStr">
        <is>
          <t>STOCKHOLMS LÄN</t>
        </is>
      </c>
      <c r="E478" t="inlineStr">
        <is>
          <t>NORRTÄLJE</t>
        </is>
      </c>
      <c r="G478" t="n">
        <v>4.8</v>
      </c>
      <c r="H478" t="n">
        <v>0</v>
      </c>
      <c r="I478" t="n">
        <v>0</v>
      </c>
      <c r="J478" t="n">
        <v>0</v>
      </c>
      <c r="K478" t="n">
        <v>0</v>
      </c>
      <c r="L478" t="n">
        <v>0</v>
      </c>
      <c r="M478" t="n">
        <v>0</v>
      </c>
      <c r="N478" t="n">
        <v>0</v>
      </c>
      <c r="O478" t="n">
        <v>0</v>
      </c>
      <c r="P478" t="n">
        <v>0</v>
      </c>
      <c r="Q478" t="n">
        <v>0</v>
      </c>
      <c r="R478" s="2" t="inlineStr"/>
    </row>
    <row r="479" ht="15" customHeight="1">
      <c r="A479" t="inlineStr">
        <is>
          <t>A 23070-2023</t>
        </is>
      </c>
      <c r="B479" s="1" t="n">
        <v>45075</v>
      </c>
      <c r="C479" s="1" t="n">
        <v>46077</v>
      </c>
      <c r="D479" t="inlineStr">
        <is>
          <t>STOCKHOLMS LÄN</t>
        </is>
      </c>
      <c r="E479" t="inlineStr">
        <is>
          <t>NORRTÄLJE</t>
        </is>
      </c>
      <c r="G479" t="n">
        <v>1.5</v>
      </c>
      <c r="H479" t="n">
        <v>0</v>
      </c>
      <c r="I479" t="n">
        <v>0</v>
      </c>
      <c r="J479" t="n">
        <v>0</v>
      </c>
      <c r="K479" t="n">
        <v>0</v>
      </c>
      <c r="L479" t="n">
        <v>0</v>
      </c>
      <c r="M479" t="n">
        <v>0</v>
      </c>
      <c r="N479" t="n">
        <v>0</v>
      </c>
      <c r="O479" t="n">
        <v>0</v>
      </c>
      <c r="P479" t="n">
        <v>0</v>
      </c>
      <c r="Q479" t="n">
        <v>0</v>
      </c>
      <c r="R479" s="2" t="inlineStr"/>
    </row>
    <row r="480" ht="15" customHeight="1">
      <c r="A480" t="inlineStr">
        <is>
          <t>A 38985-2022</t>
        </is>
      </c>
      <c r="B480" s="1" t="n">
        <v>44816</v>
      </c>
      <c r="C480" s="1" t="n">
        <v>46077</v>
      </c>
      <c r="D480" t="inlineStr">
        <is>
          <t>STOCKHOLMS LÄN</t>
        </is>
      </c>
      <c r="E480" t="inlineStr">
        <is>
          <t>NORRTÄLJE</t>
        </is>
      </c>
      <c r="G480" t="n">
        <v>10.1</v>
      </c>
      <c r="H480" t="n">
        <v>0</v>
      </c>
      <c r="I480" t="n">
        <v>0</v>
      </c>
      <c r="J480" t="n">
        <v>0</v>
      </c>
      <c r="K480" t="n">
        <v>0</v>
      </c>
      <c r="L480" t="n">
        <v>0</v>
      </c>
      <c r="M480" t="n">
        <v>0</v>
      </c>
      <c r="N480" t="n">
        <v>0</v>
      </c>
      <c r="O480" t="n">
        <v>0</v>
      </c>
      <c r="P480" t="n">
        <v>0</v>
      </c>
      <c r="Q480" t="n">
        <v>0</v>
      </c>
      <c r="R480" s="2" t="inlineStr"/>
    </row>
    <row r="481" ht="15" customHeight="1">
      <c r="A481" t="inlineStr">
        <is>
          <t>A 41172-2023</t>
        </is>
      </c>
      <c r="B481" s="1" t="n">
        <v>45170</v>
      </c>
      <c r="C481" s="1" t="n">
        <v>46077</v>
      </c>
      <c r="D481" t="inlineStr">
        <is>
          <t>STOCKHOLMS LÄN</t>
        </is>
      </c>
      <c r="E481" t="inlineStr">
        <is>
          <t>NORRTÄLJE</t>
        </is>
      </c>
      <c r="G481" t="n">
        <v>1.6</v>
      </c>
      <c r="H481" t="n">
        <v>0</v>
      </c>
      <c r="I481" t="n">
        <v>0</v>
      </c>
      <c r="J481" t="n">
        <v>0</v>
      </c>
      <c r="K481" t="n">
        <v>0</v>
      </c>
      <c r="L481" t="n">
        <v>0</v>
      </c>
      <c r="M481" t="n">
        <v>0</v>
      </c>
      <c r="N481" t="n">
        <v>0</v>
      </c>
      <c r="O481" t="n">
        <v>0</v>
      </c>
      <c r="P481" t="n">
        <v>0</v>
      </c>
      <c r="Q481" t="n">
        <v>0</v>
      </c>
      <c r="R481" s="2" t="inlineStr"/>
    </row>
    <row r="482" ht="15" customHeight="1">
      <c r="A482" t="inlineStr">
        <is>
          <t>A 54396-2021</t>
        </is>
      </c>
      <c r="B482" s="1" t="n">
        <v>44472</v>
      </c>
      <c r="C482" s="1" t="n">
        <v>46077</v>
      </c>
      <c r="D482" t="inlineStr">
        <is>
          <t>STOCKHOLMS LÄN</t>
        </is>
      </c>
      <c r="E482" t="inlineStr">
        <is>
          <t>NORRTÄLJE</t>
        </is>
      </c>
      <c r="G482" t="n">
        <v>2.6</v>
      </c>
      <c r="H482" t="n">
        <v>0</v>
      </c>
      <c r="I482" t="n">
        <v>0</v>
      </c>
      <c r="J482" t="n">
        <v>0</v>
      </c>
      <c r="K482" t="n">
        <v>0</v>
      </c>
      <c r="L482" t="n">
        <v>0</v>
      </c>
      <c r="M482" t="n">
        <v>0</v>
      </c>
      <c r="N482" t="n">
        <v>0</v>
      </c>
      <c r="O482" t="n">
        <v>0</v>
      </c>
      <c r="P482" t="n">
        <v>0</v>
      </c>
      <c r="Q482" t="n">
        <v>0</v>
      </c>
      <c r="R482" s="2" t="inlineStr"/>
    </row>
    <row r="483" ht="15" customHeight="1">
      <c r="A483" t="inlineStr">
        <is>
          <t>A 67921-2021</t>
        </is>
      </c>
      <c r="B483" s="1" t="n">
        <v>44525</v>
      </c>
      <c r="C483" s="1" t="n">
        <v>46077</v>
      </c>
      <c r="D483" t="inlineStr">
        <is>
          <t>STOCKHOLMS LÄN</t>
        </is>
      </c>
      <c r="E483" t="inlineStr">
        <is>
          <t>NORRTÄLJE</t>
        </is>
      </c>
      <c r="G483" t="n">
        <v>6.3</v>
      </c>
      <c r="H483" t="n">
        <v>0</v>
      </c>
      <c r="I483" t="n">
        <v>0</v>
      </c>
      <c r="J483" t="n">
        <v>0</v>
      </c>
      <c r="K483" t="n">
        <v>0</v>
      </c>
      <c r="L483" t="n">
        <v>0</v>
      </c>
      <c r="M483" t="n">
        <v>0</v>
      </c>
      <c r="N483" t="n">
        <v>0</v>
      </c>
      <c r="O483" t="n">
        <v>0</v>
      </c>
      <c r="P483" t="n">
        <v>0</v>
      </c>
      <c r="Q483" t="n">
        <v>0</v>
      </c>
      <c r="R483" s="2" t="inlineStr"/>
    </row>
    <row r="484" ht="15" customHeight="1">
      <c r="A484" t="inlineStr">
        <is>
          <t>A 8792-2025</t>
        </is>
      </c>
      <c r="B484" s="1" t="n">
        <v>45712</v>
      </c>
      <c r="C484" s="1" t="n">
        <v>46077</v>
      </c>
      <c r="D484" t="inlineStr">
        <is>
          <t>STOCKHOLMS LÄN</t>
        </is>
      </c>
      <c r="E484" t="inlineStr">
        <is>
          <t>NORRTÄLJE</t>
        </is>
      </c>
      <c r="F484" t="inlineStr">
        <is>
          <t>Övriga Aktiebolag</t>
        </is>
      </c>
      <c r="G484" t="n">
        <v>6.6</v>
      </c>
      <c r="H484" t="n">
        <v>0</v>
      </c>
      <c r="I484" t="n">
        <v>0</v>
      </c>
      <c r="J484" t="n">
        <v>0</v>
      </c>
      <c r="K484" t="n">
        <v>0</v>
      </c>
      <c r="L484" t="n">
        <v>0</v>
      </c>
      <c r="M484" t="n">
        <v>0</v>
      </c>
      <c r="N484" t="n">
        <v>0</v>
      </c>
      <c r="O484" t="n">
        <v>0</v>
      </c>
      <c r="P484" t="n">
        <v>0</v>
      </c>
      <c r="Q484" t="n">
        <v>0</v>
      </c>
      <c r="R484" s="2" t="inlineStr"/>
    </row>
    <row r="485" ht="15" customHeight="1">
      <c r="A485" t="inlineStr">
        <is>
          <t>A 25625-2023</t>
        </is>
      </c>
      <c r="B485" s="1" t="n">
        <v>45089</v>
      </c>
      <c r="C485" s="1" t="n">
        <v>46077</v>
      </c>
      <c r="D485" t="inlineStr">
        <is>
          <t>STOCKHOLMS LÄN</t>
        </is>
      </c>
      <c r="E485" t="inlineStr">
        <is>
          <t>NORRTÄLJE</t>
        </is>
      </c>
      <c r="G485" t="n">
        <v>5.5</v>
      </c>
      <c r="H485" t="n">
        <v>0</v>
      </c>
      <c r="I485" t="n">
        <v>0</v>
      </c>
      <c r="J485" t="n">
        <v>0</v>
      </c>
      <c r="K485" t="n">
        <v>0</v>
      </c>
      <c r="L485" t="n">
        <v>0</v>
      </c>
      <c r="M485" t="n">
        <v>0</v>
      </c>
      <c r="N485" t="n">
        <v>0</v>
      </c>
      <c r="O485" t="n">
        <v>0</v>
      </c>
      <c r="P485" t="n">
        <v>0</v>
      </c>
      <c r="Q485" t="n">
        <v>0</v>
      </c>
      <c r="R485" s="2" t="inlineStr"/>
    </row>
    <row r="486" ht="15" customHeight="1">
      <c r="A486" t="inlineStr">
        <is>
          <t>A 72704-2021</t>
        </is>
      </c>
      <c r="B486" s="1" t="n">
        <v>44546</v>
      </c>
      <c r="C486" s="1" t="n">
        <v>46077</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65499-2021</t>
        </is>
      </c>
      <c r="B487" s="1" t="n">
        <v>44516</v>
      </c>
      <c r="C487" s="1" t="n">
        <v>46077</v>
      </c>
      <c r="D487" t="inlineStr">
        <is>
          <t>STOCKHOLMS LÄN</t>
        </is>
      </c>
      <c r="E487" t="inlineStr">
        <is>
          <t>NORRTÄLJE</t>
        </is>
      </c>
      <c r="F487" t="inlineStr">
        <is>
          <t>Kommuner</t>
        </is>
      </c>
      <c r="G487" t="n">
        <v>5.2</v>
      </c>
      <c r="H487" t="n">
        <v>0</v>
      </c>
      <c r="I487" t="n">
        <v>0</v>
      </c>
      <c r="J487" t="n">
        <v>0</v>
      </c>
      <c r="K487" t="n">
        <v>0</v>
      </c>
      <c r="L487" t="n">
        <v>0</v>
      </c>
      <c r="M487" t="n">
        <v>0</v>
      </c>
      <c r="N487" t="n">
        <v>0</v>
      </c>
      <c r="O487" t="n">
        <v>0</v>
      </c>
      <c r="P487" t="n">
        <v>0</v>
      </c>
      <c r="Q487" t="n">
        <v>0</v>
      </c>
      <c r="R487" s="2" t="inlineStr"/>
    </row>
    <row r="488" ht="15" customHeight="1">
      <c r="A488" t="inlineStr">
        <is>
          <t>A 65511-2021</t>
        </is>
      </c>
      <c r="B488" s="1" t="n">
        <v>44516.40674768519</v>
      </c>
      <c r="C488" s="1" t="n">
        <v>46077</v>
      </c>
      <c r="D488" t="inlineStr">
        <is>
          <t>STOCKHOLMS LÄN</t>
        </is>
      </c>
      <c r="E488" t="inlineStr">
        <is>
          <t>NORRTÄLJE</t>
        </is>
      </c>
      <c r="F488" t="inlineStr">
        <is>
          <t>Kommuner</t>
        </is>
      </c>
      <c r="G488" t="n">
        <v>2.8</v>
      </c>
      <c r="H488" t="n">
        <v>0</v>
      </c>
      <c r="I488" t="n">
        <v>0</v>
      </c>
      <c r="J488" t="n">
        <v>0</v>
      </c>
      <c r="K488" t="n">
        <v>0</v>
      </c>
      <c r="L488" t="n">
        <v>0</v>
      </c>
      <c r="M488" t="n">
        <v>0</v>
      </c>
      <c r="N488" t="n">
        <v>0</v>
      </c>
      <c r="O488" t="n">
        <v>0</v>
      </c>
      <c r="P488" t="n">
        <v>0</v>
      </c>
      <c r="Q488" t="n">
        <v>0</v>
      </c>
      <c r="R488" s="2" t="inlineStr"/>
    </row>
    <row r="489" ht="15" customHeight="1">
      <c r="A489" t="inlineStr">
        <is>
          <t>A 7571-2024</t>
        </is>
      </c>
      <c r="B489" s="1" t="n">
        <v>45348.46300925926</v>
      </c>
      <c r="C489" s="1" t="n">
        <v>46077</v>
      </c>
      <c r="D489" t="inlineStr">
        <is>
          <t>STOCKHOLMS LÄN</t>
        </is>
      </c>
      <c r="E489" t="inlineStr">
        <is>
          <t>NORRTÄLJE</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26113-2024</t>
        </is>
      </c>
      <c r="B490" s="1" t="n">
        <v>45468.45541666666</v>
      </c>
      <c r="C490" s="1" t="n">
        <v>46077</v>
      </c>
      <c r="D490" t="inlineStr">
        <is>
          <t>STOCKHOLMS LÄN</t>
        </is>
      </c>
      <c r="E490" t="inlineStr">
        <is>
          <t>NORRTÄLJE</t>
        </is>
      </c>
      <c r="G490" t="n">
        <v>0.4</v>
      </c>
      <c r="H490" t="n">
        <v>0</v>
      </c>
      <c r="I490" t="n">
        <v>0</v>
      </c>
      <c r="J490" t="n">
        <v>0</v>
      </c>
      <c r="K490" t="n">
        <v>0</v>
      </c>
      <c r="L490" t="n">
        <v>0</v>
      </c>
      <c r="M490" t="n">
        <v>0</v>
      </c>
      <c r="N490" t="n">
        <v>0</v>
      </c>
      <c r="O490" t="n">
        <v>0</v>
      </c>
      <c r="P490" t="n">
        <v>0</v>
      </c>
      <c r="Q490" t="n">
        <v>0</v>
      </c>
      <c r="R490" s="2" t="inlineStr"/>
    </row>
    <row r="491" ht="15" customHeight="1">
      <c r="A491" t="inlineStr">
        <is>
          <t>A 26116-2024</t>
        </is>
      </c>
      <c r="B491" s="1" t="n">
        <v>45468.45747685185</v>
      </c>
      <c r="C491" s="1" t="n">
        <v>46077</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36269-2022</t>
        </is>
      </c>
      <c r="B492" s="1" t="n">
        <v>44803</v>
      </c>
      <c r="C492" s="1" t="n">
        <v>46077</v>
      </c>
      <c r="D492" t="inlineStr">
        <is>
          <t>STOCKHOLMS LÄN</t>
        </is>
      </c>
      <c r="E492" t="inlineStr">
        <is>
          <t>NORRTÄLJE</t>
        </is>
      </c>
      <c r="G492" t="n">
        <v>2.3</v>
      </c>
      <c r="H492" t="n">
        <v>0</v>
      </c>
      <c r="I492" t="n">
        <v>0</v>
      </c>
      <c r="J492" t="n">
        <v>0</v>
      </c>
      <c r="K492" t="n">
        <v>0</v>
      </c>
      <c r="L492" t="n">
        <v>0</v>
      </c>
      <c r="M492" t="n">
        <v>0</v>
      </c>
      <c r="N492" t="n">
        <v>0</v>
      </c>
      <c r="O492" t="n">
        <v>0</v>
      </c>
      <c r="P492" t="n">
        <v>0</v>
      </c>
      <c r="Q492" t="n">
        <v>0</v>
      </c>
      <c r="R492" s="2" t="inlineStr"/>
    </row>
    <row r="493" ht="15" customHeight="1">
      <c r="A493" t="inlineStr">
        <is>
          <t>A 52686-2024</t>
        </is>
      </c>
      <c r="B493" s="1" t="n">
        <v>45610.39271990741</v>
      </c>
      <c r="C493" s="1" t="n">
        <v>46077</v>
      </c>
      <c r="D493" t="inlineStr">
        <is>
          <t>STOCKHOLMS LÄN</t>
        </is>
      </c>
      <c r="E493" t="inlineStr">
        <is>
          <t>NORRTÄLJE</t>
        </is>
      </c>
      <c r="G493" t="n">
        <v>5.7</v>
      </c>
      <c r="H493" t="n">
        <v>0</v>
      </c>
      <c r="I493" t="n">
        <v>0</v>
      </c>
      <c r="J493" t="n">
        <v>0</v>
      </c>
      <c r="K493" t="n">
        <v>0</v>
      </c>
      <c r="L493" t="n">
        <v>0</v>
      </c>
      <c r="M493" t="n">
        <v>0</v>
      </c>
      <c r="N493" t="n">
        <v>0</v>
      </c>
      <c r="O493" t="n">
        <v>0</v>
      </c>
      <c r="P493" t="n">
        <v>0</v>
      </c>
      <c r="Q493" t="n">
        <v>0</v>
      </c>
      <c r="R493" s="2" t="inlineStr"/>
    </row>
    <row r="494" ht="15" customHeight="1">
      <c r="A494" t="inlineStr">
        <is>
          <t>A 5665-2025</t>
        </is>
      </c>
      <c r="B494" s="1" t="n">
        <v>45693</v>
      </c>
      <c r="C494" s="1" t="n">
        <v>46077</v>
      </c>
      <c r="D494" t="inlineStr">
        <is>
          <t>STOCKHOLMS LÄN</t>
        </is>
      </c>
      <c r="E494" t="inlineStr">
        <is>
          <t>NORRTÄLJE</t>
        </is>
      </c>
      <c r="G494" t="n">
        <v>4</v>
      </c>
      <c r="H494" t="n">
        <v>0</v>
      </c>
      <c r="I494" t="n">
        <v>0</v>
      </c>
      <c r="J494" t="n">
        <v>0</v>
      </c>
      <c r="K494" t="n">
        <v>0</v>
      </c>
      <c r="L494" t="n">
        <v>0</v>
      </c>
      <c r="M494" t="n">
        <v>0</v>
      </c>
      <c r="N494" t="n">
        <v>0</v>
      </c>
      <c r="O494" t="n">
        <v>0</v>
      </c>
      <c r="P494" t="n">
        <v>0</v>
      </c>
      <c r="Q494" t="n">
        <v>0</v>
      </c>
      <c r="R494" s="2" t="inlineStr"/>
    </row>
    <row r="495" ht="15" customHeight="1">
      <c r="A495" t="inlineStr">
        <is>
          <t>A 31105-2022</t>
        </is>
      </c>
      <c r="B495" s="1" t="n">
        <v>44769.66039351852</v>
      </c>
      <c r="C495" s="1" t="n">
        <v>46077</v>
      </c>
      <c r="D495" t="inlineStr">
        <is>
          <t>STOCKHOLMS LÄN</t>
        </is>
      </c>
      <c r="E495" t="inlineStr">
        <is>
          <t>NORRTÄLJE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12407-2025</t>
        </is>
      </c>
      <c r="B496" s="1" t="n">
        <v>45730.42851851852</v>
      </c>
      <c r="C496" s="1" t="n">
        <v>46077</v>
      </c>
      <c r="D496" t="inlineStr">
        <is>
          <t>STOCKHOLMS LÄN</t>
        </is>
      </c>
      <c r="E496" t="inlineStr">
        <is>
          <t>NORRTÄLJE</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32071-2023</t>
        </is>
      </c>
      <c r="B497" s="1" t="n">
        <v>45119.57728009259</v>
      </c>
      <c r="C497" s="1" t="n">
        <v>46077</v>
      </c>
      <c r="D497" t="inlineStr">
        <is>
          <t>STOCKHOLMS LÄN</t>
        </is>
      </c>
      <c r="E497" t="inlineStr">
        <is>
          <t>NORRTÄLJE</t>
        </is>
      </c>
      <c r="G497" t="n">
        <v>6.5</v>
      </c>
      <c r="H497" t="n">
        <v>0</v>
      </c>
      <c r="I497" t="n">
        <v>0</v>
      </c>
      <c r="J497" t="n">
        <v>0</v>
      </c>
      <c r="K497" t="n">
        <v>0</v>
      </c>
      <c r="L497" t="n">
        <v>0</v>
      </c>
      <c r="M497" t="n">
        <v>0</v>
      </c>
      <c r="N497" t="n">
        <v>0</v>
      </c>
      <c r="O497" t="n">
        <v>0</v>
      </c>
      <c r="P497" t="n">
        <v>0</v>
      </c>
      <c r="Q497" t="n">
        <v>0</v>
      </c>
      <c r="R497" s="2" t="inlineStr"/>
    </row>
    <row r="498" ht="15" customHeight="1">
      <c r="A498" t="inlineStr">
        <is>
          <t>A 26636-2023</t>
        </is>
      </c>
      <c r="B498" s="1" t="n">
        <v>45092</v>
      </c>
      <c r="C498" s="1" t="n">
        <v>46077</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26637-2023</t>
        </is>
      </c>
      <c r="B499" s="1" t="n">
        <v>45092</v>
      </c>
      <c r="C499" s="1" t="n">
        <v>46077</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14132-2025</t>
        </is>
      </c>
      <c r="B500" s="1" t="n">
        <v>45740.47550925926</v>
      </c>
      <c r="C500" s="1" t="n">
        <v>46077</v>
      </c>
      <c r="D500" t="inlineStr">
        <is>
          <t>STOCKHOLMS LÄN</t>
        </is>
      </c>
      <c r="E500" t="inlineStr">
        <is>
          <t>NORRTÄLJE</t>
        </is>
      </c>
      <c r="G500" t="n">
        <v>1.1</v>
      </c>
      <c r="H500" t="n">
        <v>0</v>
      </c>
      <c r="I500" t="n">
        <v>0</v>
      </c>
      <c r="J500" t="n">
        <v>0</v>
      </c>
      <c r="K500" t="n">
        <v>0</v>
      </c>
      <c r="L500" t="n">
        <v>0</v>
      </c>
      <c r="M500" t="n">
        <v>0</v>
      </c>
      <c r="N500" t="n">
        <v>0</v>
      </c>
      <c r="O500" t="n">
        <v>0</v>
      </c>
      <c r="P500" t="n">
        <v>0</v>
      </c>
      <c r="Q500" t="n">
        <v>0</v>
      </c>
      <c r="R500" s="2" t="inlineStr"/>
    </row>
    <row r="501" ht="15" customHeight="1">
      <c r="A501" t="inlineStr">
        <is>
          <t>A 14133-2025</t>
        </is>
      </c>
      <c r="B501" s="1" t="n">
        <v>45740.47724537037</v>
      </c>
      <c r="C501" s="1" t="n">
        <v>46077</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7186-2024</t>
        </is>
      </c>
      <c r="B502" s="1" t="n">
        <v>45344</v>
      </c>
      <c r="C502" s="1" t="n">
        <v>46077</v>
      </c>
      <c r="D502" t="inlineStr">
        <is>
          <t>STOCKHOLMS LÄN</t>
        </is>
      </c>
      <c r="E502" t="inlineStr">
        <is>
          <t>NORRTÄLJE</t>
        </is>
      </c>
      <c r="G502" t="n">
        <v>4.9</v>
      </c>
      <c r="H502" t="n">
        <v>0</v>
      </c>
      <c r="I502" t="n">
        <v>0</v>
      </c>
      <c r="J502" t="n">
        <v>0</v>
      </c>
      <c r="K502" t="n">
        <v>0</v>
      </c>
      <c r="L502" t="n">
        <v>0</v>
      </c>
      <c r="M502" t="n">
        <v>0</v>
      </c>
      <c r="N502" t="n">
        <v>0</v>
      </c>
      <c r="O502" t="n">
        <v>0</v>
      </c>
      <c r="P502" t="n">
        <v>0</v>
      </c>
      <c r="Q502" t="n">
        <v>0</v>
      </c>
      <c r="R502" s="2" t="inlineStr"/>
    </row>
    <row r="503" ht="15" customHeight="1">
      <c r="A503" t="inlineStr">
        <is>
          <t>A 23266-2023</t>
        </is>
      </c>
      <c r="B503" s="1" t="n">
        <v>45075.90817129629</v>
      </c>
      <c r="C503" s="1" t="n">
        <v>46077</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row>
    <row r="504" ht="15" customHeight="1">
      <c r="A504" t="inlineStr">
        <is>
          <t>A 62644-2023</t>
        </is>
      </c>
      <c r="B504" s="1" t="n">
        <v>45271</v>
      </c>
      <c r="C504" s="1" t="n">
        <v>46077</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60185-2024</t>
        </is>
      </c>
      <c r="B505" s="1" t="n">
        <v>45642.64634259259</v>
      </c>
      <c r="C505" s="1" t="n">
        <v>46077</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35161-2022</t>
        </is>
      </c>
      <c r="B506" s="1" t="n">
        <v>44797</v>
      </c>
      <c r="C506" s="1" t="n">
        <v>46077</v>
      </c>
      <c r="D506" t="inlineStr">
        <is>
          <t>STOCKHOLMS LÄN</t>
        </is>
      </c>
      <c r="E506" t="inlineStr">
        <is>
          <t>NORRTÄLJE</t>
        </is>
      </c>
      <c r="G506" t="n">
        <v>6</v>
      </c>
      <c r="H506" t="n">
        <v>0</v>
      </c>
      <c r="I506" t="n">
        <v>0</v>
      </c>
      <c r="J506" t="n">
        <v>0</v>
      </c>
      <c r="K506" t="n">
        <v>0</v>
      </c>
      <c r="L506" t="n">
        <v>0</v>
      </c>
      <c r="M506" t="n">
        <v>0</v>
      </c>
      <c r="N506" t="n">
        <v>0</v>
      </c>
      <c r="O506" t="n">
        <v>0</v>
      </c>
      <c r="P506" t="n">
        <v>0</v>
      </c>
      <c r="Q506" t="n">
        <v>0</v>
      </c>
      <c r="R506" s="2" t="inlineStr"/>
    </row>
    <row r="507" ht="15" customHeight="1">
      <c r="A507" t="inlineStr">
        <is>
          <t>A 60765-2023</t>
        </is>
      </c>
      <c r="B507" s="1" t="n">
        <v>45260</v>
      </c>
      <c r="C507" s="1" t="n">
        <v>46077</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39202-2024</t>
        </is>
      </c>
      <c r="B508" s="1" t="n">
        <v>45548.72306712963</v>
      </c>
      <c r="C508" s="1" t="n">
        <v>46077</v>
      </c>
      <c r="D508" t="inlineStr">
        <is>
          <t>STOCKHOLMS LÄN</t>
        </is>
      </c>
      <c r="E508" t="inlineStr">
        <is>
          <t>NORRTÄLJE</t>
        </is>
      </c>
      <c r="G508" t="n">
        <v>1.9</v>
      </c>
      <c r="H508" t="n">
        <v>0</v>
      </c>
      <c r="I508" t="n">
        <v>0</v>
      </c>
      <c r="J508" t="n">
        <v>0</v>
      </c>
      <c r="K508" t="n">
        <v>0</v>
      </c>
      <c r="L508" t="n">
        <v>0</v>
      </c>
      <c r="M508" t="n">
        <v>0</v>
      </c>
      <c r="N508" t="n">
        <v>0</v>
      </c>
      <c r="O508" t="n">
        <v>0</v>
      </c>
      <c r="P508" t="n">
        <v>0</v>
      </c>
      <c r="Q508" t="n">
        <v>0</v>
      </c>
      <c r="R508" s="2" t="inlineStr"/>
    </row>
    <row r="509" ht="15" customHeight="1">
      <c r="A509" t="inlineStr">
        <is>
          <t>A 25681-2024</t>
        </is>
      </c>
      <c r="B509" s="1" t="n">
        <v>45463.80486111111</v>
      </c>
      <c r="C509" s="1" t="n">
        <v>46077</v>
      </c>
      <c r="D509" t="inlineStr">
        <is>
          <t>STOCKHOLMS LÄN</t>
        </is>
      </c>
      <c r="E509" t="inlineStr">
        <is>
          <t>NORRTÄLJE</t>
        </is>
      </c>
      <c r="G509" t="n">
        <v>2.7</v>
      </c>
      <c r="H509" t="n">
        <v>0</v>
      </c>
      <c r="I509" t="n">
        <v>0</v>
      </c>
      <c r="J509" t="n">
        <v>0</v>
      </c>
      <c r="K509" t="n">
        <v>0</v>
      </c>
      <c r="L509" t="n">
        <v>0</v>
      </c>
      <c r="M509" t="n">
        <v>0</v>
      </c>
      <c r="N509" t="n">
        <v>0</v>
      </c>
      <c r="O509" t="n">
        <v>0</v>
      </c>
      <c r="P509" t="n">
        <v>0</v>
      </c>
      <c r="Q509" t="n">
        <v>0</v>
      </c>
      <c r="R509" s="2" t="inlineStr"/>
    </row>
    <row r="510" ht="15" customHeight="1">
      <c r="A510" t="inlineStr">
        <is>
          <t>A 12268-2022</t>
        </is>
      </c>
      <c r="B510" s="1" t="n">
        <v>44637</v>
      </c>
      <c r="C510" s="1" t="n">
        <v>46077</v>
      </c>
      <c r="D510" t="inlineStr">
        <is>
          <t>STOCKHOLMS LÄN</t>
        </is>
      </c>
      <c r="E510" t="inlineStr">
        <is>
          <t>NORRTÄLJE</t>
        </is>
      </c>
      <c r="F510" t="inlineStr">
        <is>
          <t>Sveaskog</t>
        </is>
      </c>
      <c r="G510" t="n">
        <v>0.8</v>
      </c>
      <c r="H510" t="n">
        <v>0</v>
      </c>
      <c r="I510" t="n">
        <v>0</v>
      </c>
      <c r="J510" t="n">
        <v>0</v>
      </c>
      <c r="K510" t="n">
        <v>0</v>
      </c>
      <c r="L510" t="n">
        <v>0</v>
      </c>
      <c r="M510" t="n">
        <v>0</v>
      </c>
      <c r="N510" t="n">
        <v>0</v>
      </c>
      <c r="O510" t="n">
        <v>0</v>
      </c>
      <c r="P510" t="n">
        <v>0</v>
      </c>
      <c r="Q510" t="n">
        <v>0</v>
      </c>
      <c r="R510" s="2" t="inlineStr"/>
    </row>
    <row r="511" ht="15" customHeight="1">
      <c r="A511" t="inlineStr">
        <is>
          <t>A 22832-2021</t>
        </is>
      </c>
      <c r="B511" s="1" t="n">
        <v>44325</v>
      </c>
      <c r="C511" s="1" t="n">
        <v>46077</v>
      </c>
      <c r="D511" t="inlineStr">
        <is>
          <t>STOCKHOLMS LÄN</t>
        </is>
      </c>
      <c r="E511" t="inlineStr">
        <is>
          <t>NORRTÄLJE</t>
        </is>
      </c>
      <c r="G511" t="n">
        <v>6.8</v>
      </c>
      <c r="H511" t="n">
        <v>0</v>
      </c>
      <c r="I511" t="n">
        <v>0</v>
      </c>
      <c r="J511" t="n">
        <v>0</v>
      </c>
      <c r="K511" t="n">
        <v>0</v>
      </c>
      <c r="L511" t="n">
        <v>0</v>
      </c>
      <c r="M511" t="n">
        <v>0</v>
      </c>
      <c r="N511" t="n">
        <v>0</v>
      </c>
      <c r="O511" t="n">
        <v>0</v>
      </c>
      <c r="P511" t="n">
        <v>0</v>
      </c>
      <c r="Q511" t="n">
        <v>0</v>
      </c>
      <c r="R511" s="2" t="inlineStr"/>
    </row>
    <row r="512" ht="15" customHeight="1">
      <c r="A512" t="inlineStr">
        <is>
          <t>A 51315-2021</t>
        </is>
      </c>
      <c r="B512" s="1" t="n">
        <v>44461</v>
      </c>
      <c r="C512" s="1" t="n">
        <v>46077</v>
      </c>
      <c r="D512" t="inlineStr">
        <is>
          <t>STOCKHOLMS LÄN</t>
        </is>
      </c>
      <c r="E512" t="inlineStr">
        <is>
          <t>NORRTÄLJE</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53792-2023</t>
        </is>
      </c>
      <c r="B513" s="1" t="n">
        <v>45231.34144675926</v>
      </c>
      <c r="C513" s="1" t="n">
        <v>46077</v>
      </c>
      <c r="D513" t="inlineStr">
        <is>
          <t>STOCKHOLMS LÄN</t>
        </is>
      </c>
      <c r="E513" t="inlineStr">
        <is>
          <t>NORRTÄLJE</t>
        </is>
      </c>
      <c r="G513" t="n">
        <v>1.1</v>
      </c>
      <c r="H513" t="n">
        <v>0</v>
      </c>
      <c r="I513" t="n">
        <v>0</v>
      </c>
      <c r="J513" t="n">
        <v>0</v>
      </c>
      <c r="K513" t="n">
        <v>0</v>
      </c>
      <c r="L513" t="n">
        <v>0</v>
      </c>
      <c r="M513" t="n">
        <v>0</v>
      </c>
      <c r="N513" t="n">
        <v>0</v>
      </c>
      <c r="O513" t="n">
        <v>0</v>
      </c>
      <c r="P513" t="n">
        <v>0</v>
      </c>
      <c r="Q513" t="n">
        <v>0</v>
      </c>
      <c r="R513" s="2" t="inlineStr"/>
    </row>
    <row r="514" ht="15" customHeight="1">
      <c r="A514" t="inlineStr">
        <is>
          <t>A 22008-2024</t>
        </is>
      </c>
      <c r="B514" s="1" t="n">
        <v>45443</v>
      </c>
      <c r="C514" s="1" t="n">
        <v>46077</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58863-2024</t>
        </is>
      </c>
      <c r="B515" s="1" t="n">
        <v>45636.41572916666</v>
      </c>
      <c r="C515" s="1" t="n">
        <v>46077</v>
      </c>
      <c r="D515" t="inlineStr">
        <is>
          <t>STOCKHOLMS LÄN</t>
        </is>
      </c>
      <c r="E515" t="inlineStr">
        <is>
          <t>NORRTÄLJE</t>
        </is>
      </c>
      <c r="G515" t="n">
        <v>0.7</v>
      </c>
      <c r="H515" t="n">
        <v>0</v>
      </c>
      <c r="I515" t="n">
        <v>0</v>
      </c>
      <c r="J515" t="n">
        <v>0</v>
      </c>
      <c r="K515" t="n">
        <v>0</v>
      </c>
      <c r="L515" t="n">
        <v>0</v>
      </c>
      <c r="M515" t="n">
        <v>0</v>
      </c>
      <c r="N515" t="n">
        <v>0</v>
      </c>
      <c r="O515" t="n">
        <v>0</v>
      </c>
      <c r="P515" t="n">
        <v>0</v>
      </c>
      <c r="Q515" t="n">
        <v>0</v>
      </c>
      <c r="R515" s="2" t="inlineStr"/>
    </row>
    <row r="516" ht="15" customHeight="1">
      <c r="A516" t="inlineStr">
        <is>
          <t>A 11280-2023</t>
        </is>
      </c>
      <c r="B516" s="1" t="n">
        <v>44992</v>
      </c>
      <c r="C516" s="1" t="n">
        <v>46077</v>
      </c>
      <c r="D516" t="inlineStr">
        <is>
          <t>STOCKHOLMS LÄN</t>
        </is>
      </c>
      <c r="E516" t="inlineStr">
        <is>
          <t>NORRTÄLJE</t>
        </is>
      </c>
      <c r="G516" t="n">
        <v>0.8</v>
      </c>
      <c r="H516" t="n">
        <v>0</v>
      </c>
      <c r="I516" t="n">
        <v>0</v>
      </c>
      <c r="J516" t="n">
        <v>0</v>
      </c>
      <c r="K516" t="n">
        <v>0</v>
      </c>
      <c r="L516" t="n">
        <v>0</v>
      </c>
      <c r="M516" t="n">
        <v>0</v>
      </c>
      <c r="N516" t="n">
        <v>0</v>
      </c>
      <c r="O516" t="n">
        <v>0</v>
      </c>
      <c r="P516" t="n">
        <v>0</v>
      </c>
      <c r="Q516" t="n">
        <v>0</v>
      </c>
      <c r="R516" s="2" t="inlineStr"/>
    </row>
    <row r="517" ht="15" customHeight="1">
      <c r="A517" t="inlineStr">
        <is>
          <t>A 15447-2023</t>
        </is>
      </c>
      <c r="B517" s="1" t="n">
        <v>45020</v>
      </c>
      <c r="C517" s="1" t="n">
        <v>46077</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34391-2023</t>
        </is>
      </c>
      <c r="B518" s="1" t="n">
        <v>45139.51457175926</v>
      </c>
      <c r="C518" s="1" t="n">
        <v>46077</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57442-2021</t>
        </is>
      </c>
      <c r="B519" s="1" t="n">
        <v>44483</v>
      </c>
      <c r="C519" s="1" t="n">
        <v>46077</v>
      </c>
      <c r="D519" t="inlineStr">
        <is>
          <t>STOCKHOLMS LÄN</t>
        </is>
      </c>
      <c r="E519" t="inlineStr">
        <is>
          <t>NORRTÄLJE</t>
        </is>
      </c>
      <c r="G519" t="n">
        <v>3.3</v>
      </c>
      <c r="H519" t="n">
        <v>0</v>
      </c>
      <c r="I519" t="n">
        <v>0</v>
      </c>
      <c r="J519" t="n">
        <v>0</v>
      </c>
      <c r="K519" t="n">
        <v>0</v>
      </c>
      <c r="L519" t="n">
        <v>0</v>
      </c>
      <c r="M519" t="n">
        <v>0</v>
      </c>
      <c r="N519" t="n">
        <v>0</v>
      </c>
      <c r="O519" t="n">
        <v>0</v>
      </c>
      <c r="P519" t="n">
        <v>0</v>
      </c>
      <c r="Q519" t="n">
        <v>0</v>
      </c>
      <c r="R519" s="2" t="inlineStr"/>
    </row>
    <row r="520" ht="15" customHeight="1">
      <c r="A520" t="inlineStr">
        <is>
          <t>A 19952-2023</t>
        </is>
      </c>
      <c r="B520" s="1" t="n">
        <v>45054.54091435186</v>
      </c>
      <c r="C520" s="1" t="n">
        <v>46077</v>
      </c>
      <c r="D520" t="inlineStr">
        <is>
          <t>STOCKHOLMS LÄN</t>
        </is>
      </c>
      <c r="E520" t="inlineStr">
        <is>
          <t>NORRTÄLJE</t>
        </is>
      </c>
      <c r="G520" t="n">
        <v>0.5</v>
      </c>
      <c r="H520" t="n">
        <v>0</v>
      </c>
      <c r="I520" t="n">
        <v>0</v>
      </c>
      <c r="J520" t="n">
        <v>0</v>
      </c>
      <c r="K520" t="n">
        <v>0</v>
      </c>
      <c r="L520" t="n">
        <v>0</v>
      </c>
      <c r="M520" t="n">
        <v>0</v>
      </c>
      <c r="N520" t="n">
        <v>0</v>
      </c>
      <c r="O520" t="n">
        <v>0</v>
      </c>
      <c r="P520" t="n">
        <v>0</v>
      </c>
      <c r="Q520" t="n">
        <v>0</v>
      </c>
      <c r="R520" s="2" t="inlineStr"/>
    </row>
    <row r="521" ht="15" customHeight="1">
      <c r="A521" t="inlineStr">
        <is>
          <t>A 19994-2023</t>
        </is>
      </c>
      <c r="B521" s="1" t="n">
        <v>45054</v>
      </c>
      <c r="C521" s="1" t="n">
        <v>46077</v>
      </c>
      <c r="D521" t="inlineStr">
        <is>
          <t>STOCKHOLMS LÄN</t>
        </is>
      </c>
      <c r="E521" t="inlineStr">
        <is>
          <t>NORRTÄLJE</t>
        </is>
      </c>
      <c r="G521" t="n">
        <v>4.3</v>
      </c>
      <c r="H521" t="n">
        <v>0</v>
      </c>
      <c r="I521" t="n">
        <v>0</v>
      </c>
      <c r="J521" t="n">
        <v>0</v>
      </c>
      <c r="K521" t="n">
        <v>0</v>
      </c>
      <c r="L521" t="n">
        <v>0</v>
      </c>
      <c r="M521" t="n">
        <v>0</v>
      </c>
      <c r="N521" t="n">
        <v>0</v>
      </c>
      <c r="O521" t="n">
        <v>0</v>
      </c>
      <c r="P521" t="n">
        <v>0</v>
      </c>
      <c r="Q521" t="n">
        <v>0</v>
      </c>
      <c r="R521" s="2" t="inlineStr"/>
    </row>
    <row r="522" ht="15" customHeight="1">
      <c r="A522" t="inlineStr">
        <is>
          <t>A 58277-2023</t>
        </is>
      </c>
      <c r="B522" s="1" t="n">
        <v>45245</v>
      </c>
      <c r="C522" s="1" t="n">
        <v>46077</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9480-2025</t>
        </is>
      </c>
      <c r="B523" s="1" t="n">
        <v>45715</v>
      </c>
      <c r="C523" s="1" t="n">
        <v>46077</v>
      </c>
      <c r="D523" t="inlineStr">
        <is>
          <t>STOCKHOLMS LÄN</t>
        </is>
      </c>
      <c r="E523" t="inlineStr">
        <is>
          <t>NORRTÄLJE</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29003-2023</t>
        </is>
      </c>
      <c r="B524" s="1" t="n">
        <v>45104</v>
      </c>
      <c r="C524" s="1" t="n">
        <v>46077</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53312-2024</t>
        </is>
      </c>
      <c r="B525" s="1" t="n">
        <v>45614.39627314815</v>
      </c>
      <c r="C525" s="1" t="n">
        <v>46077</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24245-2024</t>
        </is>
      </c>
      <c r="B526" s="1" t="n">
        <v>45457</v>
      </c>
      <c r="C526" s="1" t="n">
        <v>46077</v>
      </c>
      <c r="D526" t="inlineStr">
        <is>
          <t>STOCKHOLMS LÄN</t>
        </is>
      </c>
      <c r="E526" t="inlineStr">
        <is>
          <t>NORRTÄLJE</t>
        </is>
      </c>
      <c r="F526" t="inlineStr">
        <is>
          <t>Holmen skog AB</t>
        </is>
      </c>
      <c r="G526" t="n">
        <v>3.4</v>
      </c>
      <c r="H526" t="n">
        <v>0</v>
      </c>
      <c r="I526" t="n">
        <v>0</v>
      </c>
      <c r="J526" t="n">
        <v>0</v>
      </c>
      <c r="K526" t="n">
        <v>0</v>
      </c>
      <c r="L526" t="n">
        <v>0</v>
      </c>
      <c r="M526" t="n">
        <v>0</v>
      </c>
      <c r="N526" t="n">
        <v>0</v>
      </c>
      <c r="O526" t="n">
        <v>0</v>
      </c>
      <c r="P526" t="n">
        <v>0</v>
      </c>
      <c r="Q526" t="n">
        <v>0</v>
      </c>
      <c r="R526" s="2" t="inlineStr"/>
    </row>
    <row r="527" ht="15" customHeight="1">
      <c r="A527" t="inlineStr">
        <is>
          <t>A 15956-2023</t>
        </is>
      </c>
      <c r="B527" s="1" t="n">
        <v>45022.61003472222</v>
      </c>
      <c r="C527" s="1" t="n">
        <v>46077</v>
      </c>
      <c r="D527" t="inlineStr">
        <is>
          <t>STOCKHOLMS LÄN</t>
        </is>
      </c>
      <c r="E527" t="inlineStr">
        <is>
          <t>NORRTÄLJE</t>
        </is>
      </c>
      <c r="G527" t="n">
        <v>2.3</v>
      </c>
      <c r="H527" t="n">
        <v>0</v>
      </c>
      <c r="I527" t="n">
        <v>0</v>
      </c>
      <c r="J527" t="n">
        <v>0</v>
      </c>
      <c r="K527" t="n">
        <v>0</v>
      </c>
      <c r="L527" t="n">
        <v>0</v>
      </c>
      <c r="M527" t="n">
        <v>0</v>
      </c>
      <c r="N527" t="n">
        <v>0</v>
      </c>
      <c r="O527" t="n">
        <v>0</v>
      </c>
      <c r="P527" t="n">
        <v>0</v>
      </c>
      <c r="Q527" t="n">
        <v>0</v>
      </c>
      <c r="R527" s="2" t="inlineStr"/>
    </row>
    <row r="528" ht="15" customHeight="1">
      <c r="A528" t="inlineStr">
        <is>
          <t>A 58297-2023</t>
        </is>
      </c>
      <c r="B528" s="1" t="n">
        <v>45245</v>
      </c>
      <c r="C528" s="1" t="n">
        <v>46077</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26115-2024</t>
        </is>
      </c>
      <c r="B529" s="1" t="n">
        <v>45468.45628472222</v>
      </c>
      <c r="C529" s="1" t="n">
        <v>46077</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21726-2022</t>
        </is>
      </c>
      <c r="B530" s="1" t="n">
        <v>44708</v>
      </c>
      <c r="C530" s="1" t="n">
        <v>46077</v>
      </c>
      <c r="D530" t="inlineStr">
        <is>
          <t>STOCKHOLMS LÄN</t>
        </is>
      </c>
      <c r="E530" t="inlineStr">
        <is>
          <t>NORRTÄLJE</t>
        </is>
      </c>
      <c r="G530" t="n">
        <v>0.2</v>
      </c>
      <c r="H530" t="n">
        <v>0</v>
      </c>
      <c r="I530" t="n">
        <v>0</v>
      </c>
      <c r="J530" t="n">
        <v>0</v>
      </c>
      <c r="K530" t="n">
        <v>0</v>
      </c>
      <c r="L530" t="n">
        <v>0</v>
      </c>
      <c r="M530" t="n">
        <v>0</v>
      </c>
      <c r="N530" t="n">
        <v>0</v>
      </c>
      <c r="O530" t="n">
        <v>0</v>
      </c>
      <c r="P530" t="n">
        <v>0</v>
      </c>
      <c r="Q530" t="n">
        <v>0</v>
      </c>
      <c r="R530" s="2" t="inlineStr"/>
    </row>
    <row r="531" ht="15" customHeight="1">
      <c r="A531" t="inlineStr">
        <is>
          <t>A 21739-2022</t>
        </is>
      </c>
      <c r="B531" s="1" t="n">
        <v>44708.36708333333</v>
      </c>
      <c r="C531" s="1" t="n">
        <v>46077</v>
      </c>
      <c r="D531" t="inlineStr">
        <is>
          <t>STOCKHOLMS LÄN</t>
        </is>
      </c>
      <c r="E531" t="inlineStr">
        <is>
          <t>NORRTÄLJE</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28182-2022</t>
        </is>
      </c>
      <c r="B532" s="1" t="n">
        <v>44746.58530092592</v>
      </c>
      <c r="C532" s="1" t="n">
        <v>46077</v>
      </c>
      <c r="D532" t="inlineStr">
        <is>
          <t>STOCKHOLMS LÄN</t>
        </is>
      </c>
      <c r="E532" t="inlineStr">
        <is>
          <t>NORRTÄLJE</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4322-2023</t>
        </is>
      </c>
      <c r="B533" s="1" t="n">
        <v>44953.69298611111</v>
      </c>
      <c r="C533" s="1" t="n">
        <v>46077</v>
      </c>
      <c r="D533" t="inlineStr">
        <is>
          <t>STOCKHOLMS LÄN</t>
        </is>
      </c>
      <c r="E533" t="inlineStr">
        <is>
          <t>NORRTÄLJE</t>
        </is>
      </c>
      <c r="G533" t="n">
        <v>1.3</v>
      </c>
      <c r="H533" t="n">
        <v>0</v>
      </c>
      <c r="I533" t="n">
        <v>0</v>
      </c>
      <c r="J533" t="n">
        <v>0</v>
      </c>
      <c r="K533" t="n">
        <v>0</v>
      </c>
      <c r="L533" t="n">
        <v>0</v>
      </c>
      <c r="M533" t="n">
        <v>0</v>
      </c>
      <c r="N533" t="n">
        <v>0</v>
      </c>
      <c r="O533" t="n">
        <v>0</v>
      </c>
      <c r="P533" t="n">
        <v>0</v>
      </c>
      <c r="Q533" t="n">
        <v>0</v>
      </c>
      <c r="R533" s="2" t="inlineStr"/>
    </row>
    <row r="534" ht="15" customHeight="1">
      <c r="A534" t="inlineStr">
        <is>
          <t>A 13053-2022</t>
        </is>
      </c>
      <c r="B534" s="1" t="n">
        <v>44643</v>
      </c>
      <c r="C534" s="1" t="n">
        <v>46077</v>
      </c>
      <c r="D534" t="inlineStr">
        <is>
          <t>STOCKHOLMS LÄN</t>
        </is>
      </c>
      <c r="E534" t="inlineStr">
        <is>
          <t>NORRTÄLJE</t>
        </is>
      </c>
      <c r="G534" t="n">
        <v>2.8</v>
      </c>
      <c r="H534" t="n">
        <v>0</v>
      </c>
      <c r="I534" t="n">
        <v>0</v>
      </c>
      <c r="J534" t="n">
        <v>0</v>
      </c>
      <c r="K534" t="n">
        <v>0</v>
      </c>
      <c r="L534" t="n">
        <v>0</v>
      </c>
      <c r="M534" t="n">
        <v>0</v>
      </c>
      <c r="N534" t="n">
        <v>0</v>
      </c>
      <c r="O534" t="n">
        <v>0</v>
      </c>
      <c r="P534" t="n">
        <v>0</v>
      </c>
      <c r="Q534" t="n">
        <v>0</v>
      </c>
      <c r="R534" s="2" t="inlineStr"/>
    </row>
    <row r="535" ht="15" customHeight="1">
      <c r="A535" t="inlineStr">
        <is>
          <t>A 3283-2025</t>
        </is>
      </c>
      <c r="B535" s="1" t="n">
        <v>45679</v>
      </c>
      <c r="C535" s="1" t="n">
        <v>46077</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35916-2024</t>
        </is>
      </c>
      <c r="B536" s="1" t="n">
        <v>45533</v>
      </c>
      <c r="C536" s="1" t="n">
        <v>46077</v>
      </c>
      <c r="D536" t="inlineStr">
        <is>
          <t>STOCKHOLMS LÄN</t>
        </is>
      </c>
      <c r="E536" t="inlineStr">
        <is>
          <t>NORRTÄLJE</t>
        </is>
      </c>
      <c r="G536" t="n">
        <v>0.5</v>
      </c>
      <c r="H536" t="n">
        <v>0</v>
      </c>
      <c r="I536" t="n">
        <v>0</v>
      </c>
      <c r="J536" t="n">
        <v>0</v>
      </c>
      <c r="K536" t="n">
        <v>0</v>
      </c>
      <c r="L536" t="n">
        <v>0</v>
      </c>
      <c r="M536" t="n">
        <v>0</v>
      </c>
      <c r="N536" t="n">
        <v>0</v>
      </c>
      <c r="O536" t="n">
        <v>0</v>
      </c>
      <c r="P536" t="n">
        <v>0</v>
      </c>
      <c r="Q536" t="n">
        <v>0</v>
      </c>
      <c r="R536" s="2" t="inlineStr"/>
    </row>
    <row r="537" ht="15" customHeight="1">
      <c r="A537" t="inlineStr">
        <is>
          <t>A 18092-2022</t>
        </is>
      </c>
      <c r="B537" s="1" t="n">
        <v>44684</v>
      </c>
      <c r="C537" s="1" t="n">
        <v>46077</v>
      </c>
      <c r="D537" t="inlineStr">
        <is>
          <t>STOCKHOLMS LÄN</t>
        </is>
      </c>
      <c r="E537" t="inlineStr">
        <is>
          <t>NORRTÄLJE</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33295-2023</t>
        </is>
      </c>
      <c r="B538" s="1" t="n">
        <v>45127.69371527778</v>
      </c>
      <c r="C538" s="1" t="n">
        <v>46077</v>
      </c>
      <c r="D538" t="inlineStr">
        <is>
          <t>STOCKHOLMS LÄN</t>
        </is>
      </c>
      <c r="E538" t="inlineStr">
        <is>
          <t>NORRTÄLJE</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38889-2024</t>
        </is>
      </c>
      <c r="B539" s="1" t="n">
        <v>45547</v>
      </c>
      <c r="C539" s="1" t="n">
        <v>46077</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3383-2023</t>
        </is>
      </c>
      <c r="B540" s="1" t="n">
        <v>44949</v>
      </c>
      <c r="C540" s="1" t="n">
        <v>46077</v>
      </c>
      <c r="D540" t="inlineStr">
        <is>
          <t>STOCKHOLMS LÄN</t>
        </is>
      </c>
      <c r="E540" t="inlineStr">
        <is>
          <t>NORRTÄLJE</t>
        </is>
      </c>
      <c r="G540" t="n">
        <v>14.6</v>
      </c>
      <c r="H540" t="n">
        <v>0</v>
      </c>
      <c r="I540" t="n">
        <v>0</v>
      </c>
      <c r="J540" t="n">
        <v>0</v>
      </c>
      <c r="K540" t="n">
        <v>0</v>
      </c>
      <c r="L540" t="n">
        <v>0</v>
      </c>
      <c r="M540" t="n">
        <v>0</v>
      </c>
      <c r="N540" t="n">
        <v>0</v>
      </c>
      <c r="O540" t="n">
        <v>0</v>
      </c>
      <c r="P540" t="n">
        <v>0</v>
      </c>
      <c r="Q540" t="n">
        <v>0</v>
      </c>
      <c r="R540" s="2" t="inlineStr"/>
    </row>
    <row r="541" ht="15" customHeight="1">
      <c r="A541" t="inlineStr">
        <is>
          <t>A 4316-2023</t>
        </is>
      </c>
      <c r="B541" s="1" t="n">
        <v>44953.67443287037</v>
      </c>
      <c r="C541" s="1" t="n">
        <v>46077</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58404-2023</t>
        </is>
      </c>
      <c r="B542" s="1" t="n">
        <v>45245</v>
      </c>
      <c r="C542" s="1" t="n">
        <v>46077</v>
      </c>
      <c r="D542" t="inlineStr">
        <is>
          <t>STOCKHOLMS LÄN</t>
        </is>
      </c>
      <c r="E542" t="inlineStr">
        <is>
          <t>NORRTÄLJE</t>
        </is>
      </c>
      <c r="G542" t="n">
        <v>53.5</v>
      </c>
      <c r="H542" t="n">
        <v>0</v>
      </c>
      <c r="I542" t="n">
        <v>0</v>
      </c>
      <c r="J542" t="n">
        <v>0</v>
      </c>
      <c r="K542" t="n">
        <v>0</v>
      </c>
      <c r="L542" t="n">
        <v>0</v>
      </c>
      <c r="M542" t="n">
        <v>0</v>
      </c>
      <c r="N542" t="n">
        <v>0</v>
      </c>
      <c r="O542" t="n">
        <v>0</v>
      </c>
      <c r="P542" t="n">
        <v>0</v>
      </c>
      <c r="Q542" t="n">
        <v>0</v>
      </c>
      <c r="R542" s="2" t="inlineStr"/>
    </row>
    <row r="543" ht="15" customHeight="1">
      <c r="A543" t="inlineStr">
        <is>
          <t>A 27885-2022</t>
        </is>
      </c>
      <c r="B543" s="1" t="n">
        <v>44743.67418981482</v>
      </c>
      <c r="C543" s="1" t="n">
        <v>46077</v>
      </c>
      <c r="D543" t="inlineStr">
        <is>
          <t>STOCKHOLMS LÄN</t>
        </is>
      </c>
      <c r="E543" t="inlineStr">
        <is>
          <t>NORRTÄLJE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5839-2023</t>
        </is>
      </c>
      <c r="B544" s="1" t="n">
        <v>44963</v>
      </c>
      <c r="C544" s="1" t="n">
        <v>46077</v>
      </c>
      <c r="D544" t="inlineStr">
        <is>
          <t>STOCKHOLMS LÄN</t>
        </is>
      </c>
      <c r="E544" t="inlineStr">
        <is>
          <t>NORRTÄLJE</t>
        </is>
      </c>
      <c r="G544" t="n">
        <v>3.6</v>
      </c>
      <c r="H544" t="n">
        <v>0</v>
      </c>
      <c r="I544" t="n">
        <v>0</v>
      </c>
      <c r="J544" t="n">
        <v>0</v>
      </c>
      <c r="K544" t="n">
        <v>0</v>
      </c>
      <c r="L544" t="n">
        <v>0</v>
      </c>
      <c r="M544" t="n">
        <v>0</v>
      </c>
      <c r="N544" t="n">
        <v>0</v>
      </c>
      <c r="O544" t="n">
        <v>0</v>
      </c>
      <c r="P544" t="n">
        <v>0</v>
      </c>
      <c r="Q544" t="n">
        <v>0</v>
      </c>
      <c r="R544" s="2" t="inlineStr"/>
    </row>
    <row r="545" ht="15" customHeight="1">
      <c r="A545" t="inlineStr">
        <is>
          <t>A 5804-2025</t>
        </is>
      </c>
      <c r="B545" s="1" t="n">
        <v>45694.68207175926</v>
      </c>
      <c r="C545" s="1" t="n">
        <v>46077</v>
      </c>
      <c r="D545" t="inlineStr">
        <is>
          <t>STOCKHOLMS LÄN</t>
        </is>
      </c>
      <c r="E545" t="inlineStr">
        <is>
          <t>NORRTÄLJE</t>
        </is>
      </c>
      <c r="F545" t="inlineStr">
        <is>
          <t>Holmen skog AB</t>
        </is>
      </c>
      <c r="G545" t="n">
        <v>2.6</v>
      </c>
      <c r="H545" t="n">
        <v>0</v>
      </c>
      <c r="I545" t="n">
        <v>0</v>
      </c>
      <c r="J545" t="n">
        <v>0</v>
      </c>
      <c r="K545" t="n">
        <v>0</v>
      </c>
      <c r="L545" t="n">
        <v>0</v>
      </c>
      <c r="M545" t="n">
        <v>0</v>
      </c>
      <c r="N545" t="n">
        <v>0</v>
      </c>
      <c r="O545" t="n">
        <v>0</v>
      </c>
      <c r="P545" t="n">
        <v>0</v>
      </c>
      <c r="Q545" t="n">
        <v>0</v>
      </c>
      <c r="R545" s="2" t="inlineStr"/>
    </row>
    <row r="546" ht="15" customHeight="1">
      <c r="A546" t="inlineStr">
        <is>
          <t>A 3299-2022</t>
        </is>
      </c>
      <c r="B546" s="1" t="n">
        <v>44584.91001157407</v>
      </c>
      <c r="C546" s="1" t="n">
        <v>46077</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25525-2022</t>
        </is>
      </c>
      <c r="B547" s="1" t="n">
        <v>44732</v>
      </c>
      <c r="C547" s="1" t="n">
        <v>46077</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42075-2023</t>
        </is>
      </c>
      <c r="B548" s="1" t="n">
        <v>45177</v>
      </c>
      <c r="C548" s="1" t="n">
        <v>46077</v>
      </c>
      <c r="D548" t="inlineStr">
        <is>
          <t>STOCKHOLMS LÄN</t>
        </is>
      </c>
      <c r="E548" t="inlineStr">
        <is>
          <t>NORRTÄLJE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54273-2021</t>
        </is>
      </c>
      <c r="B549" s="1" t="n">
        <v>44470.72987268519</v>
      </c>
      <c r="C549" s="1" t="n">
        <v>46077</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10676-2025</t>
        </is>
      </c>
      <c r="B550" s="1" t="n">
        <v>45721.88684027778</v>
      </c>
      <c r="C550" s="1" t="n">
        <v>46077</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43212-2022</t>
        </is>
      </c>
      <c r="B551" s="1" t="n">
        <v>44834.38636574074</v>
      </c>
      <c r="C551" s="1" t="n">
        <v>46077</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24705-2023</t>
        </is>
      </c>
      <c r="B552" s="1" t="n">
        <v>45084.54459490741</v>
      </c>
      <c r="C552" s="1" t="n">
        <v>46077</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48722-2023</t>
        </is>
      </c>
      <c r="B553" s="1" t="n">
        <v>45208.70996527778</v>
      </c>
      <c r="C553" s="1" t="n">
        <v>46077</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50154-2024</t>
        </is>
      </c>
      <c r="B554" s="1" t="n">
        <v>45600.4558912037</v>
      </c>
      <c r="C554" s="1" t="n">
        <v>46077</v>
      </c>
      <c r="D554" t="inlineStr">
        <is>
          <t>STOCKHOLMS LÄN</t>
        </is>
      </c>
      <c r="E554" t="inlineStr">
        <is>
          <t>NORRTÄLJE</t>
        </is>
      </c>
      <c r="G554" t="n">
        <v>2.5</v>
      </c>
      <c r="H554" t="n">
        <v>0</v>
      </c>
      <c r="I554" t="n">
        <v>0</v>
      </c>
      <c r="J554" t="n">
        <v>0</v>
      </c>
      <c r="K554" t="n">
        <v>0</v>
      </c>
      <c r="L554" t="n">
        <v>0</v>
      </c>
      <c r="M554" t="n">
        <v>0</v>
      </c>
      <c r="N554" t="n">
        <v>0</v>
      </c>
      <c r="O554" t="n">
        <v>0</v>
      </c>
      <c r="P554" t="n">
        <v>0</v>
      </c>
      <c r="Q554" t="n">
        <v>0</v>
      </c>
      <c r="R554" s="2" t="inlineStr"/>
    </row>
    <row r="555" ht="15" customHeight="1">
      <c r="A555" t="inlineStr">
        <is>
          <t>A 54358-2022</t>
        </is>
      </c>
      <c r="B555" s="1" t="n">
        <v>44882</v>
      </c>
      <c r="C555" s="1" t="n">
        <v>46077</v>
      </c>
      <c r="D555" t="inlineStr">
        <is>
          <t>STOCKHOLMS LÄN</t>
        </is>
      </c>
      <c r="E555" t="inlineStr">
        <is>
          <t>NORRTÄLJE</t>
        </is>
      </c>
      <c r="G555" t="n">
        <v>3.3</v>
      </c>
      <c r="H555" t="n">
        <v>0</v>
      </c>
      <c r="I555" t="n">
        <v>0</v>
      </c>
      <c r="J555" t="n">
        <v>0</v>
      </c>
      <c r="K555" t="n">
        <v>0</v>
      </c>
      <c r="L555" t="n">
        <v>0</v>
      </c>
      <c r="M555" t="n">
        <v>0</v>
      </c>
      <c r="N555" t="n">
        <v>0</v>
      </c>
      <c r="O555" t="n">
        <v>0</v>
      </c>
      <c r="P555" t="n">
        <v>0</v>
      </c>
      <c r="Q555" t="n">
        <v>0</v>
      </c>
      <c r="R555" s="2" t="inlineStr"/>
    </row>
    <row r="556" ht="15" customHeight="1">
      <c r="A556" t="inlineStr">
        <is>
          <t>A 37273-2024</t>
        </is>
      </c>
      <c r="B556" s="1" t="n">
        <v>45540</v>
      </c>
      <c r="C556" s="1" t="n">
        <v>46077</v>
      </c>
      <c r="D556" t="inlineStr">
        <is>
          <t>STOCKHOLMS LÄN</t>
        </is>
      </c>
      <c r="E556" t="inlineStr">
        <is>
          <t>NORRTÄLJE</t>
        </is>
      </c>
      <c r="F556" t="inlineStr">
        <is>
          <t>Sveaskog</t>
        </is>
      </c>
      <c r="G556" t="n">
        <v>12.5</v>
      </c>
      <c r="H556" t="n">
        <v>0</v>
      </c>
      <c r="I556" t="n">
        <v>0</v>
      </c>
      <c r="J556" t="n">
        <v>0</v>
      </c>
      <c r="K556" t="n">
        <v>0</v>
      </c>
      <c r="L556" t="n">
        <v>0</v>
      </c>
      <c r="M556" t="n">
        <v>0</v>
      </c>
      <c r="N556" t="n">
        <v>0</v>
      </c>
      <c r="O556" t="n">
        <v>0</v>
      </c>
      <c r="P556" t="n">
        <v>0</v>
      </c>
      <c r="Q556" t="n">
        <v>0</v>
      </c>
      <c r="R556" s="2" t="inlineStr"/>
    </row>
    <row r="557" ht="15" customHeight="1">
      <c r="A557" t="inlineStr">
        <is>
          <t>A 23749-2024</t>
        </is>
      </c>
      <c r="B557" s="1" t="n">
        <v>45455.33037037037</v>
      </c>
      <c r="C557" s="1" t="n">
        <v>46077</v>
      </c>
      <c r="D557" t="inlineStr">
        <is>
          <t>STOCKHOLMS LÄN</t>
        </is>
      </c>
      <c r="E557" t="inlineStr">
        <is>
          <t>NORRTÄLJE</t>
        </is>
      </c>
      <c r="G557" t="n">
        <v>0.6</v>
      </c>
      <c r="H557" t="n">
        <v>0</v>
      </c>
      <c r="I557" t="n">
        <v>0</v>
      </c>
      <c r="J557" t="n">
        <v>0</v>
      </c>
      <c r="K557" t="n">
        <v>0</v>
      </c>
      <c r="L557" t="n">
        <v>0</v>
      </c>
      <c r="M557" t="n">
        <v>0</v>
      </c>
      <c r="N557" t="n">
        <v>0</v>
      </c>
      <c r="O557" t="n">
        <v>0</v>
      </c>
      <c r="P557" t="n">
        <v>0</v>
      </c>
      <c r="Q557" t="n">
        <v>0</v>
      </c>
      <c r="R557" s="2" t="inlineStr"/>
    </row>
    <row r="558" ht="15" customHeight="1">
      <c r="A558" t="inlineStr">
        <is>
          <t>A 35698-2023</t>
        </is>
      </c>
      <c r="B558" s="1" t="n">
        <v>45147</v>
      </c>
      <c r="C558" s="1" t="n">
        <v>46077</v>
      </c>
      <c r="D558" t="inlineStr">
        <is>
          <t>STOCKHOLMS LÄN</t>
        </is>
      </c>
      <c r="E558" t="inlineStr">
        <is>
          <t>NORRTÄLJE</t>
        </is>
      </c>
      <c r="G558" t="n">
        <v>2.1</v>
      </c>
      <c r="H558" t="n">
        <v>0</v>
      </c>
      <c r="I558" t="n">
        <v>0</v>
      </c>
      <c r="J558" t="n">
        <v>0</v>
      </c>
      <c r="K558" t="n">
        <v>0</v>
      </c>
      <c r="L558" t="n">
        <v>0</v>
      </c>
      <c r="M558" t="n">
        <v>0</v>
      </c>
      <c r="N558" t="n">
        <v>0</v>
      </c>
      <c r="O558" t="n">
        <v>0</v>
      </c>
      <c r="P558" t="n">
        <v>0</v>
      </c>
      <c r="Q558" t="n">
        <v>0</v>
      </c>
      <c r="R558" s="2" t="inlineStr"/>
    </row>
    <row r="559" ht="15" customHeight="1">
      <c r="A559" t="inlineStr">
        <is>
          <t>A 34773-2022</t>
        </is>
      </c>
      <c r="B559" s="1" t="n">
        <v>44795</v>
      </c>
      <c r="C559" s="1" t="n">
        <v>46077</v>
      </c>
      <c r="D559" t="inlineStr">
        <is>
          <t>STOCKHOLMS LÄN</t>
        </is>
      </c>
      <c r="E559" t="inlineStr">
        <is>
          <t>NORRTÄLJE</t>
        </is>
      </c>
      <c r="G559" t="n">
        <v>3.9</v>
      </c>
      <c r="H559" t="n">
        <v>0</v>
      </c>
      <c r="I559" t="n">
        <v>0</v>
      </c>
      <c r="J559" t="n">
        <v>0</v>
      </c>
      <c r="K559" t="n">
        <v>0</v>
      </c>
      <c r="L559" t="n">
        <v>0</v>
      </c>
      <c r="M559" t="n">
        <v>0</v>
      </c>
      <c r="N559" t="n">
        <v>0</v>
      </c>
      <c r="O559" t="n">
        <v>0</v>
      </c>
      <c r="P559" t="n">
        <v>0</v>
      </c>
      <c r="Q559" t="n">
        <v>0</v>
      </c>
      <c r="R559" s="2" t="inlineStr"/>
    </row>
    <row r="560" ht="15" customHeight="1">
      <c r="A560" t="inlineStr">
        <is>
          <t>A 23263-2023</t>
        </is>
      </c>
      <c r="B560" s="1" t="n">
        <v>45075</v>
      </c>
      <c r="C560" s="1" t="n">
        <v>46077</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23264-2023</t>
        </is>
      </c>
      <c r="B561" s="1" t="n">
        <v>45075</v>
      </c>
      <c r="C561" s="1" t="n">
        <v>46077</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23267-2023</t>
        </is>
      </c>
      <c r="B562" s="1" t="n">
        <v>45075.90934027778</v>
      </c>
      <c r="C562" s="1" t="n">
        <v>46077</v>
      </c>
      <c r="D562" t="inlineStr">
        <is>
          <t>STOCKHOLMS LÄN</t>
        </is>
      </c>
      <c r="E562" t="inlineStr">
        <is>
          <t>NORRTÄLJE</t>
        </is>
      </c>
      <c r="G562" t="n">
        <v>0.5</v>
      </c>
      <c r="H562" t="n">
        <v>0</v>
      </c>
      <c r="I562" t="n">
        <v>0</v>
      </c>
      <c r="J562" t="n">
        <v>0</v>
      </c>
      <c r="K562" t="n">
        <v>0</v>
      </c>
      <c r="L562" t="n">
        <v>0</v>
      </c>
      <c r="M562" t="n">
        <v>0</v>
      </c>
      <c r="N562" t="n">
        <v>0</v>
      </c>
      <c r="O562" t="n">
        <v>0</v>
      </c>
      <c r="P562" t="n">
        <v>0</v>
      </c>
      <c r="Q562" t="n">
        <v>0</v>
      </c>
      <c r="R562" s="2" t="inlineStr"/>
    </row>
    <row r="563" ht="15" customHeight="1">
      <c r="A563" t="inlineStr">
        <is>
          <t>A 73992-2021</t>
        </is>
      </c>
      <c r="B563" s="1" t="n">
        <v>44556</v>
      </c>
      <c r="C563" s="1" t="n">
        <v>46077</v>
      </c>
      <c r="D563" t="inlineStr">
        <is>
          <t>STOCKHOLMS LÄN</t>
        </is>
      </c>
      <c r="E563" t="inlineStr">
        <is>
          <t>NORRTÄLJE</t>
        </is>
      </c>
      <c r="G563" t="n">
        <v>12.5</v>
      </c>
      <c r="H563" t="n">
        <v>0</v>
      </c>
      <c r="I563" t="n">
        <v>0</v>
      </c>
      <c r="J563" t="n">
        <v>0</v>
      </c>
      <c r="K563" t="n">
        <v>0</v>
      </c>
      <c r="L563" t="n">
        <v>0</v>
      </c>
      <c r="M563" t="n">
        <v>0</v>
      </c>
      <c r="N563" t="n">
        <v>0</v>
      </c>
      <c r="O563" t="n">
        <v>0</v>
      </c>
      <c r="P563" t="n">
        <v>0</v>
      </c>
      <c r="Q563" t="n">
        <v>0</v>
      </c>
      <c r="R563" s="2" t="inlineStr"/>
    </row>
    <row r="564" ht="15" customHeight="1">
      <c r="A564" t="inlineStr">
        <is>
          <t>A 25654-2023</t>
        </is>
      </c>
      <c r="B564" s="1" t="n">
        <v>45089</v>
      </c>
      <c r="C564" s="1" t="n">
        <v>46077</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21329-2022</t>
        </is>
      </c>
      <c r="B565" s="1" t="n">
        <v>44705.60626157407</v>
      </c>
      <c r="C565" s="1" t="n">
        <v>46077</v>
      </c>
      <c r="D565" t="inlineStr">
        <is>
          <t>STOCKHOLMS LÄN</t>
        </is>
      </c>
      <c r="E565" t="inlineStr">
        <is>
          <t>NORRTÄLJE</t>
        </is>
      </c>
      <c r="G565" t="n">
        <v>4.1</v>
      </c>
      <c r="H565" t="n">
        <v>0</v>
      </c>
      <c r="I565" t="n">
        <v>0</v>
      </c>
      <c r="J565" t="n">
        <v>0</v>
      </c>
      <c r="K565" t="n">
        <v>0</v>
      </c>
      <c r="L565" t="n">
        <v>0</v>
      </c>
      <c r="M565" t="n">
        <v>0</v>
      </c>
      <c r="N565" t="n">
        <v>0</v>
      </c>
      <c r="O565" t="n">
        <v>0</v>
      </c>
      <c r="P565" t="n">
        <v>0</v>
      </c>
      <c r="Q565" t="n">
        <v>0</v>
      </c>
      <c r="R565" s="2" t="inlineStr"/>
    </row>
    <row r="566" ht="15" customHeight="1">
      <c r="A566" t="inlineStr">
        <is>
          <t>A 23801-2022</t>
        </is>
      </c>
      <c r="B566" s="1" t="n">
        <v>44722</v>
      </c>
      <c r="C566" s="1" t="n">
        <v>46077</v>
      </c>
      <c r="D566" t="inlineStr">
        <is>
          <t>STOCKHOLMS LÄN</t>
        </is>
      </c>
      <c r="E566" t="inlineStr">
        <is>
          <t>NORRTÄLJE</t>
        </is>
      </c>
      <c r="G566" t="n">
        <v>6.8</v>
      </c>
      <c r="H566" t="n">
        <v>0</v>
      </c>
      <c r="I566" t="n">
        <v>0</v>
      </c>
      <c r="J566" t="n">
        <v>0</v>
      </c>
      <c r="K566" t="n">
        <v>0</v>
      </c>
      <c r="L566" t="n">
        <v>0</v>
      </c>
      <c r="M566" t="n">
        <v>0</v>
      </c>
      <c r="N566" t="n">
        <v>0</v>
      </c>
      <c r="O566" t="n">
        <v>0</v>
      </c>
      <c r="P566" t="n">
        <v>0</v>
      </c>
      <c r="Q566" t="n">
        <v>0</v>
      </c>
      <c r="R566" s="2" t="inlineStr"/>
    </row>
    <row r="567" ht="15" customHeight="1">
      <c r="A567" t="inlineStr">
        <is>
          <t>A 47758-2023</t>
        </is>
      </c>
      <c r="B567" s="1" t="n">
        <v>45203.83891203703</v>
      </c>
      <c r="C567" s="1" t="n">
        <v>46077</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48151-2024</t>
        </is>
      </c>
      <c r="B568" s="1" t="n">
        <v>45589.68289351852</v>
      </c>
      <c r="C568" s="1" t="n">
        <v>46077</v>
      </c>
      <c r="D568" t="inlineStr">
        <is>
          <t>STOCKHOLMS LÄN</t>
        </is>
      </c>
      <c r="E568" t="inlineStr">
        <is>
          <t>NORRTÄLJE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54276-2021</t>
        </is>
      </c>
      <c r="B569" s="1" t="n">
        <v>44470</v>
      </c>
      <c r="C569" s="1" t="n">
        <v>46077</v>
      </c>
      <c r="D569" t="inlineStr">
        <is>
          <t>STOCKHOLMS LÄN</t>
        </is>
      </c>
      <c r="E569" t="inlineStr">
        <is>
          <t>NORRTÄLJE</t>
        </is>
      </c>
      <c r="G569" t="n">
        <v>7.3</v>
      </c>
      <c r="H569" t="n">
        <v>0</v>
      </c>
      <c r="I569" t="n">
        <v>0</v>
      </c>
      <c r="J569" t="n">
        <v>0</v>
      </c>
      <c r="K569" t="n">
        <v>0</v>
      </c>
      <c r="L569" t="n">
        <v>0</v>
      </c>
      <c r="M569" t="n">
        <v>0</v>
      </c>
      <c r="N569" t="n">
        <v>0</v>
      </c>
      <c r="O569" t="n">
        <v>0</v>
      </c>
      <c r="P569" t="n">
        <v>0</v>
      </c>
      <c r="Q569" t="n">
        <v>0</v>
      </c>
      <c r="R569" s="2" t="inlineStr"/>
    </row>
    <row r="570" ht="15" customHeight="1">
      <c r="A570" t="inlineStr">
        <is>
          <t>A 10090-2022</t>
        </is>
      </c>
      <c r="B570" s="1" t="n">
        <v>44621</v>
      </c>
      <c r="C570" s="1" t="n">
        <v>46077</v>
      </c>
      <c r="D570" t="inlineStr">
        <is>
          <t>STOCKHOLMS LÄN</t>
        </is>
      </c>
      <c r="E570" t="inlineStr">
        <is>
          <t>NORRTÄLJE</t>
        </is>
      </c>
      <c r="G570" t="n">
        <v>5.2</v>
      </c>
      <c r="H570" t="n">
        <v>0</v>
      </c>
      <c r="I570" t="n">
        <v>0</v>
      </c>
      <c r="J570" t="n">
        <v>0</v>
      </c>
      <c r="K570" t="n">
        <v>0</v>
      </c>
      <c r="L570" t="n">
        <v>0</v>
      </c>
      <c r="M570" t="n">
        <v>0</v>
      </c>
      <c r="N570" t="n">
        <v>0</v>
      </c>
      <c r="O570" t="n">
        <v>0</v>
      </c>
      <c r="P570" t="n">
        <v>0</v>
      </c>
      <c r="Q570" t="n">
        <v>0</v>
      </c>
      <c r="R570" s="2" t="inlineStr"/>
    </row>
    <row r="571" ht="15" customHeight="1">
      <c r="A571" t="inlineStr">
        <is>
          <t>A 13785-2024</t>
        </is>
      </c>
      <c r="B571" s="1" t="n">
        <v>45391.3395949074</v>
      </c>
      <c r="C571" s="1" t="n">
        <v>46077</v>
      </c>
      <c r="D571" t="inlineStr">
        <is>
          <t>STOCKHOLMS LÄN</t>
        </is>
      </c>
      <c r="E571" t="inlineStr">
        <is>
          <t>NORRTÄLJE</t>
        </is>
      </c>
      <c r="G571" t="n">
        <v>5</v>
      </c>
      <c r="H571" t="n">
        <v>0</v>
      </c>
      <c r="I571" t="n">
        <v>0</v>
      </c>
      <c r="J571" t="n">
        <v>0</v>
      </c>
      <c r="K571" t="n">
        <v>0</v>
      </c>
      <c r="L571" t="n">
        <v>0</v>
      </c>
      <c r="M571" t="n">
        <v>0</v>
      </c>
      <c r="N571" t="n">
        <v>0</v>
      </c>
      <c r="O571" t="n">
        <v>0</v>
      </c>
      <c r="P571" t="n">
        <v>0</v>
      </c>
      <c r="Q571" t="n">
        <v>0</v>
      </c>
      <c r="R571" s="2" t="inlineStr"/>
    </row>
    <row r="572" ht="15" customHeight="1">
      <c r="A572" t="inlineStr">
        <is>
          <t>A 51116-2022</t>
        </is>
      </c>
      <c r="B572" s="1" t="n">
        <v>44868.45741898148</v>
      </c>
      <c r="C572" s="1" t="n">
        <v>46077</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33353-2023</t>
        </is>
      </c>
      <c r="B573" s="1" t="n">
        <v>45128</v>
      </c>
      <c r="C573" s="1" t="n">
        <v>46077</v>
      </c>
      <c r="D573" t="inlineStr">
        <is>
          <t>STOCKHOLMS LÄN</t>
        </is>
      </c>
      <c r="E573" t="inlineStr">
        <is>
          <t>NORRTÄLJE</t>
        </is>
      </c>
      <c r="G573" t="n">
        <v>0.8</v>
      </c>
      <c r="H573" t="n">
        <v>0</v>
      </c>
      <c r="I573" t="n">
        <v>0</v>
      </c>
      <c r="J573" t="n">
        <v>0</v>
      </c>
      <c r="K573" t="n">
        <v>0</v>
      </c>
      <c r="L573" t="n">
        <v>0</v>
      </c>
      <c r="M573" t="n">
        <v>0</v>
      </c>
      <c r="N573" t="n">
        <v>0</v>
      </c>
      <c r="O573" t="n">
        <v>0</v>
      </c>
      <c r="P573" t="n">
        <v>0</v>
      </c>
      <c r="Q573" t="n">
        <v>0</v>
      </c>
      <c r="R573" s="2" t="inlineStr"/>
    </row>
    <row r="574" ht="15" customHeight="1">
      <c r="A574" t="inlineStr">
        <is>
          <t>A 29972-2024</t>
        </is>
      </c>
      <c r="B574" s="1" t="n">
        <v>45485</v>
      </c>
      <c r="C574" s="1" t="n">
        <v>46077</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5831-2022</t>
        </is>
      </c>
      <c r="B575" s="1" t="n">
        <v>44596</v>
      </c>
      <c r="C575" s="1" t="n">
        <v>46077</v>
      </c>
      <c r="D575" t="inlineStr">
        <is>
          <t>STOCKHOLMS LÄN</t>
        </is>
      </c>
      <c r="E575" t="inlineStr">
        <is>
          <t>NORRTÄLJE</t>
        </is>
      </c>
      <c r="G575" t="n">
        <v>4.8</v>
      </c>
      <c r="H575" t="n">
        <v>0</v>
      </c>
      <c r="I575" t="n">
        <v>0</v>
      </c>
      <c r="J575" t="n">
        <v>0</v>
      </c>
      <c r="K575" t="n">
        <v>0</v>
      </c>
      <c r="L575" t="n">
        <v>0</v>
      </c>
      <c r="M575" t="n">
        <v>0</v>
      </c>
      <c r="N575" t="n">
        <v>0</v>
      </c>
      <c r="O575" t="n">
        <v>0</v>
      </c>
      <c r="P575" t="n">
        <v>0</v>
      </c>
      <c r="Q575" t="n">
        <v>0</v>
      </c>
      <c r="R575" s="2" t="inlineStr"/>
    </row>
    <row r="576" ht="15" customHeight="1">
      <c r="A576" t="inlineStr">
        <is>
          <t>A 58853-2024</t>
        </is>
      </c>
      <c r="B576" s="1" t="n">
        <v>45636.38974537037</v>
      </c>
      <c r="C576" s="1" t="n">
        <v>46077</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28809-2023</t>
        </is>
      </c>
      <c r="B577" s="1" t="n">
        <v>45104</v>
      </c>
      <c r="C577" s="1" t="n">
        <v>46077</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28813-2023</t>
        </is>
      </c>
      <c r="B578" s="1" t="n">
        <v>45104</v>
      </c>
      <c r="C578" s="1" t="n">
        <v>46077</v>
      </c>
      <c r="D578" t="inlineStr">
        <is>
          <t>STOCKHOLMS LÄN</t>
        </is>
      </c>
      <c r="E578" t="inlineStr">
        <is>
          <t>NORRTÄLJE</t>
        </is>
      </c>
      <c r="G578" t="n">
        <v>0.9</v>
      </c>
      <c r="H578" t="n">
        <v>0</v>
      </c>
      <c r="I578" t="n">
        <v>0</v>
      </c>
      <c r="J578" t="n">
        <v>0</v>
      </c>
      <c r="K578" t="n">
        <v>0</v>
      </c>
      <c r="L578" t="n">
        <v>0</v>
      </c>
      <c r="M578" t="n">
        <v>0</v>
      </c>
      <c r="N578" t="n">
        <v>0</v>
      </c>
      <c r="O578" t="n">
        <v>0</v>
      </c>
      <c r="P578" t="n">
        <v>0</v>
      </c>
      <c r="Q578" t="n">
        <v>0</v>
      </c>
      <c r="R578" s="2" t="inlineStr"/>
    </row>
    <row r="579" ht="15" customHeight="1">
      <c r="A579" t="inlineStr">
        <is>
          <t>A 19131-2025</t>
        </is>
      </c>
      <c r="B579" s="1" t="n">
        <v>45769</v>
      </c>
      <c r="C579" s="1" t="n">
        <v>46077</v>
      </c>
      <c r="D579" t="inlineStr">
        <is>
          <t>STOCKHOLMS LÄN</t>
        </is>
      </c>
      <c r="E579" t="inlineStr">
        <is>
          <t>NORRTÄLJE</t>
        </is>
      </c>
      <c r="G579" t="n">
        <v>1.6</v>
      </c>
      <c r="H579" t="n">
        <v>0</v>
      </c>
      <c r="I579" t="n">
        <v>0</v>
      </c>
      <c r="J579" t="n">
        <v>0</v>
      </c>
      <c r="K579" t="n">
        <v>0</v>
      </c>
      <c r="L579" t="n">
        <v>0</v>
      </c>
      <c r="M579" t="n">
        <v>0</v>
      </c>
      <c r="N579" t="n">
        <v>0</v>
      </c>
      <c r="O579" t="n">
        <v>0</v>
      </c>
      <c r="P579" t="n">
        <v>0</v>
      </c>
      <c r="Q579" t="n">
        <v>0</v>
      </c>
      <c r="R579" s="2" t="inlineStr"/>
    </row>
    <row r="580" ht="15" customHeight="1">
      <c r="A580" t="inlineStr">
        <is>
          <t>A 11929-2024</t>
        </is>
      </c>
      <c r="B580" s="1" t="n">
        <v>45376.64532407407</v>
      </c>
      <c r="C580" s="1" t="n">
        <v>46077</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59712-2024</t>
        </is>
      </c>
      <c r="B581" s="1" t="n">
        <v>45639.45166666667</v>
      </c>
      <c r="C581" s="1" t="n">
        <v>46077</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64145-2021</t>
        </is>
      </c>
      <c r="B582" s="1" t="n">
        <v>44510</v>
      </c>
      <c r="C582" s="1" t="n">
        <v>46077</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59721-2024</t>
        </is>
      </c>
      <c r="B583" s="1" t="n">
        <v>45639.47385416667</v>
      </c>
      <c r="C583" s="1" t="n">
        <v>46077</v>
      </c>
      <c r="D583" t="inlineStr">
        <is>
          <t>STOCKHOLMS LÄN</t>
        </is>
      </c>
      <c r="E583" t="inlineStr">
        <is>
          <t>NORRTÄLJE</t>
        </is>
      </c>
      <c r="G583" t="n">
        <v>4.6</v>
      </c>
      <c r="H583" t="n">
        <v>0</v>
      </c>
      <c r="I583" t="n">
        <v>0</v>
      </c>
      <c r="J583" t="n">
        <v>0</v>
      </c>
      <c r="K583" t="n">
        <v>0</v>
      </c>
      <c r="L583" t="n">
        <v>0</v>
      </c>
      <c r="M583" t="n">
        <v>0</v>
      </c>
      <c r="N583" t="n">
        <v>0</v>
      </c>
      <c r="O583" t="n">
        <v>0</v>
      </c>
      <c r="P583" t="n">
        <v>0</v>
      </c>
      <c r="Q583" t="n">
        <v>0</v>
      </c>
      <c r="R583" s="2" t="inlineStr"/>
    </row>
    <row r="584" ht="15" customHeight="1">
      <c r="A584" t="inlineStr">
        <is>
          <t>A 35708-2022</t>
        </is>
      </c>
      <c r="B584" s="1" t="n">
        <v>44799.65013888889</v>
      </c>
      <c r="C584" s="1" t="n">
        <v>46077</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45451-2024</t>
        </is>
      </c>
      <c r="B585" s="1" t="n">
        <v>45576</v>
      </c>
      <c r="C585" s="1" t="n">
        <v>46077</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3426-2025</t>
        </is>
      </c>
      <c r="B586" s="1" t="n">
        <v>45680.42665509259</v>
      </c>
      <c r="C586" s="1" t="n">
        <v>46077</v>
      </c>
      <c r="D586" t="inlineStr">
        <is>
          <t>STOCKHOLMS LÄN</t>
        </is>
      </c>
      <c r="E586" t="inlineStr">
        <is>
          <t>NORRTÄLJE</t>
        </is>
      </c>
      <c r="G586" t="n">
        <v>3.2</v>
      </c>
      <c r="H586" t="n">
        <v>0</v>
      </c>
      <c r="I586" t="n">
        <v>0</v>
      </c>
      <c r="J586" t="n">
        <v>0</v>
      </c>
      <c r="K586" t="n">
        <v>0</v>
      </c>
      <c r="L586" t="n">
        <v>0</v>
      </c>
      <c r="M586" t="n">
        <v>0</v>
      </c>
      <c r="N586" t="n">
        <v>0</v>
      </c>
      <c r="O586" t="n">
        <v>0</v>
      </c>
      <c r="P586" t="n">
        <v>0</v>
      </c>
      <c r="Q586" t="n">
        <v>0</v>
      </c>
      <c r="R586" s="2" t="inlineStr"/>
    </row>
    <row r="587" ht="15" customHeight="1">
      <c r="A587" t="inlineStr">
        <is>
          <t>A 9-2024</t>
        </is>
      </c>
      <c r="B587" s="1" t="n">
        <v>45293</v>
      </c>
      <c r="C587" s="1" t="n">
        <v>46077</v>
      </c>
      <c r="D587" t="inlineStr">
        <is>
          <t>STOCKHOLMS LÄN</t>
        </is>
      </c>
      <c r="E587" t="inlineStr">
        <is>
          <t>NORRTÄLJE</t>
        </is>
      </c>
      <c r="F587" t="inlineStr">
        <is>
          <t>Sveaskog</t>
        </is>
      </c>
      <c r="G587" t="n">
        <v>1.3</v>
      </c>
      <c r="H587" t="n">
        <v>0</v>
      </c>
      <c r="I587" t="n">
        <v>0</v>
      </c>
      <c r="J587" t="n">
        <v>0</v>
      </c>
      <c r="K587" t="n">
        <v>0</v>
      </c>
      <c r="L587" t="n">
        <v>0</v>
      </c>
      <c r="M587" t="n">
        <v>0</v>
      </c>
      <c r="N587" t="n">
        <v>0</v>
      </c>
      <c r="O587" t="n">
        <v>0</v>
      </c>
      <c r="P587" t="n">
        <v>0</v>
      </c>
      <c r="Q587" t="n">
        <v>0</v>
      </c>
      <c r="R587" s="2" t="inlineStr"/>
    </row>
    <row r="588" ht="15" customHeight="1">
      <c r="A588" t="inlineStr">
        <is>
          <t>A 51312-2023</t>
        </is>
      </c>
      <c r="B588" s="1" t="n">
        <v>45219.56697916667</v>
      </c>
      <c r="C588" s="1" t="n">
        <v>46077</v>
      </c>
      <c r="D588" t="inlineStr">
        <is>
          <t>STOCKHOLMS LÄN</t>
        </is>
      </c>
      <c r="E588" t="inlineStr">
        <is>
          <t>NORRTÄLJE</t>
        </is>
      </c>
      <c r="G588" t="n">
        <v>1.9</v>
      </c>
      <c r="H588" t="n">
        <v>0</v>
      </c>
      <c r="I588" t="n">
        <v>0</v>
      </c>
      <c r="J588" t="n">
        <v>0</v>
      </c>
      <c r="K588" t="n">
        <v>0</v>
      </c>
      <c r="L588" t="n">
        <v>0</v>
      </c>
      <c r="M588" t="n">
        <v>0</v>
      </c>
      <c r="N588" t="n">
        <v>0</v>
      </c>
      <c r="O588" t="n">
        <v>0</v>
      </c>
      <c r="P588" t="n">
        <v>0</v>
      </c>
      <c r="Q588" t="n">
        <v>0</v>
      </c>
      <c r="R588" s="2" t="inlineStr"/>
    </row>
    <row r="589" ht="15" customHeight="1">
      <c r="A589" t="inlineStr">
        <is>
          <t>A 34295-2024</t>
        </is>
      </c>
      <c r="B589" s="1" t="n">
        <v>45524</v>
      </c>
      <c r="C589" s="1" t="n">
        <v>46077</v>
      </c>
      <c r="D589" t="inlineStr">
        <is>
          <t>STOCKHOLMS LÄN</t>
        </is>
      </c>
      <c r="E589" t="inlineStr">
        <is>
          <t>NORRTÄLJE</t>
        </is>
      </c>
      <c r="G589" t="n">
        <v>1.3</v>
      </c>
      <c r="H589" t="n">
        <v>0</v>
      </c>
      <c r="I589" t="n">
        <v>0</v>
      </c>
      <c r="J589" t="n">
        <v>0</v>
      </c>
      <c r="K589" t="n">
        <v>0</v>
      </c>
      <c r="L589" t="n">
        <v>0</v>
      </c>
      <c r="M589" t="n">
        <v>0</v>
      </c>
      <c r="N589" t="n">
        <v>0</v>
      </c>
      <c r="O589" t="n">
        <v>0</v>
      </c>
      <c r="P589" t="n">
        <v>0</v>
      </c>
      <c r="Q589" t="n">
        <v>0</v>
      </c>
      <c r="R589" s="2" t="inlineStr"/>
    </row>
    <row r="590" ht="15" customHeight="1">
      <c r="A590" t="inlineStr">
        <is>
          <t>A 60884-2024</t>
        </is>
      </c>
      <c r="B590" s="1" t="n">
        <v>45644.90815972222</v>
      </c>
      <c r="C590" s="1" t="n">
        <v>46077</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6537-2024</t>
        </is>
      </c>
      <c r="B591" s="1" t="n">
        <v>45341.39853009259</v>
      </c>
      <c r="C591" s="1" t="n">
        <v>46077</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23150-2024</t>
        </is>
      </c>
      <c r="B592" s="1" t="n">
        <v>45450.64643518518</v>
      </c>
      <c r="C592" s="1" t="n">
        <v>46077</v>
      </c>
      <c r="D592" t="inlineStr">
        <is>
          <t>STOCKHOLMS LÄN</t>
        </is>
      </c>
      <c r="E592" t="inlineStr">
        <is>
          <t>NORRTÄLJE</t>
        </is>
      </c>
      <c r="F592" t="inlineStr">
        <is>
          <t>Kommuner</t>
        </is>
      </c>
      <c r="G592" t="n">
        <v>2.7</v>
      </c>
      <c r="H592" t="n">
        <v>0</v>
      </c>
      <c r="I592" t="n">
        <v>0</v>
      </c>
      <c r="J592" t="n">
        <v>0</v>
      </c>
      <c r="K592" t="n">
        <v>0</v>
      </c>
      <c r="L592" t="n">
        <v>0</v>
      </c>
      <c r="M592" t="n">
        <v>0</v>
      </c>
      <c r="N592" t="n">
        <v>0</v>
      </c>
      <c r="O592" t="n">
        <v>0</v>
      </c>
      <c r="P592" t="n">
        <v>0</v>
      </c>
      <c r="Q592" t="n">
        <v>0</v>
      </c>
      <c r="R592" s="2" t="inlineStr"/>
    </row>
    <row r="593" ht="15" customHeight="1">
      <c r="A593" t="inlineStr">
        <is>
          <t>A 11849-2025</t>
        </is>
      </c>
      <c r="B593" s="1" t="n">
        <v>45728.38409722222</v>
      </c>
      <c r="C593" s="1" t="n">
        <v>46077</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59878-2024</t>
        </is>
      </c>
      <c r="B594" s="1" t="n">
        <v>45640.60240740741</v>
      </c>
      <c r="C594" s="1" t="n">
        <v>46077</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38610-2022</t>
        </is>
      </c>
      <c r="B595" s="1" t="n">
        <v>44813.59915509259</v>
      </c>
      <c r="C595" s="1" t="n">
        <v>46077</v>
      </c>
      <c r="D595" t="inlineStr">
        <is>
          <t>STOCKHOLMS LÄN</t>
        </is>
      </c>
      <c r="E595" t="inlineStr">
        <is>
          <t>NORRTÄLJE</t>
        </is>
      </c>
      <c r="G595" t="n">
        <v>1.9</v>
      </c>
      <c r="H595" t="n">
        <v>0</v>
      </c>
      <c r="I595" t="n">
        <v>0</v>
      </c>
      <c r="J595" t="n">
        <v>0</v>
      </c>
      <c r="K595" t="n">
        <v>0</v>
      </c>
      <c r="L595" t="n">
        <v>0</v>
      </c>
      <c r="M595" t="n">
        <v>0</v>
      </c>
      <c r="N595" t="n">
        <v>0</v>
      </c>
      <c r="O595" t="n">
        <v>0</v>
      </c>
      <c r="P595" t="n">
        <v>0</v>
      </c>
      <c r="Q595" t="n">
        <v>0</v>
      </c>
      <c r="R595" s="2" t="inlineStr"/>
    </row>
    <row r="596" ht="15" customHeight="1">
      <c r="A596" t="inlineStr">
        <is>
          <t>A 22816-2021</t>
        </is>
      </c>
      <c r="B596" s="1" t="n">
        <v>44325</v>
      </c>
      <c r="C596" s="1" t="n">
        <v>46077</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50182-2024</t>
        </is>
      </c>
      <c r="B597" s="1" t="n">
        <v>45600.47275462963</v>
      </c>
      <c r="C597" s="1" t="n">
        <v>46077</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2549-2022</t>
        </is>
      </c>
      <c r="B598" s="1" t="n">
        <v>44580</v>
      </c>
      <c r="C598" s="1" t="n">
        <v>46077</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31140-2023</t>
        </is>
      </c>
      <c r="B599" s="1" t="n">
        <v>45113</v>
      </c>
      <c r="C599" s="1" t="n">
        <v>46077</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31149-2023</t>
        </is>
      </c>
      <c r="B600" s="1" t="n">
        <v>45113</v>
      </c>
      <c r="C600" s="1" t="n">
        <v>46077</v>
      </c>
      <c r="D600" t="inlineStr">
        <is>
          <t>STOCKHOLMS LÄN</t>
        </is>
      </c>
      <c r="E600" t="inlineStr">
        <is>
          <t>NORRTÄLJE</t>
        </is>
      </c>
      <c r="G600" t="n">
        <v>7.1</v>
      </c>
      <c r="H600" t="n">
        <v>0</v>
      </c>
      <c r="I600" t="n">
        <v>0</v>
      </c>
      <c r="J600" t="n">
        <v>0</v>
      </c>
      <c r="K600" t="n">
        <v>0</v>
      </c>
      <c r="L600" t="n">
        <v>0</v>
      </c>
      <c r="M600" t="n">
        <v>0</v>
      </c>
      <c r="N600" t="n">
        <v>0</v>
      </c>
      <c r="O600" t="n">
        <v>0</v>
      </c>
      <c r="P600" t="n">
        <v>0</v>
      </c>
      <c r="Q600" t="n">
        <v>0</v>
      </c>
      <c r="R600" s="2" t="inlineStr"/>
    </row>
    <row r="601" ht="15" customHeight="1">
      <c r="A601" t="inlineStr">
        <is>
          <t>A 16835-2022</t>
        </is>
      </c>
      <c r="B601" s="1" t="n">
        <v>44673</v>
      </c>
      <c r="C601" s="1" t="n">
        <v>46077</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52260-2022</t>
        </is>
      </c>
      <c r="B602" s="1" t="n">
        <v>44869</v>
      </c>
      <c r="C602" s="1" t="n">
        <v>46077</v>
      </c>
      <c r="D602" t="inlineStr">
        <is>
          <t>STOCKHOLMS LÄN</t>
        </is>
      </c>
      <c r="E602" t="inlineStr">
        <is>
          <t>NORRTÄLJE</t>
        </is>
      </c>
      <c r="G602" t="n">
        <v>3.1</v>
      </c>
      <c r="H602" t="n">
        <v>0</v>
      </c>
      <c r="I602" t="n">
        <v>0</v>
      </c>
      <c r="J602" t="n">
        <v>0</v>
      </c>
      <c r="K602" t="n">
        <v>0</v>
      </c>
      <c r="L602" t="n">
        <v>0</v>
      </c>
      <c r="M602" t="n">
        <v>0</v>
      </c>
      <c r="N602" t="n">
        <v>0</v>
      </c>
      <c r="O602" t="n">
        <v>0</v>
      </c>
      <c r="P602" t="n">
        <v>0</v>
      </c>
      <c r="Q602" t="n">
        <v>0</v>
      </c>
      <c r="R602" s="2" t="inlineStr"/>
    </row>
    <row r="603" ht="15" customHeight="1">
      <c r="A603" t="inlineStr">
        <is>
          <t>A 67921-2021</t>
        </is>
      </c>
      <c r="B603" s="1" t="n">
        <v>44525</v>
      </c>
      <c r="C603" s="1" t="n">
        <v>46077</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13701-2022</t>
        </is>
      </c>
      <c r="B604" s="1" t="n">
        <v>44648</v>
      </c>
      <c r="C604" s="1" t="n">
        <v>46077</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55058-2021</t>
        </is>
      </c>
      <c r="B605" s="1" t="n">
        <v>44474.62141203704</v>
      </c>
      <c r="C605" s="1" t="n">
        <v>46077</v>
      </c>
      <c r="D605" t="inlineStr">
        <is>
          <t>STOCKHOLMS LÄN</t>
        </is>
      </c>
      <c r="E605" t="inlineStr">
        <is>
          <t>NORRTÄLJE</t>
        </is>
      </c>
      <c r="G605" t="n">
        <v>1.9</v>
      </c>
      <c r="H605" t="n">
        <v>0</v>
      </c>
      <c r="I605" t="n">
        <v>0</v>
      </c>
      <c r="J605" t="n">
        <v>0</v>
      </c>
      <c r="K605" t="n">
        <v>0</v>
      </c>
      <c r="L605" t="n">
        <v>0</v>
      </c>
      <c r="M605" t="n">
        <v>0</v>
      </c>
      <c r="N605" t="n">
        <v>0</v>
      </c>
      <c r="O605" t="n">
        <v>0</v>
      </c>
      <c r="P605" t="n">
        <v>0</v>
      </c>
      <c r="Q605" t="n">
        <v>0</v>
      </c>
      <c r="R605" s="2" t="inlineStr"/>
    </row>
    <row r="606" ht="15" customHeight="1">
      <c r="A606" t="inlineStr">
        <is>
          <t>A 13089-2022</t>
        </is>
      </c>
      <c r="B606" s="1" t="n">
        <v>44643</v>
      </c>
      <c r="C606" s="1" t="n">
        <v>46077</v>
      </c>
      <c r="D606" t="inlineStr">
        <is>
          <t>STOCKHOLMS LÄN</t>
        </is>
      </c>
      <c r="E606" t="inlineStr">
        <is>
          <t>NORRTÄLJE</t>
        </is>
      </c>
      <c r="G606" t="n">
        <v>4.5</v>
      </c>
      <c r="H606" t="n">
        <v>0</v>
      </c>
      <c r="I606" t="n">
        <v>0</v>
      </c>
      <c r="J606" t="n">
        <v>0</v>
      </c>
      <c r="K606" t="n">
        <v>0</v>
      </c>
      <c r="L606" t="n">
        <v>0</v>
      </c>
      <c r="M606" t="n">
        <v>0</v>
      </c>
      <c r="N606" t="n">
        <v>0</v>
      </c>
      <c r="O606" t="n">
        <v>0</v>
      </c>
      <c r="P606" t="n">
        <v>0</v>
      </c>
      <c r="Q606" t="n">
        <v>0</v>
      </c>
      <c r="R606" s="2" t="inlineStr"/>
    </row>
    <row r="607" ht="15" customHeight="1">
      <c r="A607" t="inlineStr">
        <is>
          <t>A 40192-2023</t>
        </is>
      </c>
      <c r="B607" s="1" t="n">
        <v>45169</v>
      </c>
      <c r="C607" s="1" t="n">
        <v>46077</v>
      </c>
      <c r="D607" t="inlineStr">
        <is>
          <t>STOCKHOLMS LÄN</t>
        </is>
      </c>
      <c r="E607" t="inlineStr">
        <is>
          <t>NORRTÄLJE</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4035-2023</t>
        </is>
      </c>
      <c r="B608" s="1" t="n">
        <v>44952.57989583333</v>
      </c>
      <c r="C608" s="1" t="n">
        <v>46077</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26644-2024</t>
        </is>
      </c>
      <c r="B609" s="1" t="n">
        <v>45469</v>
      </c>
      <c r="C609" s="1" t="n">
        <v>46077</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26668-2024</t>
        </is>
      </c>
      <c r="B610" s="1" t="n">
        <v>45469</v>
      </c>
      <c r="C610" s="1" t="n">
        <v>46077</v>
      </c>
      <c r="D610" t="inlineStr">
        <is>
          <t>STOCKHOLMS LÄN</t>
        </is>
      </c>
      <c r="E610" t="inlineStr">
        <is>
          <t>NORRTÄLJE</t>
        </is>
      </c>
      <c r="G610" t="n">
        <v>4.8</v>
      </c>
      <c r="H610" t="n">
        <v>0</v>
      </c>
      <c r="I610" t="n">
        <v>0</v>
      </c>
      <c r="J610" t="n">
        <v>0</v>
      </c>
      <c r="K610" t="n">
        <v>0</v>
      </c>
      <c r="L610" t="n">
        <v>0</v>
      </c>
      <c r="M610" t="n">
        <v>0</v>
      </c>
      <c r="N610" t="n">
        <v>0</v>
      </c>
      <c r="O610" t="n">
        <v>0</v>
      </c>
      <c r="P610" t="n">
        <v>0</v>
      </c>
      <c r="Q610" t="n">
        <v>0</v>
      </c>
      <c r="R610" s="2" t="inlineStr"/>
    </row>
    <row r="611" ht="15" customHeight="1">
      <c r="A611" t="inlineStr">
        <is>
          <t>A 38759-2022</t>
        </is>
      </c>
      <c r="B611" s="1" t="n">
        <v>44816</v>
      </c>
      <c r="C611" s="1" t="n">
        <v>46077</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23998-2024</t>
        </is>
      </c>
      <c r="B612" s="1" t="n">
        <v>45456</v>
      </c>
      <c r="C612" s="1" t="n">
        <v>46077</v>
      </c>
      <c r="D612" t="inlineStr">
        <is>
          <t>STOCKHOLMS LÄN</t>
        </is>
      </c>
      <c r="E612" t="inlineStr">
        <is>
          <t>NORRTÄLJE</t>
        </is>
      </c>
      <c r="G612" t="n">
        <v>2.3</v>
      </c>
      <c r="H612" t="n">
        <v>0</v>
      </c>
      <c r="I612" t="n">
        <v>0</v>
      </c>
      <c r="J612" t="n">
        <v>0</v>
      </c>
      <c r="K612" t="n">
        <v>0</v>
      </c>
      <c r="L612" t="n">
        <v>0</v>
      </c>
      <c r="M612" t="n">
        <v>0</v>
      </c>
      <c r="N612" t="n">
        <v>0</v>
      </c>
      <c r="O612" t="n">
        <v>0</v>
      </c>
      <c r="P612" t="n">
        <v>0</v>
      </c>
      <c r="Q612" t="n">
        <v>0</v>
      </c>
      <c r="R612" s="2" t="inlineStr"/>
    </row>
    <row r="613" ht="15" customHeight="1">
      <c r="A613" t="inlineStr">
        <is>
          <t>A 54504-2024</t>
        </is>
      </c>
      <c r="B613" s="1" t="n">
        <v>45617.58453703704</v>
      </c>
      <c r="C613" s="1" t="n">
        <v>46077</v>
      </c>
      <c r="D613" t="inlineStr">
        <is>
          <t>STOCKHOLMS LÄN</t>
        </is>
      </c>
      <c r="E613" t="inlineStr">
        <is>
          <t>NORRTÄLJE</t>
        </is>
      </c>
      <c r="G613" t="n">
        <v>3.4</v>
      </c>
      <c r="H613" t="n">
        <v>0</v>
      </c>
      <c r="I613" t="n">
        <v>0</v>
      </c>
      <c r="J613" t="n">
        <v>0</v>
      </c>
      <c r="K613" t="n">
        <v>0</v>
      </c>
      <c r="L613" t="n">
        <v>0</v>
      </c>
      <c r="M613" t="n">
        <v>0</v>
      </c>
      <c r="N613" t="n">
        <v>0</v>
      </c>
      <c r="O613" t="n">
        <v>0</v>
      </c>
      <c r="P613" t="n">
        <v>0</v>
      </c>
      <c r="Q613" t="n">
        <v>0</v>
      </c>
      <c r="R613" s="2" t="inlineStr"/>
    </row>
    <row r="614" ht="15" customHeight="1">
      <c r="A614" t="inlineStr">
        <is>
          <t>A 59468-2023</t>
        </is>
      </c>
      <c r="B614" s="1" t="n">
        <v>45254.41509259259</v>
      </c>
      <c r="C614" s="1" t="n">
        <v>46077</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32595-2023</t>
        </is>
      </c>
      <c r="B615" s="1" t="n">
        <v>45121</v>
      </c>
      <c r="C615" s="1" t="n">
        <v>46077</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18846-2022</t>
        </is>
      </c>
      <c r="B616" s="1" t="n">
        <v>44690</v>
      </c>
      <c r="C616" s="1" t="n">
        <v>46077</v>
      </c>
      <c r="D616" t="inlineStr">
        <is>
          <t>STOCKHOLMS LÄN</t>
        </is>
      </c>
      <c r="E616" t="inlineStr">
        <is>
          <t>NORRTÄLJE</t>
        </is>
      </c>
      <c r="G616" t="n">
        <v>7</v>
      </c>
      <c r="H616" t="n">
        <v>0</v>
      </c>
      <c r="I616" t="n">
        <v>0</v>
      </c>
      <c r="J616" t="n">
        <v>0</v>
      </c>
      <c r="K616" t="n">
        <v>0</v>
      </c>
      <c r="L616" t="n">
        <v>0</v>
      </c>
      <c r="M616" t="n">
        <v>0</v>
      </c>
      <c r="N616" t="n">
        <v>0</v>
      </c>
      <c r="O616" t="n">
        <v>0</v>
      </c>
      <c r="P616" t="n">
        <v>0</v>
      </c>
      <c r="Q616" t="n">
        <v>0</v>
      </c>
      <c r="R616" s="2" t="inlineStr"/>
    </row>
    <row r="617" ht="15" customHeight="1">
      <c r="A617" t="inlineStr">
        <is>
          <t>A 11332-2025</t>
        </is>
      </c>
      <c r="B617" s="1" t="n">
        <v>45726.48152777777</v>
      </c>
      <c r="C617" s="1" t="n">
        <v>46077</v>
      </c>
      <c r="D617" t="inlineStr">
        <is>
          <t>STOCKHOLMS LÄN</t>
        </is>
      </c>
      <c r="E617" t="inlineStr">
        <is>
          <t>NORRTÄLJE</t>
        </is>
      </c>
      <c r="G617" t="n">
        <v>4.6</v>
      </c>
      <c r="H617" t="n">
        <v>0</v>
      </c>
      <c r="I617" t="n">
        <v>0</v>
      </c>
      <c r="J617" t="n">
        <v>0</v>
      </c>
      <c r="K617" t="n">
        <v>0</v>
      </c>
      <c r="L617" t="n">
        <v>0</v>
      </c>
      <c r="M617" t="n">
        <v>0</v>
      </c>
      <c r="N617" t="n">
        <v>0</v>
      </c>
      <c r="O617" t="n">
        <v>0</v>
      </c>
      <c r="P617" t="n">
        <v>0</v>
      </c>
      <c r="Q617" t="n">
        <v>0</v>
      </c>
      <c r="R617" s="2" t="inlineStr"/>
    </row>
    <row r="618" ht="15" customHeight="1">
      <c r="A618" t="inlineStr">
        <is>
          <t>A 13718-2022</t>
        </is>
      </c>
      <c r="B618" s="1" t="n">
        <v>44649</v>
      </c>
      <c r="C618" s="1" t="n">
        <v>46077</v>
      </c>
      <c r="D618" t="inlineStr">
        <is>
          <t>STOCKHOLMS LÄN</t>
        </is>
      </c>
      <c r="E618" t="inlineStr">
        <is>
          <t>NORRTÄLJE</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22816-2021</t>
        </is>
      </c>
      <c r="B619" s="1" t="n">
        <v>44325</v>
      </c>
      <c r="C619" s="1" t="n">
        <v>46077</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12535-2025</t>
        </is>
      </c>
      <c r="B620" s="1" t="n">
        <v>45730.69502314815</v>
      </c>
      <c r="C620" s="1" t="n">
        <v>46077</v>
      </c>
      <c r="D620" t="inlineStr">
        <is>
          <t>STOCKHOLMS LÄN</t>
        </is>
      </c>
      <c r="E620" t="inlineStr">
        <is>
          <t>NORRTÄLJE</t>
        </is>
      </c>
      <c r="G620" t="n">
        <v>7.1</v>
      </c>
      <c r="H620" t="n">
        <v>0</v>
      </c>
      <c r="I620" t="n">
        <v>0</v>
      </c>
      <c r="J620" t="n">
        <v>0</v>
      </c>
      <c r="K620" t="n">
        <v>0</v>
      </c>
      <c r="L620" t="n">
        <v>0</v>
      </c>
      <c r="M620" t="n">
        <v>0</v>
      </c>
      <c r="N620" t="n">
        <v>0</v>
      </c>
      <c r="O620" t="n">
        <v>0</v>
      </c>
      <c r="P620" t="n">
        <v>0</v>
      </c>
      <c r="Q620" t="n">
        <v>0</v>
      </c>
      <c r="R620" s="2" t="inlineStr"/>
    </row>
    <row r="621" ht="15" customHeight="1">
      <c r="A621" t="inlineStr">
        <is>
          <t>A 574-2023</t>
        </is>
      </c>
      <c r="B621" s="1" t="n">
        <v>44925</v>
      </c>
      <c r="C621" s="1" t="n">
        <v>46077</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54259-2023</t>
        </is>
      </c>
      <c r="B622" s="1" t="n">
        <v>45232</v>
      </c>
      <c r="C622" s="1" t="n">
        <v>46077</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13171-2025</t>
        </is>
      </c>
      <c r="B623" s="1" t="n">
        <v>45735.36594907408</v>
      </c>
      <c r="C623" s="1" t="n">
        <v>46077</v>
      </c>
      <c r="D623" t="inlineStr">
        <is>
          <t>STOCKHOLMS LÄN</t>
        </is>
      </c>
      <c r="E623" t="inlineStr">
        <is>
          <t>NORRTÄLJE</t>
        </is>
      </c>
      <c r="G623" t="n">
        <v>5.1</v>
      </c>
      <c r="H623" t="n">
        <v>0</v>
      </c>
      <c r="I623" t="n">
        <v>0</v>
      </c>
      <c r="J623" t="n">
        <v>0</v>
      </c>
      <c r="K623" t="n">
        <v>0</v>
      </c>
      <c r="L623" t="n">
        <v>0</v>
      </c>
      <c r="M623" t="n">
        <v>0</v>
      </c>
      <c r="N623" t="n">
        <v>0</v>
      </c>
      <c r="O623" t="n">
        <v>0</v>
      </c>
      <c r="P623" t="n">
        <v>0</v>
      </c>
      <c r="Q623" t="n">
        <v>0</v>
      </c>
      <c r="R623" s="2" t="inlineStr"/>
    </row>
    <row r="624" ht="15" customHeight="1">
      <c r="A624" t="inlineStr">
        <is>
          <t>A 12299-2025</t>
        </is>
      </c>
      <c r="B624" s="1" t="n">
        <v>45729.71065972222</v>
      </c>
      <c r="C624" s="1" t="n">
        <v>46077</v>
      </c>
      <c r="D624" t="inlineStr">
        <is>
          <t>STOCKHOLMS LÄN</t>
        </is>
      </c>
      <c r="E624" t="inlineStr">
        <is>
          <t>NORRTÄLJE</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65499-2021</t>
        </is>
      </c>
      <c r="B625" s="1" t="n">
        <v>44516</v>
      </c>
      <c r="C625" s="1" t="n">
        <v>46077</v>
      </c>
      <c r="D625" t="inlineStr">
        <is>
          <t>STOCKHOLMS LÄN</t>
        </is>
      </c>
      <c r="E625" t="inlineStr">
        <is>
          <t>NORRTÄLJE</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11900-2024</t>
        </is>
      </c>
      <c r="B626" s="1" t="n">
        <v>45376.55484953704</v>
      </c>
      <c r="C626" s="1" t="n">
        <v>46077</v>
      </c>
      <c r="D626" t="inlineStr">
        <is>
          <t>STOCKHOLMS LÄN</t>
        </is>
      </c>
      <c r="E626" t="inlineStr">
        <is>
          <t>NORRTÄLJE</t>
        </is>
      </c>
      <c r="G626" t="n">
        <v>4.2</v>
      </c>
      <c r="H626" t="n">
        <v>0</v>
      </c>
      <c r="I626" t="n">
        <v>0</v>
      </c>
      <c r="J626" t="n">
        <v>0</v>
      </c>
      <c r="K626" t="n">
        <v>0</v>
      </c>
      <c r="L626" t="n">
        <v>0</v>
      </c>
      <c r="M626" t="n">
        <v>0</v>
      </c>
      <c r="N626" t="n">
        <v>0</v>
      </c>
      <c r="O626" t="n">
        <v>0</v>
      </c>
      <c r="P626" t="n">
        <v>0</v>
      </c>
      <c r="Q626" t="n">
        <v>0</v>
      </c>
      <c r="R626" s="2" t="inlineStr"/>
    </row>
    <row r="627" ht="15" customHeight="1">
      <c r="A627" t="inlineStr">
        <is>
          <t>A 37085-2021</t>
        </is>
      </c>
      <c r="B627" s="1" t="n">
        <v>44395</v>
      </c>
      <c r="C627" s="1" t="n">
        <v>46077</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43300-2023</t>
        </is>
      </c>
      <c r="B628" s="1" t="n">
        <v>45183</v>
      </c>
      <c r="C628" s="1" t="n">
        <v>46077</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13276-2022</t>
        </is>
      </c>
      <c r="B629" s="1" t="n">
        <v>44644</v>
      </c>
      <c r="C629" s="1" t="n">
        <v>46077</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46988-2024</t>
        </is>
      </c>
      <c r="B630" s="1" t="n">
        <v>45586</v>
      </c>
      <c r="C630" s="1" t="n">
        <v>46077</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37010-2022</t>
        </is>
      </c>
      <c r="B631" s="1" t="n">
        <v>44806.41576388889</v>
      </c>
      <c r="C631" s="1" t="n">
        <v>46077</v>
      </c>
      <c r="D631" t="inlineStr">
        <is>
          <t>STOCKHOLMS LÄN</t>
        </is>
      </c>
      <c r="E631" t="inlineStr">
        <is>
          <t>NORRTÄLJE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11900-2022</t>
        </is>
      </c>
      <c r="B632" s="1" t="n">
        <v>44635</v>
      </c>
      <c r="C632" s="1" t="n">
        <v>46077</v>
      </c>
      <c r="D632" t="inlineStr">
        <is>
          <t>STOCKHOLMS LÄN</t>
        </is>
      </c>
      <c r="E632" t="inlineStr">
        <is>
          <t>NORRTÄLJE</t>
        </is>
      </c>
      <c r="G632" t="n">
        <v>2.4</v>
      </c>
      <c r="H632" t="n">
        <v>0</v>
      </c>
      <c r="I632" t="n">
        <v>0</v>
      </c>
      <c r="J632" t="n">
        <v>0</v>
      </c>
      <c r="K632" t="n">
        <v>0</v>
      </c>
      <c r="L632" t="n">
        <v>0</v>
      </c>
      <c r="M632" t="n">
        <v>0</v>
      </c>
      <c r="N632" t="n">
        <v>0</v>
      </c>
      <c r="O632" t="n">
        <v>0</v>
      </c>
      <c r="P632" t="n">
        <v>0</v>
      </c>
      <c r="Q632" t="n">
        <v>0</v>
      </c>
      <c r="R632" s="2" t="inlineStr"/>
    </row>
    <row r="633" ht="15" customHeight="1">
      <c r="A633" t="inlineStr">
        <is>
          <t>A 14724-2022</t>
        </is>
      </c>
      <c r="B633" s="1" t="n">
        <v>44656</v>
      </c>
      <c r="C633" s="1" t="n">
        <v>46077</v>
      </c>
      <c r="D633" t="inlineStr">
        <is>
          <t>STOCKHOLMS LÄN</t>
        </is>
      </c>
      <c r="E633" t="inlineStr">
        <is>
          <t>NORRTÄLJE</t>
        </is>
      </c>
      <c r="F633" t="inlineStr">
        <is>
          <t>Sveaskog</t>
        </is>
      </c>
      <c r="G633" t="n">
        <v>9</v>
      </c>
      <c r="H633" t="n">
        <v>0</v>
      </c>
      <c r="I633" t="n">
        <v>0</v>
      </c>
      <c r="J633" t="n">
        <v>0</v>
      </c>
      <c r="K633" t="n">
        <v>0</v>
      </c>
      <c r="L633" t="n">
        <v>0</v>
      </c>
      <c r="M633" t="n">
        <v>0</v>
      </c>
      <c r="N633" t="n">
        <v>0</v>
      </c>
      <c r="O633" t="n">
        <v>0</v>
      </c>
      <c r="P633" t="n">
        <v>0</v>
      </c>
      <c r="Q633" t="n">
        <v>0</v>
      </c>
      <c r="R633" s="2" t="inlineStr"/>
    </row>
    <row r="634" ht="15" customHeight="1">
      <c r="A634" t="inlineStr">
        <is>
          <t>A 71552-2021</t>
        </is>
      </c>
      <c r="B634" s="1" t="n">
        <v>44540</v>
      </c>
      <c r="C634" s="1" t="n">
        <v>46077</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4580-2025</t>
        </is>
      </c>
      <c r="B635" s="1" t="n">
        <v>45687.5038425926</v>
      </c>
      <c r="C635" s="1" t="n">
        <v>46077</v>
      </c>
      <c r="D635" t="inlineStr">
        <is>
          <t>STOCKHOLMS LÄN</t>
        </is>
      </c>
      <c r="E635" t="inlineStr">
        <is>
          <t>NORRTÄLJE</t>
        </is>
      </c>
      <c r="F635" t="inlineStr">
        <is>
          <t>Holmen skog AB</t>
        </is>
      </c>
      <c r="G635" t="n">
        <v>4.8</v>
      </c>
      <c r="H635" t="n">
        <v>0</v>
      </c>
      <c r="I635" t="n">
        <v>0</v>
      </c>
      <c r="J635" t="n">
        <v>0</v>
      </c>
      <c r="K635" t="n">
        <v>0</v>
      </c>
      <c r="L635" t="n">
        <v>0</v>
      </c>
      <c r="M635" t="n">
        <v>0</v>
      </c>
      <c r="N635" t="n">
        <v>0</v>
      </c>
      <c r="O635" t="n">
        <v>0</v>
      </c>
      <c r="P635" t="n">
        <v>0</v>
      </c>
      <c r="Q635" t="n">
        <v>0</v>
      </c>
      <c r="R635" s="2" t="inlineStr"/>
    </row>
    <row r="636" ht="15" customHeight="1">
      <c r="A636" t="inlineStr">
        <is>
          <t>A 16202-2022</t>
        </is>
      </c>
      <c r="B636" s="1" t="n">
        <v>44670</v>
      </c>
      <c r="C636" s="1" t="n">
        <v>46077</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32705-2022</t>
        </is>
      </c>
      <c r="B637" s="1" t="n">
        <v>44783</v>
      </c>
      <c r="C637" s="1" t="n">
        <v>46077</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17382-2024</t>
        </is>
      </c>
      <c r="B638" s="1" t="n">
        <v>45414.65855324074</v>
      </c>
      <c r="C638" s="1" t="n">
        <v>46077</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6003-2025</t>
        </is>
      </c>
      <c r="B639" s="1" t="n">
        <v>45695.57881944445</v>
      </c>
      <c r="C639" s="1" t="n">
        <v>46077</v>
      </c>
      <c r="D639" t="inlineStr">
        <is>
          <t>STOCKHOLMS LÄN</t>
        </is>
      </c>
      <c r="E639" t="inlineStr">
        <is>
          <t>NORRTÄLJE</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52321-2024</t>
        </is>
      </c>
      <c r="B640" s="1" t="n">
        <v>45608</v>
      </c>
      <c r="C640" s="1" t="n">
        <v>46077</v>
      </c>
      <c r="D640" t="inlineStr">
        <is>
          <t>STOCKHOLMS LÄN</t>
        </is>
      </c>
      <c r="E640" t="inlineStr">
        <is>
          <t>NORRTÄLJE</t>
        </is>
      </c>
      <c r="G640" t="n">
        <v>18.1</v>
      </c>
      <c r="H640" t="n">
        <v>0</v>
      </c>
      <c r="I640" t="n">
        <v>0</v>
      </c>
      <c r="J640" t="n">
        <v>0</v>
      </c>
      <c r="K640" t="n">
        <v>0</v>
      </c>
      <c r="L640" t="n">
        <v>0</v>
      </c>
      <c r="M640" t="n">
        <v>0</v>
      </c>
      <c r="N640" t="n">
        <v>0</v>
      </c>
      <c r="O640" t="n">
        <v>0</v>
      </c>
      <c r="P640" t="n">
        <v>0</v>
      </c>
      <c r="Q640" t="n">
        <v>0</v>
      </c>
      <c r="R640" s="2" t="inlineStr"/>
    </row>
    <row r="641" ht="15" customHeight="1">
      <c r="A641" t="inlineStr">
        <is>
          <t>A 33149-2022</t>
        </is>
      </c>
      <c r="B641" s="1" t="n">
        <v>44785</v>
      </c>
      <c r="C641" s="1" t="n">
        <v>46077</v>
      </c>
      <c r="D641" t="inlineStr">
        <is>
          <t>STOCKHOLMS LÄN</t>
        </is>
      </c>
      <c r="E641" t="inlineStr">
        <is>
          <t>NORRTÄLJE</t>
        </is>
      </c>
      <c r="F641" t="inlineStr">
        <is>
          <t>Holmen skog AB</t>
        </is>
      </c>
      <c r="G641" t="n">
        <v>4.4</v>
      </c>
      <c r="H641" t="n">
        <v>0</v>
      </c>
      <c r="I641" t="n">
        <v>0</v>
      </c>
      <c r="J641" t="n">
        <v>0</v>
      </c>
      <c r="K641" t="n">
        <v>0</v>
      </c>
      <c r="L641" t="n">
        <v>0</v>
      </c>
      <c r="M641" t="n">
        <v>0</v>
      </c>
      <c r="N641" t="n">
        <v>0</v>
      </c>
      <c r="O641" t="n">
        <v>0</v>
      </c>
      <c r="P641" t="n">
        <v>0</v>
      </c>
      <c r="Q641" t="n">
        <v>0</v>
      </c>
      <c r="R641" s="2" t="inlineStr"/>
    </row>
    <row r="642" ht="15" customHeight="1">
      <c r="A642" t="inlineStr">
        <is>
          <t>A 54558-2024</t>
        </is>
      </c>
      <c r="B642" s="1" t="n">
        <v>45617.62358796296</v>
      </c>
      <c r="C642" s="1" t="n">
        <v>46077</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25557-2023</t>
        </is>
      </c>
      <c r="B643" s="1" t="n">
        <v>45089</v>
      </c>
      <c r="C643" s="1" t="n">
        <v>46077</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14559-2024</t>
        </is>
      </c>
      <c r="B644" s="1" t="n">
        <v>45394.72869212963</v>
      </c>
      <c r="C644" s="1" t="n">
        <v>46077</v>
      </c>
      <c r="D644" t="inlineStr">
        <is>
          <t>STOCKHOLMS LÄN</t>
        </is>
      </c>
      <c r="E644" t="inlineStr">
        <is>
          <t>NORRTÄLJE</t>
        </is>
      </c>
      <c r="G644" t="n">
        <v>4.2</v>
      </c>
      <c r="H644" t="n">
        <v>0</v>
      </c>
      <c r="I644" t="n">
        <v>0</v>
      </c>
      <c r="J644" t="n">
        <v>0</v>
      </c>
      <c r="K644" t="n">
        <v>0</v>
      </c>
      <c r="L644" t="n">
        <v>0</v>
      </c>
      <c r="M644" t="n">
        <v>0</v>
      </c>
      <c r="N644" t="n">
        <v>0</v>
      </c>
      <c r="O644" t="n">
        <v>0</v>
      </c>
      <c r="P644" t="n">
        <v>0</v>
      </c>
      <c r="Q644" t="n">
        <v>0</v>
      </c>
      <c r="R644" s="2" t="inlineStr"/>
    </row>
    <row r="645" ht="15" customHeight="1">
      <c r="A645" t="inlineStr">
        <is>
          <t>A 22157-2023</t>
        </is>
      </c>
      <c r="B645" s="1" t="n">
        <v>45069</v>
      </c>
      <c r="C645" s="1" t="n">
        <v>46077</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c r="U645">
        <f>HYPERLINK("https://klasma.github.io/Logging_0188/knärot/A 22157-2023 karta knärot.png", "A 22157-2023")</f>
        <v/>
      </c>
      <c r="V645">
        <f>HYPERLINK("https://klasma.github.io/Logging_0188/klagomål/A 22157-2023 FSC-klagomål.docx", "A 22157-2023")</f>
        <v/>
      </c>
      <c r="W645">
        <f>HYPERLINK("https://klasma.github.io/Logging_0188/klagomålsmail/A 22157-2023 FSC-klagomål mail.docx", "A 22157-2023")</f>
        <v/>
      </c>
      <c r="X645">
        <f>HYPERLINK("https://klasma.github.io/Logging_0188/tillsyn/A 22157-2023 tillsynsbegäran.docx", "A 22157-2023")</f>
        <v/>
      </c>
      <c r="Y645">
        <f>HYPERLINK("https://klasma.github.io/Logging_0188/tillsynsmail/A 22157-2023 tillsynsbegäran mail.docx", "A 22157-2023")</f>
        <v/>
      </c>
    </row>
    <row r="646" ht="15" customHeight="1">
      <c r="A646" t="inlineStr">
        <is>
          <t>A 39149-2025</t>
        </is>
      </c>
      <c r="B646" s="1" t="n">
        <v>45888.60714120371</v>
      </c>
      <c r="C646" s="1" t="n">
        <v>46077</v>
      </c>
      <c r="D646" t="inlineStr">
        <is>
          <t>STOCKHOLMS LÄN</t>
        </is>
      </c>
      <c r="E646" t="inlineStr">
        <is>
          <t>NORRTÄLJE</t>
        </is>
      </c>
      <c r="G646" t="n">
        <v>3.5</v>
      </c>
      <c r="H646" t="n">
        <v>0</v>
      </c>
      <c r="I646" t="n">
        <v>0</v>
      </c>
      <c r="J646" t="n">
        <v>0</v>
      </c>
      <c r="K646" t="n">
        <v>0</v>
      </c>
      <c r="L646" t="n">
        <v>0</v>
      </c>
      <c r="M646" t="n">
        <v>0</v>
      </c>
      <c r="N646" t="n">
        <v>0</v>
      </c>
      <c r="O646" t="n">
        <v>0</v>
      </c>
      <c r="P646" t="n">
        <v>0</v>
      </c>
      <c r="Q646" t="n">
        <v>0</v>
      </c>
      <c r="R646" s="2" t="inlineStr"/>
    </row>
    <row r="647" ht="15" customHeight="1">
      <c r="A647" t="inlineStr">
        <is>
          <t>A 38720-2025</t>
        </is>
      </c>
      <c r="B647" s="1" t="n">
        <v>45886</v>
      </c>
      <c r="C647" s="1" t="n">
        <v>46077</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48633-2023</t>
        </is>
      </c>
      <c r="B648" s="1" t="n">
        <v>45208.58004629629</v>
      </c>
      <c r="C648" s="1" t="n">
        <v>46077</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9914-2023</t>
        </is>
      </c>
      <c r="B649" s="1" t="n">
        <v>44985</v>
      </c>
      <c r="C649" s="1" t="n">
        <v>46077</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11-2024</t>
        </is>
      </c>
      <c r="B650" s="1" t="n">
        <v>45293</v>
      </c>
      <c r="C650" s="1" t="n">
        <v>46077</v>
      </c>
      <c r="D650" t="inlineStr">
        <is>
          <t>STOCKHOLMS LÄN</t>
        </is>
      </c>
      <c r="E650" t="inlineStr">
        <is>
          <t>NORRTÄLJE</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15256-2023</t>
        </is>
      </c>
      <c r="B651" s="1" t="n">
        <v>45019.3959837963</v>
      </c>
      <c r="C651" s="1" t="n">
        <v>46077</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47419-2023</t>
        </is>
      </c>
      <c r="B652" s="1" t="n">
        <v>45202.65660879629</v>
      </c>
      <c r="C652" s="1" t="n">
        <v>46077</v>
      </c>
      <c r="D652" t="inlineStr">
        <is>
          <t>STOCKHOLMS LÄN</t>
        </is>
      </c>
      <c r="E652" t="inlineStr">
        <is>
          <t>NORRTÄLJE</t>
        </is>
      </c>
      <c r="G652" t="n">
        <v>11.4</v>
      </c>
      <c r="H652" t="n">
        <v>0</v>
      </c>
      <c r="I652" t="n">
        <v>0</v>
      </c>
      <c r="J652" t="n">
        <v>0</v>
      </c>
      <c r="K652" t="n">
        <v>0</v>
      </c>
      <c r="L652" t="n">
        <v>0</v>
      </c>
      <c r="M652" t="n">
        <v>0</v>
      </c>
      <c r="N652" t="n">
        <v>0</v>
      </c>
      <c r="O652" t="n">
        <v>0</v>
      </c>
      <c r="P652" t="n">
        <v>0</v>
      </c>
      <c r="Q652" t="n">
        <v>0</v>
      </c>
      <c r="R652" s="2" t="inlineStr"/>
    </row>
    <row r="653" ht="15" customHeight="1">
      <c r="A653" t="inlineStr">
        <is>
          <t>A 60525-2022</t>
        </is>
      </c>
      <c r="B653" s="1" t="n">
        <v>44904</v>
      </c>
      <c r="C653" s="1" t="n">
        <v>46077</v>
      </c>
      <c r="D653" t="inlineStr">
        <is>
          <t>STOCKHOLMS LÄN</t>
        </is>
      </c>
      <c r="E653" t="inlineStr">
        <is>
          <t>NORRTÄLJE</t>
        </is>
      </c>
      <c r="G653" t="n">
        <v>13.4</v>
      </c>
      <c r="H653" t="n">
        <v>0</v>
      </c>
      <c r="I653" t="n">
        <v>0</v>
      </c>
      <c r="J653" t="n">
        <v>0</v>
      </c>
      <c r="K653" t="n">
        <v>0</v>
      </c>
      <c r="L653" t="n">
        <v>0</v>
      </c>
      <c r="M653" t="n">
        <v>0</v>
      </c>
      <c r="N653" t="n">
        <v>0</v>
      </c>
      <c r="O653" t="n">
        <v>0</v>
      </c>
      <c r="P653" t="n">
        <v>0</v>
      </c>
      <c r="Q653" t="n">
        <v>0</v>
      </c>
      <c r="R653" s="2" t="inlineStr"/>
    </row>
    <row r="654" ht="15" customHeight="1">
      <c r="A654" t="inlineStr">
        <is>
          <t>A 652-2025</t>
        </is>
      </c>
      <c r="B654" s="1" t="n">
        <v>45664</v>
      </c>
      <c r="C654" s="1" t="n">
        <v>46077</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7413-2024</t>
        </is>
      </c>
      <c r="B655" s="1" t="n">
        <v>45345.6059837963</v>
      </c>
      <c r="C655" s="1" t="n">
        <v>46077</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39152-2025</t>
        </is>
      </c>
      <c r="B656" s="1" t="n">
        <v>45888</v>
      </c>
      <c r="C656" s="1" t="n">
        <v>46077</v>
      </c>
      <c r="D656" t="inlineStr">
        <is>
          <t>STOCKHOLMS LÄN</t>
        </is>
      </c>
      <c r="E656" t="inlineStr">
        <is>
          <t>NORRTÄLJE</t>
        </is>
      </c>
      <c r="G656" t="n">
        <v>4.6</v>
      </c>
      <c r="H656" t="n">
        <v>0</v>
      </c>
      <c r="I656" t="n">
        <v>0</v>
      </c>
      <c r="J656" t="n">
        <v>0</v>
      </c>
      <c r="K656" t="n">
        <v>0</v>
      </c>
      <c r="L656" t="n">
        <v>0</v>
      </c>
      <c r="M656" t="n">
        <v>0</v>
      </c>
      <c r="N656" t="n">
        <v>0</v>
      </c>
      <c r="O656" t="n">
        <v>0</v>
      </c>
      <c r="P656" t="n">
        <v>0</v>
      </c>
      <c r="Q656" t="n">
        <v>0</v>
      </c>
      <c r="R656" s="2" t="inlineStr"/>
    </row>
    <row r="657" ht="15" customHeight="1">
      <c r="A657" t="inlineStr">
        <is>
          <t>A 58040-2024</t>
        </is>
      </c>
      <c r="B657" s="1" t="n">
        <v>45631.73952546297</v>
      </c>
      <c r="C657" s="1" t="n">
        <v>46077</v>
      </c>
      <c r="D657" t="inlineStr">
        <is>
          <t>STOCKHOLMS LÄN</t>
        </is>
      </c>
      <c r="E657" t="inlineStr">
        <is>
          <t>NORRTÄLJE</t>
        </is>
      </c>
      <c r="G657" t="n">
        <v>2.1</v>
      </c>
      <c r="H657" t="n">
        <v>0</v>
      </c>
      <c r="I657" t="n">
        <v>0</v>
      </c>
      <c r="J657" t="n">
        <v>0</v>
      </c>
      <c r="K657" t="n">
        <v>0</v>
      </c>
      <c r="L657" t="n">
        <v>0</v>
      </c>
      <c r="M657" t="n">
        <v>0</v>
      </c>
      <c r="N657" t="n">
        <v>0</v>
      </c>
      <c r="O657" t="n">
        <v>0</v>
      </c>
      <c r="P657" t="n">
        <v>0</v>
      </c>
      <c r="Q657" t="n">
        <v>0</v>
      </c>
      <c r="R657" s="2" t="inlineStr"/>
    </row>
    <row r="658" ht="15" customHeight="1">
      <c r="A658" t="inlineStr">
        <is>
          <t>A 58041-2024</t>
        </is>
      </c>
      <c r="B658" s="1" t="n">
        <v>45631.74673611111</v>
      </c>
      <c r="C658" s="1" t="n">
        <v>46077</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31057-2022</t>
        </is>
      </c>
      <c r="B659" s="1" t="n">
        <v>44769</v>
      </c>
      <c r="C659" s="1" t="n">
        <v>46077</v>
      </c>
      <c r="D659" t="inlineStr">
        <is>
          <t>STOCKHOLMS LÄN</t>
        </is>
      </c>
      <c r="E659" t="inlineStr">
        <is>
          <t>NORRTÄLJE</t>
        </is>
      </c>
      <c r="G659" t="n">
        <v>6.5</v>
      </c>
      <c r="H659" t="n">
        <v>0</v>
      </c>
      <c r="I659" t="n">
        <v>0</v>
      </c>
      <c r="J659" t="n">
        <v>0</v>
      </c>
      <c r="K659" t="n">
        <v>0</v>
      </c>
      <c r="L659" t="n">
        <v>0</v>
      </c>
      <c r="M659" t="n">
        <v>0</v>
      </c>
      <c r="N659" t="n">
        <v>0</v>
      </c>
      <c r="O659" t="n">
        <v>0</v>
      </c>
      <c r="P659" t="n">
        <v>0</v>
      </c>
      <c r="Q659" t="n">
        <v>0</v>
      </c>
      <c r="R659" s="2" t="inlineStr"/>
    </row>
    <row r="660" ht="15" customHeight="1">
      <c r="A660" t="inlineStr">
        <is>
          <t>A 10653-2022</t>
        </is>
      </c>
      <c r="B660" s="1" t="n">
        <v>44624.59434027778</v>
      </c>
      <c r="C660" s="1" t="n">
        <v>46077</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35695-2023</t>
        </is>
      </c>
      <c r="B661" s="1" t="n">
        <v>45147.65407407407</v>
      </c>
      <c r="C661" s="1" t="n">
        <v>46077</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18665-2022</t>
        </is>
      </c>
      <c r="B662" s="1" t="n">
        <v>44687</v>
      </c>
      <c r="C662" s="1" t="n">
        <v>46077</v>
      </c>
      <c r="D662" t="inlineStr">
        <is>
          <t>STOCKHOLMS LÄN</t>
        </is>
      </c>
      <c r="E662" t="inlineStr">
        <is>
          <t>NORRTÄLJE</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58302-2022</t>
        </is>
      </c>
      <c r="B663" s="1" t="n">
        <v>44901</v>
      </c>
      <c r="C663" s="1" t="n">
        <v>46077</v>
      </c>
      <c r="D663" t="inlineStr">
        <is>
          <t>STOCKHOLMS LÄN</t>
        </is>
      </c>
      <c r="E663" t="inlineStr">
        <is>
          <t>NORRTÄLJE</t>
        </is>
      </c>
      <c r="G663" t="n">
        <v>3.9</v>
      </c>
      <c r="H663" t="n">
        <v>0</v>
      </c>
      <c r="I663" t="n">
        <v>0</v>
      </c>
      <c r="J663" t="n">
        <v>0</v>
      </c>
      <c r="K663" t="n">
        <v>0</v>
      </c>
      <c r="L663" t="n">
        <v>0</v>
      </c>
      <c r="M663" t="n">
        <v>0</v>
      </c>
      <c r="N663" t="n">
        <v>0</v>
      </c>
      <c r="O663" t="n">
        <v>0</v>
      </c>
      <c r="P663" t="n">
        <v>0</v>
      </c>
      <c r="Q663" t="n">
        <v>0</v>
      </c>
      <c r="R663" s="2" t="inlineStr"/>
    </row>
    <row r="664" ht="15" customHeight="1">
      <c r="A664" t="inlineStr">
        <is>
          <t>A 17574-2025</t>
        </is>
      </c>
      <c r="B664" s="1" t="n">
        <v>45757.65178240741</v>
      </c>
      <c r="C664" s="1" t="n">
        <v>46077</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20370-2025</t>
        </is>
      </c>
      <c r="B665" s="1" t="n">
        <v>45775.41451388889</v>
      </c>
      <c r="C665" s="1" t="n">
        <v>46077</v>
      </c>
      <c r="D665" t="inlineStr">
        <is>
          <t>STOCKHOLMS LÄN</t>
        </is>
      </c>
      <c r="E665" t="inlineStr">
        <is>
          <t>NORRTÄLJE</t>
        </is>
      </c>
      <c r="G665" t="n">
        <v>2.9</v>
      </c>
      <c r="H665" t="n">
        <v>0</v>
      </c>
      <c r="I665" t="n">
        <v>0</v>
      </c>
      <c r="J665" t="n">
        <v>0</v>
      </c>
      <c r="K665" t="n">
        <v>0</v>
      </c>
      <c r="L665" t="n">
        <v>0</v>
      </c>
      <c r="M665" t="n">
        <v>0</v>
      </c>
      <c r="N665" t="n">
        <v>0</v>
      </c>
      <c r="O665" t="n">
        <v>0</v>
      </c>
      <c r="P665" t="n">
        <v>0</v>
      </c>
      <c r="Q665" t="n">
        <v>0</v>
      </c>
      <c r="R665" s="2" t="inlineStr"/>
    </row>
    <row r="666" ht="15" customHeight="1">
      <c r="A666" t="inlineStr">
        <is>
          <t>A 25619-2022</t>
        </is>
      </c>
      <c r="B666" s="1" t="n">
        <v>44732</v>
      </c>
      <c r="C666" s="1" t="n">
        <v>46077</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19982-2022</t>
        </is>
      </c>
      <c r="B667" s="1" t="n">
        <v>44697</v>
      </c>
      <c r="C667" s="1" t="n">
        <v>46077</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15422-2024</t>
        </is>
      </c>
      <c r="B668" s="1" t="n">
        <v>45401.3653125</v>
      </c>
      <c r="C668" s="1" t="n">
        <v>46077</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35438-2023</t>
        </is>
      </c>
      <c r="B669" s="1" t="n">
        <v>45146</v>
      </c>
      <c r="C669" s="1" t="n">
        <v>46077</v>
      </c>
      <c r="D669" t="inlineStr">
        <is>
          <t>STOCKHOLMS LÄN</t>
        </is>
      </c>
      <c r="E669" t="inlineStr">
        <is>
          <t>NORRTÄLJE</t>
        </is>
      </c>
      <c r="F669" t="inlineStr">
        <is>
          <t>Kommuner</t>
        </is>
      </c>
      <c r="G669" t="n">
        <v>1.9</v>
      </c>
      <c r="H669" t="n">
        <v>0</v>
      </c>
      <c r="I669" t="n">
        <v>0</v>
      </c>
      <c r="J669" t="n">
        <v>0</v>
      </c>
      <c r="K669" t="n">
        <v>0</v>
      </c>
      <c r="L669" t="n">
        <v>0</v>
      </c>
      <c r="M669" t="n">
        <v>0</v>
      </c>
      <c r="N669" t="n">
        <v>0</v>
      </c>
      <c r="O669" t="n">
        <v>0</v>
      </c>
      <c r="P669" t="n">
        <v>0</v>
      </c>
      <c r="Q669" t="n">
        <v>0</v>
      </c>
      <c r="R669" s="2" t="inlineStr"/>
    </row>
    <row r="670" ht="15" customHeight="1">
      <c r="A670" t="inlineStr">
        <is>
          <t>A 48716-2023</t>
        </is>
      </c>
      <c r="B670" s="1" t="n">
        <v>45208.69671296296</v>
      </c>
      <c r="C670" s="1" t="n">
        <v>46077</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55369-2023</t>
        </is>
      </c>
      <c r="B671" s="1" t="n">
        <v>45238</v>
      </c>
      <c r="C671" s="1" t="n">
        <v>46077</v>
      </c>
      <c r="D671" t="inlineStr">
        <is>
          <t>STOCKHOLMS LÄN</t>
        </is>
      </c>
      <c r="E671" t="inlineStr">
        <is>
          <t>NORRTÄLJE</t>
        </is>
      </c>
      <c r="G671" t="n">
        <v>0.4</v>
      </c>
      <c r="H671" t="n">
        <v>0</v>
      </c>
      <c r="I671" t="n">
        <v>0</v>
      </c>
      <c r="J671" t="n">
        <v>0</v>
      </c>
      <c r="K671" t="n">
        <v>0</v>
      </c>
      <c r="L671" t="n">
        <v>0</v>
      </c>
      <c r="M671" t="n">
        <v>0</v>
      </c>
      <c r="N671" t="n">
        <v>0</v>
      </c>
      <c r="O671" t="n">
        <v>0</v>
      </c>
      <c r="P671" t="n">
        <v>0</v>
      </c>
      <c r="Q671" t="n">
        <v>0</v>
      </c>
      <c r="R671" s="2" t="inlineStr"/>
    </row>
    <row r="672" ht="15" customHeight="1">
      <c r="A672" t="inlineStr">
        <is>
          <t>A 20121-2022</t>
        </is>
      </c>
      <c r="B672" s="1" t="n">
        <v>44698</v>
      </c>
      <c r="C672" s="1" t="n">
        <v>46077</v>
      </c>
      <c r="D672" t="inlineStr">
        <is>
          <t>STOCKHOLMS LÄN</t>
        </is>
      </c>
      <c r="E672" t="inlineStr">
        <is>
          <t>NORRTÄLJE</t>
        </is>
      </c>
      <c r="G672" t="n">
        <v>4.2</v>
      </c>
      <c r="H672" t="n">
        <v>0</v>
      </c>
      <c r="I672" t="n">
        <v>0</v>
      </c>
      <c r="J672" t="n">
        <v>0</v>
      </c>
      <c r="K672" t="n">
        <v>0</v>
      </c>
      <c r="L672" t="n">
        <v>0</v>
      </c>
      <c r="M672" t="n">
        <v>0</v>
      </c>
      <c r="N672" t="n">
        <v>0</v>
      </c>
      <c r="O672" t="n">
        <v>0</v>
      </c>
      <c r="P672" t="n">
        <v>0</v>
      </c>
      <c r="Q672" t="n">
        <v>0</v>
      </c>
      <c r="R672" s="2" t="inlineStr"/>
    </row>
    <row r="673" ht="15" customHeight="1">
      <c r="A673" t="inlineStr">
        <is>
          <t>A 33878-2024</t>
        </is>
      </c>
      <c r="B673" s="1" t="n">
        <v>45522.44414351852</v>
      </c>
      <c r="C673" s="1" t="n">
        <v>46077</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26407-2024</t>
        </is>
      </c>
      <c r="B674" s="1" t="n">
        <v>45469</v>
      </c>
      <c r="C674" s="1" t="n">
        <v>46077</v>
      </c>
      <c r="D674" t="inlineStr">
        <is>
          <t>STOCKHOLMS LÄN</t>
        </is>
      </c>
      <c r="E674" t="inlineStr">
        <is>
          <t>NORRTÄLJE</t>
        </is>
      </c>
      <c r="G674" t="n">
        <v>3.5</v>
      </c>
      <c r="H674" t="n">
        <v>0</v>
      </c>
      <c r="I674" t="n">
        <v>0</v>
      </c>
      <c r="J674" t="n">
        <v>0</v>
      </c>
      <c r="K674" t="n">
        <v>0</v>
      </c>
      <c r="L674" t="n">
        <v>0</v>
      </c>
      <c r="M674" t="n">
        <v>0</v>
      </c>
      <c r="N674" t="n">
        <v>0</v>
      </c>
      <c r="O674" t="n">
        <v>0</v>
      </c>
      <c r="P674" t="n">
        <v>0</v>
      </c>
      <c r="Q674" t="n">
        <v>0</v>
      </c>
      <c r="R674" s="2" t="inlineStr"/>
    </row>
    <row r="675" ht="15" customHeight="1">
      <c r="A675" t="inlineStr">
        <is>
          <t>A 39692-2025</t>
        </is>
      </c>
      <c r="B675" s="1" t="n">
        <v>45890.68083333333</v>
      </c>
      <c r="C675" s="1" t="n">
        <v>46077</v>
      </c>
      <c r="D675" t="inlineStr">
        <is>
          <t>STOCKHOLMS LÄN</t>
        </is>
      </c>
      <c r="E675" t="inlineStr">
        <is>
          <t>NORRTÄLJE</t>
        </is>
      </c>
      <c r="G675" t="n">
        <v>10.5</v>
      </c>
      <c r="H675" t="n">
        <v>0</v>
      </c>
      <c r="I675" t="n">
        <v>0</v>
      </c>
      <c r="J675" t="n">
        <v>0</v>
      </c>
      <c r="K675" t="n">
        <v>0</v>
      </c>
      <c r="L675" t="n">
        <v>0</v>
      </c>
      <c r="M675" t="n">
        <v>0</v>
      </c>
      <c r="N675" t="n">
        <v>0</v>
      </c>
      <c r="O675" t="n">
        <v>0</v>
      </c>
      <c r="P675" t="n">
        <v>0</v>
      </c>
      <c r="Q675" t="n">
        <v>0</v>
      </c>
      <c r="R675" s="2" t="inlineStr"/>
    </row>
    <row r="676" ht="15" customHeight="1">
      <c r="A676" t="inlineStr">
        <is>
          <t>A 10098-2022</t>
        </is>
      </c>
      <c r="B676" s="1" t="n">
        <v>44621</v>
      </c>
      <c r="C676" s="1" t="n">
        <v>46077</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27677-2025</t>
        </is>
      </c>
      <c r="B677" s="1" t="n">
        <v>45813.63650462963</v>
      </c>
      <c r="C677" s="1" t="n">
        <v>46077</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23269-2023</t>
        </is>
      </c>
      <c r="B678" s="1" t="n">
        <v>45075.91148148148</v>
      </c>
      <c r="C678" s="1" t="n">
        <v>46077</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4183-2025</t>
        </is>
      </c>
      <c r="B679" s="1" t="n">
        <v>45685.44592592592</v>
      </c>
      <c r="C679" s="1" t="n">
        <v>46077</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17556-2025</t>
        </is>
      </c>
      <c r="B680" s="1" t="n">
        <v>45757.62482638889</v>
      </c>
      <c r="C680" s="1" t="n">
        <v>46077</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49700-2023</t>
        </is>
      </c>
      <c r="B681" s="1" t="n">
        <v>45212</v>
      </c>
      <c r="C681" s="1" t="n">
        <v>46077</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41335-2023</t>
        </is>
      </c>
      <c r="B682" s="1" t="n">
        <v>45174.68702546296</v>
      </c>
      <c r="C682" s="1" t="n">
        <v>46077</v>
      </c>
      <c r="D682" t="inlineStr">
        <is>
          <t>STOCKHOLMS LÄN</t>
        </is>
      </c>
      <c r="E682" t="inlineStr">
        <is>
          <t>NORRTÄLJE</t>
        </is>
      </c>
      <c r="F682" t="inlineStr">
        <is>
          <t>Holmen skog AB</t>
        </is>
      </c>
      <c r="G682" t="n">
        <v>4.4</v>
      </c>
      <c r="H682" t="n">
        <v>0</v>
      </c>
      <c r="I682" t="n">
        <v>0</v>
      </c>
      <c r="J682" t="n">
        <v>0</v>
      </c>
      <c r="K682" t="n">
        <v>0</v>
      </c>
      <c r="L682" t="n">
        <v>0</v>
      </c>
      <c r="M682" t="n">
        <v>0</v>
      </c>
      <c r="N682" t="n">
        <v>0</v>
      </c>
      <c r="O682" t="n">
        <v>0</v>
      </c>
      <c r="P682" t="n">
        <v>0</v>
      </c>
      <c r="Q682" t="n">
        <v>0</v>
      </c>
      <c r="R682" s="2" t="inlineStr"/>
    </row>
    <row r="683" ht="15" customHeight="1">
      <c r="A683" t="inlineStr">
        <is>
          <t>A 4484-2025</t>
        </is>
      </c>
      <c r="B683" s="1" t="n">
        <v>45686.65545138889</v>
      </c>
      <c r="C683" s="1" t="n">
        <v>46077</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40230-2025</t>
        </is>
      </c>
      <c r="B684" s="1" t="n">
        <v>45894.71101851852</v>
      </c>
      <c r="C684" s="1" t="n">
        <v>46077</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8419-2025</t>
        </is>
      </c>
      <c r="B685" s="1" t="n">
        <v>45709.40231481481</v>
      </c>
      <c r="C685" s="1" t="n">
        <v>46077</v>
      </c>
      <c r="D685" t="inlineStr">
        <is>
          <t>STOCKHOLMS LÄN</t>
        </is>
      </c>
      <c r="E685" t="inlineStr">
        <is>
          <t>NORRTÄLJE</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21480-2022</t>
        </is>
      </c>
      <c r="B686" s="1" t="n">
        <v>44704</v>
      </c>
      <c r="C686" s="1" t="n">
        <v>46077</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40228-2025</t>
        </is>
      </c>
      <c r="B687" s="1" t="n">
        <v>45894.70854166667</v>
      </c>
      <c r="C687" s="1" t="n">
        <v>46077</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59875-2024</t>
        </is>
      </c>
      <c r="B688" s="1" t="n">
        <v>45640.58716435185</v>
      </c>
      <c r="C688" s="1" t="n">
        <v>46077</v>
      </c>
      <c r="D688" t="inlineStr">
        <is>
          <t>STOCKHOLMS LÄN</t>
        </is>
      </c>
      <c r="E688" t="inlineStr">
        <is>
          <t>NORRTÄLJE</t>
        </is>
      </c>
      <c r="G688" t="n">
        <v>0.3</v>
      </c>
      <c r="H688" t="n">
        <v>0</v>
      </c>
      <c r="I688" t="n">
        <v>0</v>
      </c>
      <c r="J688" t="n">
        <v>0</v>
      </c>
      <c r="K688" t="n">
        <v>0</v>
      </c>
      <c r="L688" t="n">
        <v>0</v>
      </c>
      <c r="M688" t="n">
        <v>0</v>
      </c>
      <c r="N688" t="n">
        <v>0</v>
      </c>
      <c r="O688" t="n">
        <v>0</v>
      </c>
      <c r="P688" t="n">
        <v>0</v>
      </c>
      <c r="Q688" t="n">
        <v>0</v>
      </c>
      <c r="R688" s="2" t="inlineStr"/>
    </row>
    <row r="689" ht="15" customHeight="1">
      <c r="A689" t="inlineStr">
        <is>
          <t>A 35636-2025</t>
        </is>
      </c>
      <c r="B689" s="1" t="n">
        <v>45859</v>
      </c>
      <c r="C689" s="1" t="n">
        <v>46077</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40172-2025</t>
        </is>
      </c>
      <c r="B690" s="1" t="n">
        <v>45894.6353125</v>
      </c>
      <c r="C690" s="1" t="n">
        <v>46077</v>
      </c>
      <c r="D690" t="inlineStr">
        <is>
          <t>STOCKHOLMS LÄN</t>
        </is>
      </c>
      <c r="E690" t="inlineStr">
        <is>
          <t>NORRTÄLJE</t>
        </is>
      </c>
      <c r="G690" t="n">
        <v>6</v>
      </c>
      <c r="H690" t="n">
        <v>0</v>
      </c>
      <c r="I690" t="n">
        <v>0</v>
      </c>
      <c r="J690" t="n">
        <v>0</v>
      </c>
      <c r="K690" t="n">
        <v>0</v>
      </c>
      <c r="L690" t="n">
        <v>0</v>
      </c>
      <c r="M690" t="n">
        <v>0</v>
      </c>
      <c r="N690" t="n">
        <v>0</v>
      </c>
      <c r="O690" t="n">
        <v>0</v>
      </c>
      <c r="P690" t="n">
        <v>0</v>
      </c>
      <c r="Q690" t="n">
        <v>0</v>
      </c>
      <c r="R690" s="2" t="inlineStr"/>
    </row>
    <row r="691" ht="15" customHeight="1">
      <c r="A691" t="inlineStr">
        <is>
          <t>A 1654-2025</t>
        </is>
      </c>
      <c r="B691" s="1" t="n">
        <v>45670.65921296296</v>
      </c>
      <c r="C691" s="1" t="n">
        <v>46077</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45220-2024</t>
        </is>
      </c>
      <c r="B692" s="1" t="n">
        <v>45575</v>
      </c>
      <c r="C692" s="1" t="n">
        <v>46077</v>
      </c>
      <c r="D692" t="inlineStr">
        <is>
          <t>STOCKHOLMS LÄN</t>
        </is>
      </c>
      <c r="E692" t="inlineStr">
        <is>
          <t>NORRTÄLJE</t>
        </is>
      </c>
      <c r="G692" t="n">
        <v>4.3</v>
      </c>
      <c r="H692" t="n">
        <v>0</v>
      </c>
      <c r="I692" t="n">
        <v>0</v>
      </c>
      <c r="J692" t="n">
        <v>0</v>
      </c>
      <c r="K692" t="n">
        <v>0</v>
      </c>
      <c r="L692" t="n">
        <v>0</v>
      </c>
      <c r="M692" t="n">
        <v>0</v>
      </c>
      <c r="N692" t="n">
        <v>0</v>
      </c>
      <c r="O692" t="n">
        <v>0</v>
      </c>
      <c r="P692" t="n">
        <v>0</v>
      </c>
      <c r="Q692" t="n">
        <v>0</v>
      </c>
      <c r="R692" s="2" t="inlineStr"/>
    </row>
    <row r="693" ht="15" customHeight="1">
      <c r="A693" t="inlineStr">
        <is>
          <t>A 40033-2025</t>
        </is>
      </c>
      <c r="B693" s="1" t="n">
        <v>45893</v>
      </c>
      <c r="C693" s="1" t="n">
        <v>46077</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40217-2025</t>
        </is>
      </c>
      <c r="B694" s="1" t="n">
        <v>45894.68864583333</v>
      </c>
      <c r="C694" s="1" t="n">
        <v>46077</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35639-2025</t>
        </is>
      </c>
      <c r="B695" s="1" t="n">
        <v>45859</v>
      </c>
      <c r="C695" s="1" t="n">
        <v>46077</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48686-2023</t>
        </is>
      </c>
      <c r="B696" s="1" t="n">
        <v>45208</v>
      </c>
      <c r="C696" s="1" t="n">
        <v>46077</v>
      </c>
      <c r="D696" t="inlineStr">
        <is>
          <t>STOCKHOLMS LÄN</t>
        </is>
      </c>
      <c r="E696" t="inlineStr">
        <is>
          <t>NORRTÄLJE</t>
        </is>
      </c>
      <c r="G696" t="n">
        <v>6</v>
      </c>
      <c r="H696" t="n">
        <v>0</v>
      </c>
      <c r="I696" t="n">
        <v>0</v>
      </c>
      <c r="J696" t="n">
        <v>0</v>
      </c>
      <c r="K696" t="n">
        <v>0</v>
      </c>
      <c r="L696" t="n">
        <v>0</v>
      </c>
      <c r="M696" t="n">
        <v>0</v>
      </c>
      <c r="N696" t="n">
        <v>0</v>
      </c>
      <c r="O696" t="n">
        <v>0</v>
      </c>
      <c r="P696" t="n">
        <v>0</v>
      </c>
      <c r="Q696" t="n">
        <v>0</v>
      </c>
      <c r="R696" s="2" t="inlineStr"/>
    </row>
    <row r="697" ht="15" customHeight="1">
      <c r="A697" t="inlineStr">
        <is>
          <t>A 48691-2023</t>
        </is>
      </c>
      <c r="B697" s="1" t="n">
        <v>45208</v>
      </c>
      <c r="C697" s="1" t="n">
        <v>46077</v>
      </c>
      <c r="D697" t="inlineStr">
        <is>
          <t>STOCKHOLMS LÄN</t>
        </is>
      </c>
      <c r="E697" t="inlineStr">
        <is>
          <t>NORRTÄLJE</t>
        </is>
      </c>
      <c r="G697" t="n">
        <v>5.8</v>
      </c>
      <c r="H697" t="n">
        <v>0</v>
      </c>
      <c r="I697" t="n">
        <v>0</v>
      </c>
      <c r="J697" t="n">
        <v>0</v>
      </c>
      <c r="K697" t="n">
        <v>0</v>
      </c>
      <c r="L697" t="n">
        <v>0</v>
      </c>
      <c r="M697" t="n">
        <v>0</v>
      </c>
      <c r="N697" t="n">
        <v>0</v>
      </c>
      <c r="O697" t="n">
        <v>0</v>
      </c>
      <c r="P697" t="n">
        <v>0</v>
      </c>
      <c r="Q697" t="n">
        <v>0</v>
      </c>
      <c r="R697" s="2" t="inlineStr"/>
    </row>
    <row r="698" ht="15" customHeight="1">
      <c r="A698" t="inlineStr">
        <is>
          <t>A 40032-2025</t>
        </is>
      </c>
      <c r="B698" s="1" t="n">
        <v>45893</v>
      </c>
      <c r="C698" s="1" t="n">
        <v>46077</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40097-2025</t>
        </is>
      </c>
      <c r="B699" s="1" t="n">
        <v>45894.48322916667</v>
      </c>
      <c r="C699" s="1" t="n">
        <v>46077</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55243-2023</t>
        </is>
      </c>
      <c r="B700" s="1" t="n">
        <v>45237</v>
      </c>
      <c r="C700" s="1" t="n">
        <v>46077</v>
      </c>
      <c r="D700" t="inlineStr">
        <is>
          <t>STOCKHOLMS LÄN</t>
        </is>
      </c>
      <c r="E700" t="inlineStr">
        <is>
          <t>NORRTÄLJE</t>
        </is>
      </c>
      <c r="G700" t="n">
        <v>6.5</v>
      </c>
      <c r="H700" t="n">
        <v>0</v>
      </c>
      <c r="I700" t="n">
        <v>0</v>
      </c>
      <c r="J700" t="n">
        <v>0</v>
      </c>
      <c r="K700" t="n">
        <v>0</v>
      </c>
      <c r="L700" t="n">
        <v>0</v>
      </c>
      <c r="M700" t="n">
        <v>0</v>
      </c>
      <c r="N700" t="n">
        <v>0</v>
      </c>
      <c r="O700" t="n">
        <v>0</v>
      </c>
      <c r="P700" t="n">
        <v>0</v>
      </c>
      <c r="Q700" t="n">
        <v>0</v>
      </c>
      <c r="R700" s="2" t="inlineStr"/>
    </row>
    <row r="701" ht="15" customHeight="1">
      <c r="A701" t="inlineStr">
        <is>
          <t>A 4658-2024</t>
        </is>
      </c>
      <c r="B701" s="1" t="n">
        <v>45328.46336805556</v>
      </c>
      <c r="C701" s="1" t="n">
        <v>46077</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35210-2023</t>
        </is>
      </c>
      <c r="B702" s="1" t="n">
        <v>45145.63584490741</v>
      </c>
      <c r="C702" s="1" t="n">
        <v>46077</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48145-2024</t>
        </is>
      </c>
      <c r="B703" s="1" t="n">
        <v>45589.6756712963</v>
      </c>
      <c r="C703" s="1" t="n">
        <v>46077</v>
      </c>
      <c r="D703" t="inlineStr">
        <is>
          <t>STOCKHOLMS LÄN</t>
        </is>
      </c>
      <c r="E703" t="inlineStr">
        <is>
          <t>NORRTÄLJE</t>
        </is>
      </c>
      <c r="G703" t="n">
        <v>3.4</v>
      </c>
      <c r="H703" t="n">
        <v>0</v>
      </c>
      <c r="I703" t="n">
        <v>0</v>
      </c>
      <c r="J703" t="n">
        <v>0</v>
      </c>
      <c r="K703" t="n">
        <v>0</v>
      </c>
      <c r="L703" t="n">
        <v>0</v>
      </c>
      <c r="M703" t="n">
        <v>0</v>
      </c>
      <c r="N703" t="n">
        <v>0</v>
      </c>
      <c r="O703" t="n">
        <v>0</v>
      </c>
      <c r="P703" t="n">
        <v>0</v>
      </c>
      <c r="Q703" t="n">
        <v>0</v>
      </c>
      <c r="R703" s="2" t="inlineStr"/>
    </row>
    <row r="704" ht="15" customHeight="1">
      <c r="A704" t="inlineStr">
        <is>
          <t>A 40529-2025</t>
        </is>
      </c>
      <c r="B704" s="1" t="n">
        <v>45896.38466435186</v>
      </c>
      <c r="C704" s="1" t="n">
        <v>46077</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6678-2025</t>
        </is>
      </c>
      <c r="B705" s="1" t="n">
        <v>45700</v>
      </c>
      <c r="C705" s="1" t="n">
        <v>46077</v>
      </c>
      <c r="D705" t="inlineStr">
        <is>
          <t>STOCKHOLMS LÄN</t>
        </is>
      </c>
      <c r="E705" t="inlineStr">
        <is>
          <t>NORRTÄLJE</t>
        </is>
      </c>
      <c r="F705" t="inlineStr">
        <is>
          <t>Övriga Aktiebolag</t>
        </is>
      </c>
      <c r="G705" t="n">
        <v>6.6</v>
      </c>
      <c r="H705" t="n">
        <v>0</v>
      </c>
      <c r="I705" t="n">
        <v>0</v>
      </c>
      <c r="J705" t="n">
        <v>0</v>
      </c>
      <c r="K705" t="n">
        <v>0</v>
      </c>
      <c r="L705" t="n">
        <v>0</v>
      </c>
      <c r="M705" t="n">
        <v>0</v>
      </c>
      <c r="N705" t="n">
        <v>0</v>
      </c>
      <c r="O705" t="n">
        <v>0</v>
      </c>
      <c r="P705" t="n">
        <v>0</v>
      </c>
      <c r="Q705" t="n">
        <v>0</v>
      </c>
      <c r="R705" s="2" t="inlineStr"/>
    </row>
    <row r="706" ht="15" customHeight="1">
      <c r="A706" t="inlineStr">
        <is>
          <t>A 10642-2025</t>
        </is>
      </c>
      <c r="B706" s="1" t="n">
        <v>45721.65858796296</v>
      </c>
      <c r="C706" s="1" t="n">
        <v>46077</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40292-2025</t>
        </is>
      </c>
      <c r="B707" s="1" t="n">
        <v>45895.3867824074</v>
      </c>
      <c r="C707" s="1" t="n">
        <v>46077</v>
      </c>
      <c r="D707" t="inlineStr">
        <is>
          <t>STOCKHOLMS LÄN</t>
        </is>
      </c>
      <c r="E707" t="inlineStr">
        <is>
          <t>NORRTÄLJE</t>
        </is>
      </c>
      <c r="G707" t="n">
        <v>3.5</v>
      </c>
      <c r="H707" t="n">
        <v>0</v>
      </c>
      <c r="I707" t="n">
        <v>0</v>
      </c>
      <c r="J707" t="n">
        <v>0</v>
      </c>
      <c r="K707" t="n">
        <v>0</v>
      </c>
      <c r="L707" t="n">
        <v>0</v>
      </c>
      <c r="M707" t="n">
        <v>0</v>
      </c>
      <c r="N707" t="n">
        <v>0</v>
      </c>
      <c r="O707" t="n">
        <v>0</v>
      </c>
      <c r="P707" t="n">
        <v>0</v>
      </c>
      <c r="Q707" t="n">
        <v>0</v>
      </c>
      <c r="R707" s="2" t="inlineStr"/>
    </row>
    <row r="708" ht="15" customHeight="1">
      <c r="A708" t="inlineStr">
        <is>
          <t>A 40294-2025</t>
        </is>
      </c>
      <c r="B708" s="1" t="n">
        <v>45895.38778935185</v>
      </c>
      <c r="C708" s="1" t="n">
        <v>46077</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24024-2024</t>
        </is>
      </c>
      <c r="B709" s="1" t="n">
        <v>45456</v>
      </c>
      <c r="C709" s="1" t="n">
        <v>46077</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17612-2022</t>
        </is>
      </c>
      <c r="B710" s="1" t="n">
        <v>44680</v>
      </c>
      <c r="C710" s="1" t="n">
        <v>46077</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23060-2023</t>
        </is>
      </c>
      <c r="B711" s="1" t="n">
        <v>45075</v>
      </c>
      <c r="C711" s="1" t="n">
        <v>46077</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41275-2025</t>
        </is>
      </c>
      <c r="B712" s="1" t="n">
        <v>45898.62625</v>
      </c>
      <c r="C712" s="1" t="n">
        <v>46077</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40837-2025</t>
        </is>
      </c>
      <c r="B713" s="1" t="n">
        <v>45897.51328703704</v>
      </c>
      <c r="C713" s="1" t="n">
        <v>46077</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41030-2025</t>
        </is>
      </c>
      <c r="B714" s="1" t="n">
        <v>45898.37636574074</v>
      </c>
      <c r="C714" s="1" t="n">
        <v>46077</v>
      </c>
      <c r="D714" t="inlineStr">
        <is>
          <t>STOCKHOLMS LÄN</t>
        </is>
      </c>
      <c r="E714" t="inlineStr">
        <is>
          <t>NORRTÄLJE</t>
        </is>
      </c>
      <c r="F714" t="inlineStr">
        <is>
          <t>Holmen skog AB</t>
        </is>
      </c>
      <c r="G714" t="n">
        <v>2.6</v>
      </c>
      <c r="H714" t="n">
        <v>0</v>
      </c>
      <c r="I714" t="n">
        <v>0</v>
      </c>
      <c r="J714" t="n">
        <v>0</v>
      </c>
      <c r="K714" t="n">
        <v>0</v>
      </c>
      <c r="L714" t="n">
        <v>0</v>
      </c>
      <c r="M714" t="n">
        <v>0</v>
      </c>
      <c r="N714" t="n">
        <v>0</v>
      </c>
      <c r="O714" t="n">
        <v>0</v>
      </c>
      <c r="P714" t="n">
        <v>0</v>
      </c>
      <c r="Q714" t="n">
        <v>0</v>
      </c>
      <c r="R714" s="2" t="inlineStr"/>
    </row>
    <row r="715" ht="15" customHeight="1">
      <c r="A715" t="inlineStr">
        <is>
          <t>A 41158-2025</t>
        </is>
      </c>
      <c r="B715" s="1" t="n">
        <v>45898.5315625</v>
      </c>
      <c r="C715" s="1" t="n">
        <v>46077</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41301-2025</t>
        </is>
      </c>
      <c r="B716" s="1" t="n">
        <v>45898.68826388889</v>
      </c>
      <c r="C716" s="1" t="n">
        <v>46077</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41106-2025</t>
        </is>
      </c>
      <c r="B717" s="1" t="n">
        <v>45898.45636574074</v>
      </c>
      <c r="C717" s="1" t="n">
        <v>46077</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41174-2025</t>
        </is>
      </c>
      <c r="B718" s="1" t="n">
        <v>45898.54921296296</v>
      </c>
      <c r="C718" s="1" t="n">
        <v>46077</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41110-2025</t>
        </is>
      </c>
      <c r="B719" s="1" t="n">
        <v>45898.45976851852</v>
      </c>
      <c r="C719" s="1" t="n">
        <v>46077</v>
      </c>
      <c r="D719" t="inlineStr">
        <is>
          <t>STOCKHOLMS LÄN</t>
        </is>
      </c>
      <c r="E719" t="inlineStr">
        <is>
          <t>NORRTÄLJE</t>
        </is>
      </c>
      <c r="F719" t="inlineStr">
        <is>
          <t>Holmen skog AB</t>
        </is>
      </c>
      <c r="G719" t="n">
        <v>6.7</v>
      </c>
      <c r="H719" t="n">
        <v>0</v>
      </c>
      <c r="I719" t="n">
        <v>0</v>
      </c>
      <c r="J719" t="n">
        <v>0</v>
      </c>
      <c r="K719" t="n">
        <v>0</v>
      </c>
      <c r="L719" t="n">
        <v>0</v>
      </c>
      <c r="M719" t="n">
        <v>0</v>
      </c>
      <c r="N719" t="n">
        <v>0</v>
      </c>
      <c r="O719" t="n">
        <v>0</v>
      </c>
      <c r="P719" t="n">
        <v>0</v>
      </c>
      <c r="Q719" t="n">
        <v>0</v>
      </c>
      <c r="R719" s="2" t="inlineStr"/>
    </row>
    <row r="720" ht="15" customHeight="1">
      <c r="A720" t="inlineStr">
        <is>
          <t>A 52743-2024</t>
        </is>
      </c>
      <c r="B720" s="1" t="n">
        <v>45610.47414351852</v>
      </c>
      <c r="C720" s="1" t="n">
        <v>46077</v>
      </c>
      <c r="D720" t="inlineStr">
        <is>
          <t>STOCKHOLMS LÄN</t>
        </is>
      </c>
      <c r="E720" t="inlineStr">
        <is>
          <t>NORRTÄLJE</t>
        </is>
      </c>
      <c r="G720" t="n">
        <v>1.5</v>
      </c>
      <c r="H720" t="n">
        <v>0</v>
      </c>
      <c r="I720" t="n">
        <v>0</v>
      </c>
      <c r="J720" t="n">
        <v>0</v>
      </c>
      <c r="K720" t="n">
        <v>0</v>
      </c>
      <c r="L720" t="n">
        <v>0</v>
      </c>
      <c r="M720" t="n">
        <v>0</v>
      </c>
      <c r="N720" t="n">
        <v>0</v>
      </c>
      <c r="O720" t="n">
        <v>0</v>
      </c>
      <c r="P720" t="n">
        <v>0</v>
      </c>
      <c r="Q720" t="n">
        <v>0</v>
      </c>
      <c r="R720" s="2" t="inlineStr"/>
    </row>
    <row r="721" ht="15" customHeight="1">
      <c r="A721" t="inlineStr">
        <is>
          <t>A 41259-2025</t>
        </is>
      </c>
      <c r="B721" s="1" t="n">
        <v>45898.61054398148</v>
      </c>
      <c r="C721" s="1" t="n">
        <v>46077</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41053-2025</t>
        </is>
      </c>
      <c r="B722" s="1" t="n">
        <v>45898.40480324074</v>
      </c>
      <c r="C722" s="1" t="n">
        <v>46077</v>
      </c>
      <c r="D722" t="inlineStr">
        <is>
          <t>STOCKHOLMS LÄN</t>
        </is>
      </c>
      <c r="E722" t="inlineStr">
        <is>
          <t>NORRTÄLJE</t>
        </is>
      </c>
      <c r="F722" t="inlineStr">
        <is>
          <t>Holmen skog AB</t>
        </is>
      </c>
      <c r="G722" t="n">
        <v>2.5</v>
      </c>
      <c r="H722" t="n">
        <v>0</v>
      </c>
      <c r="I722" t="n">
        <v>0</v>
      </c>
      <c r="J722" t="n">
        <v>0</v>
      </c>
      <c r="K722" t="n">
        <v>0</v>
      </c>
      <c r="L722" t="n">
        <v>0</v>
      </c>
      <c r="M722" t="n">
        <v>0</v>
      </c>
      <c r="N722" t="n">
        <v>0</v>
      </c>
      <c r="O722" t="n">
        <v>0</v>
      </c>
      <c r="P722" t="n">
        <v>0</v>
      </c>
      <c r="Q722" t="n">
        <v>0</v>
      </c>
      <c r="R722" s="2" t="inlineStr"/>
    </row>
    <row r="723" ht="15" customHeight="1">
      <c r="A723" t="inlineStr">
        <is>
          <t>A 35532-2024</t>
        </is>
      </c>
      <c r="B723" s="1" t="n">
        <v>45531</v>
      </c>
      <c r="C723" s="1" t="n">
        <v>46077</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40829-2025</t>
        </is>
      </c>
      <c r="B724" s="1" t="n">
        <v>45897.50802083333</v>
      </c>
      <c r="C724" s="1" t="n">
        <v>46077</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40831-2025</t>
        </is>
      </c>
      <c r="B725" s="1" t="n">
        <v>45897.51077546296</v>
      </c>
      <c r="C725" s="1" t="n">
        <v>46077</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21291-2021</t>
        </is>
      </c>
      <c r="B726" s="1" t="n">
        <v>44319</v>
      </c>
      <c r="C726" s="1" t="n">
        <v>46077</v>
      </c>
      <c r="D726" t="inlineStr">
        <is>
          <t>STOCKHOLMS LÄN</t>
        </is>
      </c>
      <c r="E726" t="inlineStr">
        <is>
          <t>NORRTÄLJE</t>
        </is>
      </c>
      <c r="G726" t="n">
        <v>12.7</v>
      </c>
      <c r="H726" t="n">
        <v>0</v>
      </c>
      <c r="I726" t="n">
        <v>0</v>
      </c>
      <c r="J726" t="n">
        <v>0</v>
      </c>
      <c r="K726" t="n">
        <v>0</v>
      </c>
      <c r="L726" t="n">
        <v>0</v>
      </c>
      <c r="M726" t="n">
        <v>0</v>
      </c>
      <c r="N726" t="n">
        <v>0</v>
      </c>
      <c r="O726" t="n">
        <v>0</v>
      </c>
      <c r="P726" t="n">
        <v>0</v>
      </c>
      <c r="Q726" t="n">
        <v>0</v>
      </c>
      <c r="R726" s="2" t="inlineStr"/>
    </row>
    <row r="727" ht="15" customHeight="1">
      <c r="A727" t="inlineStr">
        <is>
          <t>A 41272-2025</t>
        </is>
      </c>
      <c r="B727" s="1" t="n">
        <v>45898.62373842593</v>
      </c>
      <c r="C727" s="1" t="n">
        <v>46077</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19118-2022</t>
        </is>
      </c>
      <c r="B728" s="1" t="n">
        <v>44691.5652662037</v>
      </c>
      <c r="C728" s="1" t="n">
        <v>46077</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22421-2021</t>
        </is>
      </c>
      <c r="B729" s="1" t="n">
        <v>44326</v>
      </c>
      <c r="C729" s="1" t="n">
        <v>46077</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11499-2023</t>
        </is>
      </c>
      <c r="B730" s="1" t="n">
        <v>44993.66707175926</v>
      </c>
      <c r="C730" s="1" t="n">
        <v>46077</v>
      </c>
      <c r="D730" t="inlineStr">
        <is>
          <t>STOCKHOLMS LÄN</t>
        </is>
      </c>
      <c r="E730" t="inlineStr">
        <is>
          <t>NORRTÄLJE</t>
        </is>
      </c>
      <c r="F730" t="inlineStr">
        <is>
          <t>Holmen skog AB</t>
        </is>
      </c>
      <c r="G730" t="n">
        <v>2.8</v>
      </c>
      <c r="H730" t="n">
        <v>0</v>
      </c>
      <c r="I730" t="n">
        <v>0</v>
      </c>
      <c r="J730" t="n">
        <v>0</v>
      </c>
      <c r="K730" t="n">
        <v>0</v>
      </c>
      <c r="L730" t="n">
        <v>0</v>
      </c>
      <c r="M730" t="n">
        <v>0</v>
      </c>
      <c r="N730" t="n">
        <v>0</v>
      </c>
      <c r="O730" t="n">
        <v>0</v>
      </c>
      <c r="P730" t="n">
        <v>0</v>
      </c>
      <c r="Q730" t="n">
        <v>0</v>
      </c>
      <c r="R730" s="2" t="inlineStr"/>
    </row>
    <row r="731" ht="15" customHeight="1">
      <c r="A731" t="inlineStr">
        <is>
          <t>A 59893-2022</t>
        </is>
      </c>
      <c r="B731" s="1" t="n">
        <v>44908.77368055555</v>
      </c>
      <c r="C731" s="1" t="n">
        <v>46077</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41036-2025</t>
        </is>
      </c>
      <c r="B732" s="1" t="n">
        <v>45898.38552083333</v>
      </c>
      <c r="C732" s="1" t="n">
        <v>46077</v>
      </c>
      <c r="D732" t="inlineStr">
        <is>
          <t>STOCKHOLMS LÄN</t>
        </is>
      </c>
      <c r="E732" t="inlineStr">
        <is>
          <t>NORRTÄLJE</t>
        </is>
      </c>
      <c r="F732" t="inlineStr">
        <is>
          <t>Holmen skog AB</t>
        </is>
      </c>
      <c r="G732" t="n">
        <v>2.7</v>
      </c>
      <c r="H732" t="n">
        <v>0</v>
      </c>
      <c r="I732" t="n">
        <v>0</v>
      </c>
      <c r="J732" t="n">
        <v>0</v>
      </c>
      <c r="K732" t="n">
        <v>0</v>
      </c>
      <c r="L732" t="n">
        <v>0</v>
      </c>
      <c r="M732" t="n">
        <v>0</v>
      </c>
      <c r="N732" t="n">
        <v>0</v>
      </c>
      <c r="O732" t="n">
        <v>0</v>
      </c>
      <c r="P732" t="n">
        <v>0</v>
      </c>
      <c r="Q732" t="n">
        <v>0</v>
      </c>
      <c r="R732" s="2" t="inlineStr"/>
    </row>
    <row r="733" ht="15" customHeight="1">
      <c r="A733" t="inlineStr">
        <is>
          <t>A 64600-2021</t>
        </is>
      </c>
      <c r="B733" s="1" t="n">
        <v>44511.70518518519</v>
      </c>
      <c r="C733" s="1" t="n">
        <v>46077</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35640-2024</t>
        </is>
      </c>
      <c r="B734" s="1" t="n">
        <v>45531</v>
      </c>
      <c r="C734" s="1" t="n">
        <v>46077</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19058-2024</t>
        </is>
      </c>
      <c r="B735" s="1" t="n">
        <v>45427.89121527778</v>
      </c>
      <c r="C735" s="1" t="n">
        <v>46077</v>
      </c>
      <c r="D735" t="inlineStr">
        <is>
          <t>STOCKHOLMS LÄN</t>
        </is>
      </c>
      <c r="E735" t="inlineStr">
        <is>
          <t>NORRTÄLJE</t>
        </is>
      </c>
      <c r="G735" t="n">
        <v>1.2</v>
      </c>
      <c r="H735" t="n">
        <v>0</v>
      </c>
      <c r="I735" t="n">
        <v>0</v>
      </c>
      <c r="J735" t="n">
        <v>0</v>
      </c>
      <c r="K735" t="n">
        <v>0</v>
      </c>
      <c r="L735" t="n">
        <v>0</v>
      </c>
      <c r="M735" t="n">
        <v>0</v>
      </c>
      <c r="N735" t="n">
        <v>0</v>
      </c>
      <c r="O735" t="n">
        <v>0</v>
      </c>
      <c r="P735" t="n">
        <v>0</v>
      </c>
      <c r="Q735" t="n">
        <v>0</v>
      </c>
      <c r="R735" s="2" t="inlineStr"/>
    </row>
    <row r="736" ht="15" customHeight="1">
      <c r="A736" t="inlineStr">
        <is>
          <t>A 8586-2023</t>
        </is>
      </c>
      <c r="B736" s="1" t="n">
        <v>44977</v>
      </c>
      <c r="C736" s="1" t="n">
        <v>46077</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9469-2021</t>
        </is>
      </c>
      <c r="B737" s="1" t="n">
        <v>44251</v>
      </c>
      <c r="C737" s="1" t="n">
        <v>46077</v>
      </c>
      <c r="D737" t="inlineStr">
        <is>
          <t>STOCKHOLMS LÄN</t>
        </is>
      </c>
      <c r="E737" t="inlineStr">
        <is>
          <t>NORRTÄLJE</t>
        </is>
      </c>
      <c r="G737" t="n">
        <v>2.5</v>
      </c>
      <c r="H737" t="n">
        <v>0</v>
      </c>
      <c r="I737" t="n">
        <v>0</v>
      </c>
      <c r="J737" t="n">
        <v>0</v>
      </c>
      <c r="K737" t="n">
        <v>0</v>
      </c>
      <c r="L737" t="n">
        <v>0</v>
      </c>
      <c r="M737" t="n">
        <v>0</v>
      </c>
      <c r="N737" t="n">
        <v>0</v>
      </c>
      <c r="O737" t="n">
        <v>0</v>
      </c>
      <c r="P737" t="n">
        <v>0</v>
      </c>
      <c r="Q737" t="n">
        <v>0</v>
      </c>
      <c r="R737" s="2" t="inlineStr"/>
    </row>
    <row r="738" ht="15" customHeight="1">
      <c r="A738" t="inlineStr">
        <is>
          <t>A 67990-2021</t>
        </is>
      </c>
      <c r="B738" s="1" t="n">
        <v>44525</v>
      </c>
      <c r="C738" s="1" t="n">
        <v>46077</v>
      </c>
      <c r="D738" t="inlineStr">
        <is>
          <t>STOCKHOLMS LÄN</t>
        </is>
      </c>
      <c r="E738" t="inlineStr">
        <is>
          <t>NORRTÄLJE</t>
        </is>
      </c>
      <c r="F738" t="inlineStr">
        <is>
          <t>Sveaskog</t>
        </is>
      </c>
      <c r="G738" t="n">
        <v>7.8</v>
      </c>
      <c r="H738" t="n">
        <v>0</v>
      </c>
      <c r="I738" t="n">
        <v>0</v>
      </c>
      <c r="J738" t="n">
        <v>0</v>
      </c>
      <c r="K738" t="n">
        <v>0</v>
      </c>
      <c r="L738" t="n">
        <v>0</v>
      </c>
      <c r="M738" t="n">
        <v>0</v>
      </c>
      <c r="N738" t="n">
        <v>0</v>
      </c>
      <c r="O738" t="n">
        <v>0</v>
      </c>
      <c r="P738" t="n">
        <v>0</v>
      </c>
      <c r="Q738" t="n">
        <v>0</v>
      </c>
      <c r="R738" s="2" t="inlineStr"/>
    </row>
    <row r="739" ht="15" customHeight="1">
      <c r="A739" t="inlineStr">
        <is>
          <t>A 19057-2024</t>
        </is>
      </c>
      <c r="B739" s="1" t="n">
        <v>45427.88731481481</v>
      </c>
      <c r="C739" s="1" t="n">
        <v>46077</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33226-2024</t>
        </is>
      </c>
      <c r="B740" s="1" t="n">
        <v>45518</v>
      </c>
      <c r="C740" s="1" t="n">
        <v>46077</v>
      </c>
      <c r="D740" t="inlineStr">
        <is>
          <t>STOCKHOLMS LÄN</t>
        </is>
      </c>
      <c r="E740" t="inlineStr">
        <is>
          <t>NORRTÄLJE</t>
        </is>
      </c>
      <c r="G740" t="n">
        <v>13.8</v>
      </c>
      <c r="H740" t="n">
        <v>0</v>
      </c>
      <c r="I740" t="n">
        <v>0</v>
      </c>
      <c r="J740" t="n">
        <v>0</v>
      </c>
      <c r="K740" t="n">
        <v>0</v>
      </c>
      <c r="L740" t="n">
        <v>0</v>
      </c>
      <c r="M740" t="n">
        <v>0</v>
      </c>
      <c r="N740" t="n">
        <v>0</v>
      </c>
      <c r="O740" t="n">
        <v>0</v>
      </c>
      <c r="P740" t="n">
        <v>0</v>
      </c>
      <c r="Q740" t="n">
        <v>0</v>
      </c>
      <c r="R740" s="2" t="inlineStr"/>
    </row>
    <row r="741" ht="15" customHeight="1">
      <c r="A741" t="inlineStr">
        <is>
          <t>A 15733-2025</t>
        </is>
      </c>
      <c r="B741" s="1" t="n">
        <v>45748</v>
      </c>
      <c r="C741" s="1" t="n">
        <v>46077</v>
      </c>
      <c r="D741" t="inlineStr">
        <is>
          <t>STOCKHOLMS LÄN</t>
        </is>
      </c>
      <c r="E741" t="inlineStr">
        <is>
          <t>NORRTÄLJE</t>
        </is>
      </c>
      <c r="G741" t="n">
        <v>13.3</v>
      </c>
      <c r="H741" t="n">
        <v>0</v>
      </c>
      <c r="I741" t="n">
        <v>0</v>
      </c>
      <c r="J741" t="n">
        <v>0</v>
      </c>
      <c r="K741" t="n">
        <v>0</v>
      </c>
      <c r="L741" t="n">
        <v>0</v>
      </c>
      <c r="M741" t="n">
        <v>0</v>
      </c>
      <c r="N741" t="n">
        <v>0</v>
      </c>
      <c r="O741" t="n">
        <v>0</v>
      </c>
      <c r="P741" t="n">
        <v>0</v>
      </c>
      <c r="Q741" t="n">
        <v>0</v>
      </c>
      <c r="R741" s="2" t="inlineStr"/>
    </row>
    <row r="742" ht="15" customHeight="1">
      <c r="A742" t="inlineStr">
        <is>
          <t>A 10511-2025</t>
        </is>
      </c>
      <c r="B742" s="1" t="n">
        <v>45721.40780092592</v>
      </c>
      <c r="C742" s="1" t="n">
        <v>46077</v>
      </c>
      <c r="D742" t="inlineStr">
        <is>
          <t>STOCKHOLMS LÄN</t>
        </is>
      </c>
      <c r="E742" t="inlineStr">
        <is>
          <t>NORRTÄLJE</t>
        </is>
      </c>
      <c r="G742" t="n">
        <v>2.6</v>
      </c>
      <c r="H742" t="n">
        <v>0</v>
      </c>
      <c r="I742" t="n">
        <v>0</v>
      </c>
      <c r="J742" t="n">
        <v>0</v>
      </c>
      <c r="K742" t="n">
        <v>0</v>
      </c>
      <c r="L742" t="n">
        <v>0</v>
      </c>
      <c r="M742" t="n">
        <v>0</v>
      </c>
      <c r="N742" t="n">
        <v>0</v>
      </c>
      <c r="O742" t="n">
        <v>0</v>
      </c>
      <c r="P742" t="n">
        <v>0</v>
      </c>
      <c r="Q742" t="n">
        <v>0</v>
      </c>
      <c r="R742" s="2" t="inlineStr"/>
    </row>
    <row r="743" ht="15" customHeight="1">
      <c r="A743" t="inlineStr">
        <is>
          <t>A 16980-2023</t>
        </is>
      </c>
      <c r="B743" s="1" t="n">
        <v>45033</v>
      </c>
      <c r="C743" s="1" t="n">
        <v>46077</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42038-2025</t>
        </is>
      </c>
      <c r="B744" s="1" t="n">
        <v>45903.61431712963</v>
      </c>
      <c r="C744" s="1" t="n">
        <v>46077</v>
      </c>
      <c r="D744" t="inlineStr">
        <is>
          <t>STOCKHOLMS LÄN</t>
        </is>
      </c>
      <c r="E744" t="inlineStr">
        <is>
          <t>NORRTÄLJE</t>
        </is>
      </c>
      <c r="F744" t="inlineStr">
        <is>
          <t>Sveaskog</t>
        </is>
      </c>
      <c r="G744" t="n">
        <v>6.4</v>
      </c>
      <c r="H744" t="n">
        <v>0</v>
      </c>
      <c r="I744" t="n">
        <v>0</v>
      </c>
      <c r="J744" t="n">
        <v>0</v>
      </c>
      <c r="K744" t="n">
        <v>0</v>
      </c>
      <c r="L744" t="n">
        <v>0</v>
      </c>
      <c r="M744" t="n">
        <v>0</v>
      </c>
      <c r="N744" t="n">
        <v>0</v>
      </c>
      <c r="O744" t="n">
        <v>0</v>
      </c>
      <c r="P744" t="n">
        <v>0</v>
      </c>
      <c r="Q744" t="n">
        <v>0</v>
      </c>
      <c r="R744" s="2" t="inlineStr"/>
    </row>
    <row r="745" ht="15" customHeight="1">
      <c r="A745" t="inlineStr">
        <is>
          <t>A 31107-2022</t>
        </is>
      </c>
      <c r="B745" s="1" t="n">
        <v>44769.66864583334</v>
      </c>
      <c r="C745" s="1" t="n">
        <v>46077</v>
      </c>
      <c r="D745" t="inlineStr">
        <is>
          <t>STOCKHOLMS LÄN</t>
        </is>
      </c>
      <c r="E745" t="inlineStr">
        <is>
          <t>NORRTÄLJE</t>
        </is>
      </c>
      <c r="G745" t="n">
        <v>3.8</v>
      </c>
      <c r="H745" t="n">
        <v>0</v>
      </c>
      <c r="I745" t="n">
        <v>0</v>
      </c>
      <c r="J745" t="n">
        <v>0</v>
      </c>
      <c r="K745" t="n">
        <v>0</v>
      </c>
      <c r="L745" t="n">
        <v>0</v>
      </c>
      <c r="M745" t="n">
        <v>0</v>
      </c>
      <c r="N745" t="n">
        <v>0</v>
      </c>
      <c r="O745" t="n">
        <v>0</v>
      </c>
      <c r="P745" t="n">
        <v>0</v>
      </c>
      <c r="Q745" t="n">
        <v>0</v>
      </c>
      <c r="R745" s="2" t="inlineStr"/>
    </row>
    <row r="746" ht="15" customHeight="1">
      <c r="A746" t="inlineStr">
        <is>
          <t>A 41964-2025</t>
        </is>
      </c>
      <c r="B746" s="1" t="n">
        <v>45903.47270833333</v>
      </c>
      <c r="C746" s="1" t="n">
        <v>46077</v>
      </c>
      <c r="D746" t="inlineStr">
        <is>
          <t>STOCKHOLMS LÄN</t>
        </is>
      </c>
      <c r="E746" t="inlineStr">
        <is>
          <t>NORRTÄLJE</t>
        </is>
      </c>
      <c r="F746" t="inlineStr">
        <is>
          <t>Sveaskog</t>
        </is>
      </c>
      <c r="G746" t="n">
        <v>4</v>
      </c>
      <c r="H746" t="n">
        <v>0</v>
      </c>
      <c r="I746" t="n">
        <v>0</v>
      </c>
      <c r="J746" t="n">
        <v>0</v>
      </c>
      <c r="K746" t="n">
        <v>0</v>
      </c>
      <c r="L746" t="n">
        <v>0</v>
      </c>
      <c r="M746" t="n">
        <v>0</v>
      </c>
      <c r="N746" t="n">
        <v>0</v>
      </c>
      <c r="O746" t="n">
        <v>0</v>
      </c>
      <c r="P746" t="n">
        <v>0</v>
      </c>
      <c r="Q746" t="n">
        <v>0</v>
      </c>
      <c r="R746" s="2" t="inlineStr"/>
    </row>
    <row r="747" ht="15" customHeight="1">
      <c r="A747" t="inlineStr">
        <is>
          <t>A 18539-2021</t>
        </is>
      </c>
      <c r="B747" s="1" t="n">
        <v>44306</v>
      </c>
      <c r="C747" s="1" t="n">
        <v>46077</v>
      </c>
      <c r="D747" t="inlineStr">
        <is>
          <t>STOCKHOLMS LÄN</t>
        </is>
      </c>
      <c r="E747" t="inlineStr">
        <is>
          <t>NORRTÄLJE</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41966-2025</t>
        </is>
      </c>
      <c r="B748" s="1" t="n">
        <v>45903.47456018518</v>
      </c>
      <c r="C748" s="1" t="n">
        <v>46077</v>
      </c>
      <c r="D748" t="inlineStr">
        <is>
          <t>STOCKHOLMS LÄN</t>
        </is>
      </c>
      <c r="E748" t="inlineStr">
        <is>
          <t>NORRTÄLJE</t>
        </is>
      </c>
      <c r="F748" t="inlineStr">
        <is>
          <t>Sveaskog</t>
        </is>
      </c>
      <c r="G748" t="n">
        <v>3.7</v>
      </c>
      <c r="H748" t="n">
        <v>0</v>
      </c>
      <c r="I748" t="n">
        <v>0</v>
      </c>
      <c r="J748" t="n">
        <v>0</v>
      </c>
      <c r="K748" t="n">
        <v>0</v>
      </c>
      <c r="L748" t="n">
        <v>0</v>
      </c>
      <c r="M748" t="n">
        <v>0</v>
      </c>
      <c r="N748" t="n">
        <v>0</v>
      </c>
      <c r="O748" t="n">
        <v>0</v>
      </c>
      <c r="P748" t="n">
        <v>0</v>
      </c>
      <c r="Q748" t="n">
        <v>0</v>
      </c>
      <c r="R748" s="2" t="inlineStr"/>
    </row>
    <row r="749" ht="15" customHeight="1">
      <c r="A749" t="inlineStr">
        <is>
          <t>A 43170-2023</t>
        </is>
      </c>
      <c r="B749" s="1" t="n">
        <v>45183</v>
      </c>
      <c r="C749" s="1" t="n">
        <v>46077</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47626-2022</t>
        </is>
      </c>
      <c r="B750" s="1" t="n">
        <v>44854</v>
      </c>
      <c r="C750" s="1" t="n">
        <v>46077</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32101-2022</t>
        </is>
      </c>
      <c r="B751" s="1" t="n">
        <v>44778.69210648148</v>
      </c>
      <c r="C751" s="1" t="n">
        <v>46077</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28365-2022</t>
        </is>
      </c>
      <c r="B752" s="1" t="n">
        <v>44747</v>
      </c>
      <c r="C752" s="1" t="n">
        <v>46077</v>
      </c>
      <c r="D752" t="inlineStr">
        <is>
          <t>STOCKHOLMS LÄN</t>
        </is>
      </c>
      <c r="E752" t="inlineStr">
        <is>
          <t>NORRTÄLJE</t>
        </is>
      </c>
      <c r="G752" t="n">
        <v>5.1</v>
      </c>
      <c r="H752" t="n">
        <v>0</v>
      </c>
      <c r="I752" t="n">
        <v>0</v>
      </c>
      <c r="J752" t="n">
        <v>0</v>
      </c>
      <c r="K752" t="n">
        <v>0</v>
      </c>
      <c r="L752" t="n">
        <v>0</v>
      </c>
      <c r="M752" t="n">
        <v>0</v>
      </c>
      <c r="N752" t="n">
        <v>0</v>
      </c>
      <c r="O752" t="n">
        <v>0</v>
      </c>
      <c r="P752" t="n">
        <v>0</v>
      </c>
      <c r="Q752" t="n">
        <v>0</v>
      </c>
      <c r="R752" s="2" t="inlineStr"/>
    </row>
    <row r="753" ht="15" customHeight="1">
      <c r="A753" t="inlineStr">
        <is>
          <t>A 30699-2025</t>
        </is>
      </c>
      <c r="B753" s="1" t="n">
        <v>45831.54618055555</v>
      </c>
      <c r="C753" s="1" t="n">
        <v>46077</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42867-2022</t>
        </is>
      </c>
      <c r="B754" s="1" t="n">
        <v>44832</v>
      </c>
      <c r="C754" s="1" t="n">
        <v>46077</v>
      </c>
      <c r="D754" t="inlineStr">
        <is>
          <t>STOCKHOLMS LÄN</t>
        </is>
      </c>
      <c r="E754" t="inlineStr">
        <is>
          <t>NORRTÄLJE</t>
        </is>
      </c>
      <c r="G754" t="n">
        <v>6.4</v>
      </c>
      <c r="H754" t="n">
        <v>0</v>
      </c>
      <c r="I754" t="n">
        <v>0</v>
      </c>
      <c r="J754" t="n">
        <v>0</v>
      </c>
      <c r="K754" t="n">
        <v>0</v>
      </c>
      <c r="L754" t="n">
        <v>0</v>
      </c>
      <c r="M754" t="n">
        <v>0</v>
      </c>
      <c r="N754" t="n">
        <v>0</v>
      </c>
      <c r="O754" t="n">
        <v>0</v>
      </c>
      <c r="P754" t="n">
        <v>0</v>
      </c>
      <c r="Q754" t="n">
        <v>0</v>
      </c>
      <c r="R754" s="2" t="inlineStr"/>
    </row>
    <row r="755" ht="15" customHeight="1">
      <c r="A755" t="inlineStr">
        <is>
          <t>A 5645-2023</t>
        </is>
      </c>
      <c r="B755" s="1" t="n">
        <v>44960.60469907407</v>
      </c>
      <c r="C755" s="1" t="n">
        <v>46077</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42856-2025</t>
        </is>
      </c>
      <c r="B756" s="1" t="n">
        <v>45908</v>
      </c>
      <c r="C756" s="1" t="n">
        <v>46077</v>
      </c>
      <c r="D756" t="inlineStr">
        <is>
          <t>STOCKHOLMS LÄN</t>
        </is>
      </c>
      <c r="E756" t="inlineStr">
        <is>
          <t>NORRTÄLJE</t>
        </is>
      </c>
      <c r="G756" t="n">
        <v>9.199999999999999</v>
      </c>
      <c r="H756" t="n">
        <v>0</v>
      </c>
      <c r="I756" t="n">
        <v>0</v>
      </c>
      <c r="J756" t="n">
        <v>0</v>
      </c>
      <c r="K756" t="n">
        <v>0</v>
      </c>
      <c r="L756" t="n">
        <v>0</v>
      </c>
      <c r="M756" t="n">
        <v>0</v>
      </c>
      <c r="N756" t="n">
        <v>0</v>
      </c>
      <c r="O756" t="n">
        <v>0</v>
      </c>
      <c r="P756" t="n">
        <v>0</v>
      </c>
      <c r="Q756" t="n">
        <v>0</v>
      </c>
      <c r="R756" s="2" t="inlineStr"/>
    </row>
    <row r="757" ht="15" customHeight="1">
      <c r="A757" t="inlineStr">
        <is>
          <t>A 20011-2025</t>
        </is>
      </c>
      <c r="B757" s="1" t="n">
        <v>45772.29622685185</v>
      </c>
      <c r="C757" s="1" t="n">
        <v>46077</v>
      </c>
      <c r="D757" t="inlineStr">
        <is>
          <t>STOCKHOLMS LÄN</t>
        </is>
      </c>
      <c r="E757" t="inlineStr">
        <is>
          <t>NORRTÄLJE</t>
        </is>
      </c>
      <c r="G757" t="n">
        <v>3.5</v>
      </c>
      <c r="H757" t="n">
        <v>0</v>
      </c>
      <c r="I757" t="n">
        <v>0</v>
      </c>
      <c r="J757" t="n">
        <v>0</v>
      </c>
      <c r="K757" t="n">
        <v>0</v>
      </c>
      <c r="L757" t="n">
        <v>0</v>
      </c>
      <c r="M757" t="n">
        <v>0</v>
      </c>
      <c r="N757" t="n">
        <v>0</v>
      </c>
      <c r="O757" t="n">
        <v>0</v>
      </c>
      <c r="P757" t="n">
        <v>0</v>
      </c>
      <c r="Q757" t="n">
        <v>0</v>
      </c>
      <c r="R757" s="2" t="inlineStr"/>
    </row>
    <row r="758" ht="15" customHeight="1">
      <c r="A758" t="inlineStr">
        <is>
          <t>A 17775-2022</t>
        </is>
      </c>
      <c r="B758" s="1" t="n">
        <v>44682.78430555556</v>
      </c>
      <c r="C758" s="1" t="n">
        <v>46077</v>
      </c>
      <c r="D758" t="inlineStr">
        <is>
          <t>STOCKHOLMS LÄN</t>
        </is>
      </c>
      <c r="E758" t="inlineStr">
        <is>
          <t>NORRTÄLJE</t>
        </is>
      </c>
      <c r="G758" t="n">
        <v>4.7</v>
      </c>
      <c r="H758" t="n">
        <v>0</v>
      </c>
      <c r="I758" t="n">
        <v>0</v>
      </c>
      <c r="J758" t="n">
        <v>0</v>
      </c>
      <c r="K758" t="n">
        <v>0</v>
      </c>
      <c r="L758" t="n">
        <v>0</v>
      </c>
      <c r="M758" t="n">
        <v>0</v>
      </c>
      <c r="N758" t="n">
        <v>0</v>
      </c>
      <c r="O758" t="n">
        <v>0</v>
      </c>
      <c r="P758" t="n">
        <v>0</v>
      </c>
      <c r="Q758" t="n">
        <v>0</v>
      </c>
      <c r="R758" s="2" t="inlineStr"/>
    </row>
    <row r="759" ht="15" customHeight="1">
      <c r="A759" t="inlineStr">
        <is>
          <t>A 9703-2021</t>
        </is>
      </c>
      <c r="B759" s="1" t="n">
        <v>44252</v>
      </c>
      <c r="C759" s="1" t="n">
        <v>46077</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47481-2024</t>
        </is>
      </c>
      <c r="B760" s="1" t="n">
        <v>45587</v>
      </c>
      <c r="C760" s="1" t="n">
        <v>46077</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24933-2023</t>
        </is>
      </c>
      <c r="B761" s="1" t="n">
        <v>45085.5309375</v>
      </c>
      <c r="C761" s="1" t="n">
        <v>46077</v>
      </c>
      <c r="D761" t="inlineStr">
        <is>
          <t>STOCKHOLMS LÄN</t>
        </is>
      </c>
      <c r="E761" t="inlineStr">
        <is>
          <t>NORRTÄLJE</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11062-2024</t>
        </is>
      </c>
      <c r="B762" s="1" t="n">
        <v>45370</v>
      </c>
      <c r="C762" s="1" t="n">
        <v>46077</v>
      </c>
      <c r="D762" t="inlineStr">
        <is>
          <t>STOCKHOLMS LÄN</t>
        </is>
      </c>
      <c r="E762" t="inlineStr">
        <is>
          <t>NORRTÄLJE</t>
        </is>
      </c>
      <c r="G762" t="n">
        <v>3.2</v>
      </c>
      <c r="H762" t="n">
        <v>0</v>
      </c>
      <c r="I762" t="n">
        <v>0</v>
      </c>
      <c r="J762" t="n">
        <v>0</v>
      </c>
      <c r="K762" t="n">
        <v>0</v>
      </c>
      <c r="L762" t="n">
        <v>0</v>
      </c>
      <c r="M762" t="n">
        <v>0</v>
      </c>
      <c r="N762" t="n">
        <v>0</v>
      </c>
      <c r="O762" t="n">
        <v>0</v>
      </c>
      <c r="P762" t="n">
        <v>0</v>
      </c>
      <c r="Q762" t="n">
        <v>0</v>
      </c>
      <c r="R762" s="2" t="inlineStr"/>
    </row>
    <row r="763" ht="15" customHeight="1">
      <c r="A763" t="inlineStr">
        <is>
          <t>A 24835-2025</t>
        </is>
      </c>
      <c r="B763" s="1" t="n">
        <v>45799</v>
      </c>
      <c r="C763" s="1" t="n">
        <v>46077</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43169-2025</t>
        </is>
      </c>
      <c r="B764" s="1" t="n">
        <v>45910</v>
      </c>
      <c r="C764" s="1" t="n">
        <v>46077</v>
      </c>
      <c r="D764" t="inlineStr">
        <is>
          <t>STOCKHOLMS LÄN</t>
        </is>
      </c>
      <c r="E764" t="inlineStr">
        <is>
          <t>NORRTÄLJE</t>
        </is>
      </c>
      <c r="G764" t="n">
        <v>6.9</v>
      </c>
      <c r="H764" t="n">
        <v>0</v>
      </c>
      <c r="I764" t="n">
        <v>0</v>
      </c>
      <c r="J764" t="n">
        <v>0</v>
      </c>
      <c r="K764" t="n">
        <v>0</v>
      </c>
      <c r="L764" t="n">
        <v>0</v>
      </c>
      <c r="M764" t="n">
        <v>0</v>
      </c>
      <c r="N764" t="n">
        <v>0</v>
      </c>
      <c r="O764" t="n">
        <v>0</v>
      </c>
      <c r="P764" t="n">
        <v>0</v>
      </c>
      <c r="Q764" t="n">
        <v>0</v>
      </c>
      <c r="R764" s="2" t="inlineStr"/>
    </row>
    <row r="765" ht="15" customHeight="1">
      <c r="A765" t="inlineStr">
        <is>
          <t>A 43269-2025</t>
        </is>
      </c>
      <c r="B765" s="1" t="n">
        <v>45910.5819212963</v>
      </c>
      <c r="C765" s="1" t="n">
        <v>46077</v>
      </c>
      <c r="D765" t="inlineStr">
        <is>
          <t>STOCKHOLMS LÄN</t>
        </is>
      </c>
      <c r="E765" t="inlineStr">
        <is>
          <t>NORRTÄLJE</t>
        </is>
      </c>
      <c r="G765" t="n">
        <v>3.7</v>
      </c>
      <c r="H765" t="n">
        <v>0</v>
      </c>
      <c r="I765" t="n">
        <v>0</v>
      </c>
      <c r="J765" t="n">
        <v>0</v>
      </c>
      <c r="K765" t="n">
        <v>0</v>
      </c>
      <c r="L765" t="n">
        <v>0</v>
      </c>
      <c r="M765" t="n">
        <v>0</v>
      </c>
      <c r="N765" t="n">
        <v>0</v>
      </c>
      <c r="O765" t="n">
        <v>0</v>
      </c>
      <c r="P765" t="n">
        <v>0</v>
      </c>
      <c r="Q765" t="n">
        <v>0</v>
      </c>
      <c r="R765" s="2" t="inlineStr"/>
    </row>
    <row r="766" ht="15" customHeight="1">
      <c r="A766" t="inlineStr">
        <is>
          <t>A 576-2023</t>
        </is>
      </c>
      <c r="B766" s="1" t="n">
        <v>44925</v>
      </c>
      <c r="C766" s="1" t="n">
        <v>46077</v>
      </c>
      <c r="D766" t="inlineStr">
        <is>
          <t>STOCKHOLMS LÄN</t>
        </is>
      </c>
      <c r="E766" t="inlineStr">
        <is>
          <t>NORRTÄLJE</t>
        </is>
      </c>
      <c r="G766" t="n">
        <v>7.2</v>
      </c>
      <c r="H766" t="n">
        <v>0</v>
      </c>
      <c r="I766" t="n">
        <v>0</v>
      </c>
      <c r="J766" t="n">
        <v>0</v>
      </c>
      <c r="K766" t="n">
        <v>0</v>
      </c>
      <c r="L766" t="n">
        <v>0</v>
      </c>
      <c r="M766" t="n">
        <v>0</v>
      </c>
      <c r="N766" t="n">
        <v>0</v>
      </c>
      <c r="O766" t="n">
        <v>0</v>
      </c>
      <c r="P766" t="n">
        <v>0</v>
      </c>
      <c r="Q766" t="n">
        <v>0</v>
      </c>
      <c r="R766" s="2" t="inlineStr"/>
    </row>
    <row r="767" ht="15" customHeight="1">
      <c r="A767" t="inlineStr">
        <is>
          <t>A 12908-2025</t>
        </is>
      </c>
      <c r="B767" s="1" t="n">
        <v>45733.82105324074</v>
      </c>
      <c r="C767" s="1" t="n">
        <v>46077</v>
      </c>
      <c r="D767" t="inlineStr">
        <is>
          <t>STOCKHOLMS LÄN</t>
        </is>
      </c>
      <c r="E767" t="inlineStr">
        <is>
          <t>NORRTÄLJE</t>
        </is>
      </c>
      <c r="G767" t="n">
        <v>1</v>
      </c>
      <c r="H767" t="n">
        <v>0</v>
      </c>
      <c r="I767" t="n">
        <v>0</v>
      </c>
      <c r="J767" t="n">
        <v>0</v>
      </c>
      <c r="K767" t="n">
        <v>0</v>
      </c>
      <c r="L767" t="n">
        <v>0</v>
      </c>
      <c r="M767" t="n">
        <v>0</v>
      </c>
      <c r="N767" t="n">
        <v>0</v>
      </c>
      <c r="O767" t="n">
        <v>0</v>
      </c>
      <c r="P767" t="n">
        <v>0</v>
      </c>
      <c r="Q767" t="n">
        <v>0</v>
      </c>
      <c r="R767" s="2" t="inlineStr"/>
    </row>
    <row r="768" ht="15" customHeight="1">
      <c r="A768" t="inlineStr">
        <is>
          <t>A 68361-2021</t>
        </is>
      </c>
      <c r="B768" s="1" t="n">
        <v>44528.91494212963</v>
      </c>
      <c r="C768" s="1" t="n">
        <v>46077</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50469-2022</t>
        </is>
      </c>
      <c r="B769" s="1" t="n">
        <v>44866.49827546296</v>
      </c>
      <c r="C769" s="1" t="n">
        <v>46077</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41976-2024</t>
        </is>
      </c>
      <c r="B770" s="1" t="n">
        <v>45561.62141203704</v>
      </c>
      <c r="C770" s="1" t="n">
        <v>46077</v>
      </c>
      <c r="D770" t="inlineStr">
        <is>
          <t>STOCKHOLMS LÄN</t>
        </is>
      </c>
      <c r="E770" t="inlineStr">
        <is>
          <t>NORRTÄLJE</t>
        </is>
      </c>
      <c r="G770" t="n">
        <v>2.5</v>
      </c>
      <c r="H770" t="n">
        <v>0</v>
      </c>
      <c r="I770" t="n">
        <v>0</v>
      </c>
      <c r="J770" t="n">
        <v>0</v>
      </c>
      <c r="K770" t="n">
        <v>0</v>
      </c>
      <c r="L770" t="n">
        <v>0</v>
      </c>
      <c r="M770" t="n">
        <v>0</v>
      </c>
      <c r="N770" t="n">
        <v>0</v>
      </c>
      <c r="O770" t="n">
        <v>0</v>
      </c>
      <c r="P770" t="n">
        <v>0</v>
      </c>
      <c r="Q770" t="n">
        <v>0</v>
      </c>
      <c r="R770" s="2" t="inlineStr"/>
    </row>
    <row r="771" ht="15" customHeight="1">
      <c r="A771" t="inlineStr">
        <is>
          <t>A 30719-2025</t>
        </is>
      </c>
      <c r="B771" s="1" t="n">
        <v>45831</v>
      </c>
      <c r="C771" s="1" t="n">
        <v>46077</v>
      </c>
      <c r="D771" t="inlineStr">
        <is>
          <t>STOCKHOLMS LÄN</t>
        </is>
      </c>
      <c r="E771" t="inlineStr">
        <is>
          <t>NORRTÄLJE</t>
        </is>
      </c>
      <c r="G771" t="n">
        <v>0.5</v>
      </c>
      <c r="H771" t="n">
        <v>0</v>
      </c>
      <c r="I771" t="n">
        <v>0</v>
      </c>
      <c r="J771" t="n">
        <v>0</v>
      </c>
      <c r="K771" t="n">
        <v>0</v>
      </c>
      <c r="L771" t="n">
        <v>0</v>
      </c>
      <c r="M771" t="n">
        <v>0</v>
      </c>
      <c r="N771" t="n">
        <v>0</v>
      </c>
      <c r="O771" t="n">
        <v>0</v>
      </c>
      <c r="P771" t="n">
        <v>0</v>
      </c>
      <c r="Q771" t="n">
        <v>0</v>
      </c>
      <c r="R771" s="2" t="inlineStr"/>
    </row>
    <row r="772" ht="15" customHeight="1">
      <c r="A772" t="inlineStr">
        <is>
          <t>A 62206-2022</t>
        </is>
      </c>
      <c r="B772" s="1" t="n">
        <v>44922</v>
      </c>
      <c r="C772" s="1" t="n">
        <v>46077</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30886-2022</t>
        </is>
      </c>
      <c r="B773" s="1" t="n">
        <v>44767.60601851852</v>
      </c>
      <c r="C773" s="1" t="n">
        <v>46077</v>
      </c>
      <c r="D773" t="inlineStr">
        <is>
          <t>STOCKHOLMS LÄN</t>
        </is>
      </c>
      <c r="E773" t="inlineStr">
        <is>
          <t>NORRTÄLJE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58989-2021</t>
        </is>
      </c>
      <c r="B774" s="1" t="n">
        <v>44490.02482638889</v>
      </c>
      <c r="C774" s="1" t="n">
        <v>46077</v>
      </c>
      <c r="D774" t="inlineStr">
        <is>
          <t>STOCKHOLMS LÄN</t>
        </is>
      </c>
      <c r="E774" t="inlineStr">
        <is>
          <t>NORRTÄLJE</t>
        </is>
      </c>
      <c r="G774" t="n">
        <v>0.3</v>
      </c>
      <c r="H774" t="n">
        <v>0</v>
      </c>
      <c r="I774" t="n">
        <v>0</v>
      </c>
      <c r="J774" t="n">
        <v>0</v>
      </c>
      <c r="K774" t="n">
        <v>0</v>
      </c>
      <c r="L774" t="n">
        <v>0</v>
      </c>
      <c r="M774" t="n">
        <v>0</v>
      </c>
      <c r="N774" t="n">
        <v>0</v>
      </c>
      <c r="O774" t="n">
        <v>0</v>
      </c>
      <c r="P774" t="n">
        <v>0</v>
      </c>
      <c r="Q774" t="n">
        <v>0</v>
      </c>
      <c r="R774" s="2" t="inlineStr"/>
    </row>
    <row r="775" ht="15" customHeight="1">
      <c r="A775" t="inlineStr">
        <is>
          <t>A 58990-2021</t>
        </is>
      </c>
      <c r="B775" s="1" t="n">
        <v>44490.03621527777</v>
      </c>
      <c r="C775" s="1" t="n">
        <v>46077</v>
      </c>
      <c r="D775" t="inlineStr">
        <is>
          <t>STOCKHOLMS LÄN</t>
        </is>
      </c>
      <c r="E775" t="inlineStr">
        <is>
          <t>NORRTÄLJE</t>
        </is>
      </c>
      <c r="G775" t="n">
        <v>4.2</v>
      </c>
      <c r="H775" t="n">
        <v>0</v>
      </c>
      <c r="I775" t="n">
        <v>0</v>
      </c>
      <c r="J775" t="n">
        <v>0</v>
      </c>
      <c r="K775" t="n">
        <v>0</v>
      </c>
      <c r="L775" t="n">
        <v>0</v>
      </c>
      <c r="M775" t="n">
        <v>0</v>
      </c>
      <c r="N775" t="n">
        <v>0</v>
      </c>
      <c r="O775" t="n">
        <v>0</v>
      </c>
      <c r="P775" t="n">
        <v>0</v>
      </c>
      <c r="Q775" t="n">
        <v>0</v>
      </c>
      <c r="R775" s="2" t="inlineStr"/>
    </row>
    <row r="776" ht="15" customHeight="1">
      <c r="A776" t="inlineStr">
        <is>
          <t>A 11940-2023</t>
        </is>
      </c>
      <c r="B776" s="1" t="n">
        <v>44995</v>
      </c>
      <c r="C776" s="1" t="n">
        <v>46077</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44343-2025</t>
        </is>
      </c>
      <c r="B777" s="1" t="n">
        <v>45916.43378472222</v>
      </c>
      <c r="C777" s="1" t="n">
        <v>46077</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43916-2025</t>
        </is>
      </c>
      <c r="B778" s="1" t="n">
        <v>45914.78884259259</v>
      </c>
      <c r="C778" s="1" t="n">
        <v>46077</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44311-2025</t>
        </is>
      </c>
      <c r="B779" s="1" t="n">
        <v>45916.38394675926</v>
      </c>
      <c r="C779" s="1" t="n">
        <v>46077</v>
      </c>
      <c r="D779" t="inlineStr">
        <is>
          <t>STOCKHOLMS LÄN</t>
        </is>
      </c>
      <c r="E779" t="inlineStr">
        <is>
          <t>NORRTÄLJE</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29266-2022</t>
        </is>
      </c>
      <c r="B780" s="1" t="n">
        <v>44750.66068287037</v>
      </c>
      <c r="C780" s="1" t="n">
        <v>46077</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29278-2022</t>
        </is>
      </c>
      <c r="B781" s="1" t="n">
        <v>44750</v>
      </c>
      <c r="C781" s="1" t="n">
        <v>46077</v>
      </c>
      <c r="D781" t="inlineStr">
        <is>
          <t>STOCKHOLMS LÄN</t>
        </is>
      </c>
      <c r="E781" t="inlineStr">
        <is>
          <t>NORRTÄLJE</t>
        </is>
      </c>
      <c r="G781" t="n">
        <v>0.6</v>
      </c>
      <c r="H781" t="n">
        <v>0</v>
      </c>
      <c r="I781" t="n">
        <v>0</v>
      </c>
      <c r="J781" t="n">
        <v>0</v>
      </c>
      <c r="K781" t="n">
        <v>0</v>
      </c>
      <c r="L781" t="n">
        <v>0</v>
      </c>
      <c r="M781" t="n">
        <v>0</v>
      </c>
      <c r="N781" t="n">
        <v>0</v>
      </c>
      <c r="O781" t="n">
        <v>0</v>
      </c>
      <c r="P781" t="n">
        <v>0</v>
      </c>
      <c r="Q781" t="n">
        <v>0</v>
      </c>
      <c r="R781" s="2" t="inlineStr"/>
    </row>
    <row r="782" ht="15" customHeight="1">
      <c r="A782" t="inlineStr">
        <is>
          <t>A 44349-2025</t>
        </is>
      </c>
      <c r="B782" s="1" t="n">
        <v>45916.43929398148</v>
      </c>
      <c r="C782" s="1" t="n">
        <v>46077</v>
      </c>
      <c r="D782" t="inlineStr">
        <is>
          <t>STOCKHOLMS LÄN</t>
        </is>
      </c>
      <c r="E782" t="inlineStr">
        <is>
          <t>NORRTÄLJE</t>
        </is>
      </c>
      <c r="G782" t="n">
        <v>3.5</v>
      </c>
      <c r="H782" t="n">
        <v>0</v>
      </c>
      <c r="I782" t="n">
        <v>0</v>
      </c>
      <c r="J782" t="n">
        <v>0</v>
      </c>
      <c r="K782" t="n">
        <v>0</v>
      </c>
      <c r="L782" t="n">
        <v>0</v>
      </c>
      <c r="M782" t="n">
        <v>0</v>
      </c>
      <c r="N782" t="n">
        <v>0</v>
      </c>
      <c r="O782" t="n">
        <v>0</v>
      </c>
      <c r="P782" t="n">
        <v>0</v>
      </c>
      <c r="Q782" t="n">
        <v>0</v>
      </c>
      <c r="R782" s="2" t="inlineStr"/>
    </row>
    <row r="783" ht="15" customHeight="1">
      <c r="A783" t="inlineStr">
        <is>
          <t>A 6401-2024</t>
        </is>
      </c>
      <c r="B783" s="1" t="n">
        <v>45338</v>
      </c>
      <c r="C783" s="1" t="n">
        <v>46077</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24501-2023</t>
        </is>
      </c>
      <c r="B784" s="1" t="n">
        <v>45082</v>
      </c>
      <c r="C784" s="1" t="n">
        <v>46077</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24520-2023</t>
        </is>
      </c>
      <c r="B785" s="1" t="n">
        <v>45082.68922453704</v>
      </c>
      <c r="C785" s="1" t="n">
        <v>46077</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44354-2025</t>
        </is>
      </c>
      <c r="B786" s="1" t="n">
        <v>45916.44655092592</v>
      </c>
      <c r="C786" s="1" t="n">
        <v>46077</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31281-2022</t>
        </is>
      </c>
      <c r="B787" s="1" t="n">
        <v>44771</v>
      </c>
      <c r="C787" s="1" t="n">
        <v>46077</v>
      </c>
      <c r="D787" t="inlineStr">
        <is>
          <t>STOCKHOLMS LÄN</t>
        </is>
      </c>
      <c r="E787" t="inlineStr">
        <is>
          <t>NORRTÄLJE</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44333-2025</t>
        </is>
      </c>
      <c r="B788" s="1" t="n">
        <v>45916.42293981482</v>
      </c>
      <c r="C788" s="1" t="n">
        <v>46077</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44306-2025</t>
        </is>
      </c>
      <c r="B789" s="1" t="n">
        <v>45916.37736111111</v>
      </c>
      <c r="C789" s="1" t="n">
        <v>46077</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38612-2022</t>
        </is>
      </c>
      <c r="B790" s="1" t="n">
        <v>44813</v>
      </c>
      <c r="C790" s="1" t="n">
        <v>46077</v>
      </c>
      <c r="D790" t="inlineStr">
        <is>
          <t>STOCKHOLMS LÄN</t>
        </is>
      </c>
      <c r="E790" t="inlineStr">
        <is>
          <t>NORRTÄLJE</t>
        </is>
      </c>
      <c r="G790" t="n">
        <v>1.7</v>
      </c>
      <c r="H790" t="n">
        <v>0</v>
      </c>
      <c r="I790" t="n">
        <v>0</v>
      </c>
      <c r="J790" t="n">
        <v>0</v>
      </c>
      <c r="K790" t="n">
        <v>0</v>
      </c>
      <c r="L790" t="n">
        <v>0</v>
      </c>
      <c r="M790" t="n">
        <v>0</v>
      </c>
      <c r="N790" t="n">
        <v>0</v>
      </c>
      <c r="O790" t="n">
        <v>0</v>
      </c>
      <c r="P790" t="n">
        <v>0</v>
      </c>
      <c r="Q790" t="n">
        <v>0</v>
      </c>
      <c r="R790" s="2" t="inlineStr"/>
    </row>
    <row r="791" ht="15" customHeight="1">
      <c r="A791" t="inlineStr">
        <is>
          <t>A 33040-2021</t>
        </is>
      </c>
      <c r="B791" s="1" t="n">
        <v>44376.50728009259</v>
      </c>
      <c r="C791" s="1" t="n">
        <v>46077</v>
      </c>
      <c r="D791" t="inlineStr">
        <is>
          <t>STOCKHOLMS LÄN</t>
        </is>
      </c>
      <c r="E791" t="inlineStr">
        <is>
          <t>NORRTÄLJE</t>
        </is>
      </c>
      <c r="G791" t="n">
        <v>2.7</v>
      </c>
      <c r="H791" t="n">
        <v>0</v>
      </c>
      <c r="I791" t="n">
        <v>0</v>
      </c>
      <c r="J791" t="n">
        <v>0</v>
      </c>
      <c r="K791" t="n">
        <v>0</v>
      </c>
      <c r="L791" t="n">
        <v>0</v>
      </c>
      <c r="M791" t="n">
        <v>0</v>
      </c>
      <c r="N791" t="n">
        <v>0</v>
      </c>
      <c r="O791" t="n">
        <v>0</v>
      </c>
      <c r="P791" t="n">
        <v>0</v>
      </c>
      <c r="Q791" t="n">
        <v>0</v>
      </c>
      <c r="R791" s="2" t="inlineStr"/>
    </row>
    <row r="792" ht="15" customHeight="1">
      <c r="A792" t="inlineStr">
        <is>
          <t>A 26117-2024</t>
        </is>
      </c>
      <c r="B792" s="1" t="n">
        <v>45468.45877314815</v>
      </c>
      <c r="C792" s="1" t="n">
        <v>46077</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61113-2023</t>
        </is>
      </c>
      <c r="B793" s="1" t="n">
        <v>45261</v>
      </c>
      <c r="C793" s="1" t="n">
        <v>46077</v>
      </c>
      <c r="D793" t="inlineStr">
        <is>
          <t>STOCKHOLMS LÄN</t>
        </is>
      </c>
      <c r="E793" t="inlineStr">
        <is>
          <t>NORRTÄLJE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44937-2025</t>
        </is>
      </c>
      <c r="B794" s="1" t="n">
        <v>45918</v>
      </c>
      <c r="C794" s="1" t="n">
        <v>46077</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60822-2023</t>
        </is>
      </c>
      <c r="B795" s="1" t="n">
        <v>45259</v>
      </c>
      <c r="C795" s="1" t="n">
        <v>46077</v>
      </c>
      <c r="D795" t="inlineStr">
        <is>
          <t>STOCKHOLMS LÄN</t>
        </is>
      </c>
      <c r="E795" t="inlineStr">
        <is>
          <t>NORRTÄLJE</t>
        </is>
      </c>
      <c r="G795" t="n">
        <v>5.2</v>
      </c>
      <c r="H795" t="n">
        <v>0</v>
      </c>
      <c r="I795" t="n">
        <v>0</v>
      </c>
      <c r="J795" t="n">
        <v>0</v>
      </c>
      <c r="K795" t="n">
        <v>0</v>
      </c>
      <c r="L795" t="n">
        <v>0</v>
      </c>
      <c r="M795" t="n">
        <v>0</v>
      </c>
      <c r="N795" t="n">
        <v>0</v>
      </c>
      <c r="O795" t="n">
        <v>0</v>
      </c>
      <c r="P795" t="n">
        <v>0</v>
      </c>
      <c r="Q795" t="n">
        <v>0</v>
      </c>
      <c r="R795" s="2" t="inlineStr"/>
    </row>
    <row r="796" ht="15" customHeight="1">
      <c r="A796" t="inlineStr">
        <is>
          <t>A 59310-2023</t>
        </is>
      </c>
      <c r="B796" s="1" t="n">
        <v>45253.61146990741</v>
      </c>
      <c r="C796" s="1" t="n">
        <v>46077</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20343-2024</t>
        </is>
      </c>
      <c r="B797" s="1" t="n">
        <v>45435.43466435185</v>
      </c>
      <c r="C797" s="1" t="n">
        <v>46077</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20345-2024</t>
        </is>
      </c>
      <c r="B798" s="1" t="n">
        <v>45435.43820601852</v>
      </c>
      <c r="C798" s="1" t="n">
        <v>46077</v>
      </c>
      <c r="D798" t="inlineStr">
        <is>
          <t>STOCKHOLMS LÄN</t>
        </is>
      </c>
      <c r="E798" t="inlineStr">
        <is>
          <t>NORRTÄLJE</t>
        </is>
      </c>
      <c r="G798" t="n">
        <v>3.8</v>
      </c>
      <c r="H798" t="n">
        <v>0</v>
      </c>
      <c r="I798" t="n">
        <v>0</v>
      </c>
      <c r="J798" t="n">
        <v>0</v>
      </c>
      <c r="K798" t="n">
        <v>0</v>
      </c>
      <c r="L798" t="n">
        <v>0</v>
      </c>
      <c r="M798" t="n">
        <v>0</v>
      </c>
      <c r="N798" t="n">
        <v>0</v>
      </c>
      <c r="O798" t="n">
        <v>0</v>
      </c>
      <c r="P798" t="n">
        <v>0</v>
      </c>
      <c r="Q798" t="n">
        <v>0</v>
      </c>
      <c r="R798" s="2" t="inlineStr"/>
    </row>
    <row r="799" ht="15" customHeight="1">
      <c r="A799" t="inlineStr">
        <is>
          <t>A 55010-2024</t>
        </is>
      </c>
      <c r="B799" s="1" t="n">
        <v>45621.34425925926</v>
      </c>
      <c r="C799" s="1" t="n">
        <v>46077</v>
      </c>
      <c r="D799" t="inlineStr">
        <is>
          <t>STOCKHOLMS LÄN</t>
        </is>
      </c>
      <c r="E799" t="inlineStr">
        <is>
          <t>NORRTÄLJE</t>
        </is>
      </c>
      <c r="F799" t="inlineStr">
        <is>
          <t>Sveaskog</t>
        </is>
      </c>
      <c r="G799" t="n">
        <v>5.7</v>
      </c>
      <c r="H799" t="n">
        <v>0</v>
      </c>
      <c r="I799" t="n">
        <v>0</v>
      </c>
      <c r="J799" t="n">
        <v>0</v>
      </c>
      <c r="K799" t="n">
        <v>0</v>
      </c>
      <c r="L799" t="n">
        <v>0</v>
      </c>
      <c r="M799" t="n">
        <v>0</v>
      </c>
      <c r="N799" t="n">
        <v>0</v>
      </c>
      <c r="O799" t="n">
        <v>0</v>
      </c>
      <c r="P799" t="n">
        <v>0</v>
      </c>
      <c r="Q799" t="n">
        <v>0</v>
      </c>
      <c r="R799" s="2" t="inlineStr"/>
    </row>
    <row r="800" ht="15" customHeight="1">
      <c r="A800" t="inlineStr">
        <is>
          <t>A 55018-2024</t>
        </is>
      </c>
      <c r="B800" s="1" t="n">
        <v>45621.35712962963</v>
      </c>
      <c r="C800" s="1" t="n">
        <v>46077</v>
      </c>
      <c r="D800" t="inlineStr">
        <is>
          <t>STOCKHOLMS LÄN</t>
        </is>
      </c>
      <c r="E800" t="inlineStr">
        <is>
          <t>NORRTÄLJE</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50113-2024</t>
        </is>
      </c>
      <c r="B801" s="1" t="n">
        <v>45600.411875</v>
      </c>
      <c r="C801" s="1" t="n">
        <v>46077</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22359-2025</t>
        </is>
      </c>
      <c r="B802" s="1" t="n">
        <v>45786</v>
      </c>
      <c r="C802" s="1" t="n">
        <v>46077</v>
      </c>
      <c r="D802" t="inlineStr">
        <is>
          <t>STOCKHOLMS LÄN</t>
        </is>
      </c>
      <c r="E802" t="inlineStr">
        <is>
          <t>NORRTÄLJE</t>
        </is>
      </c>
      <c r="G802" t="n">
        <v>5</v>
      </c>
      <c r="H802" t="n">
        <v>0</v>
      </c>
      <c r="I802" t="n">
        <v>0</v>
      </c>
      <c r="J802" t="n">
        <v>0</v>
      </c>
      <c r="K802" t="n">
        <v>0</v>
      </c>
      <c r="L802" t="n">
        <v>0</v>
      </c>
      <c r="M802" t="n">
        <v>0</v>
      </c>
      <c r="N802" t="n">
        <v>0</v>
      </c>
      <c r="O802" t="n">
        <v>0</v>
      </c>
      <c r="P802" t="n">
        <v>0</v>
      </c>
      <c r="Q802" t="n">
        <v>0</v>
      </c>
      <c r="R802" s="2" t="inlineStr"/>
    </row>
    <row r="803" ht="15" customHeight="1">
      <c r="A803" t="inlineStr">
        <is>
          <t>A 20336-2024</t>
        </is>
      </c>
      <c r="B803" s="1" t="n">
        <v>45435.43123842592</v>
      </c>
      <c r="C803" s="1" t="n">
        <v>46077</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64899-2023</t>
        </is>
      </c>
      <c r="B804" s="1" t="n">
        <v>45282</v>
      </c>
      <c r="C804" s="1" t="n">
        <v>46077</v>
      </c>
      <c r="D804" t="inlineStr">
        <is>
          <t>STOCKHOLMS LÄN</t>
        </is>
      </c>
      <c r="E804" t="inlineStr">
        <is>
          <t>NORRTÄLJE</t>
        </is>
      </c>
      <c r="G804" t="n">
        <v>6.3</v>
      </c>
      <c r="H804" t="n">
        <v>0</v>
      </c>
      <c r="I804" t="n">
        <v>0</v>
      </c>
      <c r="J804" t="n">
        <v>0</v>
      </c>
      <c r="K804" t="n">
        <v>0</v>
      </c>
      <c r="L804" t="n">
        <v>0</v>
      </c>
      <c r="M804" t="n">
        <v>0</v>
      </c>
      <c r="N804" t="n">
        <v>0</v>
      </c>
      <c r="O804" t="n">
        <v>0</v>
      </c>
      <c r="P804" t="n">
        <v>0</v>
      </c>
      <c r="Q804" t="n">
        <v>0</v>
      </c>
      <c r="R804" s="2" t="inlineStr"/>
    </row>
    <row r="805" ht="15" customHeight="1">
      <c r="A805" t="inlineStr">
        <is>
          <t>A 1847-2023</t>
        </is>
      </c>
      <c r="B805" s="1" t="n">
        <v>44938</v>
      </c>
      <c r="C805" s="1" t="n">
        <v>46077</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11122-2021</t>
        </is>
      </c>
      <c r="B806" s="1" t="n">
        <v>44260</v>
      </c>
      <c r="C806" s="1" t="n">
        <v>46077</v>
      </c>
      <c r="D806" t="inlineStr">
        <is>
          <t>STOCKHOLMS LÄN</t>
        </is>
      </c>
      <c r="E806" t="inlineStr">
        <is>
          <t>NORRTÄLJE</t>
        </is>
      </c>
      <c r="F806" t="inlineStr">
        <is>
          <t>Holmen skog AB</t>
        </is>
      </c>
      <c r="G806" t="n">
        <v>2.1</v>
      </c>
      <c r="H806" t="n">
        <v>0</v>
      </c>
      <c r="I806" t="n">
        <v>0</v>
      </c>
      <c r="J806" t="n">
        <v>0</v>
      </c>
      <c r="K806" t="n">
        <v>0</v>
      </c>
      <c r="L806" t="n">
        <v>0</v>
      </c>
      <c r="M806" t="n">
        <v>0</v>
      </c>
      <c r="N806" t="n">
        <v>0</v>
      </c>
      <c r="O806" t="n">
        <v>0</v>
      </c>
      <c r="P806" t="n">
        <v>0</v>
      </c>
      <c r="Q806" t="n">
        <v>0</v>
      </c>
      <c r="R806" s="2" t="inlineStr"/>
    </row>
    <row r="807" ht="15" customHeight="1">
      <c r="A807" t="inlineStr">
        <is>
          <t>A 29362-2022</t>
        </is>
      </c>
      <c r="B807" s="1" t="n">
        <v>44753</v>
      </c>
      <c r="C807" s="1" t="n">
        <v>46077</v>
      </c>
      <c r="D807" t="inlineStr">
        <is>
          <t>STOCKHOLMS LÄN</t>
        </is>
      </c>
      <c r="E807" t="inlineStr">
        <is>
          <t>NORRTÄLJE</t>
        </is>
      </c>
      <c r="G807" t="n">
        <v>3.8</v>
      </c>
      <c r="H807" t="n">
        <v>0</v>
      </c>
      <c r="I807" t="n">
        <v>0</v>
      </c>
      <c r="J807" t="n">
        <v>0</v>
      </c>
      <c r="K807" t="n">
        <v>0</v>
      </c>
      <c r="L807" t="n">
        <v>0</v>
      </c>
      <c r="M807" t="n">
        <v>0</v>
      </c>
      <c r="N807" t="n">
        <v>0</v>
      </c>
      <c r="O807" t="n">
        <v>0</v>
      </c>
      <c r="P807" t="n">
        <v>0</v>
      </c>
      <c r="Q807" t="n">
        <v>0</v>
      </c>
      <c r="R807" s="2" t="inlineStr"/>
    </row>
    <row r="808" ht="15" customHeight="1">
      <c r="A808" t="inlineStr">
        <is>
          <t>A 20291-2022</t>
        </is>
      </c>
      <c r="B808" s="1" t="n">
        <v>44698</v>
      </c>
      <c r="C808" s="1" t="n">
        <v>46077</v>
      </c>
      <c r="D808" t="inlineStr">
        <is>
          <t>STOCKHOLMS LÄN</t>
        </is>
      </c>
      <c r="E808" t="inlineStr">
        <is>
          <t>NORRTÄLJE</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12302-2025</t>
        </is>
      </c>
      <c r="B809" s="1" t="n">
        <v>45729.72851851852</v>
      </c>
      <c r="C809" s="1" t="n">
        <v>46077</v>
      </c>
      <c r="D809" t="inlineStr">
        <is>
          <t>STOCKHOLMS LÄN</t>
        </is>
      </c>
      <c r="E809" t="inlineStr">
        <is>
          <t>NORRTÄLJE</t>
        </is>
      </c>
      <c r="F809" t="inlineStr">
        <is>
          <t>Holmen skog AB</t>
        </is>
      </c>
      <c r="G809" t="n">
        <v>0.8</v>
      </c>
      <c r="H809" t="n">
        <v>0</v>
      </c>
      <c r="I809" t="n">
        <v>0</v>
      </c>
      <c r="J809" t="n">
        <v>0</v>
      </c>
      <c r="K809" t="n">
        <v>0</v>
      </c>
      <c r="L809" t="n">
        <v>0</v>
      </c>
      <c r="M809" t="n">
        <v>0</v>
      </c>
      <c r="N809" t="n">
        <v>0</v>
      </c>
      <c r="O809" t="n">
        <v>0</v>
      </c>
      <c r="P809" t="n">
        <v>0</v>
      </c>
      <c r="Q809" t="n">
        <v>0</v>
      </c>
      <c r="R809" s="2" t="inlineStr"/>
    </row>
    <row r="810" ht="15" customHeight="1">
      <c r="A810" t="inlineStr">
        <is>
          <t>A 31926-2022</t>
        </is>
      </c>
      <c r="B810" s="1" t="n">
        <v>44777</v>
      </c>
      <c r="C810" s="1" t="n">
        <v>46077</v>
      </c>
      <c r="D810" t="inlineStr">
        <is>
          <t>STOCKHOLMS LÄN</t>
        </is>
      </c>
      <c r="E810" t="inlineStr">
        <is>
          <t>NORRTÄLJE</t>
        </is>
      </c>
      <c r="G810" t="n">
        <v>5.2</v>
      </c>
      <c r="H810" t="n">
        <v>0</v>
      </c>
      <c r="I810" t="n">
        <v>0</v>
      </c>
      <c r="J810" t="n">
        <v>0</v>
      </c>
      <c r="K810" t="n">
        <v>0</v>
      </c>
      <c r="L810" t="n">
        <v>0</v>
      </c>
      <c r="M810" t="n">
        <v>0</v>
      </c>
      <c r="N810" t="n">
        <v>0</v>
      </c>
      <c r="O810" t="n">
        <v>0</v>
      </c>
      <c r="P810" t="n">
        <v>0</v>
      </c>
      <c r="Q810" t="n">
        <v>0</v>
      </c>
      <c r="R810" s="2" t="inlineStr"/>
    </row>
    <row r="811" ht="15" customHeight="1">
      <c r="A811" t="inlineStr">
        <is>
          <t>A 1425-2025</t>
        </is>
      </c>
      <c r="B811" s="1" t="n">
        <v>45668.67446759259</v>
      </c>
      <c r="C811" s="1" t="n">
        <v>46077</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1453-2025</t>
        </is>
      </c>
      <c r="B812" s="1" t="n">
        <v>45670.3079050926</v>
      </c>
      <c r="C812" s="1" t="n">
        <v>46077</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45697-2025</t>
        </is>
      </c>
      <c r="B813" s="1" t="n">
        <v>45923.39877314815</v>
      </c>
      <c r="C813" s="1" t="n">
        <v>46077</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13860-2023</t>
        </is>
      </c>
      <c r="B814" s="1" t="n">
        <v>45007</v>
      </c>
      <c r="C814" s="1" t="n">
        <v>46077</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6070-2022</t>
        </is>
      </c>
      <c r="B815" s="1" t="n">
        <v>44599.58428240741</v>
      </c>
      <c r="C815" s="1" t="n">
        <v>46077</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35256-2025</t>
        </is>
      </c>
      <c r="B816" s="1" t="n">
        <v>45853</v>
      </c>
      <c r="C816" s="1" t="n">
        <v>46077</v>
      </c>
      <c r="D816" t="inlineStr">
        <is>
          <t>STOCKHOLMS LÄN</t>
        </is>
      </c>
      <c r="E816" t="inlineStr">
        <is>
          <t>NORRTÄLJE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9130-2025</t>
        </is>
      </c>
      <c r="B817" s="1" t="n">
        <v>45713.92623842593</v>
      </c>
      <c r="C817" s="1" t="n">
        <v>46077</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27828-2022</t>
        </is>
      </c>
      <c r="B818" s="1" t="n">
        <v>44743.59765046297</v>
      </c>
      <c r="C818" s="1" t="n">
        <v>46077</v>
      </c>
      <c r="D818" t="inlineStr">
        <is>
          <t>STOCKHOLMS LÄN</t>
        </is>
      </c>
      <c r="E818" t="inlineStr">
        <is>
          <t>NORRTÄLJE</t>
        </is>
      </c>
      <c r="F818" t="inlineStr">
        <is>
          <t>Kommuner</t>
        </is>
      </c>
      <c r="G818" t="n">
        <v>1.6</v>
      </c>
      <c r="H818" t="n">
        <v>0</v>
      </c>
      <c r="I818" t="n">
        <v>0</v>
      </c>
      <c r="J818" t="n">
        <v>0</v>
      </c>
      <c r="K818" t="n">
        <v>0</v>
      </c>
      <c r="L818" t="n">
        <v>0</v>
      </c>
      <c r="M818" t="n">
        <v>0</v>
      </c>
      <c r="N818" t="n">
        <v>0</v>
      </c>
      <c r="O818" t="n">
        <v>0</v>
      </c>
      <c r="P818" t="n">
        <v>0</v>
      </c>
      <c r="Q818" t="n">
        <v>0</v>
      </c>
      <c r="R818" s="2" t="inlineStr"/>
    </row>
    <row r="819" ht="15" customHeight="1">
      <c r="A819" t="inlineStr">
        <is>
          <t>A 59873-2024</t>
        </is>
      </c>
      <c r="B819" s="1" t="n">
        <v>45640.57305555556</v>
      </c>
      <c r="C819" s="1" t="n">
        <v>46077</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46415-2025</t>
        </is>
      </c>
      <c r="B820" s="1" t="n">
        <v>45925.58636574074</v>
      </c>
      <c r="C820" s="1" t="n">
        <v>46077</v>
      </c>
      <c r="D820" t="inlineStr">
        <is>
          <t>STOCKHOLMS LÄN</t>
        </is>
      </c>
      <c r="E820" t="inlineStr">
        <is>
          <t>NORRTÄLJE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22412-2021</t>
        </is>
      </c>
      <c r="B821" s="1" t="n">
        <v>44326.61967592593</v>
      </c>
      <c r="C821" s="1" t="n">
        <v>46077</v>
      </c>
      <c r="D821" t="inlineStr">
        <is>
          <t>STOCKHOLMS LÄN</t>
        </is>
      </c>
      <c r="E821" t="inlineStr">
        <is>
          <t>NORRTÄLJE</t>
        </is>
      </c>
      <c r="G821" t="n">
        <v>1.7</v>
      </c>
      <c r="H821" t="n">
        <v>0</v>
      </c>
      <c r="I821" t="n">
        <v>0</v>
      </c>
      <c r="J821" t="n">
        <v>0</v>
      </c>
      <c r="K821" t="n">
        <v>0</v>
      </c>
      <c r="L821" t="n">
        <v>0</v>
      </c>
      <c r="M821" t="n">
        <v>0</v>
      </c>
      <c r="N821" t="n">
        <v>0</v>
      </c>
      <c r="O821" t="n">
        <v>0</v>
      </c>
      <c r="P821" t="n">
        <v>0</v>
      </c>
      <c r="Q821" t="n">
        <v>0</v>
      </c>
      <c r="R821" s="2" t="inlineStr"/>
    </row>
    <row r="822" ht="15" customHeight="1">
      <c r="A822" t="inlineStr">
        <is>
          <t>A 48161-2022</t>
        </is>
      </c>
      <c r="B822" s="1" t="n">
        <v>44858</v>
      </c>
      <c r="C822" s="1" t="n">
        <v>46077</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43150-2023</t>
        </is>
      </c>
      <c r="B823" s="1" t="n">
        <v>45183</v>
      </c>
      <c r="C823" s="1" t="n">
        <v>46077</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47460-2025</t>
        </is>
      </c>
      <c r="B824" s="1" t="n">
        <v>45930.66012731481</v>
      </c>
      <c r="C824" s="1" t="n">
        <v>46077</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46900-2025</t>
        </is>
      </c>
      <c r="B825" s="1" t="n">
        <v>45929.38712962963</v>
      </c>
      <c r="C825" s="1" t="n">
        <v>46077</v>
      </c>
      <c r="D825" t="inlineStr">
        <is>
          <t>STOCKHOLMS LÄN</t>
        </is>
      </c>
      <c r="E825" t="inlineStr">
        <is>
          <t>NORRTÄLJE</t>
        </is>
      </c>
      <c r="F825" t="inlineStr">
        <is>
          <t>Holmen skog AB</t>
        </is>
      </c>
      <c r="G825" t="n">
        <v>6.2</v>
      </c>
      <c r="H825" t="n">
        <v>0</v>
      </c>
      <c r="I825" t="n">
        <v>0</v>
      </c>
      <c r="J825" t="n">
        <v>0</v>
      </c>
      <c r="K825" t="n">
        <v>0</v>
      </c>
      <c r="L825" t="n">
        <v>0</v>
      </c>
      <c r="M825" t="n">
        <v>0</v>
      </c>
      <c r="N825" t="n">
        <v>0</v>
      </c>
      <c r="O825" t="n">
        <v>0</v>
      </c>
      <c r="P825" t="n">
        <v>0</v>
      </c>
      <c r="Q825" t="n">
        <v>0</v>
      </c>
      <c r="R825" s="2" t="inlineStr"/>
    </row>
    <row r="826" ht="15" customHeight="1">
      <c r="A826" t="inlineStr">
        <is>
          <t>A 47498-2025</t>
        </is>
      </c>
      <c r="B826" s="1" t="n">
        <v>45930.8134375</v>
      </c>
      <c r="C826" s="1" t="n">
        <v>46077</v>
      </c>
      <c r="D826" t="inlineStr">
        <is>
          <t>STOCKHOLMS LÄN</t>
        </is>
      </c>
      <c r="E826" t="inlineStr">
        <is>
          <t>NORRTÄLJE</t>
        </is>
      </c>
      <c r="F826" t="inlineStr">
        <is>
          <t>Holmen skog AB</t>
        </is>
      </c>
      <c r="G826" t="n">
        <v>1.7</v>
      </c>
      <c r="H826" t="n">
        <v>0</v>
      </c>
      <c r="I826" t="n">
        <v>0</v>
      </c>
      <c r="J826" t="n">
        <v>0</v>
      </c>
      <c r="K826" t="n">
        <v>0</v>
      </c>
      <c r="L826" t="n">
        <v>0</v>
      </c>
      <c r="M826" t="n">
        <v>0</v>
      </c>
      <c r="N826" t="n">
        <v>0</v>
      </c>
      <c r="O826" t="n">
        <v>0</v>
      </c>
      <c r="P826" t="n">
        <v>0</v>
      </c>
      <c r="Q826" t="n">
        <v>0</v>
      </c>
      <c r="R826" s="2" t="inlineStr"/>
    </row>
    <row r="827" ht="15" customHeight="1">
      <c r="A827" t="inlineStr">
        <is>
          <t>A 59534-2024</t>
        </is>
      </c>
      <c r="B827" s="1" t="n">
        <v>45638.5987037037</v>
      </c>
      <c r="C827" s="1" t="n">
        <v>46077</v>
      </c>
      <c r="D827" t="inlineStr">
        <is>
          <t>STOCKHOLMS LÄN</t>
        </is>
      </c>
      <c r="E827" t="inlineStr">
        <is>
          <t>NORRTÄLJE</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23307-2024</t>
        </is>
      </c>
      <c r="B828" s="1" t="n">
        <v>45453</v>
      </c>
      <c r="C828" s="1" t="n">
        <v>46077</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47496-2025</t>
        </is>
      </c>
      <c r="B829" s="1" t="n">
        <v>45930.79252314815</v>
      </c>
      <c r="C829" s="1" t="n">
        <v>46077</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47497-2025</t>
        </is>
      </c>
      <c r="B830" s="1" t="n">
        <v>45930.80217592593</v>
      </c>
      <c r="C830" s="1" t="n">
        <v>46077</v>
      </c>
      <c r="D830" t="inlineStr">
        <is>
          <t>STOCKHOLMS LÄN</t>
        </is>
      </c>
      <c r="E830" t="inlineStr">
        <is>
          <t>NORRTÄLJE</t>
        </is>
      </c>
      <c r="F830" t="inlineStr">
        <is>
          <t>Holmen skog AB</t>
        </is>
      </c>
      <c r="G830" t="n">
        <v>1</v>
      </c>
      <c r="H830" t="n">
        <v>0</v>
      </c>
      <c r="I830" t="n">
        <v>0</v>
      </c>
      <c r="J830" t="n">
        <v>0</v>
      </c>
      <c r="K830" t="n">
        <v>0</v>
      </c>
      <c r="L830" t="n">
        <v>0</v>
      </c>
      <c r="M830" t="n">
        <v>0</v>
      </c>
      <c r="N830" t="n">
        <v>0</v>
      </c>
      <c r="O830" t="n">
        <v>0</v>
      </c>
      <c r="P830" t="n">
        <v>0</v>
      </c>
      <c r="Q830" t="n">
        <v>0</v>
      </c>
      <c r="R830" s="2" t="inlineStr"/>
    </row>
    <row r="831" ht="15" customHeight="1">
      <c r="A831" t="inlineStr">
        <is>
          <t>A 19450-2025</t>
        </is>
      </c>
      <c r="B831" s="1" t="n">
        <v>45770</v>
      </c>
      <c r="C831" s="1" t="n">
        <v>46077</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2281-2024</t>
        </is>
      </c>
      <c r="B832" s="1" t="n">
        <v>45310.40628472222</v>
      </c>
      <c r="C832" s="1" t="n">
        <v>46077</v>
      </c>
      <c r="D832" t="inlineStr">
        <is>
          <t>STOCKHOLMS LÄN</t>
        </is>
      </c>
      <c r="E832" t="inlineStr">
        <is>
          <t>NORRTÄLJE</t>
        </is>
      </c>
      <c r="G832" t="n">
        <v>2.7</v>
      </c>
      <c r="H832" t="n">
        <v>0</v>
      </c>
      <c r="I832" t="n">
        <v>0</v>
      </c>
      <c r="J832" t="n">
        <v>0</v>
      </c>
      <c r="K832" t="n">
        <v>0</v>
      </c>
      <c r="L832" t="n">
        <v>0</v>
      </c>
      <c r="M832" t="n">
        <v>0</v>
      </c>
      <c r="N832" t="n">
        <v>0</v>
      </c>
      <c r="O832" t="n">
        <v>0</v>
      </c>
      <c r="P832" t="n">
        <v>0</v>
      </c>
      <c r="Q832" t="n">
        <v>0</v>
      </c>
      <c r="R832" s="2" t="inlineStr"/>
    </row>
    <row r="833" ht="15" customHeight="1">
      <c r="A833" t="inlineStr">
        <is>
          <t>A 2287-2024</t>
        </is>
      </c>
      <c r="B833" s="1" t="n">
        <v>45310</v>
      </c>
      <c r="C833" s="1" t="n">
        <v>46077</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20618-2022</t>
        </is>
      </c>
      <c r="B834" s="1" t="n">
        <v>44700.50659722222</v>
      </c>
      <c r="C834" s="1" t="n">
        <v>46077</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59504-2023</t>
        </is>
      </c>
      <c r="B835" s="1" t="n">
        <v>45254</v>
      </c>
      <c r="C835" s="1" t="n">
        <v>46077</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48718-2025</t>
        </is>
      </c>
      <c r="B836" s="1" t="n">
        <v>45936</v>
      </c>
      <c r="C836" s="1" t="n">
        <v>46077</v>
      </c>
      <c r="D836" t="inlineStr">
        <is>
          <t>STOCKHOLMS LÄN</t>
        </is>
      </c>
      <c r="E836" t="inlineStr">
        <is>
          <t>NORRTÄLJE</t>
        </is>
      </c>
      <c r="G836" t="n">
        <v>2.1</v>
      </c>
      <c r="H836" t="n">
        <v>0</v>
      </c>
      <c r="I836" t="n">
        <v>0</v>
      </c>
      <c r="J836" t="n">
        <v>0</v>
      </c>
      <c r="K836" t="n">
        <v>0</v>
      </c>
      <c r="L836" t="n">
        <v>0</v>
      </c>
      <c r="M836" t="n">
        <v>0</v>
      </c>
      <c r="N836" t="n">
        <v>0</v>
      </c>
      <c r="O836" t="n">
        <v>0</v>
      </c>
      <c r="P836" t="n">
        <v>0</v>
      </c>
      <c r="Q836" t="n">
        <v>0</v>
      </c>
      <c r="R836" s="2" t="inlineStr"/>
    </row>
    <row r="837" ht="15" customHeight="1">
      <c r="A837" t="inlineStr">
        <is>
          <t>A 48360-2025</t>
        </is>
      </c>
      <c r="B837" s="1" t="n">
        <v>45933.66253472222</v>
      </c>
      <c r="C837" s="1" t="n">
        <v>46077</v>
      </c>
      <c r="D837" t="inlineStr">
        <is>
          <t>STOCKHOLMS LÄN</t>
        </is>
      </c>
      <c r="E837" t="inlineStr">
        <is>
          <t>NORRTÄLJE</t>
        </is>
      </c>
      <c r="G837" t="n">
        <v>4.1</v>
      </c>
      <c r="H837" t="n">
        <v>0</v>
      </c>
      <c r="I837" t="n">
        <v>0</v>
      </c>
      <c r="J837" t="n">
        <v>0</v>
      </c>
      <c r="K837" t="n">
        <v>0</v>
      </c>
      <c r="L837" t="n">
        <v>0</v>
      </c>
      <c r="M837" t="n">
        <v>0</v>
      </c>
      <c r="N837" t="n">
        <v>0</v>
      </c>
      <c r="O837" t="n">
        <v>0</v>
      </c>
      <c r="P837" t="n">
        <v>0</v>
      </c>
      <c r="Q837" t="n">
        <v>0</v>
      </c>
      <c r="R837" s="2" t="inlineStr"/>
    </row>
    <row r="838" ht="15" customHeight="1">
      <c r="A838" t="inlineStr">
        <is>
          <t>A 48370-2025</t>
        </is>
      </c>
      <c r="B838" s="1" t="n">
        <v>45933.67854166667</v>
      </c>
      <c r="C838" s="1" t="n">
        <v>46077</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48443-2025</t>
        </is>
      </c>
      <c r="B839" s="1" t="n">
        <v>45935.55326388889</v>
      </c>
      <c r="C839" s="1" t="n">
        <v>46077</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25656-2023</t>
        </is>
      </c>
      <c r="B840" s="1" t="n">
        <v>45089</v>
      </c>
      <c r="C840" s="1" t="n">
        <v>46077</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38049-2023</t>
        </is>
      </c>
      <c r="B841" s="1" t="n">
        <v>45159</v>
      </c>
      <c r="C841" s="1" t="n">
        <v>46077</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48127-2025</t>
        </is>
      </c>
      <c r="B842" s="1" t="n">
        <v>45933.36621527778</v>
      </c>
      <c r="C842" s="1" t="n">
        <v>46077</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48364-2025</t>
        </is>
      </c>
      <c r="B843" s="1" t="n">
        <v>45933.66796296297</v>
      </c>
      <c r="C843" s="1" t="n">
        <v>46077</v>
      </c>
      <c r="D843" t="inlineStr">
        <is>
          <t>STOCKHOLMS LÄN</t>
        </is>
      </c>
      <c r="E843" t="inlineStr">
        <is>
          <t>NORRTÄLJE</t>
        </is>
      </c>
      <c r="G843" t="n">
        <v>0.7</v>
      </c>
      <c r="H843" t="n">
        <v>0</v>
      </c>
      <c r="I843" t="n">
        <v>0</v>
      </c>
      <c r="J843" t="n">
        <v>0</v>
      </c>
      <c r="K843" t="n">
        <v>0</v>
      </c>
      <c r="L843" t="n">
        <v>0</v>
      </c>
      <c r="M843" t="n">
        <v>0</v>
      </c>
      <c r="N843" t="n">
        <v>0</v>
      </c>
      <c r="O843" t="n">
        <v>0</v>
      </c>
      <c r="P843" t="n">
        <v>0</v>
      </c>
      <c r="Q843" t="n">
        <v>0</v>
      </c>
      <c r="R843" s="2" t="inlineStr"/>
    </row>
    <row r="844" ht="15" customHeight="1">
      <c r="A844" t="inlineStr">
        <is>
          <t>A 3966-2024</t>
        </is>
      </c>
      <c r="B844" s="1" t="n">
        <v>45322</v>
      </c>
      <c r="C844" s="1" t="n">
        <v>46077</v>
      </c>
      <c r="D844" t="inlineStr">
        <is>
          <t>STOCKHOLMS LÄN</t>
        </is>
      </c>
      <c r="E844" t="inlineStr">
        <is>
          <t>NORRTÄLJE</t>
        </is>
      </c>
      <c r="G844" t="n">
        <v>5.3</v>
      </c>
      <c r="H844" t="n">
        <v>0</v>
      </c>
      <c r="I844" t="n">
        <v>0</v>
      </c>
      <c r="J844" t="n">
        <v>0</v>
      </c>
      <c r="K844" t="n">
        <v>0</v>
      </c>
      <c r="L844" t="n">
        <v>0</v>
      </c>
      <c r="M844" t="n">
        <v>0</v>
      </c>
      <c r="N844" t="n">
        <v>0</v>
      </c>
      <c r="O844" t="n">
        <v>0</v>
      </c>
      <c r="P844" t="n">
        <v>0</v>
      </c>
      <c r="Q844" t="n">
        <v>0</v>
      </c>
      <c r="R844" s="2" t="inlineStr"/>
    </row>
    <row r="845" ht="15" customHeight="1">
      <c r="A845" t="inlineStr">
        <is>
          <t>A 48179-2025</t>
        </is>
      </c>
      <c r="B845" s="1" t="n">
        <v>45933.44907407407</v>
      </c>
      <c r="C845" s="1" t="n">
        <v>46077</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17348-2024</t>
        </is>
      </c>
      <c r="B846" s="1" t="n">
        <v>45414.58650462963</v>
      </c>
      <c r="C846" s="1" t="n">
        <v>46077</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48174-2025</t>
        </is>
      </c>
      <c r="B847" s="1" t="n">
        <v>45933.44230324074</v>
      </c>
      <c r="C847" s="1" t="n">
        <v>46077</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38591-2023</t>
        </is>
      </c>
      <c r="B848" s="1" t="n">
        <v>45162</v>
      </c>
      <c r="C848" s="1" t="n">
        <v>46077</v>
      </c>
      <c r="D848" t="inlineStr">
        <is>
          <t>STOCKHOLMS LÄN</t>
        </is>
      </c>
      <c r="E848" t="inlineStr">
        <is>
          <t>NORRTÄLJE</t>
        </is>
      </c>
      <c r="F848" t="inlineStr">
        <is>
          <t>Övriga Aktiebolag</t>
        </is>
      </c>
      <c r="G848" t="n">
        <v>3.1</v>
      </c>
      <c r="H848" t="n">
        <v>0</v>
      </c>
      <c r="I848" t="n">
        <v>0</v>
      </c>
      <c r="J848" t="n">
        <v>0</v>
      </c>
      <c r="K848" t="n">
        <v>0</v>
      </c>
      <c r="L848" t="n">
        <v>0</v>
      </c>
      <c r="M848" t="n">
        <v>0</v>
      </c>
      <c r="N848" t="n">
        <v>0</v>
      </c>
      <c r="O848" t="n">
        <v>0</v>
      </c>
      <c r="P848" t="n">
        <v>0</v>
      </c>
      <c r="Q848" t="n">
        <v>0</v>
      </c>
      <c r="R848" s="2" t="inlineStr"/>
    </row>
    <row r="849" ht="15" customHeight="1">
      <c r="A849" t="inlineStr">
        <is>
          <t>A 3273-2025</t>
        </is>
      </c>
      <c r="B849" s="1" t="n">
        <v>45679</v>
      </c>
      <c r="C849" s="1" t="n">
        <v>46077</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48593-2025</t>
        </is>
      </c>
      <c r="B850" s="1" t="n">
        <v>45936.4627662037</v>
      </c>
      <c r="C850" s="1" t="n">
        <v>46077</v>
      </c>
      <c r="D850" t="inlineStr">
        <is>
          <t>STOCKHOLMS LÄN</t>
        </is>
      </c>
      <c r="E850" t="inlineStr">
        <is>
          <t>NORRTÄLJE</t>
        </is>
      </c>
      <c r="G850" t="n">
        <v>4.2</v>
      </c>
      <c r="H850" t="n">
        <v>0</v>
      </c>
      <c r="I850" t="n">
        <v>0</v>
      </c>
      <c r="J850" t="n">
        <v>0</v>
      </c>
      <c r="K850" t="n">
        <v>0</v>
      </c>
      <c r="L850" t="n">
        <v>0</v>
      </c>
      <c r="M850" t="n">
        <v>0</v>
      </c>
      <c r="N850" t="n">
        <v>0</v>
      </c>
      <c r="O850" t="n">
        <v>0</v>
      </c>
      <c r="P850" t="n">
        <v>0</v>
      </c>
      <c r="Q850" t="n">
        <v>0</v>
      </c>
      <c r="R850" s="2" t="inlineStr"/>
    </row>
    <row r="851" ht="15" customHeight="1">
      <c r="A851" t="inlineStr">
        <is>
          <t>A 49129-2025</t>
        </is>
      </c>
      <c r="B851" s="1" t="n">
        <v>45937.89517361111</v>
      </c>
      <c r="C851" s="1" t="n">
        <v>46077</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34461-2023</t>
        </is>
      </c>
      <c r="B852" s="1" t="n">
        <v>45139</v>
      </c>
      <c r="C852" s="1" t="n">
        <v>46077</v>
      </c>
      <c r="D852" t="inlineStr">
        <is>
          <t>STOCKHOLMS LÄN</t>
        </is>
      </c>
      <c r="E852" t="inlineStr">
        <is>
          <t>NORRTÄLJE</t>
        </is>
      </c>
      <c r="G852" t="n">
        <v>1.4</v>
      </c>
      <c r="H852" t="n">
        <v>0</v>
      </c>
      <c r="I852" t="n">
        <v>0</v>
      </c>
      <c r="J852" t="n">
        <v>0</v>
      </c>
      <c r="K852" t="n">
        <v>0</v>
      </c>
      <c r="L852" t="n">
        <v>0</v>
      </c>
      <c r="M852" t="n">
        <v>0</v>
      </c>
      <c r="N852" t="n">
        <v>0</v>
      </c>
      <c r="O852" t="n">
        <v>0</v>
      </c>
      <c r="P852" t="n">
        <v>0</v>
      </c>
      <c r="Q852" t="n">
        <v>0</v>
      </c>
      <c r="R852" s="2" t="inlineStr"/>
    </row>
    <row r="853" ht="15" customHeight="1">
      <c r="A853" t="inlineStr">
        <is>
          <t>A 48780-2025</t>
        </is>
      </c>
      <c r="B853" s="1" t="n">
        <v>45937.30377314815</v>
      </c>
      <c r="C853" s="1" t="n">
        <v>46077</v>
      </c>
      <c r="D853" t="inlineStr">
        <is>
          <t>STOCKHOLMS LÄN</t>
        </is>
      </c>
      <c r="E853" t="inlineStr">
        <is>
          <t>NORRTÄLJE</t>
        </is>
      </c>
      <c r="G853" t="n">
        <v>7.7</v>
      </c>
      <c r="H853" t="n">
        <v>0</v>
      </c>
      <c r="I853" t="n">
        <v>0</v>
      </c>
      <c r="J853" t="n">
        <v>0</v>
      </c>
      <c r="K853" t="n">
        <v>0</v>
      </c>
      <c r="L853" t="n">
        <v>0</v>
      </c>
      <c r="M853" t="n">
        <v>0</v>
      </c>
      <c r="N853" t="n">
        <v>0</v>
      </c>
      <c r="O853" t="n">
        <v>0</v>
      </c>
      <c r="P853" t="n">
        <v>0</v>
      </c>
      <c r="Q853" t="n">
        <v>0</v>
      </c>
      <c r="R853" s="2" t="inlineStr"/>
    </row>
    <row r="854" ht="15" customHeight="1">
      <c r="A854" t="inlineStr">
        <is>
          <t>A 15217-2023</t>
        </is>
      </c>
      <c r="B854" s="1" t="n">
        <v>45019.28847222222</v>
      </c>
      <c r="C854" s="1" t="n">
        <v>46077</v>
      </c>
      <c r="D854" t="inlineStr">
        <is>
          <t>STOCKHOLMS LÄN</t>
        </is>
      </c>
      <c r="E854" t="inlineStr">
        <is>
          <t>NORRTÄLJE</t>
        </is>
      </c>
      <c r="G854" t="n">
        <v>3.6</v>
      </c>
      <c r="H854" t="n">
        <v>0</v>
      </c>
      <c r="I854" t="n">
        <v>0</v>
      </c>
      <c r="J854" t="n">
        <v>0</v>
      </c>
      <c r="K854" t="n">
        <v>0</v>
      </c>
      <c r="L854" t="n">
        <v>0</v>
      </c>
      <c r="M854" t="n">
        <v>0</v>
      </c>
      <c r="N854" t="n">
        <v>0</v>
      </c>
      <c r="O854" t="n">
        <v>0</v>
      </c>
      <c r="P854" t="n">
        <v>0</v>
      </c>
      <c r="Q854" t="n">
        <v>0</v>
      </c>
      <c r="R854" s="2" t="inlineStr"/>
    </row>
    <row r="855" ht="15" customHeight="1">
      <c r="A855" t="inlineStr">
        <is>
          <t>A 24522-2023</t>
        </is>
      </c>
      <c r="B855" s="1" t="n">
        <v>45082.69179398148</v>
      </c>
      <c r="C855" s="1" t="n">
        <v>46077</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29176-2024</t>
        </is>
      </c>
      <c r="B856" s="1" t="n">
        <v>45482.53388888889</v>
      </c>
      <c r="C856" s="1" t="n">
        <v>46077</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49836-2025</t>
        </is>
      </c>
      <c r="B857" s="1" t="n">
        <v>45940.46862268518</v>
      </c>
      <c r="C857" s="1" t="n">
        <v>46077</v>
      </c>
      <c r="D857" t="inlineStr">
        <is>
          <t>STOCKHOLMS LÄN</t>
        </is>
      </c>
      <c r="E857" t="inlineStr">
        <is>
          <t>NORRTÄLJE</t>
        </is>
      </c>
      <c r="G857" t="n">
        <v>3.5</v>
      </c>
      <c r="H857" t="n">
        <v>0</v>
      </c>
      <c r="I857" t="n">
        <v>0</v>
      </c>
      <c r="J857" t="n">
        <v>0</v>
      </c>
      <c r="K857" t="n">
        <v>0</v>
      </c>
      <c r="L857" t="n">
        <v>0</v>
      </c>
      <c r="M857" t="n">
        <v>0</v>
      </c>
      <c r="N857" t="n">
        <v>0</v>
      </c>
      <c r="O857" t="n">
        <v>0</v>
      </c>
      <c r="P857" t="n">
        <v>0</v>
      </c>
      <c r="Q857" t="n">
        <v>0</v>
      </c>
      <c r="R857" s="2" t="inlineStr"/>
    </row>
    <row r="858" ht="15" customHeight="1">
      <c r="A858" t="inlineStr">
        <is>
          <t>A 4596-2023</t>
        </is>
      </c>
      <c r="B858" s="1" t="n">
        <v>44956</v>
      </c>
      <c r="C858" s="1" t="n">
        <v>46077</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4438-2023</t>
        </is>
      </c>
      <c r="B859" s="1" t="n">
        <v>44956</v>
      </c>
      <c r="C859" s="1" t="n">
        <v>46077</v>
      </c>
      <c r="D859" t="inlineStr">
        <is>
          <t>STOCKHOLMS LÄN</t>
        </is>
      </c>
      <c r="E859" t="inlineStr">
        <is>
          <t>NORRTÄLJE</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24727-2023</t>
        </is>
      </c>
      <c r="B860" s="1" t="n">
        <v>45084.57695601852</v>
      </c>
      <c r="C860" s="1" t="n">
        <v>46077</v>
      </c>
      <c r="D860" t="inlineStr">
        <is>
          <t>STOCKHOLMS LÄN</t>
        </is>
      </c>
      <c r="E860" t="inlineStr">
        <is>
          <t>NORRTÄLJE</t>
        </is>
      </c>
      <c r="F860" t="inlineStr">
        <is>
          <t>Holmen skog AB</t>
        </is>
      </c>
      <c r="G860" t="n">
        <v>2.2</v>
      </c>
      <c r="H860" t="n">
        <v>0</v>
      </c>
      <c r="I860" t="n">
        <v>0</v>
      </c>
      <c r="J860" t="n">
        <v>0</v>
      </c>
      <c r="K860" t="n">
        <v>0</v>
      </c>
      <c r="L860" t="n">
        <v>0</v>
      </c>
      <c r="M860" t="n">
        <v>0</v>
      </c>
      <c r="N860" t="n">
        <v>0</v>
      </c>
      <c r="O860" t="n">
        <v>0</v>
      </c>
      <c r="P860" t="n">
        <v>0</v>
      </c>
      <c r="Q860" t="n">
        <v>0</v>
      </c>
      <c r="R860" s="2" t="inlineStr"/>
    </row>
    <row r="861" ht="15" customHeight="1">
      <c r="A861" t="inlineStr">
        <is>
          <t>A 59904-2023</t>
        </is>
      </c>
      <c r="B861" s="1" t="n">
        <v>45257</v>
      </c>
      <c r="C861" s="1" t="n">
        <v>46077</v>
      </c>
      <c r="D861" t="inlineStr">
        <is>
          <t>STOCKHOLMS LÄN</t>
        </is>
      </c>
      <c r="E861" t="inlineStr">
        <is>
          <t>NORRTÄLJE</t>
        </is>
      </c>
      <c r="G861" t="n">
        <v>17.4</v>
      </c>
      <c r="H861" t="n">
        <v>0</v>
      </c>
      <c r="I861" t="n">
        <v>0</v>
      </c>
      <c r="J861" t="n">
        <v>0</v>
      </c>
      <c r="K861" t="n">
        <v>0</v>
      </c>
      <c r="L861" t="n">
        <v>0</v>
      </c>
      <c r="M861" t="n">
        <v>0</v>
      </c>
      <c r="N861" t="n">
        <v>0</v>
      </c>
      <c r="O861" t="n">
        <v>0</v>
      </c>
      <c r="P861" t="n">
        <v>0</v>
      </c>
      <c r="Q861" t="n">
        <v>0</v>
      </c>
      <c r="R861" s="2" t="inlineStr"/>
    </row>
    <row r="862" ht="15" customHeight="1">
      <c r="A862" t="inlineStr">
        <is>
          <t>A 36308-2022</t>
        </is>
      </c>
      <c r="B862" s="1" t="n">
        <v>44803</v>
      </c>
      <c r="C862" s="1" t="n">
        <v>46077</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50097-2025</t>
        </is>
      </c>
      <c r="B863" s="1" t="n">
        <v>45943.50207175926</v>
      </c>
      <c r="C863" s="1" t="n">
        <v>46077</v>
      </c>
      <c r="D863" t="inlineStr">
        <is>
          <t>STOCKHOLMS LÄN</t>
        </is>
      </c>
      <c r="E863" t="inlineStr">
        <is>
          <t>NORRTÄLJE</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50333-2025</t>
        </is>
      </c>
      <c r="B864" s="1" t="n">
        <v>45944.47178240741</v>
      </c>
      <c r="C864" s="1" t="n">
        <v>46077</v>
      </c>
      <c r="D864" t="inlineStr">
        <is>
          <t>STOCKHOLMS LÄN</t>
        </is>
      </c>
      <c r="E864" t="inlineStr">
        <is>
          <t>NORRTÄLJE</t>
        </is>
      </c>
      <c r="G864" t="n">
        <v>4.2</v>
      </c>
      <c r="H864" t="n">
        <v>0</v>
      </c>
      <c r="I864" t="n">
        <v>0</v>
      </c>
      <c r="J864" t="n">
        <v>0</v>
      </c>
      <c r="K864" t="n">
        <v>0</v>
      </c>
      <c r="L864" t="n">
        <v>0</v>
      </c>
      <c r="M864" t="n">
        <v>0</v>
      </c>
      <c r="N864" t="n">
        <v>0</v>
      </c>
      <c r="O864" t="n">
        <v>0</v>
      </c>
      <c r="P864" t="n">
        <v>0</v>
      </c>
      <c r="Q864" t="n">
        <v>0</v>
      </c>
      <c r="R864" s="2" t="inlineStr"/>
    </row>
    <row r="865" ht="15" customHeight="1">
      <c r="A865" t="inlineStr">
        <is>
          <t>A 50563-2025</t>
        </is>
      </c>
      <c r="B865" s="1" t="n">
        <v>45944</v>
      </c>
      <c r="C865" s="1" t="n">
        <v>46077</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50327-2025</t>
        </is>
      </c>
      <c r="B866" s="1" t="n">
        <v>45944.46387731482</v>
      </c>
      <c r="C866" s="1" t="n">
        <v>46077</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18787-2022</t>
        </is>
      </c>
      <c r="B867" s="1" t="n">
        <v>44687</v>
      </c>
      <c r="C867" s="1" t="n">
        <v>46077</v>
      </c>
      <c r="D867" t="inlineStr">
        <is>
          <t>STOCKHOLMS LÄN</t>
        </is>
      </c>
      <c r="E867" t="inlineStr">
        <is>
          <t>NORRTÄLJE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51240-2025</t>
        </is>
      </c>
      <c r="B868" s="1" t="n">
        <v>45947.70420138889</v>
      </c>
      <c r="C868" s="1" t="n">
        <v>46077</v>
      </c>
      <c r="D868" t="inlineStr">
        <is>
          <t>STOCKHOLMS LÄN</t>
        </is>
      </c>
      <c r="E868" t="inlineStr">
        <is>
          <t>NORRTÄLJE</t>
        </is>
      </c>
      <c r="F868" t="inlineStr">
        <is>
          <t>Naturvårdsverket</t>
        </is>
      </c>
      <c r="G868" t="n">
        <v>3</v>
      </c>
      <c r="H868" t="n">
        <v>0</v>
      </c>
      <c r="I868" t="n">
        <v>0</v>
      </c>
      <c r="J868" t="n">
        <v>0</v>
      </c>
      <c r="K868" t="n">
        <v>0</v>
      </c>
      <c r="L868" t="n">
        <v>0</v>
      </c>
      <c r="M868" t="n">
        <v>0</v>
      </c>
      <c r="N868" t="n">
        <v>0</v>
      </c>
      <c r="O868" t="n">
        <v>0</v>
      </c>
      <c r="P868" t="n">
        <v>0</v>
      </c>
      <c r="Q868" t="n">
        <v>0</v>
      </c>
      <c r="R868" s="2" t="inlineStr"/>
    </row>
    <row r="869" ht="15" customHeight="1">
      <c r="A869" t="inlineStr">
        <is>
          <t>A 59477-2025</t>
        </is>
      </c>
      <c r="B869" s="1" t="n">
        <v>45989.58679398148</v>
      </c>
      <c r="C869" s="1" t="n">
        <v>46077</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51121-2025</t>
        </is>
      </c>
      <c r="B870" s="1" t="n">
        <v>45947.53293981482</v>
      </c>
      <c r="C870" s="1" t="n">
        <v>46077</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51532-2025</t>
        </is>
      </c>
      <c r="B871" s="1" t="n">
        <v>45950.68297453703</v>
      </c>
      <c r="C871" s="1" t="n">
        <v>46077</v>
      </c>
      <c r="D871" t="inlineStr">
        <is>
          <t>STOCKHOLMS LÄN</t>
        </is>
      </c>
      <c r="E871" t="inlineStr">
        <is>
          <t>NORRTÄLJE</t>
        </is>
      </c>
      <c r="F871" t="inlineStr">
        <is>
          <t>Naturvårdsverket</t>
        </is>
      </c>
      <c r="G871" t="n">
        <v>17.3</v>
      </c>
      <c r="H871" t="n">
        <v>0</v>
      </c>
      <c r="I871" t="n">
        <v>0</v>
      </c>
      <c r="J871" t="n">
        <v>0</v>
      </c>
      <c r="K871" t="n">
        <v>0</v>
      </c>
      <c r="L871" t="n">
        <v>0</v>
      </c>
      <c r="M871" t="n">
        <v>0</v>
      </c>
      <c r="N871" t="n">
        <v>0</v>
      </c>
      <c r="O871" t="n">
        <v>0</v>
      </c>
      <c r="P871" t="n">
        <v>0</v>
      </c>
      <c r="Q871" t="n">
        <v>0</v>
      </c>
      <c r="R871" s="2" t="inlineStr"/>
    </row>
    <row r="872" ht="15" customHeight="1">
      <c r="A872" t="inlineStr">
        <is>
          <t>A 50108-2021</t>
        </is>
      </c>
      <c r="B872" s="1" t="n">
        <v>44456</v>
      </c>
      <c r="C872" s="1" t="n">
        <v>46077</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51233-2025</t>
        </is>
      </c>
      <c r="B873" s="1" t="n">
        <v>45947.68232638889</v>
      </c>
      <c r="C873" s="1" t="n">
        <v>46077</v>
      </c>
      <c r="D873" t="inlineStr">
        <is>
          <t>STOCKHOLMS LÄN</t>
        </is>
      </c>
      <c r="E873" t="inlineStr">
        <is>
          <t>NORRTÄLJE</t>
        </is>
      </c>
      <c r="F873" t="inlineStr">
        <is>
          <t>Naturvårdsverket</t>
        </is>
      </c>
      <c r="G873" t="n">
        <v>8.1</v>
      </c>
      <c r="H873" t="n">
        <v>0</v>
      </c>
      <c r="I873" t="n">
        <v>0</v>
      </c>
      <c r="J873" t="n">
        <v>0</v>
      </c>
      <c r="K873" t="n">
        <v>0</v>
      </c>
      <c r="L873" t="n">
        <v>0</v>
      </c>
      <c r="M873" t="n">
        <v>0</v>
      </c>
      <c r="N873" t="n">
        <v>0</v>
      </c>
      <c r="O873" t="n">
        <v>0</v>
      </c>
      <c r="P873" t="n">
        <v>0</v>
      </c>
      <c r="Q873" t="n">
        <v>0</v>
      </c>
      <c r="R873" s="2" t="inlineStr"/>
    </row>
    <row r="874" ht="15" customHeight="1">
      <c r="A874" t="inlineStr">
        <is>
          <t>A 51236-2025</t>
        </is>
      </c>
      <c r="B874" s="1" t="n">
        <v>45947.69078703703</v>
      </c>
      <c r="C874" s="1" t="n">
        <v>46077</v>
      </c>
      <c r="D874" t="inlineStr">
        <is>
          <t>STOCKHOLMS LÄN</t>
        </is>
      </c>
      <c r="E874" t="inlineStr">
        <is>
          <t>NORRTÄLJE</t>
        </is>
      </c>
      <c r="F874" t="inlineStr">
        <is>
          <t>Naturvårdsverket</t>
        </is>
      </c>
      <c r="G874" t="n">
        <v>6.3</v>
      </c>
      <c r="H874" t="n">
        <v>0</v>
      </c>
      <c r="I874" t="n">
        <v>0</v>
      </c>
      <c r="J874" t="n">
        <v>0</v>
      </c>
      <c r="K874" t="n">
        <v>0</v>
      </c>
      <c r="L874" t="n">
        <v>0</v>
      </c>
      <c r="M874" t="n">
        <v>0</v>
      </c>
      <c r="N874" t="n">
        <v>0</v>
      </c>
      <c r="O874" t="n">
        <v>0</v>
      </c>
      <c r="P874" t="n">
        <v>0</v>
      </c>
      <c r="Q874" t="n">
        <v>0</v>
      </c>
      <c r="R874" s="2" t="inlineStr"/>
    </row>
    <row r="875" ht="15" customHeight="1">
      <c r="A875" t="inlineStr">
        <is>
          <t>A 51241-2025</t>
        </is>
      </c>
      <c r="B875" s="1" t="n">
        <v>45947.71726851852</v>
      </c>
      <c r="C875" s="1" t="n">
        <v>46077</v>
      </c>
      <c r="D875" t="inlineStr">
        <is>
          <t>STOCKHOLMS LÄN</t>
        </is>
      </c>
      <c r="E875" t="inlineStr">
        <is>
          <t>NORRTÄLJE</t>
        </is>
      </c>
      <c r="F875" t="inlineStr">
        <is>
          <t>Naturvårdsverket</t>
        </is>
      </c>
      <c r="G875" t="n">
        <v>6.4</v>
      </c>
      <c r="H875" t="n">
        <v>0</v>
      </c>
      <c r="I875" t="n">
        <v>0</v>
      </c>
      <c r="J875" t="n">
        <v>0</v>
      </c>
      <c r="K875" t="n">
        <v>0</v>
      </c>
      <c r="L875" t="n">
        <v>0</v>
      </c>
      <c r="M875" t="n">
        <v>0</v>
      </c>
      <c r="N875" t="n">
        <v>0</v>
      </c>
      <c r="O875" t="n">
        <v>0</v>
      </c>
      <c r="P875" t="n">
        <v>0</v>
      </c>
      <c r="Q875" t="n">
        <v>0</v>
      </c>
      <c r="R875" s="2" t="inlineStr"/>
    </row>
    <row r="876" ht="15" customHeight="1">
      <c r="A876" t="inlineStr">
        <is>
          <t>A 51122-2025</t>
        </is>
      </c>
      <c r="B876" s="1" t="n">
        <v>45947.53693287037</v>
      </c>
      <c r="C876" s="1" t="n">
        <v>46077</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51945-2025</t>
        </is>
      </c>
      <c r="B877" s="1" t="n">
        <v>45952.52679398148</v>
      </c>
      <c r="C877" s="1" t="n">
        <v>46077</v>
      </c>
      <c r="D877" t="inlineStr">
        <is>
          <t>STOCKHOLMS LÄN</t>
        </is>
      </c>
      <c r="E877" t="inlineStr">
        <is>
          <t>NORRTÄLJE</t>
        </is>
      </c>
      <c r="G877" t="n">
        <v>7</v>
      </c>
      <c r="H877" t="n">
        <v>0</v>
      </c>
      <c r="I877" t="n">
        <v>0</v>
      </c>
      <c r="J877" t="n">
        <v>0</v>
      </c>
      <c r="K877" t="n">
        <v>0</v>
      </c>
      <c r="L877" t="n">
        <v>0</v>
      </c>
      <c r="M877" t="n">
        <v>0</v>
      </c>
      <c r="N877" t="n">
        <v>0</v>
      </c>
      <c r="O877" t="n">
        <v>0</v>
      </c>
      <c r="P877" t="n">
        <v>0</v>
      </c>
      <c r="Q877" t="n">
        <v>0</v>
      </c>
      <c r="R877" s="2" t="inlineStr"/>
    </row>
    <row r="878" ht="15" customHeight="1">
      <c r="A878" t="inlineStr">
        <is>
          <t>A 25621-2022</t>
        </is>
      </c>
      <c r="B878" s="1" t="n">
        <v>44732</v>
      </c>
      <c r="C878" s="1" t="n">
        <v>46077</v>
      </c>
      <c r="D878" t="inlineStr">
        <is>
          <t>STOCKHOLMS LÄN</t>
        </is>
      </c>
      <c r="E878" t="inlineStr">
        <is>
          <t>NORRTÄLJE</t>
        </is>
      </c>
      <c r="G878" t="n">
        <v>3.1</v>
      </c>
      <c r="H878" t="n">
        <v>0</v>
      </c>
      <c r="I878" t="n">
        <v>0</v>
      </c>
      <c r="J878" t="n">
        <v>0</v>
      </c>
      <c r="K878" t="n">
        <v>0</v>
      </c>
      <c r="L878" t="n">
        <v>0</v>
      </c>
      <c r="M878" t="n">
        <v>0</v>
      </c>
      <c r="N878" t="n">
        <v>0</v>
      </c>
      <c r="O878" t="n">
        <v>0</v>
      </c>
      <c r="P878" t="n">
        <v>0</v>
      </c>
      <c r="Q878" t="n">
        <v>0</v>
      </c>
      <c r="R878" s="2" t="inlineStr"/>
    </row>
    <row r="879" ht="15" customHeight="1">
      <c r="A879" t="inlineStr">
        <is>
          <t>A 51941-2025</t>
        </is>
      </c>
      <c r="B879" s="1" t="n">
        <v>45952.52261574074</v>
      </c>
      <c r="C879" s="1" t="n">
        <v>46077</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52061-2025</t>
        </is>
      </c>
      <c r="B880" s="1" t="n">
        <v>45952.63679398148</v>
      </c>
      <c r="C880" s="1" t="n">
        <v>46077</v>
      </c>
      <c r="D880" t="inlineStr">
        <is>
          <t>STOCKHOLMS LÄN</t>
        </is>
      </c>
      <c r="E880" t="inlineStr">
        <is>
          <t>NORRTÄLJE</t>
        </is>
      </c>
      <c r="G880" t="n">
        <v>9.5</v>
      </c>
      <c r="H880" t="n">
        <v>0</v>
      </c>
      <c r="I880" t="n">
        <v>0</v>
      </c>
      <c r="J880" t="n">
        <v>0</v>
      </c>
      <c r="K880" t="n">
        <v>0</v>
      </c>
      <c r="L880" t="n">
        <v>0</v>
      </c>
      <c r="M880" t="n">
        <v>0</v>
      </c>
      <c r="N880" t="n">
        <v>0</v>
      </c>
      <c r="O880" t="n">
        <v>0</v>
      </c>
      <c r="P880" t="n">
        <v>0</v>
      </c>
      <c r="Q880" t="n">
        <v>0</v>
      </c>
      <c r="R880" s="2" t="inlineStr"/>
    </row>
    <row r="881" ht="15" customHeight="1">
      <c r="A881" t="inlineStr">
        <is>
          <t>A 20304-2023</t>
        </is>
      </c>
      <c r="B881" s="1" t="n">
        <v>45056</v>
      </c>
      <c r="C881" s="1" t="n">
        <v>46077</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35235-2024</t>
        </is>
      </c>
      <c r="B882" s="1" t="n">
        <v>45530</v>
      </c>
      <c r="C882" s="1" t="n">
        <v>46077</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51960-2025</t>
        </is>
      </c>
      <c r="B883" s="1" t="n">
        <v>45952.54755787037</v>
      </c>
      <c r="C883" s="1" t="n">
        <v>46077</v>
      </c>
      <c r="D883" t="inlineStr">
        <is>
          <t>STOCKHOLMS LÄN</t>
        </is>
      </c>
      <c r="E883" t="inlineStr">
        <is>
          <t>NORRTÄLJE</t>
        </is>
      </c>
      <c r="G883" t="n">
        <v>2</v>
      </c>
      <c r="H883" t="n">
        <v>0</v>
      </c>
      <c r="I883" t="n">
        <v>0</v>
      </c>
      <c r="J883" t="n">
        <v>0</v>
      </c>
      <c r="K883" t="n">
        <v>0</v>
      </c>
      <c r="L883" t="n">
        <v>0</v>
      </c>
      <c r="M883" t="n">
        <v>0</v>
      </c>
      <c r="N883" t="n">
        <v>0</v>
      </c>
      <c r="O883" t="n">
        <v>0</v>
      </c>
      <c r="P883" t="n">
        <v>0</v>
      </c>
      <c r="Q883" t="n">
        <v>0</v>
      </c>
      <c r="R883" s="2" t="inlineStr"/>
    </row>
    <row r="884" ht="15" customHeight="1">
      <c r="A884" t="inlineStr">
        <is>
          <t>A 51789-2025</t>
        </is>
      </c>
      <c r="B884" s="1" t="n">
        <v>45951.68046296296</v>
      </c>
      <c r="C884" s="1" t="n">
        <v>46077</v>
      </c>
      <c r="D884" t="inlineStr">
        <is>
          <t>STOCKHOLMS LÄN</t>
        </is>
      </c>
      <c r="E884" t="inlineStr">
        <is>
          <t>NORRTÄLJE</t>
        </is>
      </c>
      <c r="F884" t="inlineStr">
        <is>
          <t>Naturvårdsverket</t>
        </is>
      </c>
      <c r="G884" t="n">
        <v>8.9</v>
      </c>
      <c r="H884" t="n">
        <v>0</v>
      </c>
      <c r="I884" t="n">
        <v>0</v>
      </c>
      <c r="J884" t="n">
        <v>0</v>
      </c>
      <c r="K884" t="n">
        <v>0</v>
      </c>
      <c r="L884" t="n">
        <v>0</v>
      </c>
      <c r="M884" t="n">
        <v>0</v>
      </c>
      <c r="N884" t="n">
        <v>0</v>
      </c>
      <c r="O884" t="n">
        <v>0</v>
      </c>
      <c r="P884" t="n">
        <v>0</v>
      </c>
      <c r="Q884" t="n">
        <v>0</v>
      </c>
      <c r="R884" s="2" t="inlineStr"/>
    </row>
    <row r="885" ht="15" customHeight="1">
      <c r="A885" t="inlineStr">
        <is>
          <t>A 51061-2023</t>
        </is>
      </c>
      <c r="B885" s="1" t="n">
        <v>45218.65849537037</v>
      </c>
      <c r="C885" s="1" t="n">
        <v>46077</v>
      </c>
      <c r="D885" t="inlineStr">
        <is>
          <t>STOCKHOLMS LÄN</t>
        </is>
      </c>
      <c r="E885" t="inlineStr">
        <is>
          <t>NORRTÄLJE</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39213-2022</t>
        </is>
      </c>
      <c r="B886" s="1" t="n">
        <v>44817.56120370371</v>
      </c>
      <c r="C886" s="1" t="n">
        <v>46077</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52529-2025</t>
        </is>
      </c>
      <c r="B887" s="1" t="n">
        <v>45954.53229166667</v>
      </c>
      <c r="C887" s="1" t="n">
        <v>46077</v>
      </c>
      <c r="D887" t="inlineStr">
        <is>
          <t>STOCKHOLMS LÄN</t>
        </is>
      </c>
      <c r="E887" t="inlineStr">
        <is>
          <t>NORRTÄLJE</t>
        </is>
      </c>
      <c r="F887" t="inlineStr">
        <is>
          <t>Sveaskog</t>
        </is>
      </c>
      <c r="G887" t="n">
        <v>7.8</v>
      </c>
      <c r="H887" t="n">
        <v>0</v>
      </c>
      <c r="I887" t="n">
        <v>0</v>
      </c>
      <c r="J887" t="n">
        <v>0</v>
      </c>
      <c r="K887" t="n">
        <v>0</v>
      </c>
      <c r="L887" t="n">
        <v>0</v>
      </c>
      <c r="M887" t="n">
        <v>0</v>
      </c>
      <c r="N887" t="n">
        <v>0</v>
      </c>
      <c r="O887" t="n">
        <v>0</v>
      </c>
      <c r="P887" t="n">
        <v>0</v>
      </c>
      <c r="Q887" t="n">
        <v>0</v>
      </c>
      <c r="R887" s="2" t="inlineStr"/>
    </row>
    <row r="888" ht="15" customHeight="1">
      <c r="A888" t="inlineStr">
        <is>
          <t>A 36246-2021</t>
        </is>
      </c>
      <c r="B888" s="1" t="n">
        <v>44390</v>
      </c>
      <c r="C888" s="1" t="n">
        <v>46077</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52251-2025</t>
        </is>
      </c>
      <c r="B889" s="1" t="n">
        <v>45953.49185185185</v>
      </c>
      <c r="C889" s="1" t="n">
        <v>46077</v>
      </c>
      <c r="D889" t="inlineStr">
        <is>
          <t>STOCKHOLMS LÄN</t>
        </is>
      </c>
      <c r="E889" t="inlineStr">
        <is>
          <t>NORRTÄLJE</t>
        </is>
      </c>
      <c r="G889" t="n">
        <v>6.2</v>
      </c>
      <c r="H889" t="n">
        <v>0</v>
      </c>
      <c r="I889" t="n">
        <v>0</v>
      </c>
      <c r="J889" t="n">
        <v>0</v>
      </c>
      <c r="K889" t="n">
        <v>0</v>
      </c>
      <c r="L889" t="n">
        <v>0</v>
      </c>
      <c r="M889" t="n">
        <v>0</v>
      </c>
      <c r="N889" t="n">
        <v>0</v>
      </c>
      <c r="O889" t="n">
        <v>0</v>
      </c>
      <c r="P889" t="n">
        <v>0</v>
      </c>
      <c r="Q889" t="n">
        <v>0</v>
      </c>
      <c r="R889" s="2" t="inlineStr"/>
    </row>
    <row r="890" ht="15" customHeight="1">
      <c r="A890" t="inlineStr">
        <is>
          <t>A 52254-2025</t>
        </is>
      </c>
      <c r="B890" s="1" t="n">
        <v>45953.49519675926</v>
      </c>
      <c r="C890" s="1" t="n">
        <v>46077</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52526-2025</t>
        </is>
      </c>
      <c r="B891" s="1" t="n">
        <v>45954.53061342592</v>
      </c>
      <c r="C891" s="1" t="n">
        <v>46077</v>
      </c>
      <c r="D891" t="inlineStr">
        <is>
          <t>STOCKHOLMS LÄN</t>
        </is>
      </c>
      <c r="E891" t="inlineStr">
        <is>
          <t>NORRTÄLJE</t>
        </is>
      </c>
      <c r="F891" t="inlineStr">
        <is>
          <t>Sveaskog</t>
        </is>
      </c>
      <c r="G891" t="n">
        <v>2.9</v>
      </c>
      <c r="H891" t="n">
        <v>0</v>
      </c>
      <c r="I891" t="n">
        <v>0</v>
      </c>
      <c r="J891" t="n">
        <v>0</v>
      </c>
      <c r="K891" t="n">
        <v>0</v>
      </c>
      <c r="L891" t="n">
        <v>0</v>
      </c>
      <c r="M891" t="n">
        <v>0</v>
      </c>
      <c r="N891" t="n">
        <v>0</v>
      </c>
      <c r="O891" t="n">
        <v>0</v>
      </c>
      <c r="P891" t="n">
        <v>0</v>
      </c>
      <c r="Q891" t="n">
        <v>0</v>
      </c>
      <c r="R891" s="2" t="inlineStr"/>
    </row>
    <row r="892" ht="15" customHeight="1">
      <c r="A892" t="inlineStr">
        <is>
          <t>A 15905-2023</t>
        </is>
      </c>
      <c r="B892" s="1" t="n">
        <v>45022</v>
      </c>
      <c r="C892" s="1" t="n">
        <v>46077</v>
      </c>
      <c r="D892" t="inlineStr">
        <is>
          <t>STOCKHOLMS LÄN</t>
        </is>
      </c>
      <c r="E892" t="inlineStr">
        <is>
          <t>NORRTÄLJE</t>
        </is>
      </c>
      <c r="G892" t="n">
        <v>3.2</v>
      </c>
      <c r="H892" t="n">
        <v>0</v>
      </c>
      <c r="I892" t="n">
        <v>0</v>
      </c>
      <c r="J892" t="n">
        <v>0</v>
      </c>
      <c r="K892" t="n">
        <v>0</v>
      </c>
      <c r="L892" t="n">
        <v>0</v>
      </c>
      <c r="M892" t="n">
        <v>0</v>
      </c>
      <c r="N892" t="n">
        <v>0</v>
      </c>
      <c r="O892" t="n">
        <v>0</v>
      </c>
      <c r="P892" t="n">
        <v>0</v>
      </c>
      <c r="Q892" t="n">
        <v>0</v>
      </c>
      <c r="R892" s="2" t="inlineStr"/>
    </row>
    <row r="893" ht="15" customHeight="1">
      <c r="A893" t="inlineStr">
        <is>
          <t>A 11041-2025</t>
        </is>
      </c>
      <c r="B893" s="1" t="n">
        <v>45723</v>
      </c>
      <c r="C893" s="1" t="n">
        <v>46077</v>
      </c>
      <c r="D893" t="inlineStr">
        <is>
          <t>STOCKHOLMS LÄN</t>
        </is>
      </c>
      <c r="E893" t="inlineStr">
        <is>
          <t>NORRTÄLJE</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52729-2025</t>
        </is>
      </c>
      <c r="B894" s="1" t="n">
        <v>45957.3636574074</v>
      </c>
      <c r="C894" s="1" t="n">
        <v>46077</v>
      </c>
      <c r="D894" t="inlineStr">
        <is>
          <t>STOCKHOLMS LÄN</t>
        </is>
      </c>
      <c r="E894" t="inlineStr">
        <is>
          <t>NORRTÄLJE</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52777-2025</t>
        </is>
      </c>
      <c r="B895" s="1" t="n">
        <v>45957.41832175926</v>
      </c>
      <c r="C895" s="1" t="n">
        <v>46077</v>
      </c>
      <c r="D895" t="inlineStr">
        <is>
          <t>STOCKHOLMS LÄN</t>
        </is>
      </c>
      <c r="E895" t="inlineStr">
        <is>
          <t>NORRTÄLJE</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44917-2022</t>
        </is>
      </c>
      <c r="B896" s="1" t="n">
        <v>44841.52804398148</v>
      </c>
      <c r="C896" s="1" t="n">
        <v>46077</v>
      </c>
      <c r="D896" t="inlineStr">
        <is>
          <t>STOCKHOLMS LÄN</t>
        </is>
      </c>
      <c r="E896" t="inlineStr">
        <is>
          <t>NORRTÄLJE</t>
        </is>
      </c>
      <c r="F896" t="inlineStr">
        <is>
          <t>Holmen skog AB</t>
        </is>
      </c>
      <c r="G896" t="n">
        <v>3.3</v>
      </c>
      <c r="H896" t="n">
        <v>0</v>
      </c>
      <c r="I896" t="n">
        <v>0</v>
      </c>
      <c r="J896" t="n">
        <v>0</v>
      </c>
      <c r="K896" t="n">
        <v>0</v>
      </c>
      <c r="L896" t="n">
        <v>0</v>
      </c>
      <c r="M896" t="n">
        <v>0</v>
      </c>
      <c r="N896" t="n">
        <v>0</v>
      </c>
      <c r="O896" t="n">
        <v>0</v>
      </c>
      <c r="P896" t="n">
        <v>0</v>
      </c>
      <c r="Q896" t="n">
        <v>0</v>
      </c>
      <c r="R896" s="2" t="inlineStr"/>
    </row>
    <row r="897" ht="15" customHeight="1">
      <c r="A897" t="inlineStr">
        <is>
          <t>A 52553-2025</t>
        </is>
      </c>
      <c r="B897" s="1" t="n">
        <v>45954.5624537037</v>
      </c>
      <c r="C897" s="1" t="n">
        <v>46077</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33173-2024</t>
        </is>
      </c>
      <c r="B898" s="1" t="n">
        <v>45518</v>
      </c>
      <c r="C898" s="1" t="n">
        <v>46077</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53087-2025</t>
        </is>
      </c>
      <c r="B899" s="1" t="n">
        <v>45958.41065972222</v>
      </c>
      <c r="C899" s="1" t="n">
        <v>46077</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17551-2025</t>
        </is>
      </c>
      <c r="B900" s="1" t="n">
        <v>45757.61421296297</v>
      </c>
      <c r="C900" s="1" t="n">
        <v>46077</v>
      </c>
      <c r="D900" t="inlineStr">
        <is>
          <t>STOCKHOLMS LÄN</t>
        </is>
      </c>
      <c r="E900" t="inlineStr">
        <is>
          <t>NORRTÄLJE</t>
        </is>
      </c>
      <c r="G900" t="n">
        <v>2.8</v>
      </c>
      <c r="H900" t="n">
        <v>0</v>
      </c>
      <c r="I900" t="n">
        <v>0</v>
      </c>
      <c r="J900" t="n">
        <v>0</v>
      </c>
      <c r="K900" t="n">
        <v>0</v>
      </c>
      <c r="L900" t="n">
        <v>0</v>
      </c>
      <c r="M900" t="n">
        <v>0</v>
      </c>
      <c r="N900" t="n">
        <v>0</v>
      </c>
      <c r="O900" t="n">
        <v>0</v>
      </c>
      <c r="P900" t="n">
        <v>0</v>
      </c>
      <c r="Q900" t="n">
        <v>0</v>
      </c>
      <c r="R900" s="2" t="inlineStr"/>
    </row>
    <row r="901" ht="15" customHeight="1">
      <c r="A901" t="inlineStr">
        <is>
          <t>A 52704-2025</t>
        </is>
      </c>
      <c r="B901" s="1" t="n">
        <v>45956.89097222222</v>
      </c>
      <c r="C901" s="1" t="n">
        <v>46077</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52734-2025</t>
        </is>
      </c>
      <c r="B902" s="1" t="n">
        <v>45957.3710300926</v>
      </c>
      <c r="C902" s="1" t="n">
        <v>46077</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10678-2025</t>
        </is>
      </c>
      <c r="B903" s="1" t="n">
        <v>45721.89123842592</v>
      </c>
      <c r="C903" s="1" t="n">
        <v>46077</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52773-2025</t>
        </is>
      </c>
      <c r="B904" s="1" t="n">
        <v>45957.41457175926</v>
      </c>
      <c r="C904" s="1" t="n">
        <v>46077</v>
      </c>
      <c r="D904" t="inlineStr">
        <is>
          <t>STOCKHOLMS LÄN</t>
        </is>
      </c>
      <c r="E904" t="inlineStr">
        <is>
          <t>NORRTÄLJE</t>
        </is>
      </c>
      <c r="F904" t="inlineStr">
        <is>
          <t>Sveaskog</t>
        </is>
      </c>
      <c r="G904" t="n">
        <v>10.5</v>
      </c>
      <c r="H904" t="n">
        <v>0</v>
      </c>
      <c r="I904" t="n">
        <v>0</v>
      </c>
      <c r="J904" t="n">
        <v>0</v>
      </c>
      <c r="K904" t="n">
        <v>0</v>
      </c>
      <c r="L904" t="n">
        <v>0</v>
      </c>
      <c r="M904" t="n">
        <v>0</v>
      </c>
      <c r="N904" t="n">
        <v>0</v>
      </c>
      <c r="O904" t="n">
        <v>0</v>
      </c>
      <c r="P904" t="n">
        <v>0</v>
      </c>
      <c r="Q904" t="n">
        <v>0</v>
      </c>
      <c r="R904" s="2" t="inlineStr"/>
    </row>
    <row r="905" ht="15" customHeight="1">
      <c r="A905" t="inlineStr">
        <is>
          <t>A 52776-2025</t>
        </is>
      </c>
      <c r="B905" s="1" t="n">
        <v>45957.41724537037</v>
      </c>
      <c r="C905" s="1" t="n">
        <v>46077</v>
      </c>
      <c r="D905" t="inlineStr">
        <is>
          <t>STOCKHOLMS LÄN</t>
        </is>
      </c>
      <c r="E905" t="inlineStr">
        <is>
          <t>NORRTÄLJE</t>
        </is>
      </c>
      <c r="F905" t="inlineStr">
        <is>
          <t>Sveaskog</t>
        </is>
      </c>
      <c r="G905" t="n">
        <v>2.5</v>
      </c>
      <c r="H905" t="n">
        <v>0</v>
      </c>
      <c r="I905" t="n">
        <v>0</v>
      </c>
      <c r="J905" t="n">
        <v>0</v>
      </c>
      <c r="K905" t="n">
        <v>0</v>
      </c>
      <c r="L905" t="n">
        <v>0</v>
      </c>
      <c r="M905" t="n">
        <v>0</v>
      </c>
      <c r="N905" t="n">
        <v>0</v>
      </c>
      <c r="O905" t="n">
        <v>0</v>
      </c>
      <c r="P905" t="n">
        <v>0</v>
      </c>
      <c r="Q905" t="n">
        <v>0</v>
      </c>
      <c r="R905" s="2" t="inlineStr"/>
    </row>
    <row r="906" ht="15" customHeight="1">
      <c r="A906" t="inlineStr">
        <is>
          <t>A 52703-2025</t>
        </is>
      </c>
      <c r="B906" s="1" t="n">
        <v>45956.88643518519</v>
      </c>
      <c r="C906" s="1" t="n">
        <v>46077</v>
      </c>
      <c r="D906" t="inlineStr">
        <is>
          <t>STOCKHOLMS LÄN</t>
        </is>
      </c>
      <c r="E906" t="inlineStr">
        <is>
          <t>NORRTÄLJE</t>
        </is>
      </c>
      <c r="G906" t="n">
        <v>4.7</v>
      </c>
      <c r="H906" t="n">
        <v>0</v>
      </c>
      <c r="I906" t="n">
        <v>0</v>
      </c>
      <c r="J906" t="n">
        <v>0</v>
      </c>
      <c r="K906" t="n">
        <v>0</v>
      </c>
      <c r="L906" t="n">
        <v>0</v>
      </c>
      <c r="M906" t="n">
        <v>0</v>
      </c>
      <c r="N906" t="n">
        <v>0</v>
      </c>
      <c r="O906" t="n">
        <v>0</v>
      </c>
      <c r="P906" t="n">
        <v>0</v>
      </c>
      <c r="Q906" t="n">
        <v>0</v>
      </c>
      <c r="R906" s="2" t="inlineStr"/>
    </row>
    <row r="907" ht="15" customHeight="1">
      <c r="A907" t="inlineStr">
        <is>
          <t>A 8370-2025</t>
        </is>
      </c>
      <c r="B907" s="1" t="n">
        <v>45708</v>
      </c>
      <c r="C907" s="1" t="n">
        <v>46077</v>
      </c>
      <c r="D907" t="inlineStr">
        <is>
          <t>STOCKHOLMS LÄN</t>
        </is>
      </c>
      <c r="E907" t="inlineStr">
        <is>
          <t>NORRTÄLJE</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53000-2025</t>
        </is>
      </c>
      <c r="B908" s="1" t="n">
        <v>45957.74357638889</v>
      </c>
      <c r="C908" s="1" t="n">
        <v>46077</v>
      </c>
      <c r="D908" t="inlineStr">
        <is>
          <t>STOCKHOLMS LÄN</t>
        </is>
      </c>
      <c r="E908" t="inlineStr">
        <is>
          <t>NORRTÄLJE</t>
        </is>
      </c>
      <c r="G908" t="n">
        <v>2.1</v>
      </c>
      <c r="H908" t="n">
        <v>0</v>
      </c>
      <c r="I908" t="n">
        <v>0</v>
      </c>
      <c r="J908" t="n">
        <v>0</v>
      </c>
      <c r="K908" t="n">
        <v>0</v>
      </c>
      <c r="L908" t="n">
        <v>0</v>
      </c>
      <c r="M908" t="n">
        <v>0</v>
      </c>
      <c r="N908" t="n">
        <v>0</v>
      </c>
      <c r="O908" t="n">
        <v>0</v>
      </c>
      <c r="P908" t="n">
        <v>0</v>
      </c>
      <c r="Q908" t="n">
        <v>0</v>
      </c>
      <c r="R908" s="2" t="inlineStr"/>
    </row>
    <row r="909" ht="15" customHeight="1">
      <c r="A909" t="inlineStr">
        <is>
          <t>A 53115-2025</t>
        </is>
      </c>
      <c r="B909" s="1" t="n">
        <v>45958.44614583333</v>
      </c>
      <c r="C909" s="1" t="n">
        <v>46077</v>
      </c>
      <c r="D909" t="inlineStr">
        <is>
          <t>STOCKHOLMS LÄN</t>
        </is>
      </c>
      <c r="E909" t="inlineStr">
        <is>
          <t>NORRTÄLJE</t>
        </is>
      </c>
      <c r="F909" t="inlineStr">
        <is>
          <t>Kyrkan</t>
        </is>
      </c>
      <c r="G909" t="n">
        <v>2.5</v>
      </c>
      <c r="H909" t="n">
        <v>0</v>
      </c>
      <c r="I909" t="n">
        <v>0</v>
      </c>
      <c r="J909" t="n">
        <v>0</v>
      </c>
      <c r="K909" t="n">
        <v>0</v>
      </c>
      <c r="L909" t="n">
        <v>0</v>
      </c>
      <c r="M909" t="n">
        <v>0</v>
      </c>
      <c r="N909" t="n">
        <v>0</v>
      </c>
      <c r="O909" t="n">
        <v>0</v>
      </c>
      <c r="P909" t="n">
        <v>0</v>
      </c>
      <c r="Q909" t="n">
        <v>0</v>
      </c>
      <c r="R909" s="2" t="inlineStr"/>
    </row>
    <row r="910" ht="15" customHeight="1">
      <c r="A910" t="inlineStr">
        <is>
          <t>A 951-2023</t>
        </is>
      </c>
      <c r="B910" s="1" t="n">
        <v>44934</v>
      </c>
      <c r="C910" s="1" t="n">
        <v>46077</v>
      </c>
      <c r="D910" t="inlineStr">
        <is>
          <t>STOCKHOLMS LÄN</t>
        </is>
      </c>
      <c r="E910" t="inlineStr">
        <is>
          <t>NORRTÄLJE</t>
        </is>
      </c>
      <c r="G910" t="n">
        <v>3.7</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46077</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53629-2025</t>
        </is>
      </c>
      <c r="B912" s="1" t="n">
        <v>45960.49570601852</v>
      </c>
      <c r="C912" s="1" t="n">
        <v>46077</v>
      </c>
      <c r="D912" t="inlineStr">
        <is>
          <t>STOCKHOLMS LÄN</t>
        </is>
      </c>
      <c r="E912" t="inlineStr">
        <is>
          <t>NORRTÄLJE</t>
        </is>
      </c>
      <c r="F912" t="inlineStr">
        <is>
          <t>Naturvårdsverket</t>
        </is>
      </c>
      <c r="G912" t="n">
        <v>7.9</v>
      </c>
      <c r="H912" t="n">
        <v>0</v>
      </c>
      <c r="I912" t="n">
        <v>0</v>
      </c>
      <c r="J912" t="n">
        <v>0</v>
      </c>
      <c r="K912" t="n">
        <v>0</v>
      </c>
      <c r="L912" t="n">
        <v>0</v>
      </c>
      <c r="M912" t="n">
        <v>0</v>
      </c>
      <c r="N912" t="n">
        <v>0</v>
      </c>
      <c r="O912" t="n">
        <v>0</v>
      </c>
      <c r="P912" t="n">
        <v>0</v>
      </c>
      <c r="Q912" t="n">
        <v>0</v>
      </c>
      <c r="R912" s="2" t="inlineStr"/>
    </row>
    <row r="913" ht="15" customHeight="1">
      <c r="A913" t="inlineStr">
        <is>
          <t>A 2888-2022</t>
        </is>
      </c>
      <c r="B913" s="1" t="n">
        <v>44581</v>
      </c>
      <c r="C913" s="1" t="n">
        <v>46077</v>
      </c>
      <c r="D913" t="inlineStr">
        <is>
          <t>STOCKHOLMS LÄN</t>
        </is>
      </c>
      <c r="E913" t="inlineStr">
        <is>
          <t>NORRTÄLJE</t>
        </is>
      </c>
      <c r="G913" t="n">
        <v>2.4</v>
      </c>
      <c r="H913" t="n">
        <v>0</v>
      </c>
      <c r="I913" t="n">
        <v>0</v>
      </c>
      <c r="J913" t="n">
        <v>0</v>
      </c>
      <c r="K913" t="n">
        <v>0</v>
      </c>
      <c r="L913" t="n">
        <v>0</v>
      </c>
      <c r="M913" t="n">
        <v>0</v>
      </c>
      <c r="N913" t="n">
        <v>0</v>
      </c>
      <c r="O913" t="n">
        <v>0</v>
      </c>
      <c r="P913" t="n">
        <v>0</v>
      </c>
      <c r="Q913" t="n">
        <v>0</v>
      </c>
      <c r="R913" s="2" t="inlineStr"/>
    </row>
    <row r="914" ht="15" customHeight="1">
      <c r="A914" t="inlineStr">
        <is>
          <t>A 11902-2024</t>
        </is>
      </c>
      <c r="B914" s="1" t="n">
        <v>45376.55704861111</v>
      </c>
      <c r="C914" s="1" t="n">
        <v>46077</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53747-2025</t>
        </is>
      </c>
      <c r="B915" s="1" t="n">
        <v>45960.65415509259</v>
      </c>
      <c r="C915" s="1" t="n">
        <v>46077</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53299-2025</t>
        </is>
      </c>
      <c r="B916" s="1" t="n">
        <v>45959.31901620371</v>
      </c>
      <c r="C916" s="1" t="n">
        <v>46077</v>
      </c>
      <c r="D916" t="inlineStr">
        <is>
          <t>STOCKHOLMS LÄN</t>
        </is>
      </c>
      <c r="E916" t="inlineStr">
        <is>
          <t>NORRTÄLJE</t>
        </is>
      </c>
      <c r="G916" t="n">
        <v>4.8</v>
      </c>
      <c r="H916" t="n">
        <v>0</v>
      </c>
      <c r="I916" t="n">
        <v>0</v>
      </c>
      <c r="J916" t="n">
        <v>0</v>
      </c>
      <c r="K916" t="n">
        <v>0</v>
      </c>
      <c r="L916" t="n">
        <v>0</v>
      </c>
      <c r="M916" t="n">
        <v>0</v>
      </c>
      <c r="N916" t="n">
        <v>0</v>
      </c>
      <c r="O916" t="n">
        <v>0</v>
      </c>
      <c r="P916" t="n">
        <v>0</v>
      </c>
      <c r="Q916" t="n">
        <v>0</v>
      </c>
      <c r="R916" s="2" t="inlineStr"/>
    </row>
    <row r="917" ht="15" customHeight="1">
      <c r="A917" t="inlineStr">
        <is>
          <t>A 13-2024</t>
        </is>
      </c>
      <c r="B917" s="1" t="n">
        <v>45293.37263888889</v>
      </c>
      <c r="C917" s="1" t="n">
        <v>46077</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58260-2023</t>
        </is>
      </c>
      <c r="B918" s="1" t="n">
        <v>45245</v>
      </c>
      <c r="C918" s="1" t="n">
        <v>46077</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58261-2023</t>
        </is>
      </c>
      <c r="B919" s="1" t="n">
        <v>45245</v>
      </c>
      <c r="C919" s="1" t="n">
        <v>46077</v>
      </c>
      <c r="D919" t="inlineStr">
        <is>
          <t>STOCKHOLMS LÄN</t>
        </is>
      </c>
      <c r="E919" t="inlineStr">
        <is>
          <t>NORRTÄLJE</t>
        </is>
      </c>
      <c r="G919" t="n">
        <v>53.5</v>
      </c>
      <c r="H919" t="n">
        <v>0</v>
      </c>
      <c r="I919" t="n">
        <v>0</v>
      </c>
      <c r="J919" t="n">
        <v>0</v>
      </c>
      <c r="K919" t="n">
        <v>0</v>
      </c>
      <c r="L919" t="n">
        <v>0</v>
      </c>
      <c r="M919" t="n">
        <v>0</v>
      </c>
      <c r="N919" t="n">
        <v>0</v>
      </c>
      <c r="O919" t="n">
        <v>0</v>
      </c>
      <c r="P919" t="n">
        <v>0</v>
      </c>
      <c r="Q919" t="n">
        <v>0</v>
      </c>
      <c r="R919" s="2" t="inlineStr"/>
    </row>
    <row r="920" ht="15" customHeight="1">
      <c r="A920" t="inlineStr">
        <is>
          <t>A 4553-2023</t>
        </is>
      </c>
      <c r="B920" s="1" t="n">
        <v>44956.65920138889</v>
      </c>
      <c r="C920" s="1" t="n">
        <v>46077</v>
      </c>
      <c r="D920" t="inlineStr">
        <is>
          <t>STOCKHOLMS LÄN</t>
        </is>
      </c>
      <c r="E920" t="inlineStr">
        <is>
          <t>NORRTÄLJE</t>
        </is>
      </c>
      <c r="G920" t="n">
        <v>7.5</v>
      </c>
      <c r="H920" t="n">
        <v>0</v>
      </c>
      <c r="I920" t="n">
        <v>0</v>
      </c>
      <c r="J920" t="n">
        <v>0</v>
      </c>
      <c r="K920" t="n">
        <v>0</v>
      </c>
      <c r="L920" t="n">
        <v>0</v>
      </c>
      <c r="M920" t="n">
        <v>0</v>
      </c>
      <c r="N920" t="n">
        <v>0</v>
      </c>
      <c r="O920" t="n">
        <v>0</v>
      </c>
      <c r="P920" t="n">
        <v>0</v>
      </c>
      <c r="Q920" t="n">
        <v>0</v>
      </c>
      <c r="R920" s="2" t="inlineStr"/>
    </row>
    <row r="921" ht="15" customHeight="1">
      <c r="A921" t="inlineStr">
        <is>
          <t>A 875-2023</t>
        </is>
      </c>
      <c r="B921" s="1" t="n">
        <v>44931.65626157408</v>
      </c>
      <c r="C921" s="1" t="n">
        <v>46077</v>
      </c>
      <c r="D921" t="inlineStr">
        <is>
          <t>STOCKHOLMS LÄN</t>
        </is>
      </c>
      <c r="E921" t="inlineStr">
        <is>
          <t>NORRTÄLJE</t>
        </is>
      </c>
      <c r="G921" t="n">
        <v>2.2</v>
      </c>
      <c r="H921" t="n">
        <v>0</v>
      </c>
      <c r="I921" t="n">
        <v>0</v>
      </c>
      <c r="J921" t="n">
        <v>0</v>
      </c>
      <c r="K921" t="n">
        <v>0</v>
      </c>
      <c r="L921" t="n">
        <v>0</v>
      </c>
      <c r="M921" t="n">
        <v>0</v>
      </c>
      <c r="N921" t="n">
        <v>0</v>
      </c>
      <c r="O921" t="n">
        <v>0</v>
      </c>
      <c r="P921" t="n">
        <v>0</v>
      </c>
      <c r="Q921" t="n">
        <v>0</v>
      </c>
      <c r="R921" s="2" t="inlineStr"/>
    </row>
    <row r="922" ht="15" customHeight="1">
      <c r="A922" t="inlineStr">
        <is>
          <t>A 24575-2024</t>
        </is>
      </c>
      <c r="B922" s="1" t="n">
        <v>45460.45523148148</v>
      </c>
      <c r="C922" s="1" t="n">
        <v>46077</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19-2024</t>
        </is>
      </c>
      <c r="B923" s="1" t="n">
        <v>45293</v>
      </c>
      <c r="C923" s="1" t="n">
        <v>46077</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11333-2025</t>
        </is>
      </c>
      <c r="B924" s="1" t="n">
        <v>45726.48377314815</v>
      </c>
      <c r="C924" s="1" t="n">
        <v>46077</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21529-2021</t>
        </is>
      </c>
      <c r="B925" s="1" t="n">
        <v>44321</v>
      </c>
      <c r="C925" s="1" t="n">
        <v>46077</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31827-2023</t>
        </is>
      </c>
      <c r="B926" s="1" t="n">
        <v>45118</v>
      </c>
      <c r="C926" s="1" t="n">
        <v>46077</v>
      </c>
      <c r="D926" t="inlineStr">
        <is>
          <t>STOCKHOLMS LÄN</t>
        </is>
      </c>
      <c r="E926" t="inlineStr">
        <is>
          <t>NORRTÄLJE</t>
        </is>
      </c>
      <c r="F926" t="inlineStr">
        <is>
          <t>Kyrkan</t>
        </is>
      </c>
      <c r="G926" t="n">
        <v>4.9</v>
      </c>
      <c r="H926" t="n">
        <v>0</v>
      </c>
      <c r="I926" t="n">
        <v>0</v>
      </c>
      <c r="J926" t="n">
        <v>0</v>
      </c>
      <c r="K926" t="n">
        <v>0</v>
      </c>
      <c r="L926" t="n">
        <v>0</v>
      </c>
      <c r="M926" t="n">
        <v>0</v>
      </c>
      <c r="N926" t="n">
        <v>0</v>
      </c>
      <c r="O926" t="n">
        <v>0</v>
      </c>
      <c r="P926" t="n">
        <v>0</v>
      </c>
      <c r="Q926" t="n">
        <v>0</v>
      </c>
      <c r="R926" s="2" t="inlineStr"/>
    </row>
    <row r="927" ht="15" customHeight="1">
      <c r="A927" t="inlineStr">
        <is>
          <t>A 10973-2025</t>
        </is>
      </c>
      <c r="B927" s="1" t="n">
        <v>45723</v>
      </c>
      <c r="C927" s="1" t="n">
        <v>46077</v>
      </c>
      <c r="D927" t="inlineStr">
        <is>
          <t>STOCKHOLMS LÄN</t>
        </is>
      </c>
      <c r="E927" t="inlineStr">
        <is>
          <t>NORRTÄLJE</t>
        </is>
      </c>
      <c r="F927" t="inlineStr">
        <is>
          <t>Övriga Aktiebolag</t>
        </is>
      </c>
      <c r="G927" t="n">
        <v>2.7</v>
      </c>
      <c r="H927" t="n">
        <v>0</v>
      </c>
      <c r="I927" t="n">
        <v>0</v>
      </c>
      <c r="J927" t="n">
        <v>0</v>
      </c>
      <c r="K927" t="n">
        <v>0</v>
      </c>
      <c r="L927" t="n">
        <v>0</v>
      </c>
      <c r="M927" t="n">
        <v>0</v>
      </c>
      <c r="N927" t="n">
        <v>0</v>
      </c>
      <c r="O927" t="n">
        <v>0</v>
      </c>
      <c r="P927" t="n">
        <v>0</v>
      </c>
      <c r="Q927" t="n">
        <v>0</v>
      </c>
      <c r="R927" s="2" t="inlineStr"/>
    </row>
    <row r="928" ht="15" customHeight="1">
      <c r="A928" t="inlineStr">
        <is>
          <t>A 54496-2024</t>
        </is>
      </c>
      <c r="B928" s="1" t="n">
        <v>45617.57439814815</v>
      </c>
      <c r="C928" s="1" t="n">
        <v>46077</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7796-2025</t>
        </is>
      </c>
      <c r="B929" s="1" t="n">
        <v>45706.60130787037</v>
      </c>
      <c r="C929" s="1" t="n">
        <v>46077</v>
      </c>
      <c r="D929" t="inlineStr">
        <is>
          <t>STOCKHOLMS LÄN</t>
        </is>
      </c>
      <c r="E929" t="inlineStr">
        <is>
          <t>NORRTÄLJE</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59767-2022</t>
        </is>
      </c>
      <c r="B930" s="1" t="n">
        <v>44900</v>
      </c>
      <c r="C930" s="1" t="n">
        <v>46077</v>
      </c>
      <c r="D930" t="inlineStr">
        <is>
          <t>STOCKHOLMS LÄN</t>
        </is>
      </c>
      <c r="E930" t="inlineStr">
        <is>
          <t>NORRTÄLJE</t>
        </is>
      </c>
      <c r="G930" t="n">
        <v>2.2</v>
      </c>
      <c r="H930" t="n">
        <v>0</v>
      </c>
      <c r="I930" t="n">
        <v>0</v>
      </c>
      <c r="J930" t="n">
        <v>0</v>
      </c>
      <c r="K930" t="n">
        <v>0</v>
      </c>
      <c r="L930" t="n">
        <v>0</v>
      </c>
      <c r="M930" t="n">
        <v>0</v>
      </c>
      <c r="N930" t="n">
        <v>0</v>
      </c>
      <c r="O930" t="n">
        <v>0</v>
      </c>
      <c r="P930" t="n">
        <v>0</v>
      </c>
      <c r="Q930" t="n">
        <v>0</v>
      </c>
      <c r="R930" s="2" t="inlineStr"/>
    </row>
    <row r="931" ht="15" customHeight="1">
      <c r="A931" t="inlineStr">
        <is>
          <t>A 22756-2022</t>
        </is>
      </c>
      <c r="B931" s="1" t="n">
        <v>44714.92253472222</v>
      </c>
      <c r="C931" s="1" t="n">
        <v>46077</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58311-2023</t>
        </is>
      </c>
      <c r="B932" s="1" t="n">
        <v>45245</v>
      </c>
      <c r="C932" s="1" t="n">
        <v>46077</v>
      </c>
      <c r="D932" t="inlineStr">
        <is>
          <t>STOCKHOLMS LÄN</t>
        </is>
      </c>
      <c r="E932" t="inlineStr">
        <is>
          <t>NORRTÄLJE</t>
        </is>
      </c>
      <c r="G932" t="n">
        <v>2.3</v>
      </c>
      <c r="H932" t="n">
        <v>0</v>
      </c>
      <c r="I932" t="n">
        <v>0</v>
      </c>
      <c r="J932" t="n">
        <v>0</v>
      </c>
      <c r="K932" t="n">
        <v>0</v>
      </c>
      <c r="L932" t="n">
        <v>0</v>
      </c>
      <c r="M932" t="n">
        <v>0</v>
      </c>
      <c r="N932" t="n">
        <v>0</v>
      </c>
      <c r="O932" t="n">
        <v>0</v>
      </c>
      <c r="P932" t="n">
        <v>0</v>
      </c>
      <c r="Q932" t="n">
        <v>0</v>
      </c>
      <c r="R932" s="2" t="inlineStr"/>
    </row>
    <row r="933" ht="15" customHeight="1">
      <c r="A933" t="inlineStr">
        <is>
          <t>A 8739-2024</t>
        </is>
      </c>
      <c r="B933" s="1" t="n">
        <v>45356.47784722222</v>
      </c>
      <c r="C933" s="1" t="n">
        <v>46077</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26640-2023</t>
        </is>
      </c>
      <c r="B934" s="1" t="n">
        <v>45092</v>
      </c>
      <c r="C934" s="1" t="n">
        <v>46077</v>
      </c>
      <c r="D934" t="inlineStr">
        <is>
          <t>STOCKHOLMS LÄN</t>
        </is>
      </c>
      <c r="E934" t="inlineStr">
        <is>
          <t>NORRTÄLJE</t>
        </is>
      </c>
      <c r="G934" t="n">
        <v>5.7</v>
      </c>
      <c r="H934" t="n">
        <v>0</v>
      </c>
      <c r="I934" t="n">
        <v>0</v>
      </c>
      <c r="J934" t="n">
        <v>0</v>
      </c>
      <c r="K934" t="n">
        <v>0</v>
      </c>
      <c r="L934" t="n">
        <v>0</v>
      </c>
      <c r="M934" t="n">
        <v>0</v>
      </c>
      <c r="N934" t="n">
        <v>0</v>
      </c>
      <c r="O934" t="n">
        <v>0</v>
      </c>
      <c r="P934" t="n">
        <v>0</v>
      </c>
      <c r="Q934" t="n">
        <v>0</v>
      </c>
      <c r="R934" s="2" t="inlineStr"/>
    </row>
    <row r="935" ht="15" customHeight="1">
      <c r="A935" t="inlineStr">
        <is>
          <t>A 62765-2022</t>
        </is>
      </c>
      <c r="B935" s="1" t="n">
        <v>44637</v>
      </c>
      <c r="C935" s="1" t="n">
        <v>46077</v>
      </c>
      <c r="D935" t="inlineStr">
        <is>
          <t>STOCKHOLMS LÄN</t>
        </is>
      </c>
      <c r="E935" t="inlineStr">
        <is>
          <t>NORRTÄLJE</t>
        </is>
      </c>
      <c r="G935" t="n">
        <v>2.7</v>
      </c>
      <c r="H935" t="n">
        <v>0</v>
      </c>
      <c r="I935" t="n">
        <v>0</v>
      </c>
      <c r="J935" t="n">
        <v>0</v>
      </c>
      <c r="K935" t="n">
        <v>0</v>
      </c>
      <c r="L935" t="n">
        <v>0</v>
      </c>
      <c r="M935" t="n">
        <v>0</v>
      </c>
      <c r="N935" t="n">
        <v>0</v>
      </c>
      <c r="O935" t="n">
        <v>0</v>
      </c>
      <c r="P935" t="n">
        <v>0</v>
      </c>
      <c r="Q935" t="n">
        <v>0</v>
      </c>
      <c r="R935" s="2" t="inlineStr"/>
    </row>
    <row r="936" ht="15" customHeight="1">
      <c r="A936" t="inlineStr">
        <is>
          <t>A 38990-2022</t>
        </is>
      </c>
      <c r="B936" s="1" t="n">
        <v>44816</v>
      </c>
      <c r="C936" s="1" t="n">
        <v>46077</v>
      </c>
      <c r="D936" t="inlineStr">
        <is>
          <t>STOCKHOLMS LÄN</t>
        </is>
      </c>
      <c r="E936" t="inlineStr">
        <is>
          <t>NORRTÄLJE</t>
        </is>
      </c>
      <c r="G936" t="n">
        <v>5.7</v>
      </c>
      <c r="H936" t="n">
        <v>0</v>
      </c>
      <c r="I936" t="n">
        <v>0</v>
      </c>
      <c r="J936" t="n">
        <v>0</v>
      </c>
      <c r="K936" t="n">
        <v>0</v>
      </c>
      <c r="L936" t="n">
        <v>0</v>
      </c>
      <c r="M936" t="n">
        <v>0</v>
      </c>
      <c r="N936" t="n">
        <v>0</v>
      </c>
      <c r="O936" t="n">
        <v>0</v>
      </c>
      <c r="P936" t="n">
        <v>0</v>
      </c>
      <c r="Q936" t="n">
        <v>0</v>
      </c>
      <c r="R936" s="2" t="inlineStr"/>
    </row>
    <row r="937" ht="15" customHeight="1">
      <c r="A937" t="inlineStr">
        <is>
          <t>A 54907-2025</t>
        </is>
      </c>
      <c r="B937" s="1" t="n">
        <v>45967.37137731481</v>
      </c>
      <c r="C937" s="1" t="n">
        <v>46077</v>
      </c>
      <c r="D937" t="inlineStr">
        <is>
          <t>STOCKHOLMS LÄN</t>
        </is>
      </c>
      <c r="E937" t="inlineStr">
        <is>
          <t>NORRTÄLJE</t>
        </is>
      </c>
      <c r="G937" t="n">
        <v>2.3</v>
      </c>
      <c r="H937" t="n">
        <v>0</v>
      </c>
      <c r="I937" t="n">
        <v>0</v>
      </c>
      <c r="J937" t="n">
        <v>0</v>
      </c>
      <c r="K937" t="n">
        <v>0</v>
      </c>
      <c r="L937" t="n">
        <v>0</v>
      </c>
      <c r="M937" t="n">
        <v>0</v>
      </c>
      <c r="N937" t="n">
        <v>0</v>
      </c>
      <c r="O937" t="n">
        <v>0</v>
      </c>
      <c r="P937" t="n">
        <v>0</v>
      </c>
      <c r="Q937" t="n">
        <v>0</v>
      </c>
      <c r="R937" s="2" t="inlineStr"/>
    </row>
    <row r="938" ht="15" customHeight="1">
      <c r="A938" t="inlineStr">
        <is>
          <t>A 17545-2025</t>
        </is>
      </c>
      <c r="B938" s="1" t="n">
        <v>45757.60658564815</v>
      </c>
      <c r="C938" s="1" t="n">
        <v>46077</v>
      </c>
      <c r="D938" t="inlineStr">
        <is>
          <t>STOCKHOLMS LÄN</t>
        </is>
      </c>
      <c r="E938" t="inlineStr">
        <is>
          <t>NORRTÄLJE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17956-2025</t>
        </is>
      </c>
      <c r="B939" s="1" t="n">
        <v>45760.91174768518</v>
      </c>
      <c r="C939" s="1" t="n">
        <v>46077</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23265-2023</t>
        </is>
      </c>
      <c r="B940" s="1" t="n">
        <v>45075.90703703704</v>
      </c>
      <c r="C940" s="1" t="n">
        <v>46077</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30268-2024</t>
        </is>
      </c>
      <c r="B941" s="1" t="n">
        <v>45490.60572916667</v>
      </c>
      <c r="C941" s="1" t="n">
        <v>46077</v>
      </c>
      <c r="D941" t="inlineStr">
        <is>
          <t>STOCKHOLMS LÄN</t>
        </is>
      </c>
      <c r="E941" t="inlineStr">
        <is>
          <t>NORRTÄLJE</t>
        </is>
      </c>
      <c r="G941" t="n">
        <v>5.6</v>
      </c>
      <c r="H941" t="n">
        <v>0</v>
      </c>
      <c r="I941" t="n">
        <v>0</v>
      </c>
      <c r="J941" t="n">
        <v>0</v>
      </c>
      <c r="K941" t="n">
        <v>0</v>
      </c>
      <c r="L941" t="n">
        <v>0</v>
      </c>
      <c r="M941" t="n">
        <v>0</v>
      </c>
      <c r="N941" t="n">
        <v>0</v>
      </c>
      <c r="O941" t="n">
        <v>0</v>
      </c>
      <c r="P941" t="n">
        <v>0</v>
      </c>
      <c r="Q941" t="n">
        <v>0</v>
      </c>
      <c r="R941" s="2" t="inlineStr"/>
    </row>
    <row r="942" ht="15" customHeight="1">
      <c r="A942" t="inlineStr">
        <is>
          <t>A 59535-2024</t>
        </is>
      </c>
      <c r="B942" s="1" t="n">
        <v>45638.59979166667</v>
      </c>
      <c r="C942" s="1" t="n">
        <v>46077</v>
      </c>
      <c r="D942" t="inlineStr">
        <is>
          <t>STOCKHOLMS LÄN</t>
        </is>
      </c>
      <c r="E942" t="inlineStr">
        <is>
          <t>NORRTÄLJE</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9246-2024</t>
        </is>
      </c>
      <c r="B943" s="1" t="n">
        <v>45357</v>
      </c>
      <c r="C943" s="1" t="n">
        <v>46077</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55503-2025</t>
        </is>
      </c>
      <c r="B944" s="1" t="n">
        <v>45971</v>
      </c>
      <c r="C944" s="1" t="n">
        <v>46077</v>
      </c>
      <c r="D944" t="inlineStr">
        <is>
          <t>STOCKHOLMS LÄN</t>
        </is>
      </c>
      <c r="E944" t="inlineStr">
        <is>
          <t>NORRTÄLJE</t>
        </is>
      </c>
      <c r="G944" t="n">
        <v>3</v>
      </c>
      <c r="H944" t="n">
        <v>0</v>
      </c>
      <c r="I944" t="n">
        <v>0</v>
      </c>
      <c r="J944" t="n">
        <v>0</v>
      </c>
      <c r="K944" t="n">
        <v>0</v>
      </c>
      <c r="L944" t="n">
        <v>0</v>
      </c>
      <c r="M944" t="n">
        <v>0</v>
      </c>
      <c r="N944" t="n">
        <v>0</v>
      </c>
      <c r="O944" t="n">
        <v>0</v>
      </c>
      <c r="P944" t="n">
        <v>0</v>
      </c>
      <c r="Q944" t="n">
        <v>0</v>
      </c>
      <c r="R944" s="2" t="inlineStr"/>
    </row>
    <row r="945" ht="15" customHeight="1">
      <c r="A945" t="inlineStr">
        <is>
          <t>A 55599-2025</t>
        </is>
      </c>
      <c r="B945" s="1" t="n">
        <v>45971.76810185185</v>
      </c>
      <c r="C945" s="1" t="n">
        <v>46077</v>
      </c>
      <c r="D945" t="inlineStr">
        <is>
          <t>STOCKHOLMS LÄN</t>
        </is>
      </c>
      <c r="E945" t="inlineStr">
        <is>
          <t>NORRTÄLJE</t>
        </is>
      </c>
      <c r="F945" t="inlineStr">
        <is>
          <t>Holmen skog AB</t>
        </is>
      </c>
      <c r="G945" t="n">
        <v>6.4</v>
      </c>
      <c r="H945" t="n">
        <v>0</v>
      </c>
      <c r="I945" t="n">
        <v>0</v>
      </c>
      <c r="J945" t="n">
        <v>0</v>
      </c>
      <c r="K945" t="n">
        <v>0</v>
      </c>
      <c r="L945" t="n">
        <v>0</v>
      </c>
      <c r="M945" t="n">
        <v>0</v>
      </c>
      <c r="N945" t="n">
        <v>0</v>
      </c>
      <c r="O945" t="n">
        <v>0</v>
      </c>
      <c r="P945" t="n">
        <v>0</v>
      </c>
      <c r="Q945" t="n">
        <v>0</v>
      </c>
      <c r="R945" s="2" t="inlineStr"/>
    </row>
    <row r="946" ht="15" customHeight="1">
      <c r="A946" t="inlineStr">
        <is>
          <t>A 20852-2023</t>
        </is>
      </c>
      <c r="B946" s="1" t="n">
        <v>45058.78607638889</v>
      </c>
      <c r="C946" s="1" t="n">
        <v>46077</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50355-2024</t>
        </is>
      </c>
      <c r="B947" s="1" t="n">
        <v>45600.86128472222</v>
      </c>
      <c r="C947" s="1" t="n">
        <v>46077</v>
      </c>
      <c r="D947" t="inlineStr">
        <is>
          <t>STOCKHOLMS LÄN</t>
        </is>
      </c>
      <c r="E947" t="inlineStr">
        <is>
          <t>NORRTÄLJE</t>
        </is>
      </c>
      <c r="F947" t="inlineStr">
        <is>
          <t>Kommuner</t>
        </is>
      </c>
      <c r="G947" t="n">
        <v>1</v>
      </c>
      <c r="H947" t="n">
        <v>0</v>
      </c>
      <c r="I947" t="n">
        <v>0</v>
      </c>
      <c r="J947" t="n">
        <v>0</v>
      </c>
      <c r="K947" t="n">
        <v>0</v>
      </c>
      <c r="L947" t="n">
        <v>0</v>
      </c>
      <c r="M947" t="n">
        <v>0</v>
      </c>
      <c r="N947" t="n">
        <v>0</v>
      </c>
      <c r="O947" t="n">
        <v>0</v>
      </c>
      <c r="P947" t="n">
        <v>0</v>
      </c>
      <c r="Q947" t="n">
        <v>0</v>
      </c>
      <c r="R947" s="2" t="inlineStr"/>
    </row>
    <row r="948" ht="15" customHeight="1">
      <c r="A948" t="inlineStr">
        <is>
          <t>A 56207-2025</t>
        </is>
      </c>
      <c r="B948" s="1" t="n">
        <v>45974.47329861111</v>
      </c>
      <c r="C948" s="1" t="n">
        <v>46077</v>
      </c>
      <c r="D948" t="inlineStr">
        <is>
          <t>STOCKHOLMS LÄN</t>
        </is>
      </c>
      <c r="E948" t="inlineStr">
        <is>
          <t>NORRTÄLJE</t>
        </is>
      </c>
      <c r="G948" t="n">
        <v>3.2</v>
      </c>
      <c r="H948" t="n">
        <v>0</v>
      </c>
      <c r="I948" t="n">
        <v>0</v>
      </c>
      <c r="J948" t="n">
        <v>0</v>
      </c>
      <c r="K948" t="n">
        <v>0</v>
      </c>
      <c r="L948" t="n">
        <v>0</v>
      </c>
      <c r="M948" t="n">
        <v>0</v>
      </c>
      <c r="N948" t="n">
        <v>0</v>
      </c>
      <c r="O948" t="n">
        <v>0</v>
      </c>
      <c r="P948" t="n">
        <v>0</v>
      </c>
      <c r="Q948" t="n">
        <v>0</v>
      </c>
      <c r="R948" s="2" t="inlineStr"/>
    </row>
    <row r="949" ht="15" customHeight="1">
      <c r="A949" t="inlineStr">
        <is>
          <t>A 60694-2024</t>
        </is>
      </c>
      <c r="B949" s="1" t="n">
        <v>45644.47878472223</v>
      </c>
      <c r="C949" s="1" t="n">
        <v>46077</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25094-2023</t>
        </is>
      </c>
      <c r="B950" s="1" t="n">
        <v>45086.3629050926</v>
      </c>
      <c r="C950" s="1" t="n">
        <v>46077</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56114-2025</t>
        </is>
      </c>
      <c r="B951" s="1" t="n">
        <v>45973.74474537037</v>
      </c>
      <c r="C951" s="1" t="n">
        <v>46077</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59276-2023</t>
        </is>
      </c>
      <c r="B952" s="1" t="n">
        <v>45253.55641203704</v>
      </c>
      <c r="C952" s="1" t="n">
        <v>46077</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13767-2025</t>
        </is>
      </c>
      <c r="B953" s="1" t="n">
        <v>45737.43347222222</v>
      </c>
      <c r="C953" s="1" t="n">
        <v>46077</v>
      </c>
      <c r="D953" t="inlineStr">
        <is>
          <t>STOCKHOLMS LÄN</t>
        </is>
      </c>
      <c r="E953" t="inlineStr">
        <is>
          <t>NORRTÄLJE</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41587-2023</t>
        </is>
      </c>
      <c r="B954" s="1" t="n">
        <v>45175</v>
      </c>
      <c r="C954" s="1" t="n">
        <v>46077</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27381-2024</t>
        </is>
      </c>
      <c r="B955" s="1" t="n">
        <v>45473.94501157408</v>
      </c>
      <c r="C955" s="1" t="n">
        <v>46077</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60529-2023</t>
        </is>
      </c>
      <c r="B956" s="1" t="n">
        <v>45259</v>
      </c>
      <c r="C956" s="1" t="n">
        <v>46077</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59326-2023</t>
        </is>
      </c>
      <c r="B957" s="1" t="n">
        <v>45253.63089120371</v>
      </c>
      <c r="C957" s="1" t="n">
        <v>46077</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20790-2025</t>
        </is>
      </c>
      <c r="B958" s="1" t="n">
        <v>45776.62563657408</v>
      </c>
      <c r="C958" s="1" t="n">
        <v>46077</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3152-2024</t>
        </is>
      </c>
      <c r="B959" s="1" t="n">
        <v>45316.60306712963</v>
      </c>
      <c r="C959" s="1" t="n">
        <v>46077</v>
      </c>
      <c r="D959" t="inlineStr">
        <is>
          <t>STOCKHOLMS LÄN</t>
        </is>
      </c>
      <c r="E959" t="inlineStr">
        <is>
          <t>NORRTÄLJE</t>
        </is>
      </c>
      <c r="G959" t="n">
        <v>7.9</v>
      </c>
      <c r="H959" t="n">
        <v>0</v>
      </c>
      <c r="I959" t="n">
        <v>0</v>
      </c>
      <c r="J959" t="n">
        <v>0</v>
      </c>
      <c r="K959" t="n">
        <v>0</v>
      </c>
      <c r="L959" t="n">
        <v>0</v>
      </c>
      <c r="M959" t="n">
        <v>0</v>
      </c>
      <c r="N959" t="n">
        <v>0</v>
      </c>
      <c r="O959" t="n">
        <v>0</v>
      </c>
      <c r="P959" t="n">
        <v>0</v>
      </c>
      <c r="Q959" t="n">
        <v>0</v>
      </c>
      <c r="R959" s="2" t="inlineStr"/>
    </row>
    <row r="960" ht="15" customHeight="1">
      <c r="A960" t="inlineStr">
        <is>
          <t>A 20699-2025</t>
        </is>
      </c>
      <c r="B960" s="1" t="n">
        <v>45776.47346064815</v>
      </c>
      <c r="C960" s="1" t="n">
        <v>46077</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20779-2025</t>
        </is>
      </c>
      <c r="B961" s="1" t="n">
        <v>45776.59871527777</v>
      </c>
      <c r="C961" s="1" t="n">
        <v>46077</v>
      </c>
      <c r="D961" t="inlineStr">
        <is>
          <t>STOCKHOLMS LÄN</t>
        </is>
      </c>
      <c r="E961" t="inlineStr">
        <is>
          <t>NORRTÄLJE</t>
        </is>
      </c>
      <c r="G961" t="n">
        <v>6.9</v>
      </c>
      <c r="H961" t="n">
        <v>0</v>
      </c>
      <c r="I961" t="n">
        <v>0</v>
      </c>
      <c r="J961" t="n">
        <v>0</v>
      </c>
      <c r="K961" t="n">
        <v>0</v>
      </c>
      <c r="L961" t="n">
        <v>0</v>
      </c>
      <c r="M961" t="n">
        <v>0</v>
      </c>
      <c r="N961" t="n">
        <v>0</v>
      </c>
      <c r="O961" t="n">
        <v>0</v>
      </c>
      <c r="P961" t="n">
        <v>0</v>
      </c>
      <c r="Q961" t="n">
        <v>0</v>
      </c>
      <c r="R961" s="2" t="inlineStr"/>
    </row>
    <row r="962" ht="15" customHeight="1">
      <c r="A962" t="inlineStr">
        <is>
          <t>A 58142-2025</t>
        </is>
      </c>
      <c r="B962" s="1" t="n">
        <v>45982.63791666667</v>
      </c>
      <c r="C962" s="1" t="n">
        <v>46077</v>
      </c>
      <c r="D962" t="inlineStr">
        <is>
          <t>STOCKHOLMS LÄN</t>
        </is>
      </c>
      <c r="E962" t="inlineStr">
        <is>
          <t>NORRTÄLJE</t>
        </is>
      </c>
      <c r="G962" t="n">
        <v>3.3</v>
      </c>
      <c r="H962" t="n">
        <v>0</v>
      </c>
      <c r="I962" t="n">
        <v>0</v>
      </c>
      <c r="J962" t="n">
        <v>0</v>
      </c>
      <c r="K962" t="n">
        <v>0</v>
      </c>
      <c r="L962" t="n">
        <v>0</v>
      </c>
      <c r="M962" t="n">
        <v>0</v>
      </c>
      <c r="N962" t="n">
        <v>0</v>
      </c>
      <c r="O962" t="n">
        <v>0</v>
      </c>
      <c r="P962" t="n">
        <v>0</v>
      </c>
      <c r="Q962" t="n">
        <v>0</v>
      </c>
      <c r="R962" s="2" t="inlineStr"/>
    </row>
    <row r="963" ht="15" customHeight="1">
      <c r="A963" t="inlineStr">
        <is>
          <t>A 44836-2023</t>
        </is>
      </c>
      <c r="B963" s="1" t="n">
        <v>45190.55609953704</v>
      </c>
      <c r="C963" s="1" t="n">
        <v>46077</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57953-2025</t>
        </is>
      </c>
      <c r="B964" s="1" t="n">
        <v>45982.35016203704</v>
      </c>
      <c r="C964" s="1" t="n">
        <v>46077</v>
      </c>
      <c r="D964" t="inlineStr">
        <is>
          <t>STOCKHOLMS LÄN</t>
        </is>
      </c>
      <c r="E964" t="inlineStr">
        <is>
          <t>NORRTÄLJE</t>
        </is>
      </c>
      <c r="F964" t="inlineStr">
        <is>
          <t>Sveaskog</t>
        </is>
      </c>
      <c r="G964" t="n">
        <v>3</v>
      </c>
      <c r="H964" t="n">
        <v>0</v>
      </c>
      <c r="I964" t="n">
        <v>0</v>
      </c>
      <c r="J964" t="n">
        <v>0</v>
      </c>
      <c r="K964" t="n">
        <v>0</v>
      </c>
      <c r="L964" t="n">
        <v>0</v>
      </c>
      <c r="M964" t="n">
        <v>0</v>
      </c>
      <c r="N964" t="n">
        <v>0</v>
      </c>
      <c r="O964" t="n">
        <v>0</v>
      </c>
      <c r="P964" t="n">
        <v>0</v>
      </c>
      <c r="Q964" t="n">
        <v>0</v>
      </c>
      <c r="R964" s="2" t="inlineStr"/>
    </row>
    <row r="965" ht="15" customHeight="1">
      <c r="A965" t="inlineStr">
        <is>
          <t>A 58403-2025</t>
        </is>
      </c>
      <c r="B965" s="1" t="n">
        <v>45985.56777777777</v>
      </c>
      <c r="C965" s="1" t="n">
        <v>46077</v>
      </c>
      <c r="D965" t="inlineStr">
        <is>
          <t>STOCKHOLMS LÄN</t>
        </is>
      </c>
      <c r="E965" t="inlineStr">
        <is>
          <t>NORRTÄLJE</t>
        </is>
      </c>
      <c r="F965" t="inlineStr">
        <is>
          <t>Naturvårdsverket</t>
        </is>
      </c>
      <c r="G965" t="n">
        <v>13.5</v>
      </c>
      <c r="H965" t="n">
        <v>0</v>
      </c>
      <c r="I965" t="n">
        <v>0</v>
      </c>
      <c r="J965" t="n">
        <v>0</v>
      </c>
      <c r="K965" t="n">
        <v>0</v>
      </c>
      <c r="L965" t="n">
        <v>0</v>
      </c>
      <c r="M965" t="n">
        <v>0</v>
      </c>
      <c r="N965" t="n">
        <v>0</v>
      </c>
      <c r="O965" t="n">
        <v>0</v>
      </c>
      <c r="P965" t="n">
        <v>0</v>
      </c>
      <c r="Q965" t="n">
        <v>0</v>
      </c>
      <c r="R965" s="2" t="inlineStr"/>
    </row>
    <row r="966" ht="15" customHeight="1">
      <c r="A966" t="inlineStr">
        <is>
          <t>A 21771-2025</t>
        </is>
      </c>
      <c r="B966" s="1" t="n">
        <v>45783</v>
      </c>
      <c r="C966" s="1" t="n">
        <v>46077</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58939-2025</t>
        </is>
      </c>
      <c r="B967" s="1" t="n">
        <v>45987.5681712963</v>
      </c>
      <c r="C967" s="1" t="n">
        <v>46077</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21778-2025</t>
        </is>
      </c>
      <c r="B968" s="1" t="n">
        <v>45783.66429398148</v>
      </c>
      <c r="C968" s="1" t="n">
        <v>46077</v>
      </c>
      <c r="D968" t="inlineStr">
        <is>
          <t>STOCKHOLMS LÄN</t>
        </is>
      </c>
      <c r="E968" t="inlineStr">
        <is>
          <t>NORRTÄLJE</t>
        </is>
      </c>
      <c r="G968" t="n">
        <v>2</v>
      </c>
      <c r="H968" t="n">
        <v>0</v>
      </c>
      <c r="I968" t="n">
        <v>0</v>
      </c>
      <c r="J968" t="n">
        <v>0</v>
      </c>
      <c r="K968" t="n">
        <v>0</v>
      </c>
      <c r="L968" t="n">
        <v>0</v>
      </c>
      <c r="M968" t="n">
        <v>0</v>
      </c>
      <c r="N968" t="n">
        <v>0</v>
      </c>
      <c r="O968" t="n">
        <v>0</v>
      </c>
      <c r="P968" t="n">
        <v>0</v>
      </c>
      <c r="Q968" t="n">
        <v>0</v>
      </c>
      <c r="R968" s="2" t="inlineStr"/>
    </row>
    <row r="969" ht="15" customHeight="1">
      <c r="A969" t="inlineStr">
        <is>
          <t>A 12902-2024</t>
        </is>
      </c>
      <c r="B969" s="1" t="n">
        <v>45385.38146990741</v>
      </c>
      <c r="C969" s="1" t="n">
        <v>46077</v>
      </c>
      <c r="D969" t="inlineStr">
        <is>
          <t>STOCKHOLMS LÄN</t>
        </is>
      </c>
      <c r="E969" t="inlineStr">
        <is>
          <t>NORRTÄLJE</t>
        </is>
      </c>
      <c r="G969" t="n">
        <v>3.7</v>
      </c>
      <c r="H969" t="n">
        <v>0</v>
      </c>
      <c r="I969" t="n">
        <v>0</v>
      </c>
      <c r="J969" t="n">
        <v>0</v>
      </c>
      <c r="K969" t="n">
        <v>0</v>
      </c>
      <c r="L969" t="n">
        <v>0</v>
      </c>
      <c r="M969" t="n">
        <v>0</v>
      </c>
      <c r="N969" t="n">
        <v>0</v>
      </c>
      <c r="O969" t="n">
        <v>0</v>
      </c>
      <c r="P969" t="n">
        <v>0</v>
      </c>
      <c r="Q969" t="n">
        <v>0</v>
      </c>
      <c r="R969" s="2" t="inlineStr"/>
    </row>
    <row r="970" ht="15" customHeight="1">
      <c r="A970" t="inlineStr">
        <is>
          <t>A 39237-2024</t>
        </is>
      </c>
      <c r="B970" s="1" t="n">
        <v>45549</v>
      </c>
      <c r="C970" s="1" t="n">
        <v>46077</v>
      </c>
      <c r="D970" t="inlineStr">
        <is>
          <t>STOCKHOLMS LÄN</t>
        </is>
      </c>
      <c r="E970" t="inlineStr">
        <is>
          <t>NORRTÄLJE</t>
        </is>
      </c>
      <c r="G970" t="n">
        <v>13.3</v>
      </c>
      <c r="H970" t="n">
        <v>0</v>
      </c>
      <c r="I970" t="n">
        <v>0</v>
      </c>
      <c r="J970" t="n">
        <v>0</v>
      </c>
      <c r="K970" t="n">
        <v>0</v>
      </c>
      <c r="L970" t="n">
        <v>0</v>
      </c>
      <c r="M970" t="n">
        <v>0</v>
      </c>
      <c r="N970" t="n">
        <v>0</v>
      </c>
      <c r="O970" t="n">
        <v>0</v>
      </c>
      <c r="P970" t="n">
        <v>0</v>
      </c>
      <c r="Q970" t="n">
        <v>0</v>
      </c>
      <c r="R970" s="2" t="inlineStr"/>
    </row>
    <row r="971" ht="15" customHeight="1">
      <c r="A971" t="inlineStr">
        <is>
          <t>A 57788-2025</t>
        </is>
      </c>
      <c r="B971" s="1" t="n">
        <v>45981.5778125</v>
      </c>
      <c r="C971" s="1" t="n">
        <v>46077</v>
      </c>
      <c r="D971" t="inlineStr">
        <is>
          <t>STOCKHOLMS LÄN</t>
        </is>
      </c>
      <c r="E971" t="inlineStr">
        <is>
          <t>NORRTÄLJE</t>
        </is>
      </c>
      <c r="G971" t="n">
        <v>1.6</v>
      </c>
      <c r="H971" t="n">
        <v>0</v>
      </c>
      <c r="I971" t="n">
        <v>0</v>
      </c>
      <c r="J971" t="n">
        <v>0</v>
      </c>
      <c r="K971" t="n">
        <v>0</v>
      </c>
      <c r="L971" t="n">
        <v>0</v>
      </c>
      <c r="M971" t="n">
        <v>0</v>
      </c>
      <c r="N971" t="n">
        <v>0</v>
      </c>
      <c r="O971" t="n">
        <v>0</v>
      </c>
      <c r="P971" t="n">
        <v>0</v>
      </c>
      <c r="Q971" t="n">
        <v>0</v>
      </c>
      <c r="R971" s="2" t="inlineStr"/>
    </row>
    <row r="972" ht="15" customHeight="1">
      <c r="A972" t="inlineStr">
        <is>
          <t>A 44891-2023</t>
        </is>
      </c>
      <c r="B972" s="1" t="n">
        <v>45187</v>
      </c>
      <c r="C972" s="1" t="n">
        <v>46077</v>
      </c>
      <c r="D972" t="inlineStr">
        <is>
          <t>STOCKHOLMS LÄN</t>
        </is>
      </c>
      <c r="E972" t="inlineStr">
        <is>
          <t>NORRTÄLJE</t>
        </is>
      </c>
      <c r="G972" t="n">
        <v>15</v>
      </c>
      <c r="H972" t="n">
        <v>0</v>
      </c>
      <c r="I972" t="n">
        <v>0</v>
      </c>
      <c r="J972" t="n">
        <v>0</v>
      </c>
      <c r="K972" t="n">
        <v>0</v>
      </c>
      <c r="L972" t="n">
        <v>0</v>
      </c>
      <c r="M972" t="n">
        <v>0</v>
      </c>
      <c r="N972" t="n">
        <v>0</v>
      </c>
      <c r="O972" t="n">
        <v>0</v>
      </c>
      <c r="P972" t="n">
        <v>0</v>
      </c>
      <c r="Q972" t="n">
        <v>0</v>
      </c>
      <c r="R972" s="2" t="inlineStr"/>
    </row>
    <row r="973" ht="15" customHeight="1">
      <c r="A973" t="inlineStr">
        <is>
          <t>A 13268-2025</t>
        </is>
      </c>
      <c r="B973" s="1" t="n">
        <v>45735</v>
      </c>
      <c r="C973" s="1" t="n">
        <v>46077</v>
      </c>
      <c r="D973" t="inlineStr">
        <is>
          <t>STOCKHOLMS LÄN</t>
        </is>
      </c>
      <c r="E973" t="inlineStr">
        <is>
          <t>NORRTÄLJE</t>
        </is>
      </c>
      <c r="G973" t="n">
        <v>11.4</v>
      </c>
      <c r="H973" t="n">
        <v>0</v>
      </c>
      <c r="I973" t="n">
        <v>0</v>
      </c>
      <c r="J973" t="n">
        <v>0</v>
      </c>
      <c r="K973" t="n">
        <v>0</v>
      </c>
      <c r="L973" t="n">
        <v>0</v>
      </c>
      <c r="M973" t="n">
        <v>0</v>
      </c>
      <c r="N973" t="n">
        <v>0</v>
      </c>
      <c r="O973" t="n">
        <v>0</v>
      </c>
      <c r="P973" t="n">
        <v>0</v>
      </c>
      <c r="Q973" t="n">
        <v>0</v>
      </c>
      <c r="R973" s="2" t="inlineStr"/>
    </row>
    <row r="974" ht="15" customHeight="1">
      <c r="A974" t="inlineStr">
        <is>
          <t>A 8414-2025</t>
        </is>
      </c>
      <c r="B974" s="1" t="n">
        <v>45709.39361111111</v>
      </c>
      <c r="C974" s="1" t="n">
        <v>46077</v>
      </c>
      <c r="D974" t="inlineStr">
        <is>
          <t>STOCKHOLMS LÄN</t>
        </is>
      </c>
      <c r="E974" t="inlineStr">
        <is>
          <t>NORRTÄLJE</t>
        </is>
      </c>
      <c r="F974" t="inlineStr">
        <is>
          <t>Holmen skog AB</t>
        </is>
      </c>
      <c r="G974" t="n">
        <v>1.2</v>
      </c>
      <c r="H974" t="n">
        <v>0</v>
      </c>
      <c r="I974" t="n">
        <v>0</v>
      </c>
      <c r="J974" t="n">
        <v>0</v>
      </c>
      <c r="K974" t="n">
        <v>0</v>
      </c>
      <c r="L974" t="n">
        <v>0</v>
      </c>
      <c r="M974" t="n">
        <v>0</v>
      </c>
      <c r="N974" t="n">
        <v>0</v>
      </c>
      <c r="O974" t="n">
        <v>0</v>
      </c>
      <c r="P974" t="n">
        <v>0</v>
      </c>
      <c r="Q974" t="n">
        <v>0</v>
      </c>
      <c r="R974" s="2" t="inlineStr"/>
    </row>
    <row r="975" ht="15" customHeight="1">
      <c r="A975" t="inlineStr">
        <is>
          <t>A 59672-2025</t>
        </is>
      </c>
      <c r="B975" s="1" t="n">
        <v>45992.45884259259</v>
      </c>
      <c r="C975" s="1" t="n">
        <v>46077</v>
      </c>
      <c r="D975" t="inlineStr">
        <is>
          <t>STOCKHOLMS LÄN</t>
        </is>
      </c>
      <c r="E975" t="inlineStr">
        <is>
          <t>NORRTÄLJE</t>
        </is>
      </c>
      <c r="G975" t="n">
        <v>4</v>
      </c>
      <c r="H975" t="n">
        <v>0</v>
      </c>
      <c r="I975" t="n">
        <v>0</v>
      </c>
      <c r="J975" t="n">
        <v>0</v>
      </c>
      <c r="K975" t="n">
        <v>0</v>
      </c>
      <c r="L975" t="n">
        <v>0</v>
      </c>
      <c r="M975" t="n">
        <v>0</v>
      </c>
      <c r="N975" t="n">
        <v>0</v>
      </c>
      <c r="O975" t="n">
        <v>0</v>
      </c>
      <c r="P975" t="n">
        <v>0</v>
      </c>
      <c r="Q975" t="n">
        <v>0</v>
      </c>
      <c r="R975" s="2" t="inlineStr"/>
    </row>
    <row r="976" ht="15" customHeight="1">
      <c r="A976" t="inlineStr">
        <is>
          <t>A 60223-2025</t>
        </is>
      </c>
      <c r="B976" s="1" t="n">
        <v>45994.54497685185</v>
      </c>
      <c r="C976" s="1" t="n">
        <v>46077</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44032-2024</t>
        </is>
      </c>
      <c r="B977" s="1" t="n">
        <v>45572.57828703704</v>
      </c>
      <c r="C977" s="1" t="n">
        <v>46077</v>
      </c>
      <c r="D977" t="inlineStr">
        <is>
          <t>STOCKHOLMS LÄN</t>
        </is>
      </c>
      <c r="E977" t="inlineStr">
        <is>
          <t>NORRTÄLJE</t>
        </is>
      </c>
      <c r="G977" t="n">
        <v>8.6</v>
      </c>
      <c r="H977" t="n">
        <v>0</v>
      </c>
      <c r="I977" t="n">
        <v>0</v>
      </c>
      <c r="J977" t="n">
        <v>0</v>
      </c>
      <c r="K977" t="n">
        <v>0</v>
      </c>
      <c r="L977" t="n">
        <v>0</v>
      </c>
      <c r="M977" t="n">
        <v>0</v>
      </c>
      <c r="N977" t="n">
        <v>0</v>
      </c>
      <c r="O977" t="n">
        <v>0</v>
      </c>
      <c r="P977" t="n">
        <v>0</v>
      </c>
      <c r="Q977" t="n">
        <v>0</v>
      </c>
      <c r="R977" s="2" t="inlineStr"/>
    </row>
    <row r="978" ht="15" customHeight="1">
      <c r="A978" t="inlineStr">
        <is>
          <t>A 59914-2025</t>
        </is>
      </c>
      <c r="B978" s="1" t="n">
        <v>45993.37056712963</v>
      </c>
      <c r="C978" s="1" t="n">
        <v>46077</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24563-2024</t>
        </is>
      </c>
      <c r="B979" s="1" t="n">
        <v>45460.44347222222</v>
      </c>
      <c r="C979" s="1" t="n">
        <v>46077</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22202-2025</t>
        </is>
      </c>
      <c r="B980" s="1" t="n">
        <v>45785.65300925926</v>
      </c>
      <c r="C980" s="1" t="n">
        <v>46077</v>
      </c>
      <c r="D980" t="inlineStr">
        <is>
          <t>STOCKHOLMS LÄN</t>
        </is>
      </c>
      <c r="E980" t="inlineStr">
        <is>
          <t>NORRTÄLJE</t>
        </is>
      </c>
      <c r="G980" t="n">
        <v>10.2</v>
      </c>
      <c r="H980" t="n">
        <v>0</v>
      </c>
      <c r="I980" t="n">
        <v>0</v>
      </c>
      <c r="J980" t="n">
        <v>0</v>
      </c>
      <c r="K980" t="n">
        <v>0</v>
      </c>
      <c r="L980" t="n">
        <v>0</v>
      </c>
      <c r="M980" t="n">
        <v>0</v>
      </c>
      <c r="N980" t="n">
        <v>0</v>
      </c>
      <c r="O980" t="n">
        <v>0</v>
      </c>
      <c r="P980" t="n">
        <v>0</v>
      </c>
      <c r="Q980" t="n">
        <v>0</v>
      </c>
      <c r="R980" s="2" t="inlineStr"/>
    </row>
    <row r="981" ht="15" customHeight="1">
      <c r="A981" t="inlineStr">
        <is>
          <t>A 59041-2025</t>
        </is>
      </c>
      <c r="B981" s="1" t="n">
        <v>45988</v>
      </c>
      <c r="C981" s="1" t="n">
        <v>46077</v>
      </c>
      <c r="D981" t="inlineStr">
        <is>
          <t>STOCKHOLMS LÄN</t>
        </is>
      </c>
      <c r="E981" t="inlineStr">
        <is>
          <t>NORRTÄLJE</t>
        </is>
      </c>
      <c r="G981" t="n">
        <v>6.6</v>
      </c>
      <c r="H981" t="n">
        <v>0</v>
      </c>
      <c r="I981" t="n">
        <v>0</v>
      </c>
      <c r="J981" t="n">
        <v>0</v>
      </c>
      <c r="K981" t="n">
        <v>0</v>
      </c>
      <c r="L981" t="n">
        <v>0</v>
      </c>
      <c r="M981" t="n">
        <v>0</v>
      </c>
      <c r="N981" t="n">
        <v>0</v>
      </c>
      <c r="O981" t="n">
        <v>0</v>
      </c>
      <c r="P981" t="n">
        <v>0</v>
      </c>
      <c r="Q981" t="n">
        <v>0</v>
      </c>
      <c r="R981" s="2" t="inlineStr"/>
    </row>
    <row r="982" ht="15" customHeight="1">
      <c r="A982" t="inlineStr">
        <is>
          <t>A 36625-2024</t>
        </is>
      </c>
      <c r="B982" s="1" t="n">
        <v>45537</v>
      </c>
      <c r="C982" s="1" t="n">
        <v>46077</v>
      </c>
      <c r="D982" t="inlineStr">
        <is>
          <t>STOCKHOLMS LÄN</t>
        </is>
      </c>
      <c r="E982" t="inlineStr">
        <is>
          <t>NORRTÄLJE</t>
        </is>
      </c>
      <c r="G982" t="n">
        <v>3.8</v>
      </c>
      <c r="H982" t="n">
        <v>0</v>
      </c>
      <c r="I982" t="n">
        <v>0</v>
      </c>
      <c r="J982" t="n">
        <v>0</v>
      </c>
      <c r="K982" t="n">
        <v>0</v>
      </c>
      <c r="L982" t="n">
        <v>0</v>
      </c>
      <c r="M982" t="n">
        <v>0</v>
      </c>
      <c r="N982" t="n">
        <v>0</v>
      </c>
      <c r="O982" t="n">
        <v>0</v>
      </c>
      <c r="P982" t="n">
        <v>0</v>
      </c>
      <c r="Q982" t="n">
        <v>0</v>
      </c>
      <c r="R982" s="2" t="inlineStr"/>
    </row>
    <row r="983" ht="15" customHeight="1">
      <c r="A983" t="inlineStr">
        <is>
          <t>A 45746-2024</t>
        </is>
      </c>
      <c r="B983" s="1" t="n">
        <v>45579</v>
      </c>
      <c r="C983" s="1" t="n">
        <v>46077</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60214-2025</t>
        </is>
      </c>
      <c r="B984" s="1" t="n">
        <v>45994.53761574074</v>
      </c>
      <c r="C984" s="1" t="n">
        <v>46077</v>
      </c>
      <c r="D984" t="inlineStr">
        <is>
          <t>STOCKHOLMS LÄN</t>
        </is>
      </c>
      <c r="E984" t="inlineStr">
        <is>
          <t>NORRTÄLJE</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2116-2026</t>
        </is>
      </c>
      <c r="B985" s="1" t="n">
        <v>46036.38108796296</v>
      </c>
      <c r="C985" s="1" t="n">
        <v>46077</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2088-2026</t>
        </is>
      </c>
      <c r="B986" s="1" t="n">
        <v>46036.35909722222</v>
      </c>
      <c r="C986" s="1" t="n">
        <v>46077</v>
      </c>
      <c r="D986" t="inlineStr">
        <is>
          <t>STOCKHOLMS LÄN</t>
        </is>
      </c>
      <c r="E986" t="inlineStr">
        <is>
          <t>NORRTÄLJE</t>
        </is>
      </c>
      <c r="G986" t="n">
        <v>7</v>
      </c>
      <c r="H986" t="n">
        <v>0</v>
      </c>
      <c r="I986" t="n">
        <v>0</v>
      </c>
      <c r="J986" t="n">
        <v>0</v>
      </c>
      <c r="K986" t="n">
        <v>0</v>
      </c>
      <c r="L986" t="n">
        <v>0</v>
      </c>
      <c r="M986" t="n">
        <v>0</v>
      </c>
      <c r="N986" t="n">
        <v>0</v>
      </c>
      <c r="O986" t="n">
        <v>0</v>
      </c>
      <c r="P986" t="n">
        <v>0</v>
      </c>
      <c r="Q986" t="n">
        <v>0</v>
      </c>
      <c r="R986" s="2" t="inlineStr"/>
    </row>
    <row r="987" ht="15" customHeight="1">
      <c r="A987" t="inlineStr">
        <is>
          <t>A 60253-2025</t>
        </is>
      </c>
      <c r="B987" s="1" t="n">
        <v>45994.59827546297</v>
      </c>
      <c r="C987" s="1" t="n">
        <v>46077</v>
      </c>
      <c r="D987" t="inlineStr">
        <is>
          <t>STOCKHOLMS LÄN</t>
        </is>
      </c>
      <c r="E987" t="inlineStr">
        <is>
          <t>NORRTÄLJE</t>
        </is>
      </c>
      <c r="F987" t="inlineStr">
        <is>
          <t>Holmen skog AB</t>
        </is>
      </c>
      <c r="G987" t="n">
        <v>3.6</v>
      </c>
      <c r="H987" t="n">
        <v>0</v>
      </c>
      <c r="I987" t="n">
        <v>0</v>
      </c>
      <c r="J987" t="n">
        <v>0</v>
      </c>
      <c r="K987" t="n">
        <v>0</v>
      </c>
      <c r="L987" t="n">
        <v>0</v>
      </c>
      <c r="M987" t="n">
        <v>0</v>
      </c>
      <c r="N987" t="n">
        <v>0</v>
      </c>
      <c r="O987" t="n">
        <v>0</v>
      </c>
      <c r="P987" t="n">
        <v>0</v>
      </c>
      <c r="Q987" t="n">
        <v>0</v>
      </c>
      <c r="R987" s="2" t="inlineStr"/>
    </row>
    <row r="988" ht="15" customHeight="1">
      <c r="A988" t="inlineStr">
        <is>
          <t>A 59907-2025</t>
        </is>
      </c>
      <c r="B988" s="1" t="n">
        <v>45993.35350694445</v>
      </c>
      <c r="C988" s="1" t="n">
        <v>46077</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59924-2025</t>
        </is>
      </c>
      <c r="B989" s="1" t="n">
        <v>45993.38928240741</v>
      </c>
      <c r="C989" s="1" t="n">
        <v>46077</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8400-2024</t>
        </is>
      </c>
      <c r="B990" s="1" t="n">
        <v>45352.74090277778</v>
      </c>
      <c r="C990" s="1" t="n">
        <v>46077</v>
      </c>
      <c r="D990" t="inlineStr">
        <is>
          <t>STOCKHOLMS LÄN</t>
        </is>
      </c>
      <c r="E990" t="inlineStr">
        <is>
          <t>NORRTÄLJE</t>
        </is>
      </c>
      <c r="G990" t="n">
        <v>4.7</v>
      </c>
      <c r="H990" t="n">
        <v>0</v>
      </c>
      <c r="I990" t="n">
        <v>0</v>
      </c>
      <c r="J990" t="n">
        <v>0</v>
      </c>
      <c r="K990" t="n">
        <v>0</v>
      </c>
      <c r="L990" t="n">
        <v>0</v>
      </c>
      <c r="M990" t="n">
        <v>0</v>
      </c>
      <c r="N990" t="n">
        <v>0</v>
      </c>
      <c r="O990" t="n">
        <v>0</v>
      </c>
      <c r="P990" t="n">
        <v>0</v>
      </c>
      <c r="Q990" t="n">
        <v>0</v>
      </c>
      <c r="R990" s="2" t="inlineStr"/>
    </row>
    <row r="991" ht="15" customHeight="1">
      <c r="A991" t="inlineStr">
        <is>
          <t>A 2182-2022</t>
        </is>
      </c>
      <c r="B991" s="1" t="n">
        <v>44578</v>
      </c>
      <c r="C991" s="1" t="n">
        <v>46077</v>
      </c>
      <c r="D991" t="inlineStr">
        <is>
          <t>STOCKHOLMS LÄN</t>
        </is>
      </c>
      <c r="E991" t="inlineStr">
        <is>
          <t>NORRTÄLJE</t>
        </is>
      </c>
      <c r="G991" t="n">
        <v>7.2</v>
      </c>
      <c r="H991" t="n">
        <v>0</v>
      </c>
      <c r="I991" t="n">
        <v>0</v>
      </c>
      <c r="J991" t="n">
        <v>0</v>
      </c>
      <c r="K991" t="n">
        <v>0</v>
      </c>
      <c r="L991" t="n">
        <v>0</v>
      </c>
      <c r="M991" t="n">
        <v>0</v>
      </c>
      <c r="N991" t="n">
        <v>0</v>
      </c>
      <c r="O991" t="n">
        <v>0</v>
      </c>
      <c r="P991" t="n">
        <v>0</v>
      </c>
      <c r="Q991" t="n">
        <v>0</v>
      </c>
      <c r="R991" s="2" t="inlineStr"/>
    </row>
    <row r="992" ht="15" customHeight="1">
      <c r="A992" t="inlineStr">
        <is>
          <t>A 16620-2024</t>
        </is>
      </c>
      <c r="B992" s="1" t="n">
        <v>45408.57707175926</v>
      </c>
      <c r="C992" s="1" t="n">
        <v>46077</v>
      </c>
      <c r="D992" t="inlineStr">
        <is>
          <t>STOCKHOLMS LÄN</t>
        </is>
      </c>
      <c r="E992" t="inlineStr">
        <is>
          <t>NORRTÄLJE</t>
        </is>
      </c>
      <c r="G992" t="n">
        <v>2.7</v>
      </c>
      <c r="H992" t="n">
        <v>0</v>
      </c>
      <c r="I992" t="n">
        <v>0</v>
      </c>
      <c r="J992" t="n">
        <v>0</v>
      </c>
      <c r="K992" t="n">
        <v>0</v>
      </c>
      <c r="L992" t="n">
        <v>0</v>
      </c>
      <c r="M992" t="n">
        <v>0</v>
      </c>
      <c r="N992" t="n">
        <v>0</v>
      </c>
      <c r="O992" t="n">
        <v>0</v>
      </c>
      <c r="P992" t="n">
        <v>0</v>
      </c>
      <c r="Q992" t="n">
        <v>0</v>
      </c>
      <c r="R992" s="2" t="inlineStr"/>
    </row>
    <row r="993" ht="15" customHeight="1">
      <c r="A993" t="inlineStr">
        <is>
          <t>A 22416-2025</t>
        </is>
      </c>
      <c r="B993" s="1" t="n">
        <v>45786.55645833333</v>
      </c>
      <c r="C993" s="1" t="n">
        <v>46077</v>
      </c>
      <c r="D993" t="inlineStr">
        <is>
          <t>STOCKHOLMS LÄN</t>
        </is>
      </c>
      <c r="E993" t="inlineStr">
        <is>
          <t>NORRTÄLJE</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58785-2024</t>
        </is>
      </c>
      <c r="B994" s="1" t="n">
        <v>45635.88849537037</v>
      </c>
      <c r="C994" s="1" t="n">
        <v>46077</v>
      </c>
      <c r="D994" t="inlineStr">
        <is>
          <t>STOCKHOLMS LÄN</t>
        </is>
      </c>
      <c r="E994" t="inlineStr">
        <is>
          <t>NORRTÄLJE</t>
        </is>
      </c>
      <c r="G994" t="n">
        <v>3.3</v>
      </c>
      <c r="H994" t="n">
        <v>0</v>
      </c>
      <c r="I994" t="n">
        <v>0</v>
      </c>
      <c r="J994" t="n">
        <v>0</v>
      </c>
      <c r="K994" t="n">
        <v>0</v>
      </c>
      <c r="L994" t="n">
        <v>0</v>
      </c>
      <c r="M994" t="n">
        <v>0</v>
      </c>
      <c r="N994" t="n">
        <v>0</v>
      </c>
      <c r="O994" t="n">
        <v>0</v>
      </c>
      <c r="P994" t="n">
        <v>0</v>
      </c>
      <c r="Q994" t="n">
        <v>0</v>
      </c>
      <c r="R994" s="2" t="inlineStr"/>
    </row>
    <row r="995" ht="15" customHeight="1">
      <c r="A995" t="inlineStr">
        <is>
          <t>A 60649-2025</t>
        </is>
      </c>
      <c r="B995" s="1" t="n">
        <v>45996.4560300926</v>
      </c>
      <c r="C995" s="1" t="n">
        <v>46077</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60745-2025</t>
        </is>
      </c>
      <c r="B996" s="1" t="n">
        <v>45999.37753472223</v>
      </c>
      <c r="C996" s="1" t="n">
        <v>46077</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62998-2023</t>
        </is>
      </c>
      <c r="B997" s="1" t="n">
        <v>45272.64479166667</v>
      </c>
      <c r="C997" s="1" t="n">
        <v>46077</v>
      </c>
      <c r="D997" t="inlineStr">
        <is>
          <t>STOCKHOLMS LÄN</t>
        </is>
      </c>
      <c r="E997" t="inlineStr">
        <is>
          <t>NORRTÄLJE</t>
        </is>
      </c>
      <c r="G997" t="n">
        <v>16.3</v>
      </c>
      <c r="H997" t="n">
        <v>0</v>
      </c>
      <c r="I997" t="n">
        <v>0</v>
      </c>
      <c r="J997" t="n">
        <v>0</v>
      </c>
      <c r="K997" t="n">
        <v>0</v>
      </c>
      <c r="L997" t="n">
        <v>0</v>
      </c>
      <c r="M997" t="n">
        <v>0</v>
      </c>
      <c r="N997" t="n">
        <v>0</v>
      </c>
      <c r="O997" t="n">
        <v>0</v>
      </c>
      <c r="P997" t="n">
        <v>0</v>
      </c>
      <c r="Q997" t="n">
        <v>0</v>
      </c>
      <c r="R997" s="2" t="inlineStr"/>
    </row>
    <row r="998" ht="15" customHeight="1">
      <c r="A998" t="inlineStr">
        <is>
          <t>A 63015-2023</t>
        </is>
      </c>
      <c r="B998" s="1" t="n">
        <v>45272</v>
      </c>
      <c r="C998" s="1" t="n">
        <v>46077</v>
      </c>
      <c r="D998" t="inlineStr">
        <is>
          <t>STOCKHOLMS LÄN</t>
        </is>
      </c>
      <c r="E998" t="inlineStr">
        <is>
          <t>NORRTÄLJE</t>
        </is>
      </c>
      <c r="G998" t="n">
        <v>13.1</v>
      </c>
      <c r="H998" t="n">
        <v>0</v>
      </c>
      <c r="I998" t="n">
        <v>0</v>
      </c>
      <c r="J998" t="n">
        <v>0</v>
      </c>
      <c r="K998" t="n">
        <v>0</v>
      </c>
      <c r="L998" t="n">
        <v>0</v>
      </c>
      <c r="M998" t="n">
        <v>0</v>
      </c>
      <c r="N998" t="n">
        <v>0</v>
      </c>
      <c r="O998" t="n">
        <v>0</v>
      </c>
      <c r="P998" t="n">
        <v>0</v>
      </c>
      <c r="Q998" t="n">
        <v>0</v>
      </c>
      <c r="R998" s="2" t="inlineStr"/>
    </row>
    <row r="999" ht="15" customHeight="1">
      <c r="A999" t="inlineStr">
        <is>
          <t>A 60928-2025</t>
        </is>
      </c>
      <c r="B999" s="1" t="n">
        <v>45999.633125</v>
      </c>
      <c r="C999" s="1" t="n">
        <v>46077</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60948-2025</t>
        </is>
      </c>
      <c r="B1000" s="1" t="n">
        <v>45999.650625</v>
      </c>
      <c r="C1000" s="1" t="n">
        <v>46077</v>
      </c>
      <c r="D1000" t="inlineStr">
        <is>
          <t>STOCKHOLMS LÄN</t>
        </is>
      </c>
      <c r="E1000" t="inlineStr">
        <is>
          <t>NORRTÄLJE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12901-2024</t>
        </is>
      </c>
      <c r="B1001" s="1" t="n">
        <v>45385.37922453704</v>
      </c>
      <c r="C1001" s="1" t="n">
        <v>46077</v>
      </c>
      <c r="D1001" t="inlineStr">
        <is>
          <t>STOCKHOLMS LÄN</t>
        </is>
      </c>
      <c r="E1001" t="inlineStr">
        <is>
          <t>NORRTÄLJE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12301-2025</t>
        </is>
      </c>
      <c r="B1002" s="1" t="n">
        <v>45729.7271875</v>
      </c>
      <c r="C1002" s="1" t="n">
        <v>46077</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8950-2025</t>
        </is>
      </c>
      <c r="B1003" s="1" t="n">
        <v>45713</v>
      </c>
      <c r="C1003" s="1" t="n">
        <v>46077</v>
      </c>
      <c r="D1003" t="inlineStr">
        <is>
          <t>STOCKHOLMS LÄN</t>
        </is>
      </c>
      <c r="E1003" t="inlineStr">
        <is>
          <t>NORRTÄLJE</t>
        </is>
      </c>
      <c r="F1003" t="inlineStr">
        <is>
          <t>Övriga Aktiebolag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20730-2024</t>
        </is>
      </c>
      <c r="B1004" s="1" t="n">
        <v>45436</v>
      </c>
      <c r="C1004" s="1" t="n">
        <v>46077</v>
      </c>
      <c r="D1004" t="inlineStr">
        <is>
          <t>STOCKHOLMS LÄN</t>
        </is>
      </c>
      <c r="E1004" t="inlineStr">
        <is>
          <t>NORRTÄLJE</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33175-2024</t>
        </is>
      </c>
      <c r="B1005" s="1" t="n">
        <v>45518</v>
      </c>
      <c r="C1005" s="1" t="n">
        <v>46077</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13283-2025</t>
        </is>
      </c>
      <c r="B1006" s="1" t="n">
        <v>45735</v>
      </c>
      <c r="C1006" s="1" t="n">
        <v>46077</v>
      </c>
      <c r="D1006" t="inlineStr">
        <is>
          <t>STOCKHOLMS LÄN</t>
        </is>
      </c>
      <c r="E1006" t="inlineStr">
        <is>
          <t>NORRTÄLJE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27831-2024</t>
        </is>
      </c>
      <c r="B1007" s="1" t="n">
        <v>45475.61896990741</v>
      </c>
      <c r="C1007" s="1" t="n">
        <v>46077</v>
      </c>
      <c r="D1007" t="inlineStr">
        <is>
          <t>STOCKHOLMS LÄN</t>
        </is>
      </c>
      <c r="E1007" t="inlineStr">
        <is>
          <t>NORRTÄLJE</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61160-2025</t>
        </is>
      </c>
      <c r="B1008" s="1" t="n">
        <v>46000.55262731481</v>
      </c>
      <c r="C1008" s="1" t="n">
        <v>46077</v>
      </c>
      <c r="D1008" t="inlineStr">
        <is>
          <t>STOCKHOLMS LÄN</t>
        </is>
      </c>
      <c r="E1008" t="inlineStr">
        <is>
          <t>NORRTÄLJE</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21803-2022</t>
        </is>
      </c>
      <c r="B1009" s="1" t="n">
        <v>44708.67822916667</v>
      </c>
      <c r="C1009" s="1" t="n">
        <v>46077</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3933-2026</t>
        </is>
      </c>
      <c r="B1010" s="1" t="n">
        <v>46043.79916666666</v>
      </c>
      <c r="C1010" s="1" t="n">
        <v>46077</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24687-2025</t>
        </is>
      </c>
      <c r="B1011" s="1" t="n">
        <v>45798.66767361111</v>
      </c>
      <c r="C1011" s="1" t="n">
        <v>46077</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61769-2025</t>
        </is>
      </c>
      <c r="B1012" s="1" t="n">
        <v>46002.64556712963</v>
      </c>
      <c r="C1012" s="1" t="n">
        <v>46077</v>
      </c>
      <c r="D1012" t="inlineStr">
        <is>
          <t>STOCKHOLMS LÄN</t>
        </is>
      </c>
      <c r="E1012" t="inlineStr">
        <is>
          <t>NORRTÄLJE</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61764-2025</t>
        </is>
      </c>
      <c r="B1013" s="1" t="n">
        <v>46002.62763888889</v>
      </c>
      <c r="C1013" s="1" t="n">
        <v>46077</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24690-2025</t>
        </is>
      </c>
      <c r="B1014" s="1" t="n">
        <v>45798.67082175926</v>
      </c>
      <c r="C1014" s="1" t="n">
        <v>46077</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24638-2025</t>
        </is>
      </c>
      <c r="B1015" s="1" t="n">
        <v>45798</v>
      </c>
      <c r="C1015" s="1" t="n">
        <v>46077</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24351-2025</t>
        </is>
      </c>
      <c r="B1016" s="1" t="n">
        <v>45797.58399305555</v>
      </c>
      <c r="C1016" s="1" t="n">
        <v>46077</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61289-2025</t>
        </is>
      </c>
      <c r="B1017" s="1" t="n">
        <v>46000.73659722223</v>
      </c>
      <c r="C1017" s="1" t="n">
        <v>46077</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61419-2025</t>
        </is>
      </c>
      <c r="B1018" s="1" t="n">
        <v>46001.54137731482</v>
      </c>
      <c r="C1018" s="1" t="n">
        <v>46077</v>
      </c>
      <c r="D1018" t="inlineStr">
        <is>
          <t>STOCKHOLMS LÄN</t>
        </is>
      </c>
      <c r="E1018" t="inlineStr">
        <is>
          <t>NORRTÄLJE</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61430-2025</t>
        </is>
      </c>
      <c r="B1019" s="1" t="n">
        <v>46001.55583333333</v>
      </c>
      <c r="C1019" s="1" t="n">
        <v>46077</v>
      </c>
      <c r="D1019" t="inlineStr">
        <is>
          <t>STOCKHOLMS LÄN</t>
        </is>
      </c>
      <c r="E1019" t="inlineStr">
        <is>
          <t>NORRTÄLJE</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61452-2025</t>
        </is>
      </c>
      <c r="B1020" s="1" t="n">
        <v>46001.58043981482</v>
      </c>
      <c r="C1020" s="1" t="n">
        <v>46077</v>
      </c>
      <c r="D1020" t="inlineStr">
        <is>
          <t>STOCKHOLMS LÄN</t>
        </is>
      </c>
      <c r="E1020" t="inlineStr">
        <is>
          <t>NORRTÄLJE</t>
        </is>
      </c>
      <c r="F1020" t="inlineStr">
        <is>
          <t>Holmen skog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28603-2024</t>
        </is>
      </c>
      <c r="B1021" s="1" t="n">
        <v>45478.42887731481</v>
      </c>
      <c r="C1021" s="1" t="n">
        <v>46077</v>
      </c>
      <c r="D1021" t="inlineStr">
        <is>
          <t>STOCKHOLMS LÄN</t>
        </is>
      </c>
      <c r="E1021" t="inlineStr">
        <is>
          <t>NORRTÄLJE</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25702-2025</t>
        </is>
      </c>
      <c r="B1022" s="1" t="n">
        <v>45800</v>
      </c>
      <c r="C1022" s="1" t="n">
        <v>46077</v>
      </c>
      <c r="D1022" t="inlineStr">
        <is>
          <t>STOCKHOLMS LÄN</t>
        </is>
      </c>
      <c r="E1022" t="inlineStr">
        <is>
          <t>NORRTÄLJE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25721-2025</t>
        </is>
      </c>
      <c r="B1023" s="1" t="n">
        <v>45800</v>
      </c>
      <c r="C1023" s="1" t="n">
        <v>46077</v>
      </c>
      <c r="D1023" t="inlineStr">
        <is>
          <t>STOCKHOLMS LÄN</t>
        </is>
      </c>
      <c r="E1023" t="inlineStr">
        <is>
          <t>NORRTÄLJE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25733-2025</t>
        </is>
      </c>
      <c r="B1024" s="1" t="n">
        <v>45800</v>
      </c>
      <c r="C1024" s="1" t="n">
        <v>46077</v>
      </c>
      <c r="D1024" t="inlineStr">
        <is>
          <t>STOCKHOLMS LÄN</t>
        </is>
      </c>
      <c r="E1024" t="inlineStr">
        <is>
          <t>NORRTÄLJE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4886-2026</t>
        </is>
      </c>
      <c r="B1025" s="1" t="n">
        <v>46048.66328703704</v>
      </c>
      <c r="C1025" s="1" t="n">
        <v>46077</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53499-2025</t>
        </is>
      </c>
      <c r="B1026" s="1" t="n">
        <v>45960</v>
      </c>
      <c r="C1026" s="1" t="n">
        <v>46077</v>
      </c>
      <c r="D1026" t="inlineStr">
        <is>
          <t>STOCKHOLMS LÄN</t>
        </is>
      </c>
      <c r="E1026" t="inlineStr">
        <is>
          <t>NORRTÄLJE</t>
        </is>
      </c>
      <c r="G1026" t="n">
        <v>23.8</v>
      </c>
      <c r="H1026" t="n">
        <v>0</v>
      </c>
      <c r="I1026" t="n">
        <v>0</v>
      </c>
      <c r="J1026" t="n">
        <v>0</v>
      </c>
      <c r="K1026" t="n">
        <v>0</v>
      </c>
      <c r="L1026" t="n">
        <v>0</v>
      </c>
      <c r="M1026" t="n">
        <v>0</v>
      </c>
      <c r="N1026" t="n">
        <v>0</v>
      </c>
      <c r="O1026" t="n">
        <v>0</v>
      </c>
      <c r="P1026" t="n">
        <v>0</v>
      </c>
      <c r="Q1026" t="n">
        <v>0</v>
      </c>
      <c r="R1026" s="2" t="inlineStr"/>
    </row>
    <row r="1027" ht="15" customHeight="1">
      <c r="A1027" t="inlineStr">
        <is>
          <t>A 25571-2025</t>
        </is>
      </c>
      <c r="B1027" s="1" t="n">
        <v>45803.4675</v>
      </c>
      <c r="C1027" s="1" t="n">
        <v>46077</v>
      </c>
      <c r="D1027" t="inlineStr">
        <is>
          <t>STOCKHOLMS LÄN</t>
        </is>
      </c>
      <c r="E1027" t="inlineStr">
        <is>
          <t>NORRTÄLJE</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4232-2026</t>
        </is>
      </c>
      <c r="B1028" s="1" t="n">
        <v>46044.89594907407</v>
      </c>
      <c r="C1028" s="1" t="n">
        <v>46077</v>
      </c>
      <c r="D1028" t="inlineStr">
        <is>
          <t>STOCKHOLMS LÄN</t>
        </is>
      </c>
      <c r="E1028" t="inlineStr">
        <is>
          <t>NORRTÄLJE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4230-2026</t>
        </is>
      </c>
      <c r="B1029" s="1" t="n">
        <v>46044.89366898148</v>
      </c>
      <c r="C1029" s="1" t="n">
        <v>46077</v>
      </c>
      <c r="D1029" t="inlineStr">
        <is>
          <t>STOCKHOLMS LÄN</t>
        </is>
      </c>
      <c r="E1029" t="inlineStr">
        <is>
          <t>NORRTÄLJE</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53561-2023</t>
        </is>
      </c>
      <c r="B1030" s="1" t="n">
        <v>45224</v>
      </c>
      <c r="C1030" s="1" t="n">
        <v>46077</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62708-2025</t>
        </is>
      </c>
      <c r="B1031" s="1" t="n">
        <v>46008.50986111111</v>
      </c>
      <c r="C1031" s="1" t="n">
        <v>46077</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25712-2025</t>
        </is>
      </c>
      <c r="B1032" s="1" t="n">
        <v>45803.69228009259</v>
      </c>
      <c r="C1032" s="1" t="n">
        <v>46077</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41218-2024</t>
        </is>
      </c>
      <c r="B1033" s="1" t="n">
        <v>45559.54706018518</v>
      </c>
      <c r="C1033" s="1" t="n">
        <v>46077</v>
      </c>
      <c r="D1033" t="inlineStr">
        <is>
          <t>STOCKHOLMS LÄN</t>
        </is>
      </c>
      <c r="E1033" t="inlineStr">
        <is>
          <t>NORRTÄLJE</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4231-2026</t>
        </is>
      </c>
      <c r="B1034" s="1" t="n">
        <v>46044</v>
      </c>
      <c r="C1034" s="1" t="n">
        <v>46077</v>
      </c>
      <c r="D1034" t="inlineStr">
        <is>
          <t>STOCKHOLMS LÄN</t>
        </is>
      </c>
      <c r="E1034" t="inlineStr">
        <is>
          <t>NORRTÄLJE</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26051-2025</t>
        </is>
      </c>
      <c r="B1035" s="1" t="n">
        <v>45804.74479166666</v>
      </c>
      <c r="C1035" s="1" t="n">
        <v>46077</v>
      </c>
      <c r="D1035" t="inlineStr">
        <is>
          <t>STOCKHOLMS LÄN</t>
        </is>
      </c>
      <c r="E1035" t="inlineStr">
        <is>
          <t>NORRTÄLJE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39238-2024</t>
        </is>
      </c>
      <c r="B1036" s="1" t="n">
        <v>45549</v>
      </c>
      <c r="C1036" s="1" t="n">
        <v>46077</v>
      </c>
      <c r="D1036" t="inlineStr">
        <is>
          <t>STOCKHOLMS LÄN</t>
        </is>
      </c>
      <c r="E1036" t="inlineStr">
        <is>
          <t>NORRTÄLJE</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62689-2025</t>
        </is>
      </c>
      <c r="B1037" s="1" t="n">
        <v>46008.47171296296</v>
      </c>
      <c r="C1037" s="1" t="n">
        <v>46077</v>
      </c>
      <c r="D1037" t="inlineStr">
        <is>
          <t>STOCKHOLMS LÄN</t>
        </is>
      </c>
      <c r="E1037" t="inlineStr">
        <is>
          <t>NORRTÄLJE</t>
        </is>
      </c>
      <c r="F1037" t="inlineStr">
        <is>
          <t>Kyrkan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38449-2022</t>
        </is>
      </c>
      <c r="B1038" s="1" t="n">
        <v>44813</v>
      </c>
      <c r="C1038" s="1" t="n">
        <v>46077</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25697-2025</t>
        </is>
      </c>
      <c r="B1039" s="1" t="n">
        <v>45803.66587962963</v>
      </c>
      <c r="C1039" s="1" t="n">
        <v>46077</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4227-2026</t>
        </is>
      </c>
      <c r="B1040" s="1" t="n">
        <v>46044</v>
      </c>
      <c r="C1040" s="1" t="n">
        <v>46077</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33279-2025</t>
        </is>
      </c>
      <c r="B1041" s="1" t="n">
        <v>45840</v>
      </c>
      <c r="C1041" s="1" t="n">
        <v>46077</v>
      </c>
      <c r="D1041" t="inlineStr">
        <is>
          <t>STOCKHOLMS LÄN</t>
        </is>
      </c>
      <c r="E1041" t="inlineStr">
        <is>
          <t>NORRTÄLJE</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47259-2024</t>
        </is>
      </c>
      <c r="B1042" s="1" t="n">
        <v>45586</v>
      </c>
      <c r="C1042" s="1" t="n">
        <v>46077</v>
      </c>
      <c r="D1042" t="inlineStr">
        <is>
          <t>STOCKHOLMS LÄN</t>
        </is>
      </c>
      <c r="E1042" t="inlineStr">
        <is>
          <t>NORRTÄLJE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5227-2026</t>
        </is>
      </c>
      <c r="B1043" s="1" t="n">
        <v>46049.80460648148</v>
      </c>
      <c r="C1043" s="1" t="n">
        <v>46077</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4235-2026</t>
        </is>
      </c>
      <c r="B1044" s="1" t="n">
        <v>46044</v>
      </c>
      <c r="C1044" s="1" t="n">
        <v>46077</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5226-2026</t>
        </is>
      </c>
      <c r="B1045" s="1" t="n">
        <v>46049.79961805556</v>
      </c>
      <c r="C1045" s="1" t="n">
        <v>46077</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5224-2026</t>
        </is>
      </c>
      <c r="B1046" s="1" t="n">
        <v>46049.79521990741</v>
      </c>
      <c r="C1046" s="1" t="n">
        <v>46077</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5241-2026</t>
        </is>
      </c>
      <c r="B1047" s="1" t="n">
        <v>46049.86471064815</v>
      </c>
      <c r="C1047" s="1" t="n">
        <v>46077</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26675-2025</t>
        </is>
      </c>
      <c r="B1048" s="1" t="n">
        <v>45810.42393518519</v>
      </c>
      <c r="C1048" s="1" t="n">
        <v>46077</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62681-2025</t>
        </is>
      </c>
      <c r="B1049" s="1" t="n">
        <v>46008.45534722223</v>
      </c>
      <c r="C1049" s="1" t="n">
        <v>46077</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34478-2025</t>
        </is>
      </c>
      <c r="B1050" s="1" t="n">
        <v>45847</v>
      </c>
      <c r="C1050" s="1" t="n">
        <v>46077</v>
      </c>
      <c r="D1050" t="inlineStr">
        <is>
          <t>STOCKHOLMS LÄN</t>
        </is>
      </c>
      <c r="E1050" t="inlineStr">
        <is>
          <t>NORRTÄLJE</t>
        </is>
      </c>
      <c r="F1050" t="inlineStr">
        <is>
          <t>Övriga Aktiebolag</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5934-2026</t>
        </is>
      </c>
      <c r="B1051" s="1" t="n">
        <v>46052.47082175926</v>
      </c>
      <c r="C1051" s="1" t="n">
        <v>46077</v>
      </c>
      <c r="D1051" t="inlineStr">
        <is>
          <t>STOCKHOLMS LÄN</t>
        </is>
      </c>
      <c r="E1051" t="inlineStr">
        <is>
          <t>NORRTÄLJE</t>
        </is>
      </c>
      <c r="F1051" t="inlineStr">
        <is>
          <t>Holmen skog AB</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62922-2025</t>
        </is>
      </c>
      <c r="B1052" s="1" t="n">
        <v>46009.38064814815</v>
      </c>
      <c r="C1052" s="1" t="n">
        <v>46077</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23061-2025</t>
        </is>
      </c>
      <c r="B1053" s="1" t="n">
        <v>45790.81410879629</v>
      </c>
      <c r="C1053" s="1" t="n">
        <v>46077</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26747-2025</t>
        </is>
      </c>
      <c r="B1054" s="1" t="n">
        <v>45810.5333912037</v>
      </c>
      <c r="C1054" s="1" t="n">
        <v>46077</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26702-2025</t>
        </is>
      </c>
      <c r="B1055" s="1" t="n">
        <v>45810.45236111111</v>
      </c>
      <c r="C1055" s="1" t="n">
        <v>46077</v>
      </c>
      <c r="D1055" t="inlineStr">
        <is>
          <t>STOCKHOLMS LÄN</t>
        </is>
      </c>
      <c r="E1055" t="inlineStr">
        <is>
          <t>NORRTÄLJE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6701-2026</t>
        </is>
      </c>
      <c r="B1056" s="1" t="n">
        <v>46056.64357638889</v>
      </c>
      <c r="C1056" s="1" t="n">
        <v>46077</v>
      </c>
      <c r="D1056" t="inlineStr">
        <is>
          <t>STOCKHOLMS LÄN</t>
        </is>
      </c>
      <c r="E1056" t="inlineStr">
        <is>
          <t>NORRTÄLJE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6724-2026</t>
        </is>
      </c>
      <c r="B1057" s="1" t="n">
        <v>46056.67717592593</v>
      </c>
      <c r="C1057" s="1" t="n">
        <v>46077</v>
      </c>
      <c r="D1057" t="inlineStr">
        <is>
          <t>STOCKHOLMS LÄN</t>
        </is>
      </c>
      <c r="E1057" t="inlineStr">
        <is>
          <t>NORRTÄLJE</t>
        </is>
      </c>
      <c r="F1057" t="inlineStr">
        <is>
          <t>Holmen skog AB</t>
        </is>
      </c>
      <c r="G1057" t="n">
        <v>16.2</v>
      </c>
      <c r="H1057" t="n">
        <v>0</v>
      </c>
      <c r="I1057" t="n">
        <v>0</v>
      </c>
      <c r="J1057" t="n">
        <v>0</v>
      </c>
      <c r="K1057" t="n">
        <v>0</v>
      </c>
      <c r="L1057" t="n">
        <v>0</v>
      </c>
      <c r="M1057" t="n">
        <v>0</v>
      </c>
      <c r="N1057" t="n">
        <v>0</v>
      </c>
      <c r="O1057" t="n">
        <v>0</v>
      </c>
      <c r="P1057" t="n">
        <v>0</v>
      </c>
      <c r="Q1057" t="n">
        <v>0</v>
      </c>
      <c r="R1057" s="2" t="inlineStr"/>
    </row>
    <row r="1058" ht="15" customHeight="1">
      <c r="A1058" t="inlineStr">
        <is>
          <t>A 6532-2026</t>
        </is>
      </c>
      <c r="B1058" s="1" t="n">
        <v>46056.41300925926</v>
      </c>
      <c r="C1058" s="1" t="n">
        <v>46077</v>
      </c>
      <c r="D1058" t="inlineStr">
        <is>
          <t>STOCKHOLMS LÄN</t>
        </is>
      </c>
      <c r="E1058" t="inlineStr">
        <is>
          <t>NORRTÄLJE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26708-2025</t>
        </is>
      </c>
      <c r="B1059" s="1" t="n">
        <v>45810.45633101852</v>
      </c>
      <c r="C1059" s="1" t="n">
        <v>46077</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27040-2025</t>
        </is>
      </c>
      <c r="B1060" s="1" t="n">
        <v>45811.60451388889</v>
      </c>
      <c r="C1060" s="1" t="n">
        <v>46077</v>
      </c>
      <c r="D1060" t="inlineStr">
        <is>
          <t>STOCKHOLMS LÄN</t>
        </is>
      </c>
      <c r="E1060" t="inlineStr">
        <is>
          <t>NORRTÄLJE</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6838-2026</t>
        </is>
      </c>
      <c r="B1061" s="1" t="n">
        <v>46057.41151620371</v>
      </c>
      <c r="C1061" s="1" t="n">
        <v>46077</v>
      </c>
      <c r="D1061" t="inlineStr">
        <is>
          <t>STOCKHOLMS LÄN</t>
        </is>
      </c>
      <c r="E1061" t="inlineStr">
        <is>
          <t>NORRTÄLJE</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27697-2025</t>
        </is>
      </c>
      <c r="B1062" s="1" t="n">
        <v>45813.66961805556</v>
      </c>
      <c r="C1062" s="1" t="n">
        <v>46077</v>
      </c>
      <c r="D1062" t="inlineStr">
        <is>
          <t>STOCKHOLMS LÄN</t>
        </is>
      </c>
      <c r="E1062" t="inlineStr">
        <is>
          <t>NORRTÄLJE</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27700-2025</t>
        </is>
      </c>
      <c r="B1063" s="1" t="n">
        <v>45813.6799537037</v>
      </c>
      <c r="C1063" s="1" t="n">
        <v>46077</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27554-2025</t>
        </is>
      </c>
      <c r="B1064" s="1" t="n">
        <v>45813.4709375</v>
      </c>
      <c r="C1064" s="1" t="n">
        <v>46077</v>
      </c>
      <c r="D1064" t="inlineStr">
        <is>
          <t>STOCKHOLMS LÄN</t>
        </is>
      </c>
      <c r="E1064" t="inlineStr">
        <is>
          <t>NORRTÄLJE</t>
        </is>
      </c>
      <c r="F1064" t="inlineStr">
        <is>
          <t>Övriga Aktiebolag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6874-2026</t>
        </is>
      </c>
      <c r="B1065" s="1" t="n">
        <v>46057.45295138889</v>
      </c>
      <c r="C1065" s="1" t="n">
        <v>46077</v>
      </c>
      <c r="D1065" t="inlineStr">
        <is>
          <t>STOCKHOLMS LÄN</t>
        </is>
      </c>
      <c r="E1065" t="inlineStr">
        <is>
          <t>NORRTÄLJE</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7308-2026</t>
        </is>
      </c>
      <c r="B1066" s="1" t="n">
        <v>46058.66025462963</v>
      </c>
      <c r="C1066" s="1" t="n">
        <v>46077</v>
      </c>
      <c r="D1066" t="inlineStr">
        <is>
          <t>STOCKHOLMS LÄN</t>
        </is>
      </c>
      <c r="E1066" t="inlineStr">
        <is>
          <t>NORRTÄLJE</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11901-2024</t>
        </is>
      </c>
      <c r="B1067" s="1" t="n">
        <v>45376.55638888889</v>
      </c>
      <c r="C1067" s="1" t="n">
        <v>46077</v>
      </c>
      <c r="D1067" t="inlineStr">
        <is>
          <t>STOCKHOLMS LÄN</t>
        </is>
      </c>
      <c r="E1067" t="inlineStr">
        <is>
          <t>NORRTÄLJE</t>
        </is>
      </c>
      <c r="F1067" t="inlineStr">
        <is>
          <t>Holmen skog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4549-2026</t>
        </is>
      </c>
      <c r="B1068" s="1" t="n">
        <v>46047</v>
      </c>
      <c r="C1068" s="1" t="n">
        <v>46077</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27802-2025</t>
        </is>
      </c>
      <c r="B1069" s="1" t="n">
        <v>45817.2565625</v>
      </c>
      <c r="C1069" s="1" t="n">
        <v>46077</v>
      </c>
      <c r="D1069" t="inlineStr">
        <is>
          <t>STOCKHOLMS LÄN</t>
        </is>
      </c>
      <c r="E1069" t="inlineStr">
        <is>
          <t>NORRTÄLJE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27806-2025</t>
        </is>
      </c>
      <c r="B1070" s="1" t="n">
        <v>45817.30329861111</v>
      </c>
      <c r="C1070" s="1" t="n">
        <v>46077</v>
      </c>
      <c r="D1070" t="inlineStr">
        <is>
          <t>STOCKHOLMS LÄN</t>
        </is>
      </c>
      <c r="E1070" t="inlineStr">
        <is>
          <t>NORRTÄLJE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27808-2025</t>
        </is>
      </c>
      <c r="B1071" s="1" t="n">
        <v>45817.31085648148</v>
      </c>
      <c r="C1071" s="1" t="n">
        <v>46077</v>
      </c>
      <c r="D1071" t="inlineStr">
        <is>
          <t>STOCKHOLMS LÄN</t>
        </is>
      </c>
      <c r="E1071" t="inlineStr">
        <is>
          <t>NORRTÄLJE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27810-2025</t>
        </is>
      </c>
      <c r="B1072" s="1" t="n">
        <v>45817.31708333334</v>
      </c>
      <c r="C1072" s="1" t="n">
        <v>46077</v>
      </c>
      <c r="D1072" t="inlineStr">
        <is>
          <t>STOCKHOLMS LÄN</t>
        </is>
      </c>
      <c r="E1072" t="inlineStr">
        <is>
          <t>NORRTÄLJE</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27811-2025</t>
        </is>
      </c>
      <c r="B1073" s="1" t="n">
        <v>45817.31986111111</v>
      </c>
      <c r="C1073" s="1" t="n">
        <v>46077</v>
      </c>
      <c r="D1073" t="inlineStr">
        <is>
          <t>STOCKHOLMS LÄN</t>
        </is>
      </c>
      <c r="E1073" t="inlineStr">
        <is>
          <t>NORRTÄLJE</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27818-2025</t>
        </is>
      </c>
      <c r="B1074" s="1" t="n">
        <v>45817.33503472222</v>
      </c>
      <c r="C1074" s="1" t="n">
        <v>46077</v>
      </c>
      <c r="D1074" t="inlineStr">
        <is>
          <t>STOCKHOLMS LÄN</t>
        </is>
      </c>
      <c r="E1074" t="inlineStr">
        <is>
          <t>NORRTÄLJE</t>
        </is>
      </c>
      <c r="F1074" t="inlineStr">
        <is>
          <t>Sveaskog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15528-2025</t>
        </is>
      </c>
      <c r="B1075" s="1" t="n">
        <v>45747.63471064815</v>
      </c>
      <c r="C1075" s="1" t="n">
        <v>46077</v>
      </c>
      <c r="D1075" t="inlineStr">
        <is>
          <t>STOCKHOLMS LÄN</t>
        </is>
      </c>
      <c r="E1075" t="inlineStr">
        <is>
          <t>NORRTÄLJE</t>
        </is>
      </c>
      <c r="G1075" t="n">
        <v>10</v>
      </c>
      <c r="H1075" t="n">
        <v>0</v>
      </c>
      <c r="I1075" t="n">
        <v>0</v>
      </c>
      <c r="J1075" t="n">
        <v>0</v>
      </c>
      <c r="K1075" t="n">
        <v>0</v>
      </c>
      <c r="L1075" t="n">
        <v>0</v>
      </c>
      <c r="M1075" t="n">
        <v>0</v>
      </c>
      <c r="N1075" t="n">
        <v>0</v>
      </c>
      <c r="O1075" t="n">
        <v>0</v>
      </c>
      <c r="P1075" t="n">
        <v>0</v>
      </c>
      <c r="Q1075" t="n">
        <v>0</v>
      </c>
      <c r="R1075" s="2" t="inlineStr"/>
    </row>
    <row r="1076" ht="15" customHeight="1">
      <c r="A1076" t="inlineStr">
        <is>
          <t>A 27803-2025</t>
        </is>
      </c>
      <c r="B1076" s="1" t="n">
        <v>45817.291875</v>
      </c>
      <c r="C1076" s="1" t="n">
        <v>46077</v>
      </c>
      <c r="D1076" t="inlineStr">
        <is>
          <t>STOCKHOLMS LÄN</t>
        </is>
      </c>
      <c r="E1076" t="inlineStr">
        <is>
          <t>NORRTÄLJE</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27813-2025</t>
        </is>
      </c>
      <c r="B1077" s="1" t="n">
        <v>45817.32538194444</v>
      </c>
      <c r="C1077" s="1" t="n">
        <v>46077</v>
      </c>
      <c r="D1077" t="inlineStr">
        <is>
          <t>STOCKHOLMS LÄN</t>
        </is>
      </c>
      <c r="E1077" t="inlineStr">
        <is>
          <t>NORRTÄLJE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27801-2025</t>
        </is>
      </c>
      <c r="B1078" s="1" t="n">
        <v>45817.25471064815</v>
      </c>
      <c r="C1078" s="1" t="n">
        <v>46077</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27821-2025</t>
        </is>
      </c>
      <c r="B1079" s="1" t="n">
        <v>45817.34083333334</v>
      </c>
      <c r="C1079" s="1" t="n">
        <v>46077</v>
      </c>
      <c r="D1079" t="inlineStr">
        <is>
          <t>STOCKHOLMS LÄN</t>
        </is>
      </c>
      <c r="E1079" t="inlineStr">
        <is>
          <t>NORRTÄLJE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7582-2026</t>
        </is>
      </c>
      <c r="B1080" s="1" t="n">
        <v>46061.6455324074</v>
      </c>
      <c r="C1080" s="1" t="n">
        <v>46077</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7793-2026</t>
        </is>
      </c>
      <c r="B1081" s="1" t="n">
        <v>46062.59496527778</v>
      </c>
      <c r="C1081" s="1" t="n">
        <v>46077</v>
      </c>
      <c r="D1081" t="inlineStr">
        <is>
          <t>STOCKHOLMS LÄN</t>
        </is>
      </c>
      <c r="E1081" t="inlineStr">
        <is>
          <t>NORRTÄLJE</t>
        </is>
      </c>
      <c r="F1081" t="inlineStr">
        <is>
          <t>Holmen skog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44075-2023</t>
        </is>
      </c>
      <c r="B1082" s="1" t="n">
        <v>45188.41637731482</v>
      </c>
      <c r="C1082" s="1" t="n">
        <v>46077</v>
      </c>
      <c r="D1082" t="inlineStr">
        <is>
          <t>STOCKHOLMS LÄN</t>
        </is>
      </c>
      <c r="E1082" t="inlineStr">
        <is>
          <t>NORRTÄLJE</t>
        </is>
      </c>
      <c r="F1082" t="inlineStr">
        <is>
          <t>Holmen skog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3549-2026</t>
        </is>
      </c>
      <c r="B1083" s="1" t="n">
        <v>46042</v>
      </c>
      <c r="C1083" s="1" t="n">
        <v>46077</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7532-2026</t>
        </is>
      </c>
      <c r="B1084" s="1" t="n">
        <v>46059.61903935186</v>
      </c>
      <c r="C1084" s="1" t="n">
        <v>46077</v>
      </c>
      <c r="D1084" t="inlineStr">
        <is>
          <t>STOCKHOLMS LÄN</t>
        </is>
      </c>
      <c r="E1084" t="inlineStr">
        <is>
          <t>NORRTÄLJE</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7723-2026</t>
        </is>
      </c>
      <c r="B1085" s="1" t="n">
        <v>46062.49905092592</v>
      </c>
      <c r="C1085" s="1" t="n">
        <v>46077</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7729-2026</t>
        </is>
      </c>
      <c r="B1086" s="1" t="n">
        <v>46062.51100694444</v>
      </c>
      <c r="C1086" s="1" t="n">
        <v>46077</v>
      </c>
      <c r="D1086" t="inlineStr">
        <is>
          <t>STOCKHOLMS LÄN</t>
        </is>
      </c>
      <c r="E1086" t="inlineStr">
        <is>
          <t>NORRTÄLJE</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29250-2025</t>
        </is>
      </c>
      <c r="B1087" s="1" t="n">
        <v>45824.37275462963</v>
      </c>
      <c r="C1087" s="1" t="n">
        <v>46077</v>
      </c>
      <c r="D1087" t="inlineStr">
        <is>
          <t>STOCKHOLMS LÄN</t>
        </is>
      </c>
      <c r="E1087" t="inlineStr">
        <is>
          <t>NORRTÄLJE</t>
        </is>
      </c>
      <c r="F1087" t="inlineStr">
        <is>
          <t>Sveaskog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8055-2026</t>
        </is>
      </c>
      <c r="B1088" s="1" t="n">
        <v>46063.62002314815</v>
      </c>
      <c r="C1088" s="1" t="n">
        <v>46077</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8091-2026</t>
        </is>
      </c>
      <c r="B1089" s="1" t="n">
        <v>46063.70944444444</v>
      </c>
      <c r="C1089" s="1" t="n">
        <v>46077</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8096-2026</t>
        </is>
      </c>
      <c r="B1090" s="1" t="n">
        <v>46063.714375</v>
      </c>
      <c r="C1090" s="1" t="n">
        <v>46077</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8489-2026</t>
        </is>
      </c>
      <c r="B1091" s="1" t="n">
        <v>46065.48268518518</v>
      </c>
      <c r="C1091" s="1" t="n">
        <v>46077</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30668-2025</t>
        </is>
      </c>
      <c r="B1092" s="1" t="n">
        <v>45831.51659722222</v>
      </c>
      <c r="C1092" s="1" t="n">
        <v>46077</v>
      </c>
      <c r="D1092" t="inlineStr">
        <is>
          <t>STOCKHOLMS LÄN</t>
        </is>
      </c>
      <c r="E1092" t="inlineStr">
        <is>
          <t>NORRTÄLJE</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8454-2026</t>
        </is>
      </c>
      <c r="B1093" s="1" t="n">
        <v>46065.42506944444</v>
      </c>
      <c r="C1093" s="1" t="n">
        <v>46077</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124-2026</t>
        </is>
      </c>
      <c r="B1094" s="1" t="n">
        <v>46024.58378472222</v>
      </c>
      <c r="C1094" s="1" t="n">
        <v>46077</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8410-2026</t>
        </is>
      </c>
      <c r="B1095" s="1" t="n">
        <v>46065.34261574074</v>
      </c>
      <c r="C1095" s="1" t="n">
        <v>46077</v>
      </c>
      <c r="D1095" t="inlineStr">
        <is>
          <t>STOCKHOLMS LÄN</t>
        </is>
      </c>
      <c r="E1095" t="inlineStr">
        <is>
          <t>NORRTÄLJE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8465-2026</t>
        </is>
      </c>
      <c r="B1096" s="1" t="n">
        <v>46065.44141203703</v>
      </c>
      <c r="C1096" s="1" t="n">
        <v>46077</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30639-2025</t>
        </is>
      </c>
      <c r="B1097" s="1" t="n">
        <v>45831.4844212963</v>
      </c>
      <c r="C1097" s="1" t="n">
        <v>46077</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31170-2025</t>
        </is>
      </c>
      <c r="B1098" s="1" t="n">
        <v>45832.66385416667</v>
      </c>
      <c r="C1098" s="1" t="n">
        <v>46077</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197-2026</t>
        </is>
      </c>
      <c r="B1099" s="1" t="n">
        <v>46026</v>
      </c>
      <c r="C1099" s="1" t="n">
        <v>46077</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31874-2025</t>
        </is>
      </c>
      <c r="B1100" s="1" t="n">
        <v>45834</v>
      </c>
      <c r="C1100" s="1" t="n">
        <v>46077</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31868-2025</t>
        </is>
      </c>
      <c r="B1101" s="1" t="n">
        <v>45834.6447337963</v>
      </c>
      <c r="C1101" s="1" t="n">
        <v>46077</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6413-2025</t>
        </is>
      </c>
      <c r="B1102" s="1" t="n">
        <v>45699.46283564815</v>
      </c>
      <c r="C1102" s="1" t="n">
        <v>46077</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8985-2026</t>
        </is>
      </c>
      <c r="B1103" s="1" t="n">
        <v>46069.45234953704</v>
      </c>
      <c r="C1103" s="1" t="n">
        <v>46077</v>
      </c>
      <c r="D1103" t="inlineStr">
        <is>
          <t>STOCKHOLMS LÄN</t>
        </is>
      </c>
      <c r="E1103" t="inlineStr">
        <is>
          <t>NORRTÄLJE</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31880-2025</t>
        </is>
      </c>
      <c r="B1104" s="1" t="n">
        <v>45834.65538194445</v>
      </c>
      <c r="C1104" s="1" t="n">
        <v>46077</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32283-2025</t>
        </is>
      </c>
      <c r="B1105" s="1" t="n">
        <v>45835.68076388889</v>
      </c>
      <c r="C1105" s="1" t="n">
        <v>46077</v>
      </c>
      <c r="D1105" t="inlineStr">
        <is>
          <t>STOCKHOLMS LÄN</t>
        </is>
      </c>
      <c r="E1105" t="inlineStr">
        <is>
          <t>NORRTÄLJE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32122-2025</t>
        </is>
      </c>
      <c r="B1106" s="1" t="n">
        <v>45835.4928125</v>
      </c>
      <c r="C1106" s="1" t="n">
        <v>46077</v>
      </c>
      <c r="D1106" t="inlineStr">
        <is>
          <t>STOCKHOLMS LÄN</t>
        </is>
      </c>
      <c r="E1106" t="inlineStr">
        <is>
          <t>NORRTÄLJE</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8962-2026</t>
        </is>
      </c>
      <c r="B1107" s="1" t="n">
        <v>46069.41644675926</v>
      </c>
      <c r="C1107" s="1" t="n">
        <v>46077</v>
      </c>
      <c r="D1107" t="inlineStr">
        <is>
          <t>STOCKHOLMS LÄN</t>
        </is>
      </c>
      <c r="E1107" t="inlineStr">
        <is>
          <t>NORRTÄLJE</t>
        </is>
      </c>
      <c r="F1107" t="inlineStr">
        <is>
          <t>Holmen skog AB</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8989-2026</t>
        </is>
      </c>
      <c r="B1108" s="1" t="n">
        <v>46069.45789351852</v>
      </c>
      <c r="C1108" s="1" t="n">
        <v>46077</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9103-2026</t>
        </is>
      </c>
      <c r="B1109" s="1" t="n">
        <v>46069.65039351852</v>
      </c>
      <c r="C1109" s="1" t="n">
        <v>46077</v>
      </c>
      <c r="D1109" t="inlineStr">
        <is>
          <t>STOCKHOLMS LÄN</t>
        </is>
      </c>
      <c r="E1109" t="inlineStr">
        <is>
          <t>NORRTÄLJE</t>
        </is>
      </c>
      <c r="F1109" t="inlineStr">
        <is>
          <t>Holmen skog AB</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32094-2025</t>
        </is>
      </c>
      <c r="B1110" s="1" t="n">
        <v>45835.46034722222</v>
      </c>
      <c r="C1110" s="1" t="n">
        <v>46077</v>
      </c>
      <c r="D1110" t="inlineStr">
        <is>
          <t>STOCKHOLMS LÄN</t>
        </is>
      </c>
      <c r="E1110" t="inlineStr">
        <is>
          <t>NORRTÄLJE</t>
        </is>
      </c>
      <c r="F1110" t="inlineStr">
        <is>
          <t>Holmen skog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718-2026</t>
        </is>
      </c>
      <c r="B1111" s="1" t="n">
        <v>46029.63174768518</v>
      </c>
      <c r="C1111" s="1" t="n">
        <v>46077</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32016-2025</t>
        </is>
      </c>
      <c r="B1112" s="1" t="n">
        <v>45835</v>
      </c>
      <c r="C1112" s="1" t="n">
        <v>46077</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32396-2025</t>
        </is>
      </c>
      <c r="B1113" s="1" t="n">
        <v>45837</v>
      </c>
      <c r="C1113" s="1" t="n">
        <v>46077</v>
      </c>
      <c r="D1113" t="inlineStr">
        <is>
          <t>STOCKHOLMS LÄN</t>
        </is>
      </c>
      <c r="E1113" t="inlineStr">
        <is>
          <t>NORRTÄLJE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32397-2025</t>
        </is>
      </c>
      <c r="B1114" s="1" t="n">
        <v>45837.94081018519</v>
      </c>
      <c r="C1114" s="1" t="n">
        <v>46077</v>
      </c>
      <c r="D1114" t="inlineStr">
        <is>
          <t>STOCKHOLMS LÄN</t>
        </is>
      </c>
      <c r="E1114" t="inlineStr">
        <is>
          <t>NORRTÄLJE</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32480-2025</t>
        </is>
      </c>
      <c r="B1115" s="1" t="n">
        <v>45838.43261574074</v>
      </c>
      <c r="C1115" s="1" t="n">
        <v>46077</v>
      </c>
      <c r="D1115" t="inlineStr">
        <is>
          <t>STOCKHOLMS LÄN</t>
        </is>
      </c>
      <c r="E1115" t="inlineStr">
        <is>
          <t>NORRTÄLJE</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694-2026</t>
        </is>
      </c>
      <c r="B1116" s="1" t="n">
        <v>46029.61375</v>
      </c>
      <c r="C1116" s="1" t="n">
        <v>46077</v>
      </c>
      <c r="D1116" t="inlineStr">
        <is>
          <t>STOCKHOLMS LÄN</t>
        </is>
      </c>
      <c r="E1116" t="inlineStr">
        <is>
          <t>NORRTÄLJE</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6828-2026</t>
        </is>
      </c>
      <c r="B1117" s="1" t="n">
        <v>46057</v>
      </c>
      <c r="C1117" s="1" t="n">
        <v>46077</v>
      </c>
      <c r="D1117" t="inlineStr">
        <is>
          <t>STOCKHOLMS LÄN</t>
        </is>
      </c>
      <c r="E1117" t="inlineStr">
        <is>
          <t>NORRTÄLJE</t>
        </is>
      </c>
      <c r="F1117" t="inlineStr">
        <is>
          <t>Holmen skog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32395-2025</t>
        </is>
      </c>
      <c r="B1118" s="1" t="n">
        <v>45837.93730324074</v>
      </c>
      <c r="C1118" s="1" t="n">
        <v>46077</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33211-2025</t>
        </is>
      </c>
      <c r="B1119" s="1" t="n">
        <v>45840.62755787037</v>
      </c>
      <c r="C1119" s="1" t="n">
        <v>46077</v>
      </c>
      <c r="D1119" t="inlineStr">
        <is>
          <t>STOCKHOLMS LÄN</t>
        </is>
      </c>
      <c r="E1119" t="inlineStr">
        <is>
          <t>NORRTÄLJE</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32903-2025</t>
        </is>
      </c>
      <c r="B1120" s="1" t="n">
        <v>45839.62398148148</v>
      </c>
      <c r="C1120" s="1" t="n">
        <v>46077</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33265-2025</t>
        </is>
      </c>
      <c r="B1121" s="1" t="n">
        <v>45840.67829861111</v>
      </c>
      <c r="C1121" s="1" t="n">
        <v>46077</v>
      </c>
      <c r="D1121" t="inlineStr">
        <is>
          <t>STOCKHOLMS LÄN</t>
        </is>
      </c>
      <c r="E1121" t="inlineStr">
        <is>
          <t>NORRTÄLJE</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32872-2025</t>
        </is>
      </c>
      <c r="B1122" s="1" t="n">
        <v>45839</v>
      </c>
      <c r="C1122" s="1" t="n">
        <v>46077</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33702-2025</t>
        </is>
      </c>
      <c r="B1123" s="1" t="n">
        <v>45841.74596064815</v>
      </c>
      <c r="C1123" s="1" t="n">
        <v>46077</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693-2026</t>
        </is>
      </c>
      <c r="B1124" s="1" t="n">
        <v>46029.6133449074</v>
      </c>
      <c r="C1124" s="1" t="n">
        <v>46077</v>
      </c>
      <c r="D1124" t="inlineStr">
        <is>
          <t>STOCKHOLMS LÄN</t>
        </is>
      </c>
      <c r="E1124" t="inlineStr">
        <is>
          <t>NORRTÄLJE</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33336-2025</t>
        </is>
      </c>
      <c r="B1125" s="1" t="n">
        <v>45841.35611111111</v>
      </c>
      <c r="C1125" s="1" t="n">
        <v>46077</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812-2026</t>
        </is>
      </c>
      <c r="B1126" s="1" t="n">
        <v>46030.33358796296</v>
      </c>
      <c r="C1126" s="1" t="n">
        <v>46077</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717-2026</t>
        </is>
      </c>
      <c r="B1127" s="1" t="n">
        <v>46029.63028935185</v>
      </c>
      <c r="C1127" s="1" t="n">
        <v>46077</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33552-2025</t>
        </is>
      </c>
      <c r="B1128" s="1" t="n">
        <v>45841.5737962963</v>
      </c>
      <c r="C1128" s="1" t="n">
        <v>46077</v>
      </c>
      <c r="D1128" t="inlineStr">
        <is>
          <t>STOCKHOLMS LÄN</t>
        </is>
      </c>
      <c r="E1128" t="inlineStr">
        <is>
          <t>NORRTÄLJE</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475-2026</t>
        </is>
      </c>
      <c r="B1129" s="1" t="n">
        <v>46029.39351851852</v>
      </c>
      <c r="C1129" s="1" t="n">
        <v>46077</v>
      </c>
      <c r="D1129" t="inlineStr">
        <is>
          <t>STOCKHOLMS LÄN</t>
        </is>
      </c>
      <c r="E1129" t="inlineStr">
        <is>
          <t>NORRTÄLJE</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33824-2025</t>
        </is>
      </c>
      <c r="B1130" s="1" t="n">
        <v>45842.46885416667</v>
      </c>
      <c r="C1130" s="1" t="n">
        <v>46077</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9720-2026</t>
        </is>
      </c>
      <c r="B1131" s="1" t="n">
        <v>46072.45061342593</v>
      </c>
      <c r="C1131" s="1" t="n">
        <v>46077</v>
      </c>
      <c r="D1131" t="inlineStr">
        <is>
          <t>STOCKHOLMS LÄN</t>
        </is>
      </c>
      <c r="E1131" t="inlineStr">
        <is>
          <t>NORRTÄLJE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46073-2024</t>
        </is>
      </c>
      <c r="B1132" s="1" t="n">
        <v>45581</v>
      </c>
      <c r="C1132" s="1" t="n">
        <v>46077</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36689-2023</t>
        </is>
      </c>
      <c r="B1133" s="1" t="n">
        <v>45152</v>
      </c>
      <c r="C1133" s="1" t="n">
        <v>46077</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34139-2025</t>
        </is>
      </c>
      <c r="B1134" s="1" t="n">
        <v>45845</v>
      </c>
      <c r="C1134" s="1" t="n">
        <v>46077</v>
      </c>
      <c r="D1134" t="inlineStr">
        <is>
          <t>STOCKHOLMS LÄN</t>
        </is>
      </c>
      <c r="E1134" t="inlineStr">
        <is>
          <t>NORRTÄLJE</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34006-2025</t>
        </is>
      </c>
      <c r="B1135" s="1" t="n">
        <v>45844.62609953704</v>
      </c>
      <c r="C1135" s="1" t="n">
        <v>46077</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34010-2025</t>
        </is>
      </c>
      <c r="B1136" s="1" t="n">
        <v>45844.91234953704</v>
      </c>
      <c r="C1136" s="1" t="n">
        <v>46077</v>
      </c>
      <c r="D1136" t="inlineStr">
        <is>
          <t>STOCKHOLMS LÄN</t>
        </is>
      </c>
      <c r="E1136" t="inlineStr">
        <is>
          <t>NORRTÄLJE</t>
        </is>
      </c>
      <c r="F1136" t="inlineStr">
        <is>
          <t>Övriga Aktiebolag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39610-2025</t>
        </is>
      </c>
      <c r="B1137" s="1" t="n">
        <v>45890</v>
      </c>
      <c r="C1137" s="1" t="n">
        <v>46077</v>
      </c>
      <c r="D1137" t="inlineStr">
        <is>
          <t>STOCKHOLMS LÄN</t>
        </is>
      </c>
      <c r="E1137" t="inlineStr">
        <is>
          <t>NORRTÄLJE</t>
        </is>
      </c>
      <c r="G1137" t="n">
        <v>28.6</v>
      </c>
      <c r="H1137" t="n">
        <v>0</v>
      </c>
      <c r="I1137" t="n">
        <v>0</v>
      </c>
      <c r="J1137" t="n">
        <v>0</v>
      </c>
      <c r="K1137" t="n">
        <v>0</v>
      </c>
      <c r="L1137" t="n">
        <v>0</v>
      </c>
      <c r="M1137" t="n">
        <v>0</v>
      </c>
      <c r="N1137" t="n">
        <v>0</v>
      </c>
      <c r="O1137" t="n">
        <v>0</v>
      </c>
      <c r="P1137" t="n">
        <v>0</v>
      </c>
      <c r="Q1137" t="n">
        <v>0</v>
      </c>
      <c r="R1137" s="2" t="inlineStr"/>
    </row>
    <row r="1138" ht="15" customHeight="1">
      <c r="A1138" t="inlineStr">
        <is>
          <t>A 1789-2026</t>
        </is>
      </c>
      <c r="B1138" s="1" t="n">
        <v>46034</v>
      </c>
      <c r="C1138" s="1" t="n">
        <v>46077</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35110-2025</t>
        </is>
      </c>
      <c r="B1139" s="1" t="n">
        <v>45852.58030092593</v>
      </c>
      <c r="C1139" s="1" t="n">
        <v>46077</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1755-2026</t>
        </is>
      </c>
      <c r="B1140" s="1" t="n">
        <v>46034.66230324074</v>
      </c>
      <c r="C1140" s="1" t="n">
        <v>46077</v>
      </c>
      <c r="D1140" t="inlineStr">
        <is>
          <t>STOCKHOLMS LÄN</t>
        </is>
      </c>
      <c r="E1140" t="inlineStr">
        <is>
          <t>NORRTÄLJE</t>
        </is>
      </c>
      <c r="F1140" t="inlineStr">
        <is>
          <t>Holmen skog AB</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35254-2025</t>
        </is>
      </c>
      <c r="B1141" s="1" t="n">
        <v>45853</v>
      </c>
      <c r="C1141" s="1" t="n">
        <v>46077</v>
      </c>
      <c r="D1141" t="inlineStr">
        <is>
          <t>STOCKHOLMS LÄN</t>
        </is>
      </c>
      <c r="E1141" t="inlineStr">
        <is>
          <t>NORRTÄLJE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35479-2025</t>
        </is>
      </c>
      <c r="B1142" s="1" t="n">
        <v>45855.69387731481</v>
      </c>
      <c r="C1142" s="1" t="n">
        <v>46077</v>
      </c>
      <c r="D1142" t="inlineStr">
        <is>
          <t>STOCKHOLMS LÄN</t>
        </is>
      </c>
      <c r="E1142" t="inlineStr">
        <is>
          <t>NORRTÄLJE</t>
        </is>
      </c>
      <c r="F1142" t="inlineStr">
        <is>
          <t>Holmen skog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35451-2025</t>
        </is>
      </c>
      <c r="B1143" s="1" t="n">
        <v>45855.57033564815</v>
      </c>
      <c r="C1143" s="1" t="n">
        <v>46077</v>
      </c>
      <c r="D1143" t="inlineStr">
        <is>
          <t>STOCKHOLMS LÄN</t>
        </is>
      </c>
      <c r="E1143" t="inlineStr">
        <is>
          <t>NORRTÄLJE</t>
        </is>
      </c>
      <c r="F1143" t="inlineStr">
        <is>
          <t>Holmen skog AB</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35478-2025</t>
        </is>
      </c>
      <c r="B1144" s="1" t="n">
        <v>45855.68413194444</v>
      </c>
      <c r="C1144" s="1" t="n">
        <v>46077</v>
      </c>
      <c r="D1144" t="inlineStr">
        <is>
          <t>STOCKHOLMS LÄN</t>
        </is>
      </c>
      <c r="E1144" t="inlineStr">
        <is>
          <t>NORRTÄLJE</t>
        </is>
      </c>
      <c r="F1144" t="inlineStr">
        <is>
          <t>Holmen skog AB</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20698-2025</t>
        </is>
      </c>
      <c r="B1145" s="1" t="n">
        <v>45776.47122685185</v>
      </c>
      <c r="C1145" s="1" t="n">
        <v>46077</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36396-2025</t>
        </is>
      </c>
      <c r="B1146" s="1" t="n">
        <v>45868.62267361111</v>
      </c>
      <c r="C1146" s="1" t="n">
        <v>46077</v>
      </c>
      <c r="D1146" t="inlineStr">
        <is>
          <t>STOCKHOLMS LÄN</t>
        </is>
      </c>
      <c r="E1146" t="inlineStr">
        <is>
          <t>NORRTÄLJE</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22232-2024</t>
        </is>
      </c>
      <c r="B1147" s="1" t="n">
        <v>45446.4287962963</v>
      </c>
      <c r="C1147" s="1" t="n">
        <v>46077</v>
      </c>
      <c r="D1147" t="inlineStr">
        <is>
          <t>STOCKHOLMS LÄN</t>
        </is>
      </c>
      <c r="E1147" t="inlineStr">
        <is>
          <t>NORRTÄLJE</t>
        </is>
      </c>
      <c r="G1147" t="n">
        <v>12.8</v>
      </c>
      <c r="H1147" t="n">
        <v>0</v>
      </c>
      <c r="I1147" t="n">
        <v>0</v>
      </c>
      <c r="J1147" t="n">
        <v>0</v>
      </c>
      <c r="K1147" t="n">
        <v>0</v>
      </c>
      <c r="L1147" t="n">
        <v>0</v>
      </c>
      <c r="M1147" t="n">
        <v>0</v>
      </c>
      <c r="N1147" t="n">
        <v>0</v>
      </c>
      <c r="O1147" t="n">
        <v>0</v>
      </c>
      <c r="P1147" t="n">
        <v>0</v>
      </c>
      <c r="Q1147" t="n">
        <v>0</v>
      </c>
      <c r="R1147" s="2" t="inlineStr"/>
    </row>
    <row r="1148" ht="15" customHeight="1">
      <c r="A1148" t="inlineStr">
        <is>
          <t>A 34444-2024</t>
        </is>
      </c>
      <c r="B1148" s="1" t="n">
        <v>45525</v>
      </c>
      <c r="C1148" s="1" t="n">
        <v>46077</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37261-2025</t>
        </is>
      </c>
      <c r="B1149" s="1" t="n">
        <v>45876.45253472222</v>
      </c>
      <c r="C1149" s="1" t="n">
        <v>46077</v>
      </c>
      <c r="D1149" t="inlineStr">
        <is>
          <t>STOCKHOLMS LÄN</t>
        </is>
      </c>
      <c r="E1149" t="inlineStr">
        <is>
          <t>NORRTÄLJE</t>
        </is>
      </c>
      <c r="F1149" t="inlineStr">
        <is>
          <t>Kommuner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20692-2025</t>
        </is>
      </c>
      <c r="B1150" s="1" t="n">
        <v>45776.46369212963</v>
      </c>
      <c r="C1150" s="1" t="n">
        <v>46077</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46071-2024</t>
        </is>
      </c>
      <c r="B1151" s="1" t="n">
        <v>45581</v>
      </c>
      <c r="C1151" s="1" t="n">
        <v>46077</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29369-2024</t>
        </is>
      </c>
      <c r="B1152" s="1" t="n">
        <v>45483.57244212963</v>
      </c>
      <c r="C1152" s="1" t="n">
        <v>46077</v>
      </c>
      <c r="D1152" t="inlineStr">
        <is>
          <t>STOCKHOLMS LÄN</t>
        </is>
      </c>
      <c r="E1152" t="inlineStr">
        <is>
          <t>NORRTÄLJE</t>
        </is>
      </c>
      <c r="G1152" t="n">
        <v>15.9</v>
      </c>
      <c r="H1152" t="n">
        <v>0</v>
      </c>
      <c r="I1152" t="n">
        <v>0</v>
      </c>
      <c r="J1152" t="n">
        <v>0</v>
      </c>
      <c r="K1152" t="n">
        <v>0</v>
      </c>
      <c r="L1152" t="n">
        <v>0</v>
      </c>
      <c r="M1152" t="n">
        <v>0</v>
      </c>
      <c r="N1152" t="n">
        <v>0</v>
      </c>
      <c r="O1152" t="n">
        <v>0</v>
      </c>
      <c r="P1152" t="n">
        <v>0</v>
      </c>
      <c r="Q1152" t="n">
        <v>0</v>
      </c>
      <c r="R1152" s="2" t="inlineStr"/>
    </row>
    <row r="1153" ht="15" customHeight="1">
      <c r="A1153" t="inlineStr">
        <is>
          <t>A 37630-2025</t>
        </is>
      </c>
      <c r="B1153" s="1" t="n">
        <v>45880.46372685185</v>
      </c>
      <c r="C1153" s="1" t="n">
        <v>46077</v>
      </c>
      <c r="D1153" t="inlineStr">
        <is>
          <t>STOCKHOLMS LÄN</t>
        </is>
      </c>
      <c r="E1153" t="inlineStr">
        <is>
          <t>NORRTÄLJE</t>
        </is>
      </c>
      <c r="F1153" t="inlineStr">
        <is>
          <t>Sveaskog</t>
        </is>
      </c>
      <c r="G1153" t="n">
        <v>12.9</v>
      </c>
      <c r="H1153" t="n">
        <v>0</v>
      </c>
      <c r="I1153" t="n">
        <v>0</v>
      </c>
      <c r="J1153" t="n">
        <v>0</v>
      </c>
      <c r="K1153" t="n">
        <v>0</v>
      </c>
      <c r="L1153" t="n">
        <v>0</v>
      </c>
      <c r="M1153" t="n">
        <v>0</v>
      </c>
      <c r="N1153" t="n">
        <v>0</v>
      </c>
      <c r="O1153" t="n">
        <v>0</v>
      </c>
      <c r="P1153" t="n">
        <v>0</v>
      </c>
      <c r="Q1153" t="n">
        <v>0</v>
      </c>
      <c r="R1153" s="2" t="inlineStr"/>
    </row>
    <row r="1154" ht="15" customHeight="1">
      <c r="A1154" t="inlineStr">
        <is>
          <t>A 37632-2025</t>
        </is>
      </c>
      <c r="B1154" s="1" t="n">
        <v>45880.46524305556</v>
      </c>
      <c r="C1154" s="1" t="n">
        <v>46077</v>
      </c>
      <c r="D1154" t="inlineStr">
        <is>
          <t>STOCKHOLMS LÄN</t>
        </is>
      </c>
      <c r="E1154" t="inlineStr">
        <is>
          <t>NORRTÄLJE</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29841-2024</t>
        </is>
      </c>
      <c r="B1155" s="1" t="n">
        <v>45485.60261574074</v>
      </c>
      <c r="C1155" s="1" t="n">
        <v>46077</v>
      </c>
      <c r="D1155" t="inlineStr">
        <is>
          <t>STOCKHOLMS LÄN</t>
        </is>
      </c>
      <c r="E1155" t="inlineStr">
        <is>
          <t>NORRTÄLJE</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37628-2025</t>
        </is>
      </c>
      <c r="B1156" s="1" t="n">
        <v>45880.46189814815</v>
      </c>
      <c r="C1156" s="1" t="n">
        <v>46077</v>
      </c>
      <c r="D1156" t="inlineStr">
        <is>
          <t>STOCKHOLMS LÄN</t>
        </is>
      </c>
      <c r="E1156" t="inlineStr">
        <is>
          <t>NORRTÄLJE</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24350-2025</t>
        </is>
      </c>
      <c r="B1157" s="1" t="n">
        <v>45797.58350694444</v>
      </c>
      <c r="C1157" s="1" t="n">
        <v>46077</v>
      </c>
      <c r="D1157" t="inlineStr">
        <is>
          <t>STOCKHOLMS LÄN</t>
        </is>
      </c>
      <c r="E1157" t="inlineStr">
        <is>
          <t>NORRTÄLJE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26703-2025</t>
        </is>
      </c>
      <c r="B1158" s="1" t="n">
        <v>45810.45263888889</v>
      </c>
      <c r="C1158" s="1" t="n">
        <v>46077</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13137-2024</t>
        </is>
      </c>
      <c r="B1159" s="1" t="n">
        <v>45386.34175925926</v>
      </c>
      <c r="C1159" s="1" t="n">
        <v>46077</v>
      </c>
      <c r="D1159" t="inlineStr">
        <is>
          <t>STOCKHOLMS LÄN</t>
        </is>
      </c>
      <c r="E1159" t="inlineStr">
        <is>
          <t>NORRTÄLJE</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38153-2025</t>
        </is>
      </c>
      <c r="B1160" s="1" t="n">
        <v>45882.59722222222</v>
      </c>
      <c r="C1160" s="1" t="n">
        <v>46077</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c r="A1161" t="inlineStr">
        <is>
          <t>A 38593-2025</t>
        </is>
      </c>
      <c r="B1161" s="1" t="n">
        <v>45884.48696759259</v>
      </c>
      <c r="C1161" s="1" t="n">
        <v>46077</v>
      </c>
      <c r="D1161" t="inlineStr">
        <is>
          <t>STOCKHOLMS LÄN</t>
        </is>
      </c>
      <c r="E1161" t="inlineStr">
        <is>
          <t>NORRTÄLJE</t>
        </is>
      </c>
      <c r="G1161" t="n">
        <v>3</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2026-02-24T11:08:52Z</dcterms:created>
  <dcterms:modified xmlns:dcterms="http://purl.org/dc/terms/" xmlns:xsi="http://www.w3.org/2001/XMLSchema-instance" xsi:type="dcterms:W3CDTF">2026-02-24T11:08:53Z</dcterms:modified>
</cp:coreProperties>
</file>