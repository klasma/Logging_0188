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46114</v>
      </c>
      <c r="D4" t="inlineStr">
        <is>
          <t>STOCKHOLMS LÄN</t>
        </is>
      </c>
      <c r="E4" t="inlineStr">
        <is>
          <t>NORRTÄLJE</t>
        </is>
      </c>
      <c r="G4" t="n">
        <v>35.4</v>
      </c>
      <c r="H4" t="n">
        <v>3</v>
      </c>
      <c r="I4" t="n">
        <v>22</v>
      </c>
      <c r="J4" t="n">
        <v>11</v>
      </c>
      <c r="K4" t="n">
        <v>2</v>
      </c>
      <c r="L4" t="n">
        <v>1</v>
      </c>
      <c r="M4" t="n">
        <v>0</v>
      </c>
      <c r="N4" t="n">
        <v>0</v>
      </c>
      <c r="O4" t="n">
        <v>14</v>
      </c>
      <c r="P4" t="n">
        <v>3</v>
      </c>
      <c r="Q4" t="n">
        <v>37</v>
      </c>
      <c r="R4"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46114</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46114</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46114</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46114</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46114</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46114</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46114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46114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46114</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46114</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46114</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46114</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46114</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46114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46114</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46114</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46114</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46114</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46114</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46114</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46114</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46114</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46114</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46114</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46114</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46114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46114</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46114</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46114</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46114</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46114</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46114</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46114</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46114</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46114</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46114</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46114</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34521-2025</t>
        </is>
      </c>
      <c r="B47" s="1" t="n">
        <v>45847.47052083333</v>
      </c>
      <c r="C47" s="1" t="n">
        <v>46114</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41276-2025</t>
        </is>
      </c>
      <c r="B48" s="1" t="n">
        <v>45898.62723379629</v>
      </c>
      <c r="C48" s="1" t="n">
        <v>46114</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46114</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46114</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46114</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46114</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46114</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46114</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46114</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46114</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46114</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46114</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34524-2025</t>
        </is>
      </c>
      <c r="B59" s="1" t="n">
        <v>45847.47685185185</v>
      </c>
      <c r="C59" s="1" t="n">
        <v>46114</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2851-2023</t>
        </is>
      </c>
      <c r="B60" s="1" t="n">
        <v>44945</v>
      </c>
      <c r="C60" s="1" t="n">
        <v>46114</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27870-2022</t>
        </is>
      </c>
      <c r="B61" s="1" t="n">
        <v>44743.64592592593</v>
      </c>
      <c r="C61" s="1" t="n">
        <v>46114</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50618-2022</t>
        </is>
      </c>
      <c r="B62" s="1" t="n">
        <v>44866</v>
      </c>
      <c r="C62" s="1" t="n">
        <v>46114</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52726-2025</t>
        </is>
      </c>
      <c r="B63" s="1" t="n">
        <v>45957.34722222222</v>
      </c>
      <c r="C63" s="1" t="n">
        <v>46114</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20185-2022</t>
        </is>
      </c>
      <c r="B64" s="1" t="n">
        <v>44698</v>
      </c>
      <c r="C64" s="1" t="n">
        <v>46114</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15913-2026</t>
        </is>
      </c>
      <c r="B65" s="1" t="n">
        <v>46107.6456712963</v>
      </c>
      <c r="C65" s="1" t="n">
        <v>46114</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54110-2024</t>
        </is>
      </c>
      <c r="B66" s="1" t="n">
        <v>45616.54866898148</v>
      </c>
      <c r="C66" s="1" t="n">
        <v>46114</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46114</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29185-2025</t>
        </is>
      </c>
      <c r="B68" s="1" t="n">
        <v>45821</v>
      </c>
      <c r="C68" s="1" t="n">
        <v>46114</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52133-2022</t>
        </is>
      </c>
      <c r="B69" s="1" t="n">
        <v>44868</v>
      </c>
      <c r="C69" s="1" t="n">
        <v>46114</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46114</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46114</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46114</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46114</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46114</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46114</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17952-2022</t>
        </is>
      </c>
      <c r="B76" s="1" t="n">
        <v>44683</v>
      </c>
      <c r="C76" s="1" t="n">
        <v>46114</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51980-2022</t>
        </is>
      </c>
      <c r="B77" s="1" t="n">
        <v>44872</v>
      </c>
      <c r="C77" s="1" t="n">
        <v>46114</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46114</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51220-2023</t>
        </is>
      </c>
      <c r="B79" s="1" t="n">
        <v>45219</v>
      </c>
      <c r="C79" s="1" t="n">
        <v>46114</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46114</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46114</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46114</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46114</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46114</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15925-2026</t>
        </is>
      </c>
      <c r="B85" s="1" t="n">
        <v>46107.66046296297</v>
      </c>
      <c r="C85" s="1" t="n">
        <v>46114</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33548-2025</t>
        </is>
      </c>
      <c r="B86" s="1" t="n">
        <v>45841.5721875</v>
      </c>
      <c r="C86" s="1" t="n">
        <v>46114</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46114</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46114</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46114</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46114</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46114</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46114</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46114</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24535-2023</t>
        </is>
      </c>
      <c r="B94" s="1" t="n">
        <v>45082</v>
      </c>
      <c r="C94" s="1" t="n">
        <v>46114</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31281-2022</t>
        </is>
      </c>
      <c r="B95" s="1" t="n">
        <v>44771</v>
      </c>
      <c r="C95" s="1" t="n">
        <v>46114</v>
      </c>
      <c r="D95" t="inlineStr">
        <is>
          <t>STOCKHOLMS LÄN</t>
        </is>
      </c>
      <c r="E95" t="inlineStr">
        <is>
          <t>NORRTÄLJE</t>
        </is>
      </c>
      <c r="F95" t="inlineStr">
        <is>
          <t>Holmen skog AB</t>
        </is>
      </c>
      <c r="G95" t="n">
        <v>5.2</v>
      </c>
      <c r="H95" t="n">
        <v>1</v>
      </c>
      <c r="I95" t="n">
        <v>0</v>
      </c>
      <c r="J95" t="n">
        <v>1</v>
      </c>
      <c r="K95" t="n">
        <v>0</v>
      </c>
      <c r="L95" t="n">
        <v>0</v>
      </c>
      <c r="M95" t="n">
        <v>0</v>
      </c>
      <c r="N95" t="n">
        <v>0</v>
      </c>
      <c r="O95" t="n">
        <v>1</v>
      </c>
      <c r="P95" t="n">
        <v>0</v>
      </c>
      <c r="Q95" t="n">
        <v>1</v>
      </c>
      <c r="R95" s="2" t="inlineStr">
        <is>
          <t>Kråka</t>
        </is>
      </c>
      <c r="S95">
        <f>HYPERLINK("https://klasma.github.io/Logging_0188/artfynd/A 31281-2022 artfynd.xlsx", "A 31281-2022")</f>
        <v/>
      </c>
      <c r="T95">
        <f>HYPERLINK("https://klasma.github.io/Logging_0188/kartor/A 31281-2022 karta.png", "A 31281-2022")</f>
        <v/>
      </c>
      <c r="V95">
        <f>HYPERLINK("https://klasma.github.io/Logging_0188/klagomål/A 31281-2022 FSC-klagomål.docx", "A 31281-2022")</f>
        <v/>
      </c>
      <c r="W95">
        <f>HYPERLINK("https://klasma.github.io/Logging_0188/klagomålsmail/A 31281-2022 FSC-klagomål mail.docx", "A 31281-2022")</f>
        <v/>
      </c>
      <c r="X95">
        <f>HYPERLINK("https://klasma.github.io/Logging_0188/tillsyn/A 31281-2022 tillsynsbegäran.docx", "A 31281-2022")</f>
        <v/>
      </c>
      <c r="Y95">
        <f>HYPERLINK("https://klasma.github.io/Logging_0188/tillsynsmail/A 31281-2022 tillsynsbegäran mail.docx", "A 31281-2022")</f>
        <v/>
      </c>
      <c r="Z95">
        <f>HYPERLINK("https://klasma.github.io/Logging_0188/fåglar/A 31281-2022 prioriterade fågelarter.docx", "A 31281-2022")</f>
        <v/>
      </c>
    </row>
    <row r="96" ht="15" customHeight="1">
      <c r="A96" t="inlineStr">
        <is>
          <t>A 35691-2023</t>
        </is>
      </c>
      <c r="B96" s="1" t="n">
        <v>45147.65222222222</v>
      </c>
      <c r="C96" s="1" t="n">
        <v>46114</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46114</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4532-2025</t>
        </is>
      </c>
      <c r="B98" s="1" t="n">
        <v>45687.34177083334</v>
      </c>
      <c r="C98" s="1" t="n">
        <v>46114</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50854-2022</t>
        </is>
      </c>
      <c r="B99" s="1" t="n">
        <v>44863</v>
      </c>
      <c r="C99" s="1" t="n">
        <v>46114</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33546-2025</t>
        </is>
      </c>
      <c r="B100" s="1" t="n">
        <v>45841.56996527778</v>
      </c>
      <c r="C100" s="1" t="n">
        <v>46114</v>
      </c>
      <c r="D100" t="inlineStr">
        <is>
          <t>STOCKHOLMS LÄN</t>
        </is>
      </c>
      <c r="E100" t="inlineStr">
        <is>
          <t>NORRTÄLJE</t>
        </is>
      </c>
      <c r="G100" t="n">
        <v>7.2</v>
      </c>
      <c r="H100" t="n">
        <v>1</v>
      </c>
      <c r="I100" t="n">
        <v>1</v>
      </c>
      <c r="J100" t="n">
        <v>0</v>
      </c>
      <c r="K100" t="n">
        <v>0</v>
      </c>
      <c r="L100" t="n">
        <v>0</v>
      </c>
      <c r="M100" t="n">
        <v>0</v>
      </c>
      <c r="N100" t="n">
        <v>0</v>
      </c>
      <c r="O100" t="n">
        <v>0</v>
      </c>
      <c r="P100" t="n">
        <v>0</v>
      </c>
      <c r="Q100" t="n">
        <v>1</v>
      </c>
      <c r="R100" s="2" t="inlineStr">
        <is>
          <t>Nästrot</t>
        </is>
      </c>
      <c r="S100">
        <f>HYPERLINK("https://klasma.github.io/Logging_0188/artfynd/A 33546-2025 artfynd.xlsx", "A 33546-2025")</f>
        <v/>
      </c>
      <c r="T100">
        <f>HYPERLINK("https://klasma.github.io/Logging_0188/kartor/A 33546-2025 karta.png", "A 33546-2025")</f>
        <v/>
      </c>
      <c r="V100">
        <f>HYPERLINK("https://klasma.github.io/Logging_0188/klagomål/A 33546-2025 FSC-klagomål.docx", "A 33546-2025")</f>
        <v/>
      </c>
      <c r="W100">
        <f>HYPERLINK("https://klasma.github.io/Logging_0188/klagomålsmail/A 33546-2025 FSC-klagomål mail.docx", "A 33546-2025")</f>
        <v/>
      </c>
      <c r="X100">
        <f>HYPERLINK("https://klasma.github.io/Logging_0188/tillsyn/A 33546-2025 tillsynsbegäran.docx", "A 33546-2025")</f>
        <v/>
      </c>
      <c r="Y100">
        <f>HYPERLINK("https://klasma.github.io/Logging_0188/tillsynsmail/A 33546-2025 tillsynsbegäran mail.docx", "A 33546-2025")</f>
        <v/>
      </c>
    </row>
    <row r="101" ht="15" customHeight="1">
      <c r="A101" t="inlineStr">
        <is>
          <t>A 26120-2024</t>
        </is>
      </c>
      <c r="B101" s="1" t="n">
        <v>45468.45995370371</v>
      </c>
      <c r="C101" s="1" t="n">
        <v>46114</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13291-2025</t>
        </is>
      </c>
      <c r="B102" s="1" t="n">
        <v>45735</v>
      </c>
      <c r="C102" s="1" t="n">
        <v>46114</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40861-2025</t>
        </is>
      </c>
      <c r="B103" s="1" t="n">
        <v>45897.56356481482</v>
      </c>
      <c r="C103" s="1" t="n">
        <v>46114</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46114</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64456-2023</t>
        </is>
      </c>
      <c r="B105" s="1" t="n">
        <v>45280</v>
      </c>
      <c r="C105" s="1" t="n">
        <v>46114</v>
      </c>
      <c r="D105" t="inlineStr">
        <is>
          <t>STOCKHOLMS LÄN</t>
        </is>
      </c>
      <c r="E105" t="inlineStr">
        <is>
          <t>NORRTÄLJE</t>
        </is>
      </c>
      <c r="G105" t="n">
        <v>2.5</v>
      </c>
      <c r="H105" t="n">
        <v>0</v>
      </c>
      <c r="I105" t="n">
        <v>1</v>
      </c>
      <c r="J105" t="n">
        <v>0</v>
      </c>
      <c r="K105" t="n">
        <v>0</v>
      </c>
      <c r="L105" t="n">
        <v>0</v>
      </c>
      <c r="M105" t="n">
        <v>0</v>
      </c>
      <c r="N105" t="n">
        <v>0</v>
      </c>
      <c r="O105" t="n">
        <v>0</v>
      </c>
      <c r="P105" t="n">
        <v>0</v>
      </c>
      <c r="Q105" t="n">
        <v>1</v>
      </c>
      <c r="R105" s="2" t="inlineStr">
        <is>
          <t>Rödgul trumpetsvamp</t>
        </is>
      </c>
      <c r="S105">
        <f>HYPERLINK("https://klasma.github.io/Logging_0188/artfynd/A 64456-2023 artfynd.xlsx", "A 64456-2023")</f>
        <v/>
      </c>
      <c r="T105">
        <f>HYPERLINK("https://klasma.github.io/Logging_0188/kartor/A 64456-2023 karta.png", "A 64456-2023")</f>
        <v/>
      </c>
      <c r="V105">
        <f>HYPERLINK("https://klasma.github.io/Logging_0188/klagomål/A 64456-2023 FSC-klagomål.docx", "A 64456-2023")</f>
        <v/>
      </c>
      <c r="W105">
        <f>HYPERLINK("https://klasma.github.io/Logging_0188/klagomålsmail/A 64456-2023 FSC-klagomål mail.docx", "A 64456-2023")</f>
        <v/>
      </c>
      <c r="X105">
        <f>HYPERLINK("https://klasma.github.io/Logging_0188/tillsyn/A 64456-2023 tillsynsbegäran.docx", "A 64456-2023")</f>
        <v/>
      </c>
      <c r="Y105">
        <f>HYPERLINK("https://klasma.github.io/Logging_0188/tillsynsmail/A 64456-2023 tillsynsbegäran mail.docx", "A 64456-2023")</f>
        <v/>
      </c>
    </row>
    <row r="106" ht="15" customHeight="1">
      <c r="A106" t="inlineStr">
        <is>
          <t>A 42313-2025</t>
        </is>
      </c>
      <c r="B106" s="1" t="n">
        <v>45904.6575</v>
      </c>
      <c r="C106" s="1" t="n">
        <v>46114</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8371-2025</t>
        </is>
      </c>
      <c r="B107" s="1" t="n">
        <v>45708</v>
      </c>
      <c r="C107" s="1" t="n">
        <v>46114</v>
      </c>
      <c r="D107" t="inlineStr">
        <is>
          <t>STOCKHOLMS LÄN</t>
        </is>
      </c>
      <c r="E107" t="inlineStr">
        <is>
          <t>NORRTÄLJE</t>
        </is>
      </c>
      <c r="F107" t="inlineStr">
        <is>
          <t>Övriga Aktiebolag</t>
        </is>
      </c>
      <c r="G107" t="n">
        <v>2.9</v>
      </c>
      <c r="H107" t="n">
        <v>1</v>
      </c>
      <c r="I107" t="n">
        <v>0</v>
      </c>
      <c r="J107" t="n">
        <v>1</v>
      </c>
      <c r="K107" t="n">
        <v>0</v>
      </c>
      <c r="L107" t="n">
        <v>0</v>
      </c>
      <c r="M107" t="n">
        <v>0</v>
      </c>
      <c r="N107" t="n">
        <v>0</v>
      </c>
      <c r="O107" t="n">
        <v>1</v>
      </c>
      <c r="P107" t="n">
        <v>0</v>
      </c>
      <c r="Q107" t="n">
        <v>1</v>
      </c>
      <c r="R107" s="2" t="inlineStr">
        <is>
          <t>Spillkråka</t>
        </is>
      </c>
      <c r="S107">
        <f>HYPERLINK("https://klasma.github.io/Logging_0188/artfynd/A 8371-2025 artfynd.xlsx", "A 8371-2025")</f>
        <v/>
      </c>
      <c r="T107">
        <f>HYPERLINK("https://klasma.github.io/Logging_0188/kartor/A 8371-2025 karta.png", "A 8371-2025")</f>
        <v/>
      </c>
      <c r="V107">
        <f>HYPERLINK("https://klasma.github.io/Logging_0188/klagomål/A 8371-2025 FSC-klagomål.docx", "A 8371-2025")</f>
        <v/>
      </c>
      <c r="W107">
        <f>HYPERLINK("https://klasma.github.io/Logging_0188/klagomålsmail/A 8371-2025 FSC-klagomål mail.docx", "A 8371-2025")</f>
        <v/>
      </c>
      <c r="X107">
        <f>HYPERLINK("https://klasma.github.io/Logging_0188/tillsyn/A 8371-2025 tillsynsbegäran.docx", "A 8371-2025")</f>
        <v/>
      </c>
      <c r="Y107">
        <f>HYPERLINK("https://klasma.github.io/Logging_0188/tillsynsmail/A 8371-2025 tillsynsbegäran mail.docx", "A 8371-2025")</f>
        <v/>
      </c>
      <c r="Z107">
        <f>HYPERLINK("https://klasma.github.io/Logging_0188/fåglar/A 8371-2025 prioriterade fågelarter.docx", "A 8371-2025")</f>
        <v/>
      </c>
    </row>
    <row r="108" ht="15" customHeight="1">
      <c r="A108" t="inlineStr">
        <is>
          <t>A 24330-2023</t>
        </is>
      </c>
      <c r="B108" s="1" t="n">
        <v>45081</v>
      </c>
      <c r="C108" s="1" t="n">
        <v>46114</v>
      </c>
      <c r="D108" t="inlineStr">
        <is>
          <t>STOCKHOLMS LÄN</t>
        </is>
      </c>
      <c r="E108" t="inlineStr">
        <is>
          <t>NORRTÄLJE</t>
        </is>
      </c>
      <c r="G108" t="n">
        <v>5</v>
      </c>
      <c r="H108" t="n">
        <v>1</v>
      </c>
      <c r="I108" t="n">
        <v>0</v>
      </c>
      <c r="J108" t="n">
        <v>1</v>
      </c>
      <c r="K108" t="n">
        <v>0</v>
      </c>
      <c r="L108" t="n">
        <v>0</v>
      </c>
      <c r="M108" t="n">
        <v>0</v>
      </c>
      <c r="N108" t="n">
        <v>0</v>
      </c>
      <c r="O108" t="n">
        <v>1</v>
      </c>
      <c r="P108" t="n">
        <v>0</v>
      </c>
      <c r="Q108" t="n">
        <v>1</v>
      </c>
      <c r="R108" s="2" t="inlineStr">
        <is>
          <t>Mindre hackspett</t>
        </is>
      </c>
      <c r="S108">
        <f>HYPERLINK("https://klasma.github.io/Logging_0188/artfynd/A 24330-2023 artfynd.xlsx", "A 24330-2023")</f>
        <v/>
      </c>
      <c r="T108">
        <f>HYPERLINK("https://klasma.github.io/Logging_0188/kartor/A 24330-2023 karta.png", "A 24330-2023")</f>
        <v/>
      </c>
      <c r="V108">
        <f>HYPERLINK("https://klasma.github.io/Logging_0188/klagomål/A 24330-2023 FSC-klagomål.docx", "A 24330-2023")</f>
        <v/>
      </c>
      <c r="W108">
        <f>HYPERLINK("https://klasma.github.io/Logging_0188/klagomålsmail/A 24330-2023 FSC-klagomål mail.docx", "A 24330-2023")</f>
        <v/>
      </c>
      <c r="X108">
        <f>HYPERLINK("https://klasma.github.io/Logging_0188/tillsyn/A 24330-2023 tillsynsbegäran.docx", "A 24330-2023")</f>
        <v/>
      </c>
      <c r="Y108">
        <f>HYPERLINK("https://klasma.github.io/Logging_0188/tillsynsmail/A 24330-2023 tillsynsbegäran mail.docx", "A 24330-2023")</f>
        <v/>
      </c>
      <c r="Z108">
        <f>HYPERLINK("https://klasma.github.io/Logging_0188/fåglar/A 24330-2023 prioriterade fågelarter.docx", "A 24330-2023")</f>
        <v/>
      </c>
    </row>
    <row r="109" ht="15" customHeight="1">
      <c r="A109" t="inlineStr">
        <is>
          <t>A 21744-2023</t>
        </is>
      </c>
      <c r="B109" s="1" t="n">
        <v>45065</v>
      </c>
      <c r="C109" s="1" t="n">
        <v>46114</v>
      </c>
      <c r="D109" t="inlineStr">
        <is>
          <t>STOCKHOLMS LÄN</t>
        </is>
      </c>
      <c r="E109" t="inlineStr">
        <is>
          <t>NORRTÄLJE</t>
        </is>
      </c>
      <c r="F109" t="inlineStr">
        <is>
          <t>Holmen skog AB</t>
        </is>
      </c>
      <c r="G109" t="n">
        <v>4.2</v>
      </c>
      <c r="H109" t="n">
        <v>0</v>
      </c>
      <c r="I109" t="n">
        <v>1</v>
      </c>
      <c r="J109" t="n">
        <v>0</v>
      </c>
      <c r="K109" t="n">
        <v>0</v>
      </c>
      <c r="L109" t="n">
        <v>0</v>
      </c>
      <c r="M109" t="n">
        <v>0</v>
      </c>
      <c r="N109" t="n">
        <v>0</v>
      </c>
      <c r="O109" t="n">
        <v>0</v>
      </c>
      <c r="P109" t="n">
        <v>0</v>
      </c>
      <c r="Q109" t="n">
        <v>1</v>
      </c>
      <c r="R109" s="2" t="inlineStr">
        <is>
          <t>Korallblylav</t>
        </is>
      </c>
      <c r="S109">
        <f>HYPERLINK("https://klasma.github.io/Logging_0188/artfynd/A 21744-2023 artfynd.xlsx", "A 21744-2023")</f>
        <v/>
      </c>
      <c r="T109">
        <f>HYPERLINK("https://klasma.github.io/Logging_0188/kartor/A 21744-2023 karta.png", "A 21744-2023")</f>
        <v/>
      </c>
      <c r="V109">
        <f>HYPERLINK("https://klasma.github.io/Logging_0188/klagomål/A 21744-2023 FSC-klagomål.docx", "A 21744-2023")</f>
        <v/>
      </c>
      <c r="W109">
        <f>HYPERLINK("https://klasma.github.io/Logging_0188/klagomålsmail/A 21744-2023 FSC-klagomål mail.docx", "A 21744-2023")</f>
        <v/>
      </c>
      <c r="X109">
        <f>HYPERLINK("https://klasma.github.io/Logging_0188/tillsyn/A 21744-2023 tillsynsbegäran.docx", "A 21744-2023")</f>
        <v/>
      </c>
      <c r="Y109">
        <f>HYPERLINK("https://klasma.github.io/Logging_0188/tillsynsmail/A 21744-2023 tillsynsbegäran mail.docx", "A 21744-2023")</f>
        <v/>
      </c>
    </row>
    <row r="110" ht="15" customHeight="1">
      <c r="A110" t="inlineStr">
        <is>
          <t>A 52611-2024</t>
        </is>
      </c>
      <c r="B110" s="1" t="n">
        <v>45609.83747685186</v>
      </c>
      <c r="C110" s="1" t="n">
        <v>46114</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39158-2025</t>
        </is>
      </c>
      <c r="B111" s="1" t="n">
        <v>45888</v>
      </c>
      <c r="C111" s="1" t="n">
        <v>46114</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52775-2025</t>
        </is>
      </c>
      <c r="B112" s="1" t="n">
        <v>45957.41608796296</v>
      </c>
      <c r="C112" s="1" t="n">
        <v>46114</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53716-2025</t>
        </is>
      </c>
      <c r="B113" s="1" t="n">
        <v>45960.61782407408</v>
      </c>
      <c r="C113" s="1" t="n">
        <v>46114</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26635-2023</t>
        </is>
      </c>
      <c r="B114" s="1" t="n">
        <v>45092</v>
      </c>
      <c r="C114" s="1" t="n">
        <v>46114</v>
      </c>
      <c r="D114" t="inlineStr">
        <is>
          <t>STOCKHOLMS LÄN</t>
        </is>
      </c>
      <c r="E114" t="inlineStr">
        <is>
          <t>NORRTÄLJE</t>
        </is>
      </c>
      <c r="G114" t="n">
        <v>3.1</v>
      </c>
      <c r="H114" t="n">
        <v>1</v>
      </c>
      <c r="I114" t="n">
        <v>0</v>
      </c>
      <c r="J114" t="n">
        <v>0</v>
      </c>
      <c r="K114" t="n">
        <v>0</v>
      </c>
      <c r="L114" t="n">
        <v>0</v>
      </c>
      <c r="M114" t="n">
        <v>0</v>
      </c>
      <c r="N114" t="n">
        <v>0</v>
      </c>
      <c r="O114" t="n">
        <v>0</v>
      </c>
      <c r="P114" t="n">
        <v>0</v>
      </c>
      <c r="Q114" t="n">
        <v>1</v>
      </c>
      <c r="R114" s="2" t="inlineStr">
        <is>
          <t>Fläcknycklar</t>
        </is>
      </c>
      <c r="S114">
        <f>HYPERLINK("https://klasma.github.io/Logging_0188/artfynd/A 26635-2023 artfynd.xlsx", "A 26635-2023")</f>
        <v/>
      </c>
      <c r="T114">
        <f>HYPERLINK("https://klasma.github.io/Logging_0188/kartor/A 26635-2023 karta.png", "A 26635-2023")</f>
        <v/>
      </c>
      <c r="V114">
        <f>HYPERLINK("https://klasma.github.io/Logging_0188/klagomål/A 26635-2023 FSC-klagomål.docx", "A 26635-2023")</f>
        <v/>
      </c>
      <c r="W114">
        <f>HYPERLINK("https://klasma.github.io/Logging_0188/klagomålsmail/A 26635-2023 FSC-klagomål mail.docx", "A 26635-2023")</f>
        <v/>
      </c>
      <c r="X114">
        <f>HYPERLINK("https://klasma.github.io/Logging_0188/tillsyn/A 26635-2023 tillsynsbegäran.docx", "A 26635-2023")</f>
        <v/>
      </c>
      <c r="Y114">
        <f>HYPERLINK("https://klasma.github.io/Logging_0188/tillsynsmail/A 26635-2023 tillsynsbegäran mail.docx", "A 26635-2023")</f>
        <v/>
      </c>
    </row>
    <row r="115" ht="15" customHeight="1">
      <c r="A115" t="inlineStr">
        <is>
          <t>A 16870-2025</t>
        </is>
      </c>
      <c r="B115" s="1" t="n">
        <v>45754</v>
      </c>
      <c r="C115" s="1" t="n">
        <v>46114</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47898-2022</t>
        </is>
      </c>
      <c r="B116" s="1" t="n">
        <v>44855</v>
      </c>
      <c r="C116" s="1" t="n">
        <v>46114</v>
      </c>
      <c r="D116" t="inlineStr">
        <is>
          <t>STOCKHOLMS LÄN</t>
        </is>
      </c>
      <c r="E116" t="inlineStr">
        <is>
          <t>NORRTÄLJE</t>
        </is>
      </c>
      <c r="G116" t="n">
        <v>6.7</v>
      </c>
      <c r="H116" t="n">
        <v>1</v>
      </c>
      <c r="I116" t="n">
        <v>1</v>
      </c>
      <c r="J116" t="n">
        <v>0</v>
      </c>
      <c r="K116" t="n">
        <v>0</v>
      </c>
      <c r="L116" t="n">
        <v>0</v>
      </c>
      <c r="M116" t="n">
        <v>0</v>
      </c>
      <c r="N116" t="n">
        <v>0</v>
      </c>
      <c r="O116" t="n">
        <v>0</v>
      </c>
      <c r="P116" t="n">
        <v>0</v>
      </c>
      <c r="Q116" t="n">
        <v>1</v>
      </c>
      <c r="R116" s="2" t="inlineStr">
        <is>
          <t>Guckusko</t>
        </is>
      </c>
      <c r="S116">
        <f>HYPERLINK("https://klasma.github.io/Logging_0188/artfynd/A 47898-2022 artfynd.xlsx", "A 47898-2022")</f>
        <v/>
      </c>
      <c r="T116">
        <f>HYPERLINK("https://klasma.github.io/Logging_0188/kartor/A 47898-2022 karta.png", "A 47898-2022")</f>
        <v/>
      </c>
      <c r="V116">
        <f>HYPERLINK("https://klasma.github.io/Logging_0188/klagomål/A 47898-2022 FSC-klagomål.docx", "A 47898-2022")</f>
        <v/>
      </c>
      <c r="W116">
        <f>HYPERLINK("https://klasma.github.io/Logging_0188/klagomålsmail/A 47898-2022 FSC-klagomål mail.docx", "A 47898-2022")</f>
        <v/>
      </c>
      <c r="X116">
        <f>HYPERLINK("https://klasma.github.io/Logging_0188/tillsyn/A 47898-2022 tillsynsbegäran.docx", "A 47898-2022")</f>
        <v/>
      </c>
      <c r="Y116">
        <f>HYPERLINK("https://klasma.github.io/Logging_0188/tillsynsmail/A 47898-2022 tillsynsbegäran mail.docx", "A 47898-2022")</f>
        <v/>
      </c>
    </row>
    <row r="117" ht="15" customHeight="1">
      <c r="A117" t="inlineStr">
        <is>
          <t>A 59682-2025</t>
        </is>
      </c>
      <c r="B117" s="1" t="n">
        <v>45992.47116898148</v>
      </c>
      <c r="C117" s="1" t="n">
        <v>46114</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14365-2025</t>
        </is>
      </c>
      <c r="B118" s="1" t="n">
        <v>45741.38688657407</v>
      </c>
      <c r="C118" s="1" t="n">
        <v>46114</v>
      </c>
      <c r="D118" t="inlineStr">
        <is>
          <t>STOCKHOLMS LÄN</t>
        </is>
      </c>
      <c r="E118" t="inlineStr">
        <is>
          <t>NORRTÄLJE</t>
        </is>
      </c>
      <c r="G118" t="n">
        <v>2.4</v>
      </c>
      <c r="H118" t="n">
        <v>0</v>
      </c>
      <c r="I118" t="n">
        <v>0</v>
      </c>
      <c r="J118" t="n">
        <v>1</v>
      </c>
      <c r="K118" t="n">
        <v>0</v>
      </c>
      <c r="L118" t="n">
        <v>0</v>
      </c>
      <c r="M118" t="n">
        <v>0</v>
      </c>
      <c r="N118" t="n">
        <v>0</v>
      </c>
      <c r="O118" t="n">
        <v>1</v>
      </c>
      <c r="P118" t="n">
        <v>0</v>
      </c>
      <c r="Q118" t="n">
        <v>1</v>
      </c>
      <c r="R118" s="2" t="inlineStr">
        <is>
          <t>Granticka</t>
        </is>
      </c>
      <c r="S118">
        <f>HYPERLINK("https://klasma.github.io/Logging_0188/artfynd/A 14365-2025 artfynd.xlsx", "A 14365-2025")</f>
        <v/>
      </c>
      <c r="T118">
        <f>HYPERLINK("https://klasma.github.io/Logging_0188/kartor/A 14365-2025 karta.png", "A 14365-2025")</f>
        <v/>
      </c>
      <c r="V118">
        <f>HYPERLINK("https://klasma.github.io/Logging_0188/klagomål/A 14365-2025 FSC-klagomål.docx", "A 14365-2025")</f>
        <v/>
      </c>
      <c r="W118">
        <f>HYPERLINK("https://klasma.github.io/Logging_0188/klagomålsmail/A 14365-2025 FSC-klagomål mail.docx", "A 14365-2025")</f>
        <v/>
      </c>
      <c r="X118">
        <f>HYPERLINK("https://klasma.github.io/Logging_0188/tillsyn/A 14365-2025 tillsynsbegäran.docx", "A 14365-2025")</f>
        <v/>
      </c>
      <c r="Y118">
        <f>HYPERLINK("https://klasma.github.io/Logging_0188/tillsynsmail/A 14365-2025 tillsynsbegäran mail.docx", "A 14365-2025")</f>
        <v/>
      </c>
    </row>
    <row r="119" ht="15" customHeight="1">
      <c r="A119" t="inlineStr">
        <is>
          <t>A 32111-2022</t>
        </is>
      </c>
      <c r="B119" s="1" t="n">
        <v>44778.92797453704</v>
      </c>
      <c r="C119" s="1" t="n">
        <v>46114</v>
      </c>
      <c r="D119" t="inlineStr">
        <is>
          <t>STOCKHOLMS LÄN</t>
        </is>
      </c>
      <c r="E119" t="inlineStr">
        <is>
          <t>NORRTÄLJE</t>
        </is>
      </c>
      <c r="G119" t="n">
        <v>3.1</v>
      </c>
      <c r="H119" t="n">
        <v>0</v>
      </c>
      <c r="I119" t="n">
        <v>0</v>
      </c>
      <c r="J119" t="n">
        <v>1</v>
      </c>
      <c r="K119" t="n">
        <v>0</v>
      </c>
      <c r="L119" t="n">
        <v>0</v>
      </c>
      <c r="M119" t="n">
        <v>0</v>
      </c>
      <c r="N119" t="n">
        <v>0</v>
      </c>
      <c r="O119" t="n">
        <v>1</v>
      </c>
      <c r="P119" t="n">
        <v>0</v>
      </c>
      <c r="Q119" t="n">
        <v>1</v>
      </c>
      <c r="R119" s="2" t="inlineStr">
        <is>
          <t>Orange taggsvamp</t>
        </is>
      </c>
      <c r="S119">
        <f>HYPERLINK("https://klasma.github.io/Logging_0188/artfynd/A 32111-2022 artfynd.xlsx", "A 32111-2022")</f>
        <v/>
      </c>
      <c r="T119">
        <f>HYPERLINK("https://klasma.github.io/Logging_0188/kartor/A 32111-2022 karta.png", "A 32111-2022")</f>
        <v/>
      </c>
      <c r="V119">
        <f>HYPERLINK("https://klasma.github.io/Logging_0188/klagomål/A 32111-2022 FSC-klagomål.docx", "A 32111-2022")</f>
        <v/>
      </c>
      <c r="W119">
        <f>HYPERLINK("https://klasma.github.io/Logging_0188/klagomålsmail/A 32111-2022 FSC-klagomål mail.docx", "A 32111-2022")</f>
        <v/>
      </c>
      <c r="X119">
        <f>HYPERLINK("https://klasma.github.io/Logging_0188/tillsyn/A 32111-2022 tillsynsbegäran.docx", "A 32111-2022")</f>
        <v/>
      </c>
      <c r="Y119">
        <f>HYPERLINK("https://klasma.github.io/Logging_0188/tillsynsmail/A 32111-2022 tillsynsbegäran mail.docx", "A 32111-2022")</f>
        <v/>
      </c>
    </row>
    <row r="120" ht="15" customHeight="1">
      <c r="A120" t="inlineStr">
        <is>
          <t>A 62715-2025</t>
        </is>
      </c>
      <c r="B120" s="1" t="n">
        <v>46008.52034722222</v>
      </c>
      <c r="C120" s="1" t="n">
        <v>46114</v>
      </c>
      <c r="D120" t="inlineStr">
        <is>
          <t>STOCKHOLMS LÄN</t>
        </is>
      </c>
      <c r="E120" t="inlineStr">
        <is>
          <t>NORRTÄLJE</t>
        </is>
      </c>
      <c r="G120" t="n">
        <v>0.8</v>
      </c>
      <c r="H120" t="n">
        <v>0</v>
      </c>
      <c r="I120" t="n">
        <v>1</v>
      </c>
      <c r="J120" t="n">
        <v>0</v>
      </c>
      <c r="K120" t="n">
        <v>0</v>
      </c>
      <c r="L120" t="n">
        <v>0</v>
      </c>
      <c r="M120" t="n">
        <v>0</v>
      </c>
      <c r="N120" t="n">
        <v>0</v>
      </c>
      <c r="O120" t="n">
        <v>0</v>
      </c>
      <c r="P120" t="n">
        <v>0</v>
      </c>
      <c r="Q120" t="n">
        <v>1</v>
      </c>
      <c r="R120" s="2" t="inlineStr">
        <is>
          <t>Granbarkgnagare</t>
        </is>
      </c>
      <c r="S120">
        <f>HYPERLINK("https://klasma.github.io/Logging_0188/artfynd/A 62715-2025 artfynd.xlsx", "A 62715-2025")</f>
        <v/>
      </c>
      <c r="T120">
        <f>HYPERLINK("https://klasma.github.io/Logging_0188/kartor/A 62715-2025 karta.png", "A 62715-2025")</f>
        <v/>
      </c>
      <c r="V120">
        <f>HYPERLINK("https://klasma.github.io/Logging_0188/klagomål/A 62715-2025 FSC-klagomål.docx", "A 62715-2025")</f>
        <v/>
      </c>
      <c r="W120">
        <f>HYPERLINK("https://klasma.github.io/Logging_0188/klagomålsmail/A 62715-2025 FSC-klagomål mail.docx", "A 62715-2025")</f>
        <v/>
      </c>
      <c r="X120">
        <f>HYPERLINK("https://klasma.github.io/Logging_0188/tillsyn/A 62715-2025 tillsynsbegäran.docx", "A 62715-2025")</f>
        <v/>
      </c>
      <c r="Y120">
        <f>HYPERLINK("https://klasma.github.io/Logging_0188/tillsynsmail/A 62715-2025 tillsynsbegäran mail.docx", "A 62715-2025")</f>
        <v/>
      </c>
    </row>
    <row r="121" ht="15" customHeight="1">
      <c r="A121" t="inlineStr">
        <is>
          <t>A 4385-2023</t>
        </is>
      </c>
      <c r="B121" s="1" t="n">
        <v>44955.71322916666</v>
      </c>
      <c r="C121" s="1" t="n">
        <v>46114</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4860-2022</t>
        </is>
      </c>
      <c r="B122" s="1" t="n">
        <v>44592</v>
      </c>
      <c r="C122" s="1" t="n">
        <v>46114</v>
      </c>
      <c r="D122" t="inlineStr">
        <is>
          <t>STOCKHOLMS LÄN</t>
        </is>
      </c>
      <c r="E122" t="inlineStr">
        <is>
          <t>NORRTÄLJE</t>
        </is>
      </c>
      <c r="G122" t="n">
        <v>22.3</v>
      </c>
      <c r="H122" t="n">
        <v>0</v>
      </c>
      <c r="I122" t="n">
        <v>0</v>
      </c>
      <c r="J122" t="n">
        <v>1</v>
      </c>
      <c r="K122" t="n">
        <v>0</v>
      </c>
      <c r="L122" t="n">
        <v>0</v>
      </c>
      <c r="M122" t="n">
        <v>0</v>
      </c>
      <c r="N122" t="n">
        <v>0</v>
      </c>
      <c r="O122" t="n">
        <v>1</v>
      </c>
      <c r="P122" t="n">
        <v>0</v>
      </c>
      <c r="Q122" t="n">
        <v>1</v>
      </c>
      <c r="R122" s="2" t="inlineStr">
        <is>
          <t>Igelkott</t>
        </is>
      </c>
      <c r="S122">
        <f>HYPERLINK("https://klasma.github.io/Logging_0188/artfynd/A 4860-2022 artfynd.xlsx", "A 4860-2022")</f>
        <v/>
      </c>
      <c r="T122">
        <f>HYPERLINK("https://klasma.github.io/Logging_0188/kartor/A 4860-2022 karta.png", "A 4860-2022")</f>
        <v/>
      </c>
      <c r="V122">
        <f>HYPERLINK("https://klasma.github.io/Logging_0188/klagomål/A 4860-2022 FSC-klagomål.docx", "A 4860-2022")</f>
        <v/>
      </c>
      <c r="W122">
        <f>HYPERLINK("https://klasma.github.io/Logging_0188/klagomålsmail/A 4860-2022 FSC-klagomål mail.docx", "A 4860-2022")</f>
        <v/>
      </c>
      <c r="X122">
        <f>HYPERLINK("https://klasma.github.io/Logging_0188/tillsyn/A 4860-2022 tillsynsbegäran.docx", "A 4860-2022")</f>
        <v/>
      </c>
      <c r="Y122">
        <f>HYPERLINK("https://klasma.github.io/Logging_0188/tillsynsmail/A 4860-2022 tillsynsbegäran mail.docx", "A 4860-2022")</f>
        <v/>
      </c>
    </row>
    <row r="123" ht="15" customHeight="1">
      <c r="A123" t="inlineStr">
        <is>
          <t>A 63292-2025</t>
        </is>
      </c>
      <c r="B123" s="1" t="n">
        <v>46010.59232638889</v>
      </c>
      <c r="C123" s="1" t="n">
        <v>46114</v>
      </c>
      <c r="D123" t="inlineStr">
        <is>
          <t>STOCKHOLMS LÄN</t>
        </is>
      </c>
      <c r="E123" t="inlineStr">
        <is>
          <t>NORRTÄLJE</t>
        </is>
      </c>
      <c r="G123" t="n">
        <v>11.1</v>
      </c>
      <c r="H123" t="n">
        <v>1</v>
      </c>
      <c r="I123" t="n">
        <v>1</v>
      </c>
      <c r="J123" t="n">
        <v>0</v>
      </c>
      <c r="K123" t="n">
        <v>0</v>
      </c>
      <c r="L123" t="n">
        <v>0</v>
      </c>
      <c r="M123" t="n">
        <v>0</v>
      </c>
      <c r="N123" t="n">
        <v>0</v>
      </c>
      <c r="O123" t="n">
        <v>0</v>
      </c>
      <c r="P123" t="n">
        <v>0</v>
      </c>
      <c r="Q123" t="n">
        <v>1</v>
      </c>
      <c r="R123" s="2" t="inlineStr">
        <is>
          <t>Nästrot</t>
        </is>
      </c>
      <c r="S123">
        <f>HYPERLINK("https://klasma.github.io/Logging_0188/artfynd/A 63292-2025 artfynd.xlsx", "A 63292-2025")</f>
        <v/>
      </c>
      <c r="T123">
        <f>HYPERLINK("https://klasma.github.io/Logging_0188/kartor/A 63292-2025 karta.png", "A 63292-2025")</f>
        <v/>
      </c>
      <c r="V123">
        <f>HYPERLINK("https://klasma.github.io/Logging_0188/klagomål/A 63292-2025 FSC-klagomål.docx", "A 63292-2025")</f>
        <v/>
      </c>
      <c r="W123">
        <f>HYPERLINK("https://klasma.github.io/Logging_0188/klagomålsmail/A 63292-2025 FSC-klagomål mail.docx", "A 63292-2025")</f>
        <v/>
      </c>
      <c r="X123">
        <f>HYPERLINK("https://klasma.github.io/Logging_0188/tillsyn/A 63292-2025 tillsynsbegäran.docx", "A 63292-2025")</f>
        <v/>
      </c>
      <c r="Y123">
        <f>HYPERLINK("https://klasma.github.io/Logging_0188/tillsynsmail/A 63292-2025 tillsynsbegäran mail.docx", "A 63292-2025")</f>
        <v/>
      </c>
    </row>
    <row r="124" ht="15" customHeight="1">
      <c r="A124" t="inlineStr">
        <is>
          <t>A 19829-2022</t>
        </is>
      </c>
      <c r="B124" s="1" t="n">
        <v>44695.43527777777</v>
      </c>
      <c r="C124" s="1" t="n">
        <v>46114</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364-2026</t>
        </is>
      </c>
      <c r="B125" s="1" t="n">
        <v>46027.67134259259</v>
      </c>
      <c r="C125" s="1" t="n">
        <v>46114</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28816-2023</t>
        </is>
      </c>
      <c r="B126" s="1" t="n">
        <v>45104</v>
      </c>
      <c r="C126" s="1" t="n">
        <v>46114</v>
      </c>
      <c r="D126" t="inlineStr">
        <is>
          <t>STOCKHOLMS LÄN</t>
        </is>
      </c>
      <c r="E126" t="inlineStr">
        <is>
          <t>NORRTÄLJE</t>
        </is>
      </c>
      <c r="F126" t="inlineStr">
        <is>
          <t>Kommuner</t>
        </is>
      </c>
      <c r="G126" t="n">
        <v>0.5</v>
      </c>
      <c r="H126" t="n">
        <v>1</v>
      </c>
      <c r="I126" t="n">
        <v>0</v>
      </c>
      <c r="J126" t="n">
        <v>0</v>
      </c>
      <c r="K126" t="n">
        <v>0</v>
      </c>
      <c r="L126" t="n">
        <v>0</v>
      </c>
      <c r="M126" t="n">
        <v>0</v>
      </c>
      <c r="N126" t="n">
        <v>0</v>
      </c>
      <c r="O126" t="n">
        <v>0</v>
      </c>
      <c r="P126" t="n">
        <v>0</v>
      </c>
      <c r="Q126" t="n">
        <v>1</v>
      </c>
      <c r="R126" s="2" t="inlineStr">
        <is>
          <t>Kungsfågel</t>
        </is>
      </c>
      <c r="S126">
        <f>HYPERLINK("https://klasma.github.io/Logging_0188/artfynd/A 28816-2023 artfynd.xlsx", "A 28816-2023")</f>
        <v/>
      </c>
      <c r="T126">
        <f>HYPERLINK("https://klasma.github.io/Logging_0188/kartor/A 28816-2023 karta.png", "A 28816-2023")</f>
        <v/>
      </c>
      <c r="V126">
        <f>HYPERLINK("https://klasma.github.io/Logging_0188/klagomål/A 28816-2023 FSC-klagomål.docx", "A 28816-2023")</f>
        <v/>
      </c>
      <c r="W126">
        <f>HYPERLINK("https://klasma.github.io/Logging_0188/klagomålsmail/A 28816-2023 FSC-klagomål mail.docx", "A 28816-2023")</f>
        <v/>
      </c>
      <c r="X126">
        <f>HYPERLINK("https://klasma.github.io/Logging_0188/tillsyn/A 28816-2023 tillsynsbegäran.docx", "A 28816-2023")</f>
        <v/>
      </c>
      <c r="Y126">
        <f>HYPERLINK("https://klasma.github.io/Logging_0188/tillsynsmail/A 28816-2023 tillsynsbegäran mail.docx", "A 28816-2023")</f>
        <v/>
      </c>
      <c r="Z126">
        <f>HYPERLINK("https://klasma.github.io/Logging_0188/fåglar/A 28816-2023 prioriterade fågelarter.docx", "A 28816-2023")</f>
        <v/>
      </c>
    </row>
    <row r="127" ht="15" customHeight="1">
      <c r="A127" t="inlineStr">
        <is>
          <t>A 52508-2023</t>
        </is>
      </c>
      <c r="B127" s="1" t="n">
        <v>45225</v>
      </c>
      <c r="C127" s="1" t="n">
        <v>46114</v>
      </c>
      <c r="D127" t="inlineStr">
        <is>
          <t>STOCKHOLMS LÄN</t>
        </is>
      </c>
      <c r="E127" t="inlineStr">
        <is>
          <t>NORRTÄLJE</t>
        </is>
      </c>
      <c r="G127" t="n">
        <v>19.7</v>
      </c>
      <c r="H127" t="n">
        <v>1</v>
      </c>
      <c r="I127" t="n">
        <v>0</v>
      </c>
      <c r="J127" t="n">
        <v>0</v>
      </c>
      <c r="K127" t="n">
        <v>1</v>
      </c>
      <c r="L127" t="n">
        <v>0</v>
      </c>
      <c r="M127" t="n">
        <v>0</v>
      </c>
      <c r="N127" t="n">
        <v>0</v>
      </c>
      <c r="O127" t="n">
        <v>1</v>
      </c>
      <c r="P127" t="n">
        <v>1</v>
      </c>
      <c r="Q127" t="n">
        <v>1</v>
      </c>
      <c r="R127" s="2" t="inlineStr">
        <is>
          <t>Svärta</t>
        </is>
      </c>
      <c r="S127">
        <f>HYPERLINK("https://klasma.github.io/Logging_0188/artfynd/A 52508-2023 artfynd.xlsx", "A 52508-2023")</f>
        <v/>
      </c>
      <c r="T127">
        <f>HYPERLINK("https://klasma.github.io/Logging_0188/kartor/A 52508-2023 karta.png", "A 52508-2023")</f>
        <v/>
      </c>
      <c r="V127">
        <f>HYPERLINK("https://klasma.github.io/Logging_0188/klagomål/A 52508-2023 FSC-klagomål.docx", "A 52508-2023")</f>
        <v/>
      </c>
      <c r="W127">
        <f>HYPERLINK("https://klasma.github.io/Logging_0188/klagomålsmail/A 52508-2023 FSC-klagomål mail.docx", "A 52508-2023")</f>
        <v/>
      </c>
      <c r="X127">
        <f>HYPERLINK("https://klasma.github.io/Logging_0188/tillsyn/A 52508-2023 tillsynsbegäran.docx", "A 52508-2023")</f>
        <v/>
      </c>
      <c r="Y127">
        <f>HYPERLINK("https://klasma.github.io/Logging_0188/tillsynsmail/A 52508-2023 tillsynsbegäran mail.docx", "A 52508-2023")</f>
        <v/>
      </c>
    </row>
    <row r="128" ht="15" customHeight="1">
      <c r="A128" t="inlineStr">
        <is>
          <t>A 7734-2026</t>
        </is>
      </c>
      <c r="B128" s="1" t="n">
        <v>46062.52902777777</v>
      </c>
      <c r="C128" s="1" t="n">
        <v>46114</v>
      </c>
      <c r="D128" t="inlineStr">
        <is>
          <t>STOCKHOLMS LÄN</t>
        </is>
      </c>
      <c r="E128" t="inlineStr">
        <is>
          <t>NORRTÄLJE</t>
        </is>
      </c>
      <c r="G128" t="n">
        <v>6.6</v>
      </c>
      <c r="H128" t="n">
        <v>0</v>
      </c>
      <c r="I128" t="n">
        <v>1</v>
      </c>
      <c r="J128" t="n">
        <v>0</v>
      </c>
      <c r="K128" t="n">
        <v>0</v>
      </c>
      <c r="L128" t="n">
        <v>0</v>
      </c>
      <c r="M128" t="n">
        <v>0</v>
      </c>
      <c r="N128" t="n">
        <v>0</v>
      </c>
      <c r="O128" t="n">
        <v>0</v>
      </c>
      <c r="P128" t="n">
        <v>0</v>
      </c>
      <c r="Q128" t="n">
        <v>1</v>
      </c>
      <c r="R128" s="2" t="inlineStr">
        <is>
          <t>Kastanjefjällskivling</t>
        </is>
      </c>
      <c r="S128">
        <f>HYPERLINK("https://klasma.github.io/Logging_0188/artfynd/A 7734-2026 artfynd.xlsx", "A 7734-2026")</f>
        <v/>
      </c>
      <c r="T128">
        <f>HYPERLINK("https://klasma.github.io/Logging_0188/kartor/A 7734-2026 karta.png", "A 7734-2026")</f>
        <v/>
      </c>
      <c r="V128">
        <f>HYPERLINK("https://klasma.github.io/Logging_0188/klagomål/A 7734-2026 FSC-klagomål.docx", "A 7734-2026")</f>
        <v/>
      </c>
      <c r="W128">
        <f>HYPERLINK("https://klasma.github.io/Logging_0188/klagomålsmail/A 7734-2026 FSC-klagomål mail.docx", "A 7734-2026")</f>
        <v/>
      </c>
      <c r="X128">
        <f>HYPERLINK("https://klasma.github.io/Logging_0188/tillsyn/A 7734-2026 tillsynsbegäran.docx", "A 7734-2026")</f>
        <v/>
      </c>
      <c r="Y128">
        <f>HYPERLINK("https://klasma.github.io/Logging_0188/tillsynsmail/A 7734-2026 tillsynsbegäran mail.docx", "A 7734-2026")</f>
        <v/>
      </c>
    </row>
    <row r="129" ht="15" customHeight="1">
      <c r="A129" t="inlineStr">
        <is>
          <t>A 15886-2026</t>
        </is>
      </c>
      <c r="B129" s="1" t="n">
        <v>46107</v>
      </c>
      <c r="C129" s="1" t="n">
        <v>46114</v>
      </c>
      <c r="D129" t="inlineStr">
        <is>
          <t>STOCKHOLMS LÄN</t>
        </is>
      </c>
      <c r="E129" t="inlineStr">
        <is>
          <t>NORRTÄLJE</t>
        </is>
      </c>
      <c r="G129" t="n">
        <v>1.3</v>
      </c>
      <c r="H129" t="n">
        <v>1</v>
      </c>
      <c r="I129" t="n">
        <v>0</v>
      </c>
      <c r="J129" t="n">
        <v>0</v>
      </c>
      <c r="K129" t="n">
        <v>0</v>
      </c>
      <c r="L129" t="n">
        <v>1</v>
      </c>
      <c r="M129" t="n">
        <v>0</v>
      </c>
      <c r="N129" t="n">
        <v>0</v>
      </c>
      <c r="O129" t="n">
        <v>1</v>
      </c>
      <c r="P129" t="n">
        <v>1</v>
      </c>
      <c r="Q129" t="n">
        <v>1</v>
      </c>
      <c r="R129" s="2" t="inlineStr">
        <is>
          <t>Grönfink</t>
        </is>
      </c>
      <c r="S129">
        <f>HYPERLINK("https://klasma.github.io/Logging_0188/artfynd/A 15886-2026 artfynd.xlsx", "A 15886-2026")</f>
        <v/>
      </c>
      <c r="T129">
        <f>HYPERLINK("https://klasma.github.io/Logging_0188/kartor/A 15886-2026 karta.png", "A 15886-2026")</f>
        <v/>
      </c>
      <c r="V129">
        <f>HYPERLINK("https://klasma.github.io/Logging_0188/klagomål/A 15886-2026 FSC-klagomål.docx", "A 15886-2026")</f>
        <v/>
      </c>
      <c r="W129">
        <f>HYPERLINK("https://klasma.github.io/Logging_0188/klagomålsmail/A 15886-2026 FSC-klagomål mail.docx", "A 15886-2026")</f>
        <v/>
      </c>
      <c r="X129">
        <f>HYPERLINK("https://klasma.github.io/Logging_0188/tillsyn/A 15886-2026 tillsynsbegäran.docx", "A 15886-2026")</f>
        <v/>
      </c>
      <c r="Y129">
        <f>HYPERLINK("https://klasma.github.io/Logging_0188/tillsynsmail/A 15886-2026 tillsynsbegäran mail.docx", "A 15886-2026")</f>
        <v/>
      </c>
      <c r="Z129">
        <f>HYPERLINK("https://klasma.github.io/Logging_0188/fåglar/A 15886-2026 prioriterade fågelarter.docx", "A 15886-2026")</f>
        <v/>
      </c>
    </row>
    <row r="130" ht="15" customHeight="1">
      <c r="A130" t="inlineStr">
        <is>
          <t>A 27827-2022</t>
        </is>
      </c>
      <c r="B130" s="1" t="n">
        <v>44743.59504629629</v>
      </c>
      <c r="C130" s="1" t="n">
        <v>46114</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46114</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46114</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46114</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46114</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46114</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9955-2022</t>
        </is>
      </c>
      <c r="B136" s="1" t="n">
        <v>44620</v>
      </c>
      <c r="C136" s="1" t="n">
        <v>46114</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46114</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25669-2025</t>
        </is>
      </c>
      <c r="B138" s="1" t="n">
        <v>45803.62766203703</v>
      </c>
      <c r="C138" s="1" t="n">
        <v>46114</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35764-2024</t>
        </is>
      </c>
      <c r="B139" s="1" t="n">
        <v>45532</v>
      </c>
      <c r="C139" s="1" t="n">
        <v>46114</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25725-2025</t>
        </is>
      </c>
      <c r="B140" s="1" t="n">
        <v>45800</v>
      </c>
      <c r="C140" s="1" t="n">
        <v>46114</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25709-2025</t>
        </is>
      </c>
      <c r="B141" s="1" t="n">
        <v>45800</v>
      </c>
      <c r="C141" s="1" t="n">
        <v>46114</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35649-2023</t>
        </is>
      </c>
      <c r="B142" s="1" t="n">
        <v>45146</v>
      </c>
      <c r="C142" s="1" t="n">
        <v>46114</v>
      </c>
      <c r="D142" t="inlineStr">
        <is>
          <t>STOCKHOLMS LÄN</t>
        </is>
      </c>
      <c r="E142" t="inlineStr">
        <is>
          <t>NORRTÄLJE</t>
        </is>
      </c>
      <c r="G142" t="n">
        <v>25.1</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35649-2023 artfynd.xlsx", "A 35649-2023")</f>
        <v/>
      </c>
      <c r="T142">
        <f>HYPERLINK("https://klasma.github.io/Logging_0188/kartor/A 35649-2023 karta.png", "A 35649-2023")</f>
        <v/>
      </c>
      <c r="V142">
        <f>HYPERLINK("https://klasma.github.io/Logging_0188/klagomål/A 35649-2023 FSC-klagomål.docx", "A 35649-2023")</f>
        <v/>
      </c>
      <c r="W142">
        <f>HYPERLINK("https://klasma.github.io/Logging_0188/klagomålsmail/A 35649-2023 FSC-klagomål mail.docx", "A 35649-2023")</f>
        <v/>
      </c>
      <c r="X142">
        <f>HYPERLINK("https://klasma.github.io/Logging_0188/tillsyn/A 35649-2023 tillsynsbegäran.docx", "A 35649-2023")</f>
        <v/>
      </c>
      <c r="Y142">
        <f>HYPERLINK("https://klasma.github.io/Logging_0188/tillsynsmail/A 35649-2023 tillsynsbegäran mail.docx", "A 35649-2023")</f>
        <v/>
      </c>
    </row>
    <row r="143" ht="15" customHeight="1">
      <c r="A143" t="inlineStr">
        <is>
          <t>A 6381-2023</t>
        </is>
      </c>
      <c r="B143" s="1" t="n">
        <v>44965</v>
      </c>
      <c r="C143" s="1" t="n">
        <v>46114</v>
      </c>
      <c r="D143" t="inlineStr">
        <is>
          <t>STOCKHOLMS LÄN</t>
        </is>
      </c>
      <c r="E143" t="inlineStr">
        <is>
          <t>NORRTÄLJE</t>
        </is>
      </c>
      <c r="G143" t="n">
        <v>3.5</v>
      </c>
      <c r="H143" t="n">
        <v>1</v>
      </c>
      <c r="I143" t="n">
        <v>1</v>
      </c>
      <c r="J143" t="n">
        <v>0</v>
      </c>
      <c r="K143" t="n">
        <v>0</v>
      </c>
      <c r="L143" t="n">
        <v>0</v>
      </c>
      <c r="M143" t="n">
        <v>0</v>
      </c>
      <c r="N143" t="n">
        <v>0</v>
      </c>
      <c r="O143" t="n">
        <v>0</v>
      </c>
      <c r="P143" t="n">
        <v>0</v>
      </c>
      <c r="Q143" t="n">
        <v>1</v>
      </c>
      <c r="R143" s="2" t="inlineStr">
        <is>
          <t>Guckusko</t>
        </is>
      </c>
      <c r="S143">
        <f>HYPERLINK("https://klasma.github.io/Logging_0188/artfynd/A 6381-2023 artfynd.xlsx", "A 6381-2023")</f>
        <v/>
      </c>
      <c r="T143">
        <f>HYPERLINK("https://klasma.github.io/Logging_0188/kartor/A 6381-2023 karta.png", "A 6381-2023")</f>
        <v/>
      </c>
      <c r="V143">
        <f>HYPERLINK("https://klasma.github.io/Logging_0188/klagomål/A 6381-2023 FSC-klagomål.docx", "A 6381-2023")</f>
        <v/>
      </c>
      <c r="W143">
        <f>HYPERLINK("https://klasma.github.io/Logging_0188/klagomålsmail/A 6381-2023 FSC-klagomål mail.docx", "A 6381-2023")</f>
        <v/>
      </c>
      <c r="X143">
        <f>HYPERLINK("https://klasma.github.io/Logging_0188/tillsyn/A 6381-2023 tillsynsbegäran.docx", "A 6381-2023")</f>
        <v/>
      </c>
      <c r="Y143">
        <f>HYPERLINK("https://klasma.github.io/Logging_0188/tillsynsmail/A 6381-2023 tillsynsbegäran mail.docx", "A 6381-2023")</f>
        <v/>
      </c>
    </row>
    <row r="144" ht="15" customHeight="1">
      <c r="A144" t="inlineStr">
        <is>
          <t>A 29946-2025</t>
        </is>
      </c>
      <c r="B144" s="1" t="n">
        <v>45826.46392361111</v>
      </c>
      <c r="C144" s="1" t="n">
        <v>46114</v>
      </c>
      <c r="D144" t="inlineStr">
        <is>
          <t>STOCKHOLMS LÄN</t>
        </is>
      </c>
      <c r="E144" t="inlineStr">
        <is>
          <t>NORRTÄLJE</t>
        </is>
      </c>
      <c r="F144" t="inlineStr">
        <is>
          <t>Holmen skog AB</t>
        </is>
      </c>
      <c r="G144" t="n">
        <v>3.6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29946-2025 artfynd.xlsx", "A 29946-2025")</f>
        <v/>
      </c>
      <c r="T144">
        <f>HYPERLINK("https://klasma.github.io/Logging_0188/kartor/A 29946-2025 karta.png", "A 29946-2025")</f>
        <v/>
      </c>
      <c r="V144">
        <f>HYPERLINK("https://klasma.github.io/Logging_0188/klagomål/A 29946-2025 FSC-klagomål.docx", "A 29946-2025")</f>
        <v/>
      </c>
      <c r="W144">
        <f>HYPERLINK("https://klasma.github.io/Logging_0188/klagomålsmail/A 29946-2025 FSC-klagomål mail.docx", "A 29946-2025")</f>
        <v/>
      </c>
      <c r="X144">
        <f>HYPERLINK("https://klasma.github.io/Logging_0188/tillsyn/A 29946-2025 tillsynsbegäran.docx", "A 29946-2025")</f>
        <v/>
      </c>
      <c r="Y144">
        <f>HYPERLINK("https://klasma.github.io/Logging_0188/tillsynsmail/A 29946-2025 tillsynsbegäran mail.docx", "A 29946-2025")</f>
        <v/>
      </c>
    </row>
    <row r="145" ht="15" customHeight="1">
      <c r="A145" t="inlineStr">
        <is>
          <t>A 18580-2021</t>
        </is>
      </c>
      <c r="B145" s="1" t="n">
        <v>44306</v>
      </c>
      <c r="C145" s="1" t="n">
        <v>46114</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46114</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46114</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46114</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46114</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46114</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46114</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46114</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46114</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46114</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46114</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46114</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46114</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46114</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46114</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46114</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46114</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46114</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46114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46114</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46114</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46114</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46114</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46114</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46114</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46114</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46114</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46114</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46114</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46114</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46114</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46114</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46114</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46114</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46114</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46114</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46114</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46114</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46114</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46114</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46114</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46114</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46114</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46114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46114</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46114</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46114</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46114</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46114</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46114</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46114</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46114</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46114</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46114</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46114</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46114</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46114</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46114</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46114</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46114</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46114</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46114</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46114</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46114</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46114</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46114</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46114</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46114</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46114</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46114</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46114</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46114</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46114</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46114</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46114</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46114</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46114</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46114</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46114</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46114</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46114</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46114</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46114</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46114</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46114</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46114</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46114</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46114</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46114</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46114</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46114</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46114</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46114</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46114</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46114</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46114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46114</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46114</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46114</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46114</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46114</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46114</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46114</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46114</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46114</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46114</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46114</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46114</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46114</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46114</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46114</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46114</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46114</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46114</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46114</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46114</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30286-2022</t>
        </is>
      </c>
      <c r="B266" s="1" t="n">
        <v>44760</v>
      </c>
      <c r="C266" s="1" t="n">
        <v>46114</v>
      </c>
      <c r="D266" t="inlineStr">
        <is>
          <t>STOCKHOLMS LÄN</t>
        </is>
      </c>
      <c r="E266" t="inlineStr">
        <is>
          <t>NORRTÄLJE</t>
        </is>
      </c>
      <c r="G266" t="n">
        <v>0.3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46114</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46114</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46114</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46114</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46114</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46114</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46114</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46114</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46114</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46114</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46114</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46114</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46114</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21102-2022</t>
        </is>
      </c>
      <c r="B280" s="1" t="n">
        <v>44704</v>
      </c>
      <c r="C280" s="1" t="n">
        <v>46114</v>
      </c>
      <c r="D280" t="inlineStr">
        <is>
          <t>STOCKHOLMS LÄN</t>
        </is>
      </c>
      <c r="E280" t="inlineStr">
        <is>
          <t>NORRTÄLJE</t>
        </is>
      </c>
      <c r="G280" t="n">
        <v>0.2</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46114</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46114</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46114</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46114</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46114</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46114</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46114</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46114</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46114</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46114</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15915-2023</t>
        </is>
      </c>
      <c r="B291" s="1" t="n">
        <v>45022</v>
      </c>
      <c r="C291" s="1" t="n">
        <v>46114</v>
      </c>
      <c r="D291" t="inlineStr">
        <is>
          <t>STOCKHOLMS LÄN</t>
        </is>
      </c>
      <c r="E291" t="inlineStr">
        <is>
          <t>NORRTÄLJE</t>
        </is>
      </c>
      <c r="G291" t="n">
        <v>2.9</v>
      </c>
      <c r="H291" t="n">
        <v>0</v>
      </c>
      <c r="I291" t="n">
        <v>0</v>
      </c>
      <c r="J291" t="n">
        <v>0</v>
      </c>
      <c r="K291" t="n">
        <v>0</v>
      </c>
      <c r="L291" t="n">
        <v>0</v>
      </c>
      <c r="M291" t="n">
        <v>0</v>
      </c>
      <c r="N291" t="n">
        <v>0</v>
      </c>
      <c r="O291" t="n">
        <v>0</v>
      </c>
      <c r="P291" t="n">
        <v>0</v>
      </c>
      <c r="Q291" t="n">
        <v>0</v>
      </c>
      <c r="R291" s="2" t="inlineStr"/>
    </row>
    <row r="292" ht="15" customHeight="1">
      <c r="A292" t="inlineStr">
        <is>
          <t>A 55243-2023</t>
        </is>
      </c>
      <c r="B292" s="1" t="n">
        <v>45237</v>
      </c>
      <c r="C292" s="1" t="n">
        <v>46114</v>
      </c>
      <c r="D292" t="inlineStr">
        <is>
          <t>STOCKHOLMS LÄN</t>
        </is>
      </c>
      <c r="E292" t="inlineStr">
        <is>
          <t>NORRTÄLJE</t>
        </is>
      </c>
      <c r="G292" t="n">
        <v>6.5</v>
      </c>
      <c r="H292" t="n">
        <v>0</v>
      </c>
      <c r="I292" t="n">
        <v>0</v>
      </c>
      <c r="J292" t="n">
        <v>0</v>
      </c>
      <c r="K292" t="n">
        <v>0</v>
      </c>
      <c r="L292" t="n">
        <v>0</v>
      </c>
      <c r="M292" t="n">
        <v>0</v>
      </c>
      <c r="N292" t="n">
        <v>0</v>
      </c>
      <c r="O292" t="n">
        <v>0</v>
      </c>
      <c r="P292" t="n">
        <v>0</v>
      </c>
      <c r="Q292" t="n">
        <v>0</v>
      </c>
      <c r="R292" s="2" t="inlineStr"/>
    </row>
    <row r="293" ht="15" customHeight="1">
      <c r="A293" t="inlineStr">
        <is>
          <t>A 33226-2024</t>
        </is>
      </c>
      <c r="B293" s="1" t="n">
        <v>45518</v>
      </c>
      <c r="C293" s="1" t="n">
        <v>46114</v>
      </c>
      <c r="D293" t="inlineStr">
        <is>
          <t>STOCKHOLMS LÄN</t>
        </is>
      </c>
      <c r="E293" t="inlineStr">
        <is>
          <t>NORRTÄLJE</t>
        </is>
      </c>
      <c r="G293" t="n">
        <v>13.8</v>
      </c>
      <c r="H293" t="n">
        <v>0</v>
      </c>
      <c r="I293" t="n">
        <v>0</v>
      </c>
      <c r="J293" t="n">
        <v>0</v>
      </c>
      <c r="K293" t="n">
        <v>0</v>
      </c>
      <c r="L293" t="n">
        <v>0</v>
      </c>
      <c r="M293" t="n">
        <v>0</v>
      </c>
      <c r="N293" t="n">
        <v>0</v>
      </c>
      <c r="O293" t="n">
        <v>0</v>
      </c>
      <c r="P293" t="n">
        <v>0</v>
      </c>
      <c r="Q293" t="n">
        <v>0</v>
      </c>
      <c r="R293" s="2" t="inlineStr"/>
    </row>
    <row r="294" ht="15" customHeight="1">
      <c r="A294" t="inlineStr">
        <is>
          <t>A 55696-2022</t>
        </is>
      </c>
      <c r="B294" s="1" t="n">
        <v>44888</v>
      </c>
      <c r="C294" s="1" t="n">
        <v>46114</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52260-2022</t>
        </is>
      </c>
      <c r="B295" s="1" t="n">
        <v>44869</v>
      </c>
      <c r="C295" s="1" t="n">
        <v>46114</v>
      </c>
      <c r="D295" t="inlineStr">
        <is>
          <t>STOCKHOLMS LÄN</t>
        </is>
      </c>
      <c r="E295" t="inlineStr">
        <is>
          <t>NORRTÄLJE</t>
        </is>
      </c>
      <c r="G295" t="n">
        <v>3.1</v>
      </c>
      <c r="H295" t="n">
        <v>0</v>
      </c>
      <c r="I295" t="n">
        <v>0</v>
      </c>
      <c r="J295" t="n">
        <v>0</v>
      </c>
      <c r="K295" t="n">
        <v>0</v>
      </c>
      <c r="L295" t="n">
        <v>0</v>
      </c>
      <c r="M295" t="n">
        <v>0</v>
      </c>
      <c r="N295" t="n">
        <v>0</v>
      </c>
      <c r="O295" t="n">
        <v>0</v>
      </c>
      <c r="P295" t="n">
        <v>0</v>
      </c>
      <c r="Q295" t="n">
        <v>0</v>
      </c>
      <c r="R295" s="2" t="inlineStr"/>
    </row>
    <row r="296" ht="15" customHeight="1">
      <c r="A296" t="inlineStr">
        <is>
          <t>A 22412-2021</t>
        </is>
      </c>
      <c r="B296" s="1" t="n">
        <v>44326.61967592593</v>
      </c>
      <c r="C296" s="1" t="n">
        <v>46114</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22008-2024</t>
        </is>
      </c>
      <c r="B297" s="1" t="n">
        <v>45443</v>
      </c>
      <c r="C297" s="1" t="n">
        <v>46114</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25557-2023</t>
        </is>
      </c>
      <c r="B298" s="1" t="n">
        <v>45089</v>
      </c>
      <c r="C298" s="1" t="n">
        <v>46114</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46114</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46114</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13053-2022</t>
        </is>
      </c>
      <c r="B301" s="1" t="n">
        <v>44643</v>
      </c>
      <c r="C301" s="1" t="n">
        <v>46114</v>
      </c>
      <c r="D301" t="inlineStr">
        <is>
          <t>STOCKHOLMS LÄN</t>
        </is>
      </c>
      <c r="E301" t="inlineStr">
        <is>
          <t>NORRTÄLJE</t>
        </is>
      </c>
      <c r="G301" t="n">
        <v>2.8</v>
      </c>
      <c r="H301" t="n">
        <v>0</v>
      </c>
      <c r="I301" t="n">
        <v>0</v>
      </c>
      <c r="J301" t="n">
        <v>0</v>
      </c>
      <c r="K301" t="n">
        <v>0</v>
      </c>
      <c r="L301" t="n">
        <v>0</v>
      </c>
      <c r="M301" t="n">
        <v>0</v>
      </c>
      <c r="N301" t="n">
        <v>0</v>
      </c>
      <c r="O301" t="n">
        <v>0</v>
      </c>
      <c r="P301" t="n">
        <v>0</v>
      </c>
      <c r="Q301" t="n">
        <v>0</v>
      </c>
      <c r="R301" s="2" t="inlineStr"/>
    </row>
    <row r="302" ht="15" customHeight="1">
      <c r="A302" t="inlineStr">
        <is>
          <t>A 29972-2024</t>
        </is>
      </c>
      <c r="B302" s="1" t="n">
        <v>45485</v>
      </c>
      <c r="C302" s="1" t="n">
        <v>46114</v>
      </c>
      <c r="D302" t="inlineStr">
        <is>
          <t>STOCKHOLMS LÄN</t>
        </is>
      </c>
      <c r="E302" t="inlineStr">
        <is>
          <t>NORRTÄLJE</t>
        </is>
      </c>
      <c r="G302" t="n">
        <v>1.1</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46114</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46114</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46114</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46114</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46114</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24245-2024</t>
        </is>
      </c>
      <c r="B308" s="1" t="n">
        <v>45457</v>
      </c>
      <c r="C308" s="1" t="n">
        <v>46114</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13172-2025</t>
        </is>
      </c>
      <c r="B309" s="1" t="n">
        <v>45735.36873842592</v>
      </c>
      <c r="C309" s="1" t="n">
        <v>46114</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21291-2021</t>
        </is>
      </c>
      <c r="B310" s="1" t="n">
        <v>44319</v>
      </c>
      <c r="C310" s="1" t="n">
        <v>46114</v>
      </c>
      <c r="D310" t="inlineStr">
        <is>
          <t>STOCKHOLMS LÄN</t>
        </is>
      </c>
      <c r="E310" t="inlineStr">
        <is>
          <t>NORRTÄLJE</t>
        </is>
      </c>
      <c r="G310" t="n">
        <v>12.7</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46114</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46114</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64145-2021</t>
        </is>
      </c>
      <c r="B313" s="1" t="n">
        <v>44510</v>
      </c>
      <c r="C313" s="1" t="n">
        <v>46114</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1740-2023</t>
        </is>
      </c>
      <c r="B314" s="1" t="n">
        <v>44938</v>
      </c>
      <c r="C314" s="1" t="n">
        <v>46114</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4596-2023</t>
        </is>
      </c>
      <c r="B315" s="1" t="n">
        <v>44956</v>
      </c>
      <c r="C315" s="1" t="n">
        <v>46114</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22456-2023</t>
        </is>
      </c>
      <c r="B316" s="1" t="n">
        <v>45070</v>
      </c>
      <c r="C316" s="1" t="n">
        <v>46114</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17785-2024</t>
        </is>
      </c>
      <c r="B317" s="1" t="n">
        <v>45418.6968287037</v>
      </c>
      <c r="C317" s="1" t="n">
        <v>46114</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10676-2025</t>
        </is>
      </c>
      <c r="B318" s="1" t="n">
        <v>45721.88684027778</v>
      </c>
      <c r="C318" s="1" t="n">
        <v>46114</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20852-2023</t>
        </is>
      </c>
      <c r="B319" s="1" t="n">
        <v>45058.78607638889</v>
      </c>
      <c r="C319" s="1" t="n">
        <v>46114</v>
      </c>
      <c r="D319" t="inlineStr">
        <is>
          <t>STOCKHOLMS LÄN</t>
        </is>
      </c>
      <c r="E319" t="inlineStr">
        <is>
          <t>NORRTÄLJE</t>
        </is>
      </c>
      <c r="G319" t="n">
        <v>3.5</v>
      </c>
      <c r="H319" t="n">
        <v>0</v>
      </c>
      <c r="I319" t="n">
        <v>0</v>
      </c>
      <c r="J319" t="n">
        <v>0</v>
      </c>
      <c r="K319" t="n">
        <v>0</v>
      </c>
      <c r="L319" t="n">
        <v>0</v>
      </c>
      <c r="M319" t="n">
        <v>0</v>
      </c>
      <c r="N319" t="n">
        <v>0</v>
      </c>
      <c r="O319" t="n">
        <v>0</v>
      </c>
      <c r="P319" t="n">
        <v>0</v>
      </c>
      <c r="Q319" t="n">
        <v>0</v>
      </c>
      <c r="R319" s="2" t="inlineStr"/>
    </row>
    <row r="320" ht="15" customHeight="1">
      <c r="A320" t="inlineStr">
        <is>
          <t>A 19982-2022</t>
        </is>
      </c>
      <c r="B320" s="1" t="n">
        <v>44697</v>
      </c>
      <c r="C320" s="1" t="n">
        <v>46114</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6678-2025</t>
        </is>
      </c>
      <c r="B321" s="1" t="n">
        <v>45700</v>
      </c>
      <c r="C321" s="1" t="n">
        <v>46114</v>
      </c>
      <c r="D321" t="inlineStr">
        <is>
          <t>STOCKHOLMS LÄN</t>
        </is>
      </c>
      <c r="E321" t="inlineStr">
        <is>
          <t>NORRTÄLJE</t>
        </is>
      </c>
      <c r="F321" t="inlineStr">
        <is>
          <t>Övriga Aktiebolag</t>
        </is>
      </c>
      <c r="G321" t="n">
        <v>6.6</v>
      </c>
      <c r="H321" t="n">
        <v>0</v>
      </c>
      <c r="I321" t="n">
        <v>0</v>
      </c>
      <c r="J321" t="n">
        <v>0</v>
      </c>
      <c r="K321" t="n">
        <v>0</v>
      </c>
      <c r="L321" t="n">
        <v>0</v>
      </c>
      <c r="M321" t="n">
        <v>0</v>
      </c>
      <c r="N321" t="n">
        <v>0</v>
      </c>
      <c r="O321" t="n">
        <v>0</v>
      </c>
      <c r="P321" t="n">
        <v>0</v>
      </c>
      <c r="Q321" t="n">
        <v>0</v>
      </c>
      <c r="R321" s="2" t="inlineStr"/>
    </row>
    <row r="322" ht="15" customHeight="1">
      <c r="A322" t="inlineStr">
        <is>
          <t>A 44917-2022</t>
        </is>
      </c>
      <c r="B322" s="1" t="n">
        <v>44841.52804398148</v>
      </c>
      <c r="C322" s="1" t="n">
        <v>46114</v>
      </c>
      <c r="D322" t="inlineStr">
        <is>
          <t>STOCKHOLMS LÄN</t>
        </is>
      </c>
      <c r="E322" t="inlineStr">
        <is>
          <t>NORRTÄLJE</t>
        </is>
      </c>
      <c r="F322" t="inlineStr">
        <is>
          <t>Holmen skog AB</t>
        </is>
      </c>
      <c r="G322" t="n">
        <v>3.3</v>
      </c>
      <c r="H322" t="n">
        <v>0</v>
      </c>
      <c r="I322" t="n">
        <v>0</v>
      </c>
      <c r="J322" t="n">
        <v>0</v>
      </c>
      <c r="K322" t="n">
        <v>0</v>
      </c>
      <c r="L322" t="n">
        <v>0</v>
      </c>
      <c r="M322" t="n">
        <v>0</v>
      </c>
      <c r="N322" t="n">
        <v>0</v>
      </c>
      <c r="O322" t="n">
        <v>0</v>
      </c>
      <c r="P322" t="n">
        <v>0</v>
      </c>
      <c r="Q322" t="n">
        <v>0</v>
      </c>
      <c r="R322" s="2" t="inlineStr"/>
    </row>
    <row r="323" ht="15" customHeight="1">
      <c r="A323" t="inlineStr">
        <is>
          <t>A 50355-2024</t>
        </is>
      </c>
      <c r="B323" s="1" t="n">
        <v>45600.86128472222</v>
      </c>
      <c r="C323" s="1" t="n">
        <v>46114</v>
      </c>
      <c r="D323" t="inlineStr">
        <is>
          <t>STOCKHOLMS LÄN</t>
        </is>
      </c>
      <c r="E323" t="inlineStr">
        <is>
          <t>NORRTÄLJE</t>
        </is>
      </c>
      <c r="F323" t="inlineStr">
        <is>
          <t>Kommuner</t>
        </is>
      </c>
      <c r="G323" t="n">
        <v>1</v>
      </c>
      <c r="H323" t="n">
        <v>0</v>
      </c>
      <c r="I323" t="n">
        <v>0</v>
      </c>
      <c r="J323" t="n">
        <v>0</v>
      </c>
      <c r="K323" t="n">
        <v>0</v>
      </c>
      <c r="L323" t="n">
        <v>0</v>
      </c>
      <c r="M323" t="n">
        <v>0</v>
      </c>
      <c r="N323" t="n">
        <v>0</v>
      </c>
      <c r="O323" t="n">
        <v>0</v>
      </c>
      <c r="P323" t="n">
        <v>0</v>
      </c>
      <c r="Q323" t="n">
        <v>0</v>
      </c>
      <c r="R323" s="2" t="inlineStr"/>
    </row>
    <row r="324" ht="15" customHeight="1">
      <c r="A324" t="inlineStr">
        <is>
          <t>A 55012-2024</t>
        </is>
      </c>
      <c r="B324" s="1" t="n">
        <v>45621.34813657407</v>
      </c>
      <c r="C324" s="1" t="n">
        <v>46114</v>
      </c>
      <c r="D324" t="inlineStr">
        <is>
          <t>STOCKHOLMS LÄN</t>
        </is>
      </c>
      <c r="E324" t="inlineStr">
        <is>
          <t>NORRTÄLJE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55058-2021</t>
        </is>
      </c>
      <c r="B325" s="1" t="n">
        <v>44474.62141203704</v>
      </c>
      <c r="C325" s="1" t="n">
        <v>46114</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42075-2023</t>
        </is>
      </c>
      <c r="B326" s="1" t="n">
        <v>45177</v>
      </c>
      <c r="C326" s="1" t="n">
        <v>46114</v>
      </c>
      <c r="D326" t="inlineStr">
        <is>
          <t>STOCKHOLMS LÄN</t>
        </is>
      </c>
      <c r="E326" t="inlineStr">
        <is>
          <t>NORRTÄLJE</t>
        </is>
      </c>
      <c r="G326" t="n">
        <v>2.5</v>
      </c>
      <c r="H326" t="n">
        <v>0</v>
      </c>
      <c r="I326" t="n">
        <v>0</v>
      </c>
      <c r="J326" t="n">
        <v>0</v>
      </c>
      <c r="K326" t="n">
        <v>0</v>
      </c>
      <c r="L326" t="n">
        <v>0</v>
      </c>
      <c r="M326" t="n">
        <v>0</v>
      </c>
      <c r="N326" t="n">
        <v>0</v>
      </c>
      <c r="O326" t="n">
        <v>0</v>
      </c>
      <c r="P326" t="n">
        <v>0</v>
      </c>
      <c r="Q326" t="n">
        <v>0</v>
      </c>
      <c r="R326" s="2" t="inlineStr"/>
    </row>
    <row r="327" ht="15" customHeight="1">
      <c r="A327" t="inlineStr">
        <is>
          <t>A 7413-2024</t>
        </is>
      </c>
      <c r="B327" s="1" t="n">
        <v>45345.6059837963</v>
      </c>
      <c r="C327" s="1" t="n">
        <v>46114</v>
      </c>
      <c r="D327" t="inlineStr">
        <is>
          <t>STOCKHOLMS LÄN</t>
        </is>
      </c>
      <c r="E327" t="inlineStr">
        <is>
          <t>NORRTÄLJE</t>
        </is>
      </c>
      <c r="G327" t="n">
        <v>1.8</v>
      </c>
      <c r="H327" t="n">
        <v>0</v>
      </c>
      <c r="I327" t="n">
        <v>0</v>
      </c>
      <c r="J327" t="n">
        <v>0</v>
      </c>
      <c r="K327" t="n">
        <v>0</v>
      </c>
      <c r="L327" t="n">
        <v>0</v>
      </c>
      <c r="M327" t="n">
        <v>0</v>
      </c>
      <c r="N327" t="n">
        <v>0</v>
      </c>
      <c r="O327" t="n">
        <v>0</v>
      </c>
      <c r="P327" t="n">
        <v>0</v>
      </c>
      <c r="Q327" t="n">
        <v>0</v>
      </c>
      <c r="R327" s="2" t="inlineStr"/>
    </row>
    <row r="328" ht="15" customHeight="1">
      <c r="A328" t="inlineStr">
        <is>
          <t>A 12251-2025</t>
        </is>
      </c>
      <c r="B328" s="1" t="n">
        <v>45729.60859953704</v>
      </c>
      <c r="C328" s="1" t="n">
        <v>46114</v>
      </c>
      <c r="D328" t="inlineStr">
        <is>
          <t>STOCKHOLMS LÄN</t>
        </is>
      </c>
      <c r="E328" t="inlineStr">
        <is>
          <t>NORRTÄLJE</t>
        </is>
      </c>
      <c r="F328" t="inlineStr">
        <is>
          <t>Holmen skog AB</t>
        </is>
      </c>
      <c r="G328" t="n">
        <v>5.9</v>
      </c>
      <c r="H328" t="n">
        <v>0</v>
      </c>
      <c r="I328" t="n">
        <v>0</v>
      </c>
      <c r="J328" t="n">
        <v>0</v>
      </c>
      <c r="K328" t="n">
        <v>0</v>
      </c>
      <c r="L328" t="n">
        <v>0</v>
      </c>
      <c r="M328" t="n">
        <v>0</v>
      </c>
      <c r="N328" t="n">
        <v>0</v>
      </c>
      <c r="O328" t="n">
        <v>0</v>
      </c>
      <c r="P328" t="n">
        <v>0</v>
      </c>
      <c r="Q328" t="n">
        <v>0</v>
      </c>
      <c r="R328" s="2" t="inlineStr"/>
    </row>
    <row r="329" ht="15" customHeight="1">
      <c r="A329" t="inlineStr">
        <is>
          <t>A 58863-2024</t>
        </is>
      </c>
      <c r="B329" s="1" t="n">
        <v>45636.41572916666</v>
      </c>
      <c r="C329" s="1" t="n">
        <v>46114</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11900-2024</t>
        </is>
      </c>
      <c r="B330" s="1" t="n">
        <v>45376.55484953704</v>
      </c>
      <c r="C330" s="1" t="n">
        <v>46114</v>
      </c>
      <c r="D330" t="inlineStr">
        <is>
          <t>STOCKHOLMS LÄN</t>
        </is>
      </c>
      <c r="E330" t="inlineStr">
        <is>
          <t>NORRTÄLJE</t>
        </is>
      </c>
      <c r="G330" t="n">
        <v>4.2</v>
      </c>
      <c r="H330" t="n">
        <v>0</v>
      </c>
      <c r="I330" t="n">
        <v>0</v>
      </c>
      <c r="J330" t="n">
        <v>0</v>
      </c>
      <c r="K330" t="n">
        <v>0</v>
      </c>
      <c r="L330" t="n">
        <v>0</v>
      </c>
      <c r="M330" t="n">
        <v>0</v>
      </c>
      <c r="N330" t="n">
        <v>0</v>
      </c>
      <c r="O330" t="n">
        <v>0</v>
      </c>
      <c r="P330" t="n">
        <v>0</v>
      </c>
      <c r="Q330" t="n">
        <v>0</v>
      </c>
      <c r="R330" s="2" t="inlineStr"/>
    </row>
    <row r="331" ht="15" customHeight="1">
      <c r="A331" t="inlineStr">
        <is>
          <t>A 50154-2024</t>
        </is>
      </c>
      <c r="B331" s="1" t="n">
        <v>45600.4558912037</v>
      </c>
      <c r="C331" s="1" t="n">
        <v>46114</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42867-2022</t>
        </is>
      </c>
      <c r="B332" s="1" t="n">
        <v>44832</v>
      </c>
      <c r="C332" s="1" t="n">
        <v>46114</v>
      </c>
      <c r="D332" t="inlineStr">
        <is>
          <t>STOCKHOLMS LÄN</t>
        </is>
      </c>
      <c r="E332" t="inlineStr">
        <is>
          <t>NORRTÄLJE</t>
        </is>
      </c>
      <c r="G332" t="n">
        <v>6.4</v>
      </c>
      <c r="H332" t="n">
        <v>0</v>
      </c>
      <c r="I332" t="n">
        <v>0</v>
      </c>
      <c r="J332" t="n">
        <v>0</v>
      </c>
      <c r="K332" t="n">
        <v>0</v>
      </c>
      <c r="L332" t="n">
        <v>0</v>
      </c>
      <c r="M332" t="n">
        <v>0</v>
      </c>
      <c r="N332" t="n">
        <v>0</v>
      </c>
      <c r="O332" t="n">
        <v>0</v>
      </c>
      <c r="P332" t="n">
        <v>0</v>
      </c>
      <c r="Q332" t="n">
        <v>0</v>
      </c>
      <c r="R332" s="2" t="inlineStr"/>
    </row>
    <row r="333" ht="15" customHeight="1">
      <c r="A333" t="inlineStr">
        <is>
          <t>A 58277-2023</t>
        </is>
      </c>
      <c r="B333" s="1" t="n">
        <v>45245</v>
      </c>
      <c r="C333" s="1" t="n">
        <v>46114</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32705-2022</t>
        </is>
      </c>
      <c r="B334" s="1" t="n">
        <v>44783</v>
      </c>
      <c r="C334" s="1" t="n">
        <v>46114</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11940-2023</t>
        </is>
      </c>
      <c r="B335" s="1" t="n">
        <v>44995</v>
      </c>
      <c r="C335" s="1" t="n">
        <v>46114</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47481-2024</t>
        </is>
      </c>
      <c r="B336" s="1" t="n">
        <v>45587</v>
      </c>
      <c r="C336" s="1" t="n">
        <v>46114</v>
      </c>
      <c r="D336" t="inlineStr">
        <is>
          <t>STOCKHOLMS LÄN</t>
        </is>
      </c>
      <c r="E336" t="inlineStr">
        <is>
          <t>NORRTÄLJE</t>
        </is>
      </c>
      <c r="G336" t="n">
        <v>0.5</v>
      </c>
      <c r="H336" t="n">
        <v>0</v>
      </c>
      <c r="I336" t="n">
        <v>0</v>
      </c>
      <c r="J336" t="n">
        <v>0</v>
      </c>
      <c r="K336" t="n">
        <v>0</v>
      </c>
      <c r="L336" t="n">
        <v>0</v>
      </c>
      <c r="M336" t="n">
        <v>0</v>
      </c>
      <c r="N336" t="n">
        <v>0</v>
      </c>
      <c r="O336" t="n">
        <v>0</v>
      </c>
      <c r="P336" t="n">
        <v>0</v>
      </c>
      <c r="Q336" t="n">
        <v>0</v>
      </c>
      <c r="R336" s="2" t="inlineStr"/>
    </row>
    <row r="337" ht="15" customHeight="1">
      <c r="A337" t="inlineStr">
        <is>
          <t>A 57037-2022</t>
        </is>
      </c>
      <c r="B337" s="1" t="n">
        <v>44895</v>
      </c>
      <c r="C337" s="1" t="n">
        <v>46114</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2281-2024</t>
        </is>
      </c>
      <c r="B338" s="1" t="n">
        <v>45310.40628472222</v>
      </c>
      <c r="C338" s="1" t="n">
        <v>46114</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23749-2024</t>
        </is>
      </c>
      <c r="B339" s="1" t="n">
        <v>45455.33037037037</v>
      </c>
      <c r="C339" s="1" t="n">
        <v>46114</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60525-2022</t>
        </is>
      </c>
      <c r="B340" s="1" t="n">
        <v>44904</v>
      </c>
      <c r="C340" s="1" t="n">
        <v>46114</v>
      </c>
      <c r="D340" t="inlineStr">
        <is>
          <t>STOCKHOLMS LÄN</t>
        </is>
      </c>
      <c r="E340" t="inlineStr">
        <is>
          <t>NORRTÄLJE</t>
        </is>
      </c>
      <c r="G340" t="n">
        <v>13.4</v>
      </c>
      <c r="H340" t="n">
        <v>0</v>
      </c>
      <c r="I340" t="n">
        <v>0</v>
      </c>
      <c r="J340" t="n">
        <v>0</v>
      </c>
      <c r="K340" t="n">
        <v>0</v>
      </c>
      <c r="L340" t="n">
        <v>0</v>
      </c>
      <c r="M340" t="n">
        <v>0</v>
      </c>
      <c r="N340" t="n">
        <v>0</v>
      </c>
      <c r="O340" t="n">
        <v>0</v>
      </c>
      <c r="P340" t="n">
        <v>0</v>
      </c>
      <c r="Q340" t="n">
        <v>0</v>
      </c>
      <c r="R340" s="2" t="inlineStr"/>
    </row>
    <row r="341" ht="15" customHeight="1">
      <c r="A341" t="inlineStr">
        <is>
          <t>A 50108-2021</t>
        </is>
      </c>
      <c r="B341" s="1" t="n">
        <v>44456</v>
      </c>
      <c r="C341" s="1" t="n">
        <v>46114</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51325-2023</t>
        </is>
      </c>
      <c r="B342" s="1" t="n">
        <v>45219</v>
      </c>
      <c r="C342" s="1" t="n">
        <v>46114</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39213-2022</t>
        </is>
      </c>
      <c r="B343" s="1" t="n">
        <v>44817.56120370371</v>
      </c>
      <c r="C343" s="1" t="n">
        <v>46114</v>
      </c>
      <c r="D343" t="inlineStr">
        <is>
          <t>STOCKHOLMS LÄN</t>
        </is>
      </c>
      <c r="E343" t="inlineStr">
        <is>
          <t>NORRTÄLJE</t>
        </is>
      </c>
      <c r="G343" t="n">
        <v>3.4</v>
      </c>
      <c r="H343" t="n">
        <v>0</v>
      </c>
      <c r="I343" t="n">
        <v>0</v>
      </c>
      <c r="J343" t="n">
        <v>0</v>
      </c>
      <c r="K343" t="n">
        <v>0</v>
      </c>
      <c r="L343" t="n">
        <v>0</v>
      </c>
      <c r="M343" t="n">
        <v>0</v>
      </c>
      <c r="N343" t="n">
        <v>0</v>
      </c>
      <c r="O343" t="n">
        <v>0</v>
      </c>
      <c r="P343" t="n">
        <v>0</v>
      </c>
      <c r="Q343" t="n">
        <v>0</v>
      </c>
      <c r="R343" s="2" t="inlineStr"/>
    </row>
    <row r="344" ht="15" customHeight="1">
      <c r="A344" t="inlineStr">
        <is>
          <t>A 59534-2024</t>
        </is>
      </c>
      <c r="B344" s="1" t="n">
        <v>45638.5987037037</v>
      </c>
      <c r="C344" s="1" t="n">
        <v>46114</v>
      </c>
      <c r="D344" t="inlineStr">
        <is>
          <t>STOCKHOLMS LÄN</t>
        </is>
      </c>
      <c r="E344" t="inlineStr">
        <is>
          <t>NORRTÄLJE</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31107-2022</t>
        </is>
      </c>
      <c r="B345" s="1" t="n">
        <v>44769.66864583334</v>
      </c>
      <c r="C345" s="1" t="n">
        <v>46114</v>
      </c>
      <c r="D345" t="inlineStr">
        <is>
          <t>STOCKHOLMS LÄN</t>
        </is>
      </c>
      <c r="E345" t="inlineStr">
        <is>
          <t>NORRTÄLJE</t>
        </is>
      </c>
      <c r="G345" t="n">
        <v>3.8</v>
      </c>
      <c r="H345" t="n">
        <v>0</v>
      </c>
      <c r="I345" t="n">
        <v>0</v>
      </c>
      <c r="J345" t="n">
        <v>0</v>
      </c>
      <c r="K345" t="n">
        <v>0</v>
      </c>
      <c r="L345" t="n">
        <v>0</v>
      </c>
      <c r="M345" t="n">
        <v>0</v>
      </c>
      <c r="N345" t="n">
        <v>0</v>
      </c>
      <c r="O345" t="n">
        <v>0</v>
      </c>
      <c r="P345" t="n">
        <v>0</v>
      </c>
      <c r="Q345" t="n">
        <v>0</v>
      </c>
      <c r="R345" s="2" t="inlineStr"/>
    </row>
    <row r="346" ht="15" customHeight="1">
      <c r="A346" t="inlineStr">
        <is>
          <t>A 13860-2023</t>
        </is>
      </c>
      <c r="B346" s="1" t="n">
        <v>45007</v>
      </c>
      <c r="C346" s="1" t="n">
        <v>46114</v>
      </c>
      <c r="D346" t="inlineStr">
        <is>
          <t>STOCKHOLMS LÄN</t>
        </is>
      </c>
      <c r="E346" t="inlineStr">
        <is>
          <t>NORRTÄLJE</t>
        </is>
      </c>
      <c r="G346" t="n">
        <v>1.6</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46114</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41976-2024</t>
        </is>
      </c>
      <c r="B348" s="1" t="n">
        <v>45561.62141203704</v>
      </c>
      <c r="C348" s="1" t="n">
        <v>46114</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34432-2021</t>
        </is>
      </c>
      <c r="B349" s="1" t="n">
        <v>44380.77346064815</v>
      </c>
      <c r="C349" s="1" t="n">
        <v>46114</v>
      </c>
      <c r="D349" t="inlineStr">
        <is>
          <t>STOCKHOLMS LÄN</t>
        </is>
      </c>
      <c r="E349" t="inlineStr">
        <is>
          <t>NORRTÄLJE</t>
        </is>
      </c>
      <c r="G349" t="n">
        <v>1.1</v>
      </c>
      <c r="H349" t="n">
        <v>0</v>
      </c>
      <c r="I349" t="n">
        <v>0</v>
      </c>
      <c r="J349" t="n">
        <v>0</v>
      </c>
      <c r="K349" t="n">
        <v>0</v>
      </c>
      <c r="L349" t="n">
        <v>0</v>
      </c>
      <c r="M349" t="n">
        <v>0</v>
      </c>
      <c r="N349" t="n">
        <v>0</v>
      </c>
      <c r="O349" t="n">
        <v>0</v>
      </c>
      <c r="P349" t="n">
        <v>0</v>
      </c>
      <c r="Q349" t="n">
        <v>0</v>
      </c>
      <c r="R349" s="2" t="inlineStr"/>
    </row>
    <row r="350" ht="15" customHeight="1">
      <c r="A350" t="inlineStr">
        <is>
          <t>A 13314-2025</t>
        </is>
      </c>
      <c r="B350" s="1" t="n">
        <v>45735.59287037037</v>
      </c>
      <c r="C350" s="1" t="n">
        <v>46114</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23149-2024</t>
        </is>
      </c>
      <c r="B351" s="1" t="n">
        <v>45450.64208333333</v>
      </c>
      <c r="C351" s="1" t="n">
        <v>46114</v>
      </c>
      <c r="D351" t="inlineStr">
        <is>
          <t>STOCKHOLMS LÄN</t>
        </is>
      </c>
      <c r="E351" t="inlineStr">
        <is>
          <t>NORRTÄLJE</t>
        </is>
      </c>
      <c r="F351" t="inlineStr">
        <is>
          <t>Kommuner</t>
        </is>
      </c>
      <c r="G351" t="n">
        <v>1.3</v>
      </c>
      <c r="H351" t="n">
        <v>0</v>
      </c>
      <c r="I351" t="n">
        <v>0</v>
      </c>
      <c r="J351" t="n">
        <v>0</v>
      </c>
      <c r="K351" t="n">
        <v>0</v>
      </c>
      <c r="L351" t="n">
        <v>0</v>
      </c>
      <c r="M351" t="n">
        <v>0</v>
      </c>
      <c r="N351" t="n">
        <v>0</v>
      </c>
      <c r="O351" t="n">
        <v>0</v>
      </c>
      <c r="P351" t="n">
        <v>0</v>
      </c>
      <c r="Q351" t="n">
        <v>0</v>
      </c>
      <c r="R351" s="2" t="inlineStr"/>
    </row>
    <row r="352" ht="15" customHeight="1">
      <c r="A352" t="inlineStr">
        <is>
          <t>A 23151-2024</t>
        </is>
      </c>
      <c r="B352" s="1" t="n">
        <v>45450</v>
      </c>
      <c r="C352" s="1" t="n">
        <v>46114</v>
      </c>
      <c r="D352" t="inlineStr">
        <is>
          <t>STOCKHOLMS LÄN</t>
        </is>
      </c>
      <c r="E352" t="inlineStr">
        <is>
          <t>NORRTÄLJE</t>
        </is>
      </c>
      <c r="F352" t="inlineStr">
        <is>
          <t>Kommuner</t>
        </is>
      </c>
      <c r="G352" t="n">
        <v>1.2</v>
      </c>
      <c r="H352" t="n">
        <v>0</v>
      </c>
      <c r="I352" t="n">
        <v>0</v>
      </c>
      <c r="J352" t="n">
        <v>0</v>
      </c>
      <c r="K352" t="n">
        <v>0</v>
      </c>
      <c r="L352" t="n">
        <v>0</v>
      </c>
      <c r="M352" t="n">
        <v>0</v>
      </c>
      <c r="N352" t="n">
        <v>0</v>
      </c>
      <c r="O352" t="n">
        <v>0</v>
      </c>
      <c r="P352" t="n">
        <v>0</v>
      </c>
      <c r="Q352" t="n">
        <v>0</v>
      </c>
      <c r="R352" s="2" t="inlineStr"/>
    </row>
    <row r="353" ht="15" customHeight="1">
      <c r="A353" t="inlineStr">
        <is>
          <t>A 21726-2022</t>
        </is>
      </c>
      <c r="B353" s="1" t="n">
        <v>44708</v>
      </c>
      <c r="C353" s="1" t="n">
        <v>46114</v>
      </c>
      <c r="D353" t="inlineStr">
        <is>
          <t>STOCKHOLMS LÄN</t>
        </is>
      </c>
      <c r="E353" t="inlineStr">
        <is>
          <t>NORRTÄLJE</t>
        </is>
      </c>
      <c r="G353" t="n">
        <v>0.2</v>
      </c>
      <c r="H353" t="n">
        <v>0</v>
      </c>
      <c r="I353" t="n">
        <v>0</v>
      </c>
      <c r="J353" t="n">
        <v>0</v>
      </c>
      <c r="K353" t="n">
        <v>0</v>
      </c>
      <c r="L353" t="n">
        <v>0</v>
      </c>
      <c r="M353" t="n">
        <v>0</v>
      </c>
      <c r="N353" t="n">
        <v>0</v>
      </c>
      <c r="O353" t="n">
        <v>0</v>
      </c>
      <c r="P353" t="n">
        <v>0</v>
      </c>
      <c r="Q353" t="n">
        <v>0</v>
      </c>
      <c r="R353" s="2" t="inlineStr"/>
    </row>
    <row r="354" ht="15" customHeight="1">
      <c r="A354" t="inlineStr">
        <is>
          <t>A 21739-2022</t>
        </is>
      </c>
      <c r="B354" s="1" t="n">
        <v>44708.36708333333</v>
      </c>
      <c r="C354" s="1" t="n">
        <v>46114</v>
      </c>
      <c r="D354" t="inlineStr">
        <is>
          <t>STOCKHOLMS LÄN</t>
        </is>
      </c>
      <c r="E354" t="inlineStr">
        <is>
          <t>NORRTÄLJE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35210-2023</t>
        </is>
      </c>
      <c r="B355" s="1" t="n">
        <v>45145.63584490741</v>
      </c>
      <c r="C355" s="1" t="n">
        <v>46114</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59767-2022</t>
        </is>
      </c>
      <c r="B356" s="1" t="n">
        <v>44900</v>
      </c>
      <c r="C356" s="1" t="n">
        <v>46114</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52001-2023</t>
        </is>
      </c>
      <c r="B357" s="1" t="n">
        <v>45223</v>
      </c>
      <c r="C357" s="1" t="n">
        <v>46114</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5823-2023</t>
        </is>
      </c>
      <c r="B358" s="1" t="n">
        <v>44963</v>
      </c>
      <c r="C358" s="1" t="n">
        <v>46114</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19915-2024</t>
        </is>
      </c>
      <c r="B359" s="1" t="n">
        <v>45433.58431712963</v>
      </c>
      <c r="C359" s="1" t="n">
        <v>46114</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15217-2023</t>
        </is>
      </c>
      <c r="B360" s="1" t="n">
        <v>45019.28847222222</v>
      </c>
      <c r="C360" s="1" t="n">
        <v>46114</v>
      </c>
      <c r="D360" t="inlineStr">
        <is>
          <t>STOCKHOLMS LÄN</t>
        </is>
      </c>
      <c r="E360" t="inlineStr">
        <is>
          <t>NORRTÄLJE</t>
        </is>
      </c>
      <c r="G360" t="n">
        <v>3.6</v>
      </c>
      <c r="H360" t="n">
        <v>0</v>
      </c>
      <c r="I360" t="n">
        <v>0</v>
      </c>
      <c r="J360" t="n">
        <v>0</v>
      </c>
      <c r="K360" t="n">
        <v>0</v>
      </c>
      <c r="L360" t="n">
        <v>0</v>
      </c>
      <c r="M360" t="n">
        <v>0</v>
      </c>
      <c r="N360" t="n">
        <v>0</v>
      </c>
      <c r="O360" t="n">
        <v>0</v>
      </c>
      <c r="P360" t="n">
        <v>0</v>
      </c>
      <c r="Q360" t="n">
        <v>0</v>
      </c>
      <c r="R360" s="2" t="inlineStr"/>
    </row>
    <row r="361" ht="15" customHeight="1">
      <c r="A361" t="inlineStr">
        <is>
          <t>A 60185-2024</t>
        </is>
      </c>
      <c r="B361" s="1" t="n">
        <v>45642.64634259259</v>
      </c>
      <c r="C361" s="1" t="n">
        <v>46114</v>
      </c>
      <c r="D361" t="inlineStr">
        <is>
          <t>STOCKHOLMS LÄN</t>
        </is>
      </c>
      <c r="E361" t="inlineStr">
        <is>
          <t>NORRTÄLJE</t>
        </is>
      </c>
      <c r="G361" t="n">
        <v>0.3</v>
      </c>
      <c r="H361" t="n">
        <v>0</v>
      </c>
      <c r="I361" t="n">
        <v>0</v>
      </c>
      <c r="J361" t="n">
        <v>0</v>
      </c>
      <c r="K361" t="n">
        <v>0</v>
      </c>
      <c r="L361" t="n">
        <v>0</v>
      </c>
      <c r="M361" t="n">
        <v>0</v>
      </c>
      <c r="N361" t="n">
        <v>0</v>
      </c>
      <c r="O361" t="n">
        <v>0</v>
      </c>
      <c r="P361" t="n">
        <v>0</v>
      </c>
      <c r="Q361" t="n">
        <v>0</v>
      </c>
      <c r="R361" s="2" t="inlineStr"/>
    </row>
    <row r="362" ht="15" customHeight="1">
      <c r="A362" t="inlineStr">
        <is>
          <t>A 48686-2023</t>
        </is>
      </c>
      <c r="B362" s="1" t="n">
        <v>45208</v>
      </c>
      <c r="C362" s="1" t="n">
        <v>46114</v>
      </c>
      <c r="D362" t="inlineStr">
        <is>
          <t>STOCKHOLMS LÄN</t>
        </is>
      </c>
      <c r="E362" t="inlineStr">
        <is>
          <t>NORRTÄLJE</t>
        </is>
      </c>
      <c r="G362" t="n">
        <v>6</v>
      </c>
      <c r="H362" t="n">
        <v>0</v>
      </c>
      <c r="I362" t="n">
        <v>0</v>
      </c>
      <c r="J362" t="n">
        <v>0</v>
      </c>
      <c r="K362" t="n">
        <v>0</v>
      </c>
      <c r="L362" t="n">
        <v>0</v>
      </c>
      <c r="M362" t="n">
        <v>0</v>
      </c>
      <c r="N362" t="n">
        <v>0</v>
      </c>
      <c r="O362" t="n">
        <v>0</v>
      </c>
      <c r="P362" t="n">
        <v>0</v>
      </c>
      <c r="Q362" t="n">
        <v>0</v>
      </c>
      <c r="R362" s="2" t="inlineStr"/>
    </row>
    <row r="363" ht="15" customHeight="1">
      <c r="A363" t="inlineStr">
        <is>
          <t>A 48691-2023</t>
        </is>
      </c>
      <c r="B363" s="1" t="n">
        <v>45208</v>
      </c>
      <c r="C363" s="1" t="n">
        <v>46114</v>
      </c>
      <c r="D363" t="inlineStr">
        <is>
          <t>STOCKHOLMS LÄN</t>
        </is>
      </c>
      <c r="E363" t="inlineStr">
        <is>
          <t>NORRTÄLJE</t>
        </is>
      </c>
      <c r="G363" t="n">
        <v>5.8</v>
      </c>
      <c r="H363" t="n">
        <v>0</v>
      </c>
      <c r="I363" t="n">
        <v>0</v>
      </c>
      <c r="J363" t="n">
        <v>0</v>
      </c>
      <c r="K363" t="n">
        <v>0</v>
      </c>
      <c r="L363" t="n">
        <v>0</v>
      </c>
      <c r="M363" t="n">
        <v>0</v>
      </c>
      <c r="N363" t="n">
        <v>0</v>
      </c>
      <c r="O363" t="n">
        <v>0</v>
      </c>
      <c r="P363" t="n">
        <v>0</v>
      </c>
      <c r="Q363" t="n">
        <v>0</v>
      </c>
      <c r="R363" s="2" t="inlineStr"/>
    </row>
    <row r="364" ht="15" customHeight="1">
      <c r="A364" t="inlineStr">
        <is>
          <t>A 50143-2023</t>
        </is>
      </c>
      <c r="B364" s="1" t="n">
        <v>45215</v>
      </c>
      <c r="C364" s="1" t="n">
        <v>46114</v>
      </c>
      <c r="D364" t="inlineStr">
        <is>
          <t>STOCKHOLMS LÄN</t>
        </is>
      </c>
      <c r="E364" t="inlineStr">
        <is>
          <t>NORRTÄLJE</t>
        </is>
      </c>
      <c r="G364" t="n">
        <v>10.3</v>
      </c>
      <c r="H364" t="n">
        <v>0</v>
      </c>
      <c r="I364" t="n">
        <v>0</v>
      </c>
      <c r="J364" t="n">
        <v>0</v>
      </c>
      <c r="K364" t="n">
        <v>0</v>
      </c>
      <c r="L364" t="n">
        <v>0</v>
      </c>
      <c r="M364" t="n">
        <v>0</v>
      </c>
      <c r="N364" t="n">
        <v>0</v>
      </c>
      <c r="O364" t="n">
        <v>0</v>
      </c>
      <c r="P364" t="n">
        <v>0</v>
      </c>
      <c r="Q364" t="n">
        <v>0</v>
      </c>
      <c r="R364" s="2" t="inlineStr"/>
    </row>
    <row r="365" ht="15" customHeight="1">
      <c r="A365" t="inlineStr">
        <is>
          <t>A 4322-2023</t>
        </is>
      </c>
      <c r="B365" s="1" t="n">
        <v>44953.69298611111</v>
      </c>
      <c r="C365" s="1" t="n">
        <v>46114</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29176-2024</t>
        </is>
      </c>
      <c r="B366" s="1" t="n">
        <v>45482.53388888889</v>
      </c>
      <c r="C366" s="1" t="n">
        <v>46114</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36430-2024</t>
        </is>
      </c>
      <c r="B367" s="1" t="n">
        <v>45536</v>
      </c>
      <c r="C367" s="1" t="n">
        <v>46114</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43212-2022</t>
        </is>
      </c>
      <c r="B368" s="1" t="n">
        <v>44834.38636574074</v>
      </c>
      <c r="C368" s="1" t="n">
        <v>46114</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51312-2023</t>
        </is>
      </c>
      <c r="B369" s="1" t="n">
        <v>45219.56697916667</v>
      </c>
      <c r="C369" s="1" t="n">
        <v>46114</v>
      </c>
      <c r="D369" t="inlineStr">
        <is>
          <t>STOCKHOLMS LÄN</t>
        </is>
      </c>
      <c r="E369" t="inlineStr">
        <is>
          <t>NORRTÄLJE</t>
        </is>
      </c>
      <c r="G369" t="n">
        <v>1.9</v>
      </c>
      <c r="H369" t="n">
        <v>0</v>
      </c>
      <c r="I369" t="n">
        <v>0</v>
      </c>
      <c r="J369" t="n">
        <v>0</v>
      </c>
      <c r="K369" t="n">
        <v>0</v>
      </c>
      <c r="L369" t="n">
        <v>0</v>
      </c>
      <c r="M369" t="n">
        <v>0</v>
      </c>
      <c r="N369" t="n">
        <v>0</v>
      </c>
      <c r="O369" t="n">
        <v>0</v>
      </c>
      <c r="P369" t="n">
        <v>0</v>
      </c>
      <c r="Q369" t="n">
        <v>0</v>
      </c>
      <c r="R369" s="2" t="inlineStr"/>
    </row>
    <row r="370" ht="15" customHeight="1">
      <c r="A370" t="inlineStr">
        <is>
          <t>A 35640-2024</t>
        </is>
      </c>
      <c r="B370" s="1" t="n">
        <v>45531</v>
      </c>
      <c r="C370" s="1" t="n">
        <v>46114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51653-2022</t>
        </is>
      </c>
      <c r="B371" s="1" t="n">
        <v>44867</v>
      </c>
      <c r="C371" s="1" t="n">
        <v>46114</v>
      </c>
      <c r="D371" t="inlineStr">
        <is>
          <t>STOCKHOLMS LÄN</t>
        </is>
      </c>
      <c r="E371" t="inlineStr">
        <is>
          <t>NORRTÄLJE</t>
        </is>
      </c>
      <c r="G371" t="n">
        <v>6.6</v>
      </c>
      <c r="H371" t="n">
        <v>0</v>
      </c>
      <c r="I371" t="n">
        <v>0</v>
      </c>
      <c r="J371" t="n">
        <v>0</v>
      </c>
      <c r="K371" t="n">
        <v>0</v>
      </c>
      <c r="L371" t="n">
        <v>0</v>
      </c>
      <c r="M371" t="n">
        <v>0</v>
      </c>
      <c r="N371" t="n">
        <v>0</v>
      </c>
      <c r="O371" t="n">
        <v>0</v>
      </c>
      <c r="P371" t="n">
        <v>0</v>
      </c>
      <c r="Q371" t="n">
        <v>0</v>
      </c>
      <c r="R371" s="2" t="inlineStr"/>
    </row>
    <row r="372" ht="15" customHeight="1">
      <c r="A372" t="inlineStr">
        <is>
          <t>A 38990-2022</t>
        </is>
      </c>
      <c r="B372" s="1" t="n">
        <v>44816</v>
      </c>
      <c r="C372" s="1" t="n">
        <v>46114</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17956-2025</t>
        </is>
      </c>
      <c r="B373" s="1" t="n">
        <v>45760.91174768518</v>
      </c>
      <c r="C373" s="1" t="n">
        <v>46114</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875-2023</t>
        </is>
      </c>
      <c r="B374" s="1" t="n">
        <v>44931.65626157408</v>
      </c>
      <c r="C374" s="1" t="n">
        <v>46114</v>
      </c>
      <c r="D374" t="inlineStr">
        <is>
          <t>STOCKHOLMS LÄN</t>
        </is>
      </c>
      <c r="E374" t="inlineStr">
        <is>
          <t>NORRTÄLJE</t>
        </is>
      </c>
      <c r="G374" t="n">
        <v>2.2</v>
      </c>
      <c r="H374" t="n">
        <v>0</v>
      </c>
      <c r="I374" t="n">
        <v>0</v>
      </c>
      <c r="J374" t="n">
        <v>0</v>
      </c>
      <c r="K374" t="n">
        <v>0</v>
      </c>
      <c r="L374" t="n">
        <v>0</v>
      </c>
      <c r="M374" t="n">
        <v>0</v>
      </c>
      <c r="N374" t="n">
        <v>0</v>
      </c>
      <c r="O374" t="n">
        <v>0</v>
      </c>
      <c r="P374" t="n">
        <v>0</v>
      </c>
      <c r="Q374" t="n">
        <v>0</v>
      </c>
      <c r="R374" s="2" t="inlineStr"/>
    </row>
    <row r="375" ht="15" customHeight="1">
      <c r="A375" t="inlineStr">
        <is>
          <t>A 31236-2022</t>
        </is>
      </c>
      <c r="B375" s="1" t="n">
        <v>44771</v>
      </c>
      <c r="C375" s="1" t="n">
        <v>46114</v>
      </c>
      <c r="D375" t="inlineStr">
        <is>
          <t>STOCKHOLMS LÄN</t>
        </is>
      </c>
      <c r="E375" t="inlineStr">
        <is>
          <t>NORRTÄLJE</t>
        </is>
      </c>
      <c r="G375" t="n">
        <v>1.7</v>
      </c>
      <c r="H375" t="n">
        <v>0</v>
      </c>
      <c r="I375" t="n">
        <v>0</v>
      </c>
      <c r="J375" t="n">
        <v>0</v>
      </c>
      <c r="K375" t="n">
        <v>0</v>
      </c>
      <c r="L375" t="n">
        <v>0</v>
      </c>
      <c r="M375" t="n">
        <v>0</v>
      </c>
      <c r="N375" t="n">
        <v>0</v>
      </c>
      <c r="O375" t="n">
        <v>0</v>
      </c>
      <c r="P375" t="n">
        <v>0</v>
      </c>
      <c r="Q375" t="n">
        <v>0</v>
      </c>
      <c r="R375" s="2" t="inlineStr"/>
    </row>
    <row r="376" ht="15" customHeight="1">
      <c r="A376" t="inlineStr">
        <is>
          <t>A 8315-2025</t>
        </is>
      </c>
      <c r="B376" s="1" t="n">
        <v>45708.61761574074</v>
      </c>
      <c r="C376" s="1" t="n">
        <v>46114</v>
      </c>
      <c r="D376" t="inlineStr">
        <is>
          <t>STOCKHOLMS LÄN</t>
        </is>
      </c>
      <c r="E376" t="inlineStr">
        <is>
          <t>NORRTÄLJE</t>
        </is>
      </c>
      <c r="G376" t="n">
        <v>3.9</v>
      </c>
      <c r="H376" t="n">
        <v>0</v>
      </c>
      <c r="I376" t="n">
        <v>0</v>
      </c>
      <c r="J376" t="n">
        <v>0</v>
      </c>
      <c r="K376" t="n">
        <v>0</v>
      </c>
      <c r="L376" t="n">
        <v>0</v>
      </c>
      <c r="M376" t="n">
        <v>0</v>
      </c>
      <c r="N376" t="n">
        <v>0</v>
      </c>
      <c r="O376" t="n">
        <v>0</v>
      </c>
      <c r="P376" t="n">
        <v>0</v>
      </c>
      <c r="Q376" t="n">
        <v>0</v>
      </c>
      <c r="R376" s="2" t="inlineStr"/>
    </row>
    <row r="377" ht="15" customHeight="1">
      <c r="A377" t="inlineStr">
        <is>
          <t>A 58302-2022</t>
        </is>
      </c>
      <c r="B377" s="1" t="n">
        <v>44901</v>
      </c>
      <c r="C377" s="1" t="n">
        <v>46114</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52686-2024</t>
        </is>
      </c>
      <c r="B378" s="1" t="n">
        <v>45610.39271990741</v>
      </c>
      <c r="C378" s="1" t="n">
        <v>46114</v>
      </c>
      <c r="D378" t="inlineStr">
        <is>
          <t>STOCKHOLMS LÄN</t>
        </is>
      </c>
      <c r="E378" t="inlineStr">
        <is>
          <t>NORRTÄLJE</t>
        </is>
      </c>
      <c r="G378" t="n">
        <v>5.7</v>
      </c>
      <c r="H378" t="n">
        <v>0</v>
      </c>
      <c r="I378" t="n">
        <v>0</v>
      </c>
      <c r="J378" t="n">
        <v>0</v>
      </c>
      <c r="K378" t="n">
        <v>0</v>
      </c>
      <c r="L378" t="n">
        <v>0</v>
      </c>
      <c r="M378" t="n">
        <v>0</v>
      </c>
      <c r="N378" t="n">
        <v>0</v>
      </c>
      <c r="O378" t="n">
        <v>0</v>
      </c>
      <c r="P378" t="n">
        <v>0</v>
      </c>
      <c r="Q378" t="n">
        <v>0</v>
      </c>
      <c r="R378" s="2" t="inlineStr"/>
    </row>
    <row r="379" ht="15" customHeight="1">
      <c r="A379" t="inlineStr">
        <is>
          <t>A 20343-2024</t>
        </is>
      </c>
      <c r="B379" s="1" t="n">
        <v>45435.43466435185</v>
      </c>
      <c r="C379" s="1" t="n">
        <v>46114</v>
      </c>
      <c r="D379" t="inlineStr">
        <is>
          <t>STOCKHOLMS LÄN</t>
        </is>
      </c>
      <c r="E379" t="inlineStr">
        <is>
          <t>NORRTÄLJE</t>
        </is>
      </c>
      <c r="G379" t="n">
        <v>2.8</v>
      </c>
      <c r="H379" t="n">
        <v>0</v>
      </c>
      <c r="I379" t="n">
        <v>0</v>
      </c>
      <c r="J379" t="n">
        <v>0</v>
      </c>
      <c r="K379" t="n">
        <v>0</v>
      </c>
      <c r="L379" t="n">
        <v>0</v>
      </c>
      <c r="M379" t="n">
        <v>0</v>
      </c>
      <c r="N379" t="n">
        <v>0</v>
      </c>
      <c r="O379" t="n">
        <v>0</v>
      </c>
      <c r="P379" t="n">
        <v>0</v>
      </c>
      <c r="Q379" t="n">
        <v>0</v>
      </c>
      <c r="R379" s="2" t="inlineStr"/>
    </row>
    <row r="380" ht="15" customHeight="1">
      <c r="A380" t="inlineStr">
        <is>
          <t>A 20345-2024</t>
        </is>
      </c>
      <c r="B380" s="1" t="n">
        <v>45435.43820601852</v>
      </c>
      <c r="C380" s="1" t="n">
        <v>46114</v>
      </c>
      <c r="D380" t="inlineStr">
        <is>
          <t>STOCKHOLMS LÄN</t>
        </is>
      </c>
      <c r="E380" t="inlineStr">
        <is>
          <t>NORRTÄLJE</t>
        </is>
      </c>
      <c r="G380" t="n">
        <v>3.8</v>
      </c>
      <c r="H380" t="n">
        <v>0</v>
      </c>
      <c r="I380" t="n">
        <v>0</v>
      </c>
      <c r="J380" t="n">
        <v>0</v>
      </c>
      <c r="K380" t="n">
        <v>0</v>
      </c>
      <c r="L380" t="n">
        <v>0</v>
      </c>
      <c r="M380" t="n">
        <v>0</v>
      </c>
      <c r="N380" t="n">
        <v>0</v>
      </c>
      <c r="O380" t="n">
        <v>0</v>
      </c>
      <c r="P380" t="n">
        <v>0</v>
      </c>
      <c r="Q380" t="n">
        <v>0</v>
      </c>
      <c r="R380" s="2" t="inlineStr"/>
    </row>
    <row r="381" ht="15" customHeight="1">
      <c r="A381" t="inlineStr">
        <is>
          <t>A 38591-2023</t>
        </is>
      </c>
      <c r="B381" s="1" t="n">
        <v>45162</v>
      </c>
      <c r="C381" s="1" t="n">
        <v>46114</v>
      </c>
      <c r="D381" t="inlineStr">
        <is>
          <t>STOCKHOLMS LÄN</t>
        </is>
      </c>
      <c r="E381" t="inlineStr">
        <is>
          <t>NORRTÄLJE</t>
        </is>
      </c>
      <c r="F381" t="inlineStr">
        <is>
          <t>Övriga Aktiebolag</t>
        </is>
      </c>
      <c r="G381" t="n">
        <v>3.1</v>
      </c>
      <c r="H381" t="n">
        <v>0</v>
      </c>
      <c r="I381" t="n">
        <v>0</v>
      </c>
      <c r="J381" t="n">
        <v>0</v>
      </c>
      <c r="K381" t="n">
        <v>0</v>
      </c>
      <c r="L381" t="n">
        <v>0</v>
      </c>
      <c r="M381" t="n">
        <v>0</v>
      </c>
      <c r="N381" t="n">
        <v>0</v>
      </c>
      <c r="O381" t="n">
        <v>0</v>
      </c>
      <c r="P381" t="n">
        <v>0</v>
      </c>
      <c r="Q381" t="n">
        <v>0</v>
      </c>
      <c r="R381" s="2" t="inlineStr"/>
    </row>
    <row r="382" ht="15" customHeight="1">
      <c r="A382" t="inlineStr">
        <is>
          <t>A 9765-2024</t>
        </is>
      </c>
      <c r="B382" s="1" t="n">
        <v>45362.62811342593</v>
      </c>
      <c r="C382" s="1" t="n">
        <v>46114</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30338-2022</t>
        </is>
      </c>
      <c r="B383" s="1" t="n">
        <v>44760</v>
      </c>
      <c r="C383" s="1" t="n">
        <v>46114</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25525-2022</t>
        </is>
      </c>
      <c r="B384" s="1" t="n">
        <v>44732</v>
      </c>
      <c r="C384" s="1" t="n">
        <v>46114</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12302-2025</t>
        </is>
      </c>
      <c r="B385" s="1" t="n">
        <v>45729.72851851852</v>
      </c>
      <c r="C385" s="1" t="n">
        <v>46114</v>
      </c>
      <c r="D385" t="inlineStr">
        <is>
          <t>STOCKHOLMS LÄN</t>
        </is>
      </c>
      <c r="E385" t="inlineStr">
        <is>
          <t>NORRTÄLJE</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2888-2022</t>
        </is>
      </c>
      <c r="B386" s="1" t="n">
        <v>44581</v>
      </c>
      <c r="C386" s="1" t="n">
        <v>46114</v>
      </c>
      <c r="D386" t="inlineStr">
        <is>
          <t>STOCKHOLMS LÄN</t>
        </is>
      </c>
      <c r="E386" t="inlineStr">
        <is>
          <t>NORRTÄLJE</t>
        </is>
      </c>
      <c r="G386" t="n">
        <v>2.4</v>
      </c>
      <c r="H386" t="n">
        <v>0</v>
      </c>
      <c r="I386" t="n">
        <v>0</v>
      </c>
      <c r="J386" t="n">
        <v>0</v>
      </c>
      <c r="K386" t="n">
        <v>0</v>
      </c>
      <c r="L386" t="n">
        <v>0</v>
      </c>
      <c r="M386" t="n">
        <v>0</v>
      </c>
      <c r="N386" t="n">
        <v>0</v>
      </c>
      <c r="O386" t="n">
        <v>0</v>
      </c>
      <c r="P386" t="n">
        <v>0</v>
      </c>
      <c r="Q386" t="n">
        <v>0</v>
      </c>
      <c r="R386" s="2" t="inlineStr"/>
    </row>
    <row r="387" ht="15" customHeight="1">
      <c r="A387" t="inlineStr">
        <is>
          <t>A 59875-2024</t>
        </is>
      </c>
      <c r="B387" s="1" t="n">
        <v>45640.58716435185</v>
      </c>
      <c r="C387" s="1" t="n">
        <v>46114</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38889-2024</t>
        </is>
      </c>
      <c r="B388" s="1" t="n">
        <v>45547</v>
      </c>
      <c r="C388" s="1" t="n">
        <v>46114</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45451-2024</t>
        </is>
      </c>
      <c r="B389" s="1" t="n">
        <v>45576</v>
      </c>
      <c r="C389" s="1" t="n">
        <v>46114</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11-2024</t>
        </is>
      </c>
      <c r="B390" s="1" t="n">
        <v>45293</v>
      </c>
      <c r="C390" s="1" t="n">
        <v>46114</v>
      </c>
      <c r="D390" t="inlineStr">
        <is>
          <t>STOCKHOLMS LÄN</t>
        </is>
      </c>
      <c r="E390" t="inlineStr">
        <is>
          <t>NORRTÄLJE</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14559-2024</t>
        </is>
      </c>
      <c r="B391" s="1" t="n">
        <v>45394.72869212963</v>
      </c>
      <c r="C391" s="1" t="n">
        <v>46114</v>
      </c>
      <c r="D391" t="inlineStr">
        <is>
          <t>STOCKHOLMS LÄN</t>
        </is>
      </c>
      <c r="E391" t="inlineStr">
        <is>
          <t>NORRTÄLJE</t>
        </is>
      </c>
      <c r="G391" t="n">
        <v>4.2</v>
      </c>
      <c r="H391" t="n">
        <v>0</v>
      </c>
      <c r="I391" t="n">
        <v>0</v>
      </c>
      <c r="J391" t="n">
        <v>0</v>
      </c>
      <c r="K391" t="n">
        <v>0</v>
      </c>
      <c r="L391" t="n">
        <v>0</v>
      </c>
      <c r="M391" t="n">
        <v>0</v>
      </c>
      <c r="N391" t="n">
        <v>0</v>
      </c>
      <c r="O391" t="n">
        <v>0</v>
      </c>
      <c r="P391" t="n">
        <v>0</v>
      </c>
      <c r="Q391" t="n">
        <v>0</v>
      </c>
      <c r="R391" s="2" t="inlineStr"/>
    </row>
    <row r="392" ht="15" customHeight="1">
      <c r="A392" t="inlineStr">
        <is>
          <t>A 8433-2022</t>
        </is>
      </c>
      <c r="B392" s="1" t="n">
        <v>44611</v>
      </c>
      <c r="C392" s="1" t="n">
        <v>46114</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18665-2022</t>
        </is>
      </c>
      <c r="B393" s="1" t="n">
        <v>44687</v>
      </c>
      <c r="C393" s="1" t="n">
        <v>46114</v>
      </c>
      <c r="D393" t="inlineStr">
        <is>
          <t>STOCKHOLMS LÄN</t>
        </is>
      </c>
      <c r="E393" t="inlineStr">
        <is>
          <t>NORRTÄLJE</t>
        </is>
      </c>
      <c r="F393" t="inlineStr">
        <is>
          <t>Kyrkan</t>
        </is>
      </c>
      <c r="G393" t="n">
        <v>1.1</v>
      </c>
      <c r="H393" t="n">
        <v>0</v>
      </c>
      <c r="I393" t="n">
        <v>0</v>
      </c>
      <c r="J393" t="n">
        <v>0</v>
      </c>
      <c r="K393" t="n">
        <v>0</v>
      </c>
      <c r="L393" t="n">
        <v>0</v>
      </c>
      <c r="M393" t="n">
        <v>0</v>
      </c>
      <c r="N393" t="n">
        <v>0</v>
      </c>
      <c r="O393" t="n">
        <v>0</v>
      </c>
      <c r="P393" t="n">
        <v>0</v>
      </c>
      <c r="Q393" t="n">
        <v>0</v>
      </c>
      <c r="R393" s="2" t="inlineStr"/>
    </row>
    <row r="394" ht="15" customHeight="1">
      <c r="A394" t="inlineStr">
        <is>
          <t>A 13718-2022</t>
        </is>
      </c>
      <c r="B394" s="1" t="n">
        <v>44649</v>
      </c>
      <c r="C394" s="1" t="n">
        <v>46114</v>
      </c>
      <c r="D394" t="inlineStr">
        <is>
          <t>STOCKHOLMS LÄN</t>
        </is>
      </c>
      <c r="E394" t="inlineStr">
        <is>
          <t>NORRTÄLJE</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25621-2022</t>
        </is>
      </c>
      <c r="B395" s="1" t="n">
        <v>44732</v>
      </c>
      <c r="C395" s="1" t="n">
        <v>46114</v>
      </c>
      <c r="D395" t="inlineStr">
        <is>
          <t>STOCKHOLMS LÄN</t>
        </is>
      </c>
      <c r="E395" t="inlineStr">
        <is>
          <t>NORRTÄLJE</t>
        </is>
      </c>
      <c r="G395" t="n">
        <v>3.1</v>
      </c>
      <c r="H395" t="n">
        <v>0</v>
      </c>
      <c r="I395" t="n">
        <v>0</v>
      </c>
      <c r="J395" t="n">
        <v>0</v>
      </c>
      <c r="K395" t="n">
        <v>0</v>
      </c>
      <c r="L395" t="n">
        <v>0</v>
      </c>
      <c r="M395" t="n">
        <v>0</v>
      </c>
      <c r="N395" t="n">
        <v>0</v>
      </c>
      <c r="O395" t="n">
        <v>0</v>
      </c>
      <c r="P395" t="n">
        <v>0</v>
      </c>
      <c r="Q395" t="n">
        <v>0</v>
      </c>
      <c r="R395" s="2" t="inlineStr"/>
    </row>
    <row r="396" ht="15" customHeight="1">
      <c r="A396" t="inlineStr">
        <is>
          <t>A 2982-2023</t>
        </is>
      </c>
      <c r="B396" s="1" t="n">
        <v>44945.67409722223</v>
      </c>
      <c r="C396" s="1" t="n">
        <v>46114</v>
      </c>
      <c r="D396" t="inlineStr">
        <is>
          <t>STOCKHOLMS LÄN</t>
        </is>
      </c>
      <c r="E396" t="inlineStr">
        <is>
          <t>NORRTÄLJE</t>
        </is>
      </c>
      <c r="G396" t="n">
        <v>3.3</v>
      </c>
      <c r="H396" t="n">
        <v>0</v>
      </c>
      <c r="I396" t="n">
        <v>0</v>
      </c>
      <c r="J396" t="n">
        <v>0</v>
      </c>
      <c r="K396" t="n">
        <v>0</v>
      </c>
      <c r="L396" t="n">
        <v>0</v>
      </c>
      <c r="M396" t="n">
        <v>0</v>
      </c>
      <c r="N396" t="n">
        <v>0</v>
      </c>
      <c r="O396" t="n">
        <v>0</v>
      </c>
      <c r="P396" t="n">
        <v>0</v>
      </c>
      <c r="Q396" t="n">
        <v>0</v>
      </c>
      <c r="R396" s="2" t="inlineStr"/>
    </row>
    <row r="397" ht="15" customHeight="1">
      <c r="A397" t="inlineStr">
        <is>
          <t>A 12535-2025</t>
        </is>
      </c>
      <c r="B397" s="1" t="n">
        <v>45730.69502314815</v>
      </c>
      <c r="C397" s="1" t="n">
        <v>46114</v>
      </c>
      <c r="D397" t="inlineStr">
        <is>
          <t>STOCKHOLMS LÄN</t>
        </is>
      </c>
      <c r="E397" t="inlineStr">
        <is>
          <t>NORRTÄLJE</t>
        </is>
      </c>
      <c r="G397" t="n">
        <v>7.1</v>
      </c>
      <c r="H397" t="n">
        <v>0</v>
      </c>
      <c r="I397" t="n">
        <v>0</v>
      </c>
      <c r="J397" t="n">
        <v>0</v>
      </c>
      <c r="K397" t="n">
        <v>0</v>
      </c>
      <c r="L397" t="n">
        <v>0</v>
      </c>
      <c r="M397" t="n">
        <v>0</v>
      </c>
      <c r="N397" t="n">
        <v>0</v>
      </c>
      <c r="O397" t="n">
        <v>0</v>
      </c>
      <c r="P397" t="n">
        <v>0</v>
      </c>
      <c r="Q397" t="n">
        <v>0</v>
      </c>
      <c r="R397" s="2" t="inlineStr"/>
    </row>
    <row r="398" ht="15" customHeight="1">
      <c r="A398" t="inlineStr">
        <is>
          <t>A 36269-2022</t>
        </is>
      </c>
      <c r="B398" s="1" t="n">
        <v>44803</v>
      </c>
      <c r="C398" s="1" t="n">
        <v>46114</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36308-2022</t>
        </is>
      </c>
      <c r="B399" s="1" t="n">
        <v>44803</v>
      </c>
      <c r="C399" s="1" t="n">
        <v>46114</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26644-2024</t>
        </is>
      </c>
      <c r="B400" s="1" t="n">
        <v>45469</v>
      </c>
      <c r="C400" s="1" t="n">
        <v>46114</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37136-2023</t>
        </is>
      </c>
      <c r="B401" s="1" t="n">
        <v>45155</v>
      </c>
      <c r="C401" s="1" t="n">
        <v>46114</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6919-2025</t>
        </is>
      </c>
      <c r="B402" s="1" t="n">
        <v>45701.44372685185</v>
      </c>
      <c r="C402" s="1" t="n">
        <v>46114</v>
      </c>
      <c r="D402" t="inlineStr">
        <is>
          <t>STOCKHOLMS LÄN</t>
        </is>
      </c>
      <c r="E402" t="inlineStr">
        <is>
          <t>NORRTÄLJE</t>
        </is>
      </c>
      <c r="G402" t="n">
        <v>3.5</v>
      </c>
      <c r="H402" t="n">
        <v>0</v>
      </c>
      <c r="I402" t="n">
        <v>0</v>
      </c>
      <c r="J402" t="n">
        <v>0</v>
      </c>
      <c r="K402" t="n">
        <v>0</v>
      </c>
      <c r="L402" t="n">
        <v>0</v>
      </c>
      <c r="M402" t="n">
        <v>0</v>
      </c>
      <c r="N402" t="n">
        <v>0</v>
      </c>
      <c r="O402" t="n">
        <v>0</v>
      </c>
      <c r="P402" t="n">
        <v>0</v>
      </c>
      <c r="Q402" t="n">
        <v>0</v>
      </c>
      <c r="R402" s="2" t="inlineStr"/>
    </row>
    <row r="403" ht="15" customHeight="1">
      <c r="A403" t="inlineStr">
        <is>
          <t>A 32100-2022</t>
        </is>
      </c>
      <c r="B403" s="1" t="n">
        <v>44778</v>
      </c>
      <c r="C403" s="1" t="n">
        <v>46114</v>
      </c>
      <c r="D403" t="inlineStr">
        <is>
          <t>STOCKHOLMS LÄN</t>
        </is>
      </c>
      <c r="E403" t="inlineStr">
        <is>
          <t>NORRTÄLJE</t>
        </is>
      </c>
      <c r="G403" t="n">
        <v>3.3</v>
      </c>
      <c r="H403" t="n">
        <v>0</v>
      </c>
      <c r="I403" t="n">
        <v>0</v>
      </c>
      <c r="J403" t="n">
        <v>0</v>
      </c>
      <c r="K403" t="n">
        <v>0</v>
      </c>
      <c r="L403" t="n">
        <v>0</v>
      </c>
      <c r="M403" t="n">
        <v>0</v>
      </c>
      <c r="N403" t="n">
        <v>0</v>
      </c>
      <c r="O403" t="n">
        <v>0</v>
      </c>
      <c r="P403" t="n">
        <v>0</v>
      </c>
      <c r="Q403" t="n">
        <v>0</v>
      </c>
      <c r="R403" s="2" t="inlineStr"/>
    </row>
    <row r="404" ht="15" customHeight="1">
      <c r="A404" t="inlineStr">
        <is>
          <t>A 11332-2025</t>
        </is>
      </c>
      <c r="B404" s="1" t="n">
        <v>45726.48152777777</v>
      </c>
      <c r="C404" s="1" t="n">
        <v>46114</v>
      </c>
      <c r="D404" t="inlineStr">
        <is>
          <t>STOCKHOLMS LÄN</t>
        </is>
      </c>
      <c r="E404" t="inlineStr">
        <is>
          <t>NORRTÄLJE</t>
        </is>
      </c>
      <c r="G404" t="n">
        <v>4.6</v>
      </c>
      <c r="H404" t="n">
        <v>0</v>
      </c>
      <c r="I404" t="n">
        <v>0</v>
      </c>
      <c r="J404" t="n">
        <v>0</v>
      </c>
      <c r="K404" t="n">
        <v>0</v>
      </c>
      <c r="L404" t="n">
        <v>0</v>
      </c>
      <c r="M404" t="n">
        <v>0</v>
      </c>
      <c r="N404" t="n">
        <v>0</v>
      </c>
      <c r="O404" t="n">
        <v>0</v>
      </c>
      <c r="P404" t="n">
        <v>0</v>
      </c>
      <c r="Q404" t="n">
        <v>0</v>
      </c>
      <c r="R404" s="2" t="inlineStr"/>
    </row>
    <row r="405" ht="15" customHeight="1">
      <c r="A405" t="inlineStr">
        <is>
          <t>A 37444-2021</t>
        </is>
      </c>
      <c r="B405" s="1" t="n">
        <v>44398</v>
      </c>
      <c r="C405" s="1" t="n">
        <v>46114</v>
      </c>
      <c r="D405" t="inlineStr">
        <is>
          <t>STOCKHOLMS LÄN</t>
        </is>
      </c>
      <c r="E405" t="inlineStr">
        <is>
          <t>NORRTÄLJE</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18787-2022</t>
        </is>
      </c>
      <c r="B406" s="1" t="n">
        <v>44687</v>
      </c>
      <c r="C406" s="1" t="n">
        <v>46114</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30886-2022</t>
        </is>
      </c>
      <c r="B407" s="1" t="n">
        <v>44767.60601851852</v>
      </c>
      <c r="C407" s="1" t="n">
        <v>46114</v>
      </c>
      <c r="D407" t="inlineStr">
        <is>
          <t>STOCKHOLMS LÄN</t>
        </is>
      </c>
      <c r="E407" t="inlineStr">
        <is>
          <t>NORRTÄLJE</t>
        </is>
      </c>
      <c r="G407" t="n">
        <v>2.6</v>
      </c>
      <c r="H407" t="n">
        <v>0</v>
      </c>
      <c r="I407" t="n">
        <v>0</v>
      </c>
      <c r="J407" t="n">
        <v>0</v>
      </c>
      <c r="K407" t="n">
        <v>0</v>
      </c>
      <c r="L407" t="n">
        <v>0</v>
      </c>
      <c r="M407" t="n">
        <v>0</v>
      </c>
      <c r="N407" t="n">
        <v>0</v>
      </c>
      <c r="O407" t="n">
        <v>0</v>
      </c>
      <c r="P407" t="n">
        <v>0</v>
      </c>
      <c r="Q407" t="n">
        <v>0</v>
      </c>
      <c r="R407" s="2" t="inlineStr"/>
    </row>
    <row r="408" ht="15" customHeight="1">
      <c r="A408" t="inlineStr">
        <is>
          <t>A 1453-2025</t>
        </is>
      </c>
      <c r="B408" s="1" t="n">
        <v>45670.3079050926</v>
      </c>
      <c r="C408" s="1" t="n">
        <v>46114</v>
      </c>
      <c r="D408" t="inlineStr">
        <is>
          <t>STOCKHOLMS LÄN</t>
        </is>
      </c>
      <c r="E408" t="inlineStr">
        <is>
          <t>NORRTÄLJE</t>
        </is>
      </c>
      <c r="G408" t="n">
        <v>2.6</v>
      </c>
      <c r="H408" t="n">
        <v>0</v>
      </c>
      <c r="I408" t="n">
        <v>0</v>
      </c>
      <c r="J408" t="n">
        <v>0</v>
      </c>
      <c r="K408" t="n">
        <v>0</v>
      </c>
      <c r="L408" t="n">
        <v>0</v>
      </c>
      <c r="M408" t="n">
        <v>0</v>
      </c>
      <c r="N408" t="n">
        <v>0</v>
      </c>
      <c r="O408" t="n">
        <v>0</v>
      </c>
      <c r="P408" t="n">
        <v>0</v>
      </c>
      <c r="Q408" t="n">
        <v>0</v>
      </c>
      <c r="R408" s="2" t="inlineStr"/>
    </row>
    <row r="409" ht="15" customHeight="1">
      <c r="A409" t="inlineStr">
        <is>
          <t>A 9654-2022</t>
        </is>
      </c>
      <c r="B409" s="1" t="n">
        <v>44617</v>
      </c>
      <c r="C409" s="1" t="n">
        <v>46114</v>
      </c>
      <c r="D409" t="inlineStr">
        <is>
          <t>STOCKHOLMS LÄN</t>
        </is>
      </c>
      <c r="E409" t="inlineStr">
        <is>
          <t>NORRTÄLJE</t>
        </is>
      </c>
      <c r="G409" t="n">
        <v>6.4</v>
      </c>
      <c r="H409" t="n">
        <v>0</v>
      </c>
      <c r="I409" t="n">
        <v>0</v>
      </c>
      <c r="J409" t="n">
        <v>0</v>
      </c>
      <c r="K409" t="n">
        <v>0</v>
      </c>
      <c r="L409" t="n">
        <v>0</v>
      </c>
      <c r="M409" t="n">
        <v>0</v>
      </c>
      <c r="N409" t="n">
        <v>0</v>
      </c>
      <c r="O409" t="n">
        <v>0</v>
      </c>
      <c r="P409" t="n">
        <v>0</v>
      </c>
      <c r="Q409" t="n">
        <v>0</v>
      </c>
      <c r="R409" s="2" t="inlineStr"/>
    </row>
    <row r="410" ht="15" customHeight="1">
      <c r="A410" t="inlineStr">
        <is>
          <t>A 14127-2025</t>
        </is>
      </c>
      <c r="B410" s="1" t="n">
        <v>45740.47055555556</v>
      </c>
      <c r="C410" s="1" t="n">
        <v>46114</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5804-2025</t>
        </is>
      </c>
      <c r="B411" s="1" t="n">
        <v>45694.68207175926</v>
      </c>
      <c r="C411" s="1" t="n">
        <v>46114</v>
      </c>
      <c r="D411" t="inlineStr">
        <is>
          <t>STOCKHOLMS LÄN</t>
        </is>
      </c>
      <c r="E411" t="inlineStr">
        <is>
          <t>NORRTÄLJE</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16980-2023</t>
        </is>
      </c>
      <c r="B412" s="1" t="n">
        <v>45033</v>
      </c>
      <c r="C412" s="1" t="n">
        <v>46114</v>
      </c>
      <c r="D412" t="inlineStr">
        <is>
          <t>STOCKHOLMS LÄN</t>
        </is>
      </c>
      <c r="E412" t="inlineStr">
        <is>
          <t>NORRTÄLJE</t>
        </is>
      </c>
      <c r="G412" t="n">
        <v>2.3</v>
      </c>
      <c r="H412" t="n">
        <v>0</v>
      </c>
      <c r="I412" t="n">
        <v>0</v>
      </c>
      <c r="J412" t="n">
        <v>0</v>
      </c>
      <c r="K412" t="n">
        <v>0</v>
      </c>
      <c r="L412" t="n">
        <v>0</v>
      </c>
      <c r="M412" t="n">
        <v>0</v>
      </c>
      <c r="N412" t="n">
        <v>0</v>
      </c>
      <c r="O412" t="n">
        <v>0</v>
      </c>
      <c r="P412" t="n">
        <v>0</v>
      </c>
      <c r="Q412" t="n">
        <v>0</v>
      </c>
      <c r="R412" s="2" t="inlineStr"/>
    </row>
    <row r="413" ht="15" customHeight="1">
      <c r="A413" t="inlineStr">
        <is>
          <t>A 50907-2022</t>
        </is>
      </c>
      <c r="B413" s="1" t="n">
        <v>44867.62090277778</v>
      </c>
      <c r="C413" s="1" t="n">
        <v>46114</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29003-2023</t>
        </is>
      </c>
      <c r="B414" s="1" t="n">
        <v>45104</v>
      </c>
      <c r="C414" s="1" t="n">
        <v>46114</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37550-2022</t>
        </is>
      </c>
      <c r="B415" s="1" t="n">
        <v>44809</v>
      </c>
      <c r="C415" s="1" t="n">
        <v>46114</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33295-2023</t>
        </is>
      </c>
      <c r="B416" s="1" t="n">
        <v>45127.69371527778</v>
      </c>
      <c r="C416" s="1" t="n">
        <v>46114</v>
      </c>
      <c r="D416" t="inlineStr">
        <is>
          <t>STOCKHOLMS LÄN</t>
        </is>
      </c>
      <c r="E416" t="inlineStr">
        <is>
          <t>NORRTÄLJE</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32595-2023</t>
        </is>
      </c>
      <c r="B417" s="1" t="n">
        <v>45121</v>
      </c>
      <c r="C417" s="1" t="n">
        <v>46114</v>
      </c>
      <c r="D417" t="inlineStr">
        <is>
          <t>STOCKHOLMS LÄN</t>
        </is>
      </c>
      <c r="E417" t="inlineStr">
        <is>
          <t>NORRTÄLJE</t>
        </is>
      </c>
      <c r="G417" t="n">
        <v>2.4</v>
      </c>
      <c r="H417" t="n">
        <v>0</v>
      </c>
      <c r="I417" t="n">
        <v>0</v>
      </c>
      <c r="J417" t="n">
        <v>0</v>
      </c>
      <c r="K417" t="n">
        <v>0</v>
      </c>
      <c r="L417" t="n">
        <v>0</v>
      </c>
      <c r="M417" t="n">
        <v>0</v>
      </c>
      <c r="N417" t="n">
        <v>0</v>
      </c>
      <c r="O417" t="n">
        <v>0</v>
      </c>
      <c r="P417" t="n">
        <v>0</v>
      </c>
      <c r="Q417" t="n">
        <v>0</v>
      </c>
      <c r="R417" s="2" t="inlineStr"/>
    </row>
    <row r="418" ht="15" customHeight="1">
      <c r="A418" t="inlineStr">
        <is>
          <t>A 48161-2022</t>
        </is>
      </c>
      <c r="B418" s="1" t="n">
        <v>44858</v>
      </c>
      <c r="C418" s="1" t="n">
        <v>46114</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57442-2021</t>
        </is>
      </c>
      <c r="B419" s="1" t="n">
        <v>44483</v>
      </c>
      <c r="C419" s="1" t="n">
        <v>46114</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48798-2021</t>
        </is>
      </c>
      <c r="B420" s="1" t="n">
        <v>44452</v>
      </c>
      <c r="C420" s="1" t="n">
        <v>46114</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33265-2025</t>
        </is>
      </c>
      <c r="B421" s="1" t="n">
        <v>45840.67829861111</v>
      </c>
      <c r="C421" s="1" t="n">
        <v>46114</v>
      </c>
      <c r="D421" t="inlineStr">
        <is>
          <t>STOCKHOLMS LÄN</t>
        </is>
      </c>
      <c r="E421" t="inlineStr">
        <is>
          <t>NORRTÄLJE</t>
        </is>
      </c>
      <c r="G421" t="n">
        <v>5.5</v>
      </c>
      <c r="H421" t="n">
        <v>0</v>
      </c>
      <c r="I421" t="n">
        <v>0</v>
      </c>
      <c r="J421" t="n">
        <v>0</v>
      </c>
      <c r="K421" t="n">
        <v>0</v>
      </c>
      <c r="L421" t="n">
        <v>0</v>
      </c>
      <c r="M421" t="n">
        <v>0</v>
      </c>
      <c r="N421" t="n">
        <v>0</v>
      </c>
      <c r="O421" t="n">
        <v>0</v>
      </c>
      <c r="P421" t="n">
        <v>0</v>
      </c>
      <c r="Q421" t="n">
        <v>0</v>
      </c>
      <c r="R421" s="2" t="inlineStr"/>
    </row>
    <row r="422" ht="15" customHeight="1">
      <c r="A422" t="inlineStr">
        <is>
          <t>A 55952-2024</t>
        </is>
      </c>
      <c r="B422" s="1" t="n">
        <v>45623.62563657408</v>
      </c>
      <c r="C422" s="1" t="n">
        <v>46114</v>
      </c>
      <c r="D422" t="inlineStr">
        <is>
          <t>STOCKHOLMS LÄN</t>
        </is>
      </c>
      <c r="E422" t="inlineStr">
        <is>
          <t>NORRTÄLJE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46114</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3383-2023</t>
        </is>
      </c>
      <c r="B424" s="1" t="n">
        <v>44949</v>
      </c>
      <c r="C424" s="1" t="n">
        <v>46114</v>
      </c>
      <c r="D424" t="inlineStr">
        <is>
          <t>STOCKHOLMS LÄN</t>
        </is>
      </c>
      <c r="E424" t="inlineStr">
        <is>
          <t>NORRTÄLJE</t>
        </is>
      </c>
      <c r="G424" t="n">
        <v>14.6</v>
      </c>
      <c r="H424" t="n">
        <v>0</v>
      </c>
      <c r="I424" t="n">
        <v>0</v>
      </c>
      <c r="J424" t="n">
        <v>0</v>
      </c>
      <c r="K424" t="n">
        <v>0</v>
      </c>
      <c r="L424" t="n">
        <v>0</v>
      </c>
      <c r="M424" t="n">
        <v>0</v>
      </c>
      <c r="N424" t="n">
        <v>0</v>
      </c>
      <c r="O424" t="n">
        <v>0</v>
      </c>
      <c r="P424" t="n">
        <v>0</v>
      </c>
      <c r="Q424" t="n">
        <v>0</v>
      </c>
      <c r="R424" s="2" t="inlineStr"/>
    </row>
    <row r="425" ht="15" customHeight="1">
      <c r="A425" t="inlineStr">
        <is>
          <t>A 33552-2025</t>
        </is>
      </c>
      <c r="B425" s="1" t="n">
        <v>45841.5737962963</v>
      </c>
      <c r="C425" s="1" t="n">
        <v>46114</v>
      </c>
      <c r="D425" t="inlineStr">
        <is>
          <t>STOCKHOLMS LÄN</t>
        </is>
      </c>
      <c r="E425" t="inlineStr">
        <is>
          <t>NORRTÄLJE</t>
        </is>
      </c>
      <c r="G425" t="n">
        <v>8.9</v>
      </c>
      <c r="H425" t="n">
        <v>0</v>
      </c>
      <c r="I425" t="n">
        <v>0</v>
      </c>
      <c r="J425" t="n">
        <v>0</v>
      </c>
      <c r="K425" t="n">
        <v>0</v>
      </c>
      <c r="L425" t="n">
        <v>0</v>
      </c>
      <c r="M425" t="n">
        <v>0</v>
      </c>
      <c r="N425" t="n">
        <v>0</v>
      </c>
      <c r="O425" t="n">
        <v>0</v>
      </c>
      <c r="P425" t="n">
        <v>0</v>
      </c>
      <c r="Q425" t="n">
        <v>0</v>
      </c>
      <c r="R425" s="2" t="inlineStr"/>
    </row>
    <row r="426" ht="15" customHeight="1">
      <c r="A426" t="inlineStr">
        <is>
          <t>A 33336-2025</t>
        </is>
      </c>
      <c r="B426" s="1" t="n">
        <v>45841.35611111111</v>
      </c>
      <c r="C426" s="1" t="n">
        <v>46114</v>
      </c>
      <c r="D426" t="inlineStr">
        <is>
          <t>STOCKHOLMS LÄN</t>
        </is>
      </c>
      <c r="E426" t="inlineStr">
        <is>
          <t>NORRTÄLJE</t>
        </is>
      </c>
      <c r="G426" t="n">
        <v>2.4</v>
      </c>
      <c r="H426" t="n">
        <v>0</v>
      </c>
      <c r="I426" t="n">
        <v>0</v>
      </c>
      <c r="J426" t="n">
        <v>0</v>
      </c>
      <c r="K426" t="n">
        <v>0</v>
      </c>
      <c r="L426" t="n">
        <v>0</v>
      </c>
      <c r="M426" t="n">
        <v>0</v>
      </c>
      <c r="N426" t="n">
        <v>0</v>
      </c>
      <c r="O426" t="n">
        <v>0</v>
      </c>
      <c r="P426" t="n">
        <v>0</v>
      </c>
      <c r="Q426" t="n">
        <v>0</v>
      </c>
      <c r="R426" s="2" t="inlineStr"/>
    </row>
    <row r="427" ht="15" customHeight="1">
      <c r="A427" t="inlineStr">
        <is>
          <t>A 33824-2025</t>
        </is>
      </c>
      <c r="B427" s="1" t="n">
        <v>45842.46885416667</v>
      </c>
      <c r="C427" s="1" t="n">
        <v>46114</v>
      </c>
      <c r="D427" t="inlineStr">
        <is>
          <t>STOCKHOLMS LÄN</t>
        </is>
      </c>
      <c r="E427" t="inlineStr">
        <is>
          <t>NORRTÄLJE</t>
        </is>
      </c>
      <c r="G427" t="n">
        <v>1.9</v>
      </c>
      <c r="H427" t="n">
        <v>0</v>
      </c>
      <c r="I427" t="n">
        <v>0</v>
      </c>
      <c r="J427" t="n">
        <v>0</v>
      </c>
      <c r="K427" t="n">
        <v>0</v>
      </c>
      <c r="L427" t="n">
        <v>0</v>
      </c>
      <c r="M427" t="n">
        <v>0</v>
      </c>
      <c r="N427" t="n">
        <v>0</v>
      </c>
      <c r="O427" t="n">
        <v>0</v>
      </c>
      <c r="P427" t="n">
        <v>0</v>
      </c>
      <c r="Q427" t="n">
        <v>0</v>
      </c>
      <c r="R427" s="2" t="inlineStr"/>
    </row>
    <row r="428" ht="15" customHeight="1">
      <c r="A428" t="inlineStr">
        <is>
          <t>A 54776-2023</t>
        </is>
      </c>
      <c r="B428" s="1" t="n">
        <v>45236.46369212963</v>
      </c>
      <c r="C428" s="1" t="n">
        <v>46114</v>
      </c>
      <c r="D428" t="inlineStr">
        <is>
          <t>STOCKHOLMS LÄN</t>
        </is>
      </c>
      <c r="E428" t="inlineStr">
        <is>
          <t>NORRTÄLJE</t>
        </is>
      </c>
      <c r="G428" t="n">
        <v>0.3</v>
      </c>
      <c r="H428" t="n">
        <v>0</v>
      </c>
      <c r="I428" t="n">
        <v>0</v>
      </c>
      <c r="J428" t="n">
        <v>0</v>
      </c>
      <c r="K428" t="n">
        <v>0</v>
      </c>
      <c r="L428" t="n">
        <v>0</v>
      </c>
      <c r="M428" t="n">
        <v>0</v>
      </c>
      <c r="N428" t="n">
        <v>0</v>
      </c>
      <c r="O428" t="n">
        <v>0</v>
      </c>
      <c r="P428" t="n">
        <v>0</v>
      </c>
      <c r="Q428" t="n">
        <v>0</v>
      </c>
      <c r="R428" s="2" t="inlineStr"/>
    </row>
    <row r="429" ht="15" customHeight="1">
      <c r="A429" t="inlineStr">
        <is>
          <t>A 21732-2023</t>
        </is>
      </c>
      <c r="B429" s="1" t="n">
        <v>45063</v>
      </c>
      <c r="C429" s="1" t="n">
        <v>46114</v>
      </c>
      <c r="D429" t="inlineStr">
        <is>
          <t>STOCKHOLMS LÄN</t>
        </is>
      </c>
      <c r="E429" t="inlineStr">
        <is>
          <t>NORRTÄLJE</t>
        </is>
      </c>
      <c r="G429" t="n">
        <v>1.7</v>
      </c>
      <c r="H429" t="n">
        <v>0</v>
      </c>
      <c r="I429" t="n">
        <v>0</v>
      </c>
      <c r="J429" t="n">
        <v>0</v>
      </c>
      <c r="K429" t="n">
        <v>0</v>
      </c>
      <c r="L429" t="n">
        <v>0</v>
      </c>
      <c r="M429" t="n">
        <v>0</v>
      </c>
      <c r="N429" t="n">
        <v>0</v>
      </c>
      <c r="O429" t="n">
        <v>0</v>
      </c>
      <c r="P429" t="n">
        <v>0</v>
      </c>
      <c r="Q429" t="n">
        <v>0</v>
      </c>
      <c r="R429" s="2" t="inlineStr"/>
    </row>
    <row r="430" ht="15" customHeight="1">
      <c r="A430" t="inlineStr">
        <is>
          <t>A 23307-2024</t>
        </is>
      </c>
      <c r="B430" s="1" t="n">
        <v>45453</v>
      </c>
      <c r="C430" s="1" t="n">
        <v>46114</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34006-2025</t>
        </is>
      </c>
      <c r="B431" s="1" t="n">
        <v>45844.62609953704</v>
      </c>
      <c r="C431" s="1" t="n">
        <v>46114</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34139-2025</t>
        </is>
      </c>
      <c r="B432" s="1" t="n">
        <v>45845</v>
      </c>
      <c r="C432" s="1" t="n">
        <v>46114</v>
      </c>
      <c r="D432" t="inlineStr">
        <is>
          <t>STOCKHOLMS LÄN</t>
        </is>
      </c>
      <c r="E432" t="inlineStr">
        <is>
          <t>NORRTÄLJE</t>
        </is>
      </c>
      <c r="G432" t="n">
        <v>5.5</v>
      </c>
      <c r="H432" t="n">
        <v>0</v>
      </c>
      <c r="I432" t="n">
        <v>0</v>
      </c>
      <c r="J432" t="n">
        <v>0</v>
      </c>
      <c r="K432" t="n">
        <v>0</v>
      </c>
      <c r="L432" t="n">
        <v>0</v>
      </c>
      <c r="M432" t="n">
        <v>0</v>
      </c>
      <c r="N432" t="n">
        <v>0</v>
      </c>
      <c r="O432" t="n">
        <v>0</v>
      </c>
      <c r="P432" t="n">
        <v>0</v>
      </c>
      <c r="Q432" t="n">
        <v>0</v>
      </c>
      <c r="R432" s="2" t="inlineStr"/>
    </row>
    <row r="433" ht="15" customHeight="1">
      <c r="A433" t="inlineStr">
        <is>
          <t>A 34010-2025</t>
        </is>
      </c>
      <c r="B433" s="1" t="n">
        <v>45844.91234953704</v>
      </c>
      <c r="C433" s="1" t="n">
        <v>46114</v>
      </c>
      <c r="D433" t="inlineStr">
        <is>
          <t>STOCKHOLMS LÄN</t>
        </is>
      </c>
      <c r="E433" t="inlineStr">
        <is>
          <t>NORRTÄLJE</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36689-2023</t>
        </is>
      </c>
      <c r="B434" s="1" t="n">
        <v>45152</v>
      </c>
      <c r="C434" s="1" t="n">
        <v>46114</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46073-2024</t>
        </is>
      </c>
      <c r="B435" s="1" t="n">
        <v>45581</v>
      </c>
      <c r="C435" s="1" t="n">
        <v>46114</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38593-2025</t>
        </is>
      </c>
      <c r="B436" s="1" t="n">
        <v>45884.48696759259</v>
      </c>
      <c r="C436" s="1" t="n">
        <v>46114</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37085-2021</t>
        </is>
      </c>
      <c r="B437" s="1" t="n">
        <v>44395</v>
      </c>
      <c r="C437" s="1" t="n">
        <v>46114</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56428-2023</t>
        </is>
      </c>
      <c r="B438" s="1" t="n">
        <v>45243.45289351852</v>
      </c>
      <c r="C438" s="1" t="n">
        <v>46114</v>
      </c>
      <c r="D438" t="inlineStr">
        <is>
          <t>STOCKHOLMS LÄN</t>
        </is>
      </c>
      <c r="E438" t="inlineStr">
        <is>
          <t>NORRTÄLJE</t>
        </is>
      </c>
      <c r="F438" t="inlineStr">
        <is>
          <t>Kyrkan</t>
        </is>
      </c>
      <c r="G438" t="n">
        <v>1.3</v>
      </c>
      <c r="H438" t="n">
        <v>0</v>
      </c>
      <c r="I438" t="n">
        <v>0</v>
      </c>
      <c r="J438" t="n">
        <v>0</v>
      </c>
      <c r="K438" t="n">
        <v>0</v>
      </c>
      <c r="L438" t="n">
        <v>0</v>
      </c>
      <c r="M438" t="n">
        <v>0</v>
      </c>
      <c r="N438" t="n">
        <v>0</v>
      </c>
      <c r="O438" t="n">
        <v>0</v>
      </c>
      <c r="P438" t="n">
        <v>0</v>
      </c>
      <c r="Q438" t="n">
        <v>0</v>
      </c>
      <c r="R438" s="2" t="inlineStr"/>
    </row>
    <row r="439" ht="15" customHeight="1">
      <c r="A439" t="inlineStr">
        <is>
          <t>A 17556-2025</t>
        </is>
      </c>
      <c r="B439" s="1" t="n">
        <v>45757.62482638889</v>
      </c>
      <c r="C439" s="1" t="n">
        <v>46114</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42094-2023</t>
        </is>
      </c>
      <c r="B440" s="1" t="n">
        <v>45177.61498842593</v>
      </c>
      <c r="C440" s="1" t="n">
        <v>46114</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27677-2025</t>
        </is>
      </c>
      <c r="B441" s="1" t="n">
        <v>45813.63650462963</v>
      </c>
      <c r="C441" s="1" t="n">
        <v>46114</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39152-2025</t>
        </is>
      </c>
      <c r="B442" s="1" t="n">
        <v>45888</v>
      </c>
      <c r="C442" s="1" t="n">
        <v>46114</v>
      </c>
      <c r="D442" t="inlineStr">
        <is>
          <t>STOCKHOLMS LÄN</t>
        </is>
      </c>
      <c r="E442" t="inlineStr">
        <is>
          <t>NORRTÄLJE</t>
        </is>
      </c>
      <c r="G442" t="n">
        <v>4.6</v>
      </c>
      <c r="H442" t="n">
        <v>0</v>
      </c>
      <c r="I442" t="n">
        <v>0</v>
      </c>
      <c r="J442" t="n">
        <v>0</v>
      </c>
      <c r="K442" t="n">
        <v>0</v>
      </c>
      <c r="L442" t="n">
        <v>0</v>
      </c>
      <c r="M442" t="n">
        <v>0</v>
      </c>
      <c r="N442" t="n">
        <v>0</v>
      </c>
      <c r="O442" t="n">
        <v>0</v>
      </c>
      <c r="P442" t="n">
        <v>0</v>
      </c>
      <c r="Q442" t="n">
        <v>0</v>
      </c>
      <c r="R442" s="2" t="inlineStr"/>
    </row>
    <row r="443" ht="15" customHeight="1">
      <c r="A443" t="inlineStr">
        <is>
          <t>A 8370-2025</t>
        </is>
      </c>
      <c r="B443" s="1" t="n">
        <v>45708</v>
      </c>
      <c r="C443" s="1" t="n">
        <v>46114</v>
      </c>
      <c r="D443" t="inlineStr">
        <is>
          <t>STOCKHOLMS LÄN</t>
        </is>
      </c>
      <c r="E443" t="inlineStr">
        <is>
          <t>NORRTÄLJE</t>
        </is>
      </c>
      <c r="F443" t="inlineStr">
        <is>
          <t>Övriga Aktiebolag</t>
        </is>
      </c>
      <c r="G443" t="n">
        <v>5.6</v>
      </c>
      <c r="H443" t="n">
        <v>0</v>
      </c>
      <c r="I443" t="n">
        <v>0</v>
      </c>
      <c r="J443" t="n">
        <v>0</v>
      </c>
      <c r="K443" t="n">
        <v>0</v>
      </c>
      <c r="L443" t="n">
        <v>0</v>
      </c>
      <c r="M443" t="n">
        <v>0</v>
      </c>
      <c r="N443" t="n">
        <v>0</v>
      </c>
      <c r="O443" t="n">
        <v>0</v>
      </c>
      <c r="P443" t="n">
        <v>0</v>
      </c>
      <c r="Q443" t="n">
        <v>0</v>
      </c>
      <c r="R443" s="2" t="inlineStr"/>
    </row>
    <row r="444" ht="15" customHeight="1">
      <c r="A444" t="inlineStr">
        <is>
          <t>A 3299-2022</t>
        </is>
      </c>
      <c r="B444" s="1" t="n">
        <v>44584.91001157407</v>
      </c>
      <c r="C444" s="1" t="n">
        <v>46114</v>
      </c>
      <c r="D444" t="inlineStr">
        <is>
          <t>STOCKHOLMS LÄN</t>
        </is>
      </c>
      <c r="E444" t="inlineStr">
        <is>
          <t>NORRTÄLJE</t>
        </is>
      </c>
      <c r="G444" t="n">
        <v>2.7</v>
      </c>
      <c r="H444" t="n">
        <v>0</v>
      </c>
      <c r="I444" t="n">
        <v>0</v>
      </c>
      <c r="J444" t="n">
        <v>0</v>
      </c>
      <c r="K444" t="n">
        <v>0</v>
      </c>
      <c r="L444" t="n">
        <v>0</v>
      </c>
      <c r="M444" t="n">
        <v>0</v>
      </c>
      <c r="N444" t="n">
        <v>0</v>
      </c>
      <c r="O444" t="n">
        <v>0</v>
      </c>
      <c r="P444" t="n">
        <v>0</v>
      </c>
      <c r="Q444" t="n">
        <v>0</v>
      </c>
      <c r="R444" s="2" t="inlineStr"/>
    </row>
    <row r="445" ht="15" customHeight="1">
      <c r="A445" t="inlineStr">
        <is>
          <t>A 35110-2025</t>
        </is>
      </c>
      <c r="B445" s="1" t="n">
        <v>45852.58030092593</v>
      </c>
      <c r="C445" s="1" t="n">
        <v>46114</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12348-2025</t>
        </is>
      </c>
      <c r="B446" s="1" t="n">
        <v>45730.35026620371</v>
      </c>
      <c r="C446" s="1" t="n">
        <v>46114</v>
      </c>
      <c r="D446" t="inlineStr">
        <is>
          <t>STOCKHOLMS LÄN</t>
        </is>
      </c>
      <c r="E446" t="inlineStr">
        <is>
          <t>NORRTÄLJE</t>
        </is>
      </c>
      <c r="G446" t="n">
        <v>1.5</v>
      </c>
      <c r="H446" t="n">
        <v>0</v>
      </c>
      <c r="I446" t="n">
        <v>0</v>
      </c>
      <c r="J446" t="n">
        <v>0</v>
      </c>
      <c r="K446" t="n">
        <v>0</v>
      </c>
      <c r="L446" t="n">
        <v>0</v>
      </c>
      <c r="M446" t="n">
        <v>0</v>
      </c>
      <c r="N446" t="n">
        <v>0</v>
      </c>
      <c r="O446" t="n">
        <v>0</v>
      </c>
      <c r="P446" t="n">
        <v>0</v>
      </c>
      <c r="Q446" t="n">
        <v>0</v>
      </c>
      <c r="R446" s="2" t="inlineStr"/>
    </row>
    <row r="447" ht="15" customHeight="1">
      <c r="A447" t="inlineStr">
        <is>
          <t>A 39149-2025</t>
        </is>
      </c>
      <c r="B447" s="1" t="n">
        <v>45888.60714120371</v>
      </c>
      <c r="C447" s="1" t="n">
        <v>46114</v>
      </c>
      <c r="D447" t="inlineStr">
        <is>
          <t>STOCKHOLMS LÄN</t>
        </is>
      </c>
      <c r="E447" t="inlineStr">
        <is>
          <t>NORRTÄLJE</t>
        </is>
      </c>
      <c r="G447" t="n">
        <v>3.5</v>
      </c>
      <c r="H447" t="n">
        <v>0</v>
      </c>
      <c r="I447" t="n">
        <v>0</v>
      </c>
      <c r="J447" t="n">
        <v>0</v>
      </c>
      <c r="K447" t="n">
        <v>0</v>
      </c>
      <c r="L447" t="n">
        <v>0</v>
      </c>
      <c r="M447" t="n">
        <v>0</v>
      </c>
      <c r="N447" t="n">
        <v>0</v>
      </c>
      <c r="O447" t="n">
        <v>0</v>
      </c>
      <c r="P447" t="n">
        <v>0</v>
      </c>
      <c r="Q447" t="n">
        <v>0</v>
      </c>
      <c r="R447" s="2" t="inlineStr"/>
    </row>
    <row r="448" ht="15" customHeight="1">
      <c r="A448" t="inlineStr">
        <is>
          <t>A 35254-2025</t>
        </is>
      </c>
      <c r="B448" s="1" t="n">
        <v>45853</v>
      </c>
      <c r="C448" s="1" t="n">
        <v>46114</v>
      </c>
      <c r="D448" t="inlineStr">
        <is>
          <t>STOCKHOLMS LÄN</t>
        </is>
      </c>
      <c r="E448" t="inlineStr">
        <is>
          <t>NORRTÄLJE</t>
        </is>
      </c>
      <c r="G448" t="n">
        <v>6.5</v>
      </c>
      <c r="H448" t="n">
        <v>0</v>
      </c>
      <c r="I448" t="n">
        <v>0</v>
      </c>
      <c r="J448" t="n">
        <v>0</v>
      </c>
      <c r="K448" t="n">
        <v>0</v>
      </c>
      <c r="L448" t="n">
        <v>0</v>
      </c>
      <c r="M448" t="n">
        <v>0</v>
      </c>
      <c r="N448" t="n">
        <v>0</v>
      </c>
      <c r="O448" t="n">
        <v>0</v>
      </c>
      <c r="P448" t="n">
        <v>0</v>
      </c>
      <c r="Q448" t="n">
        <v>0</v>
      </c>
      <c r="R448" s="2" t="inlineStr"/>
    </row>
    <row r="449" ht="15" customHeight="1">
      <c r="A449" t="inlineStr">
        <is>
          <t>A 17545-2025</t>
        </is>
      </c>
      <c r="B449" s="1" t="n">
        <v>45757.60658564815</v>
      </c>
      <c r="C449" s="1" t="n">
        <v>46114</v>
      </c>
      <c r="D449" t="inlineStr">
        <is>
          <t>STOCKHOLMS LÄN</t>
        </is>
      </c>
      <c r="E449" t="inlineStr">
        <is>
          <t>NORRTÄLJE</t>
        </is>
      </c>
      <c r="G449" t="n">
        <v>1.6</v>
      </c>
      <c r="H449" t="n">
        <v>0</v>
      </c>
      <c r="I449" t="n">
        <v>0</v>
      </c>
      <c r="J449" t="n">
        <v>0</v>
      </c>
      <c r="K449" t="n">
        <v>0</v>
      </c>
      <c r="L449" t="n">
        <v>0</v>
      </c>
      <c r="M449" t="n">
        <v>0</v>
      </c>
      <c r="N449" t="n">
        <v>0</v>
      </c>
      <c r="O449" t="n">
        <v>0</v>
      </c>
      <c r="P449" t="n">
        <v>0</v>
      </c>
      <c r="Q449" t="n">
        <v>0</v>
      </c>
      <c r="R449" s="2" t="inlineStr"/>
    </row>
    <row r="450" ht="15" customHeight="1">
      <c r="A450" t="inlineStr">
        <is>
          <t>A 25094-2023</t>
        </is>
      </c>
      <c r="B450" s="1" t="n">
        <v>45086.3629050926</v>
      </c>
      <c r="C450" s="1" t="n">
        <v>46114</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36157-2024</t>
        </is>
      </c>
      <c r="B451" s="1" t="n">
        <v>45534.38240740741</v>
      </c>
      <c r="C451" s="1" t="n">
        <v>46114</v>
      </c>
      <c r="D451" t="inlineStr">
        <is>
          <t>STOCKHOLMS LÄN</t>
        </is>
      </c>
      <c r="E451" t="inlineStr">
        <is>
          <t>NORRTÄLJE</t>
        </is>
      </c>
      <c r="F451" t="inlineStr">
        <is>
          <t>Övriga Aktiebolag</t>
        </is>
      </c>
      <c r="G451" t="n">
        <v>1.1</v>
      </c>
      <c r="H451" t="n">
        <v>0</v>
      </c>
      <c r="I451" t="n">
        <v>0</v>
      </c>
      <c r="J451" t="n">
        <v>0</v>
      </c>
      <c r="K451" t="n">
        <v>0</v>
      </c>
      <c r="L451" t="n">
        <v>0</v>
      </c>
      <c r="M451" t="n">
        <v>0</v>
      </c>
      <c r="N451" t="n">
        <v>0</v>
      </c>
      <c r="O451" t="n">
        <v>0</v>
      </c>
      <c r="P451" t="n">
        <v>0</v>
      </c>
      <c r="Q451" t="n">
        <v>0</v>
      </c>
      <c r="R451" s="2" t="inlineStr"/>
    </row>
    <row r="452" ht="15" customHeight="1">
      <c r="A452" t="inlineStr">
        <is>
          <t>A 35479-2025</t>
        </is>
      </c>
      <c r="B452" s="1" t="n">
        <v>45855.69387731481</v>
      </c>
      <c r="C452" s="1" t="n">
        <v>46114</v>
      </c>
      <c r="D452" t="inlineStr">
        <is>
          <t>STOCKHOLMS LÄN</t>
        </is>
      </c>
      <c r="E452" t="inlineStr">
        <is>
          <t>NORRTÄLJE</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35451-2025</t>
        </is>
      </c>
      <c r="B453" s="1" t="n">
        <v>45855.57033564815</v>
      </c>
      <c r="C453" s="1" t="n">
        <v>46114</v>
      </c>
      <c r="D453" t="inlineStr">
        <is>
          <t>STOCKHOLMS LÄN</t>
        </is>
      </c>
      <c r="E453" t="inlineStr">
        <is>
          <t>NORRTÄLJE</t>
        </is>
      </c>
      <c r="F453" t="inlineStr">
        <is>
          <t>Holmen skog AB</t>
        </is>
      </c>
      <c r="G453" t="n">
        <v>7.4</v>
      </c>
      <c r="H453" t="n">
        <v>0</v>
      </c>
      <c r="I453" t="n">
        <v>0</v>
      </c>
      <c r="J453" t="n">
        <v>0</v>
      </c>
      <c r="K453" t="n">
        <v>0</v>
      </c>
      <c r="L453" t="n">
        <v>0</v>
      </c>
      <c r="M453" t="n">
        <v>0</v>
      </c>
      <c r="N453" t="n">
        <v>0</v>
      </c>
      <c r="O453" t="n">
        <v>0</v>
      </c>
      <c r="P453" t="n">
        <v>0</v>
      </c>
      <c r="Q453" t="n">
        <v>0</v>
      </c>
      <c r="R453" s="2" t="inlineStr"/>
    </row>
    <row r="454" ht="15" customHeight="1">
      <c r="A454" t="inlineStr">
        <is>
          <t>A 35478-2025</t>
        </is>
      </c>
      <c r="B454" s="1" t="n">
        <v>45855.68413194444</v>
      </c>
      <c r="C454" s="1" t="n">
        <v>46114</v>
      </c>
      <c r="D454" t="inlineStr">
        <is>
          <t>STOCKHOLMS LÄN</t>
        </is>
      </c>
      <c r="E454" t="inlineStr">
        <is>
          <t>NORRTÄLJE</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47694-2023</t>
        </is>
      </c>
      <c r="B455" s="1" t="n">
        <v>45203.63303240741</v>
      </c>
      <c r="C455" s="1" t="n">
        <v>46114</v>
      </c>
      <c r="D455" t="inlineStr">
        <is>
          <t>STOCKHOLMS LÄN</t>
        </is>
      </c>
      <c r="E455" t="inlineStr">
        <is>
          <t>NORRTÄLJE</t>
        </is>
      </c>
      <c r="G455" t="n">
        <v>5.2</v>
      </c>
      <c r="H455" t="n">
        <v>0</v>
      </c>
      <c r="I455" t="n">
        <v>0</v>
      </c>
      <c r="J455" t="n">
        <v>0</v>
      </c>
      <c r="K455" t="n">
        <v>0</v>
      </c>
      <c r="L455" t="n">
        <v>0</v>
      </c>
      <c r="M455" t="n">
        <v>0</v>
      </c>
      <c r="N455" t="n">
        <v>0</v>
      </c>
      <c r="O455" t="n">
        <v>0</v>
      </c>
      <c r="P455" t="n">
        <v>0</v>
      </c>
      <c r="Q455" t="n">
        <v>0</v>
      </c>
      <c r="R455" s="2" t="inlineStr"/>
    </row>
    <row r="456" ht="15" customHeight="1">
      <c r="A456" t="inlineStr">
        <is>
          <t>A 39692-2025</t>
        </is>
      </c>
      <c r="B456" s="1" t="n">
        <v>45890.68083333333</v>
      </c>
      <c r="C456" s="1" t="n">
        <v>46114</v>
      </c>
      <c r="D456" t="inlineStr">
        <is>
          <t>STOCKHOLMS LÄN</t>
        </is>
      </c>
      <c r="E456" t="inlineStr">
        <is>
          <t>NORRTÄLJE</t>
        </is>
      </c>
      <c r="G456" t="n">
        <v>10.5</v>
      </c>
      <c r="H456" t="n">
        <v>0</v>
      </c>
      <c r="I456" t="n">
        <v>0</v>
      </c>
      <c r="J456" t="n">
        <v>0</v>
      </c>
      <c r="K456" t="n">
        <v>0</v>
      </c>
      <c r="L456" t="n">
        <v>0</v>
      </c>
      <c r="M456" t="n">
        <v>0</v>
      </c>
      <c r="N456" t="n">
        <v>0</v>
      </c>
      <c r="O456" t="n">
        <v>0</v>
      </c>
      <c r="P456" t="n">
        <v>0</v>
      </c>
      <c r="Q456" t="n">
        <v>0</v>
      </c>
      <c r="R456" s="2" t="inlineStr"/>
    </row>
    <row r="457" ht="15" customHeight="1">
      <c r="A457" t="inlineStr">
        <is>
          <t>A 35532-2024</t>
        </is>
      </c>
      <c r="B457" s="1" t="n">
        <v>45531</v>
      </c>
      <c r="C457" s="1" t="n">
        <v>46114</v>
      </c>
      <c r="D457" t="inlineStr">
        <is>
          <t>STOCKHOLMS LÄN</t>
        </is>
      </c>
      <c r="E457" t="inlineStr">
        <is>
          <t>NORRTÄLJE</t>
        </is>
      </c>
      <c r="G457" t="n">
        <v>2.3</v>
      </c>
      <c r="H457" t="n">
        <v>0</v>
      </c>
      <c r="I457" t="n">
        <v>0</v>
      </c>
      <c r="J457" t="n">
        <v>0</v>
      </c>
      <c r="K457" t="n">
        <v>0</v>
      </c>
      <c r="L457" t="n">
        <v>0</v>
      </c>
      <c r="M457" t="n">
        <v>0</v>
      </c>
      <c r="N457" t="n">
        <v>0</v>
      </c>
      <c r="O457" t="n">
        <v>0</v>
      </c>
      <c r="P457" t="n">
        <v>0</v>
      </c>
      <c r="Q457" t="n">
        <v>0</v>
      </c>
      <c r="R457" s="2" t="inlineStr"/>
    </row>
    <row r="458" ht="15" customHeight="1">
      <c r="A458" t="inlineStr">
        <is>
          <t>A 1654-2025</t>
        </is>
      </c>
      <c r="B458" s="1" t="n">
        <v>45670.65921296296</v>
      </c>
      <c r="C458" s="1" t="n">
        <v>46114</v>
      </c>
      <c r="D458" t="inlineStr">
        <is>
          <t>STOCKHOLMS LÄN</t>
        </is>
      </c>
      <c r="E458" t="inlineStr">
        <is>
          <t>NORRTÄLJE</t>
        </is>
      </c>
      <c r="G458" t="n">
        <v>2.5</v>
      </c>
      <c r="H458" t="n">
        <v>0</v>
      </c>
      <c r="I458" t="n">
        <v>0</v>
      </c>
      <c r="J458" t="n">
        <v>0</v>
      </c>
      <c r="K458" t="n">
        <v>0</v>
      </c>
      <c r="L458" t="n">
        <v>0</v>
      </c>
      <c r="M458" t="n">
        <v>0</v>
      </c>
      <c r="N458" t="n">
        <v>0</v>
      </c>
      <c r="O458" t="n">
        <v>0</v>
      </c>
      <c r="P458" t="n">
        <v>0</v>
      </c>
      <c r="Q458" t="n">
        <v>0</v>
      </c>
      <c r="R458" s="2" t="inlineStr"/>
    </row>
    <row r="459" ht="15" customHeight="1">
      <c r="A459" t="inlineStr">
        <is>
          <t>A 62644-2023</t>
        </is>
      </c>
      <c r="B459" s="1" t="n">
        <v>45271</v>
      </c>
      <c r="C459" s="1" t="n">
        <v>46114</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35639-2025</t>
        </is>
      </c>
      <c r="B460" s="1" t="n">
        <v>45859</v>
      </c>
      <c r="C460" s="1" t="n">
        <v>46114</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11229-2022</t>
        </is>
      </c>
      <c r="B461" s="1" t="n">
        <v>44629</v>
      </c>
      <c r="C461" s="1" t="n">
        <v>46114</v>
      </c>
      <c r="D461" t="inlineStr">
        <is>
          <t>STOCKHOLMS LÄN</t>
        </is>
      </c>
      <c r="E461" t="inlineStr">
        <is>
          <t>NORRTÄLJE</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35636-2025</t>
        </is>
      </c>
      <c r="B462" s="1" t="n">
        <v>45859</v>
      </c>
      <c r="C462" s="1" t="n">
        <v>46114</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40172-2025</t>
        </is>
      </c>
      <c r="B463" s="1" t="n">
        <v>45894.6353125</v>
      </c>
      <c r="C463" s="1" t="n">
        <v>46114</v>
      </c>
      <c r="D463" t="inlineStr">
        <is>
          <t>STOCKHOLMS LÄN</t>
        </is>
      </c>
      <c r="E463" t="inlineStr">
        <is>
          <t>NORRTÄLJE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40033-2025</t>
        </is>
      </c>
      <c r="B464" s="1" t="n">
        <v>45893</v>
      </c>
      <c r="C464" s="1" t="n">
        <v>46114</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40032-2025</t>
        </is>
      </c>
      <c r="B465" s="1" t="n">
        <v>45893</v>
      </c>
      <c r="C465" s="1" t="n">
        <v>46114</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40292-2025</t>
        </is>
      </c>
      <c r="B466" s="1" t="n">
        <v>45895.3867824074</v>
      </c>
      <c r="C466" s="1" t="n">
        <v>46114</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40294-2025</t>
        </is>
      </c>
      <c r="B467" s="1" t="n">
        <v>45895.38778935185</v>
      </c>
      <c r="C467" s="1" t="n">
        <v>46114</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57353-2024</t>
        </is>
      </c>
      <c r="B468" s="1" t="n">
        <v>45629.65143518519</v>
      </c>
      <c r="C468" s="1" t="n">
        <v>46114</v>
      </c>
      <c r="D468" t="inlineStr">
        <is>
          <t>STOCKHOLMS LÄN</t>
        </is>
      </c>
      <c r="E468" t="inlineStr">
        <is>
          <t>NORRTÄLJE</t>
        </is>
      </c>
      <c r="F468" t="inlineStr">
        <is>
          <t>Holmen skog AB</t>
        </is>
      </c>
      <c r="G468" t="n">
        <v>0.9</v>
      </c>
      <c r="H468" t="n">
        <v>0</v>
      </c>
      <c r="I468" t="n">
        <v>0</v>
      </c>
      <c r="J468" t="n">
        <v>0</v>
      </c>
      <c r="K468" t="n">
        <v>0</v>
      </c>
      <c r="L468" t="n">
        <v>0</v>
      </c>
      <c r="M468" t="n">
        <v>0</v>
      </c>
      <c r="N468" t="n">
        <v>0</v>
      </c>
      <c r="O468" t="n">
        <v>0</v>
      </c>
      <c r="P468" t="n">
        <v>0</v>
      </c>
      <c r="Q468" t="n">
        <v>0</v>
      </c>
      <c r="R468" s="2" t="inlineStr"/>
    </row>
    <row r="469" ht="15" customHeight="1">
      <c r="A469" t="inlineStr">
        <is>
          <t>A 48587-2023</t>
        </is>
      </c>
      <c r="B469" s="1" t="n">
        <v>45208</v>
      </c>
      <c r="C469" s="1" t="n">
        <v>46114</v>
      </c>
      <c r="D469" t="inlineStr">
        <is>
          <t>STOCKHOLMS LÄN</t>
        </is>
      </c>
      <c r="E469" t="inlineStr">
        <is>
          <t>NORRTÄLJE</t>
        </is>
      </c>
      <c r="G469" t="n">
        <v>7</v>
      </c>
      <c r="H469" t="n">
        <v>0</v>
      </c>
      <c r="I469" t="n">
        <v>0</v>
      </c>
      <c r="J469" t="n">
        <v>0</v>
      </c>
      <c r="K469" t="n">
        <v>0</v>
      </c>
      <c r="L469" t="n">
        <v>0</v>
      </c>
      <c r="M469" t="n">
        <v>0</v>
      </c>
      <c r="N469" t="n">
        <v>0</v>
      </c>
      <c r="O469" t="n">
        <v>0</v>
      </c>
      <c r="P469" t="n">
        <v>0</v>
      </c>
      <c r="Q469" t="n">
        <v>0</v>
      </c>
      <c r="R469" s="2" t="inlineStr"/>
    </row>
    <row r="470" ht="15" customHeight="1">
      <c r="A470" t="inlineStr">
        <is>
          <t>A 40228-2025</t>
        </is>
      </c>
      <c r="B470" s="1" t="n">
        <v>45894.70854166667</v>
      </c>
      <c r="C470" s="1" t="n">
        <v>46114</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2549-2022</t>
        </is>
      </c>
      <c r="B471" s="1" t="n">
        <v>44580</v>
      </c>
      <c r="C471" s="1" t="n">
        <v>46114</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40230-2025</t>
        </is>
      </c>
      <c r="B472" s="1" t="n">
        <v>45894.71101851852</v>
      </c>
      <c r="C472" s="1" t="n">
        <v>46114</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4438-2023</t>
        </is>
      </c>
      <c r="B473" s="1" t="n">
        <v>44956</v>
      </c>
      <c r="C473" s="1" t="n">
        <v>46114</v>
      </c>
      <c r="D473" t="inlineStr">
        <is>
          <t>STOCKHOLMS LÄN</t>
        </is>
      </c>
      <c r="E473" t="inlineStr">
        <is>
          <t>NORRTÄLJE</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40217-2025</t>
        </is>
      </c>
      <c r="B474" s="1" t="n">
        <v>45894.68864583333</v>
      </c>
      <c r="C474" s="1" t="n">
        <v>46114</v>
      </c>
      <c r="D474" t="inlineStr">
        <is>
          <t>STOCKHOLMS LÄN</t>
        </is>
      </c>
      <c r="E474" t="inlineStr">
        <is>
          <t>NORRTÄLJE</t>
        </is>
      </c>
      <c r="G474" t="n">
        <v>0.8</v>
      </c>
      <c r="H474" t="n">
        <v>0</v>
      </c>
      <c r="I474" t="n">
        <v>0</v>
      </c>
      <c r="J474" t="n">
        <v>0</v>
      </c>
      <c r="K474" t="n">
        <v>0</v>
      </c>
      <c r="L474" t="n">
        <v>0</v>
      </c>
      <c r="M474" t="n">
        <v>0</v>
      </c>
      <c r="N474" t="n">
        <v>0</v>
      </c>
      <c r="O474" t="n">
        <v>0</v>
      </c>
      <c r="P474" t="n">
        <v>0</v>
      </c>
      <c r="Q474" t="n">
        <v>0</v>
      </c>
      <c r="R474" s="2" t="inlineStr"/>
    </row>
    <row r="475" ht="15" customHeight="1">
      <c r="A475" t="inlineStr">
        <is>
          <t>A 47758-2023</t>
        </is>
      </c>
      <c r="B475" s="1" t="n">
        <v>45203.83891203703</v>
      </c>
      <c r="C475" s="1" t="n">
        <v>46114</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40097-2025</t>
        </is>
      </c>
      <c r="B476" s="1" t="n">
        <v>45894.48322916667</v>
      </c>
      <c r="C476" s="1" t="n">
        <v>46114</v>
      </c>
      <c r="D476" t="inlineStr">
        <is>
          <t>STOCKHOLMS LÄN</t>
        </is>
      </c>
      <c r="E476" t="inlineStr">
        <is>
          <t>NORRTÄLJE</t>
        </is>
      </c>
      <c r="G476" t="n">
        <v>3</v>
      </c>
      <c r="H476" t="n">
        <v>0</v>
      </c>
      <c r="I476" t="n">
        <v>0</v>
      </c>
      <c r="J476" t="n">
        <v>0</v>
      </c>
      <c r="K476" t="n">
        <v>0</v>
      </c>
      <c r="L476" t="n">
        <v>0</v>
      </c>
      <c r="M476" t="n">
        <v>0</v>
      </c>
      <c r="N476" t="n">
        <v>0</v>
      </c>
      <c r="O476" t="n">
        <v>0</v>
      </c>
      <c r="P476" t="n">
        <v>0</v>
      </c>
      <c r="Q476" t="n">
        <v>0</v>
      </c>
      <c r="R476" s="2" t="inlineStr"/>
    </row>
    <row r="477" ht="15" customHeight="1">
      <c r="A477" t="inlineStr">
        <is>
          <t>A 40829-2025</t>
        </is>
      </c>
      <c r="B477" s="1" t="n">
        <v>45897.50802083333</v>
      </c>
      <c r="C477" s="1" t="n">
        <v>46114</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40837-2025</t>
        </is>
      </c>
      <c r="B478" s="1" t="n">
        <v>45897.51328703704</v>
      </c>
      <c r="C478" s="1" t="n">
        <v>46114</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40529-2025</t>
        </is>
      </c>
      <c r="B479" s="1" t="n">
        <v>45896.38466435186</v>
      </c>
      <c r="C479" s="1" t="n">
        <v>46114</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40831-2025</t>
        </is>
      </c>
      <c r="B480" s="1" t="n">
        <v>45897.51077546296</v>
      </c>
      <c r="C480" s="1" t="n">
        <v>46114</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34444-2024</t>
        </is>
      </c>
      <c r="B481" s="1" t="n">
        <v>45525</v>
      </c>
      <c r="C481" s="1" t="n">
        <v>46114</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51061-2023</t>
        </is>
      </c>
      <c r="B482" s="1" t="n">
        <v>45218.65849537037</v>
      </c>
      <c r="C482" s="1" t="n">
        <v>46114</v>
      </c>
      <c r="D482" t="inlineStr">
        <is>
          <t>STOCKHOLMS LÄN</t>
        </is>
      </c>
      <c r="E482" t="inlineStr">
        <is>
          <t>NORRTÄLJE</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22697-2022</t>
        </is>
      </c>
      <c r="B483" s="1" t="n">
        <v>44714.56040509259</v>
      </c>
      <c r="C483" s="1" t="n">
        <v>46114</v>
      </c>
      <c r="D483" t="inlineStr">
        <is>
          <t>STOCKHOLMS LÄN</t>
        </is>
      </c>
      <c r="E483" t="inlineStr">
        <is>
          <t>NORRTÄLJE</t>
        </is>
      </c>
      <c r="G483" t="n">
        <v>5.6</v>
      </c>
      <c r="H483" t="n">
        <v>0</v>
      </c>
      <c r="I483" t="n">
        <v>0</v>
      </c>
      <c r="J483" t="n">
        <v>0</v>
      </c>
      <c r="K483" t="n">
        <v>0</v>
      </c>
      <c r="L483" t="n">
        <v>0</v>
      </c>
      <c r="M483" t="n">
        <v>0</v>
      </c>
      <c r="N483" t="n">
        <v>0</v>
      </c>
      <c r="O483" t="n">
        <v>0</v>
      </c>
      <c r="P483" t="n">
        <v>0</v>
      </c>
      <c r="Q483" t="n">
        <v>0</v>
      </c>
      <c r="R483" s="2" t="inlineStr"/>
    </row>
    <row r="484" ht="15" customHeight="1">
      <c r="A484" t="inlineStr">
        <is>
          <t>A 20698-2025</t>
        </is>
      </c>
      <c r="B484" s="1" t="n">
        <v>45776.47122685185</v>
      </c>
      <c r="C484" s="1" t="n">
        <v>46114</v>
      </c>
      <c r="D484" t="inlineStr">
        <is>
          <t>STOCKHOLMS LÄN</t>
        </is>
      </c>
      <c r="E484" t="inlineStr">
        <is>
          <t>NORRTÄLJE</t>
        </is>
      </c>
      <c r="G484" t="n">
        <v>1.7</v>
      </c>
      <c r="H484" t="n">
        <v>0</v>
      </c>
      <c r="I484" t="n">
        <v>0</v>
      </c>
      <c r="J484" t="n">
        <v>0</v>
      </c>
      <c r="K484" t="n">
        <v>0</v>
      </c>
      <c r="L484" t="n">
        <v>0</v>
      </c>
      <c r="M484" t="n">
        <v>0</v>
      </c>
      <c r="N484" t="n">
        <v>0</v>
      </c>
      <c r="O484" t="n">
        <v>0</v>
      </c>
      <c r="P484" t="n">
        <v>0</v>
      </c>
      <c r="Q484" t="n">
        <v>0</v>
      </c>
      <c r="R484" s="2" t="inlineStr"/>
    </row>
    <row r="485" ht="15" customHeight="1">
      <c r="A485" t="inlineStr">
        <is>
          <t>A 45549-2022</t>
        </is>
      </c>
      <c r="B485" s="1" t="n">
        <v>44845.48064814815</v>
      </c>
      <c r="C485" s="1" t="n">
        <v>46114</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54396-2021</t>
        </is>
      </c>
      <c r="B486" s="1" t="n">
        <v>44472</v>
      </c>
      <c r="C486" s="1" t="n">
        <v>46114</v>
      </c>
      <c r="D486" t="inlineStr">
        <is>
          <t>STOCKHOLMS LÄN</t>
        </is>
      </c>
      <c r="E486" t="inlineStr">
        <is>
          <t>NORRTÄLJE</t>
        </is>
      </c>
      <c r="G486" t="n">
        <v>2.6</v>
      </c>
      <c r="H486" t="n">
        <v>0</v>
      </c>
      <c r="I486" t="n">
        <v>0</v>
      </c>
      <c r="J486" t="n">
        <v>0</v>
      </c>
      <c r="K486" t="n">
        <v>0</v>
      </c>
      <c r="L486" t="n">
        <v>0</v>
      </c>
      <c r="M486" t="n">
        <v>0</v>
      </c>
      <c r="N486" t="n">
        <v>0</v>
      </c>
      <c r="O486" t="n">
        <v>0</v>
      </c>
      <c r="P486" t="n">
        <v>0</v>
      </c>
      <c r="Q486" t="n">
        <v>0</v>
      </c>
      <c r="R486" s="2" t="inlineStr"/>
    </row>
    <row r="487" ht="15" customHeight="1">
      <c r="A487" t="inlineStr">
        <is>
          <t>A 24727-2023</t>
        </is>
      </c>
      <c r="B487" s="1" t="n">
        <v>45084.57695601852</v>
      </c>
      <c r="C487" s="1" t="n">
        <v>46114</v>
      </c>
      <c r="D487" t="inlineStr">
        <is>
          <t>STOCKHOLMS LÄN</t>
        </is>
      </c>
      <c r="E487" t="inlineStr">
        <is>
          <t>NORRTÄLJE</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48722-2023</t>
        </is>
      </c>
      <c r="B488" s="1" t="n">
        <v>45208.70996527778</v>
      </c>
      <c r="C488" s="1" t="n">
        <v>46114</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35235-2024</t>
        </is>
      </c>
      <c r="B489" s="1" t="n">
        <v>45530</v>
      </c>
      <c r="C489" s="1" t="n">
        <v>46114</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1448-2023</t>
        </is>
      </c>
      <c r="B490" s="1" t="n">
        <v>44937</v>
      </c>
      <c r="C490" s="1" t="n">
        <v>46114</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41158-2025</t>
        </is>
      </c>
      <c r="B491" s="1" t="n">
        <v>45898.5315625</v>
      </c>
      <c r="C491" s="1" t="n">
        <v>46114</v>
      </c>
      <c r="D491" t="inlineStr">
        <is>
          <t>STOCKHOLMS LÄN</t>
        </is>
      </c>
      <c r="E491" t="inlineStr">
        <is>
          <t>NORRTÄLJE</t>
        </is>
      </c>
      <c r="G491" t="n">
        <v>1.1</v>
      </c>
      <c r="H491" t="n">
        <v>0</v>
      </c>
      <c r="I491" t="n">
        <v>0</v>
      </c>
      <c r="J491" t="n">
        <v>0</v>
      </c>
      <c r="K491" t="n">
        <v>0</v>
      </c>
      <c r="L491" t="n">
        <v>0</v>
      </c>
      <c r="M491" t="n">
        <v>0</v>
      </c>
      <c r="N491" t="n">
        <v>0</v>
      </c>
      <c r="O491" t="n">
        <v>0</v>
      </c>
      <c r="P491" t="n">
        <v>0</v>
      </c>
      <c r="Q491" t="n">
        <v>0</v>
      </c>
      <c r="R491" s="2" t="inlineStr"/>
    </row>
    <row r="492" ht="15" customHeight="1">
      <c r="A492" t="inlineStr">
        <is>
          <t>A 22232-2024</t>
        </is>
      </c>
      <c r="B492" s="1" t="n">
        <v>45446.4287962963</v>
      </c>
      <c r="C492" s="1" t="n">
        <v>46114</v>
      </c>
      <c r="D492" t="inlineStr">
        <is>
          <t>STOCKHOLMS LÄN</t>
        </is>
      </c>
      <c r="E492" t="inlineStr">
        <is>
          <t>NORRTÄLJE</t>
        </is>
      </c>
      <c r="G492" t="n">
        <v>12.8</v>
      </c>
      <c r="H492" t="n">
        <v>0</v>
      </c>
      <c r="I492" t="n">
        <v>0</v>
      </c>
      <c r="J492" t="n">
        <v>0</v>
      </c>
      <c r="K492" t="n">
        <v>0</v>
      </c>
      <c r="L492" t="n">
        <v>0</v>
      </c>
      <c r="M492" t="n">
        <v>0</v>
      </c>
      <c r="N492" t="n">
        <v>0</v>
      </c>
      <c r="O492" t="n">
        <v>0</v>
      </c>
      <c r="P492" t="n">
        <v>0</v>
      </c>
      <c r="Q492" t="n">
        <v>0</v>
      </c>
      <c r="R492" s="2" t="inlineStr"/>
    </row>
    <row r="493" ht="15" customHeight="1">
      <c r="A493" t="inlineStr">
        <is>
          <t>A 15733-2025</t>
        </is>
      </c>
      <c r="B493" s="1" t="n">
        <v>45748</v>
      </c>
      <c r="C493" s="1" t="n">
        <v>46114</v>
      </c>
      <c r="D493" t="inlineStr">
        <is>
          <t>STOCKHOLMS LÄN</t>
        </is>
      </c>
      <c r="E493" t="inlineStr">
        <is>
          <t>NORRTÄLJE</t>
        </is>
      </c>
      <c r="G493" t="n">
        <v>13.3</v>
      </c>
      <c r="H493" t="n">
        <v>0</v>
      </c>
      <c r="I493" t="n">
        <v>0</v>
      </c>
      <c r="J493" t="n">
        <v>0</v>
      </c>
      <c r="K493" t="n">
        <v>0</v>
      </c>
      <c r="L493" t="n">
        <v>0</v>
      </c>
      <c r="M493" t="n">
        <v>0</v>
      </c>
      <c r="N493" t="n">
        <v>0</v>
      </c>
      <c r="O493" t="n">
        <v>0</v>
      </c>
      <c r="P493" t="n">
        <v>0</v>
      </c>
      <c r="Q493" t="n">
        <v>0</v>
      </c>
      <c r="R493" s="2" t="inlineStr"/>
    </row>
    <row r="494" ht="15" customHeight="1">
      <c r="A494" t="inlineStr">
        <is>
          <t>A 8736-2024</t>
        </is>
      </c>
      <c r="B494" s="1" t="n">
        <v>45356.4722800926</v>
      </c>
      <c r="C494" s="1" t="n">
        <v>46114</v>
      </c>
      <c r="D494" t="inlineStr">
        <is>
          <t>STOCKHOLMS LÄN</t>
        </is>
      </c>
      <c r="E494" t="inlineStr">
        <is>
          <t>NORRTÄLJE</t>
        </is>
      </c>
      <c r="G494" t="n">
        <v>8.9</v>
      </c>
      <c r="H494" t="n">
        <v>0</v>
      </c>
      <c r="I494" t="n">
        <v>0</v>
      </c>
      <c r="J494" t="n">
        <v>0</v>
      </c>
      <c r="K494" t="n">
        <v>0</v>
      </c>
      <c r="L494" t="n">
        <v>0</v>
      </c>
      <c r="M494" t="n">
        <v>0</v>
      </c>
      <c r="N494" t="n">
        <v>0</v>
      </c>
      <c r="O494" t="n">
        <v>0</v>
      </c>
      <c r="P494" t="n">
        <v>0</v>
      </c>
      <c r="Q494" t="n">
        <v>0</v>
      </c>
      <c r="R494" s="2" t="inlineStr"/>
    </row>
    <row r="495" ht="15" customHeight="1">
      <c r="A495" t="inlineStr">
        <is>
          <t>A 36396-2025</t>
        </is>
      </c>
      <c r="B495" s="1" t="n">
        <v>45868.62267361111</v>
      </c>
      <c r="C495" s="1" t="n">
        <v>46114</v>
      </c>
      <c r="D495" t="inlineStr">
        <is>
          <t>STOCKHOLMS LÄN</t>
        </is>
      </c>
      <c r="E495" t="inlineStr">
        <is>
          <t>NORRTÄLJE</t>
        </is>
      </c>
      <c r="G495" t="n">
        <v>4.1</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46114</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41053-2025</t>
        </is>
      </c>
      <c r="B497" s="1" t="n">
        <v>45898.40480324074</v>
      </c>
      <c r="C497" s="1" t="n">
        <v>46114</v>
      </c>
      <c r="D497" t="inlineStr">
        <is>
          <t>STOCKHOLMS LÄN</t>
        </is>
      </c>
      <c r="E497" t="inlineStr">
        <is>
          <t>NORRTÄLJE</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46114</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46114</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33149-2022</t>
        </is>
      </c>
      <c r="B500" s="1" t="n">
        <v>44785</v>
      </c>
      <c r="C500" s="1" t="n">
        <v>46114</v>
      </c>
      <c r="D500" t="inlineStr">
        <is>
          <t>STOCKHOLMS LÄN</t>
        </is>
      </c>
      <c r="E500" t="inlineStr">
        <is>
          <t>NORRTÄLJE</t>
        </is>
      </c>
      <c r="F500" t="inlineStr">
        <is>
          <t>Holmen skog AB</t>
        </is>
      </c>
      <c r="G500" t="n">
        <v>4.4</v>
      </c>
      <c r="H500" t="n">
        <v>0</v>
      </c>
      <c r="I500" t="n">
        <v>0</v>
      </c>
      <c r="J500" t="n">
        <v>0</v>
      </c>
      <c r="K500" t="n">
        <v>0</v>
      </c>
      <c r="L500" t="n">
        <v>0</v>
      </c>
      <c r="M500" t="n">
        <v>0</v>
      </c>
      <c r="N500" t="n">
        <v>0</v>
      </c>
      <c r="O500" t="n">
        <v>0</v>
      </c>
      <c r="P500" t="n">
        <v>0</v>
      </c>
      <c r="Q500" t="n">
        <v>0</v>
      </c>
      <c r="R500" s="2" t="inlineStr"/>
    </row>
    <row r="501" ht="15" customHeight="1">
      <c r="A501" t="inlineStr">
        <is>
          <t>A 41301-2025</t>
        </is>
      </c>
      <c r="B501" s="1" t="n">
        <v>45898.68826388889</v>
      </c>
      <c r="C501" s="1" t="n">
        <v>46114</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41174-2025</t>
        </is>
      </c>
      <c r="B502" s="1" t="n">
        <v>45898.54921296296</v>
      </c>
      <c r="C502" s="1" t="n">
        <v>46114</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41030-2025</t>
        </is>
      </c>
      <c r="B503" s="1" t="n">
        <v>45898.37636574074</v>
      </c>
      <c r="C503" s="1" t="n">
        <v>46114</v>
      </c>
      <c r="D503" t="inlineStr">
        <is>
          <t>STOCKHOLMS LÄN</t>
        </is>
      </c>
      <c r="E503" t="inlineStr">
        <is>
          <t>NORRTÄLJE</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41036-2025</t>
        </is>
      </c>
      <c r="B504" s="1" t="n">
        <v>45898.38552083333</v>
      </c>
      <c r="C504" s="1" t="n">
        <v>46114</v>
      </c>
      <c r="D504" t="inlineStr">
        <is>
          <t>STOCKHOLMS LÄN</t>
        </is>
      </c>
      <c r="E504" t="inlineStr">
        <is>
          <t>NORRTÄLJE</t>
        </is>
      </c>
      <c r="F504" t="inlineStr">
        <is>
          <t>Holmen skog AB</t>
        </is>
      </c>
      <c r="G504" t="n">
        <v>2.7</v>
      </c>
      <c r="H504" t="n">
        <v>0</v>
      </c>
      <c r="I504" t="n">
        <v>0</v>
      </c>
      <c r="J504" t="n">
        <v>0</v>
      </c>
      <c r="K504" t="n">
        <v>0</v>
      </c>
      <c r="L504" t="n">
        <v>0</v>
      </c>
      <c r="M504" t="n">
        <v>0</v>
      </c>
      <c r="N504" t="n">
        <v>0</v>
      </c>
      <c r="O504" t="n">
        <v>0</v>
      </c>
      <c r="P504" t="n">
        <v>0</v>
      </c>
      <c r="Q504" t="n">
        <v>0</v>
      </c>
      <c r="R504" s="2" t="inlineStr"/>
    </row>
    <row r="505" ht="15" customHeight="1">
      <c r="A505" t="inlineStr">
        <is>
          <t>A 41106-2025</t>
        </is>
      </c>
      <c r="B505" s="1" t="n">
        <v>45898.45636574074</v>
      </c>
      <c r="C505" s="1" t="n">
        <v>46114</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41110-2025</t>
        </is>
      </c>
      <c r="B506" s="1" t="n">
        <v>45898.45976851852</v>
      </c>
      <c r="C506" s="1" t="n">
        <v>46114</v>
      </c>
      <c r="D506" t="inlineStr">
        <is>
          <t>STOCKHOLMS LÄN</t>
        </is>
      </c>
      <c r="E506" t="inlineStr">
        <is>
          <t>NORRTÄLJE</t>
        </is>
      </c>
      <c r="F506" t="inlineStr">
        <is>
          <t>Holmen skog AB</t>
        </is>
      </c>
      <c r="G506" t="n">
        <v>6.7</v>
      </c>
      <c r="H506" t="n">
        <v>0</v>
      </c>
      <c r="I506" t="n">
        <v>0</v>
      </c>
      <c r="J506" t="n">
        <v>0</v>
      </c>
      <c r="K506" t="n">
        <v>0</v>
      </c>
      <c r="L506" t="n">
        <v>0</v>
      </c>
      <c r="M506" t="n">
        <v>0</v>
      </c>
      <c r="N506" t="n">
        <v>0</v>
      </c>
      <c r="O506" t="n">
        <v>0</v>
      </c>
      <c r="P506" t="n">
        <v>0</v>
      </c>
      <c r="Q506" t="n">
        <v>0</v>
      </c>
      <c r="R506" s="2" t="inlineStr"/>
    </row>
    <row r="507" ht="15" customHeight="1">
      <c r="A507" t="inlineStr">
        <is>
          <t>A 41259-2025</t>
        </is>
      </c>
      <c r="B507" s="1" t="n">
        <v>45898.61054398148</v>
      </c>
      <c r="C507" s="1" t="n">
        <v>46114</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10511-2025</t>
        </is>
      </c>
      <c r="B508" s="1" t="n">
        <v>45721.40780092592</v>
      </c>
      <c r="C508" s="1" t="n">
        <v>46114</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19057-2024</t>
        </is>
      </c>
      <c r="B509" s="1" t="n">
        <v>45427.88731481481</v>
      </c>
      <c r="C509" s="1" t="n">
        <v>46114</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41966-2025</t>
        </is>
      </c>
      <c r="B510" s="1" t="n">
        <v>45903.47456018518</v>
      </c>
      <c r="C510" s="1" t="n">
        <v>46114</v>
      </c>
      <c r="D510" t="inlineStr">
        <is>
          <t>STOCKHOLMS LÄN</t>
        </is>
      </c>
      <c r="E510" t="inlineStr">
        <is>
          <t>NORRTÄLJE</t>
        </is>
      </c>
      <c r="F510" t="inlineStr">
        <is>
          <t>Sveaskog</t>
        </is>
      </c>
      <c r="G510" t="n">
        <v>3.7</v>
      </c>
      <c r="H510" t="n">
        <v>0</v>
      </c>
      <c r="I510" t="n">
        <v>0</v>
      </c>
      <c r="J510" t="n">
        <v>0</v>
      </c>
      <c r="K510" t="n">
        <v>0</v>
      </c>
      <c r="L510" t="n">
        <v>0</v>
      </c>
      <c r="M510" t="n">
        <v>0</v>
      </c>
      <c r="N510" t="n">
        <v>0</v>
      </c>
      <c r="O510" t="n">
        <v>0</v>
      </c>
      <c r="P510" t="n">
        <v>0</v>
      </c>
      <c r="Q510" t="n">
        <v>0</v>
      </c>
      <c r="R510" s="2" t="inlineStr"/>
    </row>
    <row r="511" ht="15" customHeight="1">
      <c r="A511" t="inlineStr">
        <is>
          <t>A 6537-2024</t>
        </is>
      </c>
      <c r="B511" s="1" t="n">
        <v>45341.39853009259</v>
      </c>
      <c r="C511" s="1" t="n">
        <v>46114</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42038-2025</t>
        </is>
      </c>
      <c r="B512" s="1" t="n">
        <v>45903.61431712963</v>
      </c>
      <c r="C512" s="1" t="n">
        <v>46114</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40175-2024</t>
        </is>
      </c>
      <c r="B513" s="1" t="n">
        <v>45554.55707175926</v>
      </c>
      <c r="C513" s="1" t="n">
        <v>46114</v>
      </c>
      <c r="D513" t="inlineStr">
        <is>
          <t>STOCKHOLMS LÄN</t>
        </is>
      </c>
      <c r="E513" t="inlineStr">
        <is>
          <t>NORRTÄLJE</t>
        </is>
      </c>
      <c r="G513" t="n">
        <v>7.7</v>
      </c>
      <c r="H513" t="n">
        <v>0</v>
      </c>
      <c r="I513" t="n">
        <v>0</v>
      </c>
      <c r="J513" t="n">
        <v>0</v>
      </c>
      <c r="K513" t="n">
        <v>0</v>
      </c>
      <c r="L513" t="n">
        <v>0</v>
      </c>
      <c r="M513" t="n">
        <v>0</v>
      </c>
      <c r="N513" t="n">
        <v>0</v>
      </c>
      <c r="O513" t="n">
        <v>0</v>
      </c>
      <c r="P513" t="n">
        <v>0</v>
      </c>
      <c r="Q513" t="n">
        <v>0</v>
      </c>
      <c r="R513" s="2" t="inlineStr"/>
    </row>
    <row r="514" ht="15" customHeight="1">
      <c r="A514" t="inlineStr">
        <is>
          <t>A 54558-2024</t>
        </is>
      </c>
      <c r="B514" s="1" t="n">
        <v>45617.62358796296</v>
      </c>
      <c r="C514" s="1" t="n">
        <v>46114</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37261-2025</t>
        </is>
      </c>
      <c r="B515" s="1" t="n">
        <v>45876.45253472222</v>
      </c>
      <c r="C515" s="1" t="n">
        <v>46114</v>
      </c>
      <c r="D515" t="inlineStr">
        <is>
          <t>STOCKHOLMS LÄN</t>
        </is>
      </c>
      <c r="E515" t="inlineStr">
        <is>
          <t>NORRTÄLJE</t>
        </is>
      </c>
      <c r="F515" t="inlineStr">
        <is>
          <t>Kommuner</t>
        </is>
      </c>
      <c r="G515" t="n">
        <v>2.2</v>
      </c>
      <c r="H515" t="n">
        <v>0</v>
      </c>
      <c r="I515" t="n">
        <v>0</v>
      </c>
      <c r="J515" t="n">
        <v>0</v>
      </c>
      <c r="K515" t="n">
        <v>0</v>
      </c>
      <c r="L515" t="n">
        <v>0</v>
      </c>
      <c r="M515" t="n">
        <v>0</v>
      </c>
      <c r="N515" t="n">
        <v>0</v>
      </c>
      <c r="O515" t="n">
        <v>0</v>
      </c>
      <c r="P515" t="n">
        <v>0</v>
      </c>
      <c r="Q515" t="n">
        <v>0</v>
      </c>
      <c r="R515" s="2" t="inlineStr"/>
    </row>
    <row r="516" ht="15" customHeight="1">
      <c r="A516" t="inlineStr">
        <is>
          <t>A 23056-2023</t>
        </is>
      </c>
      <c r="B516" s="1" t="n">
        <v>45075</v>
      </c>
      <c r="C516" s="1" t="n">
        <v>46114</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47431-2023</t>
        </is>
      </c>
      <c r="B517" s="1" t="n">
        <v>45202</v>
      </c>
      <c r="C517" s="1" t="n">
        <v>46114</v>
      </c>
      <c r="D517" t="inlineStr">
        <is>
          <t>STOCKHOLMS LÄN</t>
        </is>
      </c>
      <c r="E517" t="inlineStr">
        <is>
          <t>NORRTÄLJE</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41964-2025</t>
        </is>
      </c>
      <c r="B518" s="1" t="n">
        <v>45903.47270833333</v>
      </c>
      <c r="C518" s="1" t="n">
        <v>46114</v>
      </c>
      <c r="D518" t="inlineStr">
        <is>
          <t>STOCKHOLMS LÄN</t>
        </is>
      </c>
      <c r="E518" t="inlineStr">
        <is>
          <t>NORRTÄLJE</t>
        </is>
      </c>
      <c r="F518" t="inlineStr">
        <is>
          <t>Sveaskog</t>
        </is>
      </c>
      <c r="G518" t="n">
        <v>4</v>
      </c>
      <c r="H518" t="n">
        <v>0</v>
      </c>
      <c r="I518" t="n">
        <v>0</v>
      </c>
      <c r="J518" t="n">
        <v>0</v>
      </c>
      <c r="K518" t="n">
        <v>0</v>
      </c>
      <c r="L518" t="n">
        <v>0</v>
      </c>
      <c r="M518" t="n">
        <v>0</v>
      </c>
      <c r="N518" t="n">
        <v>0</v>
      </c>
      <c r="O518" t="n">
        <v>0</v>
      </c>
      <c r="P518" t="n">
        <v>0</v>
      </c>
      <c r="Q518" t="n">
        <v>0</v>
      </c>
      <c r="R518" s="2" t="inlineStr"/>
    </row>
    <row r="519" ht="15" customHeight="1">
      <c r="A519" t="inlineStr">
        <is>
          <t>A 59499-2023</t>
        </is>
      </c>
      <c r="B519" s="1" t="n">
        <v>45254</v>
      </c>
      <c r="C519" s="1" t="n">
        <v>46114</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59468-2023</t>
        </is>
      </c>
      <c r="B520" s="1" t="n">
        <v>45254.41509259259</v>
      </c>
      <c r="C520" s="1" t="n">
        <v>46114</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12532-2025</t>
        </is>
      </c>
      <c r="B521" s="1" t="n">
        <v>45730.69143518519</v>
      </c>
      <c r="C521" s="1" t="n">
        <v>46114</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5732-2023</t>
        </is>
      </c>
      <c r="B522" s="1" t="n">
        <v>44962</v>
      </c>
      <c r="C522" s="1" t="n">
        <v>46114</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10653-2022</t>
        </is>
      </c>
      <c r="B523" s="1" t="n">
        <v>44624.59434027778</v>
      </c>
      <c r="C523" s="1" t="n">
        <v>46114</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21729-2024</t>
        </is>
      </c>
      <c r="B524" s="1" t="n">
        <v>45442</v>
      </c>
      <c r="C524" s="1" t="n">
        <v>46114</v>
      </c>
      <c r="D524" t="inlineStr">
        <is>
          <t>STOCKHOLMS LÄN</t>
        </is>
      </c>
      <c r="E524" t="inlineStr">
        <is>
          <t>NORRTÄLJE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30699-2025</t>
        </is>
      </c>
      <c r="B525" s="1" t="n">
        <v>45831.54618055555</v>
      </c>
      <c r="C525" s="1" t="n">
        <v>46114</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37628-2025</t>
        </is>
      </c>
      <c r="B526" s="1" t="n">
        <v>45880.46189814815</v>
      </c>
      <c r="C526" s="1" t="n">
        <v>46114</v>
      </c>
      <c r="D526" t="inlineStr">
        <is>
          <t>STOCKHOLMS LÄN</t>
        </is>
      </c>
      <c r="E526" t="inlineStr">
        <is>
          <t>NORRTÄLJE</t>
        </is>
      </c>
      <c r="F526" t="inlineStr">
        <is>
          <t>Sveaskog</t>
        </is>
      </c>
      <c r="G526" t="n">
        <v>2.6</v>
      </c>
      <c r="H526" t="n">
        <v>0</v>
      </c>
      <c r="I526" t="n">
        <v>0</v>
      </c>
      <c r="J526" t="n">
        <v>0</v>
      </c>
      <c r="K526" t="n">
        <v>0</v>
      </c>
      <c r="L526" t="n">
        <v>0</v>
      </c>
      <c r="M526" t="n">
        <v>0</v>
      </c>
      <c r="N526" t="n">
        <v>0</v>
      </c>
      <c r="O526" t="n">
        <v>0</v>
      </c>
      <c r="P526" t="n">
        <v>0</v>
      </c>
      <c r="Q526" t="n">
        <v>0</v>
      </c>
      <c r="R526" s="2" t="inlineStr"/>
    </row>
    <row r="527" ht="15" customHeight="1">
      <c r="A527" t="inlineStr">
        <is>
          <t>A 29369-2024</t>
        </is>
      </c>
      <c r="B527" s="1" t="n">
        <v>45483.57244212963</v>
      </c>
      <c r="C527" s="1" t="n">
        <v>46114</v>
      </c>
      <c r="D527" t="inlineStr">
        <is>
          <t>STOCKHOLMS LÄN</t>
        </is>
      </c>
      <c r="E527" t="inlineStr">
        <is>
          <t>NORRTÄLJE</t>
        </is>
      </c>
      <c r="G527" t="n">
        <v>15.9</v>
      </c>
      <c r="H527" t="n">
        <v>0</v>
      </c>
      <c r="I527" t="n">
        <v>0</v>
      </c>
      <c r="J527" t="n">
        <v>0</v>
      </c>
      <c r="K527" t="n">
        <v>0</v>
      </c>
      <c r="L527" t="n">
        <v>0</v>
      </c>
      <c r="M527" t="n">
        <v>0</v>
      </c>
      <c r="N527" t="n">
        <v>0</v>
      </c>
      <c r="O527" t="n">
        <v>0</v>
      </c>
      <c r="P527" t="n">
        <v>0</v>
      </c>
      <c r="Q527" t="n">
        <v>0</v>
      </c>
      <c r="R527" s="2" t="inlineStr"/>
    </row>
    <row r="528" ht="15" customHeight="1">
      <c r="A528" t="inlineStr">
        <is>
          <t>A 37632-2025</t>
        </is>
      </c>
      <c r="B528" s="1" t="n">
        <v>45880.46524305556</v>
      </c>
      <c r="C528" s="1" t="n">
        <v>46114</v>
      </c>
      <c r="D528" t="inlineStr">
        <is>
          <t>STOCKHOLMS LÄN</t>
        </is>
      </c>
      <c r="E528" t="inlineStr">
        <is>
          <t>NORRTÄLJE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11854-2025</t>
        </is>
      </c>
      <c r="B529" s="1" t="n">
        <v>45728.38924768518</v>
      </c>
      <c r="C529" s="1" t="n">
        <v>46114</v>
      </c>
      <c r="D529" t="inlineStr">
        <is>
          <t>STOCKHOLMS LÄN</t>
        </is>
      </c>
      <c r="E529" t="inlineStr">
        <is>
          <t>NORRTÄLJE</t>
        </is>
      </c>
      <c r="G529" t="n">
        <v>1.4</v>
      </c>
      <c r="H529" t="n">
        <v>0</v>
      </c>
      <c r="I529" t="n">
        <v>0</v>
      </c>
      <c r="J529" t="n">
        <v>0</v>
      </c>
      <c r="K529" t="n">
        <v>0</v>
      </c>
      <c r="L529" t="n">
        <v>0</v>
      </c>
      <c r="M529" t="n">
        <v>0</v>
      </c>
      <c r="N529" t="n">
        <v>0</v>
      </c>
      <c r="O529" t="n">
        <v>0</v>
      </c>
      <c r="P529" t="n">
        <v>0</v>
      </c>
      <c r="Q529" t="n">
        <v>0</v>
      </c>
      <c r="R529" s="2" t="inlineStr"/>
    </row>
    <row r="530" ht="15" customHeight="1">
      <c r="A530" t="inlineStr">
        <is>
          <t>A 29841-2024</t>
        </is>
      </c>
      <c r="B530" s="1" t="n">
        <v>45485.60261574074</v>
      </c>
      <c r="C530" s="1" t="n">
        <v>46114</v>
      </c>
      <c r="D530" t="inlineStr">
        <is>
          <t>STOCKHOLMS LÄN</t>
        </is>
      </c>
      <c r="E530" t="inlineStr">
        <is>
          <t>NORRTÄLJE</t>
        </is>
      </c>
      <c r="G530" t="n">
        <v>15.9</v>
      </c>
      <c r="H530" t="n">
        <v>0</v>
      </c>
      <c r="I530" t="n">
        <v>0</v>
      </c>
      <c r="J530" t="n">
        <v>0</v>
      </c>
      <c r="K530" t="n">
        <v>0</v>
      </c>
      <c r="L530" t="n">
        <v>0</v>
      </c>
      <c r="M530" t="n">
        <v>0</v>
      </c>
      <c r="N530" t="n">
        <v>0</v>
      </c>
      <c r="O530" t="n">
        <v>0</v>
      </c>
      <c r="P530" t="n">
        <v>0</v>
      </c>
      <c r="Q530" t="n">
        <v>0</v>
      </c>
      <c r="R530" s="2" t="inlineStr"/>
    </row>
    <row r="531" ht="15" customHeight="1">
      <c r="A531" t="inlineStr">
        <is>
          <t>A 14762-2024</t>
        </is>
      </c>
      <c r="B531" s="1" t="n">
        <v>45397</v>
      </c>
      <c r="C531" s="1" t="n">
        <v>46114</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20692-2025</t>
        </is>
      </c>
      <c r="B532" s="1" t="n">
        <v>45776.46369212963</v>
      </c>
      <c r="C532" s="1" t="n">
        <v>46114</v>
      </c>
      <c r="D532" t="inlineStr">
        <is>
          <t>STOCKHOLMS LÄN</t>
        </is>
      </c>
      <c r="E532" t="inlineStr">
        <is>
          <t>NORRTÄLJE</t>
        </is>
      </c>
      <c r="G532" t="n">
        <v>2.1</v>
      </c>
      <c r="H532" t="n">
        <v>0</v>
      </c>
      <c r="I532" t="n">
        <v>0</v>
      </c>
      <c r="J532" t="n">
        <v>0</v>
      </c>
      <c r="K532" t="n">
        <v>0</v>
      </c>
      <c r="L532" t="n">
        <v>0</v>
      </c>
      <c r="M532" t="n">
        <v>0</v>
      </c>
      <c r="N532" t="n">
        <v>0</v>
      </c>
      <c r="O532" t="n">
        <v>0</v>
      </c>
      <c r="P532" t="n">
        <v>0</v>
      </c>
      <c r="Q532" t="n">
        <v>0</v>
      </c>
      <c r="R532" s="2" t="inlineStr"/>
    </row>
    <row r="533" ht="15" customHeight="1">
      <c r="A533" t="inlineStr">
        <is>
          <t>A 20011-2025</t>
        </is>
      </c>
      <c r="B533" s="1" t="n">
        <v>45772.29622685185</v>
      </c>
      <c r="C533" s="1" t="n">
        <v>46114</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37630-2025</t>
        </is>
      </c>
      <c r="B534" s="1" t="n">
        <v>45880.46372685185</v>
      </c>
      <c r="C534" s="1" t="n">
        <v>46114</v>
      </c>
      <c r="D534" t="inlineStr">
        <is>
          <t>STOCKHOLMS LÄN</t>
        </is>
      </c>
      <c r="E534" t="inlineStr">
        <is>
          <t>NORRTÄLJE</t>
        </is>
      </c>
      <c r="F534" t="inlineStr">
        <is>
          <t>Sveaskog</t>
        </is>
      </c>
      <c r="G534" t="n">
        <v>12.9</v>
      </c>
      <c r="H534" t="n">
        <v>0</v>
      </c>
      <c r="I534" t="n">
        <v>0</v>
      </c>
      <c r="J534" t="n">
        <v>0</v>
      </c>
      <c r="K534" t="n">
        <v>0</v>
      </c>
      <c r="L534" t="n">
        <v>0</v>
      </c>
      <c r="M534" t="n">
        <v>0</v>
      </c>
      <c r="N534" t="n">
        <v>0</v>
      </c>
      <c r="O534" t="n">
        <v>0</v>
      </c>
      <c r="P534" t="n">
        <v>0</v>
      </c>
      <c r="Q534" t="n">
        <v>0</v>
      </c>
      <c r="R534" s="2" t="inlineStr"/>
    </row>
    <row r="535" ht="15" customHeight="1">
      <c r="A535" t="inlineStr">
        <is>
          <t>A 42856-2025</t>
        </is>
      </c>
      <c r="B535" s="1" t="n">
        <v>45908</v>
      </c>
      <c r="C535" s="1" t="n">
        <v>46114</v>
      </c>
      <c r="D535" t="inlineStr">
        <is>
          <t>STOCKHOLMS LÄN</t>
        </is>
      </c>
      <c r="E535" t="inlineStr">
        <is>
          <t>NORRTÄLJE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59712-2024</t>
        </is>
      </c>
      <c r="B536" s="1" t="n">
        <v>45639.45166666667</v>
      </c>
      <c r="C536" s="1" t="n">
        <v>46114</v>
      </c>
      <c r="D536" t="inlineStr">
        <is>
          <t>STOCKHOLMS LÄN</t>
        </is>
      </c>
      <c r="E536" t="inlineStr">
        <is>
          <t>NORRTÄLJE</t>
        </is>
      </c>
      <c r="G536" t="n">
        <v>4.4</v>
      </c>
      <c r="H536" t="n">
        <v>0</v>
      </c>
      <c r="I536" t="n">
        <v>0</v>
      </c>
      <c r="J536" t="n">
        <v>0</v>
      </c>
      <c r="K536" t="n">
        <v>0</v>
      </c>
      <c r="L536" t="n">
        <v>0</v>
      </c>
      <c r="M536" t="n">
        <v>0</v>
      </c>
      <c r="N536" t="n">
        <v>0</v>
      </c>
      <c r="O536" t="n">
        <v>0</v>
      </c>
      <c r="P536" t="n">
        <v>0</v>
      </c>
      <c r="Q536" t="n">
        <v>0</v>
      </c>
      <c r="R536" s="2" t="inlineStr"/>
    </row>
    <row r="537" ht="15" customHeight="1">
      <c r="A537" t="inlineStr">
        <is>
          <t>A 46071-2024</t>
        </is>
      </c>
      <c r="B537" s="1" t="n">
        <v>45581</v>
      </c>
      <c r="C537" s="1" t="n">
        <v>46114</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35127-2023</t>
        </is>
      </c>
      <c r="B538" s="1" t="n">
        <v>45145.51</v>
      </c>
      <c r="C538" s="1" t="n">
        <v>46114</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13137-2024</t>
        </is>
      </c>
      <c r="B539" s="1" t="n">
        <v>45386.34175925926</v>
      </c>
      <c r="C539" s="1" t="n">
        <v>46114</v>
      </c>
      <c r="D539" t="inlineStr">
        <is>
          <t>STOCKHOLMS LÄN</t>
        </is>
      </c>
      <c r="E539" t="inlineStr">
        <is>
          <t>NORRTÄLJE</t>
        </is>
      </c>
      <c r="G539" t="n">
        <v>5</v>
      </c>
      <c r="H539" t="n">
        <v>0</v>
      </c>
      <c r="I539" t="n">
        <v>0</v>
      </c>
      <c r="J539" t="n">
        <v>0</v>
      </c>
      <c r="K539" t="n">
        <v>0</v>
      </c>
      <c r="L539" t="n">
        <v>0</v>
      </c>
      <c r="M539" t="n">
        <v>0</v>
      </c>
      <c r="N539" t="n">
        <v>0</v>
      </c>
      <c r="O539" t="n">
        <v>0</v>
      </c>
      <c r="P539" t="n">
        <v>0</v>
      </c>
      <c r="Q539" t="n">
        <v>0</v>
      </c>
      <c r="R539" s="2" t="inlineStr"/>
    </row>
    <row r="540" ht="15" customHeight="1">
      <c r="A540" t="inlineStr">
        <is>
          <t>A 24350-2025</t>
        </is>
      </c>
      <c r="B540" s="1" t="n">
        <v>45797.58350694444</v>
      </c>
      <c r="C540" s="1" t="n">
        <v>46114</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26703-2025</t>
        </is>
      </c>
      <c r="B541" s="1" t="n">
        <v>45810.45263888889</v>
      </c>
      <c r="C541" s="1" t="n">
        <v>46114</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45255-2022</t>
        </is>
      </c>
      <c r="B542" s="1" t="n">
        <v>44840</v>
      </c>
      <c r="C542" s="1" t="n">
        <v>46114</v>
      </c>
      <c r="D542" t="inlineStr">
        <is>
          <t>STOCKHOLMS LÄN</t>
        </is>
      </c>
      <c r="E542" t="inlineStr">
        <is>
          <t>NORRTÄLJE</t>
        </is>
      </c>
      <c r="G542" t="n">
        <v>4.1</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46114</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38153-2025</t>
        </is>
      </c>
      <c r="B544" s="1" t="n">
        <v>45882.59722222222</v>
      </c>
      <c r="C544" s="1" t="n">
        <v>46114</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59893-2022</t>
        </is>
      </c>
      <c r="B545" s="1" t="n">
        <v>44908.77368055555</v>
      </c>
      <c r="C545" s="1" t="n">
        <v>46114</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43169-2025</t>
        </is>
      </c>
      <c r="B546" s="1" t="n">
        <v>45910</v>
      </c>
      <c r="C546" s="1" t="n">
        <v>46114</v>
      </c>
      <c r="D546" t="inlineStr">
        <is>
          <t>STOCKHOLMS LÄN</t>
        </is>
      </c>
      <c r="E546" t="inlineStr">
        <is>
          <t>NORRTÄLJE</t>
        </is>
      </c>
      <c r="G546" t="n">
        <v>6.9</v>
      </c>
      <c r="H546" t="n">
        <v>0</v>
      </c>
      <c r="I546" t="n">
        <v>0</v>
      </c>
      <c r="J546" t="n">
        <v>0</v>
      </c>
      <c r="K546" t="n">
        <v>0</v>
      </c>
      <c r="L546" t="n">
        <v>0</v>
      </c>
      <c r="M546" t="n">
        <v>0</v>
      </c>
      <c r="N546" t="n">
        <v>0</v>
      </c>
      <c r="O546" t="n">
        <v>0</v>
      </c>
      <c r="P546" t="n">
        <v>0</v>
      </c>
      <c r="Q546" t="n">
        <v>0</v>
      </c>
      <c r="R546" s="2" t="inlineStr"/>
    </row>
    <row r="547" ht="15" customHeight="1">
      <c r="A547" t="inlineStr">
        <is>
          <t>A 39905-2023</t>
        </is>
      </c>
      <c r="B547" s="1" t="n">
        <v>45168.44489583333</v>
      </c>
      <c r="C547" s="1" t="n">
        <v>46114</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5645-2023</t>
        </is>
      </c>
      <c r="B548" s="1" t="n">
        <v>44960.60469907407</v>
      </c>
      <c r="C548" s="1" t="n">
        <v>46114</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68361-2021</t>
        </is>
      </c>
      <c r="B549" s="1" t="n">
        <v>44528.91494212963</v>
      </c>
      <c r="C549" s="1" t="n">
        <v>46114</v>
      </c>
      <c r="D549" t="inlineStr">
        <is>
          <t>STOCKHOLMS LÄN</t>
        </is>
      </c>
      <c r="E549" t="inlineStr">
        <is>
          <t>NORRTÄLJE</t>
        </is>
      </c>
      <c r="G549" t="n">
        <v>1.9</v>
      </c>
      <c r="H549" t="n">
        <v>0</v>
      </c>
      <c r="I549" t="n">
        <v>0</v>
      </c>
      <c r="J549" t="n">
        <v>0</v>
      </c>
      <c r="K549" t="n">
        <v>0</v>
      </c>
      <c r="L549" t="n">
        <v>0</v>
      </c>
      <c r="M549" t="n">
        <v>0</v>
      </c>
      <c r="N549" t="n">
        <v>0</v>
      </c>
      <c r="O549" t="n">
        <v>0</v>
      </c>
      <c r="P549" t="n">
        <v>0</v>
      </c>
      <c r="Q549" t="n">
        <v>0</v>
      </c>
      <c r="R549" s="2" t="inlineStr"/>
    </row>
    <row r="550" ht="15" customHeight="1">
      <c r="A550" t="inlineStr">
        <is>
          <t>A 60529-2023</t>
        </is>
      </c>
      <c r="B550" s="1" t="n">
        <v>45259</v>
      </c>
      <c r="C550" s="1" t="n">
        <v>46114</v>
      </c>
      <c r="D550" t="inlineStr">
        <is>
          <t>STOCKHOLMS LÄN</t>
        </is>
      </c>
      <c r="E550" t="inlineStr">
        <is>
          <t>NORRTÄLJE</t>
        </is>
      </c>
      <c r="G550" t="n">
        <v>2.6</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46114</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30719-2025</t>
        </is>
      </c>
      <c r="B552" s="1" t="n">
        <v>45831</v>
      </c>
      <c r="C552" s="1" t="n">
        <v>46114</v>
      </c>
      <c r="D552" t="inlineStr">
        <is>
          <t>STOCKHOLMS LÄN</t>
        </is>
      </c>
      <c r="E552" t="inlineStr">
        <is>
          <t>NORRTÄLJE</t>
        </is>
      </c>
      <c r="G552" t="n">
        <v>0.5</v>
      </c>
      <c r="H552" t="n">
        <v>0</v>
      </c>
      <c r="I552" t="n">
        <v>0</v>
      </c>
      <c r="J552" t="n">
        <v>0</v>
      </c>
      <c r="K552" t="n">
        <v>0</v>
      </c>
      <c r="L552" t="n">
        <v>0</v>
      </c>
      <c r="M552" t="n">
        <v>0</v>
      </c>
      <c r="N552" t="n">
        <v>0</v>
      </c>
      <c r="O552" t="n">
        <v>0</v>
      </c>
      <c r="P552" t="n">
        <v>0</v>
      </c>
      <c r="Q552" t="n">
        <v>0</v>
      </c>
      <c r="R552" s="2" t="inlineStr"/>
    </row>
    <row r="553" ht="15" customHeight="1">
      <c r="A553" t="inlineStr">
        <is>
          <t>A 43269-2025</t>
        </is>
      </c>
      <c r="B553" s="1" t="n">
        <v>45910.5819212963</v>
      </c>
      <c r="C553" s="1" t="n">
        <v>46114</v>
      </c>
      <c r="D553" t="inlineStr">
        <is>
          <t>STOCKHOLMS LÄN</t>
        </is>
      </c>
      <c r="E553" t="inlineStr">
        <is>
          <t>NORRTÄLJE</t>
        </is>
      </c>
      <c r="G553" t="n">
        <v>3.7</v>
      </c>
      <c r="H553" t="n">
        <v>0</v>
      </c>
      <c r="I553" t="n">
        <v>0</v>
      </c>
      <c r="J553" t="n">
        <v>0</v>
      </c>
      <c r="K553" t="n">
        <v>0</v>
      </c>
      <c r="L553" t="n">
        <v>0</v>
      </c>
      <c r="M553" t="n">
        <v>0</v>
      </c>
      <c r="N553" t="n">
        <v>0</v>
      </c>
      <c r="O553" t="n">
        <v>0</v>
      </c>
      <c r="P553" t="n">
        <v>0</v>
      </c>
      <c r="Q553" t="n">
        <v>0</v>
      </c>
      <c r="R553" s="2" t="inlineStr"/>
    </row>
    <row r="554" ht="15" customHeight="1">
      <c r="A554" t="inlineStr">
        <is>
          <t>A 19706-2023</t>
        </is>
      </c>
      <c r="B554" s="1" t="n">
        <v>45051.455</v>
      </c>
      <c r="C554" s="1" t="n">
        <v>46114</v>
      </c>
      <c r="D554" t="inlineStr">
        <is>
          <t>STOCKHOLMS LÄN</t>
        </is>
      </c>
      <c r="E554" t="inlineStr">
        <is>
          <t>NORRTÄLJE</t>
        </is>
      </c>
      <c r="G554" t="n">
        <v>0.2</v>
      </c>
      <c r="H554" t="n">
        <v>0</v>
      </c>
      <c r="I554" t="n">
        <v>0</v>
      </c>
      <c r="J554" t="n">
        <v>0</v>
      </c>
      <c r="K554" t="n">
        <v>0</v>
      </c>
      <c r="L554" t="n">
        <v>0</v>
      </c>
      <c r="M554" t="n">
        <v>0</v>
      </c>
      <c r="N554" t="n">
        <v>0</v>
      </c>
      <c r="O554" t="n">
        <v>0</v>
      </c>
      <c r="P554" t="n">
        <v>0</v>
      </c>
      <c r="Q554" t="n">
        <v>0</v>
      </c>
      <c r="R554" s="2" t="inlineStr"/>
    </row>
    <row r="555" ht="15" customHeight="1">
      <c r="A555" t="inlineStr">
        <is>
          <t>A 18539-2021</t>
        </is>
      </c>
      <c r="B555" s="1" t="n">
        <v>44306</v>
      </c>
      <c r="C555" s="1" t="n">
        <v>46114</v>
      </c>
      <c r="D555" t="inlineStr">
        <is>
          <t>STOCKHOLMS LÄN</t>
        </is>
      </c>
      <c r="E555" t="inlineStr">
        <is>
          <t>NORRTÄLJE</t>
        </is>
      </c>
      <c r="F555" t="inlineStr">
        <is>
          <t>Holmen skog AB</t>
        </is>
      </c>
      <c r="G555" t="n">
        <v>5.5</v>
      </c>
      <c r="H555" t="n">
        <v>0</v>
      </c>
      <c r="I555" t="n">
        <v>0</v>
      </c>
      <c r="J555" t="n">
        <v>0</v>
      </c>
      <c r="K555" t="n">
        <v>0</v>
      </c>
      <c r="L555" t="n">
        <v>0</v>
      </c>
      <c r="M555" t="n">
        <v>0</v>
      </c>
      <c r="N555" t="n">
        <v>0</v>
      </c>
      <c r="O555" t="n">
        <v>0</v>
      </c>
      <c r="P555" t="n">
        <v>0</v>
      </c>
      <c r="Q555" t="n">
        <v>0</v>
      </c>
      <c r="R555" s="2" t="inlineStr"/>
    </row>
    <row r="556" ht="15" customHeight="1">
      <c r="A556" t="inlineStr">
        <is>
          <t>A 43916-2025</t>
        </is>
      </c>
      <c r="B556" s="1" t="n">
        <v>45914.78884259259</v>
      </c>
      <c r="C556" s="1" t="n">
        <v>46114</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17612-2022</t>
        </is>
      </c>
      <c r="B557" s="1" t="n">
        <v>44680</v>
      </c>
      <c r="C557" s="1" t="n">
        <v>46114</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16835-2022</t>
        </is>
      </c>
      <c r="B558" s="1" t="n">
        <v>44673</v>
      </c>
      <c r="C558" s="1" t="n">
        <v>46114</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62765-2022</t>
        </is>
      </c>
      <c r="B559" s="1" t="n">
        <v>44637</v>
      </c>
      <c r="C559" s="1" t="n">
        <v>46114</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58404-2023</t>
        </is>
      </c>
      <c r="B560" s="1" t="n">
        <v>45245</v>
      </c>
      <c r="C560" s="1" t="n">
        <v>46114</v>
      </c>
      <c r="D560" t="inlineStr">
        <is>
          <t>STOCKHOLMS LÄN</t>
        </is>
      </c>
      <c r="E560" t="inlineStr">
        <is>
          <t>NORRTÄLJE</t>
        </is>
      </c>
      <c r="G560" t="n">
        <v>53.5</v>
      </c>
      <c r="H560" t="n">
        <v>0</v>
      </c>
      <c r="I560" t="n">
        <v>0</v>
      </c>
      <c r="J560" t="n">
        <v>0</v>
      </c>
      <c r="K560" t="n">
        <v>0</v>
      </c>
      <c r="L560" t="n">
        <v>0</v>
      </c>
      <c r="M560" t="n">
        <v>0</v>
      </c>
      <c r="N560" t="n">
        <v>0</v>
      </c>
      <c r="O560" t="n">
        <v>0</v>
      </c>
      <c r="P560" t="n">
        <v>0</v>
      </c>
      <c r="Q560" t="n">
        <v>0</v>
      </c>
      <c r="R560" s="2" t="inlineStr"/>
    </row>
    <row r="561" ht="15" customHeight="1">
      <c r="A561" t="inlineStr">
        <is>
          <t>A 8586-2023</t>
        </is>
      </c>
      <c r="B561" s="1" t="n">
        <v>44977</v>
      </c>
      <c r="C561" s="1" t="n">
        <v>46114</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67921-2021</t>
        </is>
      </c>
      <c r="B562" s="1" t="n">
        <v>44525</v>
      </c>
      <c r="C562" s="1" t="n">
        <v>46114</v>
      </c>
      <c r="D562" t="inlineStr">
        <is>
          <t>STOCKHOLMS LÄN</t>
        </is>
      </c>
      <c r="E562" t="inlineStr">
        <is>
          <t>NORRTÄLJE</t>
        </is>
      </c>
      <c r="G562" t="n">
        <v>6.3</v>
      </c>
      <c r="H562" t="n">
        <v>0</v>
      </c>
      <c r="I562" t="n">
        <v>0</v>
      </c>
      <c r="J562" t="n">
        <v>0</v>
      </c>
      <c r="K562" t="n">
        <v>0</v>
      </c>
      <c r="L562" t="n">
        <v>0</v>
      </c>
      <c r="M562" t="n">
        <v>0</v>
      </c>
      <c r="N562" t="n">
        <v>0</v>
      </c>
      <c r="O562" t="n">
        <v>0</v>
      </c>
      <c r="P562" t="n">
        <v>0</v>
      </c>
      <c r="Q562" t="n">
        <v>0</v>
      </c>
      <c r="R562" s="2" t="inlineStr"/>
    </row>
    <row r="563" ht="15" customHeight="1">
      <c r="A563" t="inlineStr">
        <is>
          <t>A 44354-2025</t>
        </is>
      </c>
      <c r="B563" s="1" t="n">
        <v>45916.44655092592</v>
      </c>
      <c r="C563" s="1" t="n">
        <v>46114</v>
      </c>
      <c r="D563" t="inlineStr">
        <is>
          <t>STOCKHOLMS LÄN</t>
        </is>
      </c>
      <c r="E563" t="inlineStr">
        <is>
          <t>NORRTÄLJE</t>
        </is>
      </c>
      <c r="G563" t="n">
        <v>2.3</v>
      </c>
      <c r="H563" t="n">
        <v>0</v>
      </c>
      <c r="I563" t="n">
        <v>0</v>
      </c>
      <c r="J563" t="n">
        <v>0</v>
      </c>
      <c r="K563" t="n">
        <v>0</v>
      </c>
      <c r="L563" t="n">
        <v>0</v>
      </c>
      <c r="M563" t="n">
        <v>0</v>
      </c>
      <c r="N563" t="n">
        <v>0</v>
      </c>
      <c r="O563" t="n">
        <v>0</v>
      </c>
      <c r="P563" t="n">
        <v>0</v>
      </c>
      <c r="Q563" t="n">
        <v>0</v>
      </c>
      <c r="R563" s="2" t="inlineStr"/>
    </row>
    <row r="564" ht="15" customHeight="1">
      <c r="A564" t="inlineStr">
        <is>
          <t>A 16202-2022</t>
        </is>
      </c>
      <c r="B564" s="1" t="n">
        <v>44670</v>
      </c>
      <c r="C564" s="1" t="n">
        <v>46114</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44306-2025</t>
        </is>
      </c>
      <c r="B565" s="1" t="n">
        <v>45916.37736111111</v>
      </c>
      <c r="C565" s="1" t="n">
        <v>46114</v>
      </c>
      <c r="D565" t="inlineStr">
        <is>
          <t>STOCKHOLMS LÄN</t>
        </is>
      </c>
      <c r="E565" t="inlineStr">
        <is>
          <t>NORRTÄLJE</t>
        </is>
      </c>
      <c r="G565" t="n">
        <v>2.8</v>
      </c>
      <c r="H565" t="n">
        <v>0</v>
      </c>
      <c r="I565" t="n">
        <v>0</v>
      </c>
      <c r="J565" t="n">
        <v>0</v>
      </c>
      <c r="K565" t="n">
        <v>0</v>
      </c>
      <c r="L565" t="n">
        <v>0</v>
      </c>
      <c r="M565" t="n">
        <v>0</v>
      </c>
      <c r="N565" t="n">
        <v>0</v>
      </c>
      <c r="O565" t="n">
        <v>0</v>
      </c>
      <c r="P565" t="n">
        <v>0</v>
      </c>
      <c r="Q565" t="n">
        <v>0</v>
      </c>
      <c r="R565" s="2" t="inlineStr"/>
    </row>
    <row r="566" ht="15" customHeight="1">
      <c r="A566" t="inlineStr">
        <is>
          <t>A 44343-2025</t>
        </is>
      </c>
      <c r="B566" s="1" t="n">
        <v>45916.43378472222</v>
      </c>
      <c r="C566" s="1" t="n">
        <v>46114</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44349-2025</t>
        </is>
      </c>
      <c r="B567" s="1" t="n">
        <v>45916.43929398148</v>
      </c>
      <c r="C567" s="1" t="n">
        <v>46114</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55018-2024</t>
        </is>
      </c>
      <c r="B568" s="1" t="n">
        <v>45621.35712962963</v>
      </c>
      <c r="C568" s="1" t="n">
        <v>46114</v>
      </c>
      <c r="D568" t="inlineStr">
        <is>
          <t>STOCKHOLMS LÄN</t>
        </is>
      </c>
      <c r="E568" t="inlineStr">
        <is>
          <t>NORRTÄLJE</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65499-2021</t>
        </is>
      </c>
      <c r="B569" s="1" t="n">
        <v>44516</v>
      </c>
      <c r="C569" s="1" t="n">
        <v>46114</v>
      </c>
      <c r="D569" t="inlineStr">
        <is>
          <t>STOCKHOLMS LÄN</t>
        </is>
      </c>
      <c r="E569" t="inlineStr">
        <is>
          <t>NORRTÄLJE</t>
        </is>
      </c>
      <c r="F569" t="inlineStr">
        <is>
          <t>Kommuner</t>
        </is>
      </c>
      <c r="G569" t="n">
        <v>5.2</v>
      </c>
      <c r="H569" t="n">
        <v>0</v>
      </c>
      <c r="I569" t="n">
        <v>0</v>
      </c>
      <c r="J569" t="n">
        <v>0</v>
      </c>
      <c r="K569" t="n">
        <v>0</v>
      </c>
      <c r="L569" t="n">
        <v>0</v>
      </c>
      <c r="M569" t="n">
        <v>0</v>
      </c>
      <c r="N569" t="n">
        <v>0</v>
      </c>
      <c r="O569" t="n">
        <v>0</v>
      </c>
      <c r="P569" t="n">
        <v>0</v>
      </c>
      <c r="Q569" t="n">
        <v>0</v>
      </c>
      <c r="R569" s="2" t="inlineStr"/>
    </row>
    <row r="570" ht="15" customHeight="1">
      <c r="A570" t="inlineStr">
        <is>
          <t>A 44311-2025</t>
        </is>
      </c>
      <c r="B570" s="1" t="n">
        <v>45916.38394675926</v>
      </c>
      <c r="C570" s="1" t="n">
        <v>46114</v>
      </c>
      <c r="D570" t="inlineStr">
        <is>
          <t>STOCKHOLMS LÄN</t>
        </is>
      </c>
      <c r="E570" t="inlineStr">
        <is>
          <t>NORRTÄLJE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44333-2025</t>
        </is>
      </c>
      <c r="B571" s="1" t="n">
        <v>45916.42293981482</v>
      </c>
      <c r="C571" s="1" t="n">
        <v>46114</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50136-2023</t>
        </is>
      </c>
      <c r="B572" s="1" t="n">
        <v>45215</v>
      </c>
      <c r="C572" s="1" t="n">
        <v>46114</v>
      </c>
      <c r="D572" t="inlineStr">
        <is>
          <t>STOCKHOLMS LÄN</t>
        </is>
      </c>
      <c r="E572" t="inlineStr">
        <is>
          <t>NORRTÄLJE</t>
        </is>
      </c>
      <c r="G572" t="n">
        <v>5.2</v>
      </c>
      <c r="H572" t="n">
        <v>0</v>
      </c>
      <c r="I572" t="n">
        <v>0</v>
      </c>
      <c r="J572" t="n">
        <v>0</v>
      </c>
      <c r="K572" t="n">
        <v>0</v>
      </c>
      <c r="L572" t="n">
        <v>0</v>
      </c>
      <c r="M572" t="n">
        <v>0</v>
      </c>
      <c r="N572" t="n">
        <v>0</v>
      </c>
      <c r="O572" t="n">
        <v>0</v>
      </c>
      <c r="P572" t="n">
        <v>0</v>
      </c>
      <c r="Q572" t="n">
        <v>0</v>
      </c>
      <c r="R572" s="2" t="inlineStr"/>
    </row>
    <row r="573" ht="15" customHeight="1">
      <c r="A573" t="inlineStr">
        <is>
          <t>A 25656-2023</t>
        </is>
      </c>
      <c r="B573" s="1" t="n">
        <v>45089</v>
      </c>
      <c r="C573" s="1" t="n">
        <v>46114</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6003-2025</t>
        </is>
      </c>
      <c r="B574" s="1" t="n">
        <v>45695.57881944445</v>
      </c>
      <c r="C574" s="1" t="n">
        <v>46114</v>
      </c>
      <c r="D574" t="inlineStr">
        <is>
          <t>STOCKHOLMS LÄN</t>
        </is>
      </c>
      <c r="E574" t="inlineStr">
        <is>
          <t>NORRTÄLJE</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11902-2024</t>
        </is>
      </c>
      <c r="B575" s="1" t="n">
        <v>45376.55704861111</v>
      </c>
      <c r="C575" s="1" t="n">
        <v>46114</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38049-2023</t>
        </is>
      </c>
      <c r="B576" s="1" t="n">
        <v>45159</v>
      </c>
      <c r="C576" s="1" t="n">
        <v>46114</v>
      </c>
      <c r="D576" t="inlineStr">
        <is>
          <t>STOCKHOLMS LÄN</t>
        </is>
      </c>
      <c r="E576" t="inlineStr">
        <is>
          <t>NORRTÄLJE</t>
        </is>
      </c>
      <c r="G576" t="n">
        <v>3.6</v>
      </c>
      <c r="H576" t="n">
        <v>0</v>
      </c>
      <c r="I576" t="n">
        <v>0</v>
      </c>
      <c r="J576" t="n">
        <v>0</v>
      </c>
      <c r="K576" t="n">
        <v>0</v>
      </c>
      <c r="L576" t="n">
        <v>0</v>
      </c>
      <c r="M576" t="n">
        <v>0</v>
      </c>
      <c r="N576" t="n">
        <v>0</v>
      </c>
      <c r="O576" t="n">
        <v>0</v>
      </c>
      <c r="P576" t="n">
        <v>0</v>
      </c>
      <c r="Q576" t="n">
        <v>0</v>
      </c>
      <c r="R576" s="2" t="inlineStr"/>
    </row>
    <row r="577" ht="15" customHeight="1">
      <c r="A577" t="inlineStr">
        <is>
          <t>A 59535-2024</t>
        </is>
      </c>
      <c r="B577" s="1" t="n">
        <v>45638.59979166667</v>
      </c>
      <c r="C577" s="1" t="n">
        <v>46114</v>
      </c>
      <c r="D577" t="inlineStr">
        <is>
          <t>STOCKHOLMS LÄN</t>
        </is>
      </c>
      <c r="E577" t="inlineStr">
        <is>
          <t>NORRTÄLJE</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44937-2025</t>
        </is>
      </c>
      <c r="B578" s="1" t="n">
        <v>45918</v>
      </c>
      <c r="C578" s="1" t="n">
        <v>46114</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38720-2025</t>
        </is>
      </c>
      <c r="B579" s="1" t="n">
        <v>45886</v>
      </c>
      <c r="C579" s="1" t="n">
        <v>46114</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4183-2025</t>
        </is>
      </c>
      <c r="B580" s="1" t="n">
        <v>45685.44592592592</v>
      </c>
      <c r="C580" s="1" t="n">
        <v>46114</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9480-2025</t>
        </is>
      </c>
      <c r="B581" s="1" t="n">
        <v>45715</v>
      </c>
      <c r="C581" s="1" t="n">
        <v>46114</v>
      </c>
      <c r="D581" t="inlineStr">
        <is>
          <t>STOCKHOLMS LÄN</t>
        </is>
      </c>
      <c r="E581" t="inlineStr">
        <is>
          <t>NORRTÄLJE</t>
        </is>
      </c>
      <c r="F581" t="inlineStr">
        <is>
          <t>Övriga Aktiebolag</t>
        </is>
      </c>
      <c r="G581" t="n">
        <v>3.9</v>
      </c>
      <c r="H581" t="n">
        <v>0</v>
      </c>
      <c r="I581" t="n">
        <v>0</v>
      </c>
      <c r="J581" t="n">
        <v>0</v>
      </c>
      <c r="K581" t="n">
        <v>0</v>
      </c>
      <c r="L581" t="n">
        <v>0</v>
      </c>
      <c r="M581" t="n">
        <v>0</v>
      </c>
      <c r="N581" t="n">
        <v>0</v>
      </c>
      <c r="O581" t="n">
        <v>0</v>
      </c>
      <c r="P581" t="n">
        <v>0</v>
      </c>
      <c r="Q581" t="n">
        <v>0</v>
      </c>
      <c r="R581" s="2" t="inlineStr"/>
    </row>
    <row r="582" ht="15" customHeight="1">
      <c r="A582" t="inlineStr">
        <is>
          <t>A 22359-2025</t>
        </is>
      </c>
      <c r="B582" s="1" t="n">
        <v>45786</v>
      </c>
      <c r="C582" s="1" t="n">
        <v>46114</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45697-2025</t>
        </is>
      </c>
      <c r="B583" s="1" t="n">
        <v>45923.39877314815</v>
      </c>
      <c r="C583" s="1" t="n">
        <v>46114</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24522-2023</t>
        </is>
      </c>
      <c r="B584" s="1" t="n">
        <v>45082.69179398148</v>
      </c>
      <c r="C584" s="1" t="n">
        <v>46114</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25625-2023</t>
        </is>
      </c>
      <c r="B585" s="1" t="n">
        <v>45089</v>
      </c>
      <c r="C585" s="1" t="n">
        <v>46114</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37147-2023</t>
        </is>
      </c>
      <c r="B586" s="1" t="n">
        <v>45155</v>
      </c>
      <c r="C586" s="1" t="n">
        <v>46114</v>
      </c>
      <c r="D586" t="inlineStr">
        <is>
          <t>STOCKHOLMS LÄN</t>
        </is>
      </c>
      <c r="E586" t="inlineStr">
        <is>
          <t>NORRTÄLJE</t>
        </is>
      </c>
      <c r="G586" t="n">
        <v>8</v>
      </c>
      <c r="H586" t="n">
        <v>0</v>
      </c>
      <c r="I586" t="n">
        <v>0</v>
      </c>
      <c r="J586" t="n">
        <v>0</v>
      </c>
      <c r="K586" t="n">
        <v>0</v>
      </c>
      <c r="L586" t="n">
        <v>0</v>
      </c>
      <c r="M586" t="n">
        <v>0</v>
      </c>
      <c r="N586" t="n">
        <v>0</v>
      </c>
      <c r="O586" t="n">
        <v>0</v>
      </c>
      <c r="P586" t="n">
        <v>0</v>
      </c>
      <c r="Q586" t="n">
        <v>0</v>
      </c>
      <c r="R586" s="2" t="inlineStr"/>
    </row>
    <row r="587" ht="15" customHeight="1">
      <c r="A587" t="inlineStr">
        <is>
          <t>A 7186-2024</t>
        </is>
      </c>
      <c r="B587" s="1" t="n">
        <v>45344</v>
      </c>
      <c r="C587" s="1" t="n">
        <v>46114</v>
      </c>
      <c r="D587" t="inlineStr">
        <is>
          <t>STOCKHOLMS LÄN</t>
        </is>
      </c>
      <c r="E587" t="inlineStr">
        <is>
          <t>NORRTÄLJE</t>
        </is>
      </c>
      <c r="G587" t="n">
        <v>4.9</v>
      </c>
      <c r="H587" t="n">
        <v>0</v>
      </c>
      <c r="I587" t="n">
        <v>0</v>
      </c>
      <c r="J587" t="n">
        <v>0</v>
      </c>
      <c r="K587" t="n">
        <v>0</v>
      </c>
      <c r="L587" t="n">
        <v>0</v>
      </c>
      <c r="M587" t="n">
        <v>0</v>
      </c>
      <c r="N587" t="n">
        <v>0</v>
      </c>
      <c r="O587" t="n">
        <v>0</v>
      </c>
      <c r="P587" t="n">
        <v>0</v>
      </c>
      <c r="Q587" t="n">
        <v>0</v>
      </c>
      <c r="R587" s="2" t="inlineStr"/>
    </row>
    <row r="588" ht="15" customHeight="1">
      <c r="A588" t="inlineStr">
        <is>
          <t>A 46415-2025</t>
        </is>
      </c>
      <c r="B588" s="1" t="n">
        <v>45925.58636574074</v>
      </c>
      <c r="C588" s="1" t="n">
        <v>46114</v>
      </c>
      <c r="D588" t="inlineStr">
        <is>
          <t>STOCKHOLMS LÄN</t>
        </is>
      </c>
      <c r="E588" t="inlineStr">
        <is>
          <t>NORRTÄLJE</t>
        </is>
      </c>
      <c r="G588" t="n">
        <v>3.8</v>
      </c>
      <c r="H588" t="n">
        <v>0</v>
      </c>
      <c r="I588" t="n">
        <v>0</v>
      </c>
      <c r="J588" t="n">
        <v>0</v>
      </c>
      <c r="K588" t="n">
        <v>0</v>
      </c>
      <c r="L588" t="n">
        <v>0</v>
      </c>
      <c r="M588" t="n">
        <v>0</v>
      </c>
      <c r="N588" t="n">
        <v>0</v>
      </c>
      <c r="O588" t="n">
        <v>0</v>
      </c>
      <c r="P588" t="n">
        <v>0</v>
      </c>
      <c r="Q588" t="n">
        <v>0</v>
      </c>
      <c r="R588" s="2" t="inlineStr"/>
    </row>
    <row r="589" ht="15" customHeight="1">
      <c r="A589" t="inlineStr">
        <is>
          <t>A 57602-2024</t>
        </is>
      </c>
      <c r="B589" s="1" t="n">
        <v>45630.52866898148</v>
      </c>
      <c r="C589" s="1" t="n">
        <v>46114</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64600-2021</t>
        </is>
      </c>
      <c r="B590" s="1" t="n">
        <v>44511.70518518519</v>
      </c>
      <c r="C590" s="1" t="n">
        <v>46114</v>
      </c>
      <c r="D590" t="inlineStr">
        <is>
          <t>STOCKHOLMS LÄN</t>
        </is>
      </c>
      <c r="E590" t="inlineStr">
        <is>
          <t>NORRTÄLJE</t>
        </is>
      </c>
      <c r="G590" t="n">
        <v>6.2</v>
      </c>
      <c r="H590" t="n">
        <v>0</v>
      </c>
      <c r="I590" t="n">
        <v>0</v>
      </c>
      <c r="J590" t="n">
        <v>0</v>
      </c>
      <c r="K590" t="n">
        <v>0</v>
      </c>
      <c r="L590" t="n">
        <v>0</v>
      </c>
      <c r="M590" t="n">
        <v>0</v>
      </c>
      <c r="N590" t="n">
        <v>0</v>
      </c>
      <c r="O590" t="n">
        <v>0</v>
      </c>
      <c r="P590" t="n">
        <v>0</v>
      </c>
      <c r="Q590" t="n">
        <v>0</v>
      </c>
      <c r="R590" s="2" t="inlineStr"/>
    </row>
    <row r="591" ht="15" customHeight="1">
      <c r="A591" t="inlineStr">
        <is>
          <t>A 50602-2021</t>
        </is>
      </c>
      <c r="B591" s="1" t="n">
        <v>44459</v>
      </c>
      <c r="C591" s="1" t="n">
        <v>46114</v>
      </c>
      <c r="D591" t="inlineStr">
        <is>
          <t>STOCKHOLMS LÄN</t>
        </is>
      </c>
      <c r="E591" t="inlineStr">
        <is>
          <t>NORRTÄLJE</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26365-2024</t>
        </is>
      </c>
      <c r="B592" s="1" t="n">
        <v>45469</v>
      </c>
      <c r="C592" s="1" t="n">
        <v>46114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26640-2023</t>
        </is>
      </c>
      <c r="B593" s="1" t="n">
        <v>45092</v>
      </c>
      <c r="C593" s="1" t="n">
        <v>46114</v>
      </c>
      <c r="D593" t="inlineStr">
        <is>
          <t>STOCKHOLMS LÄN</t>
        </is>
      </c>
      <c r="E593" t="inlineStr">
        <is>
          <t>NORRTÄLJE</t>
        </is>
      </c>
      <c r="G593" t="n">
        <v>5.7</v>
      </c>
      <c r="H593" t="n">
        <v>0</v>
      </c>
      <c r="I593" t="n">
        <v>0</v>
      </c>
      <c r="J593" t="n">
        <v>0</v>
      </c>
      <c r="K593" t="n">
        <v>0</v>
      </c>
      <c r="L593" t="n">
        <v>0</v>
      </c>
      <c r="M593" t="n">
        <v>0</v>
      </c>
      <c r="N593" t="n">
        <v>0</v>
      </c>
      <c r="O593" t="n">
        <v>0</v>
      </c>
      <c r="P593" t="n">
        <v>0</v>
      </c>
      <c r="Q593" t="n">
        <v>0</v>
      </c>
      <c r="R593" s="2" t="inlineStr"/>
    </row>
    <row r="594" ht="15" customHeight="1">
      <c r="A594" t="inlineStr">
        <is>
          <t>A 46900-2025</t>
        </is>
      </c>
      <c r="B594" s="1" t="n">
        <v>45929.38712962963</v>
      </c>
      <c r="C594" s="1" t="n">
        <v>46114</v>
      </c>
      <c r="D594" t="inlineStr">
        <is>
          <t>STOCKHOLMS LÄN</t>
        </is>
      </c>
      <c r="E594" t="inlineStr">
        <is>
          <t>NORRTÄLJE</t>
        </is>
      </c>
      <c r="F594" t="inlineStr">
        <is>
          <t>Holmen skog AB</t>
        </is>
      </c>
      <c r="G594" t="n">
        <v>6.2</v>
      </c>
      <c r="H594" t="n">
        <v>0</v>
      </c>
      <c r="I594" t="n">
        <v>0</v>
      </c>
      <c r="J594" t="n">
        <v>0</v>
      </c>
      <c r="K594" t="n">
        <v>0</v>
      </c>
      <c r="L594" t="n">
        <v>0</v>
      </c>
      <c r="M594" t="n">
        <v>0</v>
      </c>
      <c r="N594" t="n">
        <v>0</v>
      </c>
      <c r="O594" t="n">
        <v>0</v>
      </c>
      <c r="P594" t="n">
        <v>0</v>
      </c>
      <c r="Q594" t="n">
        <v>0</v>
      </c>
      <c r="R594" s="2" t="inlineStr"/>
    </row>
    <row r="595" ht="15" customHeight="1">
      <c r="A595" t="inlineStr">
        <is>
          <t>A 31827-2023</t>
        </is>
      </c>
      <c r="B595" s="1" t="n">
        <v>45118</v>
      </c>
      <c r="C595" s="1" t="n">
        <v>46114</v>
      </c>
      <c r="D595" t="inlineStr">
        <is>
          <t>STOCKHOLMS LÄN</t>
        </is>
      </c>
      <c r="E595" t="inlineStr">
        <is>
          <t>NORRTÄLJE</t>
        </is>
      </c>
      <c r="F595" t="inlineStr">
        <is>
          <t>Kyrkan</t>
        </is>
      </c>
      <c r="G595" t="n">
        <v>4.9</v>
      </c>
      <c r="H595" t="n">
        <v>0</v>
      </c>
      <c r="I595" t="n">
        <v>0</v>
      </c>
      <c r="J595" t="n">
        <v>0</v>
      </c>
      <c r="K595" t="n">
        <v>0</v>
      </c>
      <c r="L595" t="n">
        <v>0</v>
      </c>
      <c r="M595" t="n">
        <v>0</v>
      </c>
      <c r="N595" t="n">
        <v>0</v>
      </c>
      <c r="O595" t="n">
        <v>0</v>
      </c>
      <c r="P595" t="n">
        <v>0</v>
      </c>
      <c r="Q595" t="n">
        <v>0</v>
      </c>
      <c r="R595" s="2" t="inlineStr"/>
    </row>
    <row r="596" ht="15" customHeight="1">
      <c r="A596" t="inlineStr">
        <is>
          <t>A 58993-2022</t>
        </is>
      </c>
      <c r="B596" s="1" t="n">
        <v>44903</v>
      </c>
      <c r="C596" s="1" t="n">
        <v>46114</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28900-2022</t>
        </is>
      </c>
      <c r="B597" s="1" t="n">
        <v>44749.55258101852</v>
      </c>
      <c r="C597" s="1" t="n">
        <v>46114</v>
      </c>
      <c r="D597" t="inlineStr">
        <is>
          <t>STOCKHOLMS LÄN</t>
        </is>
      </c>
      <c r="E597" t="inlineStr">
        <is>
          <t>NORRTÄLJE</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17574-2025</t>
        </is>
      </c>
      <c r="B598" s="1" t="n">
        <v>45757.65178240741</v>
      </c>
      <c r="C598" s="1" t="n">
        <v>46114</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35256-2025</t>
        </is>
      </c>
      <c r="B599" s="1" t="n">
        <v>45853</v>
      </c>
      <c r="C599" s="1" t="n">
        <v>46114</v>
      </c>
      <c r="D599" t="inlineStr">
        <is>
          <t>STOCKHOLMS LÄN</t>
        </is>
      </c>
      <c r="E599" t="inlineStr">
        <is>
          <t>NORRTÄLJE</t>
        </is>
      </c>
      <c r="G599" t="n">
        <v>6.4</v>
      </c>
      <c r="H599" t="n">
        <v>0</v>
      </c>
      <c r="I599" t="n">
        <v>0</v>
      </c>
      <c r="J599" t="n">
        <v>0</v>
      </c>
      <c r="K599" t="n">
        <v>0</v>
      </c>
      <c r="L599" t="n">
        <v>0</v>
      </c>
      <c r="M599" t="n">
        <v>0</v>
      </c>
      <c r="N599" t="n">
        <v>0</v>
      </c>
      <c r="O599" t="n">
        <v>0</v>
      </c>
      <c r="P599" t="n">
        <v>0</v>
      </c>
      <c r="Q599" t="n">
        <v>0</v>
      </c>
      <c r="R599" s="2" t="inlineStr"/>
    </row>
    <row r="600" ht="15" customHeight="1">
      <c r="A600" t="inlineStr">
        <is>
          <t>A 58297-2023</t>
        </is>
      </c>
      <c r="B600" s="1" t="n">
        <v>45245</v>
      </c>
      <c r="C600" s="1" t="n">
        <v>46114</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20304-2023</t>
        </is>
      </c>
      <c r="B601" s="1" t="n">
        <v>45056</v>
      </c>
      <c r="C601" s="1" t="n">
        <v>46114</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12299-2025</t>
        </is>
      </c>
      <c r="B602" s="1" t="n">
        <v>45729.71065972222</v>
      </c>
      <c r="C602" s="1" t="n">
        <v>46114</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22157-2023</t>
        </is>
      </c>
      <c r="B603" s="1" t="n">
        <v>45069</v>
      </c>
      <c r="C603" s="1" t="n">
        <v>46114</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c r="U603">
        <f>HYPERLINK("https://klasma.github.io/Logging_0188/knärot/A 22157-2023 karta knärot.png", "A 22157-2023")</f>
        <v/>
      </c>
      <c r="V603">
        <f>HYPERLINK("https://klasma.github.io/Logging_0188/klagomål/A 22157-2023 FSC-klagomål.docx", "A 22157-2023")</f>
        <v/>
      </c>
      <c r="W603">
        <f>HYPERLINK("https://klasma.github.io/Logging_0188/klagomålsmail/A 22157-2023 FSC-klagomål mail.docx", "A 22157-2023")</f>
        <v/>
      </c>
      <c r="X603">
        <f>HYPERLINK("https://klasma.github.io/Logging_0188/tillsyn/A 22157-2023 tillsynsbegäran.docx", "A 22157-2023")</f>
        <v/>
      </c>
      <c r="Y603">
        <f>HYPERLINK("https://klasma.github.io/Logging_0188/tillsynsmail/A 22157-2023 tillsynsbegäran mail.docx", "A 22157-2023")</f>
        <v/>
      </c>
    </row>
    <row r="604" ht="15" customHeight="1">
      <c r="A604" t="inlineStr">
        <is>
          <t>A 11929-2024</t>
        </is>
      </c>
      <c r="B604" s="1" t="n">
        <v>45376.64532407407</v>
      </c>
      <c r="C604" s="1" t="n">
        <v>46114</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47498-2025</t>
        </is>
      </c>
      <c r="B605" s="1" t="n">
        <v>45930.8134375</v>
      </c>
      <c r="C605" s="1" t="n">
        <v>46114</v>
      </c>
      <c r="D605" t="inlineStr">
        <is>
          <t>STOCKHOLMS LÄN</t>
        </is>
      </c>
      <c r="E605" t="inlineStr">
        <is>
          <t>NORRTÄLJE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47460-2025</t>
        </is>
      </c>
      <c r="B606" s="1" t="n">
        <v>45930.66012731481</v>
      </c>
      <c r="C606" s="1" t="n">
        <v>46114</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8296-2023</t>
        </is>
      </c>
      <c r="B607" s="1" t="n">
        <v>44974</v>
      </c>
      <c r="C607" s="1" t="n">
        <v>46114</v>
      </c>
      <c r="D607" t="inlineStr">
        <is>
          <t>STOCKHOLMS LÄN</t>
        </is>
      </c>
      <c r="E607" t="inlineStr">
        <is>
          <t>NORRTÄLJE</t>
        </is>
      </c>
      <c r="G607" t="n">
        <v>3.8</v>
      </c>
      <c r="H607" t="n">
        <v>0</v>
      </c>
      <c r="I607" t="n">
        <v>0</v>
      </c>
      <c r="J607" t="n">
        <v>0</v>
      </c>
      <c r="K607" t="n">
        <v>0</v>
      </c>
      <c r="L607" t="n">
        <v>0</v>
      </c>
      <c r="M607" t="n">
        <v>0</v>
      </c>
      <c r="N607" t="n">
        <v>0</v>
      </c>
      <c r="O607" t="n">
        <v>0</v>
      </c>
      <c r="P607" t="n">
        <v>0</v>
      </c>
      <c r="Q607" t="n">
        <v>0</v>
      </c>
      <c r="R607" s="2" t="inlineStr"/>
    </row>
    <row r="608" ht="15" customHeight="1">
      <c r="A608" t="inlineStr">
        <is>
          <t>A 47496-2025</t>
        </is>
      </c>
      <c r="B608" s="1" t="n">
        <v>45930.79252314815</v>
      </c>
      <c r="C608" s="1" t="n">
        <v>46114</v>
      </c>
      <c r="D608" t="inlineStr">
        <is>
          <t>STOCKHOLMS LÄN</t>
        </is>
      </c>
      <c r="E608" t="inlineStr">
        <is>
          <t>NORRTÄLJE</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47497-2025</t>
        </is>
      </c>
      <c r="B609" s="1" t="n">
        <v>45930.80217592593</v>
      </c>
      <c r="C609" s="1" t="n">
        <v>46114</v>
      </c>
      <c r="D609" t="inlineStr">
        <is>
          <t>STOCKHOLMS LÄN</t>
        </is>
      </c>
      <c r="E609" t="inlineStr">
        <is>
          <t>NORRTÄLJE</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24575-2024</t>
        </is>
      </c>
      <c r="B610" s="1" t="n">
        <v>45460.45523148148</v>
      </c>
      <c r="C610" s="1" t="n">
        <v>46114</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64899-2023</t>
        </is>
      </c>
      <c r="B611" s="1" t="n">
        <v>45282</v>
      </c>
      <c r="C611" s="1" t="n">
        <v>46114</v>
      </c>
      <c r="D611" t="inlineStr">
        <is>
          <t>STOCKHOLMS LÄN</t>
        </is>
      </c>
      <c r="E611" t="inlineStr">
        <is>
          <t>NORRTÄLJE</t>
        </is>
      </c>
      <c r="G611" t="n">
        <v>6.3</v>
      </c>
      <c r="H611" t="n">
        <v>0</v>
      </c>
      <c r="I611" t="n">
        <v>0</v>
      </c>
      <c r="J611" t="n">
        <v>0</v>
      </c>
      <c r="K611" t="n">
        <v>0</v>
      </c>
      <c r="L611" t="n">
        <v>0</v>
      </c>
      <c r="M611" t="n">
        <v>0</v>
      </c>
      <c r="N611" t="n">
        <v>0</v>
      </c>
      <c r="O611" t="n">
        <v>0</v>
      </c>
      <c r="P611" t="n">
        <v>0</v>
      </c>
      <c r="Q611" t="n">
        <v>0</v>
      </c>
      <c r="R611" s="2" t="inlineStr"/>
    </row>
    <row r="612" ht="15" customHeight="1">
      <c r="A612" t="inlineStr">
        <is>
          <t>A 52593-2024</t>
        </is>
      </c>
      <c r="B612" s="1" t="n">
        <v>45609.70778935185</v>
      </c>
      <c r="C612" s="1" t="n">
        <v>46114</v>
      </c>
      <c r="D612" t="inlineStr">
        <is>
          <t>STOCKHOLMS LÄN</t>
        </is>
      </c>
      <c r="E612" t="inlineStr">
        <is>
          <t>NORRTÄLJE</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52617-2024</t>
        </is>
      </c>
      <c r="B613" s="1" t="n">
        <v>45609.85146990741</v>
      </c>
      <c r="C613" s="1" t="n">
        <v>46114</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48360-2025</t>
        </is>
      </c>
      <c r="B614" s="1" t="n">
        <v>45933.66253472222</v>
      </c>
      <c r="C614" s="1" t="n">
        <v>46114</v>
      </c>
      <c r="D614" t="inlineStr">
        <is>
          <t>STOCKHOLMS LÄN</t>
        </is>
      </c>
      <c r="E614" t="inlineStr">
        <is>
          <t>NORRTÄLJE</t>
        </is>
      </c>
      <c r="G614" t="n">
        <v>4.1</v>
      </c>
      <c r="H614" t="n">
        <v>0</v>
      </c>
      <c r="I614" t="n">
        <v>0</v>
      </c>
      <c r="J614" t="n">
        <v>0</v>
      </c>
      <c r="K614" t="n">
        <v>0</v>
      </c>
      <c r="L614" t="n">
        <v>0</v>
      </c>
      <c r="M614" t="n">
        <v>0</v>
      </c>
      <c r="N614" t="n">
        <v>0</v>
      </c>
      <c r="O614" t="n">
        <v>0</v>
      </c>
      <c r="P614" t="n">
        <v>0</v>
      </c>
      <c r="Q614" t="n">
        <v>0</v>
      </c>
      <c r="R614" s="2" t="inlineStr"/>
    </row>
    <row r="615" ht="15" customHeight="1">
      <c r="A615" t="inlineStr">
        <is>
          <t>A 48370-2025</t>
        </is>
      </c>
      <c r="B615" s="1" t="n">
        <v>45933.67854166667</v>
      </c>
      <c r="C615" s="1" t="n">
        <v>46114</v>
      </c>
      <c r="D615" t="inlineStr">
        <is>
          <t>STOCKHOLMS LÄN</t>
        </is>
      </c>
      <c r="E615" t="inlineStr">
        <is>
          <t>NORRTÄLJE</t>
        </is>
      </c>
      <c r="G615" t="n">
        <v>4.5</v>
      </c>
      <c r="H615" t="n">
        <v>0</v>
      </c>
      <c r="I615" t="n">
        <v>0</v>
      </c>
      <c r="J615" t="n">
        <v>0</v>
      </c>
      <c r="K615" t="n">
        <v>0</v>
      </c>
      <c r="L615" t="n">
        <v>0</v>
      </c>
      <c r="M615" t="n">
        <v>0</v>
      </c>
      <c r="N615" t="n">
        <v>0</v>
      </c>
      <c r="O615" t="n">
        <v>0</v>
      </c>
      <c r="P615" t="n">
        <v>0</v>
      </c>
      <c r="Q615" t="n">
        <v>0</v>
      </c>
      <c r="R615" s="2" t="inlineStr"/>
    </row>
    <row r="616" ht="15" customHeight="1">
      <c r="A616" t="inlineStr">
        <is>
          <t>A 48364-2025</t>
        </is>
      </c>
      <c r="B616" s="1" t="n">
        <v>45933.66796296297</v>
      </c>
      <c r="C616" s="1" t="n">
        <v>46114</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22816-2021</t>
        </is>
      </c>
      <c r="B617" s="1" t="n">
        <v>44325</v>
      </c>
      <c r="C617" s="1" t="n">
        <v>46114</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59904-2023</t>
        </is>
      </c>
      <c r="B618" s="1" t="n">
        <v>45257</v>
      </c>
      <c r="C618" s="1" t="n">
        <v>46114</v>
      </c>
      <c r="D618" t="inlineStr">
        <is>
          <t>STOCKHOLMS LÄN</t>
        </is>
      </c>
      <c r="E618" t="inlineStr">
        <is>
          <t>NORRTÄLJE</t>
        </is>
      </c>
      <c r="G618" t="n">
        <v>17.4</v>
      </c>
      <c r="H618" t="n">
        <v>0</v>
      </c>
      <c r="I618" t="n">
        <v>0</v>
      </c>
      <c r="J618" t="n">
        <v>0</v>
      </c>
      <c r="K618" t="n">
        <v>0</v>
      </c>
      <c r="L618" t="n">
        <v>0</v>
      </c>
      <c r="M618" t="n">
        <v>0</v>
      </c>
      <c r="N618" t="n">
        <v>0</v>
      </c>
      <c r="O618" t="n">
        <v>0</v>
      </c>
      <c r="P618" t="n">
        <v>0</v>
      </c>
      <c r="Q618" t="n">
        <v>0</v>
      </c>
      <c r="R618" s="2" t="inlineStr"/>
    </row>
    <row r="619" ht="15" customHeight="1">
      <c r="A619" t="inlineStr">
        <is>
          <t>A 9914-2023</t>
        </is>
      </c>
      <c r="B619" s="1" t="n">
        <v>44985</v>
      </c>
      <c r="C619" s="1" t="n">
        <v>46114</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48174-2025</t>
        </is>
      </c>
      <c r="B620" s="1" t="n">
        <v>45933.44230324074</v>
      </c>
      <c r="C620" s="1" t="n">
        <v>46114</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48127-2025</t>
        </is>
      </c>
      <c r="B621" s="1" t="n">
        <v>45933.36621527778</v>
      </c>
      <c r="C621" s="1" t="n">
        <v>46114</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48179-2025</t>
        </is>
      </c>
      <c r="B622" s="1" t="n">
        <v>45933.44907407407</v>
      </c>
      <c r="C622" s="1" t="n">
        <v>46114</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11062-2024</t>
        </is>
      </c>
      <c r="B623" s="1" t="n">
        <v>45370</v>
      </c>
      <c r="C623" s="1" t="n">
        <v>46114</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48718-2025</t>
        </is>
      </c>
      <c r="B624" s="1" t="n">
        <v>45936</v>
      </c>
      <c r="C624" s="1" t="n">
        <v>46114</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33569-2023</t>
        </is>
      </c>
      <c r="B625" s="1" t="n">
        <v>45131.666875</v>
      </c>
      <c r="C625" s="1" t="n">
        <v>46114</v>
      </c>
      <c r="D625" t="inlineStr">
        <is>
          <t>STOCKHOLMS LÄN</t>
        </is>
      </c>
      <c r="E625" t="inlineStr">
        <is>
          <t>NORRTÄLJE</t>
        </is>
      </c>
      <c r="G625" t="n">
        <v>2.3</v>
      </c>
      <c r="H625" t="n">
        <v>0</v>
      </c>
      <c r="I625" t="n">
        <v>0</v>
      </c>
      <c r="J625" t="n">
        <v>0</v>
      </c>
      <c r="K625" t="n">
        <v>0</v>
      </c>
      <c r="L625" t="n">
        <v>0</v>
      </c>
      <c r="M625" t="n">
        <v>0</v>
      </c>
      <c r="N625" t="n">
        <v>0</v>
      </c>
      <c r="O625" t="n">
        <v>0</v>
      </c>
      <c r="P625" t="n">
        <v>0</v>
      </c>
      <c r="Q625" t="n">
        <v>0</v>
      </c>
      <c r="R625" s="2" t="inlineStr"/>
    </row>
    <row r="626" ht="15" customHeight="1">
      <c r="A626" t="inlineStr">
        <is>
          <t>A 48593-2025</t>
        </is>
      </c>
      <c r="B626" s="1" t="n">
        <v>45936.4627662037</v>
      </c>
      <c r="C626" s="1" t="n">
        <v>46114</v>
      </c>
      <c r="D626" t="inlineStr">
        <is>
          <t>STOCKHOLMS LÄN</t>
        </is>
      </c>
      <c r="E626" t="inlineStr">
        <is>
          <t>NORRTÄLJE</t>
        </is>
      </c>
      <c r="G626" t="n">
        <v>4.2</v>
      </c>
      <c r="H626" t="n">
        <v>0</v>
      </c>
      <c r="I626" t="n">
        <v>0</v>
      </c>
      <c r="J626" t="n">
        <v>0</v>
      </c>
      <c r="K626" t="n">
        <v>0</v>
      </c>
      <c r="L626" t="n">
        <v>0</v>
      </c>
      <c r="M626" t="n">
        <v>0</v>
      </c>
      <c r="N626" t="n">
        <v>0</v>
      </c>
      <c r="O626" t="n">
        <v>0</v>
      </c>
      <c r="P626" t="n">
        <v>0</v>
      </c>
      <c r="Q626" t="n">
        <v>0</v>
      </c>
      <c r="R626" s="2" t="inlineStr"/>
    </row>
    <row r="627" ht="15" customHeight="1">
      <c r="A627" t="inlineStr">
        <is>
          <t>A 15905-2023</t>
        </is>
      </c>
      <c r="B627" s="1" t="n">
        <v>45022</v>
      </c>
      <c r="C627" s="1" t="n">
        <v>46114</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15956-2023</t>
        </is>
      </c>
      <c r="B628" s="1" t="n">
        <v>45022.61003472222</v>
      </c>
      <c r="C628" s="1" t="n">
        <v>46114</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48443-2025</t>
        </is>
      </c>
      <c r="B629" s="1" t="n">
        <v>45935.55326388889</v>
      </c>
      <c r="C629" s="1" t="n">
        <v>46114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47626-2022</t>
        </is>
      </c>
      <c r="B630" s="1" t="n">
        <v>44854</v>
      </c>
      <c r="C630" s="1" t="n">
        <v>46114</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62206-2022</t>
        </is>
      </c>
      <c r="B631" s="1" t="n">
        <v>44922</v>
      </c>
      <c r="C631" s="1" t="n">
        <v>46114</v>
      </c>
      <c r="D631" t="inlineStr">
        <is>
          <t>STOCKHOLMS LÄN</t>
        </is>
      </c>
      <c r="E631" t="inlineStr">
        <is>
          <t>NORRTÄLJE</t>
        </is>
      </c>
      <c r="G631" t="n">
        <v>2.9</v>
      </c>
      <c r="H631" t="n">
        <v>0</v>
      </c>
      <c r="I631" t="n">
        <v>0</v>
      </c>
      <c r="J631" t="n">
        <v>0</v>
      </c>
      <c r="K631" t="n">
        <v>0</v>
      </c>
      <c r="L631" t="n">
        <v>0</v>
      </c>
      <c r="M631" t="n">
        <v>0</v>
      </c>
      <c r="N631" t="n">
        <v>0</v>
      </c>
      <c r="O631" t="n">
        <v>0</v>
      </c>
      <c r="P631" t="n">
        <v>0</v>
      </c>
      <c r="Q631" t="n">
        <v>0</v>
      </c>
      <c r="R631" s="2" t="inlineStr"/>
    </row>
    <row r="632" ht="15" customHeight="1">
      <c r="A632" t="inlineStr">
        <is>
          <t>A 20618-2022</t>
        </is>
      </c>
      <c r="B632" s="1" t="n">
        <v>44700.50659722222</v>
      </c>
      <c r="C632" s="1" t="n">
        <v>46114</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48780-2025</t>
        </is>
      </c>
      <c r="B633" s="1" t="n">
        <v>45937.30377314815</v>
      </c>
      <c r="C633" s="1" t="n">
        <v>46114</v>
      </c>
      <c r="D633" t="inlineStr">
        <is>
          <t>STOCKHOLMS LÄN</t>
        </is>
      </c>
      <c r="E633" t="inlineStr">
        <is>
          <t>NORRTÄLJE</t>
        </is>
      </c>
      <c r="G633" t="n">
        <v>7.7</v>
      </c>
      <c r="H633" t="n">
        <v>0</v>
      </c>
      <c r="I633" t="n">
        <v>0</v>
      </c>
      <c r="J633" t="n">
        <v>0</v>
      </c>
      <c r="K633" t="n">
        <v>0</v>
      </c>
      <c r="L633" t="n">
        <v>0</v>
      </c>
      <c r="M633" t="n">
        <v>0</v>
      </c>
      <c r="N633" t="n">
        <v>0</v>
      </c>
      <c r="O633" t="n">
        <v>0</v>
      </c>
      <c r="P633" t="n">
        <v>0</v>
      </c>
      <c r="Q633" t="n">
        <v>0</v>
      </c>
      <c r="R633" s="2" t="inlineStr"/>
    </row>
    <row r="634" ht="15" customHeight="1">
      <c r="A634" t="inlineStr">
        <is>
          <t>A 40192-2023</t>
        </is>
      </c>
      <c r="B634" s="1" t="n">
        <v>45169</v>
      </c>
      <c r="C634" s="1" t="n">
        <v>46114</v>
      </c>
      <c r="D634" t="inlineStr">
        <is>
          <t>STOCKHOLMS LÄN</t>
        </is>
      </c>
      <c r="E634" t="inlineStr">
        <is>
          <t>NORRTÄLJE</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11900-2022</t>
        </is>
      </c>
      <c r="B635" s="1" t="n">
        <v>44635</v>
      </c>
      <c r="C635" s="1" t="n">
        <v>46114</v>
      </c>
      <c r="D635" t="inlineStr">
        <is>
          <t>STOCKHOLMS LÄN</t>
        </is>
      </c>
      <c r="E635" t="inlineStr">
        <is>
          <t>NORRTÄLJE</t>
        </is>
      </c>
      <c r="G635" t="n">
        <v>2.4</v>
      </c>
      <c r="H635" t="n">
        <v>0</v>
      </c>
      <c r="I635" t="n">
        <v>0</v>
      </c>
      <c r="J635" t="n">
        <v>0</v>
      </c>
      <c r="K635" t="n">
        <v>0</v>
      </c>
      <c r="L635" t="n">
        <v>0</v>
      </c>
      <c r="M635" t="n">
        <v>0</v>
      </c>
      <c r="N635" t="n">
        <v>0</v>
      </c>
      <c r="O635" t="n">
        <v>0</v>
      </c>
      <c r="P635" t="n">
        <v>0</v>
      </c>
      <c r="Q635" t="n">
        <v>0</v>
      </c>
      <c r="R635" s="2" t="inlineStr"/>
    </row>
    <row r="636" ht="15" customHeight="1">
      <c r="A636" t="inlineStr">
        <is>
          <t>A 10973-2025</t>
        </is>
      </c>
      <c r="B636" s="1" t="n">
        <v>45723</v>
      </c>
      <c r="C636" s="1" t="n">
        <v>46114</v>
      </c>
      <c r="D636" t="inlineStr">
        <is>
          <t>STOCKHOLMS LÄN</t>
        </is>
      </c>
      <c r="E636" t="inlineStr">
        <is>
          <t>NORRTÄLJE</t>
        </is>
      </c>
      <c r="F636" t="inlineStr">
        <is>
          <t>Övriga Aktiebolag</t>
        </is>
      </c>
      <c r="G636" t="n">
        <v>2.7</v>
      </c>
      <c r="H636" t="n">
        <v>0</v>
      </c>
      <c r="I636" t="n">
        <v>0</v>
      </c>
      <c r="J636" t="n">
        <v>0</v>
      </c>
      <c r="K636" t="n">
        <v>0</v>
      </c>
      <c r="L636" t="n">
        <v>0</v>
      </c>
      <c r="M636" t="n">
        <v>0</v>
      </c>
      <c r="N636" t="n">
        <v>0</v>
      </c>
      <c r="O636" t="n">
        <v>0</v>
      </c>
      <c r="P636" t="n">
        <v>0</v>
      </c>
      <c r="Q636" t="n">
        <v>0</v>
      </c>
      <c r="R636" s="2" t="inlineStr"/>
    </row>
    <row r="637" ht="15" customHeight="1">
      <c r="A637" t="inlineStr">
        <is>
          <t>A 27885-2022</t>
        </is>
      </c>
      <c r="B637" s="1" t="n">
        <v>44743.67418981482</v>
      </c>
      <c r="C637" s="1" t="n">
        <v>46114</v>
      </c>
      <c r="D637" t="inlineStr">
        <is>
          <t>STOCKHOLMS LÄN</t>
        </is>
      </c>
      <c r="E637" t="inlineStr">
        <is>
          <t>NORRTÄLJE</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49129-2025</t>
        </is>
      </c>
      <c r="B638" s="1" t="n">
        <v>45937.89517361111</v>
      </c>
      <c r="C638" s="1" t="n">
        <v>46114</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60224-2023</t>
        </is>
      </c>
      <c r="B639" s="1" t="n">
        <v>45257</v>
      </c>
      <c r="C639" s="1" t="n">
        <v>46114</v>
      </c>
      <c r="D639" t="inlineStr">
        <is>
          <t>STOCKHOLMS LÄN</t>
        </is>
      </c>
      <c r="E639" t="inlineStr">
        <is>
          <t>NORRTÄLJE</t>
        </is>
      </c>
      <c r="G639" t="n">
        <v>8.1</v>
      </c>
      <c r="H639" t="n">
        <v>0</v>
      </c>
      <c r="I639" t="n">
        <v>0</v>
      </c>
      <c r="J639" t="n">
        <v>0</v>
      </c>
      <c r="K639" t="n">
        <v>0</v>
      </c>
      <c r="L639" t="n">
        <v>0</v>
      </c>
      <c r="M639" t="n">
        <v>0</v>
      </c>
      <c r="N639" t="n">
        <v>0</v>
      </c>
      <c r="O639" t="n">
        <v>0</v>
      </c>
      <c r="P639" t="n">
        <v>0</v>
      </c>
      <c r="Q639" t="n">
        <v>0</v>
      </c>
      <c r="R639" s="2" t="inlineStr"/>
    </row>
    <row r="640" ht="15" customHeight="1">
      <c r="A640" t="inlineStr">
        <is>
          <t>A 50097-2025</t>
        </is>
      </c>
      <c r="B640" s="1" t="n">
        <v>45943.50207175926</v>
      </c>
      <c r="C640" s="1" t="n">
        <v>46114</v>
      </c>
      <c r="D640" t="inlineStr">
        <is>
          <t>STOCKHOLMS LÄN</t>
        </is>
      </c>
      <c r="E640" t="inlineStr">
        <is>
          <t>NORRTÄLJE</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5158-2024</t>
        </is>
      </c>
      <c r="B641" s="1" t="n">
        <v>45330.50098379629</v>
      </c>
      <c r="C641" s="1" t="n">
        <v>46114</v>
      </c>
      <c r="D641" t="inlineStr">
        <is>
          <t>STOCKHOLMS LÄN</t>
        </is>
      </c>
      <c r="E641" t="inlineStr">
        <is>
          <t>NORRTÄLJE</t>
        </is>
      </c>
      <c r="G641" t="n">
        <v>0.8</v>
      </c>
      <c r="H641" t="n">
        <v>0</v>
      </c>
      <c r="I641" t="n">
        <v>0</v>
      </c>
      <c r="J641" t="n">
        <v>0</v>
      </c>
      <c r="K641" t="n">
        <v>0</v>
      </c>
      <c r="L641" t="n">
        <v>0</v>
      </c>
      <c r="M641" t="n">
        <v>0</v>
      </c>
      <c r="N641" t="n">
        <v>0</v>
      </c>
      <c r="O641" t="n">
        <v>0</v>
      </c>
      <c r="P641" t="n">
        <v>0</v>
      </c>
      <c r="Q641" t="n">
        <v>0</v>
      </c>
      <c r="R641" s="2" t="inlineStr"/>
    </row>
    <row r="642" ht="15" customHeight="1">
      <c r="A642" t="inlineStr">
        <is>
          <t>A 49836-2025</t>
        </is>
      </c>
      <c r="B642" s="1" t="n">
        <v>45940.46862268518</v>
      </c>
      <c r="C642" s="1" t="n">
        <v>46114</v>
      </c>
      <c r="D642" t="inlineStr">
        <is>
          <t>STOCKHOLMS LÄN</t>
        </is>
      </c>
      <c r="E642" t="inlineStr">
        <is>
          <t>NORRTÄLJE</t>
        </is>
      </c>
      <c r="G642" t="n">
        <v>3.5</v>
      </c>
      <c r="H642" t="n">
        <v>0</v>
      </c>
      <c r="I642" t="n">
        <v>0</v>
      </c>
      <c r="J642" t="n">
        <v>0</v>
      </c>
      <c r="K642" t="n">
        <v>0</v>
      </c>
      <c r="L642" t="n">
        <v>0</v>
      </c>
      <c r="M642" t="n">
        <v>0</v>
      </c>
      <c r="N642" t="n">
        <v>0</v>
      </c>
      <c r="O642" t="n">
        <v>0</v>
      </c>
      <c r="P642" t="n">
        <v>0</v>
      </c>
      <c r="Q642" t="n">
        <v>0</v>
      </c>
      <c r="R642" s="2" t="inlineStr"/>
    </row>
    <row r="643" ht="15" customHeight="1">
      <c r="A643" t="inlineStr">
        <is>
          <t>A 9130-2025</t>
        </is>
      </c>
      <c r="B643" s="1" t="n">
        <v>45713.92623842593</v>
      </c>
      <c r="C643" s="1" t="n">
        <v>46114</v>
      </c>
      <c r="D643" t="inlineStr">
        <is>
          <t>STOCKHOLMS LÄN</t>
        </is>
      </c>
      <c r="E643" t="inlineStr">
        <is>
          <t>NORRTÄLJE</t>
        </is>
      </c>
      <c r="G643" t="n">
        <v>16</v>
      </c>
      <c r="H643" t="n">
        <v>0</v>
      </c>
      <c r="I643" t="n">
        <v>0</v>
      </c>
      <c r="J643" t="n">
        <v>0</v>
      </c>
      <c r="K643" t="n">
        <v>0</v>
      </c>
      <c r="L643" t="n">
        <v>0</v>
      </c>
      <c r="M643" t="n">
        <v>0</v>
      </c>
      <c r="N643" t="n">
        <v>0</v>
      </c>
      <c r="O643" t="n">
        <v>0</v>
      </c>
      <c r="P643" t="n">
        <v>0</v>
      </c>
      <c r="Q643" t="n">
        <v>0</v>
      </c>
      <c r="R643" s="2" t="inlineStr"/>
    </row>
    <row r="644" ht="15" customHeight="1">
      <c r="A644" t="inlineStr">
        <is>
          <t>A 50327-2025</t>
        </is>
      </c>
      <c r="B644" s="1" t="n">
        <v>45944.46387731482</v>
      </c>
      <c r="C644" s="1" t="n">
        <v>46114</v>
      </c>
      <c r="D644" t="inlineStr">
        <is>
          <t>STOCKHOLMS LÄN</t>
        </is>
      </c>
      <c r="E644" t="inlineStr">
        <is>
          <t>NORRTÄLJE</t>
        </is>
      </c>
      <c r="G644" t="n">
        <v>0.3</v>
      </c>
      <c r="H644" t="n">
        <v>0</v>
      </c>
      <c r="I644" t="n">
        <v>0</v>
      </c>
      <c r="J644" t="n">
        <v>0</v>
      </c>
      <c r="K644" t="n">
        <v>0</v>
      </c>
      <c r="L644" t="n">
        <v>0</v>
      </c>
      <c r="M644" t="n">
        <v>0</v>
      </c>
      <c r="N644" t="n">
        <v>0</v>
      </c>
      <c r="O644" t="n">
        <v>0</v>
      </c>
      <c r="P644" t="n">
        <v>0</v>
      </c>
      <c r="Q644" t="n">
        <v>0</v>
      </c>
      <c r="R644" s="2" t="inlineStr"/>
    </row>
    <row r="645" ht="15" customHeight="1">
      <c r="A645" t="inlineStr">
        <is>
          <t>A 17551-2025</t>
        </is>
      </c>
      <c r="B645" s="1" t="n">
        <v>45757.61421296297</v>
      </c>
      <c r="C645" s="1" t="n">
        <v>46114</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55010-2024</t>
        </is>
      </c>
      <c r="B646" s="1" t="n">
        <v>45621.34425925926</v>
      </c>
      <c r="C646" s="1" t="n">
        <v>46114</v>
      </c>
      <c r="D646" t="inlineStr">
        <is>
          <t>STOCKHOLMS LÄN</t>
        </is>
      </c>
      <c r="E646" t="inlineStr">
        <is>
          <t>NORRTÄLJE</t>
        </is>
      </c>
      <c r="F646" t="inlineStr">
        <is>
          <t>Sveaskog</t>
        </is>
      </c>
      <c r="G646" t="n">
        <v>5.7</v>
      </c>
      <c r="H646" t="n">
        <v>0</v>
      </c>
      <c r="I646" t="n">
        <v>0</v>
      </c>
      <c r="J646" t="n">
        <v>0</v>
      </c>
      <c r="K646" t="n">
        <v>0</v>
      </c>
      <c r="L646" t="n">
        <v>0</v>
      </c>
      <c r="M646" t="n">
        <v>0</v>
      </c>
      <c r="N646" t="n">
        <v>0</v>
      </c>
      <c r="O646" t="n">
        <v>0</v>
      </c>
      <c r="P646" t="n">
        <v>0</v>
      </c>
      <c r="Q646" t="n">
        <v>0</v>
      </c>
      <c r="R646" s="2" t="inlineStr"/>
    </row>
    <row r="647" ht="15" customHeight="1">
      <c r="A647" t="inlineStr">
        <is>
          <t>A 31105-2022</t>
        </is>
      </c>
      <c r="B647" s="1" t="n">
        <v>44769.66039351852</v>
      </c>
      <c r="C647" s="1" t="n">
        <v>46114</v>
      </c>
      <c r="D647" t="inlineStr">
        <is>
          <t>STOCKHOLMS LÄN</t>
        </is>
      </c>
      <c r="E647" t="inlineStr">
        <is>
          <t>NORRTÄLJE</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50563-2025</t>
        </is>
      </c>
      <c r="B648" s="1" t="n">
        <v>45944</v>
      </c>
      <c r="C648" s="1" t="n">
        <v>46114</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50333-2025</t>
        </is>
      </c>
      <c r="B649" s="1" t="n">
        <v>45944.47178240741</v>
      </c>
      <c r="C649" s="1" t="n">
        <v>46114</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51122-2025</t>
        </is>
      </c>
      <c r="B650" s="1" t="n">
        <v>45947.53693287037</v>
      </c>
      <c r="C650" s="1" t="n">
        <v>46114</v>
      </c>
      <c r="D650" t="inlineStr">
        <is>
          <t>STOCKHOLMS LÄN</t>
        </is>
      </c>
      <c r="E650" t="inlineStr">
        <is>
          <t>NORRTÄLJE</t>
        </is>
      </c>
      <c r="G650" t="n">
        <v>3.8</v>
      </c>
      <c r="H650" t="n">
        <v>0</v>
      </c>
      <c r="I650" t="n">
        <v>0</v>
      </c>
      <c r="J650" t="n">
        <v>0</v>
      </c>
      <c r="K650" t="n">
        <v>0</v>
      </c>
      <c r="L650" t="n">
        <v>0</v>
      </c>
      <c r="M650" t="n">
        <v>0</v>
      </c>
      <c r="N650" t="n">
        <v>0</v>
      </c>
      <c r="O650" t="n">
        <v>0</v>
      </c>
      <c r="P650" t="n">
        <v>0</v>
      </c>
      <c r="Q650" t="n">
        <v>0</v>
      </c>
      <c r="R650" s="2" t="inlineStr"/>
    </row>
    <row r="651" ht="15" customHeight="1">
      <c r="A651" t="inlineStr">
        <is>
          <t>A 51233-2025</t>
        </is>
      </c>
      <c r="B651" s="1" t="n">
        <v>45947.68232638889</v>
      </c>
      <c r="C651" s="1" t="n">
        <v>46114</v>
      </c>
      <c r="D651" t="inlineStr">
        <is>
          <t>STOCKHOLMS LÄN</t>
        </is>
      </c>
      <c r="E651" t="inlineStr">
        <is>
          <t>NORRTÄLJE</t>
        </is>
      </c>
      <c r="F651" t="inlineStr">
        <is>
          <t>Naturvårdsverket</t>
        </is>
      </c>
      <c r="G651" t="n">
        <v>8.1</v>
      </c>
      <c r="H651" t="n">
        <v>0</v>
      </c>
      <c r="I651" t="n">
        <v>0</v>
      </c>
      <c r="J651" t="n">
        <v>0</v>
      </c>
      <c r="K651" t="n">
        <v>0</v>
      </c>
      <c r="L651" t="n">
        <v>0</v>
      </c>
      <c r="M651" t="n">
        <v>0</v>
      </c>
      <c r="N651" t="n">
        <v>0</v>
      </c>
      <c r="O651" t="n">
        <v>0</v>
      </c>
      <c r="P651" t="n">
        <v>0</v>
      </c>
      <c r="Q651" t="n">
        <v>0</v>
      </c>
      <c r="R651" s="2" t="inlineStr"/>
    </row>
    <row r="652" ht="15" customHeight="1">
      <c r="A652" t="inlineStr">
        <is>
          <t>A 51236-2025</t>
        </is>
      </c>
      <c r="B652" s="1" t="n">
        <v>45947.69078703703</v>
      </c>
      <c r="C652" s="1" t="n">
        <v>46114</v>
      </c>
      <c r="D652" t="inlineStr">
        <is>
          <t>STOCKHOLMS LÄN</t>
        </is>
      </c>
      <c r="E652" t="inlineStr">
        <is>
          <t>NORRTÄLJE</t>
        </is>
      </c>
      <c r="F652" t="inlineStr">
        <is>
          <t>Naturvårdsverket</t>
        </is>
      </c>
      <c r="G652" t="n">
        <v>6.3</v>
      </c>
      <c r="H652" t="n">
        <v>0</v>
      </c>
      <c r="I652" t="n">
        <v>0</v>
      </c>
      <c r="J652" t="n">
        <v>0</v>
      </c>
      <c r="K652" t="n">
        <v>0</v>
      </c>
      <c r="L652" t="n">
        <v>0</v>
      </c>
      <c r="M652" t="n">
        <v>0</v>
      </c>
      <c r="N652" t="n">
        <v>0</v>
      </c>
      <c r="O652" t="n">
        <v>0</v>
      </c>
      <c r="P652" t="n">
        <v>0</v>
      </c>
      <c r="Q652" t="n">
        <v>0</v>
      </c>
      <c r="R652" s="2" t="inlineStr"/>
    </row>
    <row r="653" ht="15" customHeight="1">
      <c r="A653" t="inlineStr">
        <is>
          <t>A 51241-2025</t>
        </is>
      </c>
      <c r="B653" s="1" t="n">
        <v>45947.71726851852</v>
      </c>
      <c r="C653" s="1" t="n">
        <v>46114</v>
      </c>
      <c r="D653" t="inlineStr">
        <is>
          <t>STOCKHOLMS LÄN</t>
        </is>
      </c>
      <c r="E653" t="inlineStr">
        <is>
          <t>NORRTÄLJE</t>
        </is>
      </c>
      <c r="F653" t="inlineStr">
        <is>
          <t>Naturvårdsverket</t>
        </is>
      </c>
      <c r="G653" t="n">
        <v>6.4</v>
      </c>
      <c r="H653" t="n">
        <v>0</v>
      </c>
      <c r="I653" t="n">
        <v>0</v>
      </c>
      <c r="J653" t="n">
        <v>0</v>
      </c>
      <c r="K653" t="n">
        <v>0</v>
      </c>
      <c r="L653" t="n">
        <v>0</v>
      </c>
      <c r="M653" t="n">
        <v>0</v>
      </c>
      <c r="N653" t="n">
        <v>0</v>
      </c>
      <c r="O653" t="n">
        <v>0</v>
      </c>
      <c r="P653" t="n">
        <v>0</v>
      </c>
      <c r="Q653" t="n">
        <v>0</v>
      </c>
      <c r="R653" s="2" t="inlineStr"/>
    </row>
    <row r="654" ht="15" customHeight="1">
      <c r="A654" t="inlineStr">
        <is>
          <t>A 51240-2025</t>
        </is>
      </c>
      <c r="B654" s="1" t="n">
        <v>45947.70420138889</v>
      </c>
      <c r="C654" s="1" t="n">
        <v>46114</v>
      </c>
      <c r="D654" t="inlineStr">
        <is>
          <t>STOCKHOLMS LÄN</t>
        </is>
      </c>
      <c r="E654" t="inlineStr">
        <is>
          <t>NORRTÄLJE</t>
        </is>
      </c>
      <c r="F654" t="inlineStr">
        <is>
          <t>Naturvårdsverket</t>
        </is>
      </c>
      <c r="G654" t="n">
        <v>3</v>
      </c>
      <c r="H654" t="n">
        <v>0</v>
      </c>
      <c r="I654" t="n">
        <v>0</v>
      </c>
      <c r="J654" t="n">
        <v>0</v>
      </c>
      <c r="K654" t="n">
        <v>0</v>
      </c>
      <c r="L654" t="n">
        <v>0</v>
      </c>
      <c r="M654" t="n">
        <v>0</v>
      </c>
      <c r="N654" t="n">
        <v>0</v>
      </c>
      <c r="O654" t="n">
        <v>0</v>
      </c>
      <c r="P654" t="n">
        <v>0</v>
      </c>
      <c r="Q654" t="n">
        <v>0</v>
      </c>
      <c r="R654" s="2" t="inlineStr"/>
    </row>
    <row r="655" ht="15" customHeight="1">
      <c r="A655" t="inlineStr">
        <is>
          <t>A 30620-2022</t>
        </is>
      </c>
      <c r="B655" s="1" t="n">
        <v>44763.40914351852</v>
      </c>
      <c r="C655" s="1" t="n">
        <v>46114</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51121-2025</t>
        </is>
      </c>
      <c r="B656" s="1" t="n">
        <v>45947.53293981482</v>
      </c>
      <c r="C656" s="1" t="n">
        <v>46114</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50113-2024</t>
        </is>
      </c>
      <c r="B657" s="1" t="n">
        <v>45600.411875</v>
      </c>
      <c r="C657" s="1" t="n">
        <v>46114</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28365-2022</t>
        </is>
      </c>
      <c r="B658" s="1" t="n">
        <v>44747</v>
      </c>
      <c r="C658" s="1" t="n">
        <v>46114</v>
      </c>
      <c r="D658" t="inlineStr">
        <is>
          <t>STOCKHOLMS LÄN</t>
        </is>
      </c>
      <c r="E658" t="inlineStr">
        <is>
          <t>NORRTÄLJE</t>
        </is>
      </c>
      <c r="G658" t="n">
        <v>5.1</v>
      </c>
      <c r="H658" t="n">
        <v>0</v>
      </c>
      <c r="I658" t="n">
        <v>0</v>
      </c>
      <c r="J658" t="n">
        <v>0</v>
      </c>
      <c r="K658" t="n">
        <v>0</v>
      </c>
      <c r="L658" t="n">
        <v>0</v>
      </c>
      <c r="M658" t="n">
        <v>0</v>
      </c>
      <c r="N658" t="n">
        <v>0</v>
      </c>
      <c r="O658" t="n">
        <v>0</v>
      </c>
      <c r="P658" t="n">
        <v>0</v>
      </c>
      <c r="Q658" t="n">
        <v>0</v>
      </c>
      <c r="R658" s="2" t="inlineStr"/>
    </row>
    <row r="659" ht="15" customHeight="1">
      <c r="A659" t="inlineStr">
        <is>
          <t>A 42955-2022</t>
        </is>
      </c>
      <c r="B659" s="1" t="n">
        <v>44833.40876157407</v>
      </c>
      <c r="C659" s="1" t="n">
        <v>46114</v>
      </c>
      <c r="D659" t="inlineStr">
        <is>
          <t>STOCKHOLMS LÄN</t>
        </is>
      </c>
      <c r="E659" t="inlineStr">
        <is>
          <t>NORRTÄLJE</t>
        </is>
      </c>
      <c r="G659" t="n">
        <v>13.1</v>
      </c>
      <c r="H659" t="n">
        <v>0</v>
      </c>
      <c r="I659" t="n">
        <v>0</v>
      </c>
      <c r="J659" t="n">
        <v>0</v>
      </c>
      <c r="K659" t="n">
        <v>0</v>
      </c>
      <c r="L659" t="n">
        <v>0</v>
      </c>
      <c r="M659" t="n">
        <v>0</v>
      </c>
      <c r="N659" t="n">
        <v>0</v>
      </c>
      <c r="O659" t="n">
        <v>0</v>
      </c>
      <c r="P659" t="n">
        <v>0</v>
      </c>
      <c r="Q659" t="n">
        <v>0</v>
      </c>
      <c r="R659" s="2" t="inlineStr"/>
    </row>
    <row r="660" ht="15" customHeight="1">
      <c r="A660" t="inlineStr">
        <is>
          <t>A 59477-2025</t>
        </is>
      </c>
      <c r="B660" s="1" t="n">
        <v>45989.58679398148</v>
      </c>
      <c r="C660" s="1" t="n">
        <v>46114</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1283-2025</t>
        </is>
      </c>
      <c r="B661" s="1" t="n">
        <v>45667.49878472222</v>
      </c>
      <c r="C661" s="1" t="n">
        <v>46114</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51532-2025</t>
        </is>
      </c>
      <c r="B662" s="1" t="n">
        <v>45950.68297453703</v>
      </c>
      <c r="C662" s="1" t="n">
        <v>46114</v>
      </c>
      <c r="D662" t="inlineStr">
        <is>
          <t>STOCKHOLMS LÄN</t>
        </is>
      </c>
      <c r="E662" t="inlineStr">
        <is>
          <t>NORRTÄLJE</t>
        </is>
      </c>
      <c r="F662" t="inlineStr">
        <is>
          <t>Naturvårdsverket</t>
        </is>
      </c>
      <c r="G662" t="n">
        <v>17.3</v>
      </c>
      <c r="H662" t="n">
        <v>0</v>
      </c>
      <c r="I662" t="n">
        <v>0</v>
      </c>
      <c r="J662" t="n">
        <v>0</v>
      </c>
      <c r="K662" t="n">
        <v>0</v>
      </c>
      <c r="L662" t="n">
        <v>0</v>
      </c>
      <c r="M662" t="n">
        <v>0</v>
      </c>
      <c r="N662" t="n">
        <v>0</v>
      </c>
      <c r="O662" t="n">
        <v>0</v>
      </c>
      <c r="P662" t="n">
        <v>0</v>
      </c>
      <c r="Q662" t="n">
        <v>0</v>
      </c>
      <c r="R662" s="2" t="inlineStr"/>
    </row>
    <row r="663" ht="15" customHeight="1">
      <c r="A663" t="inlineStr">
        <is>
          <t>A 51789-2025</t>
        </is>
      </c>
      <c r="B663" s="1" t="n">
        <v>45951.68046296296</v>
      </c>
      <c r="C663" s="1" t="n">
        <v>46114</v>
      </c>
      <c r="D663" t="inlineStr">
        <is>
          <t>STOCKHOLMS LÄN</t>
        </is>
      </c>
      <c r="E663" t="inlineStr">
        <is>
          <t>NORRTÄLJE</t>
        </is>
      </c>
      <c r="F663" t="inlineStr">
        <is>
          <t>Naturvårdsverket</t>
        </is>
      </c>
      <c r="G663" t="n">
        <v>8.9</v>
      </c>
      <c r="H663" t="n">
        <v>0</v>
      </c>
      <c r="I663" t="n">
        <v>0</v>
      </c>
      <c r="J663" t="n">
        <v>0</v>
      </c>
      <c r="K663" t="n">
        <v>0</v>
      </c>
      <c r="L663" t="n">
        <v>0</v>
      </c>
      <c r="M663" t="n">
        <v>0</v>
      </c>
      <c r="N663" t="n">
        <v>0</v>
      </c>
      <c r="O663" t="n">
        <v>0</v>
      </c>
      <c r="P663" t="n">
        <v>0</v>
      </c>
      <c r="Q663" t="n">
        <v>0</v>
      </c>
      <c r="R663" s="2" t="inlineStr"/>
    </row>
    <row r="664" ht="15" customHeight="1">
      <c r="A664" t="inlineStr">
        <is>
          <t>A 13767-2025</t>
        </is>
      </c>
      <c r="B664" s="1" t="n">
        <v>45737.43347222222</v>
      </c>
      <c r="C664" s="1" t="n">
        <v>46114</v>
      </c>
      <c r="D664" t="inlineStr">
        <is>
          <t>STOCKHOLMS LÄN</t>
        </is>
      </c>
      <c r="E664" t="inlineStr">
        <is>
          <t>NORRTÄLJE</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20013-2025</t>
        </is>
      </c>
      <c r="B665" s="1" t="n">
        <v>45772.30436342592</v>
      </c>
      <c r="C665" s="1" t="n">
        <v>46114</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53362-2023</t>
        </is>
      </c>
      <c r="B666" s="1" t="n">
        <v>45223</v>
      </c>
      <c r="C666" s="1" t="n">
        <v>46114</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15422-2024</t>
        </is>
      </c>
      <c r="B667" s="1" t="n">
        <v>45401.3653125</v>
      </c>
      <c r="C667" s="1" t="n">
        <v>46114</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30508-2023</t>
        </is>
      </c>
      <c r="B668" s="1" t="n">
        <v>45111</v>
      </c>
      <c r="C668" s="1" t="n">
        <v>46114</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51960-2025</t>
        </is>
      </c>
      <c r="B669" s="1" t="n">
        <v>45952.54755787037</v>
      </c>
      <c r="C669" s="1" t="n">
        <v>46114</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16008-2025</t>
        </is>
      </c>
      <c r="B670" s="1" t="n">
        <v>45749</v>
      </c>
      <c r="C670" s="1" t="n">
        <v>46114</v>
      </c>
      <c r="D670" t="inlineStr">
        <is>
          <t>STOCKHOLMS LÄN</t>
        </is>
      </c>
      <c r="E670" t="inlineStr">
        <is>
          <t>NORRTÄLJE</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21158-2022</t>
        </is>
      </c>
      <c r="B671" s="1" t="n">
        <v>44704</v>
      </c>
      <c r="C671" s="1" t="n">
        <v>46114</v>
      </c>
      <c r="D671" t="inlineStr">
        <is>
          <t>STOCKHOLMS LÄN</t>
        </is>
      </c>
      <c r="E671" t="inlineStr">
        <is>
          <t>NORRTÄLJE</t>
        </is>
      </c>
      <c r="G671" t="n">
        <v>17.8</v>
      </c>
      <c r="H671" t="n">
        <v>0</v>
      </c>
      <c r="I671" t="n">
        <v>0</v>
      </c>
      <c r="J671" t="n">
        <v>0</v>
      </c>
      <c r="K671" t="n">
        <v>0</v>
      </c>
      <c r="L671" t="n">
        <v>0</v>
      </c>
      <c r="M671" t="n">
        <v>0</v>
      </c>
      <c r="N671" t="n">
        <v>0</v>
      </c>
      <c r="O671" t="n">
        <v>0</v>
      </c>
      <c r="P671" t="n">
        <v>0</v>
      </c>
      <c r="Q671" t="n">
        <v>0</v>
      </c>
      <c r="R671" s="2" t="inlineStr"/>
    </row>
    <row r="672" ht="15" customHeight="1">
      <c r="A672" t="inlineStr">
        <is>
          <t>A 51941-2025</t>
        </is>
      </c>
      <c r="B672" s="1" t="n">
        <v>45952.52261574074</v>
      </c>
      <c r="C672" s="1" t="n">
        <v>46114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52061-2025</t>
        </is>
      </c>
      <c r="B673" s="1" t="n">
        <v>45952.63679398148</v>
      </c>
      <c r="C673" s="1" t="n">
        <v>46114</v>
      </c>
      <c r="D673" t="inlineStr">
        <is>
          <t>STOCKHOLMS LÄN</t>
        </is>
      </c>
      <c r="E673" t="inlineStr">
        <is>
          <t>NORRTÄLJE</t>
        </is>
      </c>
      <c r="G673" t="n">
        <v>9.5</v>
      </c>
      <c r="H673" t="n">
        <v>0</v>
      </c>
      <c r="I673" t="n">
        <v>0</v>
      </c>
      <c r="J673" t="n">
        <v>0</v>
      </c>
      <c r="K673" t="n">
        <v>0</v>
      </c>
      <c r="L673" t="n">
        <v>0</v>
      </c>
      <c r="M673" t="n">
        <v>0</v>
      </c>
      <c r="N673" t="n">
        <v>0</v>
      </c>
      <c r="O673" t="n">
        <v>0</v>
      </c>
      <c r="P673" t="n">
        <v>0</v>
      </c>
      <c r="Q673" t="n">
        <v>0</v>
      </c>
      <c r="R673" s="2" t="inlineStr"/>
    </row>
    <row r="674" ht="15" customHeight="1">
      <c r="A674" t="inlineStr">
        <is>
          <t>A 51945-2025</t>
        </is>
      </c>
      <c r="B674" s="1" t="n">
        <v>45952.52679398148</v>
      </c>
      <c r="C674" s="1" t="n">
        <v>46114</v>
      </c>
      <c r="D674" t="inlineStr">
        <is>
          <t>STOCKHOLMS LÄN</t>
        </is>
      </c>
      <c r="E674" t="inlineStr">
        <is>
          <t>NORRTÄLJE</t>
        </is>
      </c>
      <c r="G674" t="n">
        <v>7</v>
      </c>
      <c r="H674" t="n">
        <v>0</v>
      </c>
      <c r="I674" t="n">
        <v>0</v>
      </c>
      <c r="J674" t="n">
        <v>0</v>
      </c>
      <c r="K674" t="n">
        <v>0</v>
      </c>
      <c r="L674" t="n">
        <v>0</v>
      </c>
      <c r="M674" t="n">
        <v>0</v>
      </c>
      <c r="N674" t="n">
        <v>0</v>
      </c>
      <c r="O674" t="n">
        <v>0</v>
      </c>
      <c r="P674" t="n">
        <v>0</v>
      </c>
      <c r="Q674" t="n">
        <v>0</v>
      </c>
      <c r="R674" s="2" t="inlineStr"/>
    </row>
    <row r="675" ht="15" customHeight="1">
      <c r="A675" t="inlineStr">
        <is>
          <t>A 32101-2022</t>
        </is>
      </c>
      <c r="B675" s="1" t="n">
        <v>44778.69210648148</v>
      </c>
      <c r="C675" s="1" t="n">
        <v>46114</v>
      </c>
      <c r="D675" t="inlineStr">
        <is>
          <t>STOCKHOLMS LÄN</t>
        </is>
      </c>
      <c r="E675" t="inlineStr">
        <is>
          <t>NORRTÄLJE</t>
        </is>
      </c>
      <c r="G675" t="n">
        <v>4.4</v>
      </c>
      <c r="H675" t="n">
        <v>0</v>
      </c>
      <c r="I675" t="n">
        <v>0</v>
      </c>
      <c r="J675" t="n">
        <v>0</v>
      </c>
      <c r="K675" t="n">
        <v>0</v>
      </c>
      <c r="L675" t="n">
        <v>0</v>
      </c>
      <c r="M675" t="n">
        <v>0</v>
      </c>
      <c r="N675" t="n">
        <v>0</v>
      </c>
      <c r="O675" t="n">
        <v>0</v>
      </c>
      <c r="P675" t="n">
        <v>0</v>
      </c>
      <c r="Q675" t="n">
        <v>0</v>
      </c>
      <c r="R675" s="2" t="inlineStr"/>
    </row>
    <row r="676" ht="15" customHeight="1">
      <c r="A676" t="inlineStr">
        <is>
          <t>A 23150-2024</t>
        </is>
      </c>
      <c r="B676" s="1" t="n">
        <v>45450.64643518518</v>
      </c>
      <c r="C676" s="1" t="n">
        <v>46114</v>
      </c>
      <c r="D676" t="inlineStr">
        <is>
          <t>STOCKHOLMS LÄN</t>
        </is>
      </c>
      <c r="E676" t="inlineStr">
        <is>
          <t>NORRTÄLJE</t>
        </is>
      </c>
      <c r="F676" t="inlineStr">
        <is>
          <t>Kommuner</t>
        </is>
      </c>
      <c r="G676" t="n">
        <v>2.7</v>
      </c>
      <c r="H676" t="n">
        <v>0</v>
      </c>
      <c r="I676" t="n">
        <v>0</v>
      </c>
      <c r="J676" t="n">
        <v>0</v>
      </c>
      <c r="K676" t="n">
        <v>0</v>
      </c>
      <c r="L676" t="n">
        <v>0</v>
      </c>
      <c r="M676" t="n">
        <v>0</v>
      </c>
      <c r="N676" t="n">
        <v>0</v>
      </c>
      <c r="O676" t="n">
        <v>0</v>
      </c>
      <c r="P676" t="n">
        <v>0</v>
      </c>
      <c r="Q676" t="n">
        <v>0</v>
      </c>
      <c r="R676" s="2" t="inlineStr"/>
    </row>
    <row r="677" ht="15" customHeight="1">
      <c r="A677" t="inlineStr">
        <is>
          <t>A 24933-2023</t>
        </is>
      </c>
      <c r="B677" s="1" t="n">
        <v>45085.5309375</v>
      </c>
      <c r="C677" s="1" t="n">
        <v>46114</v>
      </c>
      <c r="D677" t="inlineStr">
        <is>
          <t>STOCKHOLMS LÄN</t>
        </is>
      </c>
      <c r="E677" t="inlineStr">
        <is>
          <t>NORRTÄLJE</t>
        </is>
      </c>
      <c r="F677" t="inlineStr">
        <is>
          <t>Holmen skog AB</t>
        </is>
      </c>
      <c r="G677" t="n">
        <v>1.8</v>
      </c>
      <c r="H677" t="n">
        <v>0</v>
      </c>
      <c r="I677" t="n">
        <v>0</v>
      </c>
      <c r="J677" t="n">
        <v>0</v>
      </c>
      <c r="K677" t="n">
        <v>0</v>
      </c>
      <c r="L677" t="n">
        <v>0</v>
      </c>
      <c r="M677" t="n">
        <v>0</v>
      </c>
      <c r="N677" t="n">
        <v>0</v>
      </c>
      <c r="O677" t="n">
        <v>0</v>
      </c>
      <c r="P677" t="n">
        <v>0</v>
      </c>
      <c r="Q677" t="n">
        <v>0</v>
      </c>
      <c r="R677" s="2" t="inlineStr"/>
    </row>
    <row r="678" ht="15" customHeight="1">
      <c r="A678" t="inlineStr">
        <is>
          <t>A 52251-2025</t>
        </is>
      </c>
      <c r="B678" s="1" t="n">
        <v>45953.49185185185</v>
      </c>
      <c r="C678" s="1" t="n">
        <v>46114</v>
      </c>
      <c r="D678" t="inlineStr">
        <is>
          <t>STOCKHOLMS LÄN</t>
        </is>
      </c>
      <c r="E678" t="inlineStr">
        <is>
          <t>NORRTÄLJE</t>
        </is>
      </c>
      <c r="G678" t="n">
        <v>6.2</v>
      </c>
      <c r="H678" t="n">
        <v>0</v>
      </c>
      <c r="I678" t="n">
        <v>0</v>
      </c>
      <c r="J678" t="n">
        <v>0</v>
      </c>
      <c r="K678" t="n">
        <v>0</v>
      </c>
      <c r="L678" t="n">
        <v>0</v>
      </c>
      <c r="M678" t="n">
        <v>0</v>
      </c>
      <c r="N678" t="n">
        <v>0</v>
      </c>
      <c r="O678" t="n">
        <v>0</v>
      </c>
      <c r="P678" t="n">
        <v>0</v>
      </c>
      <c r="Q678" t="n">
        <v>0</v>
      </c>
      <c r="R678" s="2" t="inlineStr"/>
    </row>
    <row r="679" ht="15" customHeight="1">
      <c r="A679" t="inlineStr">
        <is>
          <t>A 52254-2025</t>
        </is>
      </c>
      <c r="B679" s="1" t="n">
        <v>45953.49519675926</v>
      </c>
      <c r="C679" s="1" t="n">
        <v>46114</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52773-2025</t>
        </is>
      </c>
      <c r="B680" s="1" t="n">
        <v>45957.41457175926</v>
      </c>
      <c r="C680" s="1" t="n">
        <v>46114</v>
      </c>
      <c r="D680" t="inlineStr">
        <is>
          <t>STOCKHOLMS LÄN</t>
        </is>
      </c>
      <c r="E680" t="inlineStr">
        <is>
          <t>NORRTÄLJE</t>
        </is>
      </c>
      <c r="F680" t="inlineStr">
        <is>
          <t>Sveaskog</t>
        </is>
      </c>
      <c r="G680" t="n">
        <v>10.5</v>
      </c>
      <c r="H680" t="n">
        <v>0</v>
      </c>
      <c r="I680" t="n">
        <v>0</v>
      </c>
      <c r="J680" t="n">
        <v>0</v>
      </c>
      <c r="K680" t="n">
        <v>0</v>
      </c>
      <c r="L680" t="n">
        <v>0</v>
      </c>
      <c r="M680" t="n">
        <v>0</v>
      </c>
      <c r="N680" t="n">
        <v>0</v>
      </c>
      <c r="O680" t="n">
        <v>0</v>
      </c>
      <c r="P680" t="n">
        <v>0</v>
      </c>
      <c r="Q680" t="n">
        <v>0</v>
      </c>
      <c r="R680" s="2" t="inlineStr"/>
    </row>
    <row r="681" ht="15" customHeight="1">
      <c r="A681" t="inlineStr">
        <is>
          <t>A 52777-2025</t>
        </is>
      </c>
      <c r="B681" s="1" t="n">
        <v>45957.41832175926</v>
      </c>
      <c r="C681" s="1" t="n">
        <v>46114</v>
      </c>
      <c r="D681" t="inlineStr">
        <is>
          <t>STOCKHOLMS LÄN</t>
        </is>
      </c>
      <c r="E681" t="inlineStr">
        <is>
          <t>NORRTÄLJE</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56631-2024</t>
        </is>
      </c>
      <c r="B682" s="1" t="n">
        <v>45625</v>
      </c>
      <c r="C682" s="1" t="n">
        <v>46114</v>
      </c>
      <c r="D682" t="inlineStr">
        <is>
          <t>STOCKHOLMS LÄN</t>
        </is>
      </c>
      <c r="E682" t="inlineStr">
        <is>
          <t>NORRTÄLJE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52526-2025</t>
        </is>
      </c>
      <c r="B683" s="1" t="n">
        <v>45954.53061342592</v>
      </c>
      <c r="C683" s="1" t="n">
        <v>46114</v>
      </c>
      <c r="D683" t="inlineStr">
        <is>
          <t>STOCKHOLMS LÄN</t>
        </is>
      </c>
      <c r="E683" t="inlineStr">
        <is>
          <t>NORRTÄLJE</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53000-2025</t>
        </is>
      </c>
      <c r="B684" s="1" t="n">
        <v>45957.74357638889</v>
      </c>
      <c r="C684" s="1" t="n">
        <v>46114</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52703-2025</t>
        </is>
      </c>
      <c r="B685" s="1" t="n">
        <v>45956.88643518519</v>
      </c>
      <c r="C685" s="1" t="n">
        <v>46114</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652-2025</t>
        </is>
      </c>
      <c r="B686" s="1" t="n">
        <v>45664</v>
      </c>
      <c r="C686" s="1" t="n">
        <v>46114</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52729-2025</t>
        </is>
      </c>
      <c r="B687" s="1" t="n">
        <v>45957.3636574074</v>
      </c>
      <c r="C687" s="1" t="n">
        <v>46114</v>
      </c>
      <c r="D687" t="inlineStr">
        <is>
          <t>STOCKHOLMS LÄN</t>
        </is>
      </c>
      <c r="E687" t="inlineStr">
        <is>
          <t>NORRTÄLJE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52734-2025</t>
        </is>
      </c>
      <c r="B688" s="1" t="n">
        <v>45957.3710300926</v>
      </c>
      <c r="C688" s="1" t="n">
        <v>46114</v>
      </c>
      <c r="D688" t="inlineStr">
        <is>
          <t>STOCKHOLMS LÄN</t>
        </is>
      </c>
      <c r="E688" t="inlineStr">
        <is>
          <t>NORRTÄLJE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52776-2025</t>
        </is>
      </c>
      <c r="B689" s="1" t="n">
        <v>45957.41724537037</v>
      </c>
      <c r="C689" s="1" t="n">
        <v>46114</v>
      </c>
      <c r="D689" t="inlineStr">
        <is>
          <t>STOCKHOLMS LÄN</t>
        </is>
      </c>
      <c r="E689" t="inlineStr">
        <is>
          <t>NORRTÄLJE</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52529-2025</t>
        </is>
      </c>
      <c r="B690" s="1" t="n">
        <v>45954.53229166667</v>
      </c>
      <c r="C690" s="1" t="n">
        <v>46114</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52704-2025</t>
        </is>
      </c>
      <c r="B691" s="1" t="n">
        <v>45956.89097222222</v>
      </c>
      <c r="C691" s="1" t="n">
        <v>46114</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52553-2025</t>
        </is>
      </c>
      <c r="B692" s="1" t="n">
        <v>45954.5624537037</v>
      </c>
      <c r="C692" s="1" t="n">
        <v>46114</v>
      </c>
      <c r="D692" t="inlineStr">
        <is>
          <t>STOCKHOLMS LÄN</t>
        </is>
      </c>
      <c r="E692" t="inlineStr">
        <is>
          <t>NORRTÄLJE</t>
        </is>
      </c>
      <c r="G692" t="n">
        <v>4.4</v>
      </c>
      <c r="H692" t="n">
        <v>0</v>
      </c>
      <c r="I692" t="n">
        <v>0</v>
      </c>
      <c r="J692" t="n">
        <v>0</v>
      </c>
      <c r="K692" t="n">
        <v>0</v>
      </c>
      <c r="L692" t="n">
        <v>0</v>
      </c>
      <c r="M692" t="n">
        <v>0</v>
      </c>
      <c r="N692" t="n">
        <v>0</v>
      </c>
      <c r="O692" t="n">
        <v>0</v>
      </c>
      <c r="P692" t="n">
        <v>0</v>
      </c>
      <c r="Q692" t="n">
        <v>0</v>
      </c>
      <c r="R692" s="2" t="inlineStr"/>
    </row>
    <row r="693" ht="15" customHeight="1">
      <c r="A693" t="inlineStr">
        <is>
          <t>A 5389-2025</t>
        </is>
      </c>
      <c r="B693" s="1" t="n">
        <v>45692</v>
      </c>
      <c r="C693" s="1" t="n">
        <v>46114</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53299-2025</t>
        </is>
      </c>
      <c r="B694" s="1" t="n">
        <v>45959.31901620371</v>
      </c>
      <c r="C694" s="1" t="n">
        <v>46114</v>
      </c>
      <c r="D694" t="inlineStr">
        <is>
          <t>STOCKHOLMS LÄN</t>
        </is>
      </c>
      <c r="E694" t="inlineStr">
        <is>
          <t>NORRTÄLJE</t>
        </is>
      </c>
      <c r="G694" t="n">
        <v>4.8</v>
      </c>
      <c r="H694" t="n">
        <v>0</v>
      </c>
      <c r="I694" t="n">
        <v>0</v>
      </c>
      <c r="J694" t="n">
        <v>0</v>
      </c>
      <c r="K694" t="n">
        <v>0</v>
      </c>
      <c r="L694" t="n">
        <v>0</v>
      </c>
      <c r="M694" t="n">
        <v>0</v>
      </c>
      <c r="N694" t="n">
        <v>0</v>
      </c>
      <c r="O694" t="n">
        <v>0</v>
      </c>
      <c r="P694" t="n">
        <v>0</v>
      </c>
      <c r="Q694" t="n">
        <v>0</v>
      </c>
      <c r="R694" s="2" t="inlineStr"/>
    </row>
    <row r="695" ht="15" customHeight="1">
      <c r="A695" t="inlineStr">
        <is>
          <t>A 53087-2025</t>
        </is>
      </c>
      <c r="B695" s="1" t="n">
        <v>45958.41065972222</v>
      </c>
      <c r="C695" s="1" t="n">
        <v>46114</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53115-2025</t>
        </is>
      </c>
      <c r="B696" s="1" t="n">
        <v>45958.44614583333</v>
      </c>
      <c r="C696" s="1" t="n">
        <v>46114</v>
      </c>
      <c r="D696" t="inlineStr">
        <is>
          <t>STOCKHOLMS LÄN</t>
        </is>
      </c>
      <c r="E696" t="inlineStr">
        <is>
          <t>NORRTÄLJE</t>
        </is>
      </c>
      <c r="F696" t="inlineStr">
        <is>
          <t>Kyrkan</t>
        </is>
      </c>
      <c r="G696" t="n">
        <v>2.5</v>
      </c>
      <c r="H696" t="n">
        <v>0</v>
      </c>
      <c r="I696" t="n">
        <v>0</v>
      </c>
      <c r="J696" t="n">
        <v>0</v>
      </c>
      <c r="K696" t="n">
        <v>0</v>
      </c>
      <c r="L696" t="n">
        <v>0</v>
      </c>
      <c r="M696" t="n">
        <v>0</v>
      </c>
      <c r="N696" t="n">
        <v>0</v>
      </c>
      <c r="O696" t="n">
        <v>0</v>
      </c>
      <c r="P696" t="n">
        <v>0</v>
      </c>
      <c r="Q696" t="n">
        <v>0</v>
      </c>
      <c r="R696" s="2" t="inlineStr"/>
    </row>
    <row r="697" ht="15" customHeight="1">
      <c r="A697" t="inlineStr">
        <is>
          <t>A 53629-2025</t>
        </is>
      </c>
      <c r="B697" s="1" t="n">
        <v>45960.49570601852</v>
      </c>
      <c r="C697" s="1" t="n">
        <v>46114</v>
      </c>
      <c r="D697" t="inlineStr">
        <is>
          <t>STOCKHOLMS LÄN</t>
        </is>
      </c>
      <c r="E697" t="inlineStr">
        <is>
          <t>NORRTÄLJE</t>
        </is>
      </c>
      <c r="F697" t="inlineStr">
        <is>
          <t>Naturvårdsverket</t>
        </is>
      </c>
      <c r="G697" t="n">
        <v>7.9</v>
      </c>
      <c r="H697" t="n">
        <v>0</v>
      </c>
      <c r="I697" t="n">
        <v>0</v>
      </c>
      <c r="J697" t="n">
        <v>0</v>
      </c>
      <c r="K697" t="n">
        <v>0</v>
      </c>
      <c r="L697" t="n">
        <v>0</v>
      </c>
      <c r="M697" t="n">
        <v>0</v>
      </c>
      <c r="N697" t="n">
        <v>0</v>
      </c>
      <c r="O697" t="n">
        <v>0</v>
      </c>
      <c r="P697" t="n">
        <v>0</v>
      </c>
      <c r="Q697" t="n">
        <v>0</v>
      </c>
      <c r="R697" s="2" t="inlineStr"/>
    </row>
    <row r="698" ht="15" customHeight="1">
      <c r="A698" t="inlineStr">
        <is>
          <t>A 11499-2023</t>
        </is>
      </c>
      <c r="B698" s="1" t="n">
        <v>44993.66707175926</v>
      </c>
      <c r="C698" s="1" t="n">
        <v>46114</v>
      </c>
      <c r="D698" t="inlineStr">
        <is>
          <t>STOCKHOLMS LÄN</t>
        </is>
      </c>
      <c r="E698" t="inlineStr">
        <is>
          <t>NORRTÄLJE</t>
        </is>
      </c>
      <c r="F698" t="inlineStr">
        <is>
          <t>Holmen skog AB</t>
        </is>
      </c>
      <c r="G698" t="n">
        <v>2.8</v>
      </c>
      <c r="H698" t="n">
        <v>0</v>
      </c>
      <c r="I698" t="n">
        <v>0</v>
      </c>
      <c r="J698" t="n">
        <v>0</v>
      </c>
      <c r="K698" t="n">
        <v>0</v>
      </c>
      <c r="L698" t="n">
        <v>0</v>
      </c>
      <c r="M698" t="n">
        <v>0</v>
      </c>
      <c r="N698" t="n">
        <v>0</v>
      </c>
      <c r="O698" t="n">
        <v>0</v>
      </c>
      <c r="P698" t="n">
        <v>0</v>
      </c>
      <c r="Q698" t="n">
        <v>0</v>
      </c>
      <c r="R698" s="2" t="inlineStr"/>
    </row>
    <row r="699" ht="15" customHeight="1">
      <c r="A699" t="inlineStr">
        <is>
          <t>A 53747-2025</t>
        </is>
      </c>
      <c r="B699" s="1" t="n">
        <v>45960.65415509259</v>
      </c>
      <c r="C699" s="1" t="n">
        <v>46114</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576-2023</t>
        </is>
      </c>
      <c r="B700" s="1" t="n">
        <v>44925</v>
      </c>
      <c r="C700" s="1" t="n">
        <v>46114</v>
      </c>
      <c r="D700" t="inlineStr">
        <is>
          <t>STOCKHOLMS LÄN</t>
        </is>
      </c>
      <c r="E700" t="inlineStr">
        <is>
          <t>NORRTÄLJE</t>
        </is>
      </c>
      <c r="G700" t="n">
        <v>7.2</v>
      </c>
      <c r="H700" t="n">
        <v>0</v>
      </c>
      <c r="I700" t="n">
        <v>0</v>
      </c>
      <c r="J700" t="n">
        <v>0</v>
      </c>
      <c r="K700" t="n">
        <v>0</v>
      </c>
      <c r="L700" t="n">
        <v>0</v>
      </c>
      <c r="M700" t="n">
        <v>0</v>
      </c>
      <c r="N700" t="n">
        <v>0</v>
      </c>
      <c r="O700" t="n">
        <v>0</v>
      </c>
      <c r="P700" t="n">
        <v>0</v>
      </c>
      <c r="Q700" t="n">
        <v>0</v>
      </c>
      <c r="R700" s="2" t="inlineStr"/>
    </row>
    <row r="701" ht="15" customHeight="1">
      <c r="A701" t="inlineStr">
        <is>
          <t>A 10678-2025</t>
        </is>
      </c>
      <c r="B701" s="1" t="n">
        <v>45721.89123842592</v>
      </c>
      <c r="C701" s="1" t="n">
        <v>46114</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31936-2022</t>
        </is>
      </c>
      <c r="B702" s="1" t="n">
        <v>44777</v>
      </c>
      <c r="C702" s="1" t="n">
        <v>46114</v>
      </c>
      <c r="D702" t="inlineStr">
        <is>
          <t>STOCKHOLMS LÄN</t>
        </is>
      </c>
      <c r="E702" t="inlineStr">
        <is>
          <t>NORRTÄLJE</t>
        </is>
      </c>
      <c r="G702" t="n">
        <v>5.2</v>
      </c>
      <c r="H702" t="n">
        <v>0</v>
      </c>
      <c r="I702" t="n">
        <v>0</v>
      </c>
      <c r="J702" t="n">
        <v>0</v>
      </c>
      <c r="K702" t="n">
        <v>0</v>
      </c>
      <c r="L702" t="n">
        <v>0</v>
      </c>
      <c r="M702" t="n">
        <v>0</v>
      </c>
      <c r="N702" t="n">
        <v>0</v>
      </c>
      <c r="O702" t="n">
        <v>0</v>
      </c>
      <c r="P702" t="n">
        <v>0</v>
      </c>
      <c r="Q702" t="n">
        <v>0</v>
      </c>
      <c r="R702" s="2" t="inlineStr"/>
    </row>
    <row r="703" ht="15" customHeight="1">
      <c r="A703" t="inlineStr">
        <is>
          <t>A 59873-2024</t>
        </is>
      </c>
      <c r="B703" s="1" t="n">
        <v>45640.57305555556</v>
      </c>
      <c r="C703" s="1" t="n">
        <v>46114</v>
      </c>
      <c r="D703" t="inlineStr">
        <is>
          <t>STOCKHOLMS LÄN</t>
        </is>
      </c>
      <c r="E703" t="inlineStr">
        <is>
          <t>NORRTÄLJE</t>
        </is>
      </c>
      <c r="G703" t="n">
        <v>3.3</v>
      </c>
      <c r="H703" t="n">
        <v>0</v>
      </c>
      <c r="I703" t="n">
        <v>0</v>
      </c>
      <c r="J703" t="n">
        <v>0</v>
      </c>
      <c r="K703" t="n">
        <v>0</v>
      </c>
      <c r="L703" t="n">
        <v>0</v>
      </c>
      <c r="M703" t="n">
        <v>0</v>
      </c>
      <c r="N703" t="n">
        <v>0</v>
      </c>
      <c r="O703" t="n">
        <v>0</v>
      </c>
      <c r="P703" t="n">
        <v>0</v>
      </c>
      <c r="Q703" t="n">
        <v>0</v>
      </c>
      <c r="R703" s="2" t="inlineStr"/>
    </row>
    <row r="704" ht="15" customHeight="1">
      <c r="A704" t="inlineStr">
        <is>
          <t>A 35916-2024</t>
        </is>
      </c>
      <c r="B704" s="1" t="n">
        <v>45533</v>
      </c>
      <c r="C704" s="1" t="n">
        <v>46114</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10098-2022</t>
        </is>
      </c>
      <c r="B705" s="1" t="n">
        <v>44621</v>
      </c>
      <c r="C705" s="1" t="n">
        <v>46114</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63161-2023</t>
        </is>
      </c>
      <c r="B706" s="1" t="n">
        <v>45273</v>
      </c>
      <c r="C706" s="1" t="n">
        <v>46114</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7796-2025</t>
        </is>
      </c>
      <c r="B707" s="1" t="n">
        <v>45706.60130787037</v>
      </c>
      <c r="C707" s="1" t="n">
        <v>46114</v>
      </c>
      <c r="D707" t="inlineStr">
        <is>
          <t>STOCKHOLMS LÄN</t>
        </is>
      </c>
      <c r="E707" t="inlineStr">
        <is>
          <t>NORRTÄLJE</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58040-2024</t>
        </is>
      </c>
      <c r="B708" s="1" t="n">
        <v>45631.73952546297</v>
      </c>
      <c r="C708" s="1" t="n">
        <v>46114</v>
      </c>
      <c r="D708" t="inlineStr">
        <is>
          <t>STOCKHOLMS LÄN</t>
        </is>
      </c>
      <c r="E708" t="inlineStr">
        <is>
          <t>NORRTÄLJE</t>
        </is>
      </c>
      <c r="G708" t="n">
        <v>2.1</v>
      </c>
      <c r="H708" t="n">
        <v>0</v>
      </c>
      <c r="I708" t="n">
        <v>0</v>
      </c>
      <c r="J708" t="n">
        <v>0</v>
      </c>
      <c r="K708" t="n">
        <v>0</v>
      </c>
      <c r="L708" t="n">
        <v>0</v>
      </c>
      <c r="M708" t="n">
        <v>0</v>
      </c>
      <c r="N708" t="n">
        <v>0</v>
      </c>
      <c r="O708" t="n">
        <v>0</v>
      </c>
      <c r="P708" t="n">
        <v>0</v>
      </c>
      <c r="Q708" t="n">
        <v>0</v>
      </c>
      <c r="R708" s="2" t="inlineStr"/>
    </row>
    <row r="709" ht="15" customHeight="1">
      <c r="A709" t="inlineStr">
        <is>
          <t>A 58041-2024</t>
        </is>
      </c>
      <c r="B709" s="1" t="n">
        <v>45631.74673611111</v>
      </c>
      <c r="C709" s="1" t="n">
        <v>46114</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30268-2024</t>
        </is>
      </c>
      <c r="B710" s="1" t="n">
        <v>45490.60572916667</v>
      </c>
      <c r="C710" s="1" t="n">
        <v>46114</v>
      </c>
      <c r="D710" t="inlineStr">
        <is>
          <t>STOCKHOLMS LÄN</t>
        </is>
      </c>
      <c r="E710" t="inlineStr">
        <is>
          <t>NORRTÄLJE</t>
        </is>
      </c>
      <c r="G710" t="n">
        <v>5.6</v>
      </c>
      <c r="H710" t="n">
        <v>0</v>
      </c>
      <c r="I710" t="n">
        <v>0</v>
      </c>
      <c r="J710" t="n">
        <v>0</v>
      </c>
      <c r="K710" t="n">
        <v>0</v>
      </c>
      <c r="L710" t="n">
        <v>0</v>
      </c>
      <c r="M710" t="n">
        <v>0</v>
      </c>
      <c r="N710" t="n">
        <v>0</v>
      </c>
      <c r="O710" t="n">
        <v>0</v>
      </c>
      <c r="P710" t="n">
        <v>0</v>
      </c>
      <c r="Q710" t="n">
        <v>0</v>
      </c>
      <c r="R710" s="2" t="inlineStr"/>
    </row>
    <row r="711" ht="15" customHeight="1">
      <c r="A711" t="inlineStr">
        <is>
          <t>A 12407-2025</t>
        </is>
      </c>
      <c r="B711" s="1" t="n">
        <v>45730.42851851852</v>
      </c>
      <c r="C711" s="1" t="n">
        <v>46114</v>
      </c>
      <c r="D711" t="inlineStr">
        <is>
          <t>STOCKHOLMS LÄN</t>
        </is>
      </c>
      <c r="E711" t="inlineStr">
        <is>
          <t>NORRTÄLJE</t>
        </is>
      </c>
      <c r="F711" t="inlineStr">
        <is>
          <t>Holmen skog AB</t>
        </is>
      </c>
      <c r="G711" t="n">
        <v>2.6</v>
      </c>
      <c r="H711" t="n">
        <v>0</v>
      </c>
      <c r="I711" t="n">
        <v>0</v>
      </c>
      <c r="J711" t="n">
        <v>0</v>
      </c>
      <c r="K711" t="n">
        <v>0</v>
      </c>
      <c r="L711" t="n">
        <v>0</v>
      </c>
      <c r="M711" t="n">
        <v>0</v>
      </c>
      <c r="N711" t="n">
        <v>0</v>
      </c>
      <c r="O711" t="n">
        <v>0</v>
      </c>
      <c r="P711" t="n">
        <v>0</v>
      </c>
      <c r="Q711" t="n">
        <v>0</v>
      </c>
      <c r="R711" s="2" t="inlineStr"/>
    </row>
    <row r="712" ht="15" customHeight="1">
      <c r="A712" t="inlineStr">
        <is>
          <t>A 19025-2025</t>
        </is>
      </c>
      <c r="B712" s="1" t="n">
        <v>45764.6359837963</v>
      </c>
      <c r="C712" s="1" t="n">
        <v>46114</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54276-2021</t>
        </is>
      </c>
      <c r="B713" s="1" t="n">
        <v>44470</v>
      </c>
      <c r="C713" s="1" t="n">
        <v>46114</v>
      </c>
      <c r="D713" t="inlineStr">
        <is>
          <t>STOCKHOLMS LÄN</t>
        </is>
      </c>
      <c r="E713" t="inlineStr">
        <is>
          <t>NORRTÄLJE</t>
        </is>
      </c>
      <c r="G713" t="n">
        <v>7.3</v>
      </c>
      <c r="H713" t="n">
        <v>0</v>
      </c>
      <c r="I713" t="n">
        <v>0</v>
      </c>
      <c r="J713" t="n">
        <v>0</v>
      </c>
      <c r="K713" t="n">
        <v>0</v>
      </c>
      <c r="L713" t="n">
        <v>0</v>
      </c>
      <c r="M713" t="n">
        <v>0</v>
      </c>
      <c r="N713" t="n">
        <v>0</v>
      </c>
      <c r="O713" t="n">
        <v>0</v>
      </c>
      <c r="P713" t="n">
        <v>0</v>
      </c>
      <c r="Q713" t="n">
        <v>0</v>
      </c>
      <c r="R713" s="2" t="inlineStr"/>
    </row>
    <row r="714" ht="15" customHeight="1">
      <c r="A714" t="inlineStr">
        <is>
          <t>A 4316-2023</t>
        </is>
      </c>
      <c r="B714" s="1" t="n">
        <v>44953.67443287037</v>
      </c>
      <c r="C714" s="1" t="n">
        <v>46114</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41587-2023</t>
        </is>
      </c>
      <c r="B715" s="1" t="n">
        <v>45175</v>
      </c>
      <c r="C715" s="1" t="n">
        <v>46114</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54907-2025</t>
        </is>
      </c>
      <c r="B716" s="1" t="n">
        <v>45967.37137731481</v>
      </c>
      <c r="C716" s="1" t="n">
        <v>46114</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17304-2024</t>
        </is>
      </c>
      <c r="B717" s="1" t="n">
        <v>45414</v>
      </c>
      <c r="C717" s="1" t="n">
        <v>46114</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55503-2025</t>
        </is>
      </c>
      <c r="B718" s="1" t="n">
        <v>45971</v>
      </c>
      <c r="C718" s="1" t="n">
        <v>46114</v>
      </c>
      <c r="D718" t="inlineStr">
        <is>
          <t>STOCKHOLMS LÄN</t>
        </is>
      </c>
      <c r="E718" t="inlineStr">
        <is>
          <t>NORRTÄLJE</t>
        </is>
      </c>
      <c r="G718" t="n">
        <v>3</v>
      </c>
      <c r="H718" t="n">
        <v>0</v>
      </c>
      <c r="I718" t="n">
        <v>0</v>
      </c>
      <c r="J718" t="n">
        <v>0</v>
      </c>
      <c r="K718" t="n">
        <v>0</v>
      </c>
      <c r="L718" t="n">
        <v>0</v>
      </c>
      <c r="M718" t="n">
        <v>0</v>
      </c>
      <c r="N718" t="n">
        <v>0</v>
      </c>
      <c r="O718" t="n">
        <v>0</v>
      </c>
      <c r="P718" t="n">
        <v>0</v>
      </c>
      <c r="Q718" t="n">
        <v>0</v>
      </c>
      <c r="R718" s="2" t="inlineStr"/>
    </row>
    <row r="719" ht="15" customHeight="1">
      <c r="A719" t="inlineStr">
        <is>
          <t>A 11280-2023</t>
        </is>
      </c>
      <c r="B719" s="1" t="n">
        <v>44992</v>
      </c>
      <c r="C719" s="1" t="n">
        <v>46114</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26668-2024</t>
        </is>
      </c>
      <c r="B720" s="1" t="n">
        <v>45469</v>
      </c>
      <c r="C720" s="1" t="n">
        <v>46114</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55599-2025</t>
        </is>
      </c>
      <c r="B721" s="1" t="n">
        <v>45971.76810185185</v>
      </c>
      <c r="C721" s="1" t="n">
        <v>46114</v>
      </c>
      <c r="D721" t="inlineStr">
        <is>
          <t>STOCKHOLMS LÄN</t>
        </is>
      </c>
      <c r="E721" t="inlineStr">
        <is>
          <t>NORRTÄLJE</t>
        </is>
      </c>
      <c r="F721" t="inlineStr">
        <is>
          <t>Holmen skog AB</t>
        </is>
      </c>
      <c r="G721" t="n">
        <v>6.4</v>
      </c>
      <c r="H721" t="n">
        <v>0</v>
      </c>
      <c r="I721" t="n">
        <v>0</v>
      </c>
      <c r="J721" t="n">
        <v>0</v>
      </c>
      <c r="K721" t="n">
        <v>0</v>
      </c>
      <c r="L721" t="n">
        <v>0</v>
      </c>
      <c r="M721" t="n">
        <v>0</v>
      </c>
      <c r="N721" t="n">
        <v>0</v>
      </c>
      <c r="O721" t="n">
        <v>0</v>
      </c>
      <c r="P721" t="n">
        <v>0</v>
      </c>
      <c r="Q721" t="n">
        <v>0</v>
      </c>
      <c r="R721" s="2" t="inlineStr"/>
    </row>
    <row r="722" ht="15" customHeight="1">
      <c r="A722" t="inlineStr">
        <is>
          <t>A 56114-2025</t>
        </is>
      </c>
      <c r="B722" s="1" t="n">
        <v>45973.74474537037</v>
      </c>
      <c r="C722" s="1" t="n">
        <v>46114</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31926-2022</t>
        </is>
      </c>
      <c r="B723" s="1" t="n">
        <v>44777</v>
      </c>
      <c r="C723" s="1" t="n">
        <v>46114</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21480-2022</t>
        </is>
      </c>
      <c r="B724" s="1" t="n">
        <v>44704</v>
      </c>
      <c r="C724" s="1" t="n">
        <v>46114</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11041-2025</t>
        </is>
      </c>
      <c r="B725" s="1" t="n">
        <v>45723</v>
      </c>
      <c r="C725" s="1" t="n">
        <v>46114</v>
      </c>
      <c r="D725" t="inlineStr">
        <is>
          <t>STOCKHOLMS LÄN</t>
        </is>
      </c>
      <c r="E725" t="inlineStr">
        <is>
          <t>NORRTÄLJE</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24024-2024</t>
        </is>
      </c>
      <c r="B726" s="1" t="n">
        <v>45456</v>
      </c>
      <c r="C726" s="1" t="n">
        <v>46114</v>
      </c>
      <c r="D726" t="inlineStr">
        <is>
          <t>STOCKHOLMS LÄN</t>
        </is>
      </c>
      <c r="E726" t="inlineStr">
        <is>
          <t>NORRTÄLJE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28809-2023</t>
        </is>
      </c>
      <c r="B727" s="1" t="n">
        <v>45104</v>
      </c>
      <c r="C727" s="1" t="n">
        <v>46114</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28813-2023</t>
        </is>
      </c>
      <c r="B728" s="1" t="n">
        <v>45104</v>
      </c>
      <c r="C728" s="1" t="n">
        <v>46114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40656-2022</t>
        </is>
      </c>
      <c r="B729" s="1" t="n">
        <v>44824.36069444445</v>
      </c>
      <c r="C729" s="1" t="n">
        <v>46114</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60694-2024</t>
        </is>
      </c>
      <c r="B730" s="1" t="n">
        <v>45644.47878472223</v>
      </c>
      <c r="C730" s="1" t="n">
        <v>46114</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56207-2025</t>
        </is>
      </c>
      <c r="B731" s="1" t="n">
        <v>45974.47329861111</v>
      </c>
      <c r="C731" s="1" t="n">
        <v>46114</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19450-2025</t>
        </is>
      </c>
      <c r="B732" s="1" t="n">
        <v>45770</v>
      </c>
      <c r="C732" s="1" t="n">
        <v>46114</v>
      </c>
      <c r="D732" t="inlineStr">
        <is>
          <t>STOCKHOLMS LÄN</t>
        </is>
      </c>
      <c r="E732" t="inlineStr">
        <is>
          <t>NORRTÄLJE</t>
        </is>
      </c>
      <c r="G732" t="n">
        <v>5.3</v>
      </c>
      <c r="H732" t="n">
        <v>0</v>
      </c>
      <c r="I732" t="n">
        <v>0</v>
      </c>
      <c r="J732" t="n">
        <v>0</v>
      </c>
      <c r="K732" t="n">
        <v>0</v>
      </c>
      <c r="L732" t="n">
        <v>0</v>
      </c>
      <c r="M732" t="n">
        <v>0</v>
      </c>
      <c r="N732" t="n">
        <v>0</v>
      </c>
      <c r="O732" t="n">
        <v>0</v>
      </c>
      <c r="P732" t="n">
        <v>0</v>
      </c>
      <c r="Q732" t="n">
        <v>0</v>
      </c>
      <c r="R732" s="2" t="inlineStr"/>
    </row>
    <row r="733" ht="15" customHeight="1">
      <c r="A733" t="inlineStr">
        <is>
          <t>A 33353-2023</t>
        </is>
      </c>
      <c r="B733" s="1" t="n">
        <v>45128</v>
      </c>
      <c r="C733" s="1" t="n">
        <v>46114</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3966-2024</t>
        </is>
      </c>
      <c r="B734" s="1" t="n">
        <v>45322</v>
      </c>
      <c r="C734" s="1" t="n">
        <v>46114</v>
      </c>
      <c r="D734" t="inlineStr">
        <is>
          <t>STOCKHOLMS LÄN</t>
        </is>
      </c>
      <c r="E734" t="inlineStr">
        <is>
          <t>NORRTÄLJE</t>
        </is>
      </c>
      <c r="G734" t="n">
        <v>5.3</v>
      </c>
      <c r="H734" t="n">
        <v>0</v>
      </c>
      <c r="I734" t="n">
        <v>0</v>
      </c>
      <c r="J734" t="n">
        <v>0</v>
      </c>
      <c r="K734" t="n">
        <v>0</v>
      </c>
      <c r="L734" t="n">
        <v>0</v>
      </c>
      <c r="M734" t="n">
        <v>0</v>
      </c>
      <c r="N734" t="n">
        <v>0</v>
      </c>
      <c r="O734" t="n">
        <v>0</v>
      </c>
      <c r="P734" t="n">
        <v>0</v>
      </c>
      <c r="Q734" t="n">
        <v>0</v>
      </c>
      <c r="R734" s="2" t="inlineStr"/>
    </row>
    <row r="735" ht="15" customHeight="1">
      <c r="A735" t="inlineStr">
        <is>
          <t>A 58403-2025</t>
        </is>
      </c>
      <c r="B735" s="1" t="n">
        <v>45985.56777777777</v>
      </c>
      <c r="C735" s="1" t="n">
        <v>46114</v>
      </c>
      <c r="D735" t="inlineStr">
        <is>
          <t>STOCKHOLMS LÄN</t>
        </is>
      </c>
      <c r="E735" t="inlineStr">
        <is>
          <t>NORRTÄLJE</t>
        </is>
      </c>
      <c r="F735" t="inlineStr">
        <is>
          <t>Naturvårdsverket</t>
        </is>
      </c>
      <c r="G735" t="n">
        <v>13.5</v>
      </c>
      <c r="H735" t="n">
        <v>0</v>
      </c>
      <c r="I735" t="n">
        <v>0</v>
      </c>
      <c r="J735" t="n">
        <v>0</v>
      </c>
      <c r="K735" t="n">
        <v>0</v>
      </c>
      <c r="L735" t="n">
        <v>0</v>
      </c>
      <c r="M735" t="n">
        <v>0</v>
      </c>
      <c r="N735" t="n">
        <v>0</v>
      </c>
      <c r="O735" t="n">
        <v>0</v>
      </c>
      <c r="P735" t="n">
        <v>0</v>
      </c>
      <c r="Q735" t="n">
        <v>0</v>
      </c>
      <c r="R735" s="2" t="inlineStr"/>
    </row>
    <row r="736" ht="15" customHeight="1">
      <c r="A736" t="inlineStr">
        <is>
          <t>A 58142-2025</t>
        </is>
      </c>
      <c r="B736" s="1" t="n">
        <v>45982.63791666667</v>
      </c>
      <c r="C736" s="1" t="n">
        <v>46114</v>
      </c>
      <c r="D736" t="inlineStr">
        <is>
          <t>STOCKHOLMS LÄN</t>
        </is>
      </c>
      <c r="E736" t="inlineStr">
        <is>
          <t>NORRTÄLJE</t>
        </is>
      </c>
      <c r="G736" t="n">
        <v>3.3</v>
      </c>
      <c r="H736" t="n">
        <v>0</v>
      </c>
      <c r="I736" t="n">
        <v>0</v>
      </c>
      <c r="J736" t="n">
        <v>0</v>
      </c>
      <c r="K736" t="n">
        <v>0</v>
      </c>
      <c r="L736" t="n">
        <v>0</v>
      </c>
      <c r="M736" t="n">
        <v>0</v>
      </c>
      <c r="N736" t="n">
        <v>0</v>
      </c>
      <c r="O736" t="n">
        <v>0</v>
      </c>
      <c r="P736" t="n">
        <v>0</v>
      </c>
      <c r="Q736" t="n">
        <v>0</v>
      </c>
      <c r="R736" s="2" t="inlineStr"/>
    </row>
    <row r="737" ht="15" customHeight="1">
      <c r="A737" t="inlineStr">
        <is>
          <t>A 23262-2023</t>
        </is>
      </c>
      <c r="B737" s="1" t="n">
        <v>45075.90270833333</v>
      </c>
      <c r="C737" s="1" t="n">
        <v>46114</v>
      </c>
      <c r="D737" t="inlineStr">
        <is>
          <t>STOCKHOLMS LÄN</t>
        </is>
      </c>
      <c r="E737" t="inlineStr">
        <is>
          <t>NORRTÄLJE</t>
        </is>
      </c>
      <c r="F737" t="inlineStr">
        <is>
          <t>Kommuner</t>
        </is>
      </c>
      <c r="G737" t="n">
        <v>1.9</v>
      </c>
      <c r="H737" t="n">
        <v>0</v>
      </c>
      <c r="I737" t="n">
        <v>0</v>
      </c>
      <c r="J737" t="n">
        <v>0</v>
      </c>
      <c r="K737" t="n">
        <v>0</v>
      </c>
      <c r="L737" t="n">
        <v>0</v>
      </c>
      <c r="M737" t="n">
        <v>0</v>
      </c>
      <c r="N737" t="n">
        <v>0</v>
      </c>
      <c r="O737" t="n">
        <v>0</v>
      </c>
      <c r="P737" t="n">
        <v>0</v>
      </c>
      <c r="Q737" t="n">
        <v>0</v>
      </c>
      <c r="R737" s="2" t="inlineStr"/>
    </row>
    <row r="738" ht="15" customHeight="1">
      <c r="A738" t="inlineStr">
        <is>
          <t>A 57953-2025</t>
        </is>
      </c>
      <c r="B738" s="1" t="n">
        <v>45982.35016203704</v>
      </c>
      <c r="C738" s="1" t="n">
        <v>46114</v>
      </c>
      <c r="D738" t="inlineStr">
        <is>
          <t>STOCKHOLMS LÄN</t>
        </is>
      </c>
      <c r="E738" t="inlineStr">
        <is>
          <t>NORRTÄLJE</t>
        </is>
      </c>
      <c r="F738" t="inlineStr">
        <is>
          <t>Sveaskog</t>
        </is>
      </c>
      <c r="G738" t="n">
        <v>3</v>
      </c>
      <c r="H738" t="n">
        <v>0</v>
      </c>
      <c r="I738" t="n">
        <v>0</v>
      </c>
      <c r="J738" t="n">
        <v>0</v>
      </c>
      <c r="K738" t="n">
        <v>0</v>
      </c>
      <c r="L738" t="n">
        <v>0</v>
      </c>
      <c r="M738" t="n">
        <v>0</v>
      </c>
      <c r="N738" t="n">
        <v>0</v>
      </c>
      <c r="O738" t="n">
        <v>0</v>
      </c>
      <c r="P738" t="n">
        <v>0</v>
      </c>
      <c r="Q738" t="n">
        <v>0</v>
      </c>
      <c r="R738" s="2" t="inlineStr"/>
    </row>
    <row r="739" ht="15" customHeight="1">
      <c r="A739" t="inlineStr">
        <is>
          <t>A 23268-2023</t>
        </is>
      </c>
      <c r="B739" s="1" t="n">
        <v>45075.91042824074</v>
      </c>
      <c r="C739" s="1" t="n">
        <v>46114</v>
      </c>
      <c r="D739" t="inlineStr">
        <is>
          <t>STOCKHOLMS LÄN</t>
        </is>
      </c>
      <c r="E739" t="inlineStr">
        <is>
          <t>NORRTÄLJE</t>
        </is>
      </c>
      <c r="G739" t="n">
        <v>3.3</v>
      </c>
      <c r="H739" t="n">
        <v>0</v>
      </c>
      <c r="I739" t="n">
        <v>0</v>
      </c>
      <c r="J739" t="n">
        <v>0</v>
      </c>
      <c r="K739" t="n">
        <v>0</v>
      </c>
      <c r="L739" t="n">
        <v>0</v>
      </c>
      <c r="M739" t="n">
        <v>0</v>
      </c>
      <c r="N739" t="n">
        <v>0</v>
      </c>
      <c r="O739" t="n">
        <v>0</v>
      </c>
      <c r="P739" t="n">
        <v>0</v>
      </c>
      <c r="Q739" t="n">
        <v>0</v>
      </c>
      <c r="R739" s="2" t="inlineStr"/>
    </row>
    <row r="740" ht="15" customHeight="1">
      <c r="A740" t="inlineStr">
        <is>
          <t>A 23270-2023</t>
        </is>
      </c>
      <c r="B740" s="1" t="n">
        <v>45075.91265046296</v>
      </c>
      <c r="C740" s="1" t="n">
        <v>46114</v>
      </c>
      <c r="D740" t="inlineStr">
        <is>
          <t>STOCKHOLMS LÄN</t>
        </is>
      </c>
      <c r="E740" t="inlineStr">
        <is>
          <t>NORRTÄLJE</t>
        </is>
      </c>
      <c r="G740" t="n">
        <v>12.3</v>
      </c>
      <c r="H740" t="n">
        <v>0</v>
      </c>
      <c r="I740" t="n">
        <v>0</v>
      </c>
      <c r="J740" t="n">
        <v>0</v>
      </c>
      <c r="K740" t="n">
        <v>0</v>
      </c>
      <c r="L740" t="n">
        <v>0</v>
      </c>
      <c r="M740" t="n">
        <v>0</v>
      </c>
      <c r="N740" t="n">
        <v>0</v>
      </c>
      <c r="O740" t="n">
        <v>0</v>
      </c>
      <c r="P740" t="n">
        <v>0</v>
      </c>
      <c r="Q740" t="n">
        <v>0</v>
      </c>
      <c r="R740" s="2" t="inlineStr"/>
    </row>
    <row r="741" ht="15" customHeight="1">
      <c r="A741" t="inlineStr">
        <is>
          <t>A 23274-2023</t>
        </is>
      </c>
      <c r="B741" s="1" t="n">
        <v>45075.92153935185</v>
      </c>
      <c r="C741" s="1" t="n">
        <v>46114</v>
      </c>
      <c r="D741" t="inlineStr">
        <is>
          <t>STOCKHOLMS LÄN</t>
        </is>
      </c>
      <c r="E741" t="inlineStr">
        <is>
          <t>NORRTÄLJE</t>
        </is>
      </c>
      <c r="G741" t="n">
        <v>1.2</v>
      </c>
      <c r="H741" t="n">
        <v>0</v>
      </c>
      <c r="I741" t="n">
        <v>0</v>
      </c>
      <c r="J741" t="n">
        <v>0</v>
      </c>
      <c r="K741" t="n">
        <v>0</v>
      </c>
      <c r="L741" t="n">
        <v>0</v>
      </c>
      <c r="M741" t="n">
        <v>0</v>
      </c>
      <c r="N741" t="n">
        <v>0</v>
      </c>
      <c r="O741" t="n">
        <v>0</v>
      </c>
      <c r="P741" t="n">
        <v>0</v>
      </c>
      <c r="Q741" t="n">
        <v>0</v>
      </c>
      <c r="R741" s="2" t="inlineStr"/>
    </row>
    <row r="742" ht="15" customHeight="1">
      <c r="A742" t="inlineStr">
        <is>
          <t>A 17843-2024</t>
        </is>
      </c>
      <c r="B742" s="1" t="n">
        <v>45418</v>
      </c>
      <c r="C742" s="1" t="n">
        <v>46114</v>
      </c>
      <c r="D742" t="inlineStr">
        <is>
          <t>STOCKHOLMS LÄN</t>
        </is>
      </c>
      <c r="E742" t="inlineStr">
        <is>
          <t>NORRTÄLJE</t>
        </is>
      </c>
      <c r="G742" t="n">
        <v>5.4</v>
      </c>
      <c r="H742" t="n">
        <v>0</v>
      </c>
      <c r="I742" t="n">
        <v>0</v>
      </c>
      <c r="J742" t="n">
        <v>0</v>
      </c>
      <c r="K742" t="n">
        <v>0</v>
      </c>
      <c r="L742" t="n">
        <v>0</v>
      </c>
      <c r="M742" t="n">
        <v>0</v>
      </c>
      <c r="N742" t="n">
        <v>0</v>
      </c>
      <c r="O742" t="n">
        <v>0</v>
      </c>
      <c r="P742" t="n">
        <v>0</v>
      </c>
      <c r="Q742" t="n">
        <v>0</v>
      </c>
      <c r="R742" s="2" t="inlineStr"/>
    </row>
    <row r="743" ht="15" customHeight="1">
      <c r="A743" t="inlineStr">
        <is>
          <t>A 26636-2023</t>
        </is>
      </c>
      <c r="B743" s="1" t="n">
        <v>45092</v>
      </c>
      <c r="C743" s="1" t="n">
        <v>46114</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26637-2023</t>
        </is>
      </c>
      <c r="B744" s="1" t="n">
        <v>45092</v>
      </c>
      <c r="C744" s="1" t="n">
        <v>46114</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58939-2025</t>
        </is>
      </c>
      <c r="B745" s="1" t="n">
        <v>45987.5681712963</v>
      </c>
      <c r="C745" s="1" t="n">
        <v>46114</v>
      </c>
      <c r="D745" t="inlineStr">
        <is>
          <t>STOCKHOLMS LÄN</t>
        </is>
      </c>
      <c r="E745" t="inlineStr">
        <is>
          <t>NORRTÄLJE</t>
        </is>
      </c>
      <c r="G745" t="n">
        <v>2</v>
      </c>
      <c r="H745" t="n">
        <v>0</v>
      </c>
      <c r="I745" t="n">
        <v>0</v>
      </c>
      <c r="J745" t="n">
        <v>0</v>
      </c>
      <c r="K745" t="n">
        <v>0</v>
      </c>
      <c r="L745" t="n">
        <v>0</v>
      </c>
      <c r="M745" t="n">
        <v>0</v>
      </c>
      <c r="N745" t="n">
        <v>0</v>
      </c>
      <c r="O745" t="n">
        <v>0</v>
      </c>
      <c r="P745" t="n">
        <v>0</v>
      </c>
      <c r="Q745" t="n">
        <v>0</v>
      </c>
      <c r="R745" s="2" t="inlineStr"/>
    </row>
    <row r="746" ht="15" customHeight="1">
      <c r="A746" t="inlineStr">
        <is>
          <t>A 72704-2021</t>
        </is>
      </c>
      <c r="B746" s="1" t="n">
        <v>44546</v>
      </c>
      <c r="C746" s="1" t="n">
        <v>46114</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52743-2024</t>
        </is>
      </c>
      <c r="B747" s="1" t="n">
        <v>45610.47414351852</v>
      </c>
      <c r="C747" s="1" t="n">
        <v>46114</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16852-2024</t>
        </is>
      </c>
      <c r="B748" s="1" t="n">
        <v>45411.54768518519</v>
      </c>
      <c r="C748" s="1" t="n">
        <v>46114</v>
      </c>
      <c r="D748" t="inlineStr">
        <is>
          <t>STOCKHOLMS LÄN</t>
        </is>
      </c>
      <c r="E748" t="inlineStr">
        <is>
          <t>NORRTÄLJE</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55755-2023</t>
        </is>
      </c>
      <c r="B749" s="1" t="n">
        <v>45239</v>
      </c>
      <c r="C749" s="1" t="n">
        <v>46114</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17348-2024</t>
        </is>
      </c>
      <c r="B750" s="1" t="n">
        <v>45414.58650462963</v>
      </c>
      <c r="C750" s="1" t="n">
        <v>46114</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59041-2025</t>
        </is>
      </c>
      <c r="B751" s="1" t="n">
        <v>45988</v>
      </c>
      <c r="C751" s="1" t="n">
        <v>46114</v>
      </c>
      <c r="D751" t="inlineStr">
        <is>
          <t>STOCKHOLMS LÄN</t>
        </is>
      </c>
      <c r="E751" t="inlineStr">
        <is>
          <t>NORRTÄLJE</t>
        </is>
      </c>
      <c r="G751" t="n">
        <v>6.6</v>
      </c>
      <c r="H751" t="n">
        <v>0</v>
      </c>
      <c r="I751" t="n">
        <v>0</v>
      </c>
      <c r="J751" t="n">
        <v>0</v>
      </c>
      <c r="K751" t="n">
        <v>0</v>
      </c>
      <c r="L751" t="n">
        <v>0</v>
      </c>
      <c r="M751" t="n">
        <v>0</v>
      </c>
      <c r="N751" t="n">
        <v>0</v>
      </c>
      <c r="O751" t="n">
        <v>0</v>
      </c>
      <c r="P751" t="n">
        <v>0</v>
      </c>
      <c r="Q751" t="n">
        <v>0</v>
      </c>
      <c r="R751" s="2" t="inlineStr"/>
    </row>
    <row r="752" ht="15" customHeight="1">
      <c r="A752" t="inlineStr">
        <is>
          <t>A 59914-2025</t>
        </is>
      </c>
      <c r="B752" s="1" t="n">
        <v>45993.37056712963</v>
      </c>
      <c r="C752" s="1" t="n">
        <v>46114</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59672-2025</t>
        </is>
      </c>
      <c r="B753" s="1" t="n">
        <v>45992.45884259259</v>
      </c>
      <c r="C753" s="1" t="n">
        <v>46114</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57788-2025</t>
        </is>
      </c>
      <c r="B754" s="1" t="n">
        <v>45981.5778125</v>
      </c>
      <c r="C754" s="1" t="n">
        <v>46114</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59907-2025</t>
        </is>
      </c>
      <c r="B755" s="1" t="n">
        <v>45993.35350694445</v>
      </c>
      <c r="C755" s="1" t="n">
        <v>46114</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59924-2025</t>
        </is>
      </c>
      <c r="B756" s="1" t="n">
        <v>45993.38928240741</v>
      </c>
      <c r="C756" s="1" t="n">
        <v>46114</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46114</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60253-2025</t>
        </is>
      </c>
      <c r="B758" s="1" t="n">
        <v>45994.59827546297</v>
      </c>
      <c r="C758" s="1" t="n">
        <v>46114</v>
      </c>
      <c r="D758" t="inlineStr">
        <is>
          <t>STOCKHOLMS LÄN</t>
        </is>
      </c>
      <c r="E758" t="inlineStr">
        <is>
          <t>NORRTÄLJE</t>
        </is>
      </c>
      <c r="F758" t="inlineStr">
        <is>
          <t>Holmen skog AB</t>
        </is>
      </c>
      <c r="G758" t="n">
        <v>3.6</v>
      </c>
      <c r="H758" t="n">
        <v>0</v>
      </c>
      <c r="I758" t="n">
        <v>0</v>
      </c>
      <c r="J758" t="n">
        <v>0</v>
      </c>
      <c r="K758" t="n">
        <v>0</v>
      </c>
      <c r="L758" t="n">
        <v>0</v>
      </c>
      <c r="M758" t="n">
        <v>0</v>
      </c>
      <c r="N758" t="n">
        <v>0</v>
      </c>
      <c r="O758" t="n">
        <v>0</v>
      </c>
      <c r="P758" t="n">
        <v>0</v>
      </c>
      <c r="Q758" t="n">
        <v>0</v>
      </c>
      <c r="R758" s="2" t="inlineStr"/>
    </row>
    <row r="759" ht="15" customHeight="1">
      <c r="A759" t="inlineStr">
        <is>
          <t>A 48145-2024</t>
        </is>
      </c>
      <c r="B759" s="1" t="n">
        <v>45589.6756712963</v>
      </c>
      <c r="C759" s="1" t="n">
        <v>46114</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23998-2024</t>
        </is>
      </c>
      <c r="B760" s="1" t="n">
        <v>45456</v>
      </c>
      <c r="C760" s="1" t="n">
        <v>46114</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15447-2023</t>
        </is>
      </c>
      <c r="B761" s="1" t="n">
        <v>45020</v>
      </c>
      <c r="C761" s="1" t="n">
        <v>46114</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60214-2025</t>
        </is>
      </c>
      <c r="B762" s="1" t="n">
        <v>45994.53761574074</v>
      </c>
      <c r="C762" s="1" t="n">
        <v>46114</v>
      </c>
      <c r="D762" t="inlineStr">
        <is>
          <t>STOCKHOLMS LÄN</t>
        </is>
      </c>
      <c r="E762" t="inlineStr">
        <is>
          <t>NORRTÄLJE</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60223-2025</t>
        </is>
      </c>
      <c r="B763" s="1" t="n">
        <v>45994.54497685185</v>
      </c>
      <c r="C763" s="1" t="n">
        <v>46114</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60745-2025</t>
        </is>
      </c>
      <c r="B764" s="1" t="n">
        <v>45999.37753472223</v>
      </c>
      <c r="C764" s="1" t="n">
        <v>46114</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60649-2025</t>
        </is>
      </c>
      <c r="B765" s="1" t="n">
        <v>45996.4560300926</v>
      </c>
      <c r="C765" s="1" t="n">
        <v>46114</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60948-2025</t>
        </is>
      </c>
      <c r="B766" s="1" t="n">
        <v>45999.650625</v>
      </c>
      <c r="C766" s="1" t="n">
        <v>46114</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54358-2022</t>
        </is>
      </c>
      <c r="B767" s="1" t="n">
        <v>44882</v>
      </c>
      <c r="C767" s="1" t="n">
        <v>46114</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60928-2025</t>
        </is>
      </c>
      <c r="B768" s="1" t="n">
        <v>45999.633125</v>
      </c>
      <c r="C768" s="1" t="n">
        <v>46114</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23263-2023</t>
        </is>
      </c>
      <c r="B769" s="1" t="n">
        <v>45075</v>
      </c>
      <c r="C769" s="1" t="n">
        <v>46114</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23264-2023</t>
        </is>
      </c>
      <c r="B770" s="1" t="n">
        <v>45075</v>
      </c>
      <c r="C770" s="1" t="n">
        <v>46114</v>
      </c>
      <c r="D770" t="inlineStr">
        <is>
          <t>STOCKHOLMS LÄN</t>
        </is>
      </c>
      <c r="E770" t="inlineStr">
        <is>
          <t>NORRTÄLJE</t>
        </is>
      </c>
      <c r="G770" t="n">
        <v>2.9</v>
      </c>
      <c r="H770" t="n">
        <v>0</v>
      </c>
      <c r="I770" t="n">
        <v>0</v>
      </c>
      <c r="J770" t="n">
        <v>0</v>
      </c>
      <c r="K770" t="n">
        <v>0</v>
      </c>
      <c r="L770" t="n">
        <v>0</v>
      </c>
      <c r="M770" t="n">
        <v>0</v>
      </c>
      <c r="N770" t="n">
        <v>0</v>
      </c>
      <c r="O770" t="n">
        <v>0</v>
      </c>
      <c r="P770" t="n">
        <v>0</v>
      </c>
      <c r="Q770" t="n">
        <v>0</v>
      </c>
      <c r="R770" s="2" t="inlineStr"/>
    </row>
    <row r="771" ht="15" customHeight="1">
      <c r="A771" t="inlineStr">
        <is>
          <t>A 23267-2023</t>
        </is>
      </c>
      <c r="B771" s="1" t="n">
        <v>45075.90934027778</v>
      </c>
      <c r="C771" s="1" t="n">
        <v>46114</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23269-2023</t>
        </is>
      </c>
      <c r="B772" s="1" t="n">
        <v>45075.91148148148</v>
      </c>
      <c r="C772" s="1" t="n">
        <v>46114</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19911-2025</t>
        </is>
      </c>
      <c r="B773" s="1" t="n">
        <v>45771</v>
      </c>
      <c r="C773" s="1" t="n">
        <v>46114</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5831-2022</t>
        </is>
      </c>
      <c r="B774" s="1" t="n">
        <v>44596</v>
      </c>
      <c r="C774" s="1" t="n">
        <v>46114</v>
      </c>
      <c r="D774" t="inlineStr">
        <is>
          <t>STOCKHOLMS LÄN</t>
        </is>
      </c>
      <c r="E774" t="inlineStr">
        <is>
          <t>NORRTÄLJE</t>
        </is>
      </c>
      <c r="G774" t="n">
        <v>4.8</v>
      </c>
      <c r="H774" t="n">
        <v>0</v>
      </c>
      <c r="I774" t="n">
        <v>0</v>
      </c>
      <c r="J774" t="n">
        <v>0</v>
      </c>
      <c r="K774" t="n">
        <v>0</v>
      </c>
      <c r="L774" t="n">
        <v>0</v>
      </c>
      <c r="M774" t="n">
        <v>0</v>
      </c>
      <c r="N774" t="n">
        <v>0</v>
      </c>
      <c r="O774" t="n">
        <v>0</v>
      </c>
      <c r="P774" t="n">
        <v>0</v>
      </c>
      <c r="Q774" t="n">
        <v>0</v>
      </c>
      <c r="R774" s="2" t="inlineStr"/>
    </row>
    <row r="775" ht="15" customHeight="1">
      <c r="A775" t="inlineStr">
        <is>
          <t>A 5867-2022</t>
        </is>
      </c>
      <c r="B775" s="1" t="n">
        <v>44596.66335648148</v>
      </c>
      <c r="C775" s="1" t="n">
        <v>46114</v>
      </c>
      <c r="D775" t="inlineStr">
        <is>
          <t>STOCKHOLMS LÄN</t>
        </is>
      </c>
      <c r="E775" t="inlineStr">
        <is>
          <t>NORRTÄLJE</t>
        </is>
      </c>
      <c r="F775" t="inlineStr">
        <is>
          <t>Naturvårdsverket</t>
        </is>
      </c>
      <c r="G775" t="n">
        <v>1.6</v>
      </c>
      <c r="H775" t="n">
        <v>0</v>
      </c>
      <c r="I775" t="n">
        <v>0</v>
      </c>
      <c r="J775" t="n">
        <v>0</v>
      </c>
      <c r="K775" t="n">
        <v>0</v>
      </c>
      <c r="L775" t="n">
        <v>0</v>
      </c>
      <c r="M775" t="n">
        <v>0</v>
      </c>
      <c r="N775" t="n">
        <v>0</v>
      </c>
      <c r="O775" t="n">
        <v>0</v>
      </c>
      <c r="P775" t="n">
        <v>0</v>
      </c>
      <c r="Q775" t="n">
        <v>0</v>
      </c>
      <c r="R775" s="2" t="inlineStr"/>
    </row>
    <row r="776" ht="15" customHeight="1">
      <c r="A776" t="inlineStr">
        <is>
          <t>A 61160-2025</t>
        </is>
      </c>
      <c r="B776" s="1" t="n">
        <v>46000.55262731481</v>
      </c>
      <c r="C776" s="1" t="n">
        <v>46114</v>
      </c>
      <c r="D776" t="inlineStr">
        <is>
          <t>STOCKHOLMS LÄN</t>
        </is>
      </c>
      <c r="E776" t="inlineStr">
        <is>
          <t>NORRTÄLJE</t>
        </is>
      </c>
      <c r="G776" t="n">
        <v>5.3</v>
      </c>
      <c r="H776" t="n">
        <v>0</v>
      </c>
      <c r="I776" t="n">
        <v>0</v>
      </c>
      <c r="J776" t="n">
        <v>0</v>
      </c>
      <c r="K776" t="n">
        <v>0</v>
      </c>
      <c r="L776" t="n">
        <v>0</v>
      </c>
      <c r="M776" t="n">
        <v>0</v>
      </c>
      <c r="N776" t="n">
        <v>0</v>
      </c>
      <c r="O776" t="n">
        <v>0</v>
      </c>
      <c r="P776" t="n">
        <v>0</v>
      </c>
      <c r="Q776" t="n">
        <v>0</v>
      </c>
      <c r="R776" s="2" t="inlineStr"/>
    </row>
    <row r="777" ht="15" customHeight="1">
      <c r="A777" t="inlineStr">
        <is>
          <t>A 20244-2025</t>
        </is>
      </c>
      <c r="B777" s="1" t="n">
        <v>45772.71221064815</v>
      </c>
      <c r="C777" s="1" t="n">
        <v>46114</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48633-2023</t>
        </is>
      </c>
      <c r="B778" s="1" t="n">
        <v>45208.58004629629</v>
      </c>
      <c r="C778" s="1" t="n">
        <v>46114</v>
      </c>
      <c r="D778" t="inlineStr">
        <is>
          <t>STOCKHOLMS LÄN</t>
        </is>
      </c>
      <c r="E778" t="inlineStr">
        <is>
          <t>NORRTÄLJE</t>
        </is>
      </c>
      <c r="G778" t="n">
        <v>3.3</v>
      </c>
      <c r="H778" t="n">
        <v>0</v>
      </c>
      <c r="I778" t="n">
        <v>0</v>
      </c>
      <c r="J778" t="n">
        <v>0</v>
      </c>
      <c r="K778" t="n">
        <v>0</v>
      </c>
      <c r="L778" t="n">
        <v>0</v>
      </c>
      <c r="M778" t="n">
        <v>0</v>
      </c>
      <c r="N778" t="n">
        <v>0</v>
      </c>
      <c r="O778" t="n">
        <v>0</v>
      </c>
      <c r="P778" t="n">
        <v>0</v>
      </c>
      <c r="Q778" t="n">
        <v>0</v>
      </c>
      <c r="R778" s="2" t="inlineStr"/>
    </row>
    <row r="779" ht="15" customHeight="1">
      <c r="A779" t="inlineStr">
        <is>
          <t>A 61419-2025</t>
        </is>
      </c>
      <c r="B779" s="1" t="n">
        <v>46001.54137731482</v>
      </c>
      <c r="C779" s="1" t="n">
        <v>46114</v>
      </c>
      <c r="D779" t="inlineStr">
        <is>
          <t>STOCKHOLMS LÄN</t>
        </is>
      </c>
      <c r="E779" t="inlineStr">
        <is>
          <t>NORRTÄLJE</t>
        </is>
      </c>
      <c r="G779" t="n">
        <v>5.2</v>
      </c>
      <c r="H779" t="n">
        <v>0</v>
      </c>
      <c r="I779" t="n">
        <v>0</v>
      </c>
      <c r="J779" t="n">
        <v>0</v>
      </c>
      <c r="K779" t="n">
        <v>0</v>
      </c>
      <c r="L779" t="n">
        <v>0</v>
      </c>
      <c r="M779" t="n">
        <v>0</v>
      </c>
      <c r="N779" t="n">
        <v>0</v>
      </c>
      <c r="O779" t="n">
        <v>0</v>
      </c>
      <c r="P779" t="n">
        <v>0</v>
      </c>
      <c r="Q779" t="n">
        <v>0</v>
      </c>
      <c r="R779" s="2" t="inlineStr"/>
    </row>
    <row r="780" ht="15" customHeight="1">
      <c r="A780" t="inlineStr">
        <is>
          <t>A 61430-2025</t>
        </is>
      </c>
      <c r="B780" s="1" t="n">
        <v>46001.55583333333</v>
      </c>
      <c r="C780" s="1" t="n">
        <v>46114</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39669-2024</t>
        </is>
      </c>
      <c r="B781" s="1" t="n">
        <v>45552.52827546297</v>
      </c>
      <c r="C781" s="1" t="n">
        <v>46114</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61452-2025</t>
        </is>
      </c>
      <c r="B782" s="1" t="n">
        <v>46001.58043981482</v>
      </c>
      <c r="C782" s="1" t="n">
        <v>46114</v>
      </c>
      <c r="D782" t="inlineStr">
        <is>
          <t>STOCKHOLMS LÄN</t>
        </is>
      </c>
      <c r="E782" t="inlineStr">
        <is>
          <t>NORRTÄLJE</t>
        </is>
      </c>
      <c r="F782" t="inlineStr">
        <is>
          <t>Holmen skog AB</t>
        </is>
      </c>
      <c r="G782" t="n">
        <v>3.7</v>
      </c>
      <c r="H782" t="n">
        <v>0</v>
      </c>
      <c r="I782" t="n">
        <v>0</v>
      </c>
      <c r="J782" t="n">
        <v>0</v>
      </c>
      <c r="K782" t="n">
        <v>0</v>
      </c>
      <c r="L782" t="n">
        <v>0</v>
      </c>
      <c r="M782" t="n">
        <v>0</v>
      </c>
      <c r="N782" t="n">
        <v>0</v>
      </c>
      <c r="O782" t="n">
        <v>0</v>
      </c>
      <c r="P782" t="n">
        <v>0</v>
      </c>
      <c r="Q782" t="n">
        <v>0</v>
      </c>
      <c r="R782" s="2" t="inlineStr"/>
    </row>
    <row r="783" ht="15" customHeight="1">
      <c r="A783" t="inlineStr">
        <is>
          <t>A 61289-2025</t>
        </is>
      </c>
      <c r="B783" s="1" t="n">
        <v>46000.73659722223</v>
      </c>
      <c r="C783" s="1" t="n">
        <v>46114</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61769-2025</t>
        </is>
      </c>
      <c r="B784" s="1" t="n">
        <v>46002.64556712963</v>
      </c>
      <c r="C784" s="1" t="n">
        <v>46114</v>
      </c>
      <c r="D784" t="inlineStr">
        <is>
          <t>STOCKHOLMS LÄN</t>
        </is>
      </c>
      <c r="E784" t="inlineStr">
        <is>
          <t>NORRTÄLJE</t>
        </is>
      </c>
      <c r="G784" t="n">
        <v>2.9</v>
      </c>
      <c r="H784" t="n">
        <v>0</v>
      </c>
      <c r="I784" t="n">
        <v>0</v>
      </c>
      <c r="J784" t="n">
        <v>0</v>
      </c>
      <c r="K784" t="n">
        <v>0</v>
      </c>
      <c r="L784" t="n">
        <v>0</v>
      </c>
      <c r="M784" t="n">
        <v>0</v>
      </c>
      <c r="N784" t="n">
        <v>0</v>
      </c>
      <c r="O784" t="n">
        <v>0</v>
      </c>
      <c r="P784" t="n">
        <v>0</v>
      </c>
      <c r="Q784" t="n">
        <v>0</v>
      </c>
      <c r="R784" s="2" t="inlineStr"/>
    </row>
    <row r="785" ht="15" customHeight="1">
      <c r="A785" t="inlineStr">
        <is>
          <t>A 61764-2025</t>
        </is>
      </c>
      <c r="B785" s="1" t="n">
        <v>46002.62763888889</v>
      </c>
      <c r="C785" s="1" t="n">
        <v>46114</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43170-2023</t>
        </is>
      </c>
      <c r="B786" s="1" t="n">
        <v>45183</v>
      </c>
      <c r="C786" s="1" t="n">
        <v>46114</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9-2024</t>
        </is>
      </c>
      <c r="B787" s="1" t="n">
        <v>45293</v>
      </c>
      <c r="C787" s="1" t="n">
        <v>46114</v>
      </c>
      <c r="D787" t="inlineStr">
        <is>
          <t>STOCKHOLMS LÄN</t>
        </is>
      </c>
      <c r="E787" t="inlineStr">
        <is>
          <t>NORRTÄLJE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22832-2021</t>
        </is>
      </c>
      <c r="B788" s="1" t="n">
        <v>44325</v>
      </c>
      <c r="C788" s="1" t="n">
        <v>46114</v>
      </c>
      <c r="D788" t="inlineStr">
        <is>
          <t>STOCKHOLMS LÄN</t>
        </is>
      </c>
      <c r="E788" t="inlineStr">
        <is>
          <t>NORRTÄLJE</t>
        </is>
      </c>
      <c r="G788" t="n">
        <v>6.8</v>
      </c>
      <c r="H788" t="n">
        <v>0</v>
      </c>
      <c r="I788" t="n">
        <v>0</v>
      </c>
      <c r="J788" t="n">
        <v>0</v>
      </c>
      <c r="K788" t="n">
        <v>0</v>
      </c>
      <c r="L788" t="n">
        <v>0</v>
      </c>
      <c r="M788" t="n">
        <v>0</v>
      </c>
      <c r="N788" t="n">
        <v>0</v>
      </c>
      <c r="O788" t="n">
        <v>0</v>
      </c>
      <c r="P788" t="n">
        <v>0</v>
      </c>
      <c r="Q788" t="n">
        <v>0</v>
      </c>
      <c r="R788" s="2" t="inlineStr"/>
    </row>
    <row r="789" ht="15" customHeight="1">
      <c r="A789" t="inlineStr">
        <is>
          <t>A 16913-2025</t>
        </is>
      </c>
      <c r="B789" s="1" t="n">
        <v>45755.36583333334</v>
      </c>
      <c r="C789" s="1" t="n">
        <v>46114</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4035-2023</t>
        </is>
      </c>
      <c r="B790" s="1" t="n">
        <v>44952.57989583333</v>
      </c>
      <c r="C790" s="1" t="n">
        <v>46114</v>
      </c>
      <c r="D790" t="inlineStr">
        <is>
          <t>STOCKHOLMS LÄN</t>
        </is>
      </c>
      <c r="E790" t="inlineStr">
        <is>
          <t>NORRTÄLJE</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33793-2022</t>
        </is>
      </c>
      <c r="B791" s="1" t="n">
        <v>44790</v>
      </c>
      <c r="C791" s="1" t="n">
        <v>46114</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53600-2022</t>
        </is>
      </c>
      <c r="B792" s="1" t="n">
        <v>44879.70518518519</v>
      </c>
      <c r="C792" s="1" t="n">
        <v>46114</v>
      </c>
      <c r="D792" t="inlineStr">
        <is>
          <t>STOCKHOLMS LÄN</t>
        </is>
      </c>
      <c r="E792" t="inlineStr">
        <is>
          <t>NORRTÄLJE</t>
        </is>
      </c>
      <c r="G792" t="n">
        <v>4.3</v>
      </c>
      <c r="H792" t="n">
        <v>0</v>
      </c>
      <c r="I792" t="n">
        <v>0</v>
      </c>
      <c r="J792" t="n">
        <v>0</v>
      </c>
      <c r="K792" t="n">
        <v>0</v>
      </c>
      <c r="L792" t="n">
        <v>0</v>
      </c>
      <c r="M792" t="n">
        <v>0</v>
      </c>
      <c r="N792" t="n">
        <v>0</v>
      </c>
      <c r="O792" t="n">
        <v>0</v>
      </c>
      <c r="P792" t="n">
        <v>0</v>
      </c>
      <c r="Q792" t="n">
        <v>0</v>
      </c>
      <c r="R792" s="2" t="inlineStr"/>
    </row>
    <row r="793" ht="15" customHeight="1">
      <c r="A793" t="inlineStr">
        <is>
          <t>A 7697-2025</t>
        </is>
      </c>
      <c r="B793" s="1" t="n">
        <v>45706.40086805556</v>
      </c>
      <c r="C793" s="1" t="n">
        <v>46114</v>
      </c>
      <c r="D793" t="inlineStr">
        <is>
          <t>STOCKHOLMS LÄN</t>
        </is>
      </c>
      <c r="E793" t="inlineStr">
        <is>
          <t>NORRTÄLJE</t>
        </is>
      </c>
      <c r="F793" t="inlineStr">
        <is>
          <t>Holmen skog AB</t>
        </is>
      </c>
      <c r="G793" t="n">
        <v>1.8</v>
      </c>
      <c r="H793" t="n">
        <v>0</v>
      </c>
      <c r="I793" t="n">
        <v>0</v>
      </c>
      <c r="J793" t="n">
        <v>0</v>
      </c>
      <c r="K793" t="n">
        <v>0</v>
      </c>
      <c r="L793" t="n">
        <v>0</v>
      </c>
      <c r="M793" t="n">
        <v>0</v>
      </c>
      <c r="N793" t="n">
        <v>0</v>
      </c>
      <c r="O793" t="n">
        <v>0</v>
      </c>
      <c r="P793" t="n">
        <v>0</v>
      </c>
      <c r="Q793" t="n">
        <v>0</v>
      </c>
      <c r="R793" s="2" t="inlineStr"/>
    </row>
    <row r="794" ht="15" customHeight="1">
      <c r="A794" t="inlineStr">
        <is>
          <t>A 30221-2024</t>
        </is>
      </c>
      <c r="B794" s="1" t="n">
        <v>45490.45342592592</v>
      </c>
      <c r="C794" s="1" t="n">
        <v>46114</v>
      </c>
      <c r="D794" t="inlineStr">
        <is>
          <t>STOCKHOLMS LÄN</t>
        </is>
      </c>
      <c r="E794" t="inlineStr">
        <is>
          <t>NORRTÄLJE</t>
        </is>
      </c>
      <c r="F794" t="inlineStr">
        <is>
          <t>Holmen skog AB</t>
        </is>
      </c>
      <c r="G794" t="n">
        <v>1.7</v>
      </c>
      <c r="H794" t="n">
        <v>0</v>
      </c>
      <c r="I794" t="n">
        <v>0</v>
      </c>
      <c r="J794" t="n">
        <v>0</v>
      </c>
      <c r="K794" t="n">
        <v>0</v>
      </c>
      <c r="L794" t="n">
        <v>0</v>
      </c>
      <c r="M794" t="n">
        <v>0</v>
      </c>
      <c r="N794" t="n">
        <v>0</v>
      </c>
      <c r="O794" t="n">
        <v>0</v>
      </c>
      <c r="P794" t="n">
        <v>0</v>
      </c>
      <c r="Q794" t="n">
        <v>0</v>
      </c>
      <c r="R794" s="2" t="inlineStr"/>
    </row>
    <row r="795" ht="15" customHeight="1">
      <c r="A795" t="inlineStr">
        <is>
          <t>A 33279-2025</t>
        </is>
      </c>
      <c r="B795" s="1" t="n">
        <v>45840</v>
      </c>
      <c r="C795" s="1" t="n">
        <v>46114</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53499-2025</t>
        </is>
      </c>
      <c r="B796" s="1" t="n">
        <v>45960</v>
      </c>
      <c r="C796" s="1" t="n">
        <v>46114</v>
      </c>
      <c r="D796" t="inlineStr">
        <is>
          <t>STOCKHOLMS LÄN</t>
        </is>
      </c>
      <c r="E796" t="inlineStr">
        <is>
          <t>NORRTÄLJE</t>
        </is>
      </c>
      <c r="G796" t="n">
        <v>23.8</v>
      </c>
      <c r="H796" t="n">
        <v>0</v>
      </c>
      <c r="I796" t="n">
        <v>0</v>
      </c>
      <c r="J796" t="n">
        <v>0</v>
      </c>
      <c r="K796" t="n">
        <v>0</v>
      </c>
      <c r="L796" t="n">
        <v>0</v>
      </c>
      <c r="M796" t="n">
        <v>0</v>
      </c>
      <c r="N796" t="n">
        <v>0</v>
      </c>
      <c r="O796" t="n">
        <v>0</v>
      </c>
      <c r="P796" t="n">
        <v>0</v>
      </c>
      <c r="Q796" t="n">
        <v>0</v>
      </c>
      <c r="R796" s="2" t="inlineStr"/>
    </row>
    <row r="797" ht="15" customHeight="1">
      <c r="A797" t="inlineStr">
        <is>
          <t>A 13-2024</t>
        </is>
      </c>
      <c r="B797" s="1" t="n">
        <v>45293.37263888889</v>
      </c>
      <c r="C797" s="1" t="n">
        <v>46114</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19-2024</t>
        </is>
      </c>
      <c r="B798" s="1" t="n">
        <v>45293</v>
      </c>
      <c r="C798" s="1" t="n">
        <v>46114</v>
      </c>
      <c r="D798" t="inlineStr">
        <is>
          <t>STOCKHOLMS LÄN</t>
        </is>
      </c>
      <c r="E798" t="inlineStr">
        <is>
          <t>NORRTÄLJE</t>
        </is>
      </c>
      <c r="G798" t="n">
        <v>0.3</v>
      </c>
      <c r="H798" t="n">
        <v>0</v>
      </c>
      <c r="I798" t="n">
        <v>0</v>
      </c>
      <c r="J798" t="n">
        <v>0</v>
      </c>
      <c r="K798" t="n">
        <v>0</v>
      </c>
      <c r="L798" t="n">
        <v>0</v>
      </c>
      <c r="M798" t="n">
        <v>0</v>
      </c>
      <c r="N798" t="n">
        <v>0</v>
      </c>
      <c r="O798" t="n">
        <v>0</v>
      </c>
      <c r="P798" t="n">
        <v>0</v>
      </c>
      <c r="Q798" t="n">
        <v>0</v>
      </c>
      <c r="R798" s="2" t="inlineStr"/>
    </row>
    <row r="799" ht="15" customHeight="1">
      <c r="A799" t="inlineStr">
        <is>
          <t>A 31559-2022</t>
        </is>
      </c>
      <c r="B799" s="1" t="n">
        <v>44775</v>
      </c>
      <c r="C799" s="1" t="n">
        <v>46114</v>
      </c>
      <c r="D799" t="inlineStr">
        <is>
          <t>STOCKHOLMS LÄN</t>
        </is>
      </c>
      <c r="E799" t="inlineStr">
        <is>
          <t>NORRTÄLJE</t>
        </is>
      </c>
      <c r="G799" t="n">
        <v>5.6</v>
      </c>
      <c r="H799" t="n">
        <v>0</v>
      </c>
      <c r="I799" t="n">
        <v>0</v>
      </c>
      <c r="J799" t="n">
        <v>0</v>
      </c>
      <c r="K799" t="n">
        <v>0</v>
      </c>
      <c r="L799" t="n">
        <v>0</v>
      </c>
      <c r="M799" t="n">
        <v>0</v>
      </c>
      <c r="N799" t="n">
        <v>0</v>
      </c>
      <c r="O799" t="n">
        <v>0</v>
      </c>
      <c r="P799" t="n">
        <v>0</v>
      </c>
      <c r="Q799" t="n">
        <v>0</v>
      </c>
      <c r="R799" s="2" t="inlineStr"/>
    </row>
    <row r="800" ht="15" customHeight="1">
      <c r="A800" t="inlineStr">
        <is>
          <t>A 8419-2025</t>
        </is>
      </c>
      <c r="B800" s="1" t="n">
        <v>45709.40231481481</v>
      </c>
      <c r="C800" s="1" t="n">
        <v>46114</v>
      </c>
      <c r="D800" t="inlineStr">
        <is>
          <t>STOCKHOLMS LÄN</t>
        </is>
      </c>
      <c r="E800" t="inlineStr">
        <is>
          <t>NORRTÄLJE</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62708-2025</t>
        </is>
      </c>
      <c r="B801" s="1" t="n">
        <v>46008.50986111111</v>
      </c>
      <c r="C801" s="1" t="n">
        <v>46114</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35161-2022</t>
        </is>
      </c>
      <c r="B802" s="1" t="n">
        <v>44797</v>
      </c>
      <c r="C802" s="1" t="n">
        <v>46114</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34478-2025</t>
        </is>
      </c>
      <c r="B803" s="1" t="n">
        <v>45847</v>
      </c>
      <c r="C803" s="1" t="n">
        <v>46114</v>
      </c>
      <c r="D803" t="inlineStr">
        <is>
          <t>STOCKHOLMS LÄN</t>
        </is>
      </c>
      <c r="E803" t="inlineStr">
        <is>
          <t>NORRTÄLJE</t>
        </is>
      </c>
      <c r="F803" t="inlineStr">
        <is>
          <t>Övriga Aktiebolag</t>
        </is>
      </c>
      <c r="G803" t="n">
        <v>10.8</v>
      </c>
      <c r="H803" t="n">
        <v>0</v>
      </c>
      <c r="I803" t="n">
        <v>0</v>
      </c>
      <c r="J803" t="n">
        <v>0</v>
      </c>
      <c r="K803" t="n">
        <v>0</v>
      </c>
      <c r="L803" t="n">
        <v>0</v>
      </c>
      <c r="M803" t="n">
        <v>0</v>
      </c>
      <c r="N803" t="n">
        <v>0</v>
      </c>
      <c r="O803" t="n">
        <v>0</v>
      </c>
      <c r="P803" t="n">
        <v>0</v>
      </c>
      <c r="Q803" t="n">
        <v>0</v>
      </c>
      <c r="R803" s="2" t="inlineStr"/>
    </row>
    <row r="804" ht="15" customHeight="1">
      <c r="A804" t="inlineStr">
        <is>
          <t>A 62681-2025</t>
        </is>
      </c>
      <c r="B804" s="1" t="n">
        <v>46008.45534722223</v>
      </c>
      <c r="C804" s="1" t="n">
        <v>46114</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62922-2025</t>
        </is>
      </c>
      <c r="B805" s="1" t="n">
        <v>46009.38064814815</v>
      </c>
      <c r="C805" s="1" t="n">
        <v>46114</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58989-2021</t>
        </is>
      </c>
      <c r="B806" s="1" t="n">
        <v>44490.02482638889</v>
      </c>
      <c r="C806" s="1" t="n">
        <v>46114</v>
      </c>
      <c r="D806" t="inlineStr">
        <is>
          <t>STOCKHOLMS LÄN</t>
        </is>
      </c>
      <c r="E806" t="inlineStr">
        <is>
          <t>NORRTÄLJE</t>
        </is>
      </c>
      <c r="G806" t="n">
        <v>0.3</v>
      </c>
      <c r="H806" t="n">
        <v>0</v>
      </c>
      <c r="I806" t="n">
        <v>0</v>
      </c>
      <c r="J806" t="n">
        <v>0</v>
      </c>
      <c r="K806" t="n">
        <v>0</v>
      </c>
      <c r="L806" t="n">
        <v>0</v>
      </c>
      <c r="M806" t="n">
        <v>0</v>
      </c>
      <c r="N806" t="n">
        <v>0</v>
      </c>
      <c r="O806" t="n">
        <v>0</v>
      </c>
      <c r="P806" t="n">
        <v>0</v>
      </c>
      <c r="Q806" t="n">
        <v>0</v>
      </c>
      <c r="R806" s="2" t="inlineStr"/>
    </row>
    <row r="807" ht="15" customHeight="1">
      <c r="A807" t="inlineStr">
        <is>
          <t>A 46988-2024</t>
        </is>
      </c>
      <c r="B807" s="1" t="n">
        <v>45586</v>
      </c>
      <c r="C807" s="1" t="n">
        <v>46114</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21529-2021</t>
        </is>
      </c>
      <c r="B808" s="1" t="n">
        <v>44321</v>
      </c>
      <c r="C808" s="1" t="n">
        <v>46114</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13701-2022</t>
        </is>
      </c>
      <c r="B809" s="1" t="n">
        <v>44648</v>
      </c>
      <c r="C809" s="1" t="n">
        <v>46114</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62689-2025</t>
        </is>
      </c>
      <c r="B810" s="1" t="n">
        <v>46008.47171296296</v>
      </c>
      <c r="C810" s="1" t="n">
        <v>46114</v>
      </c>
      <c r="D810" t="inlineStr">
        <is>
          <t>STOCKHOLMS LÄN</t>
        </is>
      </c>
      <c r="E810" t="inlineStr">
        <is>
          <t>NORRTÄLJE</t>
        </is>
      </c>
      <c r="F810" t="inlineStr">
        <is>
          <t>Kyrkan</t>
        </is>
      </c>
      <c r="G810" t="n">
        <v>0.7</v>
      </c>
      <c r="H810" t="n">
        <v>0</v>
      </c>
      <c r="I810" t="n">
        <v>0</v>
      </c>
      <c r="J810" t="n">
        <v>0</v>
      </c>
      <c r="K810" t="n">
        <v>0</v>
      </c>
      <c r="L810" t="n">
        <v>0</v>
      </c>
      <c r="M810" t="n">
        <v>0</v>
      </c>
      <c r="N810" t="n">
        <v>0</v>
      </c>
      <c r="O810" t="n">
        <v>0</v>
      </c>
      <c r="P810" t="n">
        <v>0</v>
      </c>
      <c r="Q810" t="n">
        <v>0</v>
      </c>
      <c r="R810" s="2" t="inlineStr"/>
    </row>
    <row r="811" ht="15" customHeight="1">
      <c r="A811" t="inlineStr">
        <is>
          <t>A 14132-2025</t>
        </is>
      </c>
      <c r="B811" s="1" t="n">
        <v>45740.47550925926</v>
      </c>
      <c r="C811" s="1" t="n">
        <v>46114</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14133-2025</t>
        </is>
      </c>
      <c r="B812" s="1" t="n">
        <v>45740.47724537037</v>
      </c>
      <c r="C812" s="1" t="n">
        <v>46114</v>
      </c>
      <c r="D812" t="inlineStr">
        <is>
          <t>STOCKHOLMS LÄN</t>
        </is>
      </c>
      <c r="E812" t="inlineStr">
        <is>
          <t>NORRTÄLJE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8792-2025</t>
        </is>
      </c>
      <c r="B813" s="1" t="n">
        <v>45712</v>
      </c>
      <c r="C813" s="1" t="n">
        <v>46114</v>
      </c>
      <c r="D813" t="inlineStr">
        <is>
          <t>STOCKHOLMS LÄN</t>
        </is>
      </c>
      <c r="E813" t="inlineStr">
        <is>
          <t>NORRTÄLJE</t>
        </is>
      </c>
      <c r="F813" t="inlineStr">
        <is>
          <t>Övriga Aktiebolag</t>
        </is>
      </c>
      <c r="G813" t="n">
        <v>6.6</v>
      </c>
      <c r="H813" t="n">
        <v>0</v>
      </c>
      <c r="I813" t="n">
        <v>0</v>
      </c>
      <c r="J813" t="n">
        <v>0</v>
      </c>
      <c r="K813" t="n">
        <v>0</v>
      </c>
      <c r="L813" t="n">
        <v>0</v>
      </c>
      <c r="M813" t="n">
        <v>0</v>
      </c>
      <c r="N813" t="n">
        <v>0</v>
      </c>
      <c r="O813" t="n">
        <v>0</v>
      </c>
      <c r="P813" t="n">
        <v>0</v>
      </c>
      <c r="Q813" t="n">
        <v>0</v>
      </c>
      <c r="R813" s="2" t="inlineStr"/>
    </row>
    <row r="814" ht="15" customHeight="1">
      <c r="A814" t="inlineStr">
        <is>
          <t>A 24887-2023</t>
        </is>
      </c>
      <c r="B814" s="1" t="n">
        <v>45085</v>
      </c>
      <c r="C814" s="1" t="n">
        <v>46114</v>
      </c>
      <c r="D814" t="inlineStr">
        <is>
          <t>STOCKHOLMS LÄN</t>
        </is>
      </c>
      <c r="E814" t="inlineStr">
        <is>
          <t>NORRTÄLJE</t>
        </is>
      </c>
      <c r="G814" t="n">
        <v>13.9</v>
      </c>
      <c r="H814" t="n">
        <v>0</v>
      </c>
      <c r="I814" t="n">
        <v>0</v>
      </c>
      <c r="J814" t="n">
        <v>0</v>
      </c>
      <c r="K814" t="n">
        <v>0</v>
      </c>
      <c r="L814" t="n">
        <v>0</v>
      </c>
      <c r="M814" t="n">
        <v>0</v>
      </c>
      <c r="N814" t="n">
        <v>0</v>
      </c>
      <c r="O814" t="n">
        <v>0</v>
      </c>
      <c r="P814" t="n">
        <v>0</v>
      </c>
      <c r="Q814" t="n">
        <v>0</v>
      </c>
      <c r="R814" s="2" t="inlineStr"/>
    </row>
    <row r="815" ht="15" customHeight="1">
      <c r="A815" t="inlineStr">
        <is>
          <t>A 38612-2022</t>
        </is>
      </c>
      <c r="B815" s="1" t="n">
        <v>44813</v>
      </c>
      <c r="C815" s="1" t="n">
        <v>46114</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4326-2023</t>
        </is>
      </c>
      <c r="B816" s="1" t="n">
        <v>44953.70481481482</v>
      </c>
      <c r="C816" s="1" t="n">
        <v>46114</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54504-2024</t>
        </is>
      </c>
      <c r="B817" s="1" t="n">
        <v>45617.58453703704</v>
      </c>
      <c r="C817" s="1" t="n">
        <v>46114</v>
      </c>
      <c r="D817" t="inlineStr">
        <is>
          <t>STOCKHOLMS LÄN</t>
        </is>
      </c>
      <c r="E817" t="inlineStr">
        <is>
          <t>NORRTÄLJE</t>
        </is>
      </c>
      <c r="G817" t="n">
        <v>3.4</v>
      </c>
      <c r="H817" t="n">
        <v>0</v>
      </c>
      <c r="I817" t="n">
        <v>0</v>
      </c>
      <c r="J817" t="n">
        <v>0</v>
      </c>
      <c r="K817" t="n">
        <v>0</v>
      </c>
      <c r="L817" t="n">
        <v>0</v>
      </c>
      <c r="M817" t="n">
        <v>0</v>
      </c>
      <c r="N817" t="n">
        <v>0</v>
      </c>
      <c r="O817" t="n">
        <v>0</v>
      </c>
      <c r="P817" t="n">
        <v>0</v>
      </c>
      <c r="Q817" t="n">
        <v>0</v>
      </c>
      <c r="R817" s="2" t="inlineStr"/>
    </row>
    <row r="818" ht="15" customHeight="1">
      <c r="A818" t="inlineStr">
        <is>
          <t>A 21745-2023</t>
        </is>
      </c>
      <c r="B818" s="1" t="n">
        <v>45065.55917824074</v>
      </c>
      <c r="C818" s="1" t="n">
        <v>46114</v>
      </c>
      <c r="D818" t="inlineStr">
        <is>
          <t>STOCKHOLMS LÄN</t>
        </is>
      </c>
      <c r="E818" t="inlineStr">
        <is>
          <t>NORRTÄLJE</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21894-2023</t>
        </is>
      </c>
      <c r="B819" s="1" t="n">
        <v>45068.51783564815</v>
      </c>
      <c r="C819" s="1" t="n">
        <v>46114</v>
      </c>
      <c r="D819" t="inlineStr">
        <is>
          <t>STOCKHOLMS LÄN</t>
        </is>
      </c>
      <c r="E819" t="inlineStr">
        <is>
          <t>NORRTÄLJE</t>
        </is>
      </c>
      <c r="G819" t="n">
        <v>2.5</v>
      </c>
      <c r="H819" t="n">
        <v>0</v>
      </c>
      <c r="I819" t="n">
        <v>0</v>
      </c>
      <c r="J819" t="n">
        <v>0</v>
      </c>
      <c r="K819" t="n">
        <v>0</v>
      </c>
      <c r="L819" t="n">
        <v>0</v>
      </c>
      <c r="M819" t="n">
        <v>0</v>
      </c>
      <c r="N819" t="n">
        <v>0</v>
      </c>
      <c r="O819" t="n">
        <v>0</v>
      </c>
      <c r="P819" t="n">
        <v>0</v>
      </c>
      <c r="Q819" t="n">
        <v>0</v>
      </c>
      <c r="R819" s="2" t="inlineStr"/>
    </row>
    <row r="820" ht="15" customHeight="1">
      <c r="A820" t="inlineStr">
        <is>
          <t>A 13276-2022</t>
        </is>
      </c>
      <c r="B820" s="1" t="n">
        <v>44644</v>
      </c>
      <c r="C820" s="1" t="n">
        <v>46114</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28182-2022</t>
        </is>
      </c>
      <c r="B821" s="1" t="n">
        <v>44746.58530092592</v>
      </c>
      <c r="C821" s="1" t="n">
        <v>46114</v>
      </c>
      <c r="D821" t="inlineStr">
        <is>
          <t>STOCKHOLMS LÄN</t>
        </is>
      </c>
      <c r="E821" t="inlineStr">
        <is>
          <t>NORRTÄLJE</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34461-2023</t>
        </is>
      </c>
      <c r="B822" s="1" t="n">
        <v>45139</v>
      </c>
      <c r="C822" s="1" t="n">
        <v>46114</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51046-2023</t>
        </is>
      </c>
      <c r="B823" s="1" t="n">
        <v>45218</v>
      </c>
      <c r="C823" s="1" t="n">
        <v>46114</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197-2026</t>
        </is>
      </c>
      <c r="B824" s="1" t="n">
        <v>46026</v>
      </c>
      <c r="C824" s="1" t="n">
        <v>46114</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17382-2024</t>
        </is>
      </c>
      <c r="B825" s="1" t="n">
        <v>45414.65855324074</v>
      </c>
      <c r="C825" s="1" t="n">
        <v>46114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124-2026</t>
        </is>
      </c>
      <c r="B826" s="1" t="n">
        <v>46024.58378472222</v>
      </c>
      <c r="C826" s="1" t="n">
        <v>46114</v>
      </c>
      <c r="D826" t="inlineStr">
        <is>
          <t>STOCKHOLMS LÄN</t>
        </is>
      </c>
      <c r="E826" t="inlineStr">
        <is>
          <t>NORRTÄLJE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6070-2022</t>
        </is>
      </c>
      <c r="B827" s="1" t="n">
        <v>44599.58428240741</v>
      </c>
      <c r="C827" s="1" t="n">
        <v>46114</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17039-2024</t>
        </is>
      </c>
      <c r="B828" s="1" t="n">
        <v>45412.4104050926</v>
      </c>
      <c r="C828" s="1" t="n">
        <v>46114</v>
      </c>
      <c r="D828" t="inlineStr">
        <is>
          <t>STOCKHOLMS LÄN</t>
        </is>
      </c>
      <c r="E828" t="inlineStr">
        <is>
          <t>NORRTÄLJE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48180-2023</t>
        </is>
      </c>
      <c r="B829" s="1" t="n">
        <v>45205</v>
      </c>
      <c r="C829" s="1" t="n">
        <v>46114</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35695-2023</t>
        </is>
      </c>
      <c r="B830" s="1" t="n">
        <v>45147.65407407407</v>
      </c>
      <c r="C830" s="1" t="n">
        <v>46114</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45173-2023</t>
        </is>
      </c>
      <c r="B831" s="1" t="n">
        <v>45191</v>
      </c>
      <c r="C831" s="1" t="n">
        <v>46114</v>
      </c>
      <c r="D831" t="inlineStr">
        <is>
          <t>STOCKHOLMS LÄN</t>
        </is>
      </c>
      <c r="E831" t="inlineStr">
        <is>
          <t>NORRTÄLJE</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718-2026</t>
        </is>
      </c>
      <c r="B832" s="1" t="n">
        <v>46029.63174768518</v>
      </c>
      <c r="C832" s="1" t="n">
        <v>46114</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694-2026</t>
        </is>
      </c>
      <c r="B833" s="1" t="n">
        <v>46029.61375</v>
      </c>
      <c r="C833" s="1" t="n">
        <v>46114</v>
      </c>
      <c r="D833" t="inlineStr">
        <is>
          <t>STOCKHOLMS LÄN</t>
        </is>
      </c>
      <c r="E833" t="inlineStr">
        <is>
          <t>NORRTÄLJE</t>
        </is>
      </c>
      <c r="G833" t="n">
        <v>9.6</v>
      </c>
      <c r="H833" t="n">
        <v>0</v>
      </c>
      <c r="I833" t="n">
        <v>0</v>
      </c>
      <c r="J833" t="n">
        <v>0</v>
      </c>
      <c r="K833" t="n">
        <v>0</v>
      </c>
      <c r="L833" t="n">
        <v>0</v>
      </c>
      <c r="M833" t="n">
        <v>0</v>
      </c>
      <c r="N833" t="n">
        <v>0</v>
      </c>
      <c r="O833" t="n">
        <v>0</v>
      </c>
      <c r="P833" t="n">
        <v>0</v>
      </c>
      <c r="Q833" t="n">
        <v>0</v>
      </c>
      <c r="R833" s="2" t="inlineStr"/>
    </row>
    <row r="834" ht="15" customHeight="1">
      <c r="A834" t="inlineStr">
        <is>
          <t>A 693-2026</t>
        </is>
      </c>
      <c r="B834" s="1" t="n">
        <v>46029.6133449074</v>
      </c>
      <c r="C834" s="1" t="n">
        <v>46114</v>
      </c>
      <c r="D834" t="inlineStr">
        <is>
          <t>STOCKHOLMS LÄN</t>
        </is>
      </c>
      <c r="E834" t="inlineStr">
        <is>
          <t>NORRTÄLJE</t>
        </is>
      </c>
      <c r="G834" t="n">
        <v>9.6</v>
      </c>
      <c r="H834" t="n">
        <v>0</v>
      </c>
      <c r="I834" t="n">
        <v>0</v>
      </c>
      <c r="J834" t="n">
        <v>0</v>
      </c>
      <c r="K834" t="n">
        <v>0</v>
      </c>
      <c r="L834" t="n">
        <v>0</v>
      </c>
      <c r="M834" t="n">
        <v>0</v>
      </c>
      <c r="N834" t="n">
        <v>0</v>
      </c>
      <c r="O834" t="n">
        <v>0</v>
      </c>
      <c r="P834" t="n">
        <v>0</v>
      </c>
      <c r="Q834" t="n">
        <v>0</v>
      </c>
      <c r="R834" s="2" t="inlineStr"/>
    </row>
    <row r="835" ht="15" customHeight="1">
      <c r="A835" t="inlineStr">
        <is>
          <t>A 24705-2023</t>
        </is>
      </c>
      <c r="B835" s="1" t="n">
        <v>45084.54459490741</v>
      </c>
      <c r="C835" s="1" t="n">
        <v>46114</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475-2026</t>
        </is>
      </c>
      <c r="B836" s="1" t="n">
        <v>46029.39351851852</v>
      </c>
      <c r="C836" s="1" t="n">
        <v>46114</v>
      </c>
      <c r="D836" t="inlineStr">
        <is>
          <t>STOCKHOLMS LÄN</t>
        </is>
      </c>
      <c r="E836" t="inlineStr">
        <is>
          <t>NORRTÄLJE</t>
        </is>
      </c>
      <c r="G836" t="n">
        <v>4.6</v>
      </c>
      <c r="H836" t="n">
        <v>0</v>
      </c>
      <c r="I836" t="n">
        <v>0</v>
      </c>
      <c r="J836" t="n">
        <v>0</v>
      </c>
      <c r="K836" t="n">
        <v>0</v>
      </c>
      <c r="L836" t="n">
        <v>0</v>
      </c>
      <c r="M836" t="n">
        <v>0</v>
      </c>
      <c r="N836" t="n">
        <v>0</v>
      </c>
      <c r="O836" t="n">
        <v>0</v>
      </c>
      <c r="P836" t="n">
        <v>0</v>
      </c>
      <c r="Q836" t="n">
        <v>0</v>
      </c>
      <c r="R836" s="2" t="inlineStr"/>
    </row>
    <row r="837" ht="15" customHeight="1">
      <c r="A837" t="inlineStr">
        <is>
          <t>A 717-2026</t>
        </is>
      </c>
      <c r="B837" s="1" t="n">
        <v>46029.63028935185</v>
      </c>
      <c r="C837" s="1" t="n">
        <v>46114</v>
      </c>
      <c r="D837" t="inlineStr">
        <is>
          <t>STOCKHOLMS LÄN</t>
        </is>
      </c>
      <c r="E837" t="inlineStr">
        <is>
          <t>NORRTÄLJE</t>
        </is>
      </c>
      <c r="G837" t="n">
        <v>2.4</v>
      </c>
      <c r="H837" t="n">
        <v>0</v>
      </c>
      <c r="I837" t="n">
        <v>0</v>
      </c>
      <c r="J837" t="n">
        <v>0</v>
      </c>
      <c r="K837" t="n">
        <v>0</v>
      </c>
      <c r="L837" t="n">
        <v>0</v>
      </c>
      <c r="M837" t="n">
        <v>0</v>
      </c>
      <c r="N837" t="n">
        <v>0</v>
      </c>
      <c r="O837" t="n">
        <v>0</v>
      </c>
      <c r="P837" t="n">
        <v>0</v>
      </c>
      <c r="Q837" t="n">
        <v>0</v>
      </c>
      <c r="R837" s="2" t="inlineStr"/>
    </row>
    <row r="838" ht="15" customHeight="1">
      <c r="A838" t="inlineStr">
        <is>
          <t>A 21696-2024</t>
        </is>
      </c>
      <c r="B838" s="1" t="n">
        <v>45442.45686342593</v>
      </c>
      <c r="C838" s="1" t="n">
        <v>46114</v>
      </c>
      <c r="D838" t="inlineStr">
        <is>
          <t>STOCKHOLMS LÄN</t>
        </is>
      </c>
      <c r="E838" t="inlineStr">
        <is>
          <t>NORRTÄLJE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812-2026</t>
        </is>
      </c>
      <c r="B839" s="1" t="n">
        <v>46030.33358796296</v>
      </c>
      <c r="C839" s="1" t="n">
        <v>46114</v>
      </c>
      <c r="D839" t="inlineStr">
        <is>
          <t>STOCKHOLMS LÄN</t>
        </is>
      </c>
      <c r="E839" t="inlineStr">
        <is>
          <t>NORRTÄLJE</t>
        </is>
      </c>
      <c r="G839" t="n">
        <v>2.4</v>
      </c>
      <c r="H839" t="n">
        <v>0</v>
      </c>
      <c r="I839" t="n">
        <v>0</v>
      </c>
      <c r="J839" t="n">
        <v>0</v>
      </c>
      <c r="K839" t="n">
        <v>0</v>
      </c>
      <c r="L839" t="n">
        <v>0</v>
      </c>
      <c r="M839" t="n">
        <v>0</v>
      </c>
      <c r="N839" t="n">
        <v>0</v>
      </c>
      <c r="O839" t="n">
        <v>0</v>
      </c>
      <c r="P839" t="n">
        <v>0</v>
      </c>
      <c r="Q839" t="n">
        <v>0</v>
      </c>
      <c r="R839" s="2" t="inlineStr"/>
    </row>
    <row r="840" ht="15" customHeight="1">
      <c r="A840" t="inlineStr">
        <is>
          <t>A 67990-2021</t>
        </is>
      </c>
      <c r="B840" s="1" t="n">
        <v>44525</v>
      </c>
      <c r="C840" s="1" t="n">
        <v>46114</v>
      </c>
      <c r="D840" t="inlineStr">
        <is>
          <t>STOCKHOLMS LÄN</t>
        </is>
      </c>
      <c r="E840" t="inlineStr">
        <is>
          <t>NORRTÄLJE</t>
        </is>
      </c>
      <c r="F840" t="inlineStr">
        <is>
          <t>Sveaskog</t>
        </is>
      </c>
      <c r="G840" t="n">
        <v>7.8</v>
      </c>
      <c r="H840" t="n">
        <v>0</v>
      </c>
      <c r="I840" t="n">
        <v>0</v>
      </c>
      <c r="J840" t="n">
        <v>0</v>
      </c>
      <c r="K840" t="n">
        <v>0</v>
      </c>
      <c r="L840" t="n">
        <v>0</v>
      </c>
      <c r="M840" t="n">
        <v>0</v>
      </c>
      <c r="N840" t="n">
        <v>0</v>
      </c>
      <c r="O840" t="n">
        <v>0</v>
      </c>
      <c r="P840" t="n">
        <v>0</v>
      </c>
      <c r="Q840" t="n">
        <v>0</v>
      </c>
      <c r="R840" s="2" t="inlineStr"/>
    </row>
    <row r="841" ht="15" customHeight="1">
      <c r="A841" t="inlineStr">
        <is>
          <t>A 71552-2021</t>
        </is>
      </c>
      <c r="B841" s="1" t="n">
        <v>44540</v>
      </c>
      <c r="C841" s="1" t="n">
        <v>46114</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73992-2021</t>
        </is>
      </c>
      <c r="B842" s="1" t="n">
        <v>44556</v>
      </c>
      <c r="C842" s="1" t="n">
        <v>46114</v>
      </c>
      <c r="D842" t="inlineStr">
        <is>
          <t>STOCKHOLMS LÄN</t>
        </is>
      </c>
      <c r="E842" t="inlineStr">
        <is>
          <t>NORRTÄLJE</t>
        </is>
      </c>
      <c r="G842" t="n">
        <v>12.5</v>
      </c>
      <c r="H842" t="n">
        <v>0</v>
      </c>
      <c r="I842" t="n">
        <v>0</v>
      </c>
      <c r="J842" t="n">
        <v>0</v>
      </c>
      <c r="K842" t="n">
        <v>0</v>
      </c>
      <c r="L842" t="n">
        <v>0</v>
      </c>
      <c r="M842" t="n">
        <v>0</v>
      </c>
      <c r="N842" t="n">
        <v>0</v>
      </c>
      <c r="O842" t="n">
        <v>0</v>
      </c>
      <c r="P842" t="n">
        <v>0</v>
      </c>
      <c r="Q842" t="n">
        <v>0</v>
      </c>
      <c r="R842" s="2" t="inlineStr"/>
    </row>
    <row r="843" ht="15" customHeight="1">
      <c r="A843" t="inlineStr">
        <is>
          <t>A 26113-2024</t>
        </is>
      </c>
      <c r="B843" s="1" t="n">
        <v>45468.45541666666</v>
      </c>
      <c r="C843" s="1" t="n">
        <v>46114</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26116-2024</t>
        </is>
      </c>
      <c r="B844" s="1" t="n">
        <v>45468.45747685185</v>
      </c>
      <c r="C844" s="1" t="n">
        <v>46114</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9720-2026</t>
        </is>
      </c>
      <c r="B845" s="1" t="n">
        <v>46072.45061342593</v>
      </c>
      <c r="C845" s="1" t="n">
        <v>46114</v>
      </c>
      <c r="D845" t="inlineStr">
        <is>
          <t>STOCKHOLMS LÄN</t>
        </is>
      </c>
      <c r="E845" t="inlineStr">
        <is>
          <t>NORRTÄLJE</t>
        </is>
      </c>
      <c r="G845" t="n">
        <v>3.6</v>
      </c>
      <c r="H845" t="n">
        <v>0</v>
      </c>
      <c r="I845" t="n">
        <v>0</v>
      </c>
      <c r="J845" t="n">
        <v>0</v>
      </c>
      <c r="K845" t="n">
        <v>0</v>
      </c>
      <c r="L845" t="n">
        <v>0</v>
      </c>
      <c r="M845" t="n">
        <v>0</v>
      </c>
      <c r="N845" t="n">
        <v>0</v>
      </c>
      <c r="O845" t="n">
        <v>0</v>
      </c>
      <c r="P845" t="n">
        <v>0</v>
      </c>
      <c r="Q845" t="n">
        <v>0</v>
      </c>
      <c r="R845" s="2" t="inlineStr"/>
    </row>
    <row r="846" ht="15" customHeight="1">
      <c r="A846" t="inlineStr">
        <is>
          <t>A 15978-2024</t>
        </is>
      </c>
      <c r="B846" s="1" t="n">
        <v>45405.57927083333</v>
      </c>
      <c r="C846" s="1" t="n">
        <v>46114</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11333-2025</t>
        </is>
      </c>
      <c r="B847" s="1" t="n">
        <v>45726.48377314815</v>
      </c>
      <c r="C847" s="1" t="n">
        <v>46114</v>
      </c>
      <c r="D847" t="inlineStr">
        <is>
          <t>STOCKHOLMS LÄN</t>
        </is>
      </c>
      <c r="E847" t="inlineStr">
        <is>
          <t>NORRTÄLJE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10399-2026</t>
        </is>
      </c>
      <c r="B848" s="1" t="n">
        <v>46077</v>
      </c>
      <c r="C848" s="1" t="n">
        <v>46114</v>
      </c>
      <c r="D848" t="inlineStr">
        <is>
          <t>STOCKHOLMS LÄN</t>
        </is>
      </c>
      <c r="E848" t="inlineStr">
        <is>
          <t>NORRTÄLJE</t>
        </is>
      </c>
      <c r="F848" t="inlineStr">
        <is>
          <t>Övriga Aktiebolag</t>
        </is>
      </c>
      <c r="G848" t="n">
        <v>0.2</v>
      </c>
      <c r="H848" t="n">
        <v>0</v>
      </c>
      <c r="I848" t="n">
        <v>0</v>
      </c>
      <c r="J848" t="n">
        <v>0</v>
      </c>
      <c r="K848" t="n">
        <v>0</v>
      </c>
      <c r="L848" t="n">
        <v>0</v>
      </c>
      <c r="M848" t="n">
        <v>0</v>
      </c>
      <c r="N848" t="n">
        <v>0</v>
      </c>
      <c r="O848" t="n">
        <v>0</v>
      </c>
      <c r="P848" t="n">
        <v>0</v>
      </c>
      <c r="Q848" t="n">
        <v>0</v>
      </c>
      <c r="R848" s="2" t="inlineStr"/>
    </row>
    <row r="849" ht="15" customHeight="1">
      <c r="A849" t="inlineStr">
        <is>
          <t>A 34391-2023</t>
        </is>
      </c>
      <c r="B849" s="1" t="n">
        <v>45139.51457175926</v>
      </c>
      <c r="C849" s="1" t="n">
        <v>46114</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1755-2026</t>
        </is>
      </c>
      <c r="B850" s="1" t="n">
        <v>46034.66230324074</v>
      </c>
      <c r="C850" s="1" t="n">
        <v>46114</v>
      </c>
      <c r="D850" t="inlineStr">
        <is>
          <t>STOCKHOLMS LÄN</t>
        </is>
      </c>
      <c r="E850" t="inlineStr">
        <is>
          <t>NORRTÄLJE</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1789-2026</t>
        </is>
      </c>
      <c r="B851" s="1" t="n">
        <v>46034</v>
      </c>
      <c r="C851" s="1" t="n">
        <v>46114</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67921-2021</t>
        </is>
      </c>
      <c r="B852" s="1" t="n">
        <v>44525</v>
      </c>
      <c r="C852" s="1" t="n">
        <v>46114</v>
      </c>
      <c r="D852" t="inlineStr">
        <is>
          <t>STOCKHOLMS LÄN</t>
        </is>
      </c>
      <c r="E852" t="inlineStr">
        <is>
          <t>NORRTÄLJE</t>
        </is>
      </c>
      <c r="G852" t="n">
        <v>6.3</v>
      </c>
      <c r="H852" t="n">
        <v>0</v>
      </c>
      <c r="I852" t="n">
        <v>0</v>
      </c>
      <c r="J852" t="n">
        <v>0</v>
      </c>
      <c r="K852" t="n">
        <v>0</v>
      </c>
      <c r="L852" t="n">
        <v>0</v>
      </c>
      <c r="M852" t="n">
        <v>0</v>
      </c>
      <c r="N852" t="n">
        <v>0</v>
      </c>
      <c r="O852" t="n">
        <v>0</v>
      </c>
      <c r="P852" t="n">
        <v>0</v>
      </c>
      <c r="Q852" t="n">
        <v>0</v>
      </c>
      <c r="R852" s="2" t="inlineStr"/>
    </row>
    <row r="853" ht="15" customHeight="1">
      <c r="A853" t="inlineStr">
        <is>
          <t>A 10429-2026</t>
        </is>
      </c>
      <c r="B853" s="1" t="n">
        <v>46077.3822337963</v>
      </c>
      <c r="C853" s="1" t="n">
        <v>46114</v>
      </c>
      <c r="D853" t="inlineStr">
        <is>
          <t>STOCKHOLMS LÄN</t>
        </is>
      </c>
      <c r="E853" t="inlineStr">
        <is>
          <t>NORRTÄLJE</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10444-2026</t>
        </is>
      </c>
      <c r="B854" s="1" t="n">
        <v>46077.42230324074</v>
      </c>
      <c r="C854" s="1" t="n">
        <v>46114</v>
      </c>
      <c r="D854" t="inlineStr">
        <is>
          <t>STOCKHOLMS LÄN</t>
        </is>
      </c>
      <c r="E854" t="inlineStr">
        <is>
          <t>NORRTÄLJE</t>
        </is>
      </c>
      <c r="F854" t="inlineStr">
        <is>
          <t>Holmen skog AB</t>
        </is>
      </c>
      <c r="G854" t="n">
        <v>4.9</v>
      </c>
      <c r="H854" t="n">
        <v>0</v>
      </c>
      <c r="I854" t="n">
        <v>0</v>
      </c>
      <c r="J854" t="n">
        <v>0</v>
      </c>
      <c r="K854" t="n">
        <v>0</v>
      </c>
      <c r="L854" t="n">
        <v>0</v>
      </c>
      <c r="M854" t="n">
        <v>0</v>
      </c>
      <c r="N854" t="n">
        <v>0</v>
      </c>
      <c r="O854" t="n">
        <v>0</v>
      </c>
      <c r="P854" t="n">
        <v>0</v>
      </c>
      <c r="Q854" t="n">
        <v>0</v>
      </c>
      <c r="R854" s="2" t="inlineStr"/>
    </row>
    <row r="855" ht="15" customHeight="1">
      <c r="A855" t="inlineStr">
        <is>
          <t>A 25681-2024</t>
        </is>
      </c>
      <c r="B855" s="1" t="n">
        <v>45463.80486111111</v>
      </c>
      <c r="C855" s="1" t="n">
        <v>46114</v>
      </c>
      <c r="D855" t="inlineStr">
        <is>
          <t>STOCKHOLMS LÄN</t>
        </is>
      </c>
      <c r="E855" t="inlineStr">
        <is>
          <t>NORRTÄLJE</t>
        </is>
      </c>
      <c r="G855" t="n">
        <v>2.7</v>
      </c>
      <c r="H855" t="n">
        <v>0</v>
      </c>
      <c r="I855" t="n">
        <v>0</v>
      </c>
      <c r="J855" t="n">
        <v>0</v>
      </c>
      <c r="K855" t="n">
        <v>0</v>
      </c>
      <c r="L855" t="n">
        <v>0</v>
      </c>
      <c r="M855" t="n">
        <v>0</v>
      </c>
      <c r="N855" t="n">
        <v>0</v>
      </c>
      <c r="O855" t="n">
        <v>0</v>
      </c>
      <c r="P855" t="n">
        <v>0</v>
      </c>
      <c r="Q855" t="n">
        <v>0</v>
      </c>
      <c r="R855" s="2" t="inlineStr"/>
    </row>
    <row r="856" ht="15" customHeight="1">
      <c r="A856" t="inlineStr">
        <is>
          <t>A 10586-2026</t>
        </is>
      </c>
      <c r="B856" s="1" t="n">
        <v>46077.68192129629</v>
      </c>
      <c r="C856" s="1" t="n">
        <v>46114</v>
      </c>
      <c r="D856" t="inlineStr">
        <is>
          <t>STOCKHOLMS LÄN</t>
        </is>
      </c>
      <c r="E856" t="inlineStr">
        <is>
          <t>NORRTÄLJE</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10553-2026</t>
        </is>
      </c>
      <c r="B857" s="1" t="n">
        <v>46077.62944444444</v>
      </c>
      <c r="C857" s="1" t="n">
        <v>46114</v>
      </c>
      <c r="D857" t="inlineStr">
        <is>
          <t>STOCKHOLMS LÄN</t>
        </is>
      </c>
      <c r="E857" t="inlineStr">
        <is>
          <t>NORRTÄLJE</t>
        </is>
      </c>
      <c r="G857" t="n">
        <v>4.9</v>
      </c>
      <c r="H857" t="n">
        <v>0</v>
      </c>
      <c r="I857" t="n">
        <v>0</v>
      </c>
      <c r="J857" t="n">
        <v>0</v>
      </c>
      <c r="K857" t="n">
        <v>0</v>
      </c>
      <c r="L857" t="n">
        <v>0</v>
      </c>
      <c r="M857" t="n">
        <v>0</v>
      </c>
      <c r="N857" t="n">
        <v>0</v>
      </c>
      <c r="O857" t="n">
        <v>0</v>
      </c>
      <c r="P857" t="n">
        <v>0</v>
      </c>
      <c r="Q857" t="n">
        <v>0</v>
      </c>
      <c r="R857" s="2" t="inlineStr"/>
    </row>
    <row r="858" ht="15" customHeight="1">
      <c r="A858" t="inlineStr">
        <is>
          <t>A 58853-2024</t>
        </is>
      </c>
      <c r="B858" s="1" t="n">
        <v>45636.38974537037</v>
      </c>
      <c r="C858" s="1" t="n">
        <v>46114</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35438-2023</t>
        </is>
      </c>
      <c r="B859" s="1" t="n">
        <v>45146</v>
      </c>
      <c r="C859" s="1" t="n">
        <v>46114</v>
      </c>
      <c r="D859" t="inlineStr">
        <is>
          <t>STOCKHOLMS LÄN</t>
        </is>
      </c>
      <c r="E859" t="inlineStr">
        <is>
          <t>NORRTÄLJE</t>
        </is>
      </c>
      <c r="F859" t="inlineStr">
        <is>
          <t>Kommuner</t>
        </is>
      </c>
      <c r="G859" t="n">
        <v>1.9</v>
      </c>
      <c r="H859" t="n">
        <v>0</v>
      </c>
      <c r="I859" t="n">
        <v>0</v>
      </c>
      <c r="J859" t="n">
        <v>0</v>
      </c>
      <c r="K859" t="n">
        <v>0</v>
      </c>
      <c r="L859" t="n">
        <v>0</v>
      </c>
      <c r="M859" t="n">
        <v>0</v>
      </c>
      <c r="N859" t="n">
        <v>0</v>
      </c>
      <c r="O859" t="n">
        <v>0</v>
      </c>
      <c r="P859" t="n">
        <v>0</v>
      </c>
      <c r="Q859" t="n">
        <v>0</v>
      </c>
      <c r="R859" s="2" t="inlineStr"/>
    </row>
    <row r="860" ht="15" customHeight="1">
      <c r="A860" t="inlineStr">
        <is>
          <t>A 2088-2026</t>
        </is>
      </c>
      <c r="B860" s="1" t="n">
        <v>46036.35909722222</v>
      </c>
      <c r="C860" s="1" t="n">
        <v>46114</v>
      </c>
      <c r="D860" t="inlineStr">
        <is>
          <t>STOCKHOLMS LÄN</t>
        </is>
      </c>
      <c r="E860" t="inlineStr">
        <is>
          <t>NORRTÄLJE</t>
        </is>
      </c>
      <c r="G860" t="n">
        <v>7</v>
      </c>
      <c r="H860" t="n">
        <v>0</v>
      </c>
      <c r="I860" t="n">
        <v>0</v>
      </c>
      <c r="J860" t="n">
        <v>0</v>
      </c>
      <c r="K860" t="n">
        <v>0</v>
      </c>
      <c r="L860" t="n">
        <v>0</v>
      </c>
      <c r="M860" t="n">
        <v>0</v>
      </c>
      <c r="N860" t="n">
        <v>0</v>
      </c>
      <c r="O860" t="n">
        <v>0</v>
      </c>
      <c r="P860" t="n">
        <v>0</v>
      </c>
      <c r="Q860" t="n">
        <v>0</v>
      </c>
      <c r="R860" s="2" t="inlineStr"/>
    </row>
    <row r="861" ht="15" customHeight="1">
      <c r="A861" t="inlineStr">
        <is>
          <t>A 20291-2022</t>
        </is>
      </c>
      <c r="B861" s="1" t="n">
        <v>44698</v>
      </c>
      <c r="C861" s="1" t="n">
        <v>46114</v>
      </c>
      <c r="D861" t="inlineStr">
        <is>
          <t>STOCKHOLMS LÄN</t>
        </is>
      </c>
      <c r="E861" t="inlineStr">
        <is>
          <t>NORRTÄLJE</t>
        </is>
      </c>
      <c r="F861" t="inlineStr">
        <is>
          <t>Naturvårdsverket</t>
        </is>
      </c>
      <c r="G861" t="n">
        <v>2</v>
      </c>
      <c r="H861" t="n">
        <v>0</v>
      </c>
      <c r="I861" t="n">
        <v>0</v>
      </c>
      <c r="J861" t="n">
        <v>0</v>
      </c>
      <c r="K861" t="n">
        <v>0</v>
      </c>
      <c r="L861" t="n">
        <v>0</v>
      </c>
      <c r="M861" t="n">
        <v>0</v>
      </c>
      <c r="N861" t="n">
        <v>0</v>
      </c>
      <c r="O861" t="n">
        <v>0</v>
      </c>
      <c r="P861" t="n">
        <v>0</v>
      </c>
      <c r="Q861" t="n">
        <v>0</v>
      </c>
      <c r="R861" s="2" t="inlineStr"/>
    </row>
    <row r="862" ht="15" customHeight="1">
      <c r="A862" t="inlineStr">
        <is>
          <t>A 26115-2024</t>
        </is>
      </c>
      <c r="B862" s="1" t="n">
        <v>45468.45628472222</v>
      </c>
      <c r="C862" s="1" t="n">
        <v>46114</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2116-2026</t>
        </is>
      </c>
      <c r="B863" s="1" t="n">
        <v>46036.38108796296</v>
      </c>
      <c r="C863" s="1" t="n">
        <v>46114</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19118-2022</t>
        </is>
      </c>
      <c r="B864" s="1" t="n">
        <v>44691.5652662037</v>
      </c>
      <c r="C864" s="1" t="n">
        <v>46114</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10646-2026</t>
        </is>
      </c>
      <c r="B865" s="1" t="n">
        <v>46078.34157407407</v>
      </c>
      <c r="C865" s="1" t="n">
        <v>46114</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8739-2024</t>
        </is>
      </c>
      <c r="B866" s="1" t="n">
        <v>45356.47784722222</v>
      </c>
      <c r="C866" s="1" t="n">
        <v>46114</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38759-2022</t>
        </is>
      </c>
      <c r="B867" s="1" t="n">
        <v>44816</v>
      </c>
      <c r="C867" s="1" t="n">
        <v>46114</v>
      </c>
      <c r="D867" t="inlineStr">
        <is>
          <t>STOCKHOLMS LÄN</t>
        </is>
      </c>
      <c r="E867" t="inlineStr">
        <is>
          <t>NORRTÄLJE</t>
        </is>
      </c>
      <c r="G867" t="n">
        <v>2.8</v>
      </c>
      <c r="H867" t="n">
        <v>0</v>
      </c>
      <c r="I867" t="n">
        <v>0</v>
      </c>
      <c r="J867" t="n">
        <v>0</v>
      </c>
      <c r="K867" t="n">
        <v>0</v>
      </c>
      <c r="L867" t="n">
        <v>0</v>
      </c>
      <c r="M867" t="n">
        <v>0</v>
      </c>
      <c r="N867" t="n">
        <v>0</v>
      </c>
      <c r="O867" t="n">
        <v>0</v>
      </c>
      <c r="P867" t="n">
        <v>0</v>
      </c>
      <c r="Q867" t="n">
        <v>0</v>
      </c>
      <c r="R867" s="2" t="inlineStr"/>
    </row>
    <row r="868" ht="15" customHeight="1">
      <c r="A868" t="inlineStr">
        <is>
          <t>A 32857-2021</t>
        </is>
      </c>
      <c r="B868" s="1" t="n">
        <v>44375</v>
      </c>
      <c r="C868" s="1" t="n">
        <v>46114</v>
      </c>
      <c r="D868" t="inlineStr">
        <is>
          <t>STOCKHOLMS LÄN</t>
        </is>
      </c>
      <c r="E868" t="inlineStr">
        <is>
          <t>NORRTÄLJE</t>
        </is>
      </c>
      <c r="G868" t="n">
        <v>2.9</v>
      </c>
      <c r="H868" t="n">
        <v>0</v>
      </c>
      <c r="I868" t="n">
        <v>0</v>
      </c>
      <c r="J868" t="n">
        <v>0</v>
      </c>
      <c r="K868" t="n">
        <v>0</v>
      </c>
      <c r="L868" t="n">
        <v>0</v>
      </c>
      <c r="M868" t="n">
        <v>0</v>
      </c>
      <c r="N868" t="n">
        <v>0</v>
      </c>
      <c r="O868" t="n">
        <v>0</v>
      </c>
      <c r="P868" t="n">
        <v>0</v>
      </c>
      <c r="Q868" t="n">
        <v>0</v>
      </c>
      <c r="R868" s="2" t="inlineStr"/>
    </row>
    <row r="869" ht="15" customHeight="1">
      <c r="A869" t="inlineStr">
        <is>
          <t>A 29714-2023</t>
        </is>
      </c>
      <c r="B869" s="1" t="n">
        <v>45107.42538194444</v>
      </c>
      <c r="C869" s="1" t="n">
        <v>46114</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23271-2023</t>
        </is>
      </c>
      <c r="B870" s="1" t="n">
        <v>45075.91362268518</v>
      </c>
      <c r="C870" s="1" t="n">
        <v>46114</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23273-2023</t>
        </is>
      </c>
      <c r="B871" s="1" t="n">
        <v>45075.91971064815</v>
      </c>
      <c r="C871" s="1" t="n">
        <v>46114</v>
      </c>
      <c r="D871" t="inlineStr">
        <is>
          <t>STOCKHOLMS LÄN</t>
        </is>
      </c>
      <c r="E871" t="inlineStr">
        <is>
          <t>NORRTÄLJE</t>
        </is>
      </c>
      <c r="G871" t="n">
        <v>7.5</v>
      </c>
      <c r="H871" t="n">
        <v>0</v>
      </c>
      <c r="I871" t="n">
        <v>0</v>
      </c>
      <c r="J871" t="n">
        <v>0</v>
      </c>
      <c r="K871" t="n">
        <v>0</v>
      </c>
      <c r="L871" t="n">
        <v>0</v>
      </c>
      <c r="M871" t="n">
        <v>0</v>
      </c>
      <c r="N871" t="n">
        <v>0</v>
      </c>
      <c r="O871" t="n">
        <v>0</v>
      </c>
      <c r="P871" t="n">
        <v>0</v>
      </c>
      <c r="Q871" t="n">
        <v>0</v>
      </c>
      <c r="R871" s="2" t="inlineStr"/>
    </row>
    <row r="872" ht="15" customHeight="1">
      <c r="A872" t="inlineStr">
        <is>
          <t>A 3549-2026</t>
        </is>
      </c>
      <c r="B872" s="1" t="n">
        <v>46042</v>
      </c>
      <c r="C872" s="1" t="n">
        <v>46114</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7603-2025</t>
        </is>
      </c>
      <c r="B873" s="1" t="n">
        <v>45705.66126157407</v>
      </c>
      <c r="C873" s="1" t="n">
        <v>46114</v>
      </c>
      <c r="D873" t="inlineStr">
        <is>
          <t>STOCKHOLMS LÄN</t>
        </is>
      </c>
      <c r="E873" t="inlineStr">
        <is>
          <t>NORRTÄLJE</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11648-2026</t>
        </is>
      </c>
      <c r="B874" s="1" t="n">
        <v>46084.51575231482</v>
      </c>
      <c r="C874" s="1" t="n">
        <v>46114</v>
      </c>
      <c r="D874" t="inlineStr">
        <is>
          <t>STOCKHOLMS LÄN</t>
        </is>
      </c>
      <c r="E874" t="inlineStr">
        <is>
          <t>NORRTÄLJE</t>
        </is>
      </c>
      <c r="G874" t="n">
        <v>4.1</v>
      </c>
      <c r="H874" t="n">
        <v>0</v>
      </c>
      <c r="I874" t="n">
        <v>0</v>
      </c>
      <c r="J874" t="n">
        <v>0</v>
      </c>
      <c r="K874" t="n">
        <v>0</v>
      </c>
      <c r="L874" t="n">
        <v>0</v>
      </c>
      <c r="M874" t="n">
        <v>0</v>
      </c>
      <c r="N874" t="n">
        <v>0</v>
      </c>
      <c r="O874" t="n">
        <v>0</v>
      </c>
      <c r="P874" t="n">
        <v>0</v>
      </c>
      <c r="Q874" t="n">
        <v>0</v>
      </c>
      <c r="R874" s="2" t="inlineStr"/>
    </row>
    <row r="875" ht="15" customHeight="1">
      <c r="A875" t="inlineStr">
        <is>
          <t>A 30802-2022</t>
        </is>
      </c>
      <c r="B875" s="1" t="n">
        <v>44764</v>
      </c>
      <c r="C875" s="1" t="n">
        <v>46114</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55369-2023</t>
        </is>
      </c>
      <c r="B876" s="1" t="n">
        <v>45238</v>
      </c>
      <c r="C876" s="1" t="n">
        <v>46114</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4227-2026</t>
        </is>
      </c>
      <c r="B877" s="1" t="n">
        <v>46044</v>
      </c>
      <c r="C877" s="1" t="n">
        <v>46114</v>
      </c>
      <c r="D877" t="inlineStr">
        <is>
          <t>STOCKHOLMS LÄN</t>
        </is>
      </c>
      <c r="E877" t="inlineStr">
        <is>
          <t>NORRTÄLJE</t>
        </is>
      </c>
      <c r="G877" t="n">
        <v>3.6</v>
      </c>
      <c r="H877" t="n">
        <v>0</v>
      </c>
      <c r="I877" t="n">
        <v>0</v>
      </c>
      <c r="J877" t="n">
        <v>0</v>
      </c>
      <c r="K877" t="n">
        <v>0</v>
      </c>
      <c r="L877" t="n">
        <v>0</v>
      </c>
      <c r="M877" t="n">
        <v>0</v>
      </c>
      <c r="N877" t="n">
        <v>0</v>
      </c>
      <c r="O877" t="n">
        <v>0</v>
      </c>
      <c r="P877" t="n">
        <v>0</v>
      </c>
      <c r="Q877" t="n">
        <v>0</v>
      </c>
      <c r="R877" s="2" t="inlineStr"/>
    </row>
    <row r="878" ht="15" customHeight="1">
      <c r="A878" t="inlineStr">
        <is>
          <t>A 61113-2023</t>
        </is>
      </c>
      <c r="B878" s="1" t="n">
        <v>45261</v>
      </c>
      <c r="C878" s="1" t="n">
        <v>46114</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3283-2025</t>
        </is>
      </c>
      <c r="B879" s="1" t="n">
        <v>45679</v>
      </c>
      <c r="C879" s="1" t="n">
        <v>46114</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12234-2026</t>
        </is>
      </c>
      <c r="B880" s="1" t="n">
        <v>46087.4091087963</v>
      </c>
      <c r="C880" s="1" t="n">
        <v>46114</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34295-2024</t>
        </is>
      </c>
      <c r="B881" s="1" t="n">
        <v>45524</v>
      </c>
      <c r="C881" s="1" t="n">
        <v>46114</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58311-2023</t>
        </is>
      </c>
      <c r="B882" s="1" t="n">
        <v>45245</v>
      </c>
      <c r="C882" s="1" t="n">
        <v>46114</v>
      </c>
      <c r="D882" t="inlineStr">
        <is>
          <t>STOCKHOLMS LÄN</t>
        </is>
      </c>
      <c r="E882" t="inlineStr">
        <is>
          <t>NORRTÄLJE</t>
        </is>
      </c>
      <c r="G882" t="n">
        <v>2.3</v>
      </c>
      <c r="H882" t="n">
        <v>0</v>
      </c>
      <c r="I882" t="n">
        <v>0</v>
      </c>
      <c r="J882" t="n">
        <v>0</v>
      </c>
      <c r="K882" t="n">
        <v>0</v>
      </c>
      <c r="L882" t="n">
        <v>0</v>
      </c>
      <c r="M882" t="n">
        <v>0</v>
      </c>
      <c r="N882" t="n">
        <v>0</v>
      </c>
      <c r="O882" t="n">
        <v>0</v>
      </c>
      <c r="P882" t="n">
        <v>0</v>
      </c>
      <c r="Q882" t="n">
        <v>0</v>
      </c>
      <c r="R882" s="2" t="inlineStr"/>
    </row>
    <row r="883" ht="15" customHeight="1">
      <c r="A883" t="inlineStr">
        <is>
          <t>A 23692-2024</t>
        </is>
      </c>
      <c r="B883" s="1" t="n">
        <v>45454.65774305556</v>
      </c>
      <c r="C883" s="1" t="n">
        <v>46114</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4230-2026</t>
        </is>
      </c>
      <c r="B884" s="1" t="n">
        <v>46044.89366898148</v>
      </c>
      <c r="C884" s="1" t="n">
        <v>46114</v>
      </c>
      <c r="D884" t="inlineStr">
        <is>
          <t>STOCKHOLMS LÄN</t>
        </is>
      </c>
      <c r="E884" t="inlineStr">
        <is>
          <t>NORRTÄLJE</t>
        </is>
      </c>
      <c r="G884" t="n">
        <v>10.8</v>
      </c>
      <c r="H884" t="n">
        <v>0</v>
      </c>
      <c r="I884" t="n">
        <v>0</v>
      </c>
      <c r="J884" t="n">
        <v>0</v>
      </c>
      <c r="K884" t="n">
        <v>0</v>
      </c>
      <c r="L884" t="n">
        <v>0</v>
      </c>
      <c r="M884" t="n">
        <v>0</v>
      </c>
      <c r="N884" t="n">
        <v>0</v>
      </c>
      <c r="O884" t="n">
        <v>0</v>
      </c>
      <c r="P884" t="n">
        <v>0</v>
      </c>
      <c r="Q884" t="n">
        <v>0</v>
      </c>
      <c r="R884" s="2" t="inlineStr"/>
    </row>
    <row r="885" ht="15" customHeight="1">
      <c r="A885" t="inlineStr">
        <is>
          <t>A 4231-2026</t>
        </is>
      </c>
      <c r="B885" s="1" t="n">
        <v>46044</v>
      </c>
      <c r="C885" s="1" t="n">
        <v>46114</v>
      </c>
      <c r="D885" t="inlineStr">
        <is>
          <t>STOCKHOLMS LÄN</t>
        </is>
      </c>
      <c r="E885" t="inlineStr">
        <is>
          <t>NORRTÄLJE</t>
        </is>
      </c>
      <c r="G885" t="n">
        <v>2.9</v>
      </c>
      <c r="H885" t="n">
        <v>0</v>
      </c>
      <c r="I885" t="n">
        <v>0</v>
      </c>
      <c r="J885" t="n">
        <v>0</v>
      </c>
      <c r="K885" t="n">
        <v>0</v>
      </c>
      <c r="L885" t="n">
        <v>0</v>
      </c>
      <c r="M885" t="n">
        <v>0</v>
      </c>
      <c r="N885" t="n">
        <v>0</v>
      </c>
      <c r="O885" t="n">
        <v>0</v>
      </c>
      <c r="P885" t="n">
        <v>0</v>
      </c>
      <c r="Q885" t="n">
        <v>0</v>
      </c>
      <c r="R885" s="2" t="inlineStr"/>
    </row>
    <row r="886" ht="15" customHeight="1">
      <c r="A886" t="inlineStr">
        <is>
          <t>A 4232-2026</t>
        </is>
      </c>
      <c r="B886" s="1" t="n">
        <v>46044.89594907407</v>
      </c>
      <c r="C886" s="1" t="n">
        <v>46114</v>
      </c>
      <c r="D886" t="inlineStr">
        <is>
          <t>STOCKHOLMS LÄN</t>
        </is>
      </c>
      <c r="E886" t="inlineStr">
        <is>
          <t>NORRTÄLJE</t>
        </is>
      </c>
      <c r="G886" t="n">
        <v>3.8</v>
      </c>
      <c r="H886" t="n">
        <v>0</v>
      </c>
      <c r="I886" t="n">
        <v>0</v>
      </c>
      <c r="J886" t="n">
        <v>0</v>
      </c>
      <c r="K886" t="n">
        <v>0</v>
      </c>
      <c r="L886" t="n">
        <v>0</v>
      </c>
      <c r="M886" t="n">
        <v>0</v>
      </c>
      <c r="N886" t="n">
        <v>0</v>
      </c>
      <c r="O886" t="n">
        <v>0</v>
      </c>
      <c r="P886" t="n">
        <v>0</v>
      </c>
      <c r="Q886" t="n">
        <v>0</v>
      </c>
      <c r="R886" s="2" t="inlineStr"/>
    </row>
    <row r="887" ht="15" customHeight="1">
      <c r="A887" t="inlineStr">
        <is>
          <t>A 20473-2021</t>
        </is>
      </c>
      <c r="B887" s="1" t="n">
        <v>44315</v>
      </c>
      <c r="C887" s="1" t="n">
        <v>46114</v>
      </c>
      <c r="D887" t="inlineStr">
        <is>
          <t>STOCKHOLMS LÄN</t>
        </is>
      </c>
      <c r="E887" t="inlineStr">
        <is>
          <t>NORRTÄLJE</t>
        </is>
      </c>
      <c r="F887" t="inlineStr">
        <is>
          <t>Övriga Aktiebolag</t>
        </is>
      </c>
      <c r="G887" t="n">
        <v>3.6</v>
      </c>
      <c r="H887" t="n">
        <v>0</v>
      </c>
      <c r="I887" t="n">
        <v>0</v>
      </c>
      <c r="J887" t="n">
        <v>0</v>
      </c>
      <c r="K887" t="n">
        <v>0</v>
      </c>
      <c r="L887" t="n">
        <v>0</v>
      </c>
      <c r="M887" t="n">
        <v>0</v>
      </c>
      <c r="N887" t="n">
        <v>0</v>
      </c>
      <c r="O887" t="n">
        <v>0</v>
      </c>
      <c r="P887" t="n">
        <v>0</v>
      </c>
      <c r="Q887" t="n">
        <v>0</v>
      </c>
      <c r="R887" s="2" t="inlineStr"/>
    </row>
    <row r="888" ht="15" customHeight="1">
      <c r="A888" t="inlineStr">
        <is>
          <t>A 3933-2026</t>
        </is>
      </c>
      <c r="B888" s="1" t="n">
        <v>46043.79916666666</v>
      </c>
      <c r="C888" s="1" t="n">
        <v>46114</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4235-2026</t>
        </is>
      </c>
      <c r="B889" s="1" t="n">
        <v>46044</v>
      </c>
      <c r="C889" s="1" t="n">
        <v>46114</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12718-2026</t>
        </is>
      </c>
      <c r="B890" s="1" t="n">
        <v>46091.60412037037</v>
      </c>
      <c r="C890" s="1" t="n">
        <v>46114</v>
      </c>
      <c r="D890" t="inlineStr">
        <is>
          <t>STOCKHOLMS LÄN</t>
        </is>
      </c>
      <c r="E890" t="inlineStr">
        <is>
          <t>NORRTÄLJE</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12703-2026</t>
        </is>
      </c>
      <c r="B891" s="1" t="n">
        <v>46091.58175925926</v>
      </c>
      <c r="C891" s="1" t="n">
        <v>46114</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54273-2021</t>
        </is>
      </c>
      <c r="B892" s="1" t="n">
        <v>44470.72987268519</v>
      </c>
      <c r="C892" s="1" t="n">
        <v>46114</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4549-2026</t>
        </is>
      </c>
      <c r="B893" s="1" t="n">
        <v>46047</v>
      </c>
      <c r="C893" s="1" t="n">
        <v>46114</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7806-2025</t>
        </is>
      </c>
      <c r="B894" s="1" t="n">
        <v>45706.61178240741</v>
      </c>
      <c r="C894" s="1" t="n">
        <v>46114</v>
      </c>
      <c r="D894" t="inlineStr">
        <is>
          <t>STOCKHOLMS LÄN</t>
        </is>
      </c>
      <c r="E894" t="inlineStr">
        <is>
          <t>NORRTÄLJE</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4886-2026</t>
        </is>
      </c>
      <c r="B895" s="1" t="n">
        <v>46048.66328703704</v>
      </c>
      <c r="C895" s="1" t="n">
        <v>46114</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53792-2023</t>
        </is>
      </c>
      <c r="B896" s="1" t="n">
        <v>45231.34144675926</v>
      </c>
      <c r="C896" s="1" t="n">
        <v>46114</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21329-2022</t>
        </is>
      </c>
      <c r="B897" s="1" t="n">
        <v>44705.60626157407</v>
      </c>
      <c r="C897" s="1" t="n">
        <v>46114</v>
      </c>
      <c r="D897" t="inlineStr">
        <is>
          <t>STOCKHOLMS LÄN</t>
        </is>
      </c>
      <c r="E897" t="inlineStr">
        <is>
          <t>NORRTÄLJE</t>
        </is>
      </c>
      <c r="G897" t="n">
        <v>4.1</v>
      </c>
      <c r="H897" t="n">
        <v>0</v>
      </c>
      <c r="I897" t="n">
        <v>0</v>
      </c>
      <c r="J897" t="n">
        <v>0</v>
      </c>
      <c r="K897" t="n">
        <v>0</v>
      </c>
      <c r="L897" t="n">
        <v>0</v>
      </c>
      <c r="M897" t="n">
        <v>0</v>
      </c>
      <c r="N897" t="n">
        <v>0</v>
      </c>
      <c r="O897" t="n">
        <v>0</v>
      </c>
      <c r="P897" t="n">
        <v>0</v>
      </c>
      <c r="Q897" t="n">
        <v>0</v>
      </c>
      <c r="R897" s="2" t="inlineStr"/>
    </row>
    <row r="898" ht="15" customHeight="1">
      <c r="A898" t="inlineStr">
        <is>
          <t>A 50569-2022</t>
        </is>
      </c>
      <c r="B898" s="1" t="n">
        <v>44866.63775462963</v>
      </c>
      <c r="C898" s="1" t="n">
        <v>46114</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24501-2023</t>
        </is>
      </c>
      <c r="B899" s="1" t="n">
        <v>45082</v>
      </c>
      <c r="C899" s="1" t="n">
        <v>46114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24520-2023</t>
        </is>
      </c>
      <c r="B900" s="1" t="n">
        <v>45082.68922453704</v>
      </c>
      <c r="C900" s="1" t="n">
        <v>46114</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60654-2023</t>
        </is>
      </c>
      <c r="B901" s="1" t="n">
        <v>45260.43225694444</v>
      </c>
      <c r="C901" s="1" t="n">
        <v>46114</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60656-2023</t>
        </is>
      </c>
      <c r="B902" s="1" t="n">
        <v>45260.4333449074</v>
      </c>
      <c r="C902" s="1" t="n">
        <v>46114</v>
      </c>
      <c r="D902" t="inlineStr">
        <is>
          <t>STOCKHOLMS LÄN</t>
        </is>
      </c>
      <c r="E902" t="inlineStr">
        <is>
          <t>NORRTÄLJE</t>
        </is>
      </c>
      <c r="G902" t="n">
        <v>4.8</v>
      </c>
      <c r="H902" t="n">
        <v>0</v>
      </c>
      <c r="I902" t="n">
        <v>0</v>
      </c>
      <c r="J902" t="n">
        <v>0</v>
      </c>
      <c r="K902" t="n">
        <v>0</v>
      </c>
      <c r="L902" t="n">
        <v>0</v>
      </c>
      <c r="M902" t="n">
        <v>0</v>
      </c>
      <c r="N902" t="n">
        <v>0</v>
      </c>
      <c r="O902" t="n">
        <v>0</v>
      </c>
      <c r="P902" t="n">
        <v>0</v>
      </c>
      <c r="Q902" t="n">
        <v>0</v>
      </c>
      <c r="R902" s="2" t="inlineStr"/>
    </row>
    <row r="903" ht="15" customHeight="1">
      <c r="A903" t="inlineStr">
        <is>
          <t>A 13109-2026</t>
        </is>
      </c>
      <c r="B903" s="1" t="n">
        <v>46093.42730324074</v>
      </c>
      <c r="C903" s="1" t="n">
        <v>46114</v>
      </c>
      <c r="D903" t="inlineStr">
        <is>
          <t>STOCKHOLMS LÄN</t>
        </is>
      </c>
      <c r="E903" t="inlineStr">
        <is>
          <t>NORRTÄLJE</t>
        </is>
      </c>
      <c r="G903" t="n">
        <v>4</v>
      </c>
      <c r="H903" t="n">
        <v>0</v>
      </c>
      <c r="I903" t="n">
        <v>0</v>
      </c>
      <c r="J903" t="n">
        <v>0</v>
      </c>
      <c r="K903" t="n">
        <v>0</v>
      </c>
      <c r="L903" t="n">
        <v>0</v>
      </c>
      <c r="M903" t="n">
        <v>0</v>
      </c>
      <c r="N903" t="n">
        <v>0</v>
      </c>
      <c r="O903" t="n">
        <v>0</v>
      </c>
      <c r="P903" t="n">
        <v>0</v>
      </c>
      <c r="Q903" t="n">
        <v>0</v>
      </c>
      <c r="R903" s="2" t="inlineStr"/>
    </row>
    <row r="904" ht="15" customHeight="1">
      <c r="A904" t="inlineStr">
        <is>
          <t>A 13204-2026</t>
        </is>
      </c>
      <c r="B904" s="1" t="n">
        <v>46093.60788194444</v>
      </c>
      <c r="C904" s="1" t="n">
        <v>46114</v>
      </c>
      <c r="D904" t="inlineStr">
        <is>
          <t>STOCKHOLMS LÄN</t>
        </is>
      </c>
      <c r="E904" t="inlineStr">
        <is>
          <t>NORRTÄLJE</t>
        </is>
      </c>
      <c r="G904" t="n">
        <v>3.5</v>
      </c>
      <c r="H904" t="n">
        <v>0</v>
      </c>
      <c r="I904" t="n">
        <v>0</v>
      </c>
      <c r="J904" t="n">
        <v>0</v>
      </c>
      <c r="K904" t="n">
        <v>0</v>
      </c>
      <c r="L904" t="n">
        <v>0</v>
      </c>
      <c r="M904" t="n">
        <v>0</v>
      </c>
      <c r="N904" t="n">
        <v>0</v>
      </c>
      <c r="O904" t="n">
        <v>0</v>
      </c>
      <c r="P904" t="n">
        <v>0</v>
      </c>
      <c r="Q904" t="n">
        <v>0</v>
      </c>
      <c r="R904" s="2" t="inlineStr"/>
    </row>
    <row r="905" ht="15" customHeight="1">
      <c r="A905" t="inlineStr">
        <is>
          <t>A 54496-2024</t>
        </is>
      </c>
      <c r="B905" s="1" t="n">
        <v>45617.57439814815</v>
      </c>
      <c r="C905" s="1" t="n">
        <v>46114</v>
      </c>
      <c r="D905" t="inlineStr">
        <is>
          <t>STOCKHOLMS LÄN</t>
        </is>
      </c>
      <c r="E905" t="inlineStr">
        <is>
          <t>NORRTÄLJE</t>
        </is>
      </c>
      <c r="G905" t="n">
        <v>2.2</v>
      </c>
      <c r="H905" t="n">
        <v>0</v>
      </c>
      <c r="I905" t="n">
        <v>0</v>
      </c>
      <c r="J905" t="n">
        <v>0</v>
      </c>
      <c r="K905" t="n">
        <v>0</v>
      </c>
      <c r="L905" t="n">
        <v>0</v>
      </c>
      <c r="M905" t="n">
        <v>0</v>
      </c>
      <c r="N905" t="n">
        <v>0</v>
      </c>
      <c r="O905" t="n">
        <v>0</v>
      </c>
      <c r="P905" t="n">
        <v>0</v>
      </c>
      <c r="Q905" t="n">
        <v>0</v>
      </c>
      <c r="R905" s="2" t="inlineStr"/>
    </row>
    <row r="906" ht="15" customHeight="1">
      <c r="A906" t="inlineStr">
        <is>
          <t>A 21386-2023</t>
        </is>
      </c>
      <c r="B906" s="1" t="n">
        <v>45063.35880787037</v>
      </c>
      <c r="C906" s="1" t="n">
        <v>46114</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10642-2025</t>
        </is>
      </c>
      <c r="B907" s="1" t="n">
        <v>45721.65858796296</v>
      </c>
      <c r="C907" s="1" t="n">
        <v>46114</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5226-2026</t>
        </is>
      </c>
      <c r="B908" s="1" t="n">
        <v>46049.79961805556</v>
      </c>
      <c r="C908" s="1" t="n">
        <v>46114</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13122-2026</t>
        </is>
      </c>
      <c r="B909" s="1" t="n">
        <v>46093.45657407407</v>
      </c>
      <c r="C909" s="1" t="n">
        <v>46114</v>
      </c>
      <c r="D909" t="inlineStr">
        <is>
          <t>STOCKHOLMS LÄN</t>
        </is>
      </c>
      <c r="E909" t="inlineStr">
        <is>
          <t>NORRTÄLJE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20144-2023</t>
        </is>
      </c>
      <c r="B910" s="1" t="n">
        <v>45055.43509259259</v>
      </c>
      <c r="C910" s="1" t="n">
        <v>46114</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53312-2024</t>
        </is>
      </c>
      <c r="B911" s="1" t="n">
        <v>45614.39627314815</v>
      </c>
      <c r="C911" s="1" t="n">
        <v>46114</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5224-2026</t>
        </is>
      </c>
      <c r="B912" s="1" t="n">
        <v>46049.79521990741</v>
      </c>
      <c r="C912" s="1" t="n">
        <v>46114</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5227-2026</t>
        </is>
      </c>
      <c r="B913" s="1" t="n">
        <v>46049.80460648148</v>
      </c>
      <c r="C913" s="1" t="n">
        <v>46114</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39202-2024</t>
        </is>
      </c>
      <c r="B914" s="1" t="n">
        <v>45548.72306712963</v>
      </c>
      <c r="C914" s="1" t="n">
        <v>46114</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5241-2026</t>
        </is>
      </c>
      <c r="B915" s="1" t="n">
        <v>46049.86471064815</v>
      </c>
      <c r="C915" s="1" t="n">
        <v>46114</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22756-2022</t>
        </is>
      </c>
      <c r="B916" s="1" t="n">
        <v>44714.92253472222</v>
      </c>
      <c r="C916" s="1" t="n">
        <v>46114</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4581-2025</t>
        </is>
      </c>
      <c r="B917" s="1" t="n">
        <v>45687</v>
      </c>
      <c r="C917" s="1" t="n">
        <v>46114</v>
      </c>
      <c r="D917" t="inlineStr">
        <is>
          <t>STOCKHOLMS LÄN</t>
        </is>
      </c>
      <c r="E917" t="inlineStr">
        <is>
          <t>NORRTÄLJE</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13544-2026</t>
        </is>
      </c>
      <c r="B918" s="1" t="n">
        <v>46094.68538194444</v>
      </c>
      <c r="C918" s="1" t="n">
        <v>46114</v>
      </c>
      <c r="D918" t="inlineStr">
        <is>
          <t>STOCKHOLMS LÄN</t>
        </is>
      </c>
      <c r="E918" t="inlineStr">
        <is>
          <t>NORRTÄLJE</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39610-2025</t>
        </is>
      </c>
      <c r="B919" s="1" t="n">
        <v>45890</v>
      </c>
      <c r="C919" s="1" t="n">
        <v>46114</v>
      </c>
      <c r="D919" t="inlineStr">
        <is>
          <t>STOCKHOLMS LÄN</t>
        </is>
      </c>
      <c r="E919" t="inlineStr">
        <is>
          <t>NORRTÄLJE</t>
        </is>
      </c>
      <c r="G919" t="n">
        <v>28.6</v>
      </c>
      <c r="H919" t="n">
        <v>0</v>
      </c>
      <c r="I919" t="n">
        <v>0</v>
      </c>
      <c r="J919" t="n">
        <v>0</v>
      </c>
      <c r="K919" t="n">
        <v>0</v>
      </c>
      <c r="L919" t="n">
        <v>0</v>
      </c>
      <c r="M919" t="n">
        <v>0</v>
      </c>
      <c r="N919" t="n">
        <v>0</v>
      </c>
      <c r="O919" t="n">
        <v>0</v>
      </c>
      <c r="P919" t="n">
        <v>0</v>
      </c>
      <c r="Q919" t="n">
        <v>0</v>
      </c>
      <c r="R919" s="2" t="inlineStr"/>
    </row>
    <row r="920" ht="15" customHeight="1">
      <c r="A920" t="inlineStr">
        <is>
          <t>A 60765-2023</t>
        </is>
      </c>
      <c r="B920" s="1" t="n">
        <v>45260</v>
      </c>
      <c r="C920" s="1" t="n">
        <v>46114</v>
      </c>
      <c r="D920" t="inlineStr">
        <is>
          <t>STOCKHOLMS LÄN</t>
        </is>
      </c>
      <c r="E920" t="inlineStr">
        <is>
          <t>NORRTÄLJE</t>
        </is>
      </c>
      <c r="G920" t="n">
        <v>3.7</v>
      </c>
      <c r="H920" t="n">
        <v>0</v>
      </c>
      <c r="I920" t="n">
        <v>0</v>
      </c>
      <c r="J920" t="n">
        <v>0</v>
      </c>
      <c r="K920" t="n">
        <v>0</v>
      </c>
      <c r="L920" t="n">
        <v>0</v>
      </c>
      <c r="M920" t="n">
        <v>0</v>
      </c>
      <c r="N920" t="n">
        <v>0</v>
      </c>
      <c r="O920" t="n">
        <v>0</v>
      </c>
      <c r="P920" t="n">
        <v>0</v>
      </c>
      <c r="Q920" t="n">
        <v>0</v>
      </c>
      <c r="R920" s="2" t="inlineStr"/>
    </row>
    <row r="921" ht="15" customHeight="1">
      <c r="A921" t="inlineStr">
        <is>
          <t>A 13545-2026</t>
        </is>
      </c>
      <c r="B921" s="1" t="n">
        <v>46094.6911574074</v>
      </c>
      <c r="C921" s="1" t="n">
        <v>46114</v>
      </c>
      <c r="D921" t="inlineStr">
        <is>
          <t>STOCKHOLMS LÄN</t>
        </is>
      </c>
      <c r="E921" t="inlineStr">
        <is>
          <t>NORRTÄLJE</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5934-2026</t>
        </is>
      </c>
      <c r="B922" s="1" t="n">
        <v>46052.47082175926</v>
      </c>
      <c r="C922" s="1" t="n">
        <v>46114</v>
      </c>
      <c r="D922" t="inlineStr">
        <is>
          <t>STOCKHOLMS LÄN</t>
        </is>
      </c>
      <c r="E922" t="inlineStr">
        <is>
          <t>NORRTÄLJE</t>
        </is>
      </c>
      <c r="F922" t="inlineStr">
        <is>
          <t>Holmen skog AB</t>
        </is>
      </c>
      <c r="G922" t="n">
        <v>5.5</v>
      </c>
      <c r="H922" t="n">
        <v>0</v>
      </c>
      <c r="I922" t="n">
        <v>0</v>
      </c>
      <c r="J922" t="n">
        <v>0</v>
      </c>
      <c r="K922" t="n">
        <v>0</v>
      </c>
      <c r="L922" t="n">
        <v>0</v>
      </c>
      <c r="M922" t="n">
        <v>0</v>
      </c>
      <c r="N922" t="n">
        <v>0</v>
      </c>
      <c r="O922" t="n">
        <v>0</v>
      </c>
      <c r="P922" t="n">
        <v>0</v>
      </c>
      <c r="Q922" t="n">
        <v>0</v>
      </c>
      <c r="R922" s="2" t="inlineStr"/>
    </row>
    <row r="923" ht="15" customHeight="1">
      <c r="A923" t="inlineStr">
        <is>
          <t>A 23801-2022</t>
        </is>
      </c>
      <c r="B923" s="1" t="n">
        <v>44722</v>
      </c>
      <c r="C923" s="1" t="n">
        <v>46114</v>
      </c>
      <c r="D923" t="inlineStr">
        <is>
          <t>STOCKHOLMS LÄN</t>
        </is>
      </c>
      <c r="E923" t="inlineStr">
        <is>
          <t>NORRTÄLJE</t>
        </is>
      </c>
      <c r="G923" t="n">
        <v>6.8</v>
      </c>
      <c r="H923" t="n">
        <v>0</v>
      </c>
      <c r="I923" t="n">
        <v>0</v>
      </c>
      <c r="J923" t="n">
        <v>0</v>
      </c>
      <c r="K923" t="n">
        <v>0</v>
      </c>
      <c r="L923" t="n">
        <v>0</v>
      </c>
      <c r="M923" t="n">
        <v>0</v>
      </c>
      <c r="N923" t="n">
        <v>0</v>
      </c>
      <c r="O923" t="n">
        <v>0</v>
      </c>
      <c r="P923" t="n">
        <v>0</v>
      </c>
      <c r="Q923" t="n">
        <v>0</v>
      </c>
      <c r="R923" s="2" t="inlineStr"/>
    </row>
    <row r="924" ht="15" customHeight="1">
      <c r="A924" t="inlineStr">
        <is>
          <t>A 59276-2023</t>
        </is>
      </c>
      <c r="B924" s="1" t="n">
        <v>45253.55641203704</v>
      </c>
      <c r="C924" s="1" t="n">
        <v>46114</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46914-2022</t>
        </is>
      </c>
      <c r="B925" s="1" t="n">
        <v>44851</v>
      </c>
      <c r="C925" s="1" t="n">
        <v>46114</v>
      </c>
      <c r="D925" t="inlineStr">
        <is>
          <t>STOCKHOLMS LÄN</t>
        </is>
      </c>
      <c r="E925" t="inlineStr">
        <is>
          <t>NORRTÄLJE</t>
        </is>
      </c>
      <c r="G925" t="n">
        <v>2.4</v>
      </c>
      <c r="H925" t="n">
        <v>0</v>
      </c>
      <c r="I925" t="n">
        <v>0</v>
      </c>
      <c r="J925" t="n">
        <v>0</v>
      </c>
      <c r="K925" t="n">
        <v>0</v>
      </c>
      <c r="L925" t="n">
        <v>0</v>
      </c>
      <c r="M925" t="n">
        <v>0</v>
      </c>
      <c r="N925" t="n">
        <v>0</v>
      </c>
      <c r="O925" t="n">
        <v>0</v>
      </c>
      <c r="P925" t="n">
        <v>0</v>
      </c>
      <c r="Q925" t="n">
        <v>0</v>
      </c>
      <c r="R925" s="2" t="inlineStr"/>
    </row>
    <row r="926" ht="15" customHeight="1">
      <c r="A926" t="inlineStr">
        <is>
          <t>A 18541-2023</t>
        </is>
      </c>
      <c r="B926" s="1" t="n">
        <v>45042.74291666667</v>
      </c>
      <c r="C926" s="1" t="n">
        <v>46114</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13546-2026</t>
        </is>
      </c>
      <c r="B927" s="1" t="n">
        <v>46094.69196759259</v>
      </c>
      <c r="C927" s="1" t="n">
        <v>46114</v>
      </c>
      <c r="D927" t="inlineStr">
        <is>
          <t>STOCKHOLMS LÄN</t>
        </is>
      </c>
      <c r="E927" t="inlineStr">
        <is>
          <t>NORRTÄLJE</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3509-2022</t>
        </is>
      </c>
      <c r="B928" s="1" t="n">
        <v>44585</v>
      </c>
      <c r="C928" s="1" t="n">
        <v>46114</v>
      </c>
      <c r="D928" t="inlineStr">
        <is>
          <t>STOCKHOLMS LÄN</t>
        </is>
      </c>
      <c r="E928" t="inlineStr">
        <is>
          <t>NORRTÄLJE</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26407-2024</t>
        </is>
      </c>
      <c r="B929" s="1" t="n">
        <v>45469</v>
      </c>
      <c r="C929" s="1" t="n">
        <v>46114</v>
      </c>
      <c r="D929" t="inlineStr">
        <is>
          <t>STOCKHOLMS LÄN</t>
        </is>
      </c>
      <c r="E929" t="inlineStr">
        <is>
          <t>NORRTÄLJE</t>
        </is>
      </c>
      <c r="G929" t="n">
        <v>3.5</v>
      </c>
      <c r="H929" t="n">
        <v>0</v>
      </c>
      <c r="I929" t="n">
        <v>0</v>
      </c>
      <c r="J929" t="n">
        <v>0</v>
      </c>
      <c r="K929" t="n">
        <v>0</v>
      </c>
      <c r="L929" t="n">
        <v>0</v>
      </c>
      <c r="M929" t="n">
        <v>0</v>
      </c>
      <c r="N929" t="n">
        <v>0</v>
      </c>
      <c r="O929" t="n">
        <v>0</v>
      </c>
      <c r="P929" t="n">
        <v>0</v>
      </c>
      <c r="Q929" t="n">
        <v>0</v>
      </c>
      <c r="R929" s="2" t="inlineStr"/>
    </row>
    <row r="930" ht="15" customHeight="1">
      <c r="A930" t="inlineStr">
        <is>
          <t>A 12890-2024</t>
        </is>
      </c>
      <c r="B930" s="1" t="n">
        <v>45385.36243055556</v>
      </c>
      <c r="C930" s="1" t="n">
        <v>46114</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47419-2023</t>
        </is>
      </c>
      <c r="B931" s="1" t="n">
        <v>45202.65660879629</v>
      </c>
      <c r="C931" s="1" t="n">
        <v>46114</v>
      </c>
      <c r="D931" t="inlineStr">
        <is>
          <t>STOCKHOLMS LÄN</t>
        </is>
      </c>
      <c r="E931" t="inlineStr">
        <is>
          <t>NORRTÄLJE</t>
        </is>
      </c>
      <c r="G931" t="n">
        <v>11.4</v>
      </c>
      <c r="H931" t="n">
        <v>0</v>
      </c>
      <c r="I931" t="n">
        <v>0</v>
      </c>
      <c r="J931" t="n">
        <v>0</v>
      </c>
      <c r="K931" t="n">
        <v>0</v>
      </c>
      <c r="L931" t="n">
        <v>0</v>
      </c>
      <c r="M931" t="n">
        <v>0</v>
      </c>
      <c r="N931" t="n">
        <v>0</v>
      </c>
      <c r="O931" t="n">
        <v>0</v>
      </c>
      <c r="P931" t="n">
        <v>0</v>
      </c>
      <c r="Q931" t="n">
        <v>0</v>
      </c>
      <c r="R931" s="2" t="inlineStr"/>
    </row>
    <row r="932" ht="15" customHeight="1">
      <c r="A932" t="inlineStr">
        <is>
          <t>A 23070-2023</t>
        </is>
      </c>
      <c r="B932" s="1" t="n">
        <v>45075</v>
      </c>
      <c r="C932" s="1" t="n">
        <v>46114</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27824-2022</t>
        </is>
      </c>
      <c r="B933" s="1" t="n">
        <v>44743.59331018518</v>
      </c>
      <c r="C933" s="1" t="n">
        <v>46114</v>
      </c>
      <c r="D933" t="inlineStr">
        <is>
          <t>STOCKHOLMS LÄN</t>
        </is>
      </c>
      <c r="E933" t="inlineStr">
        <is>
          <t>NORRTÄLJE</t>
        </is>
      </c>
      <c r="F933" t="inlineStr">
        <is>
          <t>Kommuner</t>
        </is>
      </c>
      <c r="G933" t="n">
        <v>3.1</v>
      </c>
      <c r="H933" t="n">
        <v>0</v>
      </c>
      <c r="I933" t="n">
        <v>0</v>
      </c>
      <c r="J933" t="n">
        <v>0</v>
      </c>
      <c r="K933" t="n">
        <v>0</v>
      </c>
      <c r="L933" t="n">
        <v>0</v>
      </c>
      <c r="M933" t="n">
        <v>0</v>
      </c>
      <c r="N933" t="n">
        <v>0</v>
      </c>
      <c r="O933" t="n">
        <v>0</v>
      </c>
      <c r="P933" t="n">
        <v>0</v>
      </c>
      <c r="Q933" t="n">
        <v>0</v>
      </c>
      <c r="R933" s="2" t="inlineStr"/>
    </row>
    <row r="934" ht="15" customHeight="1">
      <c r="A934" t="inlineStr">
        <is>
          <t>A 25619-2022</t>
        </is>
      </c>
      <c r="B934" s="1" t="n">
        <v>44732</v>
      </c>
      <c r="C934" s="1" t="n">
        <v>46114</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36246-2021</t>
        </is>
      </c>
      <c r="B935" s="1" t="n">
        <v>44390</v>
      </c>
      <c r="C935" s="1" t="n">
        <v>46114</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6724-2026</t>
        </is>
      </c>
      <c r="B936" s="1" t="n">
        <v>46056.67717592593</v>
      </c>
      <c r="C936" s="1" t="n">
        <v>46114</v>
      </c>
      <c r="D936" t="inlineStr">
        <is>
          <t>STOCKHOLMS LÄN</t>
        </is>
      </c>
      <c r="E936" t="inlineStr">
        <is>
          <t>NORRTÄLJE</t>
        </is>
      </c>
      <c r="F936" t="inlineStr">
        <is>
          <t>Holmen skog AB</t>
        </is>
      </c>
      <c r="G936" t="n">
        <v>16.2</v>
      </c>
      <c r="H936" t="n">
        <v>0</v>
      </c>
      <c r="I936" t="n">
        <v>0</v>
      </c>
      <c r="J936" t="n">
        <v>0</v>
      </c>
      <c r="K936" t="n">
        <v>0</v>
      </c>
      <c r="L936" t="n">
        <v>0</v>
      </c>
      <c r="M936" t="n">
        <v>0</v>
      </c>
      <c r="N936" t="n">
        <v>0</v>
      </c>
      <c r="O936" t="n">
        <v>0</v>
      </c>
      <c r="P936" t="n">
        <v>0</v>
      </c>
      <c r="Q936" t="n">
        <v>0</v>
      </c>
      <c r="R936" s="2" t="inlineStr"/>
    </row>
    <row r="937" ht="15" customHeight="1">
      <c r="A937" t="inlineStr">
        <is>
          <t>A 19952-2023</t>
        </is>
      </c>
      <c r="B937" s="1" t="n">
        <v>45054.54091435186</v>
      </c>
      <c r="C937" s="1" t="n">
        <v>46114</v>
      </c>
      <c r="D937" t="inlineStr">
        <is>
          <t>STOCKHOLMS LÄN</t>
        </is>
      </c>
      <c r="E937" t="inlineStr">
        <is>
          <t>NORRTÄLJE</t>
        </is>
      </c>
      <c r="G937" t="n">
        <v>0.5</v>
      </c>
      <c r="H937" t="n">
        <v>0</v>
      </c>
      <c r="I937" t="n">
        <v>0</v>
      </c>
      <c r="J937" t="n">
        <v>0</v>
      </c>
      <c r="K937" t="n">
        <v>0</v>
      </c>
      <c r="L937" t="n">
        <v>0</v>
      </c>
      <c r="M937" t="n">
        <v>0</v>
      </c>
      <c r="N937" t="n">
        <v>0</v>
      </c>
      <c r="O937" t="n">
        <v>0</v>
      </c>
      <c r="P937" t="n">
        <v>0</v>
      </c>
      <c r="Q937" t="n">
        <v>0</v>
      </c>
      <c r="R937" s="2" t="inlineStr"/>
    </row>
    <row r="938" ht="15" customHeight="1">
      <c r="A938" t="inlineStr">
        <is>
          <t>A 19994-2023</t>
        </is>
      </c>
      <c r="B938" s="1" t="n">
        <v>45054</v>
      </c>
      <c r="C938" s="1" t="n">
        <v>46114</v>
      </c>
      <c r="D938" t="inlineStr">
        <is>
          <t>STOCKHOLMS LÄN</t>
        </is>
      </c>
      <c r="E938" t="inlineStr">
        <is>
          <t>NORRTÄLJE</t>
        </is>
      </c>
      <c r="G938" t="n">
        <v>4.3</v>
      </c>
      <c r="H938" t="n">
        <v>0</v>
      </c>
      <c r="I938" t="n">
        <v>0</v>
      </c>
      <c r="J938" t="n">
        <v>0</v>
      </c>
      <c r="K938" t="n">
        <v>0</v>
      </c>
      <c r="L938" t="n">
        <v>0</v>
      </c>
      <c r="M938" t="n">
        <v>0</v>
      </c>
      <c r="N938" t="n">
        <v>0</v>
      </c>
      <c r="O938" t="n">
        <v>0</v>
      </c>
      <c r="P938" t="n">
        <v>0</v>
      </c>
      <c r="Q938" t="n">
        <v>0</v>
      </c>
      <c r="R938" s="2" t="inlineStr"/>
    </row>
    <row r="939" ht="15" customHeight="1">
      <c r="A939" t="inlineStr">
        <is>
          <t>A 14130-2025</t>
        </is>
      </c>
      <c r="B939" s="1" t="n">
        <v>45740.47288194444</v>
      </c>
      <c r="C939" s="1" t="n">
        <v>46114</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574-2023</t>
        </is>
      </c>
      <c r="B940" s="1" t="n">
        <v>44925</v>
      </c>
      <c r="C940" s="1" t="n">
        <v>46114</v>
      </c>
      <c r="D940" t="inlineStr">
        <is>
          <t>STOCKHOLMS LÄN</t>
        </is>
      </c>
      <c r="E940" t="inlineStr">
        <is>
          <t>NORRTÄLJE</t>
        </is>
      </c>
      <c r="G940" t="n">
        <v>5</v>
      </c>
      <c r="H940" t="n">
        <v>0</v>
      </c>
      <c r="I940" t="n">
        <v>0</v>
      </c>
      <c r="J940" t="n">
        <v>0</v>
      </c>
      <c r="K940" t="n">
        <v>0</v>
      </c>
      <c r="L940" t="n">
        <v>0</v>
      </c>
      <c r="M940" t="n">
        <v>0</v>
      </c>
      <c r="N940" t="n">
        <v>0</v>
      </c>
      <c r="O940" t="n">
        <v>0</v>
      </c>
      <c r="P940" t="n">
        <v>0</v>
      </c>
      <c r="Q940" t="n">
        <v>0</v>
      </c>
      <c r="R940" s="2" t="inlineStr"/>
    </row>
    <row r="941" ht="15" customHeight="1">
      <c r="A941" t="inlineStr">
        <is>
          <t>A 30283-2022</t>
        </is>
      </c>
      <c r="B941" s="1" t="n">
        <v>44760</v>
      </c>
      <c r="C941" s="1" t="n">
        <v>46114</v>
      </c>
      <c r="D941" t="inlineStr">
        <is>
          <t>STOCKHOLMS LÄN</t>
        </is>
      </c>
      <c r="E941" t="inlineStr">
        <is>
          <t>NORRTÄLJE</t>
        </is>
      </c>
      <c r="G941" t="n">
        <v>6.2</v>
      </c>
      <c r="H941" t="n">
        <v>0</v>
      </c>
      <c r="I941" t="n">
        <v>0</v>
      </c>
      <c r="J941" t="n">
        <v>0</v>
      </c>
      <c r="K941" t="n">
        <v>0</v>
      </c>
      <c r="L941" t="n">
        <v>0</v>
      </c>
      <c r="M941" t="n">
        <v>0</v>
      </c>
      <c r="N941" t="n">
        <v>0</v>
      </c>
      <c r="O941" t="n">
        <v>0</v>
      </c>
      <c r="P941" t="n">
        <v>0</v>
      </c>
      <c r="Q941" t="n">
        <v>0</v>
      </c>
      <c r="R941" s="2" t="inlineStr"/>
    </row>
    <row r="942" ht="15" customHeight="1">
      <c r="A942" t="inlineStr">
        <is>
          <t>A 30290-2022</t>
        </is>
      </c>
      <c r="B942" s="1" t="n">
        <v>44760</v>
      </c>
      <c r="C942" s="1" t="n">
        <v>46114</v>
      </c>
      <c r="D942" t="inlineStr">
        <is>
          <t>STOCKHOLMS LÄN</t>
        </is>
      </c>
      <c r="E942" t="inlineStr">
        <is>
          <t>NORRTÄLJE</t>
        </is>
      </c>
      <c r="G942" t="n">
        <v>4.8</v>
      </c>
      <c r="H942" t="n">
        <v>0</v>
      </c>
      <c r="I942" t="n">
        <v>0</v>
      </c>
      <c r="J942" t="n">
        <v>0</v>
      </c>
      <c r="K942" t="n">
        <v>0</v>
      </c>
      <c r="L942" t="n">
        <v>0</v>
      </c>
      <c r="M942" t="n">
        <v>0</v>
      </c>
      <c r="N942" t="n">
        <v>0</v>
      </c>
      <c r="O942" t="n">
        <v>0</v>
      </c>
      <c r="P942" t="n">
        <v>0</v>
      </c>
      <c r="Q942" t="n">
        <v>0</v>
      </c>
      <c r="R942" s="2" t="inlineStr"/>
    </row>
    <row r="943" ht="15" customHeight="1">
      <c r="A943" t="inlineStr">
        <is>
          <t>A 6828-2026</t>
        </is>
      </c>
      <c r="B943" s="1" t="n">
        <v>46057</v>
      </c>
      <c r="C943" s="1" t="n">
        <v>46114</v>
      </c>
      <c r="D943" t="inlineStr">
        <is>
          <t>STOCKHOLMS LÄN</t>
        </is>
      </c>
      <c r="E943" t="inlineStr">
        <is>
          <t>NORRTÄLJE</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6838-2026</t>
        </is>
      </c>
      <c r="B944" s="1" t="n">
        <v>46057.41151620371</v>
      </c>
      <c r="C944" s="1" t="n">
        <v>46114</v>
      </c>
      <c r="D944" t="inlineStr">
        <is>
          <t>STOCKHOLMS LÄN</t>
        </is>
      </c>
      <c r="E944" t="inlineStr">
        <is>
          <t>NORRTÄLJE</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29684-2021</t>
        </is>
      </c>
      <c r="B945" s="1" t="n">
        <v>44362.37172453704</v>
      </c>
      <c r="C945" s="1" t="n">
        <v>46114</v>
      </c>
      <c r="D945" t="inlineStr">
        <is>
          <t>STOCKHOLMS LÄN</t>
        </is>
      </c>
      <c r="E945" t="inlineStr">
        <is>
          <t>NORRTÄLJE</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6874-2026</t>
        </is>
      </c>
      <c r="B946" s="1" t="n">
        <v>46057.45295138889</v>
      </c>
      <c r="C946" s="1" t="n">
        <v>46114</v>
      </c>
      <c r="D946" t="inlineStr">
        <is>
          <t>STOCKHOLMS LÄN</t>
        </is>
      </c>
      <c r="E946" t="inlineStr">
        <is>
          <t>NORRTÄLJE</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60884-2024</t>
        </is>
      </c>
      <c r="B947" s="1" t="n">
        <v>45644.90815972222</v>
      </c>
      <c r="C947" s="1" t="n">
        <v>46114</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6532-2026</t>
        </is>
      </c>
      <c r="B948" s="1" t="n">
        <v>46056.41300925926</v>
      </c>
      <c r="C948" s="1" t="n">
        <v>46114</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38610-2022</t>
        </is>
      </c>
      <c r="B949" s="1" t="n">
        <v>44813.59915509259</v>
      </c>
      <c r="C949" s="1" t="n">
        <v>46114</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6701-2026</t>
        </is>
      </c>
      <c r="B950" s="1" t="n">
        <v>46056</v>
      </c>
      <c r="C950" s="1" t="n">
        <v>46114</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10090-2022</t>
        </is>
      </c>
      <c r="B951" s="1" t="n">
        <v>44621</v>
      </c>
      <c r="C951" s="1" t="n">
        <v>46114</v>
      </c>
      <c r="D951" t="inlineStr">
        <is>
          <t>STOCKHOLMS LÄN</t>
        </is>
      </c>
      <c r="E951" t="inlineStr">
        <is>
          <t>NORRTÄLJE</t>
        </is>
      </c>
      <c r="G951" t="n">
        <v>5.2</v>
      </c>
      <c r="H951" t="n">
        <v>0</v>
      </c>
      <c r="I951" t="n">
        <v>0</v>
      </c>
      <c r="J951" t="n">
        <v>0</v>
      </c>
      <c r="K951" t="n">
        <v>0</v>
      </c>
      <c r="L951" t="n">
        <v>0</v>
      </c>
      <c r="M951" t="n">
        <v>0</v>
      </c>
      <c r="N951" t="n">
        <v>0</v>
      </c>
      <c r="O951" t="n">
        <v>0</v>
      </c>
      <c r="P951" t="n">
        <v>0</v>
      </c>
      <c r="Q951" t="n">
        <v>0</v>
      </c>
      <c r="R951" s="2" t="inlineStr"/>
    </row>
    <row r="952" ht="15" customHeight="1">
      <c r="A952" t="inlineStr">
        <is>
          <t>A 14724-2022</t>
        </is>
      </c>
      <c r="B952" s="1" t="n">
        <v>44656</v>
      </c>
      <c r="C952" s="1" t="n">
        <v>46114</v>
      </c>
      <c r="D952" t="inlineStr">
        <is>
          <t>STOCKHOLMS LÄN</t>
        </is>
      </c>
      <c r="E952" t="inlineStr">
        <is>
          <t>NORRTÄLJE</t>
        </is>
      </c>
      <c r="F952" t="inlineStr">
        <is>
          <t>Sveaskog</t>
        </is>
      </c>
      <c r="G952" t="n">
        <v>9</v>
      </c>
      <c r="H952" t="n">
        <v>0</v>
      </c>
      <c r="I952" t="n">
        <v>0</v>
      </c>
      <c r="J952" t="n">
        <v>0</v>
      </c>
      <c r="K952" t="n">
        <v>0</v>
      </c>
      <c r="L952" t="n">
        <v>0</v>
      </c>
      <c r="M952" t="n">
        <v>0</v>
      </c>
      <c r="N952" t="n">
        <v>0</v>
      </c>
      <c r="O952" t="n">
        <v>0</v>
      </c>
      <c r="P952" t="n">
        <v>0</v>
      </c>
      <c r="Q952" t="n">
        <v>0</v>
      </c>
      <c r="R952" s="2" t="inlineStr"/>
    </row>
    <row r="953" ht="15" customHeight="1">
      <c r="A953" t="inlineStr">
        <is>
          <t>A 18846-2022</t>
        </is>
      </c>
      <c r="B953" s="1" t="n">
        <v>44690</v>
      </c>
      <c r="C953" s="1" t="n">
        <v>46114</v>
      </c>
      <c r="D953" t="inlineStr">
        <is>
          <t>STOCKHOLMS LÄN</t>
        </is>
      </c>
      <c r="E953" t="inlineStr">
        <is>
          <t>NORRTÄLJE</t>
        </is>
      </c>
      <c r="G953" t="n">
        <v>7</v>
      </c>
      <c r="H953" t="n">
        <v>0</v>
      </c>
      <c r="I953" t="n">
        <v>0</v>
      </c>
      <c r="J953" t="n">
        <v>0</v>
      </c>
      <c r="K953" t="n">
        <v>0</v>
      </c>
      <c r="L953" t="n">
        <v>0</v>
      </c>
      <c r="M953" t="n">
        <v>0</v>
      </c>
      <c r="N953" t="n">
        <v>0</v>
      </c>
      <c r="O953" t="n">
        <v>0</v>
      </c>
      <c r="P953" t="n">
        <v>0</v>
      </c>
      <c r="Q953" t="n">
        <v>0</v>
      </c>
      <c r="R953" s="2" t="inlineStr"/>
    </row>
    <row r="954" ht="15" customHeight="1">
      <c r="A954" t="inlineStr">
        <is>
          <t>A 43300-2023</t>
        </is>
      </c>
      <c r="B954" s="1" t="n">
        <v>45183</v>
      </c>
      <c r="C954" s="1" t="n">
        <v>46114</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25654-2023</t>
        </is>
      </c>
      <c r="B955" s="1" t="n">
        <v>45089</v>
      </c>
      <c r="C955" s="1" t="n">
        <v>46114</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23125-2022</t>
        </is>
      </c>
      <c r="B956" s="1" t="n">
        <v>44719</v>
      </c>
      <c r="C956" s="1" t="n">
        <v>46114</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20121-2022</t>
        </is>
      </c>
      <c r="B957" s="1" t="n">
        <v>44698</v>
      </c>
      <c r="C957" s="1" t="n">
        <v>46114</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33385-2024</t>
        </is>
      </c>
      <c r="B958" s="1" t="n">
        <v>45519</v>
      </c>
      <c r="C958" s="1" t="n">
        <v>46114</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41172-2023</t>
        </is>
      </c>
      <c r="B959" s="1" t="n">
        <v>45170</v>
      </c>
      <c r="C959" s="1" t="n">
        <v>46114</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73307-2021</t>
        </is>
      </c>
      <c r="B960" s="1" t="n">
        <v>44549</v>
      </c>
      <c r="C960" s="1" t="n">
        <v>46114</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50534-2024</t>
        </is>
      </c>
      <c r="B961" s="1" t="n">
        <v>45601.56726851852</v>
      </c>
      <c r="C961" s="1" t="n">
        <v>46114</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14348-2026</t>
        </is>
      </c>
      <c r="B962" s="1" t="n">
        <v>46100.34112268518</v>
      </c>
      <c r="C962" s="1" t="n">
        <v>46114</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7308-2026</t>
        </is>
      </c>
      <c r="B963" s="1" t="n">
        <v>46058.66025462963</v>
      </c>
      <c r="C963" s="1" t="n">
        <v>46114</v>
      </c>
      <c r="D963" t="inlineStr">
        <is>
          <t>STOCKHOLMS LÄN</t>
        </is>
      </c>
      <c r="E963" t="inlineStr">
        <is>
          <t>NORRTÄLJE</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7532-2026</t>
        </is>
      </c>
      <c r="B964" s="1" t="n">
        <v>46059</v>
      </c>
      <c r="C964" s="1" t="n">
        <v>46114</v>
      </c>
      <c r="D964" t="inlineStr">
        <is>
          <t>STOCKHOLMS LÄN</t>
        </is>
      </c>
      <c r="E964" t="inlineStr">
        <is>
          <t>NORRTÄLJE</t>
        </is>
      </c>
      <c r="G964" t="n">
        <v>5.2</v>
      </c>
      <c r="H964" t="n">
        <v>0</v>
      </c>
      <c r="I964" t="n">
        <v>0</v>
      </c>
      <c r="J964" t="n">
        <v>0</v>
      </c>
      <c r="K964" t="n">
        <v>0</v>
      </c>
      <c r="L964" t="n">
        <v>0</v>
      </c>
      <c r="M964" t="n">
        <v>0</v>
      </c>
      <c r="N964" t="n">
        <v>0</v>
      </c>
      <c r="O964" t="n">
        <v>0</v>
      </c>
      <c r="P964" t="n">
        <v>0</v>
      </c>
      <c r="Q964" t="n">
        <v>0</v>
      </c>
      <c r="R964" s="2" t="inlineStr"/>
    </row>
    <row r="965" ht="15" customHeight="1">
      <c r="A965" t="inlineStr">
        <is>
          <t>A 14475-2026</t>
        </is>
      </c>
      <c r="B965" s="1" t="n">
        <v>46100.57251157407</v>
      </c>
      <c r="C965" s="1" t="n">
        <v>46114</v>
      </c>
      <c r="D965" t="inlineStr">
        <is>
          <t>STOCKHOLMS LÄN</t>
        </is>
      </c>
      <c r="E965" t="inlineStr">
        <is>
          <t>NORRTÄLJE</t>
        </is>
      </c>
      <c r="G965" t="n">
        <v>12.3</v>
      </c>
      <c r="H965" t="n">
        <v>0</v>
      </c>
      <c r="I965" t="n">
        <v>0</v>
      </c>
      <c r="J965" t="n">
        <v>0</v>
      </c>
      <c r="K965" t="n">
        <v>0</v>
      </c>
      <c r="L965" t="n">
        <v>0</v>
      </c>
      <c r="M965" t="n">
        <v>0</v>
      </c>
      <c r="N965" t="n">
        <v>0</v>
      </c>
      <c r="O965" t="n">
        <v>0</v>
      </c>
      <c r="P965" t="n">
        <v>0</v>
      </c>
      <c r="Q965" t="n">
        <v>0</v>
      </c>
      <c r="R965" s="2" t="inlineStr"/>
    </row>
    <row r="966" ht="15" customHeight="1">
      <c r="A966" t="inlineStr">
        <is>
          <t>A 65499-2021</t>
        </is>
      </c>
      <c r="B966" s="1" t="n">
        <v>44516</v>
      </c>
      <c r="C966" s="1" t="n">
        <v>46114</v>
      </c>
      <c r="D966" t="inlineStr">
        <is>
          <t>STOCKHOLMS LÄN</t>
        </is>
      </c>
      <c r="E966" t="inlineStr">
        <is>
          <t>NORRTÄLJE</t>
        </is>
      </c>
      <c r="F966" t="inlineStr">
        <is>
          <t>Kommuner</t>
        </is>
      </c>
      <c r="G966" t="n">
        <v>5.2</v>
      </c>
      <c r="H966" t="n">
        <v>0</v>
      </c>
      <c r="I966" t="n">
        <v>0</v>
      </c>
      <c r="J966" t="n">
        <v>0</v>
      </c>
      <c r="K966" t="n">
        <v>0</v>
      </c>
      <c r="L966" t="n">
        <v>0</v>
      </c>
      <c r="M966" t="n">
        <v>0</v>
      </c>
      <c r="N966" t="n">
        <v>0</v>
      </c>
      <c r="O966" t="n">
        <v>0</v>
      </c>
      <c r="P966" t="n">
        <v>0</v>
      </c>
      <c r="Q966" t="n">
        <v>0</v>
      </c>
      <c r="R966" s="2" t="inlineStr"/>
    </row>
    <row r="967" ht="15" customHeight="1">
      <c r="A967" t="inlineStr">
        <is>
          <t>A 65511-2021</t>
        </is>
      </c>
      <c r="B967" s="1" t="n">
        <v>44516.40674768519</v>
      </c>
      <c r="C967" s="1" t="n">
        <v>46114</v>
      </c>
      <c r="D967" t="inlineStr">
        <is>
          <t>STOCKHOLMS LÄN</t>
        </is>
      </c>
      <c r="E967" t="inlineStr">
        <is>
          <t>NORRTÄLJE</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22833-2024</t>
        </is>
      </c>
      <c r="B968" s="1" t="n">
        <v>45448.56746527777</v>
      </c>
      <c r="C968" s="1" t="n">
        <v>46114</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32514-2022</t>
        </is>
      </c>
      <c r="B969" s="1" t="n">
        <v>44782</v>
      </c>
      <c r="C969" s="1" t="n">
        <v>46114</v>
      </c>
      <c r="D969" t="inlineStr">
        <is>
          <t>STOCKHOLMS LÄN</t>
        </is>
      </c>
      <c r="E969" t="inlineStr">
        <is>
          <t>NORRTÄLJE</t>
        </is>
      </c>
      <c r="G969" t="n">
        <v>5.1</v>
      </c>
      <c r="H969" t="n">
        <v>0</v>
      </c>
      <c r="I969" t="n">
        <v>0</v>
      </c>
      <c r="J969" t="n">
        <v>0</v>
      </c>
      <c r="K969" t="n">
        <v>0</v>
      </c>
      <c r="L969" t="n">
        <v>0</v>
      </c>
      <c r="M969" t="n">
        <v>0</v>
      </c>
      <c r="N969" t="n">
        <v>0</v>
      </c>
      <c r="O969" t="n">
        <v>0</v>
      </c>
      <c r="P969" t="n">
        <v>0</v>
      </c>
      <c r="Q969" t="n">
        <v>0</v>
      </c>
      <c r="R969" s="2" t="inlineStr"/>
    </row>
    <row r="970" ht="15" customHeight="1">
      <c r="A970" t="inlineStr">
        <is>
          <t>A 29362-2022</t>
        </is>
      </c>
      <c r="B970" s="1" t="n">
        <v>44753</v>
      </c>
      <c r="C970" s="1" t="n">
        <v>46114</v>
      </c>
      <c r="D970" t="inlineStr">
        <is>
          <t>STOCKHOLMS LÄN</t>
        </is>
      </c>
      <c r="E970" t="inlineStr">
        <is>
          <t>NORRTÄLJE</t>
        </is>
      </c>
      <c r="G970" t="n">
        <v>3.8</v>
      </c>
      <c r="H970" t="n">
        <v>0</v>
      </c>
      <c r="I970" t="n">
        <v>0</v>
      </c>
      <c r="J970" t="n">
        <v>0</v>
      </c>
      <c r="K970" t="n">
        <v>0</v>
      </c>
      <c r="L970" t="n">
        <v>0</v>
      </c>
      <c r="M970" t="n">
        <v>0</v>
      </c>
      <c r="N970" t="n">
        <v>0</v>
      </c>
      <c r="O970" t="n">
        <v>0</v>
      </c>
      <c r="P970" t="n">
        <v>0</v>
      </c>
      <c r="Q970" t="n">
        <v>0</v>
      </c>
      <c r="R970" s="2" t="inlineStr"/>
    </row>
    <row r="971" ht="15" customHeight="1">
      <c r="A971" t="inlineStr">
        <is>
          <t>A 58492-2022</t>
        </is>
      </c>
      <c r="B971" s="1" t="n">
        <v>44902</v>
      </c>
      <c r="C971" s="1" t="n">
        <v>46114</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51315-2021</t>
        </is>
      </c>
      <c r="B972" s="1" t="n">
        <v>44461</v>
      </c>
      <c r="C972" s="1" t="n">
        <v>46114</v>
      </c>
      <c r="D972" t="inlineStr">
        <is>
          <t>STOCKHOLMS LÄN</t>
        </is>
      </c>
      <c r="E972" t="inlineStr">
        <is>
          <t>NORRTÄLJE</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8055-2026</t>
        </is>
      </c>
      <c r="B973" s="1" t="n">
        <v>46063.62002314815</v>
      </c>
      <c r="C973" s="1" t="n">
        <v>46114</v>
      </c>
      <c r="D973" t="inlineStr">
        <is>
          <t>STOCKHOLMS LÄN</t>
        </is>
      </c>
      <c r="E973" t="inlineStr">
        <is>
          <t>NORRTÄLJE</t>
        </is>
      </c>
      <c r="G973" t="n">
        <v>0.6</v>
      </c>
      <c r="H973" t="n">
        <v>0</v>
      </c>
      <c r="I973" t="n">
        <v>0</v>
      </c>
      <c r="J973" t="n">
        <v>0</v>
      </c>
      <c r="K973" t="n">
        <v>0</v>
      </c>
      <c r="L973" t="n">
        <v>0</v>
      </c>
      <c r="M973" t="n">
        <v>0</v>
      </c>
      <c r="N973" t="n">
        <v>0</v>
      </c>
      <c r="O973" t="n">
        <v>0</v>
      </c>
      <c r="P973" t="n">
        <v>0</v>
      </c>
      <c r="Q973" t="n">
        <v>0</v>
      </c>
      <c r="R973" s="2" t="inlineStr"/>
    </row>
    <row r="974" ht="15" customHeight="1">
      <c r="A974" t="inlineStr">
        <is>
          <t>A 14873-2025</t>
        </is>
      </c>
      <c r="B974" s="1" t="n">
        <v>45743.44953703704</v>
      </c>
      <c r="C974" s="1" t="n">
        <v>46114</v>
      </c>
      <c r="D974" t="inlineStr">
        <is>
          <t>STOCKHOLMS LÄN</t>
        </is>
      </c>
      <c r="E974" t="inlineStr">
        <is>
          <t>NORRTÄLJE</t>
        </is>
      </c>
      <c r="G974" t="n">
        <v>10.2</v>
      </c>
      <c r="H974" t="n">
        <v>0</v>
      </c>
      <c r="I974" t="n">
        <v>0</v>
      </c>
      <c r="J974" t="n">
        <v>0</v>
      </c>
      <c r="K974" t="n">
        <v>0</v>
      </c>
      <c r="L974" t="n">
        <v>0</v>
      </c>
      <c r="M974" t="n">
        <v>0</v>
      </c>
      <c r="N974" t="n">
        <v>0</v>
      </c>
      <c r="O974" t="n">
        <v>0</v>
      </c>
      <c r="P974" t="n">
        <v>0</v>
      </c>
      <c r="Q974" t="n">
        <v>0</v>
      </c>
      <c r="R974" s="2" t="inlineStr"/>
    </row>
    <row r="975" ht="15" customHeight="1">
      <c r="A975" t="inlineStr">
        <is>
          <t>A 34773-2022</t>
        </is>
      </c>
      <c r="B975" s="1" t="n">
        <v>44795</v>
      </c>
      <c r="C975" s="1" t="n">
        <v>46114</v>
      </c>
      <c r="D975" t="inlineStr">
        <is>
          <t>STOCKHOLMS LÄN</t>
        </is>
      </c>
      <c r="E975" t="inlineStr">
        <is>
          <t>NORRTÄLJE</t>
        </is>
      </c>
      <c r="G975" t="n">
        <v>3.9</v>
      </c>
      <c r="H975" t="n">
        <v>0</v>
      </c>
      <c r="I975" t="n">
        <v>0</v>
      </c>
      <c r="J975" t="n">
        <v>0</v>
      </c>
      <c r="K975" t="n">
        <v>0</v>
      </c>
      <c r="L975" t="n">
        <v>0</v>
      </c>
      <c r="M975" t="n">
        <v>0</v>
      </c>
      <c r="N975" t="n">
        <v>0</v>
      </c>
      <c r="O975" t="n">
        <v>0</v>
      </c>
      <c r="P975" t="n">
        <v>0</v>
      </c>
      <c r="Q975" t="n">
        <v>0</v>
      </c>
      <c r="R975" s="2" t="inlineStr"/>
    </row>
    <row r="976" ht="15" customHeight="1">
      <c r="A976" t="inlineStr">
        <is>
          <t>A 33173-2024</t>
        </is>
      </c>
      <c r="B976" s="1" t="n">
        <v>45518</v>
      </c>
      <c r="C976" s="1" t="n">
        <v>46114</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7793-2026</t>
        </is>
      </c>
      <c r="B977" s="1" t="n">
        <v>46062.59496527778</v>
      </c>
      <c r="C977" s="1" t="n">
        <v>46114</v>
      </c>
      <c r="D977" t="inlineStr">
        <is>
          <t>STOCKHOLMS LÄN</t>
        </is>
      </c>
      <c r="E977" t="inlineStr">
        <is>
          <t>NORRTÄLJE</t>
        </is>
      </c>
      <c r="F977" t="inlineStr">
        <is>
          <t>Holmen skog AB</t>
        </is>
      </c>
      <c r="G977" t="n">
        <v>3.8</v>
      </c>
      <c r="H977" t="n">
        <v>0</v>
      </c>
      <c r="I977" t="n">
        <v>0</v>
      </c>
      <c r="J977" t="n">
        <v>0</v>
      </c>
      <c r="K977" t="n">
        <v>0</v>
      </c>
      <c r="L977" t="n">
        <v>0</v>
      </c>
      <c r="M977" t="n">
        <v>0</v>
      </c>
      <c r="N977" t="n">
        <v>0</v>
      </c>
      <c r="O977" t="n">
        <v>0</v>
      </c>
      <c r="P977" t="n">
        <v>0</v>
      </c>
      <c r="Q977" t="n">
        <v>0</v>
      </c>
      <c r="R977" s="2" t="inlineStr"/>
    </row>
    <row r="978" ht="15" customHeight="1">
      <c r="A978" t="inlineStr">
        <is>
          <t>A 8096-2026</t>
        </is>
      </c>
      <c r="B978" s="1" t="n">
        <v>46063.714375</v>
      </c>
      <c r="C978" s="1" t="n">
        <v>46114</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7723-2026</t>
        </is>
      </c>
      <c r="B979" s="1" t="n">
        <v>46062.49905092592</v>
      </c>
      <c r="C979" s="1" t="n">
        <v>46114</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7729-2026</t>
        </is>
      </c>
      <c r="B980" s="1" t="n">
        <v>46062.51100694444</v>
      </c>
      <c r="C980" s="1" t="n">
        <v>46114</v>
      </c>
      <c r="D980" t="inlineStr">
        <is>
          <t>STOCKHOLMS LÄN</t>
        </is>
      </c>
      <c r="E980" t="inlineStr">
        <is>
          <t>NORRTÄLJE</t>
        </is>
      </c>
      <c r="G980" t="n">
        <v>6.6</v>
      </c>
      <c r="H980" t="n">
        <v>0</v>
      </c>
      <c r="I980" t="n">
        <v>0</v>
      </c>
      <c r="J980" t="n">
        <v>0</v>
      </c>
      <c r="K980" t="n">
        <v>0</v>
      </c>
      <c r="L980" t="n">
        <v>0</v>
      </c>
      <c r="M980" t="n">
        <v>0</v>
      </c>
      <c r="N980" t="n">
        <v>0</v>
      </c>
      <c r="O980" t="n">
        <v>0</v>
      </c>
      <c r="P980" t="n">
        <v>0</v>
      </c>
      <c r="Q980" t="n">
        <v>0</v>
      </c>
      <c r="R980" s="2" t="inlineStr"/>
    </row>
    <row r="981" ht="15" customHeight="1">
      <c r="A981" t="inlineStr">
        <is>
          <t>A 7582-2026</t>
        </is>
      </c>
      <c r="B981" s="1" t="n">
        <v>46061</v>
      </c>
      <c r="C981" s="1" t="n">
        <v>46114</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8091-2026</t>
        </is>
      </c>
      <c r="B982" s="1" t="n">
        <v>46063.70944444444</v>
      </c>
      <c r="C982" s="1" t="n">
        <v>46114</v>
      </c>
      <c r="D982" t="inlineStr">
        <is>
          <t>STOCKHOLMS LÄN</t>
        </is>
      </c>
      <c r="E982" t="inlineStr">
        <is>
          <t>NORRTÄLJE</t>
        </is>
      </c>
      <c r="G982" t="n">
        <v>4.7</v>
      </c>
      <c r="H982" t="n">
        <v>0</v>
      </c>
      <c r="I982" t="n">
        <v>0</v>
      </c>
      <c r="J982" t="n">
        <v>0</v>
      </c>
      <c r="K982" t="n">
        <v>0</v>
      </c>
      <c r="L982" t="n">
        <v>0</v>
      </c>
      <c r="M982" t="n">
        <v>0</v>
      </c>
      <c r="N982" t="n">
        <v>0</v>
      </c>
      <c r="O982" t="n">
        <v>0</v>
      </c>
      <c r="P982" t="n">
        <v>0</v>
      </c>
      <c r="Q982" t="n">
        <v>0</v>
      </c>
      <c r="R982" s="2" t="inlineStr"/>
    </row>
    <row r="983" ht="15" customHeight="1">
      <c r="A983" t="inlineStr">
        <is>
          <t>A 4484-2025</t>
        </is>
      </c>
      <c r="B983" s="1" t="n">
        <v>45686.65545138889</v>
      </c>
      <c r="C983" s="1" t="n">
        <v>46114</v>
      </c>
      <c r="D983" t="inlineStr">
        <is>
          <t>STOCKHOLMS LÄN</t>
        </is>
      </c>
      <c r="E983" t="inlineStr">
        <is>
          <t>NORRTÄLJE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33878-2024</t>
        </is>
      </c>
      <c r="B984" s="1" t="n">
        <v>45522.44414351852</v>
      </c>
      <c r="C984" s="1" t="n">
        <v>46114</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9246-2024</t>
        </is>
      </c>
      <c r="B985" s="1" t="n">
        <v>45357</v>
      </c>
      <c r="C985" s="1" t="n">
        <v>46114</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35698-2023</t>
        </is>
      </c>
      <c r="B986" s="1" t="n">
        <v>45147</v>
      </c>
      <c r="C986" s="1" t="n">
        <v>46114</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62398-2022</t>
        </is>
      </c>
      <c r="B987" s="1" t="n">
        <v>44923.90159722222</v>
      </c>
      <c r="C987" s="1" t="n">
        <v>46114</v>
      </c>
      <c r="D987" t="inlineStr">
        <is>
          <t>STOCKHOLMS LÄN</t>
        </is>
      </c>
      <c r="E987" t="inlineStr">
        <is>
          <t>NORRTÄLJE</t>
        </is>
      </c>
      <c r="G987" t="n">
        <v>4</v>
      </c>
      <c r="H987" t="n">
        <v>0</v>
      </c>
      <c r="I987" t="n">
        <v>0</v>
      </c>
      <c r="J987" t="n">
        <v>0</v>
      </c>
      <c r="K987" t="n">
        <v>0</v>
      </c>
      <c r="L987" t="n">
        <v>0</v>
      </c>
      <c r="M987" t="n">
        <v>0</v>
      </c>
      <c r="N987" t="n">
        <v>0</v>
      </c>
      <c r="O987" t="n">
        <v>0</v>
      </c>
      <c r="P987" t="n">
        <v>0</v>
      </c>
      <c r="Q987" t="n">
        <v>0</v>
      </c>
      <c r="R987" s="2" t="inlineStr"/>
    </row>
    <row r="988" ht="15" customHeight="1">
      <c r="A988" t="inlineStr">
        <is>
          <t>A 8410-2026</t>
        </is>
      </c>
      <c r="B988" s="1" t="n">
        <v>46065.34261574074</v>
      </c>
      <c r="C988" s="1" t="n">
        <v>46114</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49700-2023</t>
        </is>
      </c>
      <c r="B989" s="1" t="n">
        <v>45212</v>
      </c>
      <c r="C989" s="1" t="n">
        <v>46114</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32071-2023</t>
        </is>
      </c>
      <c r="B990" s="1" t="n">
        <v>45119.57728009259</v>
      </c>
      <c r="C990" s="1" t="n">
        <v>46114</v>
      </c>
      <c r="D990" t="inlineStr">
        <is>
          <t>STOCKHOLMS LÄN</t>
        </is>
      </c>
      <c r="E990" t="inlineStr">
        <is>
          <t>NORRTÄLJE</t>
        </is>
      </c>
      <c r="G990" t="n">
        <v>6.5</v>
      </c>
      <c r="H990" t="n">
        <v>0</v>
      </c>
      <c r="I990" t="n">
        <v>0</v>
      </c>
      <c r="J990" t="n">
        <v>0</v>
      </c>
      <c r="K990" t="n">
        <v>0</v>
      </c>
      <c r="L990" t="n">
        <v>0</v>
      </c>
      <c r="M990" t="n">
        <v>0</v>
      </c>
      <c r="N990" t="n">
        <v>0</v>
      </c>
      <c r="O990" t="n">
        <v>0</v>
      </c>
      <c r="P990" t="n">
        <v>0</v>
      </c>
      <c r="Q990" t="n">
        <v>0</v>
      </c>
      <c r="R990" s="2" t="inlineStr"/>
    </row>
    <row r="991" ht="15" customHeight="1">
      <c r="A991" t="inlineStr">
        <is>
          <t>A 1425-2025</t>
        </is>
      </c>
      <c r="B991" s="1" t="n">
        <v>45668.67446759259</v>
      </c>
      <c r="C991" s="1" t="n">
        <v>46114</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17775-2022</t>
        </is>
      </c>
      <c r="B992" s="1" t="n">
        <v>44682.78430555556</v>
      </c>
      <c r="C992" s="1" t="n">
        <v>46114</v>
      </c>
      <c r="D992" t="inlineStr">
        <is>
          <t>STOCKHOLMS LÄN</t>
        </is>
      </c>
      <c r="E992" t="inlineStr">
        <is>
          <t>NORRTÄLJE</t>
        </is>
      </c>
      <c r="G992" t="n">
        <v>4.7</v>
      </c>
      <c r="H992" t="n">
        <v>0</v>
      </c>
      <c r="I992" t="n">
        <v>0</v>
      </c>
      <c r="J992" t="n">
        <v>0</v>
      </c>
      <c r="K992" t="n">
        <v>0</v>
      </c>
      <c r="L992" t="n">
        <v>0</v>
      </c>
      <c r="M992" t="n">
        <v>0</v>
      </c>
      <c r="N992" t="n">
        <v>0</v>
      </c>
      <c r="O992" t="n">
        <v>0</v>
      </c>
      <c r="P992" t="n">
        <v>0</v>
      </c>
      <c r="Q992" t="n">
        <v>0</v>
      </c>
      <c r="R992" s="2" t="inlineStr"/>
    </row>
    <row r="993" ht="15" customHeight="1">
      <c r="A993" t="inlineStr">
        <is>
          <t>A 8489-2026</t>
        </is>
      </c>
      <c r="B993" s="1" t="n">
        <v>46065.48268518518</v>
      </c>
      <c r="C993" s="1" t="n">
        <v>46114</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38720-2022</t>
        </is>
      </c>
      <c r="B994" s="1" t="n">
        <v>44815.74539351852</v>
      </c>
      <c r="C994" s="1" t="n">
        <v>46114</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10215-2023</t>
        </is>
      </c>
      <c r="B995" s="1" t="n">
        <v>44986.5887962963</v>
      </c>
      <c r="C995" s="1" t="n">
        <v>46114</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25609-2023</t>
        </is>
      </c>
      <c r="B996" s="1" t="n">
        <v>45089</v>
      </c>
      <c r="C996" s="1" t="n">
        <v>46114</v>
      </c>
      <c r="D996" t="inlineStr">
        <is>
          <t>STOCKHOLMS LÄN</t>
        </is>
      </c>
      <c r="E996" t="inlineStr">
        <is>
          <t>NORRTÄLJE</t>
        </is>
      </c>
      <c r="G996" t="n">
        <v>2.5</v>
      </c>
      <c r="H996" t="n">
        <v>0</v>
      </c>
      <c r="I996" t="n">
        <v>0</v>
      </c>
      <c r="J996" t="n">
        <v>0</v>
      </c>
      <c r="K996" t="n">
        <v>0</v>
      </c>
      <c r="L996" t="n">
        <v>0</v>
      </c>
      <c r="M996" t="n">
        <v>0</v>
      </c>
      <c r="N996" t="n">
        <v>0</v>
      </c>
      <c r="O996" t="n">
        <v>0</v>
      </c>
      <c r="P996" t="n">
        <v>0</v>
      </c>
      <c r="Q996" t="n">
        <v>0</v>
      </c>
      <c r="R996" s="2" t="inlineStr"/>
    </row>
    <row r="997" ht="15" customHeight="1">
      <c r="A997" t="inlineStr">
        <is>
          <t>A 8465-2026</t>
        </is>
      </c>
      <c r="B997" s="1" t="n">
        <v>46065.44141203703</v>
      </c>
      <c r="C997" s="1" t="n">
        <v>46114</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20014-2025</t>
        </is>
      </c>
      <c r="B998" s="1" t="n">
        <v>45772.3078125</v>
      </c>
      <c r="C998" s="1" t="n">
        <v>46114</v>
      </c>
      <c r="D998" t="inlineStr">
        <is>
          <t>STOCKHOLMS LÄN</t>
        </is>
      </c>
      <c r="E998" t="inlineStr">
        <is>
          <t>NORRTÄLJE</t>
        </is>
      </c>
      <c r="G998" t="n">
        <v>4.4</v>
      </c>
      <c r="H998" t="n">
        <v>0</v>
      </c>
      <c r="I998" t="n">
        <v>0</v>
      </c>
      <c r="J998" t="n">
        <v>0</v>
      </c>
      <c r="K998" t="n">
        <v>0</v>
      </c>
      <c r="L998" t="n">
        <v>0</v>
      </c>
      <c r="M998" t="n">
        <v>0</v>
      </c>
      <c r="N998" t="n">
        <v>0</v>
      </c>
      <c r="O998" t="n">
        <v>0</v>
      </c>
      <c r="P998" t="n">
        <v>0</v>
      </c>
      <c r="Q998" t="n">
        <v>0</v>
      </c>
      <c r="R998" s="2" t="inlineStr"/>
    </row>
    <row r="999" ht="15" customHeight="1">
      <c r="A999" t="inlineStr">
        <is>
          <t>A 15836-2026</t>
        </is>
      </c>
      <c r="B999" s="1" t="n">
        <v>46107.56134259259</v>
      </c>
      <c r="C999" s="1" t="n">
        <v>46114</v>
      </c>
      <c r="D999" t="inlineStr">
        <is>
          <t>STOCKHOLMS LÄN</t>
        </is>
      </c>
      <c r="E999" t="inlineStr">
        <is>
          <t>NORRTÄLJE</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20136-2025</t>
        </is>
      </c>
      <c r="B1000" s="1" t="n">
        <v>45772.51127314815</v>
      </c>
      <c r="C1000" s="1" t="n">
        <v>46114</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8454-2026</t>
        </is>
      </c>
      <c r="B1001" s="1" t="n">
        <v>46065.42506944444</v>
      </c>
      <c r="C1001" s="1" t="n">
        <v>46114</v>
      </c>
      <c r="D1001" t="inlineStr">
        <is>
          <t>STOCKHOLMS LÄN</t>
        </is>
      </c>
      <c r="E1001" t="inlineStr">
        <is>
          <t>NORRTÄLJE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16243-2026</t>
        </is>
      </c>
      <c r="B1002" s="1" t="n">
        <v>46111.45902777778</v>
      </c>
      <c r="C1002" s="1" t="n">
        <v>46114</v>
      </c>
      <c r="D1002" t="inlineStr">
        <is>
          <t>STOCKHOLMS LÄN</t>
        </is>
      </c>
      <c r="E1002" t="inlineStr">
        <is>
          <t>NORRTÄLJE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2287-2024</t>
        </is>
      </c>
      <c r="B1003" s="1" t="n">
        <v>45310</v>
      </c>
      <c r="C1003" s="1" t="n">
        <v>46114</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13785-2024</t>
        </is>
      </c>
      <c r="B1004" s="1" t="n">
        <v>45391.3395949074</v>
      </c>
      <c r="C1004" s="1" t="n">
        <v>46114</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9103-2026</t>
        </is>
      </c>
      <c r="B1005" s="1" t="n">
        <v>46069.65039351852</v>
      </c>
      <c r="C1005" s="1" t="n">
        <v>46114</v>
      </c>
      <c r="D1005" t="inlineStr">
        <is>
          <t>STOCKHOLMS LÄN</t>
        </is>
      </c>
      <c r="E1005" t="inlineStr">
        <is>
          <t>NORRTÄLJE</t>
        </is>
      </c>
      <c r="F1005" t="inlineStr">
        <is>
          <t>Holmen skog AB</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44866.49827546296</v>
      </c>
      <c r="C1006" s="1" t="n">
        <v>46114</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44868.45741898148</v>
      </c>
      <c r="C1007" s="1" t="n">
        <v>46114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8989-2026</t>
        </is>
      </c>
      <c r="B1008" s="1" t="n">
        <v>46069.45789351852</v>
      </c>
      <c r="C1008" s="1" t="n">
        <v>46114</v>
      </c>
      <c r="D1008" t="inlineStr">
        <is>
          <t>STOCKHOLMS LÄN</t>
        </is>
      </c>
      <c r="E1008" t="inlineStr">
        <is>
          <t>NORRTÄLJE</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16229-2026</t>
        </is>
      </c>
      <c r="B1009" s="1" t="n">
        <v>46111.45084490741</v>
      </c>
      <c r="C1009" s="1" t="n">
        <v>46114</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60217-2021</t>
        </is>
      </c>
      <c r="B1010" s="1" t="n">
        <v>44495.5893287037</v>
      </c>
      <c r="C1010" s="1" t="n">
        <v>46114</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5839-2023</t>
        </is>
      </c>
      <c r="B1011" s="1" t="n">
        <v>44963</v>
      </c>
      <c r="C1011" s="1" t="n">
        <v>46114</v>
      </c>
      <c r="D1011" t="inlineStr">
        <is>
          <t>STOCKHOLMS LÄN</t>
        </is>
      </c>
      <c r="E1011" t="inlineStr">
        <is>
          <t>NORRTÄLJE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38985-2022</t>
        </is>
      </c>
      <c r="B1012" s="1" t="n">
        <v>44816</v>
      </c>
      <c r="C1012" s="1" t="n">
        <v>46114</v>
      </c>
      <c r="D1012" t="inlineStr">
        <is>
          <t>STOCKHOLMS LÄN</t>
        </is>
      </c>
      <c r="E1012" t="inlineStr">
        <is>
          <t>NORRTÄLJE</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5665-2025</t>
        </is>
      </c>
      <c r="B1013" s="1" t="n">
        <v>45693</v>
      </c>
      <c r="C1013" s="1" t="n">
        <v>46114</v>
      </c>
      <c r="D1013" t="inlineStr">
        <is>
          <t>STOCKHOLMS LÄN</t>
        </is>
      </c>
      <c r="E1013" t="inlineStr">
        <is>
          <t>NORRTÄLJE</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14937-2026</t>
        </is>
      </c>
      <c r="B1014" s="1" t="n">
        <v>46104</v>
      </c>
      <c r="C1014" s="1" t="n">
        <v>46114</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3426-2025</t>
        </is>
      </c>
      <c r="B1015" s="1" t="n">
        <v>45680.42665509259</v>
      </c>
      <c r="C1015" s="1" t="n">
        <v>46114</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8985-2026</t>
        </is>
      </c>
      <c r="B1016" s="1" t="n">
        <v>46069.45234953704</v>
      </c>
      <c r="C1016" s="1" t="n">
        <v>46114</v>
      </c>
      <c r="D1016" t="inlineStr">
        <is>
          <t>STOCKHOLMS LÄN</t>
        </is>
      </c>
      <c r="E1016" t="inlineStr">
        <is>
          <t>NORRTÄLJE</t>
        </is>
      </c>
      <c r="F1016" t="inlineStr">
        <is>
          <t>Holmen skog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8962-2026</t>
        </is>
      </c>
      <c r="B1017" s="1" t="n">
        <v>46069.41644675926</v>
      </c>
      <c r="C1017" s="1" t="n">
        <v>46114</v>
      </c>
      <c r="D1017" t="inlineStr">
        <is>
          <t>STOCKHOLMS LÄN</t>
        </is>
      </c>
      <c r="E1017" t="inlineStr">
        <is>
          <t>NORRTÄLJE</t>
        </is>
      </c>
      <c r="F1017" t="inlineStr">
        <is>
          <t>Holmen skog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58530-2024</t>
        </is>
      </c>
      <c r="B1018" s="1" t="n">
        <v>45635.44788194444</v>
      </c>
      <c r="C1018" s="1" t="n">
        <v>46114</v>
      </c>
      <c r="D1018" t="inlineStr">
        <is>
          <t>STOCKHOLMS LÄN</t>
        </is>
      </c>
      <c r="E1018" t="inlineStr">
        <is>
          <t>NORRTÄLJE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22421-2021</t>
        </is>
      </c>
      <c r="B1019" s="1" t="n">
        <v>44326</v>
      </c>
      <c r="C1019" s="1" t="n">
        <v>46114</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40761-2024</t>
        </is>
      </c>
      <c r="B1020" s="1" t="n">
        <v>45558.46283564815</v>
      </c>
      <c r="C1020" s="1" t="n">
        <v>46114</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4553-2023</t>
        </is>
      </c>
      <c r="B1021" s="1" t="n">
        <v>44956.65920138889</v>
      </c>
      <c r="C1021" s="1" t="n">
        <v>46114</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4593-2023</t>
        </is>
      </c>
      <c r="B1022" s="1" t="n">
        <v>44956</v>
      </c>
      <c r="C1022" s="1" t="n">
        <v>46114</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13171-2025</t>
        </is>
      </c>
      <c r="B1023" s="1" t="n">
        <v>45735.36594907408</v>
      </c>
      <c r="C1023" s="1" t="n">
        <v>46114</v>
      </c>
      <c r="D1023" t="inlineStr">
        <is>
          <t>STOCKHOLMS LÄN</t>
        </is>
      </c>
      <c r="E1023" t="inlineStr">
        <is>
          <t>NORRTÄLJE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51978-2023</t>
        </is>
      </c>
      <c r="B1024" s="1" t="n">
        <v>45223</v>
      </c>
      <c r="C1024" s="1" t="n">
        <v>46114</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18092-2022</t>
        </is>
      </c>
      <c r="B1025" s="1" t="n">
        <v>44684</v>
      </c>
      <c r="C1025" s="1" t="n">
        <v>46114</v>
      </c>
      <c r="D1025" t="inlineStr">
        <is>
          <t>STOCKHOLMS LÄN</t>
        </is>
      </c>
      <c r="E1025" t="inlineStr">
        <is>
          <t>NORRTÄLJE</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59310-2023</t>
        </is>
      </c>
      <c r="B1026" s="1" t="n">
        <v>45253.61146990741</v>
      </c>
      <c r="C1026" s="1" t="n">
        <v>46114</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9329-2023</t>
        </is>
      </c>
      <c r="B1027" s="1" t="n">
        <v>44980</v>
      </c>
      <c r="C1027" s="1" t="n">
        <v>46114</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59878-2024</t>
        </is>
      </c>
      <c r="B1028" s="1" t="n">
        <v>45640.60240740741</v>
      </c>
      <c r="C1028" s="1" t="n">
        <v>46114</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41335-2023</t>
        </is>
      </c>
      <c r="B1029" s="1" t="n">
        <v>45174.68702546296</v>
      </c>
      <c r="C1029" s="1" t="n">
        <v>46114</v>
      </c>
      <c r="D1029" t="inlineStr">
        <is>
          <t>STOCKHOLMS LÄN</t>
        </is>
      </c>
      <c r="E1029" t="inlineStr">
        <is>
          <t>NORRTÄLJE</t>
        </is>
      </c>
      <c r="F1029" t="inlineStr">
        <is>
          <t>Holmen skog AB</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33040-2021</t>
        </is>
      </c>
      <c r="B1030" s="1" t="n">
        <v>44376.50728009259</v>
      </c>
      <c r="C1030" s="1" t="n">
        <v>46114</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33053-2021</t>
        </is>
      </c>
      <c r="B1031" s="1" t="n">
        <v>44376</v>
      </c>
      <c r="C1031" s="1" t="n">
        <v>46114</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43150-2023</t>
        </is>
      </c>
      <c r="B1032" s="1" t="n">
        <v>45183</v>
      </c>
      <c r="C1032" s="1" t="n">
        <v>46114</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54259-2023</t>
        </is>
      </c>
      <c r="B1033" s="1" t="n">
        <v>45232</v>
      </c>
      <c r="C1033" s="1" t="n">
        <v>46114</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60822-2023</t>
        </is>
      </c>
      <c r="B1034" s="1" t="n">
        <v>45259</v>
      </c>
      <c r="C1034" s="1" t="n">
        <v>46114</v>
      </c>
      <c r="D1034" t="inlineStr">
        <is>
          <t>STOCKHOLMS LÄN</t>
        </is>
      </c>
      <c r="E1034" t="inlineStr">
        <is>
          <t>NORRTÄLJE</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27381-2024</t>
        </is>
      </c>
      <c r="B1035" s="1" t="n">
        <v>45473.94501157408</v>
      </c>
      <c r="C1035" s="1" t="n">
        <v>46114</v>
      </c>
      <c r="D1035" t="inlineStr">
        <is>
          <t>STOCKHOLMS LÄN</t>
        </is>
      </c>
      <c r="E1035" t="inlineStr">
        <is>
          <t>NORRTÄLJE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23265-2023</t>
        </is>
      </c>
      <c r="B1036" s="1" t="n">
        <v>45075.90703703704</v>
      </c>
      <c r="C1036" s="1" t="n">
        <v>46114</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26117-2024</t>
        </is>
      </c>
      <c r="B1037" s="1" t="n">
        <v>45468.45877314815</v>
      </c>
      <c r="C1037" s="1" t="n">
        <v>46114</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20336-2024</t>
        </is>
      </c>
      <c r="B1038" s="1" t="n">
        <v>45435.43123842592</v>
      </c>
      <c r="C1038" s="1" t="n">
        <v>46114</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1847-2023</t>
        </is>
      </c>
      <c r="B1039" s="1" t="n">
        <v>44938</v>
      </c>
      <c r="C1039" s="1" t="n">
        <v>46114</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59721-2024</t>
        </is>
      </c>
      <c r="B1040" s="1" t="n">
        <v>45639.47385416667</v>
      </c>
      <c r="C1040" s="1" t="n">
        <v>46114</v>
      </c>
      <c r="D1040" t="inlineStr">
        <is>
          <t>STOCKHOLMS LÄN</t>
        </is>
      </c>
      <c r="E1040" t="inlineStr">
        <is>
          <t>NORRTÄLJE</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37010-2022</t>
        </is>
      </c>
      <c r="B1041" s="1" t="n">
        <v>44806.41576388889</v>
      </c>
      <c r="C1041" s="1" t="n">
        <v>46114</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951-2023</t>
        </is>
      </c>
      <c r="B1042" s="1" t="n">
        <v>44934</v>
      </c>
      <c r="C1042" s="1" t="n">
        <v>46114</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44959.74533564815</v>
      </c>
      <c r="C1043" s="1" t="n">
        <v>46114</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50182-2024</t>
        </is>
      </c>
      <c r="B1044" s="1" t="n">
        <v>45600.47275462963</v>
      </c>
      <c r="C1044" s="1" t="n">
        <v>46114</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12629-2024</t>
        </is>
      </c>
      <c r="B1045" s="1" t="n">
        <v>45383</v>
      </c>
      <c r="C1045" s="1" t="n">
        <v>46114</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35708-2022</t>
        </is>
      </c>
      <c r="B1046" s="1" t="n">
        <v>44799.65013888889</v>
      </c>
      <c r="C1046" s="1" t="n">
        <v>46114</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45220-2024</t>
        </is>
      </c>
      <c r="B1047" s="1" t="n">
        <v>45575</v>
      </c>
      <c r="C1047" s="1" t="n">
        <v>46114</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21731-2023</t>
        </is>
      </c>
      <c r="B1048" s="1" t="n">
        <v>45063</v>
      </c>
      <c r="C1048" s="1" t="n">
        <v>46114</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23266-2023</t>
        </is>
      </c>
      <c r="B1049" s="1" t="n">
        <v>45075.90817129629</v>
      </c>
      <c r="C1049" s="1" t="n">
        <v>46114</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47521-2024</t>
        </is>
      </c>
      <c r="B1050" s="1" t="n">
        <v>45587.62565972222</v>
      </c>
      <c r="C1050" s="1" t="n">
        <v>46114</v>
      </c>
      <c r="D1050" t="inlineStr">
        <is>
          <t>STOCKHOLMS LÄN</t>
        </is>
      </c>
      <c r="E1050" t="inlineStr">
        <is>
          <t>NORRTÄLJE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58260-2023</t>
        </is>
      </c>
      <c r="B1051" s="1" t="n">
        <v>45245</v>
      </c>
      <c r="C1051" s="1" t="n">
        <v>46114</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58261-2023</t>
        </is>
      </c>
      <c r="B1052" s="1" t="n">
        <v>45245</v>
      </c>
      <c r="C1052" s="1" t="n">
        <v>46114</v>
      </c>
      <c r="D1052" t="inlineStr">
        <is>
          <t>STOCKHOLMS LÄN</t>
        </is>
      </c>
      <c r="E1052" t="inlineStr">
        <is>
          <t>NORRTÄLJE</t>
        </is>
      </c>
      <c r="G1052" t="n">
        <v>53.5</v>
      </c>
      <c r="H1052" t="n">
        <v>0</v>
      </c>
      <c r="I1052" t="n">
        <v>0</v>
      </c>
      <c r="J1052" t="n">
        <v>0</v>
      </c>
      <c r="K1052" t="n">
        <v>0</v>
      </c>
      <c r="L1052" t="n">
        <v>0</v>
      </c>
      <c r="M1052" t="n">
        <v>0</v>
      </c>
      <c r="N1052" t="n">
        <v>0</v>
      </c>
      <c r="O1052" t="n">
        <v>0</v>
      </c>
      <c r="P1052" t="n">
        <v>0</v>
      </c>
      <c r="Q1052" t="n">
        <v>0</v>
      </c>
      <c r="R1052" s="2" t="inlineStr"/>
    </row>
    <row r="1053" ht="15" customHeight="1">
      <c r="A1053" t="inlineStr">
        <is>
          <t>A 29266-2022</t>
        </is>
      </c>
      <c r="B1053" s="1" t="n">
        <v>44750.66068287037</v>
      </c>
      <c r="C1053" s="1" t="n">
        <v>46114</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29278-2022</t>
        </is>
      </c>
      <c r="B1054" s="1" t="n">
        <v>44750</v>
      </c>
      <c r="C1054" s="1" t="n">
        <v>46114</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37273-2024</t>
        </is>
      </c>
      <c r="B1055" s="1" t="n">
        <v>45540</v>
      </c>
      <c r="C1055" s="1" t="n">
        <v>46114</v>
      </c>
      <c r="D1055" t="inlineStr">
        <is>
          <t>STOCKHOLMS LÄN</t>
        </is>
      </c>
      <c r="E1055" t="inlineStr">
        <is>
          <t>NORRTÄLJE</t>
        </is>
      </c>
      <c r="F1055" t="inlineStr">
        <is>
          <t>Sveaskog</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12908-2025</t>
        </is>
      </c>
      <c r="B1056" s="1" t="n">
        <v>45733.82105324074</v>
      </c>
      <c r="C1056" s="1" t="n">
        <v>46114</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23060-2023</t>
        </is>
      </c>
      <c r="B1057" s="1" t="n">
        <v>45075</v>
      </c>
      <c r="C1057" s="1" t="n">
        <v>46114</v>
      </c>
      <c r="D1057" t="inlineStr">
        <is>
          <t>STOCKHOLMS LÄN</t>
        </is>
      </c>
      <c r="E1057" t="inlineStr">
        <is>
          <t>NORRTÄLJE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32103-2022</t>
        </is>
      </c>
      <c r="B1058" s="1" t="n">
        <v>44778</v>
      </c>
      <c r="C1058" s="1" t="n">
        <v>46114</v>
      </c>
      <c r="D1058" t="inlineStr">
        <is>
          <t>STOCKHOLMS LÄN</t>
        </is>
      </c>
      <c r="E1058" t="inlineStr">
        <is>
          <t>NORRTÄLJE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6401-2024</t>
        </is>
      </c>
      <c r="B1059" s="1" t="n">
        <v>45338</v>
      </c>
      <c r="C1059" s="1" t="n">
        <v>46114</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59504-2023</t>
        </is>
      </c>
      <c r="B1060" s="1" t="n">
        <v>45254</v>
      </c>
      <c r="C1060" s="1" t="n">
        <v>46114</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52321-2024</t>
        </is>
      </c>
      <c r="B1061" s="1" t="n">
        <v>45608</v>
      </c>
      <c r="C1061" s="1" t="n">
        <v>46114</v>
      </c>
      <c r="D1061" t="inlineStr">
        <is>
          <t>STOCKHOLMS LÄN</t>
        </is>
      </c>
      <c r="E1061" t="inlineStr">
        <is>
          <t>NORRTÄLJE</t>
        </is>
      </c>
      <c r="G1061" t="n">
        <v>18.1</v>
      </c>
      <c r="H1061" t="n">
        <v>0</v>
      </c>
      <c r="I1061" t="n">
        <v>0</v>
      </c>
      <c r="J1061" t="n">
        <v>0</v>
      </c>
      <c r="K1061" t="n">
        <v>0</v>
      </c>
      <c r="L1061" t="n">
        <v>0</v>
      </c>
      <c r="M1061" t="n">
        <v>0</v>
      </c>
      <c r="N1061" t="n">
        <v>0</v>
      </c>
      <c r="O1061" t="n">
        <v>0</v>
      </c>
      <c r="P1061" t="n">
        <v>0</v>
      </c>
      <c r="Q1061" t="n">
        <v>0</v>
      </c>
      <c r="R1061" s="2" t="inlineStr"/>
    </row>
    <row r="1062" ht="15" customHeight="1">
      <c r="A1062" t="inlineStr">
        <is>
          <t>A 48151-2024</t>
        </is>
      </c>
      <c r="B1062" s="1" t="n">
        <v>45589.68289351852</v>
      </c>
      <c r="C1062" s="1" t="n">
        <v>46114</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20370-2025</t>
        </is>
      </c>
      <c r="B1063" s="1" t="n">
        <v>45775.41451388889</v>
      </c>
      <c r="C1063" s="1" t="n">
        <v>46114</v>
      </c>
      <c r="D1063" t="inlineStr">
        <is>
          <t>STOCKHOLMS LÄN</t>
        </is>
      </c>
      <c r="E1063" t="inlineStr">
        <is>
          <t>NORRTÄLJE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19580-2022</t>
        </is>
      </c>
      <c r="B1064" s="1" t="n">
        <v>44693</v>
      </c>
      <c r="C1064" s="1" t="n">
        <v>46114</v>
      </c>
      <c r="D1064" t="inlineStr">
        <is>
          <t>STOCKHOLMS LÄN</t>
        </is>
      </c>
      <c r="E1064" t="inlineStr">
        <is>
          <t>NORRTÄLJE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30731-2023</t>
        </is>
      </c>
      <c r="B1065" s="1" t="n">
        <v>45112</v>
      </c>
      <c r="C1065" s="1" t="n">
        <v>46114</v>
      </c>
      <c r="D1065" t="inlineStr">
        <is>
          <t>STOCKHOLMS LÄN</t>
        </is>
      </c>
      <c r="E1065" t="inlineStr">
        <is>
          <t>NORRTÄLJE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4580-2025</t>
        </is>
      </c>
      <c r="B1066" s="1" t="n">
        <v>45687.5038425926</v>
      </c>
      <c r="C1066" s="1" t="n">
        <v>46114</v>
      </c>
      <c r="D1066" t="inlineStr">
        <is>
          <t>STOCKHOLMS LÄN</t>
        </is>
      </c>
      <c r="E1066" t="inlineStr">
        <is>
          <t>NORRTÄLJE</t>
        </is>
      </c>
      <c r="F1066" t="inlineStr">
        <is>
          <t>Holmen skog AB</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31057-2022</t>
        </is>
      </c>
      <c r="B1067" s="1" t="n">
        <v>44769</v>
      </c>
      <c r="C1067" s="1" t="n">
        <v>46114</v>
      </c>
      <c r="D1067" t="inlineStr">
        <is>
          <t>STOCKHOLMS LÄN</t>
        </is>
      </c>
      <c r="E1067" t="inlineStr">
        <is>
          <t>NORRTÄLJE</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31140-2023</t>
        </is>
      </c>
      <c r="B1068" s="1" t="n">
        <v>45113</v>
      </c>
      <c r="C1068" s="1" t="n">
        <v>46114</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31149-2023</t>
        </is>
      </c>
      <c r="B1069" s="1" t="n">
        <v>45113</v>
      </c>
      <c r="C1069" s="1" t="n">
        <v>46114</v>
      </c>
      <c r="D1069" t="inlineStr">
        <is>
          <t>STOCKHOLMS LÄN</t>
        </is>
      </c>
      <c r="E1069" t="inlineStr">
        <is>
          <t>NORRTÄLJE</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4658-2024</t>
        </is>
      </c>
      <c r="B1070" s="1" t="n">
        <v>45328.46336805556</v>
      </c>
      <c r="C1070" s="1" t="n">
        <v>46114</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19131-2025</t>
        </is>
      </c>
      <c r="B1071" s="1" t="n">
        <v>45769</v>
      </c>
      <c r="C1071" s="1" t="n">
        <v>46114</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7571-2024</t>
        </is>
      </c>
      <c r="B1072" s="1" t="n">
        <v>45348.46300925926</v>
      </c>
      <c r="C1072" s="1" t="n">
        <v>46114</v>
      </c>
      <c r="D1072" t="inlineStr">
        <is>
          <t>STOCKHOLMS LÄN</t>
        </is>
      </c>
      <c r="E1072" t="inlineStr">
        <is>
          <t>NORRTÄLJE</t>
        </is>
      </c>
      <c r="F1072" t="inlineStr">
        <is>
          <t>Holmen skog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11849-2025</t>
        </is>
      </c>
      <c r="B1073" s="1" t="n">
        <v>45728.38409722222</v>
      </c>
      <c r="C1073" s="1" t="n">
        <v>46114</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40425-2021</t>
        </is>
      </c>
      <c r="B1074" s="1" t="n">
        <v>44419</v>
      </c>
      <c r="C1074" s="1" t="n">
        <v>46114</v>
      </c>
      <c r="D1074" t="inlineStr">
        <is>
          <t>STOCKHOLMS LÄN</t>
        </is>
      </c>
      <c r="E1074" t="inlineStr">
        <is>
          <t>NORRTÄLJE</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58990-2021</t>
        </is>
      </c>
      <c r="B1075" s="1" t="n">
        <v>44490.03621527777</v>
      </c>
      <c r="C1075" s="1" t="n">
        <v>46114</v>
      </c>
      <c r="D1075" t="inlineStr">
        <is>
          <t>STOCKHOLMS LÄN</t>
        </is>
      </c>
      <c r="E1075" t="inlineStr">
        <is>
          <t>NORRTÄLJE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20790-2025</t>
        </is>
      </c>
      <c r="B1076" s="1" t="n">
        <v>45776.62563657408</v>
      </c>
      <c r="C1076" s="1" t="n">
        <v>46114</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20699-2025</t>
        </is>
      </c>
      <c r="B1077" s="1" t="n">
        <v>45776.47346064815</v>
      </c>
      <c r="C1077" s="1" t="n">
        <v>46114</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3152-2024</t>
        </is>
      </c>
      <c r="B1078" s="1" t="n">
        <v>45316.60306712963</v>
      </c>
      <c r="C1078" s="1" t="n">
        <v>46114</v>
      </c>
      <c r="D1078" t="inlineStr">
        <is>
          <t>STOCKHOLMS LÄN</t>
        </is>
      </c>
      <c r="E1078" t="inlineStr">
        <is>
          <t>NORRTÄLJE</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59326-2023</t>
        </is>
      </c>
      <c r="B1079" s="1" t="n">
        <v>45253.63089120371</v>
      </c>
      <c r="C1079" s="1" t="n">
        <v>46114</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44836-2023</t>
        </is>
      </c>
      <c r="B1080" s="1" t="n">
        <v>45190.55609953704</v>
      </c>
      <c r="C1080" s="1" t="n">
        <v>46114</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20779-2025</t>
        </is>
      </c>
      <c r="B1081" s="1" t="n">
        <v>45776.59871527777</v>
      </c>
      <c r="C1081" s="1" t="n">
        <v>46114</v>
      </c>
      <c r="D1081" t="inlineStr">
        <is>
          <t>STOCKHOLMS LÄN</t>
        </is>
      </c>
      <c r="E1081" t="inlineStr">
        <is>
          <t>NORRTÄLJE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21771-2025</t>
        </is>
      </c>
      <c r="B1082" s="1" t="n">
        <v>45783</v>
      </c>
      <c r="C1082" s="1" t="n">
        <v>46114</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21778-2025</t>
        </is>
      </c>
      <c r="B1083" s="1" t="n">
        <v>45783.66429398148</v>
      </c>
      <c r="C1083" s="1" t="n">
        <v>46114</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22202-2025</t>
        </is>
      </c>
      <c r="B1084" s="1" t="n">
        <v>45785.65300925926</v>
      </c>
      <c r="C1084" s="1" t="n">
        <v>46114</v>
      </c>
      <c r="D1084" t="inlineStr">
        <is>
          <t>STOCKHOLMS LÄN</t>
        </is>
      </c>
      <c r="E1084" t="inlineStr">
        <is>
          <t>NORRTÄLJE</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16620-2024</t>
        </is>
      </c>
      <c r="B1085" s="1" t="n">
        <v>45408.57707175926</v>
      </c>
      <c r="C1085" s="1" t="n">
        <v>46114</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22416-2025</t>
        </is>
      </c>
      <c r="B1086" s="1" t="n">
        <v>45786.55645833333</v>
      </c>
      <c r="C1086" s="1" t="n">
        <v>46114</v>
      </c>
      <c r="D1086" t="inlineStr">
        <is>
          <t>STOCKHOLMS LÄN</t>
        </is>
      </c>
      <c r="E1086" t="inlineStr">
        <is>
          <t>NORRTÄLJE</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58785-2024</t>
        </is>
      </c>
      <c r="B1087" s="1" t="n">
        <v>45635.88849537037</v>
      </c>
      <c r="C1087" s="1" t="n">
        <v>46114</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2182-2022</t>
        </is>
      </c>
      <c r="B1088" s="1" t="n">
        <v>44578</v>
      </c>
      <c r="C1088" s="1" t="n">
        <v>46114</v>
      </c>
      <c r="D1088" t="inlineStr">
        <is>
          <t>STOCKHOLMS LÄN</t>
        </is>
      </c>
      <c r="E1088" t="inlineStr">
        <is>
          <t>NORRTÄLJE</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13268-2025</t>
        </is>
      </c>
      <c r="B1089" s="1" t="n">
        <v>45735</v>
      </c>
      <c r="C1089" s="1" t="n">
        <v>46114</v>
      </c>
      <c r="D1089" t="inlineStr">
        <is>
          <t>STOCKHOLMS LÄN</t>
        </is>
      </c>
      <c r="E1089" t="inlineStr">
        <is>
          <t>NORRTÄLJE</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8414-2025</t>
        </is>
      </c>
      <c r="B1090" s="1" t="n">
        <v>45709.39361111111</v>
      </c>
      <c r="C1090" s="1" t="n">
        <v>46114</v>
      </c>
      <c r="D1090" t="inlineStr">
        <is>
          <t>STOCKHOLMS LÄN</t>
        </is>
      </c>
      <c r="E1090" t="inlineStr">
        <is>
          <t>NORRTÄLJE</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36625-2024</t>
        </is>
      </c>
      <c r="B1091" s="1" t="n">
        <v>45537</v>
      </c>
      <c r="C1091" s="1" t="n">
        <v>46114</v>
      </c>
      <c r="D1091" t="inlineStr">
        <is>
          <t>STOCKHOLMS LÄN</t>
        </is>
      </c>
      <c r="E1091" t="inlineStr">
        <is>
          <t>NORRTÄLJE</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44891-2023</t>
        </is>
      </c>
      <c r="B1092" s="1" t="n">
        <v>45187</v>
      </c>
      <c r="C1092" s="1" t="n">
        <v>46114</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12902-2024</t>
        </is>
      </c>
      <c r="B1093" s="1" t="n">
        <v>45385.38146990741</v>
      </c>
      <c r="C1093" s="1" t="n">
        <v>46114</v>
      </c>
      <c r="D1093" t="inlineStr">
        <is>
          <t>STOCKHOLMS LÄN</t>
        </is>
      </c>
      <c r="E1093" t="inlineStr">
        <is>
          <t>NORRTÄLJE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44032-2024</t>
        </is>
      </c>
      <c r="B1094" s="1" t="n">
        <v>45572.57828703704</v>
      </c>
      <c r="C1094" s="1" t="n">
        <v>46114</v>
      </c>
      <c r="D1094" t="inlineStr">
        <is>
          <t>STOCKHOLMS LÄN</t>
        </is>
      </c>
      <c r="E1094" t="inlineStr">
        <is>
          <t>NORRTÄLJE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24563-2024</t>
        </is>
      </c>
      <c r="B1095" s="1" t="n">
        <v>45460.44347222222</v>
      </c>
      <c r="C1095" s="1" t="n">
        <v>46114</v>
      </c>
      <c r="D1095" t="inlineStr">
        <is>
          <t>STOCKHOLMS LÄN</t>
        </is>
      </c>
      <c r="E1095" t="inlineStr">
        <is>
          <t>NORRTÄLJE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39237-2024</t>
        </is>
      </c>
      <c r="B1096" s="1" t="n">
        <v>45549</v>
      </c>
      <c r="C1096" s="1" t="n">
        <v>46114</v>
      </c>
      <c r="D1096" t="inlineStr">
        <is>
          <t>STOCKHOLMS LÄN</t>
        </is>
      </c>
      <c r="E1096" t="inlineStr">
        <is>
          <t>NORRTÄLJE</t>
        </is>
      </c>
      <c r="G1096" t="n">
        <v>13.3</v>
      </c>
      <c r="H1096" t="n">
        <v>0</v>
      </c>
      <c r="I1096" t="n">
        <v>0</v>
      </c>
      <c r="J1096" t="n">
        <v>0</v>
      </c>
      <c r="K1096" t="n">
        <v>0</v>
      </c>
      <c r="L1096" t="n">
        <v>0</v>
      </c>
      <c r="M1096" t="n">
        <v>0</v>
      </c>
      <c r="N1096" t="n">
        <v>0</v>
      </c>
      <c r="O1096" t="n">
        <v>0</v>
      </c>
      <c r="P1096" t="n">
        <v>0</v>
      </c>
      <c r="Q1096" t="n">
        <v>0</v>
      </c>
      <c r="R1096" s="2" t="inlineStr"/>
    </row>
    <row r="1097" ht="15" customHeight="1">
      <c r="A1097" t="inlineStr">
        <is>
          <t>A 45746-2024</t>
        </is>
      </c>
      <c r="B1097" s="1" t="n">
        <v>45579</v>
      </c>
      <c r="C1097" s="1" t="n">
        <v>46114</v>
      </c>
      <c r="D1097" t="inlineStr">
        <is>
          <t>STOCKHOLMS LÄN</t>
        </is>
      </c>
      <c r="E1097" t="inlineStr">
        <is>
          <t>NORRTÄLJE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8400-2024</t>
        </is>
      </c>
      <c r="B1098" s="1" t="n">
        <v>45352.74090277778</v>
      </c>
      <c r="C1098" s="1" t="n">
        <v>46114</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62998-2023</t>
        </is>
      </c>
      <c r="B1099" s="1" t="n">
        <v>45272.64479166667</v>
      </c>
      <c r="C1099" s="1" t="n">
        <v>46114</v>
      </c>
      <c r="D1099" t="inlineStr">
        <is>
          <t>STOCKHOLMS LÄN</t>
        </is>
      </c>
      <c r="E1099" t="inlineStr">
        <is>
          <t>NORRTÄLJE</t>
        </is>
      </c>
      <c r="G1099" t="n">
        <v>16.3</v>
      </c>
      <c r="H1099" t="n">
        <v>0</v>
      </c>
      <c r="I1099" t="n">
        <v>0</v>
      </c>
      <c r="J1099" t="n">
        <v>0</v>
      </c>
      <c r="K1099" t="n">
        <v>0</v>
      </c>
      <c r="L1099" t="n">
        <v>0</v>
      </c>
      <c r="M1099" t="n">
        <v>0</v>
      </c>
      <c r="N1099" t="n">
        <v>0</v>
      </c>
      <c r="O1099" t="n">
        <v>0</v>
      </c>
      <c r="P1099" t="n">
        <v>0</v>
      </c>
      <c r="Q1099" t="n">
        <v>0</v>
      </c>
      <c r="R1099" s="2" t="inlineStr"/>
    </row>
    <row r="1100" ht="15" customHeight="1">
      <c r="A1100" t="inlineStr">
        <is>
          <t>A 63015-2023</t>
        </is>
      </c>
      <c r="B1100" s="1" t="n">
        <v>45272</v>
      </c>
      <c r="C1100" s="1" t="n">
        <v>46114</v>
      </c>
      <c r="D1100" t="inlineStr">
        <is>
          <t>STOCKHOLMS LÄN</t>
        </is>
      </c>
      <c r="E1100" t="inlineStr">
        <is>
          <t>NORRTÄLJE</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27831-2024</t>
        </is>
      </c>
      <c r="B1101" s="1" t="n">
        <v>45475.61896990741</v>
      </c>
      <c r="C1101" s="1" t="n">
        <v>46114</v>
      </c>
      <c r="D1101" t="inlineStr">
        <is>
          <t>STOCKHOLMS LÄN</t>
        </is>
      </c>
      <c r="E1101" t="inlineStr">
        <is>
          <t>NORRTÄLJE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33175-2024</t>
        </is>
      </c>
      <c r="B1102" s="1" t="n">
        <v>45518</v>
      </c>
      <c r="C1102" s="1" t="n">
        <v>46114</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21803-2022</t>
        </is>
      </c>
      <c r="B1103" s="1" t="n">
        <v>44708.67822916667</v>
      </c>
      <c r="C1103" s="1" t="n">
        <v>46114</v>
      </c>
      <c r="D1103" t="inlineStr">
        <is>
          <t>STOCKHOLMS LÄN</t>
        </is>
      </c>
      <c r="E1103" t="inlineStr">
        <is>
          <t>NORRTÄLJE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20730-2024</t>
        </is>
      </c>
      <c r="B1104" s="1" t="n">
        <v>45436</v>
      </c>
      <c r="C1104" s="1" t="n">
        <v>46114</v>
      </c>
      <c r="D1104" t="inlineStr">
        <is>
          <t>STOCKHOLMS LÄN</t>
        </is>
      </c>
      <c r="E1104" t="inlineStr">
        <is>
          <t>NORRTÄLJE</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12901-2024</t>
        </is>
      </c>
      <c r="B1105" s="1" t="n">
        <v>45385.37922453704</v>
      </c>
      <c r="C1105" s="1" t="n">
        <v>46114</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8950-2025</t>
        </is>
      </c>
      <c r="B1106" s="1" t="n">
        <v>45713</v>
      </c>
      <c r="C1106" s="1" t="n">
        <v>46114</v>
      </c>
      <c r="D1106" t="inlineStr">
        <is>
          <t>STOCKHOLMS LÄN</t>
        </is>
      </c>
      <c r="E1106" t="inlineStr">
        <is>
          <t>NORRTÄLJE</t>
        </is>
      </c>
      <c r="F1106" t="inlineStr">
        <is>
          <t>Övriga Aktiebolag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12301-2025</t>
        </is>
      </c>
      <c r="B1107" s="1" t="n">
        <v>45729.7271875</v>
      </c>
      <c r="C1107" s="1" t="n">
        <v>46114</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24351-2025</t>
        </is>
      </c>
      <c r="B1108" s="1" t="n">
        <v>45797.58399305555</v>
      </c>
      <c r="C1108" s="1" t="n">
        <v>46114</v>
      </c>
      <c r="D1108" t="inlineStr">
        <is>
          <t>STOCKHOLMS LÄN</t>
        </is>
      </c>
      <c r="E1108" t="inlineStr">
        <is>
          <t>NORRTÄLJE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13283-2025</t>
        </is>
      </c>
      <c r="B1109" s="1" t="n">
        <v>45735</v>
      </c>
      <c r="C1109" s="1" t="n">
        <v>46114</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24687-2025</t>
        </is>
      </c>
      <c r="B1110" s="1" t="n">
        <v>45798.66767361111</v>
      </c>
      <c r="C1110" s="1" t="n">
        <v>46114</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24638-2025</t>
        </is>
      </c>
      <c r="B1111" s="1" t="n">
        <v>45798</v>
      </c>
      <c r="C1111" s="1" t="n">
        <v>46114</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28603-2024</t>
        </is>
      </c>
      <c r="B1112" s="1" t="n">
        <v>45478.42887731481</v>
      </c>
      <c r="C1112" s="1" t="n">
        <v>46114</v>
      </c>
      <c r="D1112" t="inlineStr">
        <is>
          <t>STOCKHOLMS LÄN</t>
        </is>
      </c>
      <c r="E1112" t="inlineStr">
        <is>
          <t>NORRTÄLJE</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24690-2025</t>
        </is>
      </c>
      <c r="B1113" s="1" t="n">
        <v>45798.67082175926</v>
      </c>
      <c r="C1113" s="1" t="n">
        <v>46114</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47259-2024</t>
        </is>
      </c>
      <c r="B1114" s="1" t="n">
        <v>45586</v>
      </c>
      <c r="C1114" s="1" t="n">
        <v>46114</v>
      </c>
      <c r="D1114" t="inlineStr">
        <is>
          <t>STOCKHOLMS LÄN</t>
        </is>
      </c>
      <c r="E1114" t="inlineStr">
        <is>
          <t>NORRTÄLJE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25702-2025</t>
        </is>
      </c>
      <c r="B1115" s="1" t="n">
        <v>45800</v>
      </c>
      <c r="C1115" s="1" t="n">
        <v>46114</v>
      </c>
      <c r="D1115" t="inlineStr">
        <is>
          <t>STOCKHOLMS LÄN</t>
        </is>
      </c>
      <c r="E1115" t="inlineStr">
        <is>
          <t>NORRTÄLJE</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25712-2025</t>
        </is>
      </c>
      <c r="B1116" s="1" t="n">
        <v>45803.69228009259</v>
      </c>
      <c r="C1116" s="1" t="n">
        <v>46114</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25733-2025</t>
        </is>
      </c>
      <c r="B1117" s="1" t="n">
        <v>45800</v>
      </c>
      <c r="C1117" s="1" t="n">
        <v>46114</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39238-2024</t>
        </is>
      </c>
      <c r="B1118" s="1" t="n">
        <v>45549</v>
      </c>
      <c r="C1118" s="1" t="n">
        <v>46114</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25571-2025</t>
        </is>
      </c>
      <c r="B1119" s="1" t="n">
        <v>45803.4675</v>
      </c>
      <c r="C1119" s="1" t="n">
        <v>46114</v>
      </c>
      <c r="D1119" t="inlineStr">
        <is>
          <t>STOCKHOLMS LÄN</t>
        </is>
      </c>
      <c r="E1119" t="inlineStr">
        <is>
          <t>NORRTÄLJE</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25721-2025</t>
        </is>
      </c>
      <c r="B1120" s="1" t="n">
        <v>45800</v>
      </c>
      <c r="C1120" s="1" t="n">
        <v>46114</v>
      </c>
      <c r="D1120" t="inlineStr">
        <is>
          <t>STOCKHOLMS LÄN</t>
        </is>
      </c>
      <c r="E1120" t="inlineStr">
        <is>
          <t>NORRTÄLJE</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25697-2025</t>
        </is>
      </c>
      <c r="B1121" s="1" t="n">
        <v>45803.66587962963</v>
      </c>
      <c r="C1121" s="1" t="n">
        <v>46114</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41218-2024</t>
        </is>
      </c>
      <c r="B1122" s="1" t="n">
        <v>45559.54706018518</v>
      </c>
      <c r="C1122" s="1" t="n">
        <v>46114</v>
      </c>
      <c r="D1122" t="inlineStr">
        <is>
          <t>STOCKHOLMS LÄN</t>
        </is>
      </c>
      <c r="E1122" t="inlineStr">
        <is>
          <t>NORRTÄLJE</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38449-2022</t>
        </is>
      </c>
      <c r="B1123" s="1" t="n">
        <v>44813</v>
      </c>
      <c r="C1123" s="1" t="n">
        <v>46114</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53561-2023</t>
        </is>
      </c>
      <c r="B1124" s="1" t="n">
        <v>45224</v>
      </c>
      <c r="C1124" s="1" t="n">
        <v>46114</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26051-2025</t>
        </is>
      </c>
      <c r="B1125" s="1" t="n">
        <v>45804.74479166666</v>
      </c>
      <c r="C1125" s="1" t="n">
        <v>46114</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26708-2025</t>
        </is>
      </c>
      <c r="B1126" s="1" t="n">
        <v>45810.45633101852</v>
      </c>
      <c r="C1126" s="1" t="n">
        <v>46114</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26702-2025</t>
        </is>
      </c>
      <c r="B1127" s="1" t="n">
        <v>45810.45236111111</v>
      </c>
      <c r="C1127" s="1" t="n">
        <v>46114</v>
      </c>
      <c r="D1127" t="inlineStr">
        <is>
          <t>STOCKHOLMS LÄN</t>
        </is>
      </c>
      <c r="E1127" t="inlineStr">
        <is>
          <t>NORRTÄLJE</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23061-2025</t>
        </is>
      </c>
      <c r="B1128" s="1" t="n">
        <v>45790.81410879629</v>
      </c>
      <c r="C1128" s="1" t="n">
        <v>46114</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27040-2025</t>
        </is>
      </c>
      <c r="B1129" s="1" t="n">
        <v>45811.60451388889</v>
      </c>
      <c r="C1129" s="1" t="n">
        <v>46114</v>
      </c>
      <c r="D1129" t="inlineStr">
        <is>
          <t>STOCKHOLMS LÄN</t>
        </is>
      </c>
      <c r="E1129" t="inlineStr">
        <is>
          <t>NORRTÄLJE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26747-2025</t>
        </is>
      </c>
      <c r="B1130" s="1" t="n">
        <v>45810.5333912037</v>
      </c>
      <c r="C1130" s="1" t="n">
        <v>46114</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26675-2025</t>
        </is>
      </c>
      <c r="B1131" s="1" t="n">
        <v>45810.42393518519</v>
      </c>
      <c r="C1131" s="1" t="n">
        <v>46114</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27554-2025</t>
        </is>
      </c>
      <c r="B1132" s="1" t="n">
        <v>45813.4709375</v>
      </c>
      <c r="C1132" s="1" t="n">
        <v>46114</v>
      </c>
      <c r="D1132" t="inlineStr">
        <is>
          <t>STOCKHOLMS LÄN</t>
        </is>
      </c>
      <c r="E1132" t="inlineStr">
        <is>
          <t>NORRTÄLJE</t>
        </is>
      </c>
      <c r="F1132" t="inlineStr">
        <is>
          <t>Övriga Aktiebolag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27700-2025</t>
        </is>
      </c>
      <c r="B1133" s="1" t="n">
        <v>45813.6799537037</v>
      </c>
      <c r="C1133" s="1" t="n">
        <v>46114</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27697-2025</t>
        </is>
      </c>
      <c r="B1134" s="1" t="n">
        <v>45813.66961805556</v>
      </c>
      <c r="C1134" s="1" t="n">
        <v>46114</v>
      </c>
      <c r="D1134" t="inlineStr">
        <is>
          <t>STOCKHOLMS LÄN</t>
        </is>
      </c>
      <c r="E1134" t="inlineStr">
        <is>
          <t>NORRTÄLJE</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27802-2025</t>
        </is>
      </c>
      <c r="B1135" s="1" t="n">
        <v>45817.2565625</v>
      </c>
      <c r="C1135" s="1" t="n">
        <v>46114</v>
      </c>
      <c r="D1135" t="inlineStr">
        <is>
          <t>STOCKHOLMS LÄN</t>
        </is>
      </c>
      <c r="E1135" t="inlineStr">
        <is>
          <t>NORRTÄLJE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27806-2025</t>
        </is>
      </c>
      <c r="B1136" s="1" t="n">
        <v>45817.30329861111</v>
      </c>
      <c r="C1136" s="1" t="n">
        <v>46114</v>
      </c>
      <c r="D1136" t="inlineStr">
        <is>
          <t>STOCKHOLMS LÄN</t>
        </is>
      </c>
      <c r="E1136" t="inlineStr">
        <is>
          <t>NORRTÄLJE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27808-2025</t>
        </is>
      </c>
      <c r="B1137" s="1" t="n">
        <v>45817.31085648148</v>
      </c>
      <c r="C1137" s="1" t="n">
        <v>46114</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27810-2025</t>
        </is>
      </c>
      <c r="B1138" s="1" t="n">
        <v>45817.31708333334</v>
      </c>
      <c r="C1138" s="1" t="n">
        <v>46114</v>
      </c>
      <c r="D1138" t="inlineStr">
        <is>
          <t>STOCKHOLMS LÄN</t>
        </is>
      </c>
      <c r="E1138" t="inlineStr">
        <is>
          <t>NORRTÄLJE</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27811-2025</t>
        </is>
      </c>
      <c r="B1139" s="1" t="n">
        <v>45817.31986111111</v>
      </c>
      <c r="C1139" s="1" t="n">
        <v>46114</v>
      </c>
      <c r="D1139" t="inlineStr">
        <is>
          <t>STOCKHOLMS LÄN</t>
        </is>
      </c>
      <c r="E1139" t="inlineStr">
        <is>
          <t>NORRTÄLJE</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27818-2025</t>
        </is>
      </c>
      <c r="B1140" s="1" t="n">
        <v>45817.33503472222</v>
      </c>
      <c r="C1140" s="1" t="n">
        <v>46114</v>
      </c>
      <c r="D1140" t="inlineStr">
        <is>
          <t>STOCKHOLMS LÄN</t>
        </is>
      </c>
      <c r="E1140" t="inlineStr">
        <is>
          <t>NORRTÄLJE</t>
        </is>
      </c>
      <c r="F1140" t="inlineStr">
        <is>
          <t>Sveaskog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27801-2025</t>
        </is>
      </c>
      <c r="B1141" s="1" t="n">
        <v>45817.25471064815</v>
      </c>
      <c r="C1141" s="1" t="n">
        <v>46114</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27803-2025</t>
        </is>
      </c>
      <c r="B1142" s="1" t="n">
        <v>45817.291875</v>
      </c>
      <c r="C1142" s="1" t="n">
        <v>46114</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27813-2025</t>
        </is>
      </c>
      <c r="B1143" s="1" t="n">
        <v>45817.32538194444</v>
      </c>
      <c r="C1143" s="1" t="n">
        <v>46114</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27821-2025</t>
        </is>
      </c>
      <c r="B1144" s="1" t="n">
        <v>45817.34083333334</v>
      </c>
      <c r="C1144" s="1" t="n">
        <v>46114</v>
      </c>
      <c r="D1144" t="inlineStr">
        <is>
          <t>STOCKHOLMS LÄN</t>
        </is>
      </c>
      <c r="E1144" t="inlineStr">
        <is>
          <t>NORRTÄLJE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15528-2025</t>
        </is>
      </c>
      <c r="B1145" s="1" t="n">
        <v>45747.63471064815</v>
      </c>
      <c r="C1145" s="1" t="n">
        <v>46114</v>
      </c>
      <c r="D1145" t="inlineStr">
        <is>
          <t>STOCKHOLMS LÄN</t>
        </is>
      </c>
      <c r="E1145" t="inlineStr">
        <is>
          <t>NORRTÄLJE</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11901-2024</t>
        </is>
      </c>
      <c r="B1146" s="1" t="n">
        <v>45376.55638888889</v>
      </c>
      <c r="C1146" s="1" t="n">
        <v>46114</v>
      </c>
      <c r="D1146" t="inlineStr">
        <is>
          <t>STOCKHOLMS LÄN</t>
        </is>
      </c>
      <c r="E1146" t="inlineStr">
        <is>
          <t>NORRTÄLJE</t>
        </is>
      </c>
      <c r="F1146" t="inlineStr">
        <is>
          <t>Holmen skog AB</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44075-2023</t>
        </is>
      </c>
      <c r="B1147" s="1" t="n">
        <v>45188.41637731482</v>
      </c>
      <c r="C1147" s="1" t="n">
        <v>46114</v>
      </c>
      <c r="D1147" t="inlineStr">
        <is>
          <t>STOCKHOLMS LÄN</t>
        </is>
      </c>
      <c r="E1147" t="inlineStr">
        <is>
          <t>NORRTÄLJE</t>
        </is>
      </c>
      <c r="F1147" t="inlineStr">
        <is>
          <t>Holmen skog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29250-2025</t>
        </is>
      </c>
      <c r="B1148" s="1" t="n">
        <v>45824.37275462963</v>
      </c>
      <c r="C1148" s="1" t="n">
        <v>46114</v>
      </c>
      <c r="D1148" t="inlineStr">
        <is>
          <t>STOCKHOLMS LÄN</t>
        </is>
      </c>
      <c r="E1148" t="inlineStr">
        <is>
          <t>NORRTÄLJE</t>
        </is>
      </c>
      <c r="F1148" t="inlineStr">
        <is>
          <t>Sveaskog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30639-2025</t>
        </is>
      </c>
      <c r="B1149" s="1" t="n">
        <v>45831.4844212963</v>
      </c>
      <c r="C1149" s="1" t="n">
        <v>46114</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30668-2025</t>
        </is>
      </c>
      <c r="B1150" s="1" t="n">
        <v>45831.51659722222</v>
      </c>
      <c r="C1150" s="1" t="n">
        <v>46114</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31170-2025</t>
        </is>
      </c>
      <c r="B1151" s="1" t="n">
        <v>45832.66385416667</v>
      </c>
      <c r="C1151" s="1" t="n">
        <v>46114</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31880-2025</t>
        </is>
      </c>
      <c r="B1152" s="1" t="n">
        <v>45834.65538194445</v>
      </c>
      <c r="C1152" s="1" t="n">
        <v>46114</v>
      </c>
      <c r="D1152" t="inlineStr">
        <is>
          <t>STOCKHOLMS LÄN</t>
        </is>
      </c>
      <c r="E1152" t="inlineStr">
        <is>
          <t>NORRTÄLJE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32122-2025</t>
        </is>
      </c>
      <c r="B1153" s="1" t="n">
        <v>45835.4928125</v>
      </c>
      <c r="C1153" s="1" t="n">
        <v>46114</v>
      </c>
      <c r="D1153" t="inlineStr">
        <is>
          <t>STOCKHOLMS LÄN</t>
        </is>
      </c>
      <c r="E1153" t="inlineStr">
        <is>
          <t>NORRTÄLJE</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31868-2025</t>
        </is>
      </c>
      <c r="B1154" s="1" t="n">
        <v>45834.6447337963</v>
      </c>
      <c r="C1154" s="1" t="n">
        <v>46114</v>
      </c>
      <c r="D1154" t="inlineStr">
        <is>
          <t>STOCKHOLMS LÄN</t>
        </is>
      </c>
      <c r="E1154" t="inlineStr">
        <is>
          <t>NORRTÄLJE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6413-2025</t>
        </is>
      </c>
      <c r="B1155" s="1" t="n">
        <v>45699.46283564815</v>
      </c>
      <c r="C1155" s="1" t="n">
        <v>46114</v>
      </c>
      <c r="D1155" t="inlineStr">
        <is>
          <t>STOCKHOLMS LÄN</t>
        </is>
      </c>
      <c r="E1155" t="inlineStr">
        <is>
          <t>NORRTÄLJE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32016-2025</t>
        </is>
      </c>
      <c r="B1156" s="1" t="n">
        <v>45835</v>
      </c>
      <c r="C1156" s="1" t="n">
        <v>46114</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32283-2025</t>
        </is>
      </c>
      <c r="B1157" s="1" t="n">
        <v>45835.68076388889</v>
      </c>
      <c r="C1157" s="1" t="n">
        <v>46114</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31874-2025</t>
        </is>
      </c>
      <c r="B1158" s="1" t="n">
        <v>45834</v>
      </c>
      <c r="C1158" s="1" t="n">
        <v>46114</v>
      </c>
      <c r="D1158" t="inlineStr">
        <is>
          <t>STOCKHOLMS LÄN</t>
        </is>
      </c>
      <c r="E1158" t="inlineStr">
        <is>
          <t>NORRTÄLJE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32094-2025</t>
        </is>
      </c>
      <c r="B1159" s="1" t="n">
        <v>45835.46034722222</v>
      </c>
      <c r="C1159" s="1" t="n">
        <v>46114</v>
      </c>
      <c r="D1159" t="inlineStr">
        <is>
          <t>STOCKHOLMS LÄN</t>
        </is>
      </c>
      <c r="E1159" t="inlineStr">
        <is>
          <t>NORRTÄLJE</t>
        </is>
      </c>
      <c r="F1159" t="inlineStr">
        <is>
          <t>Holmen skog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32480-2025</t>
        </is>
      </c>
      <c r="B1160" s="1" t="n">
        <v>45838.43261574074</v>
      </c>
      <c r="C1160" s="1" t="n">
        <v>46114</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32872-2025</t>
        </is>
      </c>
      <c r="B1161" s="1" t="n">
        <v>45839</v>
      </c>
      <c r="C1161" s="1" t="n">
        <v>46114</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32903-2025</t>
        </is>
      </c>
      <c r="B1162" s="1" t="n">
        <v>45839.62398148148</v>
      </c>
      <c r="C1162" s="1" t="n">
        <v>46114</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32395-2025</t>
        </is>
      </c>
      <c r="B1163" s="1" t="n">
        <v>45837.93730324074</v>
      </c>
      <c r="C1163" s="1" t="n">
        <v>46114</v>
      </c>
      <c r="D1163" t="inlineStr">
        <is>
          <t>STOCKHOLMS LÄN</t>
        </is>
      </c>
      <c r="E1163" t="inlineStr">
        <is>
          <t>NORRTÄLJE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32396-2025</t>
        </is>
      </c>
      <c r="B1164" s="1" t="n">
        <v>45837</v>
      </c>
      <c r="C1164" s="1" t="n">
        <v>46114</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32397-2025</t>
        </is>
      </c>
      <c r="B1165" s="1" t="n">
        <v>45837.94081018519</v>
      </c>
      <c r="C1165" s="1" t="n">
        <v>46114</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33702-2025</t>
        </is>
      </c>
      <c r="B1166" s="1" t="n">
        <v>45841.74596064815</v>
      </c>
      <c r="C1166" s="1" t="n">
        <v>46114</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c r="A1167" t="inlineStr">
        <is>
          <t>A 33211-2025</t>
        </is>
      </c>
      <c r="B1167" s="1" t="n">
        <v>45840.62755787037</v>
      </c>
      <c r="C1167" s="1" t="n">
        <v>46114</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2026-04-02T10:41:55Z</dcterms:created>
  <dcterms:modified xmlns:dcterms="http://purl.org/dc/terms/" xmlns:xsi="http://www.w3.org/2001/XMLSchema-instance" xsi:type="dcterms:W3CDTF">2026-04-02T10:41:56Z</dcterms:modified>
</cp:coreProperties>
</file>