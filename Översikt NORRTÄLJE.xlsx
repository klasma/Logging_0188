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45939</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45939</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45939</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45939</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45939</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45939</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45939</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21837-2025</t>
        </is>
      </c>
      <c r="B9" s="1" t="n">
        <v>45784.32179398148</v>
      </c>
      <c r="C9" s="1" t="n">
        <v>45939</v>
      </c>
      <c r="D9" t="inlineStr">
        <is>
          <t>STOCKHOLMS LÄN</t>
        </is>
      </c>
      <c r="E9" t="inlineStr">
        <is>
          <t>NORRTÄLJE</t>
        </is>
      </c>
      <c r="G9" t="n">
        <v>6.4</v>
      </c>
      <c r="H9" t="n">
        <v>4</v>
      </c>
      <c r="I9" t="n">
        <v>10</v>
      </c>
      <c r="J9" t="n">
        <v>4</v>
      </c>
      <c r="K9" t="n">
        <v>4</v>
      </c>
      <c r="L9" t="n">
        <v>0</v>
      </c>
      <c r="M9" t="n">
        <v>0</v>
      </c>
      <c r="N9" t="n">
        <v>0</v>
      </c>
      <c r="O9" t="n">
        <v>8</v>
      </c>
      <c r="P9" t="n">
        <v>4</v>
      </c>
      <c r="Q9" t="n">
        <v>21</v>
      </c>
      <c r="R9"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9">
        <f>HYPERLINK("https://klasma.github.io/Logging_0188/artfynd/A 21837-2025 artfynd.xlsx", "A 21837-2025")</f>
        <v/>
      </c>
      <c r="T9">
        <f>HYPERLINK("https://klasma.github.io/Logging_0188/kartor/A 21837-2025 karta.png", "A 21837-2025")</f>
        <v/>
      </c>
      <c r="V9">
        <f>HYPERLINK("https://klasma.github.io/Logging_0188/klagomål/A 21837-2025 FSC-klagomål.docx", "A 21837-2025")</f>
        <v/>
      </c>
      <c r="W9">
        <f>HYPERLINK("https://klasma.github.io/Logging_0188/klagomålsmail/A 21837-2025 FSC-klagomål mail.docx", "A 21837-2025")</f>
        <v/>
      </c>
      <c r="X9">
        <f>HYPERLINK("https://klasma.github.io/Logging_0188/tillsyn/A 21837-2025 tillsynsbegäran.docx", "A 21837-2025")</f>
        <v/>
      </c>
      <c r="Y9">
        <f>HYPERLINK("https://klasma.github.io/Logging_0188/tillsynsmail/A 21837-2025 tillsynsbegäran mail.docx", "A 21837-2025")</f>
        <v/>
      </c>
    </row>
    <row r="10" ht="15" customHeight="1">
      <c r="A10" t="inlineStr">
        <is>
          <t>A 52797-2023</t>
        </is>
      </c>
      <c r="B10" s="1" t="n">
        <v>45226</v>
      </c>
      <c r="C10" s="1" t="n">
        <v>45939</v>
      </c>
      <c r="D10" t="inlineStr">
        <is>
          <t>STOCKHOLMS LÄN</t>
        </is>
      </c>
      <c r="E10" t="inlineStr">
        <is>
          <t>NORRTÄLJE</t>
        </is>
      </c>
      <c r="G10" t="n">
        <v>5.3</v>
      </c>
      <c r="H10" t="n">
        <v>3</v>
      </c>
      <c r="I10" t="n">
        <v>11</v>
      </c>
      <c r="J10" t="n">
        <v>6</v>
      </c>
      <c r="K10" t="n">
        <v>2</v>
      </c>
      <c r="L10" t="n">
        <v>0</v>
      </c>
      <c r="M10" t="n">
        <v>0</v>
      </c>
      <c r="N10" t="n">
        <v>0</v>
      </c>
      <c r="O10" t="n">
        <v>8</v>
      </c>
      <c r="P10" t="n">
        <v>2</v>
      </c>
      <c r="Q10" t="n">
        <v>21</v>
      </c>
      <c r="R1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0">
        <f>HYPERLINK("https://klasma.github.io/Logging_0188/artfynd/A 52797-2023 artfynd.xlsx", "A 52797-2023")</f>
        <v/>
      </c>
      <c r="T10">
        <f>HYPERLINK("https://klasma.github.io/Logging_0188/kartor/A 52797-2023 karta.png", "A 52797-2023")</f>
        <v/>
      </c>
      <c r="V10">
        <f>HYPERLINK("https://klasma.github.io/Logging_0188/klagomål/A 52797-2023 FSC-klagomål.docx", "A 52797-2023")</f>
        <v/>
      </c>
      <c r="W10">
        <f>HYPERLINK("https://klasma.github.io/Logging_0188/klagomålsmail/A 52797-2023 FSC-klagomål mail.docx", "A 52797-2023")</f>
        <v/>
      </c>
      <c r="X10">
        <f>HYPERLINK("https://klasma.github.io/Logging_0188/tillsyn/A 52797-2023 tillsynsbegäran.docx", "A 52797-2023")</f>
        <v/>
      </c>
      <c r="Y10">
        <f>HYPERLINK("https://klasma.github.io/Logging_0188/tillsynsmail/A 52797-2023 tillsynsbegäran mail.docx", "A 52797-2023")</f>
        <v/>
      </c>
      <c r="Z10">
        <f>HYPERLINK("https://klasma.github.io/Logging_0188/fåglar/A 52797-2023 prioriterade fågelarter.docx", "A 52797-2023")</f>
        <v/>
      </c>
    </row>
    <row r="11" ht="15" customHeight="1">
      <c r="A11" t="inlineStr">
        <is>
          <t>A 10646-2024</t>
        </is>
      </c>
      <c r="B11" s="1" t="n">
        <v>45367</v>
      </c>
      <c r="C11" s="1" t="n">
        <v>45939</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24692-2025</t>
        </is>
      </c>
      <c r="B12" s="1" t="n">
        <v>45798</v>
      </c>
      <c r="C12" s="1" t="n">
        <v>45939</v>
      </c>
      <c r="D12" t="inlineStr">
        <is>
          <t>STOCKHOLMS LÄN</t>
        </is>
      </c>
      <c r="E12" t="inlineStr">
        <is>
          <t>NORRTÄLJE</t>
        </is>
      </c>
      <c r="G12" t="n">
        <v>26.3</v>
      </c>
      <c r="H12" t="n">
        <v>3</v>
      </c>
      <c r="I12" t="n">
        <v>10</v>
      </c>
      <c r="J12" t="n">
        <v>5</v>
      </c>
      <c r="K12" t="n">
        <v>0</v>
      </c>
      <c r="L12" t="n">
        <v>2</v>
      </c>
      <c r="M12" t="n">
        <v>0</v>
      </c>
      <c r="N12" t="n">
        <v>0</v>
      </c>
      <c r="O12" t="n">
        <v>7</v>
      </c>
      <c r="P12" t="n">
        <v>2</v>
      </c>
      <c r="Q12" t="n">
        <v>18</v>
      </c>
      <c r="R12" s="2" t="inlineStr">
        <is>
          <t>Ask
Asknätfjäril
Dofttaggsvamp
Granticka
Motaggsvamp
Skrovlig taggsvamp
Vedtrappmossa
Blodticka
Bronshjon
Fjällig taggsvamp s.str.
Granbarkgnagare
Nästrot
Svavelriska
Tibast
Trådticka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30799-2025</t>
        </is>
      </c>
      <c r="B13" s="1" t="n">
        <v>45831.65079861111</v>
      </c>
      <c r="C13" s="1" t="n">
        <v>45939</v>
      </c>
      <c r="D13" t="inlineStr">
        <is>
          <t>STOCKHOLMS LÄN</t>
        </is>
      </c>
      <c r="E13" t="inlineStr">
        <is>
          <t>NORRTÄLJE</t>
        </is>
      </c>
      <c r="F13" t="inlineStr">
        <is>
          <t>Holmen skog AB</t>
        </is>
      </c>
      <c r="G13" t="n">
        <v>7.9</v>
      </c>
      <c r="H13" t="n">
        <v>1</v>
      </c>
      <c r="I13" t="n">
        <v>7</v>
      </c>
      <c r="J13" t="n">
        <v>6</v>
      </c>
      <c r="K13" t="n">
        <v>2</v>
      </c>
      <c r="L13" t="n">
        <v>0</v>
      </c>
      <c r="M13" t="n">
        <v>0</v>
      </c>
      <c r="N13" t="n">
        <v>0</v>
      </c>
      <c r="O13" t="n">
        <v>8</v>
      </c>
      <c r="P13" t="n">
        <v>2</v>
      </c>
      <c r="Q13" t="n">
        <v>16</v>
      </c>
      <c r="R1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51334-2022</t>
        </is>
      </c>
      <c r="B14" s="1" t="n">
        <v>44869</v>
      </c>
      <c r="C14" s="1" t="n">
        <v>45939</v>
      </c>
      <c r="D14" t="inlineStr">
        <is>
          <t>STOCKHOLMS LÄN</t>
        </is>
      </c>
      <c r="E14" t="inlineStr">
        <is>
          <t>NORRTÄLJE</t>
        </is>
      </c>
      <c r="F14" t="inlineStr">
        <is>
          <t>Holmen skog AB</t>
        </is>
      </c>
      <c r="G14" t="n">
        <v>8.699999999999999</v>
      </c>
      <c r="H14" t="n">
        <v>1</v>
      </c>
      <c r="I14" t="n">
        <v>7</v>
      </c>
      <c r="J14" t="n">
        <v>6</v>
      </c>
      <c r="K14" t="n">
        <v>1</v>
      </c>
      <c r="L14" t="n">
        <v>0</v>
      </c>
      <c r="M14" t="n">
        <v>0</v>
      </c>
      <c r="N14" t="n">
        <v>0</v>
      </c>
      <c r="O14" t="n">
        <v>7</v>
      </c>
      <c r="P14" t="n">
        <v>1</v>
      </c>
      <c r="Q14" t="n">
        <v>14</v>
      </c>
      <c r="R14" s="2" t="inlineStr">
        <is>
          <t>Västlig njurlav
Gränsticka
Kortskaftad ärgspik
Rödbrun blekspik
Större flatbagge
Ullticka
Vedtrappmossa
Brandticka
Bronshjon
Grön sköldmossa
Myskmadra
Skogshakmossa
Stubbspretmossa
Vedticka</t>
        </is>
      </c>
      <c r="S14">
        <f>HYPERLINK("https://klasma.github.io/Logging_0188/artfynd/A 51334-2022 artfynd.xlsx", "A 51334-2022")</f>
        <v/>
      </c>
      <c r="T14">
        <f>HYPERLINK("https://klasma.github.io/Logging_0188/kartor/A 51334-2022 karta.png", "A 51334-2022")</f>
        <v/>
      </c>
      <c r="V14">
        <f>HYPERLINK("https://klasma.github.io/Logging_0188/klagomål/A 51334-2022 FSC-klagomål.docx", "A 51334-2022")</f>
        <v/>
      </c>
      <c r="W14">
        <f>HYPERLINK("https://klasma.github.io/Logging_0188/klagomålsmail/A 51334-2022 FSC-klagomål mail.docx", "A 51334-2022")</f>
        <v/>
      </c>
      <c r="X14">
        <f>HYPERLINK("https://klasma.github.io/Logging_0188/tillsyn/A 51334-2022 tillsynsbegäran.docx", "A 51334-2022")</f>
        <v/>
      </c>
      <c r="Y14">
        <f>HYPERLINK("https://klasma.github.io/Logging_0188/tillsynsmail/A 51334-2022 tillsynsbegäran mail.docx", "A 51334-2022")</f>
        <v/>
      </c>
    </row>
    <row r="15" ht="15" customHeight="1">
      <c r="A15" t="inlineStr">
        <is>
          <t>A 21927-2025</t>
        </is>
      </c>
      <c r="B15" s="1" t="n">
        <v>45784.54878472222</v>
      </c>
      <c r="C15" s="1" t="n">
        <v>45939</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3472-2023</t>
        </is>
      </c>
      <c r="B16" s="1" t="n">
        <v>44949</v>
      </c>
      <c r="C16" s="1" t="n">
        <v>45939</v>
      </c>
      <c r="D16" t="inlineStr">
        <is>
          <t>STOCKHOLMS LÄN</t>
        </is>
      </c>
      <c r="E16" t="inlineStr">
        <is>
          <t>NORRTÄLJE</t>
        </is>
      </c>
      <c r="G16" t="n">
        <v>26.3</v>
      </c>
      <c r="H16" t="n">
        <v>1</v>
      </c>
      <c r="I16" t="n">
        <v>7</v>
      </c>
      <c r="J16" t="n">
        <v>2</v>
      </c>
      <c r="K16" t="n">
        <v>1</v>
      </c>
      <c r="L16" t="n">
        <v>0</v>
      </c>
      <c r="M16" t="n">
        <v>0</v>
      </c>
      <c r="N16" t="n">
        <v>0</v>
      </c>
      <c r="O16" t="n">
        <v>3</v>
      </c>
      <c r="P16" t="n">
        <v>1</v>
      </c>
      <c r="Q16" t="n">
        <v>11</v>
      </c>
      <c r="R16" s="2" t="inlineStr">
        <is>
          <t>Blackticka
Tallticka
Ullticka
Aspvedgnagare
Platt fjädermossa
Rävticka
Rökmusseron
Stor aspticka
Svavelriska
Vårärt
Blåsippa</t>
        </is>
      </c>
      <c r="S16">
        <f>HYPERLINK("https://klasma.github.io/Logging_0188/artfynd/A 3472-2023 artfynd.xlsx", "A 3472-2023")</f>
        <v/>
      </c>
      <c r="T16">
        <f>HYPERLINK("https://klasma.github.io/Logging_0188/kartor/A 3472-2023 karta.png", "A 3472-2023")</f>
        <v/>
      </c>
      <c r="V16">
        <f>HYPERLINK("https://klasma.github.io/Logging_0188/klagomål/A 3472-2023 FSC-klagomål.docx", "A 3472-2023")</f>
        <v/>
      </c>
      <c r="W16">
        <f>HYPERLINK("https://klasma.github.io/Logging_0188/klagomålsmail/A 3472-2023 FSC-klagomål mail.docx", "A 3472-2023")</f>
        <v/>
      </c>
      <c r="X16">
        <f>HYPERLINK("https://klasma.github.io/Logging_0188/tillsyn/A 3472-2023 tillsynsbegäran.docx", "A 3472-2023")</f>
        <v/>
      </c>
      <c r="Y16">
        <f>HYPERLINK("https://klasma.github.io/Logging_0188/tillsynsmail/A 3472-2023 tillsynsbegäran mail.docx", "A 3472-2023")</f>
        <v/>
      </c>
    </row>
    <row r="17" ht="15" customHeight="1">
      <c r="A17" t="inlineStr">
        <is>
          <t>A 20722-2024</t>
        </is>
      </c>
      <c r="B17" s="1" t="n">
        <v>45436</v>
      </c>
      <c r="C17" s="1" t="n">
        <v>45939</v>
      </c>
      <c r="D17" t="inlineStr">
        <is>
          <t>STOCKHOLMS LÄN</t>
        </is>
      </c>
      <c r="E17" t="inlineStr">
        <is>
          <t>NORRTÄLJE</t>
        </is>
      </c>
      <c r="G17" t="n">
        <v>5.2</v>
      </c>
      <c r="H17" t="n">
        <v>4</v>
      </c>
      <c r="I17" t="n">
        <v>2</v>
      </c>
      <c r="J17" t="n">
        <v>6</v>
      </c>
      <c r="K17" t="n">
        <v>1</v>
      </c>
      <c r="L17" t="n">
        <v>0</v>
      </c>
      <c r="M17" t="n">
        <v>0</v>
      </c>
      <c r="N17" t="n">
        <v>0</v>
      </c>
      <c r="O17" t="n">
        <v>7</v>
      </c>
      <c r="P17" t="n">
        <v>1</v>
      </c>
      <c r="Q17" t="n">
        <v>10</v>
      </c>
      <c r="R17" s="2" t="inlineStr">
        <is>
          <t>Knärot
Garnlav
Granticka
Gränsticka
Spillkråka
Svartvit flugsnappare
Ullticka
Bronshjon
Vågbandad barkbock
Blåsippa</t>
        </is>
      </c>
      <c r="S17">
        <f>HYPERLINK("https://klasma.github.io/Logging_0188/artfynd/A 20722-2024 artfynd.xlsx", "A 20722-2024")</f>
        <v/>
      </c>
      <c r="T17">
        <f>HYPERLINK("https://klasma.github.io/Logging_0188/kartor/A 20722-2024 karta.png", "A 20722-2024")</f>
        <v/>
      </c>
      <c r="U17">
        <f>HYPERLINK("https://klasma.github.io/Logging_0188/knärot/A 20722-2024 karta knärot.png", "A 20722-2024")</f>
        <v/>
      </c>
      <c r="V17">
        <f>HYPERLINK("https://klasma.github.io/Logging_0188/klagomål/A 20722-2024 FSC-klagomål.docx", "A 20722-2024")</f>
        <v/>
      </c>
      <c r="W17">
        <f>HYPERLINK("https://klasma.github.io/Logging_0188/klagomålsmail/A 20722-2024 FSC-klagomål mail.docx", "A 20722-2024")</f>
        <v/>
      </c>
      <c r="X17">
        <f>HYPERLINK("https://klasma.github.io/Logging_0188/tillsyn/A 20722-2024 tillsynsbegäran.docx", "A 20722-2024")</f>
        <v/>
      </c>
      <c r="Y17">
        <f>HYPERLINK("https://klasma.github.io/Logging_0188/tillsynsmail/A 20722-2024 tillsynsbegäran mail.docx", "A 20722-2024")</f>
        <v/>
      </c>
      <c r="Z17">
        <f>HYPERLINK("https://klasma.github.io/Logging_0188/fåglar/A 20722-2024 prioriterade fågelarter.docx", "A 20722-2024")</f>
        <v/>
      </c>
    </row>
    <row r="18" ht="15" customHeight="1">
      <c r="A18" t="inlineStr">
        <is>
          <t>A 11231-2021</t>
        </is>
      </c>
      <c r="B18" s="1" t="n">
        <v>44263</v>
      </c>
      <c r="C18" s="1" t="n">
        <v>45939</v>
      </c>
      <c r="D18" t="inlineStr">
        <is>
          <t>STOCKHOLMS LÄN</t>
        </is>
      </c>
      <c r="E18" t="inlineStr">
        <is>
          <t>NORRTÄLJE</t>
        </is>
      </c>
      <c r="F18" t="inlineStr">
        <is>
          <t>Holmen skog AB</t>
        </is>
      </c>
      <c r="G18" t="n">
        <v>12</v>
      </c>
      <c r="H18" t="n">
        <v>6</v>
      </c>
      <c r="I18" t="n">
        <v>2</v>
      </c>
      <c r="J18" t="n">
        <v>5</v>
      </c>
      <c r="K18" t="n">
        <v>0</v>
      </c>
      <c r="L18" t="n">
        <v>2</v>
      </c>
      <c r="M18" t="n">
        <v>0</v>
      </c>
      <c r="N18" t="n">
        <v>0</v>
      </c>
      <c r="O18" t="n">
        <v>7</v>
      </c>
      <c r="P18" t="n">
        <v>2</v>
      </c>
      <c r="Q18" t="n">
        <v>10</v>
      </c>
      <c r="R18" s="2" t="inlineStr">
        <is>
          <t>Grönfink
Tornseglare
Fiskmås
Havsörn
Motaggsvamp
Talltita
Vedskivlav
Björksplintborre
Dropptaggsvamp
Tjäder</t>
        </is>
      </c>
      <c r="S18">
        <f>HYPERLINK("https://klasma.github.io/Logging_0188/artfynd/A 11231-2021 artfynd.xlsx", "A 11231-2021")</f>
        <v/>
      </c>
      <c r="T18">
        <f>HYPERLINK("https://klasma.github.io/Logging_0188/kartor/A 11231-2021 karta.png", "A 11231-2021")</f>
        <v/>
      </c>
      <c r="V18">
        <f>HYPERLINK("https://klasma.github.io/Logging_0188/klagomål/A 11231-2021 FSC-klagomål.docx", "A 11231-2021")</f>
        <v/>
      </c>
      <c r="W18">
        <f>HYPERLINK("https://klasma.github.io/Logging_0188/klagomålsmail/A 11231-2021 FSC-klagomål mail.docx", "A 11231-2021")</f>
        <v/>
      </c>
      <c r="X18">
        <f>HYPERLINK("https://klasma.github.io/Logging_0188/tillsyn/A 11231-2021 tillsynsbegäran.docx", "A 11231-2021")</f>
        <v/>
      </c>
      <c r="Y18">
        <f>HYPERLINK("https://klasma.github.io/Logging_0188/tillsynsmail/A 11231-2021 tillsynsbegäran mail.docx", "A 11231-2021")</f>
        <v/>
      </c>
      <c r="Z18">
        <f>HYPERLINK("https://klasma.github.io/Logging_0188/fåglar/A 11231-2021 prioriterade fågelarter.docx", "A 11231-2021")</f>
        <v/>
      </c>
    </row>
    <row r="19" ht="15" customHeight="1">
      <c r="A19" t="inlineStr">
        <is>
          <t>A 44847-2023</t>
        </is>
      </c>
      <c r="B19" s="1" t="n">
        <v>45190</v>
      </c>
      <c r="C19" s="1" t="n">
        <v>45939</v>
      </c>
      <c r="D19" t="inlineStr">
        <is>
          <t>STOCKHOLMS LÄN</t>
        </is>
      </c>
      <c r="E19" t="inlineStr">
        <is>
          <t>NORRTÄLJE</t>
        </is>
      </c>
      <c r="G19" t="n">
        <v>8.5</v>
      </c>
      <c r="H19" t="n">
        <v>10</v>
      </c>
      <c r="I19" t="n">
        <v>0</v>
      </c>
      <c r="J19" t="n">
        <v>4</v>
      </c>
      <c r="K19" t="n">
        <v>4</v>
      </c>
      <c r="L19" t="n">
        <v>1</v>
      </c>
      <c r="M19" t="n">
        <v>0</v>
      </c>
      <c r="N19" t="n">
        <v>0</v>
      </c>
      <c r="O19" t="n">
        <v>9</v>
      </c>
      <c r="P19" t="n">
        <v>5</v>
      </c>
      <c r="Q19" t="n">
        <v>10</v>
      </c>
      <c r="R19" s="2" t="inlineStr">
        <is>
          <t>Ejder
Gråtrut
Havstrut
Knärot
Stare
Fiskmås
Havsörn
Skrattmås
Strandskata
Gråkråka</t>
        </is>
      </c>
      <c r="S19">
        <f>HYPERLINK("https://klasma.github.io/Logging_0188/artfynd/A 44847-2023 artfynd.xlsx", "A 44847-2023")</f>
        <v/>
      </c>
      <c r="T19">
        <f>HYPERLINK("https://klasma.github.io/Logging_0188/kartor/A 44847-2023 karta.png", "A 44847-2023")</f>
        <v/>
      </c>
      <c r="U19">
        <f>HYPERLINK("https://klasma.github.io/Logging_0188/knärot/A 44847-2023 karta knärot.png", "A 44847-2023")</f>
        <v/>
      </c>
      <c r="V19">
        <f>HYPERLINK("https://klasma.github.io/Logging_0188/klagomål/A 44847-2023 FSC-klagomål.docx", "A 44847-2023")</f>
        <v/>
      </c>
      <c r="W19">
        <f>HYPERLINK("https://klasma.github.io/Logging_0188/klagomålsmail/A 44847-2023 FSC-klagomål mail.docx", "A 44847-2023")</f>
        <v/>
      </c>
      <c r="X19">
        <f>HYPERLINK("https://klasma.github.io/Logging_0188/tillsyn/A 44847-2023 tillsynsbegäran.docx", "A 44847-2023")</f>
        <v/>
      </c>
      <c r="Y19">
        <f>HYPERLINK("https://klasma.github.io/Logging_0188/tillsynsmail/A 44847-2023 tillsynsbegäran mail.docx", "A 44847-2023")</f>
        <v/>
      </c>
      <c r="Z19">
        <f>HYPERLINK("https://klasma.github.io/Logging_0188/fåglar/A 44847-2023 prioriterade fågelarter.docx", "A 44847-2023")</f>
        <v/>
      </c>
    </row>
    <row r="20" ht="15" customHeight="1">
      <c r="A20" t="inlineStr">
        <is>
          <t>A 47274-2024</t>
        </is>
      </c>
      <c r="B20" s="1" t="n">
        <v>45586.88145833334</v>
      </c>
      <c r="C20" s="1" t="n">
        <v>45939</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50326-2024</t>
        </is>
      </c>
      <c r="B21" s="1" t="n">
        <v>45600</v>
      </c>
      <c r="C21" s="1" t="n">
        <v>45939</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73093-2021</t>
        </is>
      </c>
      <c r="B22" s="1" t="n">
        <v>44550</v>
      </c>
      <c r="C22" s="1" t="n">
        <v>45939</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45939</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59582-2024</t>
        </is>
      </c>
      <c r="B24" s="1" t="n">
        <v>45638</v>
      </c>
      <c r="C24" s="1" t="n">
        <v>45939</v>
      </c>
      <c r="D24" t="inlineStr">
        <is>
          <t>STOCKHOLMS LÄN</t>
        </is>
      </c>
      <c r="E24" t="inlineStr">
        <is>
          <t>NORRTÄLJE</t>
        </is>
      </c>
      <c r="F24" t="inlineStr">
        <is>
          <t>Holmen skog AB</t>
        </is>
      </c>
      <c r="G24" t="n">
        <v>2.7</v>
      </c>
      <c r="H24" t="n">
        <v>3</v>
      </c>
      <c r="I24" t="n">
        <v>4</v>
      </c>
      <c r="J24" t="n">
        <v>3</v>
      </c>
      <c r="K24" t="n">
        <v>0</v>
      </c>
      <c r="L24" t="n">
        <v>0</v>
      </c>
      <c r="M24" t="n">
        <v>0</v>
      </c>
      <c r="N24" t="n">
        <v>0</v>
      </c>
      <c r="O24" t="n">
        <v>3</v>
      </c>
      <c r="P24" t="n">
        <v>0</v>
      </c>
      <c r="Q24" t="n">
        <v>8</v>
      </c>
      <c r="R24" s="2" t="inlineStr">
        <is>
          <t>Duvhök
Skogshare
Spillkråka
Bronshjon
Granbräken
Spädstarr
Vågbandad barkbock
Revlummer</t>
        </is>
      </c>
      <c r="S24">
        <f>HYPERLINK("https://klasma.github.io/Logging_0188/artfynd/A 59582-2024 artfynd.xlsx", "A 59582-2024")</f>
        <v/>
      </c>
      <c r="T24">
        <f>HYPERLINK("https://klasma.github.io/Logging_0188/kartor/A 59582-2024 karta.png", "A 59582-2024")</f>
        <v/>
      </c>
      <c r="V24">
        <f>HYPERLINK("https://klasma.github.io/Logging_0188/klagomål/A 59582-2024 FSC-klagomål.docx", "A 59582-2024")</f>
        <v/>
      </c>
      <c r="W24">
        <f>HYPERLINK("https://klasma.github.io/Logging_0188/klagomålsmail/A 59582-2024 FSC-klagomål mail.docx", "A 59582-2024")</f>
        <v/>
      </c>
      <c r="X24">
        <f>HYPERLINK("https://klasma.github.io/Logging_0188/tillsyn/A 59582-2024 tillsynsbegäran.docx", "A 59582-2024")</f>
        <v/>
      </c>
      <c r="Y24">
        <f>HYPERLINK("https://klasma.github.io/Logging_0188/tillsynsmail/A 59582-2024 tillsynsbegäran mail.docx", "A 59582-2024")</f>
        <v/>
      </c>
      <c r="Z24">
        <f>HYPERLINK("https://klasma.github.io/Logging_0188/fåglar/A 59582-2024 prioriterade fågelarter.docx", "A 59582-2024")</f>
        <v/>
      </c>
    </row>
    <row r="25" ht="15" customHeight="1">
      <c r="A25" t="inlineStr">
        <is>
          <t>A 4705-2025</t>
        </is>
      </c>
      <c r="B25" s="1" t="n">
        <v>45688.38224537037</v>
      </c>
      <c r="C25" s="1" t="n">
        <v>45939</v>
      </c>
      <c r="D25" t="inlineStr">
        <is>
          <t>STOCKHOLMS LÄN</t>
        </is>
      </c>
      <c r="E25" t="inlineStr">
        <is>
          <t>NORRTÄLJE</t>
        </is>
      </c>
      <c r="G25" t="n">
        <v>5.7</v>
      </c>
      <c r="H25" t="n">
        <v>0</v>
      </c>
      <c r="I25" t="n">
        <v>5</v>
      </c>
      <c r="J25" t="n">
        <v>3</v>
      </c>
      <c r="K25" t="n">
        <v>0</v>
      </c>
      <c r="L25" t="n">
        <v>0</v>
      </c>
      <c r="M25" t="n">
        <v>0</v>
      </c>
      <c r="N25" t="n">
        <v>0</v>
      </c>
      <c r="O25" t="n">
        <v>3</v>
      </c>
      <c r="P25" t="n">
        <v>0</v>
      </c>
      <c r="Q25" t="n">
        <v>8</v>
      </c>
      <c r="R25" s="2" t="inlineStr">
        <is>
          <t>Dofttaggsvamp
Granticka
Ullticka
Fjällig taggsvamp s.str.
Skarp dropptaggsvamp
Sårläka
Thomsons trägnagare
Tibast</t>
        </is>
      </c>
      <c r="S25">
        <f>HYPERLINK("https://klasma.github.io/Logging_0188/artfynd/A 4705-2025 artfynd.xlsx", "A 4705-2025")</f>
        <v/>
      </c>
      <c r="T25">
        <f>HYPERLINK("https://klasma.github.io/Logging_0188/kartor/A 4705-2025 karta.png", "A 4705-2025")</f>
        <v/>
      </c>
      <c r="V25">
        <f>HYPERLINK("https://klasma.github.io/Logging_0188/klagomål/A 4705-2025 FSC-klagomål.docx", "A 4705-2025")</f>
        <v/>
      </c>
      <c r="W25">
        <f>HYPERLINK("https://klasma.github.io/Logging_0188/klagomålsmail/A 4705-2025 FSC-klagomål mail.docx", "A 4705-2025")</f>
        <v/>
      </c>
      <c r="X25">
        <f>HYPERLINK("https://klasma.github.io/Logging_0188/tillsyn/A 4705-2025 tillsynsbegäran.docx", "A 4705-2025")</f>
        <v/>
      </c>
      <c r="Y25">
        <f>HYPERLINK("https://klasma.github.io/Logging_0188/tillsynsmail/A 4705-2025 tillsynsbegäran mail.docx", "A 4705-2025")</f>
        <v/>
      </c>
    </row>
    <row r="26" ht="15" customHeight="1">
      <c r="A26" t="inlineStr">
        <is>
          <t>A 45811-2022</t>
        </is>
      </c>
      <c r="B26" s="1" t="n">
        <v>44846</v>
      </c>
      <c r="C26" s="1" t="n">
        <v>45939</v>
      </c>
      <c r="D26" t="inlineStr">
        <is>
          <t>STOCKHOLMS LÄN</t>
        </is>
      </c>
      <c r="E26" t="inlineStr">
        <is>
          <t>NORRTÄLJE</t>
        </is>
      </c>
      <c r="G26" t="n">
        <v>0.8</v>
      </c>
      <c r="H26" t="n">
        <v>0</v>
      </c>
      <c r="I26" t="n">
        <v>5</v>
      </c>
      <c r="J26" t="n">
        <v>0</v>
      </c>
      <c r="K26" t="n">
        <v>0</v>
      </c>
      <c r="L26" t="n">
        <v>1</v>
      </c>
      <c r="M26" t="n">
        <v>1</v>
      </c>
      <c r="N26" t="n">
        <v>0</v>
      </c>
      <c r="O26" t="n">
        <v>2</v>
      </c>
      <c r="P26" t="n">
        <v>2</v>
      </c>
      <c r="Q26" t="n">
        <v>7</v>
      </c>
      <c r="R26" s="2" t="inlineStr">
        <is>
          <t>Skogsalm
Ask
Hässleklocka
Myskmadra
Strävlosta
Tibast
Underviol</t>
        </is>
      </c>
      <c r="S26">
        <f>HYPERLINK("https://klasma.github.io/Logging_0188/artfynd/A 45811-2022 artfynd.xlsx", "A 45811-2022")</f>
        <v/>
      </c>
      <c r="T26">
        <f>HYPERLINK("https://klasma.github.io/Logging_0188/kartor/A 45811-2022 karta.png", "A 45811-2022")</f>
        <v/>
      </c>
      <c r="V26">
        <f>HYPERLINK("https://klasma.github.io/Logging_0188/klagomål/A 45811-2022 FSC-klagomål.docx", "A 45811-2022")</f>
        <v/>
      </c>
      <c r="W26">
        <f>HYPERLINK("https://klasma.github.io/Logging_0188/klagomålsmail/A 45811-2022 FSC-klagomål mail.docx", "A 45811-2022")</f>
        <v/>
      </c>
      <c r="X26">
        <f>HYPERLINK("https://klasma.github.io/Logging_0188/tillsyn/A 45811-2022 tillsynsbegäran.docx", "A 45811-2022")</f>
        <v/>
      </c>
      <c r="Y26">
        <f>HYPERLINK("https://klasma.github.io/Logging_0188/tillsynsmail/A 45811-2022 tillsynsbegäran mail.docx", "A 45811-2022")</f>
        <v/>
      </c>
    </row>
    <row r="27" ht="15" customHeight="1">
      <c r="A27" t="inlineStr">
        <is>
          <t>A 48490-2022</t>
        </is>
      </c>
      <c r="B27" s="1" t="n">
        <v>44858</v>
      </c>
      <c r="C27" s="1" t="n">
        <v>45939</v>
      </c>
      <c r="D27" t="inlineStr">
        <is>
          <t>STOCKHOLMS LÄN</t>
        </is>
      </c>
      <c r="E27" t="inlineStr">
        <is>
          <t>NORRTÄLJE</t>
        </is>
      </c>
      <c r="G27" t="n">
        <v>15.8</v>
      </c>
      <c r="H27" t="n">
        <v>2</v>
      </c>
      <c r="I27" t="n">
        <v>6</v>
      </c>
      <c r="J27" t="n">
        <v>0</v>
      </c>
      <c r="K27" t="n">
        <v>0</v>
      </c>
      <c r="L27" t="n">
        <v>0</v>
      </c>
      <c r="M27" t="n">
        <v>0</v>
      </c>
      <c r="N27" t="n">
        <v>0</v>
      </c>
      <c r="O27" t="n">
        <v>0</v>
      </c>
      <c r="P27" t="n">
        <v>0</v>
      </c>
      <c r="Q27" t="n">
        <v>7</v>
      </c>
      <c r="R27" s="2" t="inlineStr">
        <is>
          <t>Kragjordstjärna
Skogsknipprot
Svart trolldruva
Svavelriska
Tibast
Vårärt
Blåsippa</t>
        </is>
      </c>
      <c r="S27">
        <f>HYPERLINK("https://klasma.github.io/Logging_0188/artfynd/A 48490-2022 artfynd.xlsx", "A 48490-2022")</f>
        <v/>
      </c>
      <c r="T27">
        <f>HYPERLINK("https://klasma.github.io/Logging_0188/kartor/A 48490-2022 karta.png", "A 48490-2022")</f>
        <v/>
      </c>
      <c r="V27">
        <f>HYPERLINK("https://klasma.github.io/Logging_0188/klagomål/A 48490-2022 FSC-klagomål.docx", "A 48490-2022")</f>
        <v/>
      </c>
      <c r="W27">
        <f>HYPERLINK("https://klasma.github.io/Logging_0188/klagomålsmail/A 48490-2022 FSC-klagomål mail.docx", "A 48490-2022")</f>
        <v/>
      </c>
      <c r="X27">
        <f>HYPERLINK("https://klasma.github.io/Logging_0188/tillsyn/A 48490-2022 tillsynsbegäran.docx", "A 48490-2022")</f>
        <v/>
      </c>
      <c r="Y27">
        <f>HYPERLINK("https://klasma.github.io/Logging_0188/tillsynsmail/A 48490-2022 tillsynsbegäran mail.docx", "A 48490-2022")</f>
        <v/>
      </c>
    </row>
    <row r="28" ht="15" customHeight="1">
      <c r="A28" t="inlineStr">
        <is>
          <t>A 47346-2021</t>
        </is>
      </c>
      <c r="B28" s="1" t="n">
        <v>44447</v>
      </c>
      <c r="C28" s="1" t="n">
        <v>45939</v>
      </c>
      <c r="D28" t="inlineStr">
        <is>
          <t>STOCKHOLMS LÄN</t>
        </is>
      </c>
      <c r="E28" t="inlineStr">
        <is>
          <t>NORRTÄLJE</t>
        </is>
      </c>
      <c r="G28" t="n">
        <v>5.5</v>
      </c>
      <c r="H28" t="n">
        <v>1</v>
      </c>
      <c r="I28" t="n">
        <v>4</v>
      </c>
      <c r="J28" t="n">
        <v>0</v>
      </c>
      <c r="K28" t="n">
        <v>2</v>
      </c>
      <c r="L28" t="n">
        <v>0</v>
      </c>
      <c r="M28" t="n">
        <v>0</v>
      </c>
      <c r="N28" t="n">
        <v>0</v>
      </c>
      <c r="O28" t="n">
        <v>2</v>
      </c>
      <c r="P28" t="n">
        <v>2</v>
      </c>
      <c r="Q28" t="n">
        <v>7</v>
      </c>
      <c r="R28" s="2" t="inlineStr">
        <is>
          <t>Grangråticka
Violgubbe
Anisspindling
Fjällig taggsvamp s.str.
Skarp dropptaggsvamp
Toppvaxing
Revlummer</t>
        </is>
      </c>
      <c r="S28">
        <f>HYPERLINK("https://klasma.github.io/Logging_0188/artfynd/A 47346-2021 artfynd.xlsx", "A 47346-2021")</f>
        <v/>
      </c>
      <c r="T28">
        <f>HYPERLINK("https://klasma.github.io/Logging_0188/kartor/A 47346-2021 karta.png", "A 47346-2021")</f>
        <v/>
      </c>
      <c r="V28">
        <f>HYPERLINK("https://klasma.github.io/Logging_0188/klagomål/A 47346-2021 FSC-klagomål.docx", "A 47346-2021")</f>
        <v/>
      </c>
      <c r="W28">
        <f>HYPERLINK("https://klasma.github.io/Logging_0188/klagomålsmail/A 47346-2021 FSC-klagomål mail.docx", "A 47346-2021")</f>
        <v/>
      </c>
      <c r="X28">
        <f>HYPERLINK("https://klasma.github.io/Logging_0188/tillsyn/A 47346-2021 tillsynsbegäran.docx", "A 47346-2021")</f>
        <v/>
      </c>
      <c r="Y28">
        <f>HYPERLINK("https://klasma.github.io/Logging_0188/tillsynsmail/A 47346-2021 tillsynsbegäran mail.docx", "A 47346-2021")</f>
        <v/>
      </c>
    </row>
    <row r="29" ht="15" customHeight="1">
      <c r="A29" t="inlineStr">
        <is>
          <t>A 13933-2022</t>
        </is>
      </c>
      <c r="B29" s="1" t="n">
        <v>44650</v>
      </c>
      <c r="C29" s="1" t="n">
        <v>45939</v>
      </c>
      <c r="D29" t="inlineStr">
        <is>
          <t>STOCKHOLMS LÄN</t>
        </is>
      </c>
      <c r="E29" t="inlineStr">
        <is>
          <t>NORRTÄLJE</t>
        </is>
      </c>
      <c r="G29" t="n">
        <v>4.4</v>
      </c>
      <c r="H29" t="n">
        <v>3</v>
      </c>
      <c r="I29" t="n">
        <v>5</v>
      </c>
      <c r="J29" t="n">
        <v>1</v>
      </c>
      <c r="K29" t="n">
        <v>0</v>
      </c>
      <c r="L29" t="n">
        <v>0</v>
      </c>
      <c r="M29" t="n">
        <v>0</v>
      </c>
      <c r="N29" t="n">
        <v>0</v>
      </c>
      <c r="O29" t="n">
        <v>1</v>
      </c>
      <c r="P29" t="n">
        <v>0</v>
      </c>
      <c r="Q29" t="n">
        <v>7</v>
      </c>
      <c r="R29" s="2" t="inlineStr">
        <is>
          <t>Ullticka
Grön sköldmossa
Nästrot
Skogshakmossa
Tibast
Ögonpyrola
Blåsippa</t>
        </is>
      </c>
      <c r="S29">
        <f>HYPERLINK("https://klasma.github.io/Logging_0188/artfynd/A 13933-2022 artfynd.xlsx", "A 13933-2022")</f>
        <v/>
      </c>
      <c r="T29">
        <f>HYPERLINK("https://klasma.github.io/Logging_0188/kartor/A 13933-2022 karta.png", "A 13933-2022")</f>
        <v/>
      </c>
      <c r="V29">
        <f>HYPERLINK("https://klasma.github.io/Logging_0188/klagomål/A 13933-2022 FSC-klagomål.docx", "A 13933-2022")</f>
        <v/>
      </c>
      <c r="W29">
        <f>HYPERLINK("https://klasma.github.io/Logging_0188/klagomålsmail/A 13933-2022 FSC-klagomål mail.docx", "A 13933-2022")</f>
        <v/>
      </c>
      <c r="X29">
        <f>HYPERLINK("https://klasma.github.io/Logging_0188/tillsyn/A 13933-2022 tillsynsbegäran.docx", "A 13933-2022")</f>
        <v/>
      </c>
      <c r="Y29">
        <f>HYPERLINK("https://klasma.github.io/Logging_0188/tillsynsmail/A 13933-2022 tillsynsbegäran mail.docx", "A 13933-2022")</f>
        <v/>
      </c>
    </row>
    <row r="30" ht="15" customHeight="1">
      <c r="A30" t="inlineStr">
        <is>
          <t>A 25732-2025</t>
        </is>
      </c>
      <c r="B30" s="1" t="n">
        <v>45800</v>
      </c>
      <c r="C30" s="1" t="n">
        <v>45939</v>
      </c>
      <c r="D30" t="inlineStr">
        <is>
          <t>STOCKHOLMS LÄN</t>
        </is>
      </c>
      <c r="E30" t="inlineStr">
        <is>
          <t>NORRTÄLJE</t>
        </is>
      </c>
      <c r="G30" t="n">
        <v>7.4</v>
      </c>
      <c r="H30" t="n">
        <v>3</v>
      </c>
      <c r="I30" t="n">
        <v>3</v>
      </c>
      <c r="J30" t="n">
        <v>2</v>
      </c>
      <c r="K30" t="n">
        <v>1</v>
      </c>
      <c r="L30" t="n">
        <v>0</v>
      </c>
      <c r="M30" t="n">
        <v>0</v>
      </c>
      <c r="N30" t="n">
        <v>0</v>
      </c>
      <c r="O30" t="n">
        <v>3</v>
      </c>
      <c r="P30" t="n">
        <v>1</v>
      </c>
      <c r="Q30" t="n">
        <v>7</v>
      </c>
      <c r="R30" s="2" t="inlineStr">
        <is>
          <t>Knärot
Blå taggsvamp
Skrovlig taggsvamp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15278-2024</t>
        </is>
      </c>
      <c r="B31" s="1" t="n">
        <v>45400.5958912037</v>
      </c>
      <c r="C31" s="1" t="n">
        <v>45939</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34528-2025</t>
        </is>
      </c>
      <c r="B32" s="1" t="n">
        <v>45847.48436342592</v>
      </c>
      <c r="C32" s="1" t="n">
        <v>45939</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45939</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72111-2021</t>
        </is>
      </c>
      <c r="B34" s="1" t="n">
        <v>44544</v>
      </c>
      <c r="C34" s="1" t="n">
        <v>45939</v>
      </c>
      <c r="D34" t="inlineStr">
        <is>
          <t>STOCKHOLMS LÄN</t>
        </is>
      </c>
      <c r="E34" t="inlineStr">
        <is>
          <t>NORRTÄLJE</t>
        </is>
      </c>
      <c r="G34" t="n">
        <v>5.1</v>
      </c>
      <c r="H34" t="n">
        <v>1</v>
      </c>
      <c r="I34" t="n">
        <v>3</v>
      </c>
      <c r="J34" t="n">
        <v>1</v>
      </c>
      <c r="K34" t="n">
        <v>0</v>
      </c>
      <c r="L34" t="n">
        <v>0</v>
      </c>
      <c r="M34" t="n">
        <v>0</v>
      </c>
      <c r="N34" t="n">
        <v>0</v>
      </c>
      <c r="O34" t="n">
        <v>1</v>
      </c>
      <c r="P34" t="n">
        <v>0</v>
      </c>
      <c r="Q34" t="n">
        <v>5</v>
      </c>
      <c r="R34" s="2" t="inlineStr">
        <is>
          <t>Lunglav
Scharlakansvårskål agg.
Sårläka
Vårärt
Blåsippa</t>
        </is>
      </c>
      <c r="S34">
        <f>HYPERLINK("https://klasma.github.io/Logging_0188/artfynd/A 72111-2021 artfynd.xlsx", "A 72111-2021")</f>
        <v/>
      </c>
      <c r="T34">
        <f>HYPERLINK("https://klasma.github.io/Logging_0188/kartor/A 72111-2021 karta.png", "A 72111-2021")</f>
        <v/>
      </c>
      <c r="V34">
        <f>HYPERLINK("https://klasma.github.io/Logging_0188/klagomål/A 72111-2021 FSC-klagomål.docx", "A 72111-2021")</f>
        <v/>
      </c>
      <c r="W34">
        <f>HYPERLINK("https://klasma.github.io/Logging_0188/klagomålsmail/A 72111-2021 FSC-klagomål mail.docx", "A 72111-2021")</f>
        <v/>
      </c>
      <c r="X34">
        <f>HYPERLINK("https://klasma.github.io/Logging_0188/tillsyn/A 72111-2021 tillsynsbegäran.docx", "A 72111-2021")</f>
        <v/>
      </c>
      <c r="Y34">
        <f>HYPERLINK("https://klasma.github.io/Logging_0188/tillsynsmail/A 72111-2021 tillsynsbegäran mail.docx", "A 72111-2021")</f>
        <v/>
      </c>
    </row>
    <row r="35" ht="15" customHeight="1">
      <c r="A35" t="inlineStr">
        <is>
          <t>A 21922-2023</t>
        </is>
      </c>
      <c r="B35" s="1" t="n">
        <v>45068</v>
      </c>
      <c r="C35" s="1" t="n">
        <v>45939</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15804-2025</t>
        </is>
      </c>
      <c r="B36" s="1" t="n">
        <v>45748.6521875</v>
      </c>
      <c r="C36" s="1" t="n">
        <v>45939</v>
      </c>
      <c r="D36" t="inlineStr">
        <is>
          <t>STOCKHOLMS LÄN</t>
        </is>
      </c>
      <c r="E36" t="inlineStr">
        <is>
          <t>NORRTÄLJE</t>
        </is>
      </c>
      <c r="F36" t="inlineStr">
        <is>
          <t>Holmen skog AB</t>
        </is>
      </c>
      <c r="G36" t="n">
        <v>1.7</v>
      </c>
      <c r="H36" t="n">
        <v>1</v>
      </c>
      <c r="I36" t="n">
        <v>1</v>
      </c>
      <c r="J36" t="n">
        <v>3</v>
      </c>
      <c r="K36" t="n">
        <v>0</v>
      </c>
      <c r="L36" t="n">
        <v>1</v>
      </c>
      <c r="M36" t="n">
        <v>0</v>
      </c>
      <c r="N36" t="n">
        <v>0</v>
      </c>
      <c r="O36" t="n">
        <v>4</v>
      </c>
      <c r="P36" t="n">
        <v>1</v>
      </c>
      <c r="Q36" t="n">
        <v>5</v>
      </c>
      <c r="R36" s="2" t="inlineStr">
        <is>
          <t>Asknätfjäril
Gullklöver
Skogsklocka
Slåtterfibbla
Spetsvaxing</t>
        </is>
      </c>
      <c r="S36">
        <f>HYPERLINK("https://klasma.github.io/Logging_0188/artfynd/A 15804-2025 artfynd.xlsx", "A 15804-2025")</f>
        <v/>
      </c>
      <c r="T36">
        <f>HYPERLINK("https://klasma.github.io/Logging_0188/kartor/A 15804-2025 karta.png", "A 15804-2025")</f>
        <v/>
      </c>
      <c r="V36">
        <f>HYPERLINK("https://klasma.github.io/Logging_0188/klagomål/A 15804-2025 FSC-klagomål.docx", "A 15804-2025")</f>
        <v/>
      </c>
      <c r="W36">
        <f>HYPERLINK("https://klasma.github.io/Logging_0188/klagomålsmail/A 15804-2025 FSC-klagomål mail.docx", "A 15804-2025")</f>
        <v/>
      </c>
      <c r="X36">
        <f>HYPERLINK("https://klasma.github.io/Logging_0188/tillsyn/A 15804-2025 tillsynsbegäran.docx", "A 15804-2025")</f>
        <v/>
      </c>
      <c r="Y36">
        <f>HYPERLINK("https://klasma.github.io/Logging_0188/tillsynsmail/A 15804-2025 tillsynsbegäran mail.docx", "A 15804-2025")</f>
        <v/>
      </c>
    </row>
    <row r="37" ht="15" customHeight="1">
      <c r="A37" t="inlineStr">
        <is>
          <t>A 30687-2025</t>
        </is>
      </c>
      <c r="B37" s="1" t="n">
        <v>45831.53390046296</v>
      </c>
      <c r="C37" s="1" t="n">
        <v>45939</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22071-2022</t>
        </is>
      </c>
      <c r="B38" s="1" t="n">
        <v>44711</v>
      </c>
      <c r="C38" s="1" t="n">
        <v>45939</v>
      </c>
      <c r="D38" t="inlineStr">
        <is>
          <t>STOCKHOLMS LÄN</t>
        </is>
      </c>
      <c r="E38" t="inlineStr">
        <is>
          <t>NORRTÄLJE</t>
        </is>
      </c>
      <c r="G38" t="n">
        <v>7</v>
      </c>
      <c r="H38" t="n">
        <v>1</v>
      </c>
      <c r="I38" t="n">
        <v>2</v>
      </c>
      <c r="J38" t="n">
        <v>2</v>
      </c>
      <c r="K38" t="n">
        <v>0</v>
      </c>
      <c r="L38" t="n">
        <v>0</v>
      </c>
      <c r="M38" t="n">
        <v>0</v>
      </c>
      <c r="N38" t="n">
        <v>0</v>
      </c>
      <c r="O38" t="n">
        <v>2</v>
      </c>
      <c r="P38" t="n">
        <v>0</v>
      </c>
      <c r="Q38" t="n">
        <v>4</v>
      </c>
      <c r="R38" s="2" t="inlineStr">
        <is>
          <t>Spillkråka
Vedskivlav
Björksplintborre
Kattfotslav</t>
        </is>
      </c>
      <c r="S38">
        <f>HYPERLINK("https://klasma.github.io/Logging_0188/artfynd/A 22071-2022 artfynd.xlsx", "A 22071-2022")</f>
        <v/>
      </c>
      <c r="T38">
        <f>HYPERLINK("https://klasma.github.io/Logging_0188/kartor/A 22071-2022 karta.png", "A 22071-2022")</f>
        <v/>
      </c>
      <c r="V38">
        <f>HYPERLINK("https://klasma.github.io/Logging_0188/klagomål/A 22071-2022 FSC-klagomål.docx", "A 22071-2022")</f>
        <v/>
      </c>
      <c r="W38">
        <f>HYPERLINK("https://klasma.github.io/Logging_0188/klagomålsmail/A 22071-2022 FSC-klagomål mail.docx", "A 22071-2022")</f>
        <v/>
      </c>
      <c r="X38">
        <f>HYPERLINK("https://klasma.github.io/Logging_0188/tillsyn/A 22071-2022 tillsynsbegäran.docx", "A 22071-2022")</f>
        <v/>
      </c>
      <c r="Y38">
        <f>HYPERLINK("https://klasma.github.io/Logging_0188/tillsynsmail/A 22071-2022 tillsynsbegäran mail.docx", "A 22071-2022")</f>
        <v/>
      </c>
      <c r="Z38">
        <f>HYPERLINK("https://klasma.github.io/Logging_0188/fåglar/A 22071-2022 prioriterade fågelarter.docx", "A 22071-2022")</f>
        <v/>
      </c>
    </row>
    <row r="39" ht="15" customHeight="1">
      <c r="A39" t="inlineStr">
        <is>
          <t>A 10876-2025</t>
        </is>
      </c>
      <c r="B39" s="1" t="n">
        <v>45722</v>
      </c>
      <c r="C39" s="1" t="n">
        <v>45939</v>
      </c>
      <c r="D39" t="inlineStr">
        <is>
          <t>STOCKHOLMS LÄN</t>
        </is>
      </c>
      <c r="E39" t="inlineStr">
        <is>
          <t>NORRTÄLJE</t>
        </is>
      </c>
      <c r="F39" t="inlineStr">
        <is>
          <t>Holmen skog AB</t>
        </is>
      </c>
      <c r="G39" t="n">
        <v>9.300000000000001</v>
      </c>
      <c r="H39" t="n">
        <v>4</v>
      </c>
      <c r="I39" t="n">
        <v>0</v>
      </c>
      <c r="J39" t="n">
        <v>1</v>
      </c>
      <c r="K39" t="n">
        <v>1</v>
      </c>
      <c r="L39" t="n">
        <v>1</v>
      </c>
      <c r="M39" t="n">
        <v>0</v>
      </c>
      <c r="N39" t="n">
        <v>0</v>
      </c>
      <c r="O39" t="n">
        <v>3</v>
      </c>
      <c r="P39" t="n">
        <v>2</v>
      </c>
      <c r="Q39" t="n">
        <v>4</v>
      </c>
      <c r="R39" s="2" t="inlineStr">
        <is>
          <t>Asknätfjäril
Hällebräcka
Utter
Gullviva</t>
        </is>
      </c>
      <c r="S39">
        <f>HYPERLINK("https://klasma.github.io/Logging_0188/artfynd/A 10876-2025 artfynd.xlsx", "A 10876-2025")</f>
        <v/>
      </c>
      <c r="T39">
        <f>HYPERLINK("https://klasma.github.io/Logging_0188/kartor/A 10876-2025 karta.png", "A 10876-2025")</f>
        <v/>
      </c>
      <c r="V39">
        <f>HYPERLINK("https://klasma.github.io/Logging_0188/klagomål/A 10876-2025 FSC-klagomål.docx", "A 10876-2025")</f>
        <v/>
      </c>
      <c r="W39">
        <f>HYPERLINK("https://klasma.github.io/Logging_0188/klagomålsmail/A 10876-2025 FSC-klagomål mail.docx", "A 10876-2025")</f>
        <v/>
      </c>
      <c r="X39">
        <f>HYPERLINK("https://klasma.github.io/Logging_0188/tillsyn/A 10876-2025 tillsynsbegäran.docx", "A 10876-2025")</f>
        <v/>
      </c>
      <c r="Y39">
        <f>HYPERLINK("https://klasma.github.io/Logging_0188/tillsynsmail/A 10876-2025 tillsynsbegäran mail.docx", "A 10876-2025")</f>
        <v/>
      </c>
    </row>
    <row r="40" ht="15" customHeight="1">
      <c r="A40" t="inlineStr">
        <is>
          <t>A 21730-2025</t>
        </is>
      </c>
      <c r="B40" s="1" t="n">
        <v>45783.58123842593</v>
      </c>
      <c r="C40" s="1" t="n">
        <v>45939</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72305-2021</t>
        </is>
      </c>
      <c r="B41" s="1" t="n">
        <v>44545</v>
      </c>
      <c r="C41" s="1" t="n">
        <v>45939</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24052-2021</t>
        </is>
      </c>
      <c r="B42" s="1" t="n">
        <v>44336</v>
      </c>
      <c r="C42" s="1" t="n">
        <v>45939</v>
      </c>
      <c r="D42" t="inlineStr">
        <is>
          <t>STOCKHOLMS LÄN</t>
        </is>
      </c>
      <c r="E42" t="inlineStr">
        <is>
          <t>NORRTÄLJE</t>
        </is>
      </c>
      <c r="G42" t="n">
        <v>8.6</v>
      </c>
      <c r="H42" t="n">
        <v>4</v>
      </c>
      <c r="I42" t="n">
        <v>0</v>
      </c>
      <c r="J42" t="n">
        <v>2</v>
      </c>
      <c r="K42" t="n">
        <v>0</v>
      </c>
      <c r="L42" t="n">
        <v>0</v>
      </c>
      <c r="M42" t="n">
        <v>0</v>
      </c>
      <c r="N42" t="n">
        <v>0</v>
      </c>
      <c r="O42" t="n">
        <v>2</v>
      </c>
      <c r="P42" t="n">
        <v>0</v>
      </c>
      <c r="Q42" t="n">
        <v>4</v>
      </c>
      <c r="R42" s="2" t="inlineStr">
        <is>
          <t>Brunlångöra
Nordfladdermus
Dvärgpipistrell
Större brunfladdermus</t>
        </is>
      </c>
      <c r="S42">
        <f>HYPERLINK("https://klasma.github.io/Logging_0188/artfynd/A 24052-2021 artfynd.xlsx", "A 24052-2021")</f>
        <v/>
      </c>
      <c r="T42">
        <f>HYPERLINK("https://klasma.github.io/Logging_0188/kartor/A 24052-2021 karta.png", "A 24052-2021")</f>
        <v/>
      </c>
      <c r="V42">
        <f>HYPERLINK("https://klasma.github.io/Logging_0188/klagomål/A 24052-2021 FSC-klagomål.docx", "A 24052-2021")</f>
        <v/>
      </c>
      <c r="W42">
        <f>HYPERLINK("https://klasma.github.io/Logging_0188/klagomålsmail/A 24052-2021 FSC-klagomål mail.docx", "A 24052-2021")</f>
        <v/>
      </c>
      <c r="X42">
        <f>HYPERLINK("https://klasma.github.io/Logging_0188/tillsyn/A 24052-2021 tillsynsbegäran.docx", "A 24052-2021")</f>
        <v/>
      </c>
      <c r="Y42">
        <f>HYPERLINK("https://klasma.github.io/Logging_0188/tillsynsmail/A 24052-2021 tillsynsbegäran mail.docx", "A 24052-2021")</f>
        <v/>
      </c>
    </row>
    <row r="43" ht="15" customHeight="1">
      <c r="A43" t="inlineStr">
        <is>
          <t>A 44709-2022</t>
        </is>
      </c>
      <c r="B43" s="1" t="n">
        <v>44839</v>
      </c>
      <c r="C43" s="1" t="n">
        <v>45939</v>
      </c>
      <c r="D43" t="inlineStr">
        <is>
          <t>STOCKHOLMS LÄN</t>
        </is>
      </c>
      <c r="E43" t="inlineStr">
        <is>
          <t>NORRTÄLJE</t>
        </is>
      </c>
      <c r="G43" t="n">
        <v>16.3</v>
      </c>
      <c r="H43" t="n">
        <v>3</v>
      </c>
      <c r="I43" t="n">
        <v>0</v>
      </c>
      <c r="J43" t="n">
        <v>2</v>
      </c>
      <c r="K43" t="n">
        <v>0</v>
      </c>
      <c r="L43" t="n">
        <v>0</v>
      </c>
      <c r="M43" t="n">
        <v>0</v>
      </c>
      <c r="N43" t="n">
        <v>0</v>
      </c>
      <c r="O43" t="n">
        <v>2</v>
      </c>
      <c r="P43" t="n">
        <v>0</v>
      </c>
      <c r="Q43" t="n">
        <v>4</v>
      </c>
      <c r="R43" s="2" t="inlineStr">
        <is>
          <t>Asppraktbagge
Spillkråka
Enkelbeckasin
Orre</t>
        </is>
      </c>
      <c r="S43">
        <f>HYPERLINK("https://klasma.github.io/Logging_0188/artfynd/A 44709-2022 artfynd.xlsx", "A 44709-2022")</f>
        <v/>
      </c>
      <c r="T43">
        <f>HYPERLINK("https://klasma.github.io/Logging_0188/kartor/A 44709-2022 karta.png", "A 44709-2022")</f>
        <v/>
      </c>
      <c r="V43">
        <f>HYPERLINK("https://klasma.github.io/Logging_0188/klagomål/A 44709-2022 FSC-klagomål.docx", "A 44709-2022")</f>
        <v/>
      </c>
      <c r="W43">
        <f>HYPERLINK("https://klasma.github.io/Logging_0188/klagomålsmail/A 44709-2022 FSC-klagomål mail.docx", "A 44709-2022")</f>
        <v/>
      </c>
      <c r="X43">
        <f>HYPERLINK("https://klasma.github.io/Logging_0188/tillsyn/A 44709-2022 tillsynsbegäran.docx", "A 44709-2022")</f>
        <v/>
      </c>
      <c r="Y43">
        <f>HYPERLINK("https://klasma.github.io/Logging_0188/tillsynsmail/A 44709-2022 tillsynsbegäran mail.docx", "A 44709-2022")</f>
        <v/>
      </c>
      <c r="Z43">
        <f>HYPERLINK("https://klasma.github.io/Logging_0188/fåglar/A 44709-2022 prioriterade fågelarter.docx", "A 44709-2022")</f>
        <v/>
      </c>
    </row>
    <row r="44" ht="15" customHeight="1">
      <c r="A44" t="inlineStr">
        <is>
          <t>A 34521-2025</t>
        </is>
      </c>
      <c r="B44" s="1" t="n">
        <v>45847.47052083333</v>
      </c>
      <c r="C44" s="1" t="n">
        <v>45939</v>
      </c>
      <c r="D44" t="inlineStr">
        <is>
          <t>STOCKHOLMS LÄN</t>
        </is>
      </c>
      <c r="E44" t="inlineStr">
        <is>
          <t>NORRTÄLJE</t>
        </is>
      </c>
      <c r="G44" t="n">
        <v>4.3</v>
      </c>
      <c r="H44" t="n">
        <v>0</v>
      </c>
      <c r="I44" t="n">
        <v>2</v>
      </c>
      <c r="J44" t="n">
        <v>2</v>
      </c>
      <c r="K44" t="n">
        <v>0</v>
      </c>
      <c r="L44" t="n">
        <v>0</v>
      </c>
      <c r="M44" t="n">
        <v>0</v>
      </c>
      <c r="N44" t="n">
        <v>0</v>
      </c>
      <c r="O44" t="n">
        <v>2</v>
      </c>
      <c r="P44" t="n">
        <v>0</v>
      </c>
      <c r="Q44" t="n">
        <v>4</v>
      </c>
      <c r="R44" s="2" t="inlineStr">
        <is>
          <t>Kandelabersvamp
Vedtrappmossa
Anisspindling
Stor aspticka</t>
        </is>
      </c>
      <c r="S44">
        <f>HYPERLINK("https://klasma.github.io/Logging_0188/artfynd/A 34521-2025 artfynd.xlsx", "A 34521-2025")</f>
        <v/>
      </c>
      <c r="T44">
        <f>HYPERLINK("https://klasma.github.io/Logging_0188/kartor/A 34521-2025 karta.png", "A 34521-2025")</f>
        <v/>
      </c>
      <c r="V44">
        <f>HYPERLINK("https://klasma.github.io/Logging_0188/klagomål/A 34521-2025 FSC-klagomål.docx", "A 34521-2025")</f>
        <v/>
      </c>
      <c r="W44">
        <f>HYPERLINK("https://klasma.github.io/Logging_0188/klagomålsmail/A 34521-2025 FSC-klagomål mail.docx", "A 34521-2025")</f>
        <v/>
      </c>
      <c r="X44">
        <f>HYPERLINK("https://klasma.github.io/Logging_0188/tillsyn/A 34521-2025 tillsynsbegäran.docx", "A 34521-2025")</f>
        <v/>
      </c>
      <c r="Y44">
        <f>HYPERLINK("https://klasma.github.io/Logging_0188/tillsynsmail/A 34521-2025 tillsynsbegäran mail.docx", "A 34521-2025")</f>
        <v/>
      </c>
    </row>
    <row r="45" ht="15" customHeight="1">
      <c r="A45" t="inlineStr">
        <is>
          <t>A 41276-2025</t>
        </is>
      </c>
      <c r="B45" s="1" t="n">
        <v>45898.62723379629</v>
      </c>
      <c r="C45" s="1" t="n">
        <v>45939</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17673-2021</t>
        </is>
      </c>
      <c r="B46" s="1" t="n">
        <v>44300</v>
      </c>
      <c r="C46" s="1" t="n">
        <v>45939</v>
      </c>
      <c r="D46" t="inlineStr">
        <is>
          <t>STOCKHOLMS LÄN</t>
        </is>
      </c>
      <c r="E46" t="inlineStr">
        <is>
          <t>NORRTÄLJE</t>
        </is>
      </c>
      <c r="G46" t="n">
        <v>9.199999999999999</v>
      </c>
      <c r="H46" t="n">
        <v>3</v>
      </c>
      <c r="I46" t="n">
        <v>0</v>
      </c>
      <c r="J46" t="n">
        <v>2</v>
      </c>
      <c r="K46" t="n">
        <v>0</v>
      </c>
      <c r="L46" t="n">
        <v>0</v>
      </c>
      <c r="M46" t="n">
        <v>0</v>
      </c>
      <c r="N46" t="n">
        <v>0</v>
      </c>
      <c r="O46" t="n">
        <v>2</v>
      </c>
      <c r="P46" t="n">
        <v>0</v>
      </c>
      <c r="Q46" t="n">
        <v>3</v>
      </c>
      <c r="R46" s="2" t="inlineStr">
        <is>
          <t>Grönsångare
Havsörn
Blåsippa</t>
        </is>
      </c>
      <c r="S46">
        <f>HYPERLINK("https://klasma.github.io/Logging_0188/artfynd/A 17673-2021 artfynd.xlsx", "A 17673-2021")</f>
        <v/>
      </c>
      <c r="T46">
        <f>HYPERLINK("https://klasma.github.io/Logging_0188/kartor/A 17673-2021 karta.png", "A 17673-2021")</f>
        <v/>
      </c>
      <c r="V46">
        <f>HYPERLINK("https://klasma.github.io/Logging_0188/klagomål/A 17673-2021 FSC-klagomål.docx", "A 17673-2021")</f>
        <v/>
      </c>
      <c r="W46">
        <f>HYPERLINK("https://klasma.github.io/Logging_0188/klagomålsmail/A 17673-2021 FSC-klagomål mail.docx", "A 17673-2021")</f>
        <v/>
      </c>
      <c r="X46">
        <f>HYPERLINK("https://klasma.github.io/Logging_0188/tillsyn/A 17673-2021 tillsynsbegäran.docx", "A 17673-2021")</f>
        <v/>
      </c>
      <c r="Y46">
        <f>HYPERLINK("https://klasma.github.io/Logging_0188/tillsynsmail/A 17673-2021 tillsynsbegäran mail.docx", "A 17673-2021")</f>
        <v/>
      </c>
      <c r="Z46">
        <f>HYPERLINK("https://klasma.github.io/Logging_0188/fåglar/A 17673-2021 prioriterade fågelarter.docx", "A 17673-2021")</f>
        <v/>
      </c>
    </row>
    <row r="47" ht="15" customHeight="1">
      <c r="A47" t="inlineStr">
        <is>
          <t>A 14560-2021</t>
        </is>
      </c>
      <c r="B47" s="1" t="n">
        <v>44279</v>
      </c>
      <c r="C47" s="1" t="n">
        <v>45939</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45113-2022</t>
        </is>
      </c>
      <c r="B48" s="1" t="n">
        <v>44843</v>
      </c>
      <c r="C48" s="1" t="n">
        <v>45939</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45939</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20185-2022</t>
        </is>
      </c>
      <c r="B50" s="1" t="n">
        <v>44698</v>
      </c>
      <c r="C50" s="1" t="n">
        <v>45939</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27870-2022</t>
        </is>
      </c>
      <c r="B51" s="1" t="n">
        <v>44743.64592592593</v>
      </c>
      <c r="C51" s="1" t="n">
        <v>45939</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2851-2023</t>
        </is>
      </c>
      <c r="B52" s="1" t="n">
        <v>44945</v>
      </c>
      <c r="C52" s="1" t="n">
        <v>45939</v>
      </c>
      <c r="D52" t="inlineStr">
        <is>
          <t>STOCKHOLMS LÄN</t>
        </is>
      </c>
      <c r="E52" t="inlineStr">
        <is>
          <t>NORRTÄLJE</t>
        </is>
      </c>
      <c r="G52" t="n">
        <v>5.8</v>
      </c>
      <c r="H52" t="n">
        <v>1</v>
      </c>
      <c r="I52" t="n">
        <v>1</v>
      </c>
      <c r="J52" t="n">
        <v>2</v>
      </c>
      <c r="K52" t="n">
        <v>0</v>
      </c>
      <c r="L52" t="n">
        <v>0</v>
      </c>
      <c r="M52" t="n">
        <v>0</v>
      </c>
      <c r="N52" t="n">
        <v>0</v>
      </c>
      <c r="O52" t="n">
        <v>2</v>
      </c>
      <c r="P52" t="n">
        <v>0</v>
      </c>
      <c r="Q52" t="n">
        <v>3</v>
      </c>
      <c r="R52" s="2" t="inlineStr">
        <is>
          <t>Gulsparv
Vedflikmossa
Terpentinmossa</t>
        </is>
      </c>
      <c r="S52">
        <f>HYPERLINK("https://klasma.github.io/Logging_0188/artfynd/A 2851-2023 artfynd.xlsx", "A 2851-2023")</f>
        <v/>
      </c>
      <c r="T52">
        <f>HYPERLINK("https://klasma.github.io/Logging_0188/kartor/A 2851-2023 karta.png", "A 2851-2023")</f>
        <v/>
      </c>
      <c r="V52">
        <f>HYPERLINK("https://klasma.github.io/Logging_0188/klagomål/A 2851-2023 FSC-klagomål.docx", "A 2851-2023")</f>
        <v/>
      </c>
      <c r="W52">
        <f>HYPERLINK("https://klasma.github.io/Logging_0188/klagomålsmail/A 2851-2023 FSC-klagomål mail.docx", "A 2851-2023")</f>
        <v/>
      </c>
      <c r="X52">
        <f>HYPERLINK("https://klasma.github.io/Logging_0188/tillsyn/A 2851-2023 tillsynsbegäran.docx", "A 2851-2023")</f>
        <v/>
      </c>
      <c r="Y52">
        <f>HYPERLINK("https://klasma.github.io/Logging_0188/tillsynsmail/A 2851-2023 tillsynsbegäran mail.docx", "A 2851-2023")</f>
        <v/>
      </c>
      <c r="Z52">
        <f>HYPERLINK("https://klasma.github.io/Logging_0188/fåglar/A 2851-2023 prioriterade fågelarter.docx", "A 2851-2023")</f>
        <v/>
      </c>
    </row>
    <row r="53" ht="15" customHeight="1">
      <c r="A53" t="inlineStr">
        <is>
          <t>A 54110-2024</t>
        </is>
      </c>
      <c r="B53" s="1" t="n">
        <v>45616.54866898148</v>
      </c>
      <c r="C53" s="1" t="n">
        <v>45939</v>
      </c>
      <c r="D53" t="inlineStr">
        <is>
          <t>STOCKHOLMS LÄN</t>
        </is>
      </c>
      <c r="E53" t="inlineStr">
        <is>
          <t>NORRTÄLJE</t>
        </is>
      </c>
      <c r="G53" t="n">
        <v>6.7</v>
      </c>
      <c r="H53" t="n">
        <v>2</v>
      </c>
      <c r="I53" t="n">
        <v>0</v>
      </c>
      <c r="J53" t="n">
        <v>1</v>
      </c>
      <c r="K53" t="n">
        <v>0</v>
      </c>
      <c r="L53" t="n">
        <v>0</v>
      </c>
      <c r="M53" t="n">
        <v>0</v>
      </c>
      <c r="N53" t="n">
        <v>0</v>
      </c>
      <c r="O53" t="n">
        <v>1</v>
      </c>
      <c r="P53" t="n">
        <v>0</v>
      </c>
      <c r="Q53" t="n">
        <v>3</v>
      </c>
      <c r="R53" s="2" t="inlineStr">
        <is>
          <t>Klasefibbla
Nattviol
Gullviva</t>
        </is>
      </c>
      <c r="S53">
        <f>HYPERLINK("https://klasma.github.io/Logging_0188/artfynd/A 54110-2024 artfynd.xlsx", "A 54110-2024")</f>
        <v/>
      </c>
      <c r="T53">
        <f>HYPERLINK("https://klasma.github.io/Logging_0188/kartor/A 54110-2024 karta.png", "A 54110-2024")</f>
        <v/>
      </c>
      <c r="V53">
        <f>HYPERLINK("https://klasma.github.io/Logging_0188/klagomål/A 54110-2024 FSC-klagomål.docx", "A 54110-2024")</f>
        <v/>
      </c>
      <c r="W53">
        <f>HYPERLINK("https://klasma.github.io/Logging_0188/klagomålsmail/A 54110-2024 FSC-klagomål mail.docx", "A 54110-2024")</f>
        <v/>
      </c>
      <c r="X53">
        <f>HYPERLINK("https://klasma.github.io/Logging_0188/tillsyn/A 54110-2024 tillsynsbegäran.docx", "A 54110-2024")</f>
        <v/>
      </c>
      <c r="Y53">
        <f>HYPERLINK("https://klasma.github.io/Logging_0188/tillsynsmail/A 54110-2024 tillsynsbegäran mail.docx", "A 54110-2024")</f>
        <v/>
      </c>
    </row>
    <row r="54" ht="15" customHeight="1">
      <c r="A54" t="inlineStr">
        <is>
          <t>A 53065-2024</t>
        </is>
      </c>
      <c r="B54" s="1" t="n">
        <v>45611.47233796296</v>
      </c>
      <c r="C54" s="1" t="n">
        <v>45939</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50618-2022</t>
        </is>
      </c>
      <c r="B55" s="1" t="n">
        <v>44866</v>
      </c>
      <c r="C55" s="1" t="n">
        <v>45939</v>
      </c>
      <c r="D55" t="inlineStr">
        <is>
          <t>STOCKHOLMS LÄN</t>
        </is>
      </c>
      <c r="E55" t="inlineStr">
        <is>
          <t>NORRTÄLJE</t>
        </is>
      </c>
      <c r="G55" t="n">
        <v>7.8</v>
      </c>
      <c r="H55" t="n">
        <v>2</v>
      </c>
      <c r="I55" t="n">
        <v>2</v>
      </c>
      <c r="J55" t="n">
        <v>0</v>
      </c>
      <c r="K55" t="n">
        <v>0</v>
      </c>
      <c r="L55" t="n">
        <v>0</v>
      </c>
      <c r="M55" t="n">
        <v>0</v>
      </c>
      <c r="N55" t="n">
        <v>0</v>
      </c>
      <c r="O55" t="n">
        <v>0</v>
      </c>
      <c r="P55" t="n">
        <v>0</v>
      </c>
      <c r="Q55" t="n">
        <v>3</v>
      </c>
      <c r="R55" s="2" t="inlineStr">
        <is>
          <t>Skogsknipprot
Vårärt
Blåsippa</t>
        </is>
      </c>
      <c r="S55">
        <f>HYPERLINK("https://klasma.github.io/Logging_0188/artfynd/A 50618-2022 artfynd.xlsx", "A 50618-2022")</f>
        <v/>
      </c>
      <c r="T55">
        <f>HYPERLINK("https://klasma.github.io/Logging_0188/kartor/A 50618-2022 karta.png", "A 50618-2022")</f>
        <v/>
      </c>
      <c r="V55">
        <f>HYPERLINK("https://klasma.github.io/Logging_0188/klagomål/A 50618-2022 FSC-klagomål.docx", "A 50618-2022")</f>
        <v/>
      </c>
      <c r="W55">
        <f>HYPERLINK("https://klasma.github.io/Logging_0188/klagomålsmail/A 50618-2022 FSC-klagomål mail.docx", "A 50618-2022")</f>
        <v/>
      </c>
      <c r="X55">
        <f>HYPERLINK("https://klasma.github.io/Logging_0188/tillsyn/A 50618-2022 tillsynsbegäran.docx", "A 50618-2022")</f>
        <v/>
      </c>
      <c r="Y55">
        <f>HYPERLINK("https://klasma.github.io/Logging_0188/tillsynsmail/A 50618-2022 tillsynsbegäran mail.docx", "A 50618-2022")</f>
        <v/>
      </c>
    </row>
    <row r="56" ht="15" customHeight="1">
      <c r="A56" t="inlineStr">
        <is>
          <t>A 29185-2025</t>
        </is>
      </c>
      <c r="B56" s="1" t="n">
        <v>45821</v>
      </c>
      <c r="C56" s="1" t="n">
        <v>45939</v>
      </c>
      <c r="D56" t="inlineStr">
        <is>
          <t>STOCKHOLMS LÄN</t>
        </is>
      </c>
      <c r="E56" t="inlineStr">
        <is>
          <t>NORRTÄLJE</t>
        </is>
      </c>
      <c r="F56" t="inlineStr">
        <is>
          <t>Övriga Aktiebolag</t>
        </is>
      </c>
      <c r="G56" t="n">
        <v>8.5</v>
      </c>
      <c r="H56" t="n">
        <v>2</v>
      </c>
      <c r="I56" t="n">
        <v>1</v>
      </c>
      <c r="J56" t="n">
        <v>0</v>
      </c>
      <c r="K56" t="n">
        <v>0</v>
      </c>
      <c r="L56" t="n">
        <v>0</v>
      </c>
      <c r="M56" t="n">
        <v>0</v>
      </c>
      <c r="N56" t="n">
        <v>0</v>
      </c>
      <c r="O56" t="n">
        <v>0</v>
      </c>
      <c r="P56" t="n">
        <v>0</v>
      </c>
      <c r="Q56" t="n">
        <v>3</v>
      </c>
      <c r="R56" s="2" t="inlineStr">
        <is>
          <t>Vårärt
Fläcknycklar
Blåsippa</t>
        </is>
      </c>
      <c r="S56">
        <f>HYPERLINK("https://klasma.github.io/Logging_0188/artfynd/A 29185-2025 artfynd.xlsx", "A 29185-2025")</f>
        <v/>
      </c>
      <c r="T56">
        <f>HYPERLINK("https://klasma.github.io/Logging_0188/kartor/A 29185-2025 karta.png", "A 29185-2025")</f>
        <v/>
      </c>
      <c r="V56">
        <f>HYPERLINK("https://klasma.github.io/Logging_0188/klagomål/A 29185-2025 FSC-klagomål.docx", "A 29185-2025")</f>
        <v/>
      </c>
      <c r="W56">
        <f>HYPERLINK("https://klasma.github.io/Logging_0188/klagomålsmail/A 29185-2025 FSC-klagomål mail.docx", "A 29185-2025")</f>
        <v/>
      </c>
      <c r="X56">
        <f>HYPERLINK("https://klasma.github.io/Logging_0188/tillsyn/A 29185-2025 tillsynsbegäran.docx", "A 29185-2025")</f>
        <v/>
      </c>
      <c r="Y56">
        <f>HYPERLINK("https://klasma.github.io/Logging_0188/tillsynsmail/A 29185-2025 tillsynsbegäran mail.docx", "A 29185-2025")</f>
        <v/>
      </c>
    </row>
    <row r="57" ht="15" customHeight="1">
      <c r="A57" t="inlineStr">
        <is>
          <t>A 34524-2025</t>
        </is>
      </c>
      <c r="B57" s="1" t="n">
        <v>45847.47685185185</v>
      </c>
      <c r="C57" s="1" t="n">
        <v>45939</v>
      </c>
      <c r="D57" t="inlineStr">
        <is>
          <t>STOCKHOLMS LÄN</t>
        </is>
      </c>
      <c r="E57" t="inlineStr">
        <is>
          <t>NORRTÄLJE</t>
        </is>
      </c>
      <c r="G57" t="n">
        <v>3.3</v>
      </c>
      <c r="H57" t="n">
        <v>0</v>
      </c>
      <c r="I57" t="n">
        <v>1</v>
      </c>
      <c r="J57" t="n">
        <v>2</v>
      </c>
      <c r="K57" t="n">
        <v>0</v>
      </c>
      <c r="L57" t="n">
        <v>0</v>
      </c>
      <c r="M57" t="n">
        <v>0</v>
      </c>
      <c r="N57" t="n">
        <v>0</v>
      </c>
      <c r="O57" t="n">
        <v>2</v>
      </c>
      <c r="P57" t="n">
        <v>0</v>
      </c>
      <c r="Q57" t="n">
        <v>3</v>
      </c>
      <c r="R57" s="2" t="inlineStr">
        <is>
          <t>Tallticka
Vedtrappmossa
Kornknutmossa</t>
        </is>
      </c>
      <c r="S57">
        <f>HYPERLINK("https://klasma.github.io/Logging_0188/artfynd/A 34524-2025 artfynd.xlsx", "A 34524-2025")</f>
        <v/>
      </c>
      <c r="T57">
        <f>HYPERLINK("https://klasma.github.io/Logging_0188/kartor/A 34524-2025 karta.png", "A 34524-2025")</f>
        <v/>
      </c>
      <c r="V57">
        <f>HYPERLINK("https://klasma.github.io/Logging_0188/klagomål/A 34524-2025 FSC-klagomål.docx", "A 34524-2025")</f>
        <v/>
      </c>
      <c r="W57">
        <f>HYPERLINK("https://klasma.github.io/Logging_0188/klagomålsmail/A 34524-2025 FSC-klagomål mail.docx", "A 34524-2025")</f>
        <v/>
      </c>
      <c r="X57">
        <f>HYPERLINK("https://klasma.github.io/Logging_0188/tillsyn/A 34524-2025 tillsynsbegäran.docx", "A 34524-2025")</f>
        <v/>
      </c>
      <c r="Y57">
        <f>HYPERLINK("https://klasma.github.io/Logging_0188/tillsynsmail/A 34524-2025 tillsynsbegäran mail.docx", "A 34524-2025")</f>
        <v/>
      </c>
    </row>
    <row r="58" ht="15" customHeight="1">
      <c r="A58" t="inlineStr">
        <is>
          <t>A 31803-2021</t>
        </is>
      </c>
      <c r="B58" s="1" t="n">
        <v>44370</v>
      </c>
      <c r="C58" s="1" t="n">
        <v>45939</v>
      </c>
      <c r="D58" t="inlineStr">
        <is>
          <t>STOCKHOLMS LÄN</t>
        </is>
      </c>
      <c r="E58" t="inlineStr">
        <is>
          <t>NORRTÄLJE</t>
        </is>
      </c>
      <c r="G58" t="n">
        <v>4.6</v>
      </c>
      <c r="H58" t="n">
        <v>0</v>
      </c>
      <c r="I58" t="n">
        <v>1</v>
      </c>
      <c r="J58" t="n">
        <v>1</v>
      </c>
      <c r="K58" t="n">
        <v>0</v>
      </c>
      <c r="L58" t="n">
        <v>0</v>
      </c>
      <c r="M58" t="n">
        <v>0</v>
      </c>
      <c r="N58" t="n">
        <v>0</v>
      </c>
      <c r="O58" t="n">
        <v>1</v>
      </c>
      <c r="P58" t="n">
        <v>0</v>
      </c>
      <c r="Q58" t="n">
        <v>2</v>
      </c>
      <c r="R58" s="2" t="inlineStr">
        <is>
          <t>Slåtterfibbla
Vårärt</t>
        </is>
      </c>
      <c r="S58">
        <f>HYPERLINK("https://klasma.github.io/Logging_0188/artfynd/A 31803-2021 artfynd.xlsx", "A 31803-2021")</f>
        <v/>
      </c>
      <c r="T58">
        <f>HYPERLINK("https://klasma.github.io/Logging_0188/kartor/A 31803-2021 karta.png", "A 31803-2021")</f>
        <v/>
      </c>
      <c r="V58">
        <f>HYPERLINK("https://klasma.github.io/Logging_0188/klagomål/A 31803-2021 FSC-klagomål.docx", "A 31803-2021")</f>
        <v/>
      </c>
      <c r="W58">
        <f>HYPERLINK("https://klasma.github.io/Logging_0188/klagomålsmail/A 31803-2021 FSC-klagomål mail.docx", "A 31803-2021")</f>
        <v/>
      </c>
      <c r="X58">
        <f>HYPERLINK("https://klasma.github.io/Logging_0188/tillsyn/A 31803-2021 tillsynsbegäran.docx", "A 31803-2021")</f>
        <v/>
      </c>
      <c r="Y58">
        <f>HYPERLINK("https://klasma.github.io/Logging_0188/tillsynsmail/A 31803-2021 tillsynsbegäran mail.docx", "A 31803-2021")</f>
        <v/>
      </c>
    </row>
    <row r="59" ht="15" customHeight="1">
      <c r="A59" t="inlineStr">
        <is>
          <t>A 58676-2021</t>
        </is>
      </c>
      <c r="B59" s="1" t="n">
        <v>44489</v>
      </c>
      <c r="C59" s="1" t="n">
        <v>45939</v>
      </c>
      <c r="D59" t="inlineStr">
        <is>
          <t>STOCKHOLMS LÄN</t>
        </is>
      </c>
      <c r="E59" t="inlineStr">
        <is>
          <t>NORRTÄLJE</t>
        </is>
      </c>
      <c r="G59" t="n">
        <v>0.6</v>
      </c>
      <c r="H59" t="n">
        <v>2</v>
      </c>
      <c r="I59" t="n">
        <v>0</v>
      </c>
      <c r="J59" t="n">
        <v>0</v>
      </c>
      <c r="K59" t="n">
        <v>0</v>
      </c>
      <c r="L59" t="n">
        <v>0</v>
      </c>
      <c r="M59" t="n">
        <v>0</v>
      </c>
      <c r="N59" t="n">
        <v>0</v>
      </c>
      <c r="O59" t="n">
        <v>0</v>
      </c>
      <c r="P59" t="n">
        <v>0</v>
      </c>
      <c r="Q59" t="n">
        <v>2</v>
      </c>
      <c r="R59" s="2" t="inlineStr">
        <is>
          <t>Nattviol
Blåsippa</t>
        </is>
      </c>
      <c r="S59">
        <f>HYPERLINK("https://klasma.github.io/Logging_0188/artfynd/A 58676-2021 artfynd.xlsx", "A 58676-2021")</f>
        <v/>
      </c>
      <c r="T59">
        <f>HYPERLINK("https://klasma.github.io/Logging_0188/kartor/A 58676-2021 karta.png", "A 58676-2021")</f>
        <v/>
      </c>
      <c r="V59">
        <f>HYPERLINK("https://klasma.github.io/Logging_0188/klagomål/A 58676-2021 FSC-klagomål.docx", "A 58676-2021")</f>
        <v/>
      </c>
      <c r="W59">
        <f>HYPERLINK("https://klasma.github.io/Logging_0188/klagomålsmail/A 58676-2021 FSC-klagomål mail.docx", "A 58676-2021")</f>
        <v/>
      </c>
      <c r="X59">
        <f>HYPERLINK("https://klasma.github.io/Logging_0188/tillsyn/A 58676-2021 tillsynsbegäran.docx", "A 58676-2021")</f>
        <v/>
      </c>
      <c r="Y59">
        <f>HYPERLINK("https://klasma.github.io/Logging_0188/tillsynsmail/A 58676-2021 tillsynsbegäran mail.docx", "A 58676-2021")</f>
        <v/>
      </c>
    </row>
    <row r="60" ht="15" customHeight="1">
      <c r="A60" t="inlineStr">
        <is>
          <t>A 51220-2023</t>
        </is>
      </c>
      <c r="B60" s="1" t="n">
        <v>45219</v>
      </c>
      <c r="C60" s="1" t="n">
        <v>45939</v>
      </c>
      <c r="D60" t="inlineStr">
        <is>
          <t>STOCKHOLMS LÄN</t>
        </is>
      </c>
      <c r="E60" t="inlineStr">
        <is>
          <t>NORRTÄLJE</t>
        </is>
      </c>
      <c r="G60" t="n">
        <v>7.7</v>
      </c>
      <c r="H60" t="n">
        <v>1</v>
      </c>
      <c r="I60" t="n">
        <v>0</v>
      </c>
      <c r="J60" t="n">
        <v>1</v>
      </c>
      <c r="K60" t="n">
        <v>0</v>
      </c>
      <c r="L60" t="n">
        <v>0</v>
      </c>
      <c r="M60" t="n">
        <v>0</v>
      </c>
      <c r="N60" t="n">
        <v>0</v>
      </c>
      <c r="O60" t="n">
        <v>1</v>
      </c>
      <c r="P60" t="n">
        <v>0</v>
      </c>
      <c r="Q60" t="n">
        <v>2</v>
      </c>
      <c r="R60" s="2" t="inlineStr">
        <is>
          <t>Ullticka
Blåsippa</t>
        </is>
      </c>
      <c r="S60">
        <f>HYPERLINK("https://klasma.github.io/Logging_0188/artfynd/A 51220-2023 artfynd.xlsx", "A 51220-2023")</f>
        <v/>
      </c>
      <c r="T60">
        <f>HYPERLINK("https://klasma.github.io/Logging_0188/kartor/A 51220-2023 karta.png", "A 51220-2023")</f>
        <v/>
      </c>
      <c r="V60">
        <f>HYPERLINK("https://klasma.github.io/Logging_0188/klagomål/A 51220-2023 FSC-klagomål.docx", "A 51220-2023")</f>
        <v/>
      </c>
      <c r="W60">
        <f>HYPERLINK("https://klasma.github.io/Logging_0188/klagomålsmail/A 51220-2023 FSC-klagomål mail.docx", "A 51220-2023")</f>
        <v/>
      </c>
      <c r="X60">
        <f>HYPERLINK("https://klasma.github.io/Logging_0188/tillsyn/A 51220-2023 tillsynsbegäran.docx", "A 51220-2023")</f>
        <v/>
      </c>
      <c r="Y60">
        <f>HYPERLINK("https://klasma.github.io/Logging_0188/tillsynsmail/A 51220-2023 tillsynsbegäran mail.docx", "A 51220-2023")</f>
        <v/>
      </c>
    </row>
    <row r="61" ht="15" customHeight="1">
      <c r="A61" t="inlineStr">
        <is>
          <t>A 30693-2022</t>
        </is>
      </c>
      <c r="B61" s="1" t="n">
        <v>44763</v>
      </c>
      <c r="C61" s="1" t="n">
        <v>45939</v>
      </c>
      <c r="D61" t="inlineStr">
        <is>
          <t>STOCKHOLMS LÄN</t>
        </is>
      </c>
      <c r="E61" t="inlineStr">
        <is>
          <t>NORRTÄLJE</t>
        </is>
      </c>
      <c r="F61" t="inlineStr">
        <is>
          <t>Sveaskog</t>
        </is>
      </c>
      <c r="G61" t="n">
        <v>3.4</v>
      </c>
      <c r="H61" t="n">
        <v>2</v>
      </c>
      <c r="I61" t="n">
        <v>0</v>
      </c>
      <c r="J61" t="n">
        <v>1</v>
      </c>
      <c r="K61" t="n">
        <v>0</v>
      </c>
      <c r="L61" t="n">
        <v>0</v>
      </c>
      <c r="M61" t="n">
        <v>0</v>
      </c>
      <c r="N61" t="n">
        <v>0</v>
      </c>
      <c r="O61" t="n">
        <v>1</v>
      </c>
      <c r="P61" t="n">
        <v>0</v>
      </c>
      <c r="Q61" t="n">
        <v>2</v>
      </c>
      <c r="R61" s="2" t="inlineStr">
        <is>
          <t>Gulsparv
Gullviva</t>
        </is>
      </c>
      <c r="S61">
        <f>HYPERLINK("https://klasma.github.io/Logging_0188/artfynd/A 30693-2022 artfynd.xlsx", "A 30693-2022")</f>
        <v/>
      </c>
      <c r="T61">
        <f>HYPERLINK("https://klasma.github.io/Logging_0188/kartor/A 30693-2022 karta.png", "A 30693-2022")</f>
        <v/>
      </c>
      <c r="V61">
        <f>HYPERLINK("https://klasma.github.io/Logging_0188/klagomål/A 30693-2022 FSC-klagomål.docx", "A 30693-2022")</f>
        <v/>
      </c>
      <c r="W61">
        <f>HYPERLINK("https://klasma.github.io/Logging_0188/klagomålsmail/A 30693-2022 FSC-klagomål mail.docx", "A 30693-2022")</f>
        <v/>
      </c>
      <c r="X61">
        <f>HYPERLINK("https://klasma.github.io/Logging_0188/tillsyn/A 30693-2022 tillsynsbegäran.docx", "A 30693-2022")</f>
        <v/>
      </c>
      <c r="Y61">
        <f>HYPERLINK("https://klasma.github.io/Logging_0188/tillsynsmail/A 30693-2022 tillsynsbegäran mail.docx", "A 30693-2022")</f>
        <v/>
      </c>
      <c r="Z61">
        <f>HYPERLINK("https://klasma.github.io/Logging_0188/fåglar/A 30693-2022 prioriterade fågelarter.docx", "A 30693-2022")</f>
        <v/>
      </c>
    </row>
    <row r="62" ht="15" customHeight="1">
      <c r="A62" t="inlineStr">
        <is>
          <t>A 11031-2025</t>
        </is>
      </c>
      <c r="B62" s="1" t="n">
        <v>45723</v>
      </c>
      <c r="C62" s="1" t="n">
        <v>45939</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22190-2024</t>
        </is>
      </c>
      <c r="B63" s="1" t="n">
        <v>45446.35888888889</v>
      </c>
      <c r="C63" s="1" t="n">
        <v>45939</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52124-2022</t>
        </is>
      </c>
      <c r="B64" s="1" t="n">
        <v>44868</v>
      </c>
      <c r="C64" s="1" t="n">
        <v>45939</v>
      </c>
      <c r="D64" t="inlineStr">
        <is>
          <t>STOCKHOLMS LÄN</t>
        </is>
      </c>
      <c r="E64" t="inlineStr">
        <is>
          <t>NORRTÄLJE</t>
        </is>
      </c>
      <c r="G64" t="n">
        <v>4.8</v>
      </c>
      <c r="H64" t="n">
        <v>1</v>
      </c>
      <c r="I64" t="n">
        <v>0</v>
      </c>
      <c r="J64" t="n">
        <v>1</v>
      </c>
      <c r="K64" t="n">
        <v>0</v>
      </c>
      <c r="L64" t="n">
        <v>0</v>
      </c>
      <c r="M64" t="n">
        <v>0</v>
      </c>
      <c r="N64" t="n">
        <v>0</v>
      </c>
      <c r="O64" t="n">
        <v>1</v>
      </c>
      <c r="P64" t="n">
        <v>0</v>
      </c>
      <c r="Q64" t="n">
        <v>2</v>
      </c>
      <c r="R64" s="2" t="inlineStr">
        <is>
          <t>Kandelabersvamp
Blåsippa</t>
        </is>
      </c>
      <c r="S64">
        <f>HYPERLINK("https://klasma.github.io/Logging_0188/artfynd/A 52124-2022 artfynd.xlsx", "A 52124-2022")</f>
        <v/>
      </c>
      <c r="T64">
        <f>HYPERLINK("https://klasma.github.io/Logging_0188/kartor/A 52124-2022 karta.png", "A 52124-2022")</f>
        <v/>
      </c>
      <c r="V64">
        <f>HYPERLINK("https://klasma.github.io/Logging_0188/klagomål/A 52124-2022 FSC-klagomål.docx", "A 52124-2022")</f>
        <v/>
      </c>
      <c r="W64">
        <f>HYPERLINK("https://klasma.github.io/Logging_0188/klagomålsmail/A 52124-2022 FSC-klagomål mail.docx", "A 52124-2022")</f>
        <v/>
      </c>
      <c r="X64">
        <f>HYPERLINK("https://klasma.github.io/Logging_0188/tillsyn/A 52124-2022 tillsynsbegäran.docx", "A 52124-2022")</f>
        <v/>
      </c>
      <c r="Y64">
        <f>HYPERLINK("https://klasma.github.io/Logging_0188/tillsynsmail/A 52124-2022 tillsynsbegäran mail.docx", "A 52124-2022")</f>
        <v/>
      </c>
    </row>
    <row r="65" ht="15" customHeight="1">
      <c r="A65" t="inlineStr">
        <is>
          <t>A 51980-2022</t>
        </is>
      </c>
      <c r="B65" s="1" t="n">
        <v>44872</v>
      </c>
      <c r="C65" s="1" t="n">
        <v>45939</v>
      </c>
      <c r="D65" t="inlineStr">
        <is>
          <t>STOCKHOLMS LÄN</t>
        </is>
      </c>
      <c r="E65" t="inlineStr">
        <is>
          <t>NORRTÄLJE</t>
        </is>
      </c>
      <c r="G65" t="n">
        <v>7.9</v>
      </c>
      <c r="H65" t="n">
        <v>1</v>
      </c>
      <c r="I65" t="n">
        <v>2</v>
      </c>
      <c r="J65" t="n">
        <v>0</v>
      </c>
      <c r="K65" t="n">
        <v>0</v>
      </c>
      <c r="L65" t="n">
        <v>0</v>
      </c>
      <c r="M65" t="n">
        <v>0</v>
      </c>
      <c r="N65" t="n">
        <v>0</v>
      </c>
      <c r="O65" t="n">
        <v>0</v>
      </c>
      <c r="P65" t="n">
        <v>0</v>
      </c>
      <c r="Q65" t="n">
        <v>2</v>
      </c>
      <c r="R65" s="2" t="inlineStr">
        <is>
          <t>Rödgul trumpetsvamp
Skogsknipprot</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20012-2025</t>
        </is>
      </c>
      <c r="B66" s="1" t="n">
        <v>45772.30234953704</v>
      </c>
      <c r="C66" s="1" t="n">
        <v>45939</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16260-2022</t>
        </is>
      </c>
      <c r="B67" s="1" t="n">
        <v>44670</v>
      </c>
      <c r="C67" s="1" t="n">
        <v>45939</v>
      </c>
      <c r="D67" t="inlineStr">
        <is>
          <t>STOCKHOLMS LÄN</t>
        </is>
      </c>
      <c r="E67" t="inlineStr">
        <is>
          <t>NORRTÄLJE</t>
        </is>
      </c>
      <c r="G67" t="n">
        <v>6.6</v>
      </c>
      <c r="H67" t="n">
        <v>1</v>
      </c>
      <c r="I67" t="n">
        <v>2</v>
      </c>
      <c r="J67" t="n">
        <v>0</v>
      </c>
      <c r="K67" t="n">
        <v>0</v>
      </c>
      <c r="L67" t="n">
        <v>0</v>
      </c>
      <c r="M67" t="n">
        <v>0</v>
      </c>
      <c r="N67" t="n">
        <v>0</v>
      </c>
      <c r="O67" t="n">
        <v>0</v>
      </c>
      <c r="P67" t="n">
        <v>0</v>
      </c>
      <c r="Q67" t="n">
        <v>2</v>
      </c>
      <c r="R67" s="2" t="inlineStr">
        <is>
          <t>Nästrot
Vårärt</t>
        </is>
      </c>
      <c r="S67">
        <f>HYPERLINK("https://klasma.github.io/Logging_0188/artfynd/A 16260-2022 artfynd.xlsx", "A 16260-2022")</f>
        <v/>
      </c>
      <c r="T67">
        <f>HYPERLINK("https://klasma.github.io/Logging_0188/kartor/A 16260-2022 karta.png", "A 16260-2022")</f>
        <v/>
      </c>
      <c r="V67">
        <f>HYPERLINK("https://klasma.github.io/Logging_0188/klagomål/A 16260-2022 FSC-klagomål.docx", "A 16260-2022")</f>
        <v/>
      </c>
      <c r="W67">
        <f>HYPERLINK("https://klasma.github.io/Logging_0188/klagomålsmail/A 16260-2022 FSC-klagomål mail.docx", "A 16260-2022")</f>
        <v/>
      </c>
      <c r="X67">
        <f>HYPERLINK("https://klasma.github.io/Logging_0188/tillsyn/A 16260-2022 tillsynsbegäran.docx", "A 16260-2022")</f>
        <v/>
      </c>
      <c r="Y67">
        <f>HYPERLINK("https://klasma.github.io/Logging_0188/tillsynsmail/A 16260-2022 tillsynsbegäran mail.docx", "A 16260-2022")</f>
        <v/>
      </c>
    </row>
    <row r="68" ht="15" customHeight="1">
      <c r="A68" t="inlineStr">
        <is>
          <t>A 25731-2025</t>
        </is>
      </c>
      <c r="B68" s="1" t="n">
        <v>45800</v>
      </c>
      <c r="C68" s="1" t="n">
        <v>45939</v>
      </c>
      <c r="D68" t="inlineStr">
        <is>
          <t>STOCKHOLMS LÄN</t>
        </is>
      </c>
      <c r="E68" t="inlineStr">
        <is>
          <t>NORRTÄLJE</t>
        </is>
      </c>
      <c r="G68" t="n">
        <v>11.9</v>
      </c>
      <c r="H68" t="n">
        <v>2</v>
      </c>
      <c r="I68" t="n">
        <v>0</v>
      </c>
      <c r="J68" t="n">
        <v>0</v>
      </c>
      <c r="K68" t="n">
        <v>1</v>
      </c>
      <c r="L68" t="n">
        <v>0</v>
      </c>
      <c r="M68" t="n">
        <v>0</v>
      </c>
      <c r="N68" t="n">
        <v>0</v>
      </c>
      <c r="O68" t="n">
        <v>1</v>
      </c>
      <c r="P68" t="n">
        <v>1</v>
      </c>
      <c r="Q68" t="n">
        <v>2</v>
      </c>
      <c r="R68" s="2" t="inlineStr">
        <is>
          <t>Knärot
Tjäder</t>
        </is>
      </c>
      <c r="S68">
        <f>HYPERLINK("https://klasma.github.io/Logging_0188/artfynd/A 25731-2025 artfynd.xlsx", "A 25731-2025")</f>
        <v/>
      </c>
      <c r="T68">
        <f>HYPERLINK("https://klasma.github.io/Logging_0188/kartor/A 25731-2025 karta.png", "A 25731-2025")</f>
        <v/>
      </c>
      <c r="U68">
        <f>HYPERLINK("https://klasma.github.io/Logging_0188/knärot/A 25731-2025 karta knärot.png", "A 25731-2025")</f>
        <v/>
      </c>
      <c r="V68">
        <f>HYPERLINK("https://klasma.github.io/Logging_0188/klagomål/A 25731-2025 FSC-klagomål.docx", "A 25731-2025")</f>
        <v/>
      </c>
      <c r="W68">
        <f>HYPERLINK("https://klasma.github.io/Logging_0188/klagomålsmail/A 25731-2025 FSC-klagomål mail.docx", "A 25731-2025")</f>
        <v/>
      </c>
      <c r="X68">
        <f>HYPERLINK("https://klasma.github.io/Logging_0188/tillsyn/A 25731-2025 tillsynsbegäran.docx", "A 25731-2025")</f>
        <v/>
      </c>
      <c r="Y68">
        <f>HYPERLINK("https://klasma.github.io/Logging_0188/tillsynsmail/A 25731-2025 tillsynsbegäran mail.docx", "A 25731-2025")</f>
        <v/>
      </c>
      <c r="Z68">
        <f>HYPERLINK("https://klasma.github.io/Logging_0188/fåglar/A 25731-2025 prioriterade fågelarter.docx", "A 25731-2025")</f>
        <v/>
      </c>
    </row>
    <row r="69" ht="15" customHeight="1">
      <c r="A69" t="inlineStr">
        <is>
          <t>A 52360-2024</t>
        </is>
      </c>
      <c r="B69" s="1" t="n">
        <v>45609.37094907407</v>
      </c>
      <c r="C69" s="1" t="n">
        <v>45939</v>
      </c>
      <c r="D69" t="inlineStr">
        <is>
          <t>STOCKHOLMS LÄN</t>
        </is>
      </c>
      <c r="E69" t="inlineStr">
        <is>
          <t>NORRTÄLJE</t>
        </is>
      </c>
      <c r="G69" t="n">
        <v>2.2</v>
      </c>
      <c r="H69" t="n">
        <v>1</v>
      </c>
      <c r="I69" t="n">
        <v>1</v>
      </c>
      <c r="J69" t="n">
        <v>0</v>
      </c>
      <c r="K69" t="n">
        <v>0</v>
      </c>
      <c r="L69" t="n">
        <v>0</v>
      </c>
      <c r="M69" t="n">
        <v>0</v>
      </c>
      <c r="N69" t="n">
        <v>0</v>
      </c>
      <c r="O69" t="n">
        <v>0</v>
      </c>
      <c r="P69" t="n">
        <v>0</v>
      </c>
      <c r="Q69" t="n">
        <v>2</v>
      </c>
      <c r="R69" s="2" t="inlineStr">
        <is>
          <t>Brandticka
Blåsippa</t>
        </is>
      </c>
      <c r="S69">
        <f>HYPERLINK("https://klasma.github.io/Logging_0188/artfynd/A 52360-2024 artfynd.xlsx", "A 52360-2024")</f>
        <v/>
      </c>
      <c r="T69">
        <f>HYPERLINK("https://klasma.github.io/Logging_0188/kartor/A 52360-2024 karta.png", "A 52360-2024")</f>
        <v/>
      </c>
      <c r="V69">
        <f>HYPERLINK("https://klasma.github.io/Logging_0188/klagomål/A 52360-2024 FSC-klagomål.docx", "A 52360-2024")</f>
        <v/>
      </c>
      <c r="W69">
        <f>HYPERLINK("https://klasma.github.io/Logging_0188/klagomålsmail/A 52360-2024 FSC-klagomål mail.docx", "A 52360-2024")</f>
        <v/>
      </c>
      <c r="X69">
        <f>HYPERLINK("https://klasma.github.io/Logging_0188/tillsyn/A 52360-2024 tillsynsbegäran.docx", "A 52360-2024")</f>
        <v/>
      </c>
      <c r="Y69">
        <f>HYPERLINK("https://klasma.github.io/Logging_0188/tillsynsmail/A 52360-2024 tillsynsbegäran mail.docx", "A 52360-2024")</f>
        <v/>
      </c>
    </row>
    <row r="70" ht="15" customHeight="1">
      <c r="A70" t="inlineStr">
        <is>
          <t>A 52825-2023</t>
        </is>
      </c>
      <c r="B70" s="1" t="n">
        <v>45226</v>
      </c>
      <c r="C70" s="1" t="n">
        <v>45939</v>
      </c>
      <c r="D70" t="inlineStr">
        <is>
          <t>STOCKHOLMS LÄN</t>
        </is>
      </c>
      <c r="E70" t="inlineStr">
        <is>
          <t>NORRTÄLJE</t>
        </is>
      </c>
      <c r="G70" t="n">
        <v>1</v>
      </c>
      <c r="H70" t="n">
        <v>0</v>
      </c>
      <c r="I70" t="n">
        <v>2</v>
      </c>
      <c r="J70" t="n">
        <v>0</v>
      </c>
      <c r="K70" t="n">
        <v>0</v>
      </c>
      <c r="L70" t="n">
        <v>0</v>
      </c>
      <c r="M70" t="n">
        <v>0</v>
      </c>
      <c r="N70" t="n">
        <v>0</v>
      </c>
      <c r="O70" t="n">
        <v>0</v>
      </c>
      <c r="P70" t="n">
        <v>0</v>
      </c>
      <c r="Q70" t="n">
        <v>2</v>
      </c>
      <c r="R70" s="2" t="inlineStr">
        <is>
          <t>Fjällig taggsvamp s.str.
Strimspindling</t>
        </is>
      </c>
      <c r="S70">
        <f>HYPERLINK("https://klasma.github.io/Logging_0188/artfynd/A 52825-2023 artfynd.xlsx", "A 52825-2023")</f>
        <v/>
      </c>
      <c r="T70">
        <f>HYPERLINK("https://klasma.github.io/Logging_0188/kartor/A 52825-2023 karta.png", "A 52825-2023")</f>
        <v/>
      </c>
      <c r="V70">
        <f>HYPERLINK("https://klasma.github.io/Logging_0188/klagomål/A 52825-2023 FSC-klagomål.docx", "A 52825-2023")</f>
        <v/>
      </c>
      <c r="W70">
        <f>HYPERLINK("https://klasma.github.io/Logging_0188/klagomålsmail/A 52825-2023 FSC-klagomål mail.docx", "A 52825-2023")</f>
        <v/>
      </c>
      <c r="X70">
        <f>HYPERLINK("https://klasma.github.io/Logging_0188/tillsyn/A 52825-2023 tillsynsbegäran.docx", "A 52825-2023")</f>
        <v/>
      </c>
      <c r="Y70">
        <f>HYPERLINK("https://klasma.github.io/Logging_0188/tillsynsmail/A 52825-2023 tillsynsbegäran mail.docx", "A 52825-2023")</f>
        <v/>
      </c>
    </row>
    <row r="71" ht="15" customHeight="1">
      <c r="A71" t="inlineStr">
        <is>
          <t>A 1547-2022</t>
        </is>
      </c>
      <c r="B71" s="1" t="n">
        <v>44573</v>
      </c>
      <c r="C71" s="1" t="n">
        <v>45939</v>
      </c>
      <c r="D71" t="inlineStr">
        <is>
          <t>STOCKHOLMS LÄN</t>
        </is>
      </c>
      <c r="E71" t="inlineStr">
        <is>
          <t>NORRTÄLJE</t>
        </is>
      </c>
      <c r="G71" t="n">
        <v>1.8</v>
      </c>
      <c r="H71" t="n">
        <v>1</v>
      </c>
      <c r="I71" t="n">
        <v>0</v>
      </c>
      <c r="J71" t="n">
        <v>0</v>
      </c>
      <c r="K71" t="n">
        <v>1</v>
      </c>
      <c r="L71" t="n">
        <v>0</v>
      </c>
      <c r="M71" t="n">
        <v>0</v>
      </c>
      <c r="N71" t="n">
        <v>0</v>
      </c>
      <c r="O71" t="n">
        <v>1</v>
      </c>
      <c r="P71" t="n">
        <v>1</v>
      </c>
      <c r="Q71" t="n">
        <v>1</v>
      </c>
      <c r="R71" s="2" t="inlineStr">
        <is>
          <t>Hällebräcka</t>
        </is>
      </c>
      <c r="S71">
        <f>HYPERLINK("https://klasma.github.io/Logging_0188/artfynd/A 1547-2022 artfynd.xlsx", "A 1547-2022")</f>
        <v/>
      </c>
      <c r="T71">
        <f>HYPERLINK("https://klasma.github.io/Logging_0188/kartor/A 1547-2022 karta.png", "A 1547-2022")</f>
        <v/>
      </c>
      <c r="V71">
        <f>HYPERLINK("https://klasma.github.io/Logging_0188/klagomål/A 1547-2022 FSC-klagomål.docx", "A 1547-2022")</f>
        <v/>
      </c>
      <c r="W71">
        <f>HYPERLINK("https://klasma.github.io/Logging_0188/klagomålsmail/A 1547-2022 FSC-klagomål mail.docx", "A 1547-2022")</f>
        <v/>
      </c>
      <c r="X71">
        <f>HYPERLINK("https://klasma.github.io/Logging_0188/tillsyn/A 1547-2022 tillsynsbegäran.docx", "A 1547-2022")</f>
        <v/>
      </c>
      <c r="Y71">
        <f>HYPERLINK("https://klasma.github.io/Logging_0188/tillsynsmail/A 1547-2022 tillsynsbegäran mail.docx", "A 1547-2022")</f>
        <v/>
      </c>
    </row>
    <row r="72" ht="15" customHeight="1">
      <c r="A72" t="inlineStr">
        <is>
          <t>A 188-2022</t>
        </is>
      </c>
      <c r="B72" s="1" t="n">
        <v>44564.66387731482</v>
      </c>
      <c r="C72" s="1" t="n">
        <v>45939</v>
      </c>
      <c r="D72" t="inlineStr">
        <is>
          <t>STOCKHOLMS LÄN</t>
        </is>
      </c>
      <c r="E72" t="inlineStr">
        <is>
          <t>NORRTÄLJE</t>
        </is>
      </c>
      <c r="G72" t="n">
        <v>4.1</v>
      </c>
      <c r="H72" t="n">
        <v>0</v>
      </c>
      <c r="I72" t="n">
        <v>1</v>
      </c>
      <c r="J72" t="n">
        <v>0</v>
      </c>
      <c r="K72" t="n">
        <v>0</v>
      </c>
      <c r="L72" t="n">
        <v>0</v>
      </c>
      <c r="M72" t="n">
        <v>0</v>
      </c>
      <c r="N72" t="n">
        <v>0</v>
      </c>
      <c r="O72" t="n">
        <v>0</v>
      </c>
      <c r="P72" t="n">
        <v>0</v>
      </c>
      <c r="Q72" t="n">
        <v>1</v>
      </c>
      <c r="R72" s="2" t="inlineStr">
        <is>
          <t>Svart trolldruva</t>
        </is>
      </c>
      <c r="S72">
        <f>HYPERLINK("https://klasma.github.io/Logging_0188/artfynd/A 188-2022 artfynd.xlsx", "A 188-2022")</f>
        <v/>
      </c>
      <c r="T72">
        <f>HYPERLINK("https://klasma.github.io/Logging_0188/kartor/A 188-2022 karta.png", "A 188-2022")</f>
        <v/>
      </c>
      <c r="V72">
        <f>HYPERLINK("https://klasma.github.io/Logging_0188/klagomål/A 188-2022 FSC-klagomål.docx", "A 188-2022")</f>
        <v/>
      </c>
      <c r="W72">
        <f>HYPERLINK("https://klasma.github.io/Logging_0188/klagomålsmail/A 188-2022 FSC-klagomål mail.docx", "A 188-2022")</f>
        <v/>
      </c>
      <c r="X72">
        <f>HYPERLINK("https://klasma.github.io/Logging_0188/tillsyn/A 188-2022 tillsynsbegäran.docx", "A 188-2022")</f>
        <v/>
      </c>
      <c r="Y72">
        <f>HYPERLINK("https://klasma.github.io/Logging_0188/tillsynsmail/A 188-2022 tillsynsbegäran mail.docx", "A 188-2022")</f>
        <v/>
      </c>
    </row>
    <row r="73" ht="15" customHeight="1">
      <c r="A73" t="inlineStr">
        <is>
          <t>A 62846-2020</t>
        </is>
      </c>
      <c r="B73" s="1" t="n">
        <v>44161</v>
      </c>
      <c r="C73" s="1" t="n">
        <v>45939</v>
      </c>
      <c r="D73" t="inlineStr">
        <is>
          <t>STOCKHOLMS LÄN</t>
        </is>
      </c>
      <c r="E73" t="inlineStr">
        <is>
          <t>NORRTÄLJE</t>
        </is>
      </c>
      <c r="G73" t="n">
        <v>1.4</v>
      </c>
      <c r="H73" t="n">
        <v>1</v>
      </c>
      <c r="I73" t="n">
        <v>0</v>
      </c>
      <c r="J73" t="n">
        <v>0</v>
      </c>
      <c r="K73" t="n">
        <v>0</v>
      </c>
      <c r="L73" t="n">
        <v>0</v>
      </c>
      <c r="M73" t="n">
        <v>0</v>
      </c>
      <c r="N73" t="n">
        <v>0</v>
      </c>
      <c r="O73" t="n">
        <v>0</v>
      </c>
      <c r="P73" t="n">
        <v>0</v>
      </c>
      <c r="Q73" t="n">
        <v>1</v>
      </c>
      <c r="R73" s="2" t="inlineStr">
        <is>
          <t>Fläcknycklar</t>
        </is>
      </c>
      <c r="S73">
        <f>HYPERLINK("https://klasma.github.io/Logging_0188/artfynd/A 62846-2020 artfynd.xlsx", "A 62846-2020")</f>
        <v/>
      </c>
      <c r="T73">
        <f>HYPERLINK("https://klasma.github.io/Logging_0188/kartor/A 62846-2020 karta.png", "A 62846-2020")</f>
        <v/>
      </c>
      <c r="V73">
        <f>HYPERLINK("https://klasma.github.io/Logging_0188/klagomål/A 62846-2020 FSC-klagomål.docx", "A 62846-2020")</f>
        <v/>
      </c>
      <c r="W73">
        <f>HYPERLINK("https://klasma.github.io/Logging_0188/klagomålsmail/A 62846-2020 FSC-klagomål mail.docx", "A 62846-2020")</f>
        <v/>
      </c>
      <c r="X73">
        <f>HYPERLINK("https://klasma.github.io/Logging_0188/tillsyn/A 62846-2020 tillsynsbegäran.docx", "A 62846-2020")</f>
        <v/>
      </c>
      <c r="Y73">
        <f>HYPERLINK("https://klasma.github.io/Logging_0188/tillsynsmail/A 62846-2020 tillsynsbegäran mail.docx", "A 62846-2020")</f>
        <v/>
      </c>
    </row>
    <row r="74" ht="15" customHeight="1">
      <c r="A74" t="inlineStr">
        <is>
          <t>A 30138-2021</t>
        </is>
      </c>
      <c r="B74" s="1" t="n">
        <v>44363</v>
      </c>
      <c r="C74" s="1" t="n">
        <v>45939</v>
      </c>
      <c r="D74" t="inlineStr">
        <is>
          <t>STOCKHOLMS LÄN</t>
        </is>
      </c>
      <c r="E74" t="inlineStr">
        <is>
          <t>NORRTÄLJE</t>
        </is>
      </c>
      <c r="G74" t="n">
        <v>4.5</v>
      </c>
      <c r="H74" t="n">
        <v>0</v>
      </c>
      <c r="I74" t="n">
        <v>1</v>
      </c>
      <c r="J74" t="n">
        <v>0</v>
      </c>
      <c r="K74" t="n">
        <v>0</v>
      </c>
      <c r="L74" t="n">
        <v>0</v>
      </c>
      <c r="M74" t="n">
        <v>0</v>
      </c>
      <c r="N74" t="n">
        <v>0</v>
      </c>
      <c r="O74" t="n">
        <v>0</v>
      </c>
      <c r="P74" t="n">
        <v>0</v>
      </c>
      <c r="Q74" t="n">
        <v>1</v>
      </c>
      <c r="R74" s="2" t="inlineStr">
        <is>
          <t>Vårärt</t>
        </is>
      </c>
      <c r="S74">
        <f>HYPERLINK("https://klasma.github.io/Logging_0188/artfynd/A 30138-2021 artfynd.xlsx", "A 30138-2021")</f>
        <v/>
      </c>
      <c r="T74">
        <f>HYPERLINK("https://klasma.github.io/Logging_0188/kartor/A 30138-2021 karta.png", "A 30138-2021")</f>
        <v/>
      </c>
      <c r="V74">
        <f>HYPERLINK("https://klasma.github.io/Logging_0188/klagomål/A 30138-2021 FSC-klagomål.docx", "A 30138-2021")</f>
        <v/>
      </c>
      <c r="W74">
        <f>HYPERLINK("https://klasma.github.io/Logging_0188/klagomålsmail/A 30138-2021 FSC-klagomål mail.docx", "A 30138-2021")</f>
        <v/>
      </c>
      <c r="X74">
        <f>HYPERLINK("https://klasma.github.io/Logging_0188/tillsyn/A 30138-2021 tillsynsbegäran.docx", "A 30138-2021")</f>
        <v/>
      </c>
      <c r="Y74">
        <f>HYPERLINK("https://klasma.github.io/Logging_0188/tillsynsmail/A 30138-2021 tillsynsbegäran mail.docx", "A 30138-2021")</f>
        <v/>
      </c>
    </row>
    <row r="75" ht="15" customHeight="1">
      <c r="A75" t="inlineStr">
        <is>
          <t>A 17629-2022</t>
        </is>
      </c>
      <c r="B75" s="1" t="n">
        <v>44680</v>
      </c>
      <c r="C75" s="1" t="n">
        <v>45939</v>
      </c>
      <c r="D75" t="inlineStr">
        <is>
          <t>STOCKHOLMS LÄN</t>
        </is>
      </c>
      <c r="E75" t="inlineStr">
        <is>
          <t>NORRTÄLJE</t>
        </is>
      </c>
      <c r="G75" t="n">
        <v>0.6</v>
      </c>
      <c r="H75" t="n">
        <v>1</v>
      </c>
      <c r="I75" t="n">
        <v>0</v>
      </c>
      <c r="J75" t="n">
        <v>1</v>
      </c>
      <c r="K75" t="n">
        <v>0</v>
      </c>
      <c r="L75" t="n">
        <v>0</v>
      </c>
      <c r="M75" t="n">
        <v>0</v>
      </c>
      <c r="N75" t="n">
        <v>0</v>
      </c>
      <c r="O75" t="n">
        <v>1</v>
      </c>
      <c r="P75" t="n">
        <v>0</v>
      </c>
      <c r="Q75" t="n">
        <v>1</v>
      </c>
      <c r="R75" s="2" t="inlineStr">
        <is>
          <t>Hornuggla</t>
        </is>
      </c>
      <c r="S75">
        <f>HYPERLINK("https://klasma.github.io/Logging_0188/artfynd/A 17629-2022 artfynd.xlsx", "A 17629-2022")</f>
        <v/>
      </c>
      <c r="T75">
        <f>HYPERLINK("https://klasma.github.io/Logging_0188/kartor/A 17629-2022 karta.png", "A 17629-2022")</f>
        <v/>
      </c>
      <c r="V75">
        <f>HYPERLINK("https://klasma.github.io/Logging_0188/klagomål/A 17629-2022 FSC-klagomål.docx", "A 17629-2022")</f>
        <v/>
      </c>
      <c r="W75">
        <f>HYPERLINK("https://klasma.github.io/Logging_0188/klagomålsmail/A 17629-2022 FSC-klagomål mail.docx", "A 17629-2022")</f>
        <v/>
      </c>
      <c r="X75">
        <f>HYPERLINK("https://klasma.github.io/Logging_0188/tillsyn/A 17629-2022 tillsynsbegäran.docx", "A 17629-2022")</f>
        <v/>
      </c>
      <c r="Y75">
        <f>HYPERLINK("https://klasma.github.io/Logging_0188/tillsynsmail/A 17629-2022 tillsynsbegäran mail.docx", "A 17629-2022")</f>
        <v/>
      </c>
      <c r="Z75">
        <f>HYPERLINK("https://klasma.github.io/Logging_0188/fåglar/A 17629-2022 prioriterade fågelarter.docx", "A 17629-2022")</f>
        <v/>
      </c>
    </row>
    <row r="76" ht="15" customHeight="1">
      <c r="A76" t="inlineStr">
        <is>
          <t>A 32111-2022</t>
        </is>
      </c>
      <c r="B76" s="1" t="n">
        <v>44778.92797453704</v>
      </c>
      <c r="C76" s="1" t="n">
        <v>45939</v>
      </c>
      <c r="D76" t="inlineStr">
        <is>
          <t>STOCKHOLMS LÄN</t>
        </is>
      </c>
      <c r="E76" t="inlineStr">
        <is>
          <t>NORRTÄLJE</t>
        </is>
      </c>
      <c r="G76" t="n">
        <v>3.1</v>
      </c>
      <c r="H76" t="n">
        <v>0</v>
      </c>
      <c r="I76" t="n">
        <v>0</v>
      </c>
      <c r="J76" t="n">
        <v>1</v>
      </c>
      <c r="K76" t="n">
        <v>0</v>
      </c>
      <c r="L76" t="n">
        <v>0</v>
      </c>
      <c r="M76" t="n">
        <v>0</v>
      </c>
      <c r="N76" t="n">
        <v>0</v>
      </c>
      <c r="O76" t="n">
        <v>1</v>
      </c>
      <c r="P76" t="n">
        <v>0</v>
      </c>
      <c r="Q76" t="n">
        <v>1</v>
      </c>
      <c r="R76" s="2" t="inlineStr">
        <is>
          <t>Orange taggsvamp</t>
        </is>
      </c>
      <c r="S76">
        <f>HYPERLINK("https://klasma.github.io/Logging_0188/artfynd/A 32111-2022 artfynd.xlsx", "A 32111-2022")</f>
        <v/>
      </c>
      <c r="T76">
        <f>HYPERLINK("https://klasma.github.io/Logging_0188/kartor/A 32111-2022 karta.png", "A 32111-2022")</f>
        <v/>
      </c>
      <c r="V76">
        <f>HYPERLINK("https://klasma.github.io/Logging_0188/klagomål/A 32111-2022 FSC-klagomål.docx", "A 32111-2022")</f>
        <v/>
      </c>
      <c r="W76">
        <f>HYPERLINK("https://klasma.github.io/Logging_0188/klagomålsmail/A 32111-2022 FSC-klagomål mail.docx", "A 32111-2022")</f>
        <v/>
      </c>
      <c r="X76">
        <f>HYPERLINK("https://klasma.github.io/Logging_0188/tillsyn/A 32111-2022 tillsynsbegäran.docx", "A 32111-2022")</f>
        <v/>
      </c>
      <c r="Y76">
        <f>HYPERLINK("https://klasma.github.io/Logging_0188/tillsynsmail/A 32111-2022 tillsynsbegäran mail.docx", "A 32111-2022")</f>
        <v/>
      </c>
    </row>
    <row r="77" ht="15" customHeight="1">
      <c r="A77" t="inlineStr">
        <is>
          <t>A 33477-2022</t>
        </is>
      </c>
      <c r="B77" s="1" t="n">
        <v>44788.70217592592</v>
      </c>
      <c r="C77" s="1" t="n">
        <v>45939</v>
      </c>
      <c r="D77" t="inlineStr">
        <is>
          <t>STOCKHOLMS LÄN</t>
        </is>
      </c>
      <c r="E77" t="inlineStr">
        <is>
          <t>NORRTÄLJE</t>
        </is>
      </c>
      <c r="G77" t="n">
        <v>5.7</v>
      </c>
      <c r="H77" t="n">
        <v>1</v>
      </c>
      <c r="I77" t="n">
        <v>1</v>
      </c>
      <c r="J77" t="n">
        <v>0</v>
      </c>
      <c r="K77" t="n">
        <v>0</v>
      </c>
      <c r="L77" t="n">
        <v>0</v>
      </c>
      <c r="M77" t="n">
        <v>0</v>
      </c>
      <c r="N77" t="n">
        <v>0</v>
      </c>
      <c r="O77" t="n">
        <v>0</v>
      </c>
      <c r="P77" t="n">
        <v>0</v>
      </c>
      <c r="Q77" t="n">
        <v>1</v>
      </c>
      <c r="R77" s="2" t="inlineStr">
        <is>
          <t>Nästrot</t>
        </is>
      </c>
      <c r="S77">
        <f>HYPERLINK("https://klasma.github.io/Logging_0188/artfynd/A 33477-2022 artfynd.xlsx", "A 33477-2022")</f>
        <v/>
      </c>
      <c r="T77">
        <f>HYPERLINK("https://klasma.github.io/Logging_0188/kartor/A 33477-2022 karta.png", "A 33477-2022")</f>
        <v/>
      </c>
      <c r="V77">
        <f>HYPERLINK("https://klasma.github.io/Logging_0188/klagomål/A 33477-2022 FSC-klagomål.docx", "A 33477-2022")</f>
        <v/>
      </c>
      <c r="W77">
        <f>HYPERLINK("https://klasma.github.io/Logging_0188/klagomålsmail/A 33477-2022 FSC-klagomål mail.docx", "A 33477-2022")</f>
        <v/>
      </c>
      <c r="X77">
        <f>HYPERLINK("https://klasma.github.io/Logging_0188/tillsyn/A 33477-2022 tillsynsbegäran.docx", "A 33477-2022")</f>
        <v/>
      </c>
      <c r="Y77">
        <f>HYPERLINK("https://klasma.github.io/Logging_0188/tillsynsmail/A 33477-2022 tillsynsbegäran mail.docx", "A 33477-2022")</f>
        <v/>
      </c>
    </row>
    <row r="78" ht="15" customHeight="1">
      <c r="A78" t="inlineStr">
        <is>
          <t>A 11429-2023</t>
        </is>
      </c>
      <c r="B78" s="1" t="n">
        <v>44993</v>
      </c>
      <c r="C78" s="1" t="n">
        <v>45939</v>
      </c>
      <c r="D78" t="inlineStr">
        <is>
          <t>STOCKHOLMS LÄN</t>
        </is>
      </c>
      <c r="E78" t="inlineStr">
        <is>
          <t>NORRTÄLJE</t>
        </is>
      </c>
      <c r="G78" t="n">
        <v>2</v>
      </c>
      <c r="H78" t="n">
        <v>0</v>
      </c>
      <c r="I78" t="n">
        <v>0</v>
      </c>
      <c r="J78" t="n">
        <v>1</v>
      </c>
      <c r="K78" t="n">
        <v>0</v>
      </c>
      <c r="L78" t="n">
        <v>0</v>
      </c>
      <c r="M78" t="n">
        <v>0</v>
      </c>
      <c r="N78" t="n">
        <v>0</v>
      </c>
      <c r="O78" t="n">
        <v>1</v>
      </c>
      <c r="P78" t="n">
        <v>0</v>
      </c>
      <c r="Q78" t="n">
        <v>1</v>
      </c>
      <c r="R78" s="2" t="inlineStr">
        <is>
          <t>Skogsklocka</t>
        </is>
      </c>
      <c r="S78">
        <f>HYPERLINK("https://klasma.github.io/Logging_0188/artfynd/A 11429-2023 artfynd.xlsx", "A 11429-2023")</f>
        <v/>
      </c>
      <c r="T78">
        <f>HYPERLINK("https://klasma.github.io/Logging_0188/kartor/A 11429-2023 karta.png", "A 11429-2023")</f>
        <v/>
      </c>
      <c r="V78">
        <f>HYPERLINK("https://klasma.github.io/Logging_0188/klagomål/A 11429-2023 FSC-klagomål.docx", "A 11429-2023")</f>
        <v/>
      </c>
      <c r="W78">
        <f>HYPERLINK("https://klasma.github.io/Logging_0188/klagomålsmail/A 11429-2023 FSC-klagomål mail.docx", "A 11429-2023")</f>
        <v/>
      </c>
      <c r="X78">
        <f>HYPERLINK("https://klasma.github.io/Logging_0188/tillsyn/A 11429-2023 tillsynsbegäran.docx", "A 11429-2023")</f>
        <v/>
      </c>
      <c r="Y78">
        <f>HYPERLINK("https://klasma.github.io/Logging_0188/tillsynsmail/A 11429-2023 tillsynsbegäran mail.docx", "A 11429-2023")</f>
        <v/>
      </c>
    </row>
    <row r="79" ht="15" customHeight="1">
      <c r="A79" t="inlineStr">
        <is>
          <t>A 58888-2021</t>
        </is>
      </c>
      <c r="B79" s="1" t="n">
        <v>44489</v>
      </c>
      <c r="C79" s="1" t="n">
        <v>45939</v>
      </c>
      <c r="D79" t="inlineStr">
        <is>
          <t>STOCKHOLMS LÄN</t>
        </is>
      </c>
      <c r="E79" t="inlineStr">
        <is>
          <t>NORRTÄLJE</t>
        </is>
      </c>
      <c r="F79" t="inlineStr">
        <is>
          <t>Holmen skog AB</t>
        </is>
      </c>
      <c r="G79" t="n">
        <v>2.5</v>
      </c>
      <c r="H79" t="n">
        <v>1</v>
      </c>
      <c r="I79" t="n">
        <v>0</v>
      </c>
      <c r="J79" t="n">
        <v>0</v>
      </c>
      <c r="K79" t="n">
        <v>0</v>
      </c>
      <c r="L79" t="n">
        <v>1</v>
      </c>
      <c r="M79" t="n">
        <v>0</v>
      </c>
      <c r="N79" t="n">
        <v>0</v>
      </c>
      <c r="O79" t="n">
        <v>1</v>
      </c>
      <c r="P79" t="n">
        <v>1</v>
      </c>
      <c r="Q79" t="n">
        <v>1</v>
      </c>
      <c r="R79" s="2" t="inlineStr">
        <is>
          <t>Asknätfjäril</t>
        </is>
      </c>
      <c r="S79">
        <f>HYPERLINK("https://klasma.github.io/Logging_0188/artfynd/A 58888-2021 artfynd.xlsx", "A 58888-2021")</f>
        <v/>
      </c>
      <c r="T79">
        <f>HYPERLINK("https://klasma.github.io/Logging_0188/kartor/A 58888-2021 karta.png", "A 58888-2021")</f>
        <v/>
      </c>
      <c r="V79">
        <f>HYPERLINK("https://klasma.github.io/Logging_0188/klagomål/A 58888-2021 FSC-klagomål.docx", "A 58888-2021")</f>
        <v/>
      </c>
      <c r="W79">
        <f>HYPERLINK("https://klasma.github.io/Logging_0188/klagomålsmail/A 58888-2021 FSC-klagomål mail.docx", "A 58888-2021")</f>
        <v/>
      </c>
      <c r="X79">
        <f>HYPERLINK("https://klasma.github.io/Logging_0188/tillsyn/A 58888-2021 tillsynsbegäran.docx", "A 58888-2021")</f>
        <v/>
      </c>
      <c r="Y79">
        <f>HYPERLINK("https://klasma.github.io/Logging_0188/tillsynsmail/A 58888-2021 tillsynsbegäran mail.docx", "A 58888-2021")</f>
        <v/>
      </c>
    </row>
    <row r="80" ht="15" customHeight="1">
      <c r="A80" t="inlineStr">
        <is>
          <t>A 50854-2022</t>
        </is>
      </c>
      <c r="B80" s="1" t="n">
        <v>44863</v>
      </c>
      <c r="C80" s="1" t="n">
        <v>45939</v>
      </c>
      <c r="D80" t="inlineStr">
        <is>
          <t>STOCKHOLMS LÄN</t>
        </is>
      </c>
      <c r="E80" t="inlineStr">
        <is>
          <t>NORRTÄLJE</t>
        </is>
      </c>
      <c r="G80" t="n">
        <v>2.9</v>
      </c>
      <c r="H80" t="n">
        <v>0</v>
      </c>
      <c r="I80" t="n">
        <v>1</v>
      </c>
      <c r="J80" t="n">
        <v>0</v>
      </c>
      <c r="K80" t="n">
        <v>0</v>
      </c>
      <c r="L80" t="n">
        <v>0</v>
      </c>
      <c r="M80" t="n">
        <v>0</v>
      </c>
      <c r="N80" t="n">
        <v>0</v>
      </c>
      <c r="O80" t="n">
        <v>0</v>
      </c>
      <c r="P80" t="n">
        <v>0</v>
      </c>
      <c r="Q80" t="n">
        <v>1</v>
      </c>
      <c r="R80" s="2" t="inlineStr">
        <is>
          <t>Tibast</t>
        </is>
      </c>
      <c r="S80">
        <f>HYPERLINK("https://klasma.github.io/Logging_0188/artfynd/A 50854-2022 artfynd.xlsx", "A 50854-2022")</f>
        <v/>
      </c>
      <c r="T80">
        <f>HYPERLINK("https://klasma.github.io/Logging_0188/kartor/A 50854-2022 karta.png", "A 50854-2022")</f>
        <v/>
      </c>
      <c r="V80">
        <f>HYPERLINK("https://klasma.github.io/Logging_0188/klagomål/A 50854-2022 FSC-klagomål.docx", "A 50854-2022")</f>
        <v/>
      </c>
      <c r="W80">
        <f>HYPERLINK("https://klasma.github.io/Logging_0188/klagomålsmail/A 50854-2022 FSC-klagomål mail.docx", "A 50854-2022")</f>
        <v/>
      </c>
      <c r="X80">
        <f>HYPERLINK("https://klasma.github.io/Logging_0188/tillsyn/A 50854-2022 tillsynsbegäran.docx", "A 50854-2022")</f>
        <v/>
      </c>
      <c r="Y80">
        <f>HYPERLINK("https://klasma.github.io/Logging_0188/tillsynsmail/A 50854-2022 tillsynsbegäran mail.docx", "A 50854-2022")</f>
        <v/>
      </c>
    </row>
    <row r="81" ht="15" customHeight="1">
      <c r="A81" t="inlineStr">
        <is>
          <t>A 64456-2023</t>
        </is>
      </c>
      <c r="B81" s="1" t="n">
        <v>45280</v>
      </c>
      <c r="C81" s="1" t="n">
        <v>45939</v>
      </c>
      <c r="D81" t="inlineStr">
        <is>
          <t>STOCKHOLMS LÄN</t>
        </is>
      </c>
      <c r="E81" t="inlineStr">
        <is>
          <t>NORRTÄLJE</t>
        </is>
      </c>
      <c r="G81" t="n">
        <v>2.5</v>
      </c>
      <c r="H81" t="n">
        <v>0</v>
      </c>
      <c r="I81" t="n">
        <v>1</v>
      </c>
      <c r="J81" t="n">
        <v>0</v>
      </c>
      <c r="K81" t="n">
        <v>0</v>
      </c>
      <c r="L81" t="n">
        <v>0</v>
      </c>
      <c r="M81" t="n">
        <v>0</v>
      </c>
      <c r="N81" t="n">
        <v>0</v>
      </c>
      <c r="O81" t="n">
        <v>0</v>
      </c>
      <c r="P81" t="n">
        <v>0</v>
      </c>
      <c r="Q81" t="n">
        <v>1</v>
      </c>
      <c r="R81" s="2" t="inlineStr">
        <is>
          <t>Rödgul trumpetsvamp</t>
        </is>
      </c>
      <c r="S81">
        <f>HYPERLINK("https://klasma.github.io/Logging_0188/artfynd/A 64456-2023 artfynd.xlsx", "A 64456-2023")</f>
        <v/>
      </c>
      <c r="T81">
        <f>HYPERLINK("https://klasma.github.io/Logging_0188/kartor/A 64456-2023 karta.png", "A 64456-2023")</f>
        <v/>
      </c>
      <c r="V81">
        <f>HYPERLINK("https://klasma.github.io/Logging_0188/klagomål/A 64456-2023 FSC-klagomål.docx", "A 64456-2023")</f>
        <v/>
      </c>
      <c r="W81">
        <f>HYPERLINK("https://klasma.github.io/Logging_0188/klagomålsmail/A 64456-2023 FSC-klagomål mail.docx", "A 64456-2023")</f>
        <v/>
      </c>
      <c r="X81">
        <f>HYPERLINK("https://klasma.github.io/Logging_0188/tillsyn/A 64456-2023 tillsynsbegäran.docx", "A 64456-2023")</f>
        <v/>
      </c>
      <c r="Y81">
        <f>HYPERLINK("https://klasma.github.io/Logging_0188/tillsynsmail/A 64456-2023 tillsynsbegäran mail.docx", "A 64456-2023")</f>
        <v/>
      </c>
    </row>
    <row r="82" ht="15" customHeight="1">
      <c r="A82" t="inlineStr">
        <is>
          <t>A 8371-2025</t>
        </is>
      </c>
      <c r="B82" s="1" t="n">
        <v>45708</v>
      </c>
      <c r="C82" s="1" t="n">
        <v>45939</v>
      </c>
      <c r="D82" t="inlineStr">
        <is>
          <t>STOCKHOLMS LÄN</t>
        </is>
      </c>
      <c r="E82" t="inlineStr">
        <is>
          <t>NORRTÄLJE</t>
        </is>
      </c>
      <c r="F82" t="inlineStr">
        <is>
          <t>Övriga Aktiebolag</t>
        </is>
      </c>
      <c r="G82" t="n">
        <v>2.9</v>
      </c>
      <c r="H82" t="n">
        <v>1</v>
      </c>
      <c r="I82" t="n">
        <v>0</v>
      </c>
      <c r="J82" t="n">
        <v>1</v>
      </c>
      <c r="K82" t="n">
        <v>0</v>
      </c>
      <c r="L82" t="n">
        <v>0</v>
      </c>
      <c r="M82" t="n">
        <v>0</v>
      </c>
      <c r="N82" t="n">
        <v>0</v>
      </c>
      <c r="O82" t="n">
        <v>1</v>
      </c>
      <c r="P82" t="n">
        <v>0</v>
      </c>
      <c r="Q82" t="n">
        <v>1</v>
      </c>
      <c r="R82" s="2" t="inlineStr">
        <is>
          <t>Spillkråka</t>
        </is>
      </c>
      <c r="S82">
        <f>HYPERLINK("https://klasma.github.io/Logging_0188/artfynd/A 8371-2025 artfynd.xlsx", "A 8371-2025")</f>
        <v/>
      </c>
      <c r="T82">
        <f>HYPERLINK("https://klasma.github.io/Logging_0188/kartor/A 8371-2025 karta.png", "A 8371-2025")</f>
        <v/>
      </c>
      <c r="V82">
        <f>HYPERLINK("https://klasma.github.io/Logging_0188/klagomål/A 8371-2025 FSC-klagomål.docx", "A 8371-2025")</f>
        <v/>
      </c>
      <c r="W82">
        <f>HYPERLINK("https://klasma.github.io/Logging_0188/klagomålsmail/A 8371-2025 FSC-klagomål mail.docx", "A 8371-2025")</f>
        <v/>
      </c>
      <c r="X82">
        <f>HYPERLINK("https://klasma.github.io/Logging_0188/tillsyn/A 8371-2025 tillsynsbegäran.docx", "A 8371-2025")</f>
        <v/>
      </c>
      <c r="Y82">
        <f>HYPERLINK("https://klasma.github.io/Logging_0188/tillsynsmail/A 8371-2025 tillsynsbegäran mail.docx", "A 8371-2025")</f>
        <v/>
      </c>
      <c r="Z82">
        <f>HYPERLINK("https://klasma.github.io/Logging_0188/fåglar/A 8371-2025 prioriterade fågelarter.docx", "A 8371-2025")</f>
        <v/>
      </c>
    </row>
    <row r="83" ht="15" customHeight="1">
      <c r="A83" t="inlineStr">
        <is>
          <t>A 47898-2022</t>
        </is>
      </c>
      <c r="B83" s="1" t="n">
        <v>44855</v>
      </c>
      <c r="C83" s="1" t="n">
        <v>45939</v>
      </c>
      <c r="D83" t="inlineStr">
        <is>
          <t>STOCKHOLMS LÄN</t>
        </is>
      </c>
      <c r="E83" t="inlineStr">
        <is>
          <t>NORRTÄLJE</t>
        </is>
      </c>
      <c r="G83" t="n">
        <v>6.7</v>
      </c>
      <c r="H83" t="n">
        <v>1</v>
      </c>
      <c r="I83" t="n">
        <v>1</v>
      </c>
      <c r="J83" t="n">
        <v>0</v>
      </c>
      <c r="K83" t="n">
        <v>0</v>
      </c>
      <c r="L83" t="n">
        <v>0</v>
      </c>
      <c r="M83" t="n">
        <v>0</v>
      </c>
      <c r="N83" t="n">
        <v>0</v>
      </c>
      <c r="O83" t="n">
        <v>0</v>
      </c>
      <c r="P83" t="n">
        <v>0</v>
      </c>
      <c r="Q83" t="n">
        <v>1</v>
      </c>
      <c r="R83" s="2" t="inlineStr">
        <is>
          <t>Guckusko</t>
        </is>
      </c>
      <c r="S83">
        <f>HYPERLINK("https://klasma.github.io/Logging_0188/artfynd/A 47898-2022 artfynd.xlsx", "A 47898-2022")</f>
        <v/>
      </c>
      <c r="T83">
        <f>HYPERLINK("https://klasma.github.io/Logging_0188/kartor/A 47898-2022 karta.png", "A 47898-2022")</f>
        <v/>
      </c>
      <c r="V83">
        <f>HYPERLINK("https://klasma.github.io/Logging_0188/klagomål/A 47898-2022 FSC-klagomål.docx", "A 47898-2022")</f>
        <v/>
      </c>
      <c r="W83">
        <f>HYPERLINK("https://klasma.github.io/Logging_0188/klagomålsmail/A 47898-2022 FSC-klagomål mail.docx", "A 47898-2022")</f>
        <v/>
      </c>
      <c r="X83">
        <f>HYPERLINK("https://klasma.github.io/Logging_0188/tillsyn/A 47898-2022 tillsynsbegäran.docx", "A 47898-2022")</f>
        <v/>
      </c>
      <c r="Y83">
        <f>HYPERLINK("https://klasma.github.io/Logging_0188/tillsynsmail/A 47898-2022 tillsynsbegäran mail.docx", "A 47898-2022")</f>
        <v/>
      </c>
    </row>
    <row r="84" ht="15" customHeight="1">
      <c r="A84" t="inlineStr">
        <is>
          <t>A 4595-2023</t>
        </is>
      </c>
      <c r="B84" s="1" t="n">
        <v>44956</v>
      </c>
      <c r="C84" s="1" t="n">
        <v>45939</v>
      </c>
      <c r="D84" t="inlineStr">
        <is>
          <t>STOCKHOLMS LÄN</t>
        </is>
      </c>
      <c r="E84" t="inlineStr">
        <is>
          <t>NORRTÄLJE</t>
        </is>
      </c>
      <c r="G84" t="n">
        <v>0.6</v>
      </c>
      <c r="H84" t="n">
        <v>1</v>
      </c>
      <c r="I84" t="n">
        <v>0</v>
      </c>
      <c r="J84" t="n">
        <v>0</v>
      </c>
      <c r="K84" t="n">
        <v>0</v>
      </c>
      <c r="L84" t="n">
        <v>0</v>
      </c>
      <c r="M84" t="n">
        <v>0</v>
      </c>
      <c r="N84" t="n">
        <v>0</v>
      </c>
      <c r="O84" t="n">
        <v>0</v>
      </c>
      <c r="P84" t="n">
        <v>0</v>
      </c>
      <c r="Q84" t="n">
        <v>1</v>
      </c>
      <c r="R84" s="2" t="inlineStr">
        <is>
          <t>Blåsippa</t>
        </is>
      </c>
      <c r="S84">
        <f>HYPERLINK("https://klasma.github.io/Logging_0188/artfynd/A 4595-2023 artfynd.xlsx", "A 4595-2023")</f>
        <v/>
      </c>
      <c r="T84">
        <f>HYPERLINK("https://klasma.github.io/Logging_0188/kartor/A 4595-2023 karta.png", "A 4595-2023")</f>
        <v/>
      </c>
      <c r="V84">
        <f>HYPERLINK("https://klasma.github.io/Logging_0188/klagomål/A 4595-2023 FSC-klagomål.docx", "A 4595-2023")</f>
        <v/>
      </c>
      <c r="W84">
        <f>HYPERLINK("https://klasma.github.io/Logging_0188/klagomålsmail/A 4595-2023 FSC-klagomål mail.docx", "A 4595-2023")</f>
        <v/>
      </c>
      <c r="X84">
        <f>HYPERLINK("https://klasma.github.io/Logging_0188/tillsyn/A 4595-2023 tillsynsbegäran.docx", "A 4595-2023")</f>
        <v/>
      </c>
      <c r="Y84">
        <f>HYPERLINK("https://klasma.github.io/Logging_0188/tillsynsmail/A 4595-2023 tillsynsbegäran mail.docx", "A 4595-2023")</f>
        <v/>
      </c>
    </row>
    <row r="85" ht="15" customHeight="1">
      <c r="A85" t="inlineStr">
        <is>
          <t>A 21744-2023</t>
        </is>
      </c>
      <c r="B85" s="1" t="n">
        <v>45065</v>
      </c>
      <c r="C85" s="1" t="n">
        <v>45939</v>
      </c>
      <c r="D85" t="inlineStr">
        <is>
          <t>STOCKHOLMS LÄN</t>
        </is>
      </c>
      <c r="E85" t="inlineStr">
        <is>
          <t>NORRTÄLJE</t>
        </is>
      </c>
      <c r="F85" t="inlineStr">
        <is>
          <t>Holmen skog AB</t>
        </is>
      </c>
      <c r="G85" t="n">
        <v>4.2</v>
      </c>
      <c r="H85" t="n">
        <v>0</v>
      </c>
      <c r="I85" t="n">
        <v>1</v>
      </c>
      <c r="J85" t="n">
        <v>0</v>
      </c>
      <c r="K85" t="n">
        <v>0</v>
      </c>
      <c r="L85" t="n">
        <v>0</v>
      </c>
      <c r="M85" t="n">
        <v>0</v>
      </c>
      <c r="N85" t="n">
        <v>0</v>
      </c>
      <c r="O85" t="n">
        <v>0</v>
      </c>
      <c r="P85" t="n">
        <v>0</v>
      </c>
      <c r="Q85" t="n">
        <v>1</v>
      </c>
      <c r="R85" s="2" t="inlineStr">
        <is>
          <t>Korallblylav</t>
        </is>
      </c>
      <c r="S85">
        <f>HYPERLINK("https://klasma.github.io/Logging_0188/artfynd/A 21744-2023 artfynd.xlsx", "A 21744-2023")</f>
        <v/>
      </c>
      <c r="T85">
        <f>HYPERLINK("https://klasma.github.io/Logging_0188/kartor/A 21744-2023 karta.png", "A 21744-2023")</f>
        <v/>
      </c>
      <c r="V85">
        <f>HYPERLINK("https://klasma.github.io/Logging_0188/klagomål/A 21744-2023 FSC-klagomål.docx", "A 21744-2023")</f>
        <v/>
      </c>
      <c r="W85">
        <f>HYPERLINK("https://klasma.github.io/Logging_0188/klagomålsmail/A 21744-2023 FSC-klagomål mail.docx", "A 21744-2023")</f>
        <v/>
      </c>
      <c r="X85">
        <f>HYPERLINK("https://klasma.github.io/Logging_0188/tillsyn/A 21744-2023 tillsynsbegäran.docx", "A 21744-2023")</f>
        <v/>
      </c>
      <c r="Y85">
        <f>HYPERLINK("https://klasma.github.io/Logging_0188/tillsynsmail/A 21744-2023 tillsynsbegäran mail.docx", "A 21744-2023")</f>
        <v/>
      </c>
    </row>
    <row r="86" ht="15" customHeight="1">
      <c r="A86" t="inlineStr">
        <is>
          <t>A 17952-2022</t>
        </is>
      </c>
      <c r="B86" s="1" t="n">
        <v>44683</v>
      </c>
      <c r="C86" s="1" t="n">
        <v>45939</v>
      </c>
      <c r="D86" t="inlineStr">
        <is>
          <t>STOCKHOLMS LÄN</t>
        </is>
      </c>
      <c r="E86" t="inlineStr">
        <is>
          <t>NORRTÄLJE</t>
        </is>
      </c>
      <c r="G86" t="n">
        <v>51.1</v>
      </c>
      <c r="H86" t="n">
        <v>0</v>
      </c>
      <c r="I86" t="n">
        <v>0</v>
      </c>
      <c r="J86" t="n">
        <v>0</v>
      </c>
      <c r="K86" t="n">
        <v>1</v>
      </c>
      <c r="L86" t="n">
        <v>0</v>
      </c>
      <c r="M86" t="n">
        <v>0</v>
      </c>
      <c r="N86" t="n">
        <v>0</v>
      </c>
      <c r="O86" t="n">
        <v>1</v>
      </c>
      <c r="P86" t="n">
        <v>1</v>
      </c>
      <c r="Q86" t="n">
        <v>1</v>
      </c>
      <c r="R86" s="2" t="inlineStr">
        <is>
          <t>Kattunvisslare</t>
        </is>
      </c>
      <c r="S86">
        <f>HYPERLINK("https://klasma.github.io/Logging_0188/artfynd/A 17952-2022 artfynd.xlsx", "A 17952-2022")</f>
        <v/>
      </c>
      <c r="T86">
        <f>HYPERLINK("https://klasma.github.io/Logging_0188/kartor/A 17952-2022 karta.png", "A 17952-2022")</f>
        <v/>
      </c>
      <c r="V86">
        <f>HYPERLINK("https://klasma.github.io/Logging_0188/klagomål/A 17952-2022 FSC-klagomål.docx", "A 17952-2022")</f>
        <v/>
      </c>
      <c r="W86">
        <f>HYPERLINK("https://klasma.github.io/Logging_0188/klagomålsmail/A 17952-2022 FSC-klagomål mail.docx", "A 17952-2022")</f>
        <v/>
      </c>
      <c r="X86">
        <f>HYPERLINK("https://klasma.github.io/Logging_0188/tillsyn/A 17952-2022 tillsynsbegäran.docx", "A 17952-2022")</f>
        <v/>
      </c>
      <c r="Y86">
        <f>HYPERLINK("https://klasma.github.io/Logging_0188/tillsynsmail/A 17952-2022 tillsynsbegäran mail.docx", "A 17952-2022")</f>
        <v/>
      </c>
    </row>
    <row r="87" ht="15" customHeight="1">
      <c r="A87" t="inlineStr">
        <is>
          <t>A 52611-2024</t>
        </is>
      </c>
      <c r="B87" s="1" t="n">
        <v>45609.83747685186</v>
      </c>
      <c r="C87" s="1" t="n">
        <v>45939</v>
      </c>
      <c r="D87" t="inlineStr">
        <is>
          <t>STOCKHOLMS LÄN</t>
        </is>
      </c>
      <c r="E87" t="inlineStr">
        <is>
          <t>NORRTÄLJE</t>
        </is>
      </c>
      <c r="G87" t="n">
        <v>10.6</v>
      </c>
      <c r="H87" t="n">
        <v>1</v>
      </c>
      <c r="I87" t="n">
        <v>0</v>
      </c>
      <c r="J87" t="n">
        <v>0</v>
      </c>
      <c r="K87" t="n">
        <v>0</v>
      </c>
      <c r="L87" t="n">
        <v>0</v>
      </c>
      <c r="M87" t="n">
        <v>0</v>
      </c>
      <c r="N87" t="n">
        <v>0</v>
      </c>
      <c r="O87" t="n">
        <v>0</v>
      </c>
      <c r="P87" t="n">
        <v>0</v>
      </c>
      <c r="Q87" t="n">
        <v>1</v>
      </c>
      <c r="R87" s="2" t="inlineStr">
        <is>
          <t>Blåsippa</t>
        </is>
      </c>
      <c r="S87">
        <f>HYPERLINK("https://klasma.github.io/Logging_0188/artfynd/A 52611-2024 artfynd.xlsx", "A 52611-2024")</f>
        <v/>
      </c>
      <c r="T87">
        <f>HYPERLINK("https://klasma.github.io/Logging_0188/kartor/A 52611-2024 karta.png", "A 52611-2024")</f>
        <v/>
      </c>
      <c r="V87">
        <f>HYPERLINK("https://klasma.github.io/Logging_0188/klagomål/A 52611-2024 FSC-klagomål.docx", "A 52611-2024")</f>
        <v/>
      </c>
      <c r="W87">
        <f>HYPERLINK("https://klasma.github.io/Logging_0188/klagomålsmail/A 52611-2024 FSC-klagomål mail.docx", "A 52611-2024")</f>
        <v/>
      </c>
      <c r="X87">
        <f>HYPERLINK("https://klasma.github.io/Logging_0188/tillsyn/A 52611-2024 tillsynsbegäran.docx", "A 52611-2024")</f>
        <v/>
      </c>
      <c r="Y87">
        <f>HYPERLINK("https://klasma.github.io/Logging_0188/tillsynsmail/A 52611-2024 tillsynsbegäran mail.docx", "A 52611-2024")</f>
        <v/>
      </c>
    </row>
    <row r="88" ht="15" customHeight="1">
      <c r="A88" t="inlineStr">
        <is>
          <t>A 52508-2023</t>
        </is>
      </c>
      <c r="B88" s="1" t="n">
        <v>45225</v>
      </c>
      <c r="C88" s="1" t="n">
        <v>45939</v>
      </c>
      <c r="D88" t="inlineStr">
        <is>
          <t>STOCKHOLMS LÄN</t>
        </is>
      </c>
      <c r="E88" t="inlineStr">
        <is>
          <t>NORRTÄLJE</t>
        </is>
      </c>
      <c r="G88" t="n">
        <v>19.7</v>
      </c>
      <c r="H88" t="n">
        <v>1</v>
      </c>
      <c r="I88" t="n">
        <v>0</v>
      </c>
      <c r="J88" t="n">
        <v>0</v>
      </c>
      <c r="K88" t="n">
        <v>1</v>
      </c>
      <c r="L88" t="n">
        <v>0</v>
      </c>
      <c r="M88" t="n">
        <v>0</v>
      </c>
      <c r="N88" t="n">
        <v>0</v>
      </c>
      <c r="O88" t="n">
        <v>1</v>
      </c>
      <c r="P88" t="n">
        <v>1</v>
      </c>
      <c r="Q88" t="n">
        <v>1</v>
      </c>
      <c r="R88" s="2" t="inlineStr">
        <is>
          <t>Svärta</t>
        </is>
      </c>
      <c r="S88">
        <f>HYPERLINK("https://klasma.github.io/Logging_0188/artfynd/A 52508-2023 artfynd.xlsx", "A 52508-2023")</f>
        <v/>
      </c>
      <c r="T88">
        <f>HYPERLINK("https://klasma.github.io/Logging_0188/kartor/A 52508-2023 karta.png", "A 52508-2023")</f>
        <v/>
      </c>
      <c r="V88">
        <f>HYPERLINK("https://klasma.github.io/Logging_0188/klagomål/A 52508-2023 FSC-klagomål.docx", "A 52508-2023")</f>
        <v/>
      </c>
      <c r="W88">
        <f>HYPERLINK("https://klasma.github.io/Logging_0188/klagomålsmail/A 52508-2023 FSC-klagomål mail.docx", "A 52508-2023")</f>
        <v/>
      </c>
      <c r="X88">
        <f>HYPERLINK("https://klasma.github.io/Logging_0188/tillsyn/A 52508-2023 tillsynsbegäran.docx", "A 52508-2023")</f>
        <v/>
      </c>
      <c r="Y88">
        <f>HYPERLINK("https://klasma.github.io/Logging_0188/tillsynsmail/A 52508-2023 tillsynsbegäran mail.docx", "A 52508-2023")</f>
        <v/>
      </c>
    </row>
    <row r="89" ht="15" customHeight="1">
      <c r="A89" t="inlineStr">
        <is>
          <t>A 23146-2024</t>
        </is>
      </c>
      <c r="B89" s="1" t="n">
        <v>45450.63958333333</v>
      </c>
      <c r="C89" s="1" t="n">
        <v>45939</v>
      </c>
      <c r="D89" t="inlineStr">
        <is>
          <t>STOCKHOLMS LÄN</t>
        </is>
      </c>
      <c r="E89" t="inlineStr">
        <is>
          <t>NORRTÄLJE</t>
        </is>
      </c>
      <c r="F89" t="inlineStr">
        <is>
          <t>Kommuner</t>
        </is>
      </c>
      <c r="G89" t="n">
        <v>6</v>
      </c>
      <c r="H89" t="n">
        <v>0</v>
      </c>
      <c r="I89" t="n">
        <v>0</v>
      </c>
      <c r="J89" t="n">
        <v>1</v>
      </c>
      <c r="K89" t="n">
        <v>0</v>
      </c>
      <c r="L89" t="n">
        <v>0</v>
      </c>
      <c r="M89" t="n">
        <v>0</v>
      </c>
      <c r="N89" t="n">
        <v>0</v>
      </c>
      <c r="O89" t="n">
        <v>1</v>
      </c>
      <c r="P89" t="n">
        <v>0</v>
      </c>
      <c r="Q89" t="n">
        <v>1</v>
      </c>
      <c r="R89" s="2" t="inlineStr">
        <is>
          <t>Motaggsvamp</t>
        </is>
      </c>
      <c r="S89">
        <f>HYPERLINK("https://klasma.github.io/Logging_0188/artfynd/A 23146-2024 artfynd.xlsx", "A 23146-2024")</f>
        <v/>
      </c>
      <c r="T89">
        <f>HYPERLINK("https://klasma.github.io/Logging_0188/kartor/A 23146-2024 karta.png", "A 23146-2024")</f>
        <v/>
      </c>
      <c r="V89">
        <f>HYPERLINK("https://klasma.github.io/Logging_0188/klagomål/A 23146-2024 FSC-klagomål.docx", "A 23146-2024")</f>
        <v/>
      </c>
      <c r="W89">
        <f>HYPERLINK("https://klasma.github.io/Logging_0188/klagomålsmail/A 23146-2024 FSC-klagomål mail.docx", "A 23146-2024")</f>
        <v/>
      </c>
      <c r="X89">
        <f>HYPERLINK("https://klasma.github.io/Logging_0188/tillsyn/A 23146-2024 tillsynsbegäran.docx", "A 23146-2024")</f>
        <v/>
      </c>
      <c r="Y89">
        <f>HYPERLINK("https://klasma.github.io/Logging_0188/tillsynsmail/A 23146-2024 tillsynsbegäran mail.docx", "A 23146-2024")</f>
        <v/>
      </c>
    </row>
    <row r="90" ht="15" customHeight="1">
      <c r="A90" t="inlineStr">
        <is>
          <t>A 4860-2022</t>
        </is>
      </c>
      <c r="B90" s="1" t="n">
        <v>44592</v>
      </c>
      <c r="C90" s="1" t="n">
        <v>45939</v>
      </c>
      <c r="D90" t="inlineStr">
        <is>
          <t>STOCKHOLMS LÄN</t>
        </is>
      </c>
      <c r="E90" t="inlineStr">
        <is>
          <t>NORRTÄLJE</t>
        </is>
      </c>
      <c r="G90" t="n">
        <v>22.3</v>
      </c>
      <c r="H90" t="n">
        <v>0</v>
      </c>
      <c r="I90" t="n">
        <v>0</v>
      </c>
      <c r="J90" t="n">
        <v>1</v>
      </c>
      <c r="K90" t="n">
        <v>0</v>
      </c>
      <c r="L90" t="n">
        <v>0</v>
      </c>
      <c r="M90" t="n">
        <v>0</v>
      </c>
      <c r="N90" t="n">
        <v>0</v>
      </c>
      <c r="O90" t="n">
        <v>1</v>
      </c>
      <c r="P90" t="n">
        <v>0</v>
      </c>
      <c r="Q90" t="n">
        <v>1</v>
      </c>
      <c r="R90" s="2" t="inlineStr">
        <is>
          <t>Igelkott</t>
        </is>
      </c>
      <c r="S90">
        <f>HYPERLINK("https://klasma.github.io/Logging_0188/artfynd/A 4860-2022 artfynd.xlsx", "A 4860-2022")</f>
        <v/>
      </c>
      <c r="T90">
        <f>HYPERLINK("https://klasma.github.io/Logging_0188/kartor/A 4860-2022 karta.png", "A 4860-2022")</f>
        <v/>
      </c>
      <c r="V90">
        <f>HYPERLINK("https://klasma.github.io/Logging_0188/klagomål/A 4860-2022 FSC-klagomål.docx", "A 4860-2022")</f>
        <v/>
      </c>
      <c r="W90">
        <f>HYPERLINK("https://klasma.github.io/Logging_0188/klagomålsmail/A 4860-2022 FSC-klagomål mail.docx", "A 4860-2022")</f>
        <v/>
      </c>
      <c r="X90">
        <f>HYPERLINK("https://klasma.github.io/Logging_0188/tillsyn/A 4860-2022 tillsynsbegäran.docx", "A 4860-2022")</f>
        <v/>
      </c>
      <c r="Y90">
        <f>HYPERLINK("https://klasma.github.io/Logging_0188/tillsynsmail/A 4860-2022 tillsynsbegäran mail.docx", "A 4860-2022")</f>
        <v/>
      </c>
    </row>
    <row r="91" ht="15" customHeight="1">
      <c r="A91" t="inlineStr">
        <is>
          <t>A 27538-2024</t>
        </is>
      </c>
      <c r="B91" s="1" t="n">
        <v>45474</v>
      </c>
      <c r="C91" s="1" t="n">
        <v>45939</v>
      </c>
      <c r="D91" t="inlineStr">
        <is>
          <t>STOCKHOLMS LÄN</t>
        </is>
      </c>
      <c r="E91" t="inlineStr">
        <is>
          <t>NORRTÄLJE</t>
        </is>
      </c>
      <c r="G91" t="n">
        <v>1.5</v>
      </c>
      <c r="H91" t="n">
        <v>1</v>
      </c>
      <c r="I91" t="n">
        <v>1</v>
      </c>
      <c r="J91" t="n">
        <v>0</v>
      </c>
      <c r="K91" t="n">
        <v>0</v>
      </c>
      <c r="L91" t="n">
        <v>0</v>
      </c>
      <c r="M91" t="n">
        <v>0</v>
      </c>
      <c r="N91" t="n">
        <v>0</v>
      </c>
      <c r="O91" t="n">
        <v>0</v>
      </c>
      <c r="P91" t="n">
        <v>0</v>
      </c>
      <c r="Q91" t="n">
        <v>1</v>
      </c>
      <c r="R91" s="2" t="inlineStr">
        <is>
          <t>Skogsknipprot</t>
        </is>
      </c>
      <c r="S91">
        <f>HYPERLINK("https://klasma.github.io/Logging_0188/artfynd/A 27538-2024 artfynd.xlsx", "A 27538-2024")</f>
        <v/>
      </c>
      <c r="T91">
        <f>HYPERLINK("https://klasma.github.io/Logging_0188/kartor/A 27538-2024 karta.png", "A 27538-2024")</f>
        <v/>
      </c>
      <c r="V91">
        <f>HYPERLINK("https://klasma.github.io/Logging_0188/klagomål/A 27538-2024 FSC-klagomål.docx", "A 27538-2024")</f>
        <v/>
      </c>
      <c r="W91">
        <f>HYPERLINK("https://klasma.github.io/Logging_0188/klagomålsmail/A 27538-2024 FSC-klagomål mail.docx", "A 27538-2024")</f>
        <v/>
      </c>
      <c r="X91">
        <f>HYPERLINK("https://klasma.github.io/Logging_0188/tillsyn/A 27538-2024 tillsynsbegäran.docx", "A 27538-2024")</f>
        <v/>
      </c>
      <c r="Y91">
        <f>HYPERLINK("https://klasma.github.io/Logging_0188/tillsynsmail/A 27538-2024 tillsynsbegäran mail.docx", "A 27538-2024")</f>
        <v/>
      </c>
    </row>
    <row r="92" ht="15" customHeight="1">
      <c r="A92" t="inlineStr">
        <is>
          <t>A 13271-2025</t>
        </is>
      </c>
      <c r="B92" s="1" t="n">
        <v>45735.54510416667</v>
      </c>
      <c r="C92" s="1" t="n">
        <v>45939</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4385-2023</t>
        </is>
      </c>
      <c r="B93" s="1" t="n">
        <v>44955.71322916666</v>
      </c>
      <c r="C93" s="1" t="n">
        <v>45939</v>
      </c>
      <c r="D93" t="inlineStr">
        <is>
          <t>STOCKHOLMS LÄN</t>
        </is>
      </c>
      <c r="E93" t="inlineStr">
        <is>
          <t>NORRTÄLJE</t>
        </is>
      </c>
      <c r="G93" t="n">
        <v>7.8</v>
      </c>
      <c r="H93" t="n">
        <v>1</v>
      </c>
      <c r="I93" t="n">
        <v>1</v>
      </c>
      <c r="J93" t="n">
        <v>0</v>
      </c>
      <c r="K93" t="n">
        <v>0</v>
      </c>
      <c r="L93" t="n">
        <v>0</v>
      </c>
      <c r="M93" t="n">
        <v>0</v>
      </c>
      <c r="N93" t="n">
        <v>0</v>
      </c>
      <c r="O93" t="n">
        <v>0</v>
      </c>
      <c r="P93" t="n">
        <v>0</v>
      </c>
      <c r="Q93" t="n">
        <v>1</v>
      </c>
      <c r="R93" s="2" t="inlineStr">
        <is>
          <t>Skogsknipprot</t>
        </is>
      </c>
      <c r="S93">
        <f>HYPERLINK("https://klasma.github.io/Logging_0188/artfynd/A 4385-2023 artfynd.xlsx", "A 4385-2023")</f>
        <v/>
      </c>
      <c r="T93">
        <f>HYPERLINK("https://klasma.github.io/Logging_0188/kartor/A 4385-2023 karta.png", "A 4385-2023")</f>
        <v/>
      </c>
      <c r="V93">
        <f>HYPERLINK("https://klasma.github.io/Logging_0188/klagomål/A 4385-2023 FSC-klagomål.docx", "A 4385-2023")</f>
        <v/>
      </c>
      <c r="W93">
        <f>HYPERLINK("https://klasma.github.io/Logging_0188/klagomålsmail/A 4385-2023 FSC-klagomål mail.docx", "A 4385-2023")</f>
        <v/>
      </c>
      <c r="X93">
        <f>HYPERLINK("https://klasma.github.io/Logging_0188/tillsyn/A 4385-2023 tillsynsbegäran.docx", "A 4385-2023")</f>
        <v/>
      </c>
      <c r="Y93">
        <f>HYPERLINK("https://klasma.github.io/Logging_0188/tillsynsmail/A 4385-2023 tillsynsbegäran mail.docx", "A 4385-2023")</f>
        <v/>
      </c>
    </row>
    <row r="94" ht="15" customHeight="1">
      <c r="A94" t="inlineStr">
        <is>
          <t>A 48131-2023</t>
        </is>
      </c>
      <c r="B94" s="1" t="n">
        <v>45205</v>
      </c>
      <c r="C94" s="1" t="n">
        <v>45939</v>
      </c>
      <c r="D94" t="inlineStr">
        <is>
          <t>STOCKHOLMS LÄN</t>
        </is>
      </c>
      <c r="E94" t="inlineStr">
        <is>
          <t>NORRTÄLJE</t>
        </is>
      </c>
      <c r="G94" t="n">
        <v>2.3</v>
      </c>
      <c r="H94" t="n">
        <v>0</v>
      </c>
      <c r="I94" t="n">
        <v>0</v>
      </c>
      <c r="J94" t="n">
        <v>1</v>
      </c>
      <c r="K94" t="n">
        <v>0</v>
      </c>
      <c r="L94" t="n">
        <v>0</v>
      </c>
      <c r="M94" t="n">
        <v>0</v>
      </c>
      <c r="N94" t="n">
        <v>0</v>
      </c>
      <c r="O94" t="n">
        <v>1</v>
      </c>
      <c r="P94" t="n">
        <v>0</v>
      </c>
      <c r="Q94" t="n">
        <v>1</v>
      </c>
      <c r="R94" s="2" t="inlineStr">
        <is>
          <t>Slåtterfibbla</t>
        </is>
      </c>
      <c r="S94">
        <f>HYPERLINK("https://klasma.github.io/Logging_0188/artfynd/A 48131-2023 artfynd.xlsx", "A 48131-2023")</f>
        <v/>
      </c>
      <c r="T94">
        <f>HYPERLINK("https://klasma.github.io/Logging_0188/kartor/A 48131-2023 karta.png", "A 48131-2023")</f>
        <v/>
      </c>
      <c r="V94">
        <f>HYPERLINK("https://klasma.github.io/Logging_0188/klagomål/A 48131-2023 FSC-klagomål.docx", "A 48131-2023")</f>
        <v/>
      </c>
      <c r="W94">
        <f>HYPERLINK("https://klasma.github.io/Logging_0188/klagomålsmail/A 48131-2023 FSC-klagomål mail.docx", "A 48131-2023")</f>
        <v/>
      </c>
      <c r="X94">
        <f>HYPERLINK("https://klasma.github.io/Logging_0188/tillsyn/A 48131-2023 tillsynsbegäran.docx", "A 48131-2023")</f>
        <v/>
      </c>
      <c r="Y94">
        <f>HYPERLINK("https://klasma.github.io/Logging_0188/tillsynsmail/A 48131-2023 tillsynsbegäran mail.docx", "A 48131-2023")</f>
        <v/>
      </c>
    </row>
    <row r="95" ht="15" customHeight="1">
      <c r="A95" t="inlineStr">
        <is>
          <t>A 24330-2023</t>
        </is>
      </c>
      <c r="B95" s="1" t="n">
        <v>45081</v>
      </c>
      <c r="C95" s="1" t="n">
        <v>45939</v>
      </c>
      <c r="D95" t="inlineStr">
        <is>
          <t>STOCKHOLMS LÄN</t>
        </is>
      </c>
      <c r="E95" t="inlineStr">
        <is>
          <t>NORRTÄLJE</t>
        </is>
      </c>
      <c r="G95" t="n">
        <v>5</v>
      </c>
      <c r="H95" t="n">
        <v>1</v>
      </c>
      <c r="I95" t="n">
        <v>0</v>
      </c>
      <c r="J95" t="n">
        <v>1</v>
      </c>
      <c r="K95" t="n">
        <v>0</v>
      </c>
      <c r="L95" t="n">
        <v>0</v>
      </c>
      <c r="M95" t="n">
        <v>0</v>
      </c>
      <c r="N95" t="n">
        <v>0</v>
      </c>
      <c r="O95" t="n">
        <v>1</v>
      </c>
      <c r="P95" t="n">
        <v>0</v>
      </c>
      <c r="Q95" t="n">
        <v>1</v>
      </c>
      <c r="R95" s="2" t="inlineStr">
        <is>
          <t>Mindre hackspett</t>
        </is>
      </c>
      <c r="S95">
        <f>HYPERLINK("https://klasma.github.io/Logging_0188/artfynd/A 24330-2023 artfynd.xlsx", "A 24330-2023")</f>
        <v/>
      </c>
      <c r="T95">
        <f>HYPERLINK("https://klasma.github.io/Logging_0188/kartor/A 24330-2023 karta.png", "A 24330-2023")</f>
        <v/>
      </c>
      <c r="V95">
        <f>HYPERLINK("https://klasma.github.io/Logging_0188/klagomål/A 24330-2023 FSC-klagomål.docx", "A 24330-2023")</f>
        <v/>
      </c>
      <c r="W95">
        <f>HYPERLINK("https://klasma.github.io/Logging_0188/klagomålsmail/A 24330-2023 FSC-klagomål mail.docx", "A 24330-2023")</f>
        <v/>
      </c>
      <c r="X95">
        <f>HYPERLINK("https://klasma.github.io/Logging_0188/tillsyn/A 24330-2023 tillsynsbegäran.docx", "A 24330-2023")</f>
        <v/>
      </c>
      <c r="Y95">
        <f>HYPERLINK("https://klasma.github.io/Logging_0188/tillsynsmail/A 24330-2023 tillsynsbegäran mail.docx", "A 24330-2023")</f>
        <v/>
      </c>
      <c r="Z95">
        <f>HYPERLINK("https://klasma.github.io/Logging_0188/fåglar/A 24330-2023 prioriterade fågelarter.docx", "A 24330-2023")</f>
        <v/>
      </c>
    </row>
    <row r="96" ht="15" customHeight="1">
      <c r="A96" t="inlineStr">
        <is>
          <t>A 24535-2023</t>
        </is>
      </c>
      <c r="B96" s="1" t="n">
        <v>45082</v>
      </c>
      <c r="C96" s="1" t="n">
        <v>45939</v>
      </c>
      <c r="D96" t="inlineStr">
        <is>
          <t>STOCKHOLMS LÄN</t>
        </is>
      </c>
      <c r="E96" t="inlineStr">
        <is>
          <t>NORRTÄLJE</t>
        </is>
      </c>
      <c r="F96" t="inlineStr">
        <is>
          <t>Kommuner</t>
        </is>
      </c>
      <c r="G96" t="n">
        <v>2</v>
      </c>
      <c r="H96" t="n">
        <v>1</v>
      </c>
      <c r="I96" t="n">
        <v>0</v>
      </c>
      <c r="J96" t="n">
        <v>0</v>
      </c>
      <c r="K96" t="n">
        <v>0</v>
      </c>
      <c r="L96" t="n">
        <v>0</v>
      </c>
      <c r="M96" t="n">
        <v>0</v>
      </c>
      <c r="N96" t="n">
        <v>0</v>
      </c>
      <c r="O96" t="n">
        <v>0</v>
      </c>
      <c r="P96" t="n">
        <v>0</v>
      </c>
      <c r="Q96" t="n">
        <v>1</v>
      </c>
      <c r="R96" s="2" t="inlineStr">
        <is>
          <t>Blåsippa</t>
        </is>
      </c>
      <c r="S96">
        <f>HYPERLINK("https://klasma.github.io/Logging_0188/artfynd/A 24535-2023 artfynd.xlsx", "A 24535-2023")</f>
        <v/>
      </c>
      <c r="T96">
        <f>HYPERLINK("https://klasma.github.io/Logging_0188/kartor/A 24535-2023 karta.png", "A 24535-2023")</f>
        <v/>
      </c>
      <c r="V96">
        <f>HYPERLINK("https://klasma.github.io/Logging_0188/klagomål/A 24535-2023 FSC-klagomål.docx", "A 24535-2023")</f>
        <v/>
      </c>
      <c r="W96">
        <f>HYPERLINK("https://klasma.github.io/Logging_0188/klagomålsmail/A 24535-2023 FSC-klagomål mail.docx", "A 24535-2023")</f>
        <v/>
      </c>
      <c r="X96">
        <f>HYPERLINK("https://klasma.github.io/Logging_0188/tillsyn/A 24535-2023 tillsynsbegäran.docx", "A 24535-2023")</f>
        <v/>
      </c>
      <c r="Y96">
        <f>HYPERLINK("https://klasma.github.io/Logging_0188/tillsynsmail/A 24535-2023 tillsynsbegäran mail.docx", "A 24535-2023")</f>
        <v/>
      </c>
    </row>
    <row r="97" ht="15" customHeight="1">
      <c r="A97" t="inlineStr">
        <is>
          <t>A 27827-2022</t>
        </is>
      </c>
      <c r="B97" s="1" t="n">
        <v>44743.59504629629</v>
      </c>
      <c r="C97" s="1" t="n">
        <v>45939</v>
      </c>
      <c r="D97" t="inlineStr">
        <is>
          <t>STOCKHOLMS LÄN</t>
        </is>
      </c>
      <c r="E97" t="inlineStr">
        <is>
          <t>NORRTÄLJE</t>
        </is>
      </c>
      <c r="F97" t="inlineStr">
        <is>
          <t>Holmen skog AB</t>
        </is>
      </c>
      <c r="G97" t="n">
        <v>4.7</v>
      </c>
      <c r="H97" t="n">
        <v>1</v>
      </c>
      <c r="I97" t="n">
        <v>0</v>
      </c>
      <c r="J97" t="n">
        <v>1</v>
      </c>
      <c r="K97" t="n">
        <v>0</v>
      </c>
      <c r="L97" t="n">
        <v>0</v>
      </c>
      <c r="M97" t="n">
        <v>0</v>
      </c>
      <c r="N97" t="n">
        <v>0</v>
      </c>
      <c r="O97" t="n">
        <v>1</v>
      </c>
      <c r="P97" t="n">
        <v>0</v>
      </c>
      <c r="Q97" t="n">
        <v>1</v>
      </c>
      <c r="R97" s="2" t="inlineStr">
        <is>
          <t>Nordfladdermus</t>
        </is>
      </c>
      <c r="S97">
        <f>HYPERLINK("https://klasma.github.io/Logging_0188/artfynd/A 27827-2022 artfynd.xlsx", "A 27827-2022")</f>
        <v/>
      </c>
      <c r="T97">
        <f>HYPERLINK("https://klasma.github.io/Logging_0188/kartor/A 27827-2022 karta.png", "A 27827-2022")</f>
        <v/>
      </c>
      <c r="V97">
        <f>HYPERLINK("https://klasma.github.io/Logging_0188/klagomål/A 27827-2022 FSC-klagomål.docx", "A 27827-2022")</f>
        <v/>
      </c>
      <c r="W97">
        <f>HYPERLINK("https://klasma.github.io/Logging_0188/klagomålsmail/A 27827-2022 FSC-klagomål mail.docx", "A 27827-2022")</f>
        <v/>
      </c>
      <c r="X97">
        <f>HYPERLINK("https://klasma.github.io/Logging_0188/tillsyn/A 27827-2022 tillsynsbegäran.docx", "A 27827-2022")</f>
        <v/>
      </c>
      <c r="Y97">
        <f>HYPERLINK("https://klasma.github.io/Logging_0188/tillsynsmail/A 27827-2022 tillsynsbegäran mail.docx", "A 27827-2022")</f>
        <v/>
      </c>
    </row>
    <row r="98" ht="15" customHeight="1">
      <c r="A98" t="inlineStr">
        <is>
          <t>A 26635-2023</t>
        </is>
      </c>
      <c r="B98" s="1" t="n">
        <v>45092</v>
      </c>
      <c r="C98" s="1" t="n">
        <v>45939</v>
      </c>
      <c r="D98" t="inlineStr">
        <is>
          <t>STOCKHOLMS LÄN</t>
        </is>
      </c>
      <c r="E98" t="inlineStr">
        <is>
          <t>NORRTÄLJE</t>
        </is>
      </c>
      <c r="G98" t="n">
        <v>3.1</v>
      </c>
      <c r="H98" t="n">
        <v>1</v>
      </c>
      <c r="I98" t="n">
        <v>0</v>
      </c>
      <c r="J98" t="n">
        <v>0</v>
      </c>
      <c r="K98" t="n">
        <v>0</v>
      </c>
      <c r="L98" t="n">
        <v>0</v>
      </c>
      <c r="M98" t="n">
        <v>0</v>
      </c>
      <c r="N98" t="n">
        <v>0</v>
      </c>
      <c r="O98" t="n">
        <v>0</v>
      </c>
      <c r="P98" t="n">
        <v>0</v>
      </c>
      <c r="Q98" t="n">
        <v>1</v>
      </c>
      <c r="R98" s="2" t="inlineStr">
        <is>
          <t>Fläcknycklar</t>
        </is>
      </c>
      <c r="S98">
        <f>HYPERLINK("https://klasma.github.io/Logging_0188/artfynd/A 26635-2023 artfynd.xlsx", "A 26635-2023")</f>
        <v/>
      </c>
      <c r="T98">
        <f>HYPERLINK("https://klasma.github.io/Logging_0188/kartor/A 26635-2023 karta.png", "A 26635-2023")</f>
        <v/>
      </c>
      <c r="V98">
        <f>HYPERLINK("https://klasma.github.io/Logging_0188/klagomål/A 26635-2023 FSC-klagomål.docx", "A 26635-2023")</f>
        <v/>
      </c>
      <c r="W98">
        <f>HYPERLINK("https://klasma.github.io/Logging_0188/klagomålsmail/A 26635-2023 FSC-klagomål mail.docx", "A 26635-2023")</f>
        <v/>
      </c>
      <c r="X98">
        <f>HYPERLINK("https://klasma.github.io/Logging_0188/tillsyn/A 26635-2023 tillsynsbegäran.docx", "A 26635-2023")</f>
        <v/>
      </c>
      <c r="Y98">
        <f>HYPERLINK("https://klasma.github.io/Logging_0188/tillsynsmail/A 26635-2023 tillsynsbegäran mail.docx", "A 26635-2023")</f>
        <v/>
      </c>
    </row>
    <row r="99" ht="15" customHeight="1">
      <c r="A99" t="inlineStr">
        <is>
          <t>A 19829-2022</t>
        </is>
      </c>
      <c r="B99" s="1" t="n">
        <v>44695.43527777777</v>
      </c>
      <c r="C99" s="1" t="n">
        <v>45939</v>
      </c>
      <c r="D99" t="inlineStr">
        <is>
          <t>STOCKHOLMS LÄN</t>
        </is>
      </c>
      <c r="E99" t="inlineStr">
        <is>
          <t>NORRTÄLJE</t>
        </is>
      </c>
      <c r="G99" t="n">
        <v>2</v>
      </c>
      <c r="H99" t="n">
        <v>1</v>
      </c>
      <c r="I99" t="n">
        <v>1</v>
      </c>
      <c r="J99" t="n">
        <v>0</v>
      </c>
      <c r="K99" t="n">
        <v>0</v>
      </c>
      <c r="L99" t="n">
        <v>0</v>
      </c>
      <c r="M99" t="n">
        <v>0</v>
      </c>
      <c r="N99" t="n">
        <v>0</v>
      </c>
      <c r="O99" t="n">
        <v>0</v>
      </c>
      <c r="P99" t="n">
        <v>0</v>
      </c>
      <c r="Q99" t="n">
        <v>1</v>
      </c>
      <c r="R99" s="2" t="inlineStr">
        <is>
          <t>Guckusko</t>
        </is>
      </c>
      <c r="S99">
        <f>HYPERLINK("https://klasma.github.io/Logging_0188/artfynd/A 19829-2022 artfynd.xlsx", "A 19829-2022")</f>
        <v/>
      </c>
      <c r="T99">
        <f>HYPERLINK("https://klasma.github.io/Logging_0188/kartor/A 19829-2022 karta.png", "A 19829-2022")</f>
        <v/>
      </c>
      <c r="V99">
        <f>HYPERLINK("https://klasma.github.io/Logging_0188/klagomål/A 19829-2022 FSC-klagomål.docx", "A 19829-2022")</f>
        <v/>
      </c>
      <c r="W99">
        <f>HYPERLINK("https://klasma.github.io/Logging_0188/klagomålsmail/A 19829-2022 FSC-klagomål mail.docx", "A 19829-2022")</f>
        <v/>
      </c>
      <c r="X99">
        <f>HYPERLINK("https://klasma.github.io/Logging_0188/tillsyn/A 19829-2022 tillsynsbegäran.docx", "A 19829-2022")</f>
        <v/>
      </c>
      <c r="Y99">
        <f>HYPERLINK("https://klasma.github.io/Logging_0188/tillsynsmail/A 19829-2022 tillsynsbegäran mail.docx", "A 19829-2022")</f>
        <v/>
      </c>
    </row>
    <row r="100" ht="15" customHeight="1">
      <c r="A100" t="inlineStr">
        <is>
          <t>A 9955-2022</t>
        </is>
      </c>
      <c r="B100" s="1" t="n">
        <v>44620</v>
      </c>
      <c r="C100" s="1" t="n">
        <v>45939</v>
      </c>
      <c r="D100" t="inlineStr">
        <is>
          <t>STOCKHOLMS LÄN</t>
        </is>
      </c>
      <c r="E100" t="inlineStr">
        <is>
          <t>NORRTÄLJE</t>
        </is>
      </c>
      <c r="G100" t="n">
        <v>7.8</v>
      </c>
      <c r="H100" t="n">
        <v>1</v>
      </c>
      <c r="I100" t="n">
        <v>0</v>
      </c>
      <c r="J100" t="n">
        <v>0</v>
      </c>
      <c r="K100" t="n">
        <v>0</v>
      </c>
      <c r="L100" t="n">
        <v>0</v>
      </c>
      <c r="M100" t="n">
        <v>0</v>
      </c>
      <c r="N100" t="n">
        <v>0</v>
      </c>
      <c r="O100" t="n">
        <v>0</v>
      </c>
      <c r="P100" t="n">
        <v>0</v>
      </c>
      <c r="Q100" t="n">
        <v>1</v>
      </c>
      <c r="R100" s="2" t="inlineStr">
        <is>
          <t>Åkergroda</t>
        </is>
      </c>
      <c r="S100">
        <f>HYPERLINK("https://klasma.github.io/Logging_0188/artfynd/A 9955-2022 artfynd.xlsx", "A 9955-2022")</f>
        <v/>
      </c>
      <c r="T100">
        <f>HYPERLINK("https://klasma.github.io/Logging_0188/kartor/A 9955-2022 karta.png", "A 9955-2022")</f>
        <v/>
      </c>
      <c r="V100">
        <f>HYPERLINK("https://klasma.github.io/Logging_0188/klagomål/A 9955-2022 FSC-klagomål.docx", "A 9955-2022")</f>
        <v/>
      </c>
      <c r="W100">
        <f>HYPERLINK("https://klasma.github.io/Logging_0188/klagomålsmail/A 9955-2022 FSC-klagomål mail.docx", "A 9955-2022")</f>
        <v/>
      </c>
      <c r="X100">
        <f>HYPERLINK("https://klasma.github.io/Logging_0188/tillsyn/A 9955-2022 tillsynsbegäran.docx", "A 9955-2022")</f>
        <v/>
      </c>
      <c r="Y100">
        <f>HYPERLINK("https://klasma.github.io/Logging_0188/tillsynsmail/A 9955-2022 tillsynsbegäran mail.docx", "A 9955-2022")</f>
        <v/>
      </c>
    </row>
    <row r="101" ht="15" customHeight="1">
      <c r="A101" t="inlineStr">
        <is>
          <t>A 23905-2025</t>
        </is>
      </c>
      <c r="B101" s="1" t="n">
        <v>45794.63298611111</v>
      </c>
      <c r="C101" s="1" t="n">
        <v>45939</v>
      </c>
      <c r="D101" t="inlineStr">
        <is>
          <t>STOCKHOLMS LÄN</t>
        </is>
      </c>
      <c r="E101" t="inlineStr">
        <is>
          <t>NORRTÄLJE</t>
        </is>
      </c>
      <c r="G101" t="n">
        <v>8.4</v>
      </c>
      <c r="H101" t="n">
        <v>1</v>
      </c>
      <c r="I101" t="n">
        <v>0</v>
      </c>
      <c r="J101" t="n">
        <v>0</v>
      </c>
      <c r="K101" t="n">
        <v>0</v>
      </c>
      <c r="L101" t="n">
        <v>0</v>
      </c>
      <c r="M101" t="n">
        <v>0</v>
      </c>
      <c r="N101" t="n">
        <v>0</v>
      </c>
      <c r="O101" t="n">
        <v>0</v>
      </c>
      <c r="P101" t="n">
        <v>0</v>
      </c>
      <c r="Q101" t="n">
        <v>1</v>
      </c>
      <c r="R101" s="2" t="inlineStr">
        <is>
          <t>Blåsippa</t>
        </is>
      </c>
      <c r="S101">
        <f>HYPERLINK("https://klasma.github.io/Logging_0188/artfynd/A 23905-2025 artfynd.xlsx", "A 23905-2025")</f>
        <v/>
      </c>
      <c r="T101">
        <f>HYPERLINK("https://klasma.github.io/Logging_0188/kartor/A 23905-2025 karta.png", "A 23905-2025")</f>
        <v/>
      </c>
      <c r="V101">
        <f>HYPERLINK("https://klasma.github.io/Logging_0188/klagomål/A 23905-2025 FSC-klagomål.docx", "A 23905-2025")</f>
        <v/>
      </c>
      <c r="W101">
        <f>HYPERLINK("https://klasma.github.io/Logging_0188/klagomålsmail/A 23905-2025 FSC-klagomål mail.docx", "A 23905-2025")</f>
        <v/>
      </c>
      <c r="X101">
        <f>HYPERLINK("https://klasma.github.io/Logging_0188/tillsyn/A 23905-2025 tillsynsbegäran.docx", "A 23905-2025")</f>
        <v/>
      </c>
      <c r="Y101">
        <f>HYPERLINK("https://klasma.github.io/Logging_0188/tillsynsmail/A 23905-2025 tillsynsbegäran mail.docx", "A 23905-2025")</f>
        <v/>
      </c>
    </row>
    <row r="102" ht="15" customHeight="1">
      <c r="A102" t="inlineStr">
        <is>
          <t>A 25687-2025</t>
        </is>
      </c>
      <c r="B102" s="1" t="n">
        <v>45800</v>
      </c>
      <c r="C102" s="1" t="n">
        <v>45939</v>
      </c>
      <c r="D102" t="inlineStr">
        <is>
          <t>STOCKHOLMS LÄN</t>
        </is>
      </c>
      <c r="E102" t="inlineStr">
        <is>
          <t>NORRTÄLJE</t>
        </is>
      </c>
      <c r="G102" t="n">
        <v>15.7</v>
      </c>
      <c r="H102" t="n">
        <v>0</v>
      </c>
      <c r="I102" t="n">
        <v>1</v>
      </c>
      <c r="J102" t="n">
        <v>0</v>
      </c>
      <c r="K102" t="n">
        <v>0</v>
      </c>
      <c r="L102" t="n">
        <v>0</v>
      </c>
      <c r="M102" t="n">
        <v>0</v>
      </c>
      <c r="N102" t="n">
        <v>0</v>
      </c>
      <c r="O102" t="n">
        <v>0</v>
      </c>
      <c r="P102" t="n">
        <v>0</v>
      </c>
      <c r="Q102" t="n">
        <v>1</v>
      </c>
      <c r="R102" s="2" t="inlineStr">
        <is>
          <t>Grönpyrola</t>
        </is>
      </c>
      <c r="S102">
        <f>HYPERLINK("https://klasma.github.io/Logging_0188/artfynd/A 25687-2025 artfynd.xlsx", "A 25687-2025")</f>
        <v/>
      </c>
      <c r="T102">
        <f>HYPERLINK("https://klasma.github.io/Logging_0188/kartor/A 25687-2025 karta.png", "A 25687-2025")</f>
        <v/>
      </c>
      <c r="V102">
        <f>HYPERLINK("https://klasma.github.io/Logging_0188/klagomål/A 25687-2025 FSC-klagomål.docx", "A 25687-2025")</f>
        <v/>
      </c>
      <c r="W102">
        <f>HYPERLINK("https://klasma.github.io/Logging_0188/klagomålsmail/A 25687-2025 FSC-klagomål mail.docx", "A 25687-2025")</f>
        <v/>
      </c>
      <c r="X102">
        <f>HYPERLINK("https://klasma.github.io/Logging_0188/tillsyn/A 25687-2025 tillsynsbegäran.docx", "A 25687-2025")</f>
        <v/>
      </c>
      <c r="Y102">
        <f>HYPERLINK("https://klasma.github.io/Logging_0188/tillsynsmail/A 25687-2025 tillsynsbegäran mail.docx", "A 25687-2025")</f>
        <v/>
      </c>
    </row>
    <row r="103" ht="15" customHeight="1">
      <c r="A103" t="inlineStr">
        <is>
          <t>A 35649-2023</t>
        </is>
      </c>
      <c r="B103" s="1" t="n">
        <v>45146</v>
      </c>
      <c r="C103" s="1" t="n">
        <v>45939</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35764-2024</t>
        </is>
      </c>
      <c r="B104" s="1" t="n">
        <v>45532</v>
      </c>
      <c r="C104" s="1" t="n">
        <v>45939</v>
      </c>
      <c r="D104" t="inlineStr">
        <is>
          <t>STOCKHOLMS LÄN</t>
        </is>
      </c>
      <c r="E104" t="inlineStr">
        <is>
          <t>NORRTÄLJE</t>
        </is>
      </c>
      <c r="G104" t="n">
        <v>14.2</v>
      </c>
      <c r="H104" t="n">
        <v>1</v>
      </c>
      <c r="I104" t="n">
        <v>0</v>
      </c>
      <c r="J104" t="n">
        <v>0</v>
      </c>
      <c r="K104" t="n">
        <v>1</v>
      </c>
      <c r="L104" t="n">
        <v>0</v>
      </c>
      <c r="M104" t="n">
        <v>0</v>
      </c>
      <c r="N104" t="n">
        <v>0</v>
      </c>
      <c r="O104" t="n">
        <v>1</v>
      </c>
      <c r="P104" t="n">
        <v>1</v>
      </c>
      <c r="Q104" t="n">
        <v>1</v>
      </c>
      <c r="R104" s="2" t="inlineStr">
        <is>
          <t>Knärot</t>
        </is>
      </c>
      <c r="S104">
        <f>HYPERLINK("https://klasma.github.io/Logging_0188/artfynd/A 35764-2024 artfynd.xlsx", "A 35764-2024")</f>
        <v/>
      </c>
      <c r="T104">
        <f>HYPERLINK("https://klasma.github.io/Logging_0188/kartor/A 35764-2024 karta.png", "A 35764-2024")</f>
        <v/>
      </c>
      <c r="U104">
        <f>HYPERLINK("https://klasma.github.io/Logging_0188/knärot/A 35764-2024 karta knärot.png", "A 35764-2024")</f>
        <v/>
      </c>
      <c r="V104">
        <f>HYPERLINK("https://klasma.github.io/Logging_0188/klagomål/A 35764-2024 FSC-klagomål.docx", "A 35764-2024")</f>
        <v/>
      </c>
      <c r="W104">
        <f>HYPERLINK("https://klasma.github.io/Logging_0188/klagomålsmail/A 35764-2024 FSC-klagomål mail.docx", "A 35764-2024")</f>
        <v/>
      </c>
      <c r="X104">
        <f>HYPERLINK("https://klasma.github.io/Logging_0188/tillsyn/A 35764-2024 tillsynsbegäran.docx", "A 35764-2024")</f>
        <v/>
      </c>
      <c r="Y104">
        <f>HYPERLINK("https://klasma.github.io/Logging_0188/tillsynsmail/A 35764-2024 tillsynsbegäran mail.docx", "A 35764-2024")</f>
        <v/>
      </c>
    </row>
    <row r="105" ht="15" customHeight="1">
      <c r="A105" t="inlineStr">
        <is>
          <t>A 25669-2025</t>
        </is>
      </c>
      <c r="B105" s="1" t="n">
        <v>45803.62766203703</v>
      </c>
      <c r="C105" s="1" t="n">
        <v>45939</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4532-2025</t>
        </is>
      </c>
      <c r="B106" s="1" t="n">
        <v>45687.34177083334</v>
      </c>
      <c r="C106" s="1" t="n">
        <v>45939</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6381-2023</t>
        </is>
      </c>
      <c r="B107" s="1" t="n">
        <v>44965</v>
      </c>
      <c r="C107" s="1" t="n">
        <v>45939</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16870-2025</t>
        </is>
      </c>
      <c r="B108" s="1" t="n">
        <v>45754</v>
      </c>
      <c r="C108" s="1" t="n">
        <v>45939</v>
      </c>
      <c r="D108" t="inlineStr">
        <is>
          <t>STOCKHOLMS LÄN</t>
        </is>
      </c>
      <c r="E108" t="inlineStr">
        <is>
          <t>NORRTÄLJE</t>
        </is>
      </c>
      <c r="G108" t="n">
        <v>24.6</v>
      </c>
      <c r="H108" t="n">
        <v>1</v>
      </c>
      <c r="I108" t="n">
        <v>0</v>
      </c>
      <c r="J108" t="n">
        <v>0</v>
      </c>
      <c r="K108" t="n">
        <v>0</v>
      </c>
      <c r="L108" t="n">
        <v>0</v>
      </c>
      <c r="M108" t="n">
        <v>0</v>
      </c>
      <c r="N108" t="n">
        <v>0</v>
      </c>
      <c r="O108" t="n">
        <v>0</v>
      </c>
      <c r="P108" t="n">
        <v>0</v>
      </c>
      <c r="Q108" t="n">
        <v>1</v>
      </c>
      <c r="R108" s="2" t="inlineStr">
        <is>
          <t>Vanlig groda</t>
        </is>
      </c>
      <c r="S108">
        <f>HYPERLINK("https://klasma.github.io/Logging_0188/artfynd/A 16870-2025 artfynd.xlsx", "A 16870-2025")</f>
        <v/>
      </c>
      <c r="T108">
        <f>HYPERLINK("https://klasma.github.io/Logging_0188/kartor/A 16870-2025 karta.png", "A 16870-2025")</f>
        <v/>
      </c>
      <c r="V108">
        <f>HYPERLINK("https://klasma.github.io/Logging_0188/klagomål/A 16870-2025 FSC-klagomål.docx", "A 16870-2025")</f>
        <v/>
      </c>
      <c r="W108">
        <f>HYPERLINK("https://klasma.github.io/Logging_0188/klagomålsmail/A 16870-2025 FSC-klagomål mail.docx", "A 16870-2025")</f>
        <v/>
      </c>
      <c r="X108">
        <f>HYPERLINK("https://klasma.github.io/Logging_0188/tillsyn/A 16870-2025 tillsynsbegäran.docx", "A 16870-2025")</f>
        <v/>
      </c>
      <c r="Y108">
        <f>HYPERLINK("https://klasma.github.io/Logging_0188/tillsynsmail/A 16870-2025 tillsynsbegäran mail.docx", "A 16870-2025")</f>
        <v/>
      </c>
    </row>
    <row r="109" ht="15" customHeight="1">
      <c r="A109" t="inlineStr">
        <is>
          <t>A 29946-2025</t>
        </is>
      </c>
      <c r="B109" s="1" t="n">
        <v>45826.46392361111</v>
      </c>
      <c r="C109" s="1" t="n">
        <v>45939</v>
      </c>
      <c r="D109" t="inlineStr">
        <is>
          <t>STOCKHOLMS LÄN</t>
        </is>
      </c>
      <c r="E109" t="inlineStr">
        <is>
          <t>NORRTÄLJE</t>
        </is>
      </c>
      <c r="F109" t="inlineStr">
        <is>
          <t>Holmen skog AB</t>
        </is>
      </c>
      <c r="G109" t="n">
        <v>3.6</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29946-2025 artfynd.xlsx", "A 29946-2025")</f>
        <v/>
      </c>
      <c r="T109">
        <f>HYPERLINK("https://klasma.github.io/Logging_0188/kartor/A 29946-2025 karta.png", "A 29946-2025")</f>
        <v/>
      </c>
      <c r="V109">
        <f>HYPERLINK("https://klasma.github.io/Logging_0188/klagomål/A 29946-2025 FSC-klagomål.docx", "A 29946-2025")</f>
        <v/>
      </c>
      <c r="W109">
        <f>HYPERLINK("https://klasma.github.io/Logging_0188/klagomålsmail/A 29946-2025 FSC-klagomål mail.docx", "A 29946-2025")</f>
        <v/>
      </c>
      <c r="X109">
        <f>HYPERLINK("https://klasma.github.io/Logging_0188/tillsyn/A 29946-2025 tillsynsbegäran.docx", "A 29946-2025")</f>
        <v/>
      </c>
      <c r="Y109">
        <f>HYPERLINK("https://klasma.github.io/Logging_0188/tillsynsmail/A 29946-2025 tillsynsbegäran mail.docx", "A 29946-2025")</f>
        <v/>
      </c>
    </row>
    <row r="110" ht="15" customHeight="1">
      <c r="A110" t="inlineStr">
        <is>
          <t>A 14365-2025</t>
        </is>
      </c>
      <c r="B110" s="1" t="n">
        <v>45741.38688657407</v>
      </c>
      <c r="C110" s="1" t="n">
        <v>45939</v>
      </c>
      <c r="D110" t="inlineStr">
        <is>
          <t>STOCKHOLMS LÄN</t>
        </is>
      </c>
      <c r="E110" t="inlineStr">
        <is>
          <t>NORRTÄLJE</t>
        </is>
      </c>
      <c r="G110" t="n">
        <v>2.4</v>
      </c>
      <c r="H110" t="n">
        <v>0</v>
      </c>
      <c r="I110" t="n">
        <v>0</v>
      </c>
      <c r="J110" t="n">
        <v>1</v>
      </c>
      <c r="K110" t="n">
        <v>0</v>
      </c>
      <c r="L110" t="n">
        <v>0</v>
      </c>
      <c r="M110" t="n">
        <v>0</v>
      </c>
      <c r="N110" t="n">
        <v>0</v>
      </c>
      <c r="O110" t="n">
        <v>1</v>
      </c>
      <c r="P110" t="n">
        <v>0</v>
      </c>
      <c r="Q110" t="n">
        <v>1</v>
      </c>
      <c r="R110" s="2" t="inlineStr">
        <is>
          <t>Granticka</t>
        </is>
      </c>
      <c r="S110">
        <f>HYPERLINK("https://klasma.github.io/Logging_0188/artfynd/A 14365-2025 artfynd.xlsx", "A 14365-2025")</f>
        <v/>
      </c>
      <c r="T110">
        <f>HYPERLINK("https://klasma.github.io/Logging_0188/kartor/A 14365-2025 karta.png", "A 14365-2025")</f>
        <v/>
      </c>
      <c r="V110">
        <f>HYPERLINK("https://klasma.github.io/Logging_0188/klagomål/A 14365-2025 FSC-klagomål.docx", "A 14365-2025")</f>
        <v/>
      </c>
      <c r="W110">
        <f>HYPERLINK("https://klasma.github.io/Logging_0188/klagomålsmail/A 14365-2025 FSC-klagomål mail.docx", "A 14365-2025")</f>
        <v/>
      </c>
      <c r="X110">
        <f>HYPERLINK("https://klasma.github.io/Logging_0188/tillsyn/A 14365-2025 tillsynsbegäran.docx", "A 14365-2025")</f>
        <v/>
      </c>
      <c r="Y110">
        <f>HYPERLINK("https://klasma.github.io/Logging_0188/tillsynsmail/A 14365-2025 tillsynsbegäran mail.docx", "A 14365-2025")</f>
        <v/>
      </c>
    </row>
    <row r="111" ht="15" customHeight="1">
      <c r="A111" t="inlineStr">
        <is>
          <t>A 21150-2022</t>
        </is>
      </c>
      <c r="B111" s="1" t="n">
        <v>44704</v>
      </c>
      <c r="C111" s="1" t="n">
        <v>45939</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21150-2022 artfynd.xlsx", "A 21150-2022")</f>
        <v/>
      </c>
      <c r="T111">
        <f>HYPERLINK("https://klasma.github.io/Logging_0188/kartor/A 21150-2022 karta.png", "A 21150-2022")</f>
        <v/>
      </c>
      <c r="V111">
        <f>HYPERLINK("https://klasma.github.io/Logging_0188/klagomål/A 21150-2022 FSC-klagomål.docx", "A 21150-2022")</f>
        <v/>
      </c>
      <c r="W111">
        <f>HYPERLINK("https://klasma.github.io/Logging_0188/klagomålsmail/A 21150-2022 FSC-klagomål mail.docx", "A 21150-2022")</f>
        <v/>
      </c>
      <c r="X111">
        <f>HYPERLINK("https://klasma.github.io/Logging_0188/tillsyn/A 21150-2022 tillsynsbegäran.docx", "A 21150-2022")</f>
        <v/>
      </c>
      <c r="Y111">
        <f>HYPERLINK("https://klasma.github.io/Logging_0188/tillsynsmail/A 21150-2022 tillsynsbegäran mail.docx", "A 21150-2022")</f>
        <v/>
      </c>
    </row>
    <row r="112" ht="15" customHeight="1">
      <c r="A112" t="inlineStr">
        <is>
          <t>A 33548-2025</t>
        </is>
      </c>
      <c r="B112" s="1" t="n">
        <v>45841.5721875</v>
      </c>
      <c r="C112" s="1" t="n">
        <v>45939</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45939</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39158-2025</t>
        </is>
      </c>
      <c r="B114" s="1" t="n">
        <v>45888.62712962963</v>
      </c>
      <c r="C114" s="1" t="n">
        <v>45939</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1162-2021</t>
        </is>
      </c>
      <c r="B115" s="1" t="n">
        <v>44207</v>
      </c>
      <c r="C115" s="1" t="n">
        <v>45939</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40861-2025</t>
        </is>
      </c>
      <c r="B116" s="1" t="n">
        <v>45897.56356481482</v>
      </c>
      <c r="C116" s="1" t="n">
        <v>45939</v>
      </c>
      <c r="D116" t="inlineStr">
        <is>
          <t>STOCKHOLMS LÄN</t>
        </is>
      </c>
      <c r="E116" t="inlineStr">
        <is>
          <t>NORRTÄLJE</t>
        </is>
      </c>
      <c r="G116" t="n">
        <v>4</v>
      </c>
      <c r="H116" t="n">
        <v>0</v>
      </c>
      <c r="I116" t="n">
        <v>0</v>
      </c>
      <c r="J116" t="n">
        <v>1</v>
      </c>
      <c r="K116" t="n">
        <v>0</v>
      </c>
      <c r="L116" t="n">
        <v>0</v>
      </c>
      <c r="M116" t="n">
        <v>0</v>
      </c>
      <c r="N116" t="n">
        <v>0</v>
      </c>
      <c r="O116" t="n">
        <v>1</v>
      </c>
      <c r="P116" t="n">
        <v>0</v>
      </c>
      <c r="Q116" t="n">
        <v>1</v>
      </c>
      <c r="R116" s="2" t="inlineStr">
        <is>
          <t>Skogsklocka</t>
        </is>
      </c>
      <c r="S116">
        <f>HYPERLINK("https://klasma.github.io/Logging_0188/artfynd/A 40861-2025 artfynd.xlsx", "A 40861-2025")</f>
        <v/>
      </c>
      <c r="T116">
        <f>HYPERLINK("https://klasma.github.io/Logging_0188/kartor/A 40861-2025 karta.png", "A 40861-2025")</f>
        <v/>
      </c>
      <c r="V116">
        <f>HYPERLINK("https://klasma.github.io/Logging_0188/klagomål/A 40861-2025 FSC-klagomål.docx", "A 40861-2025")</f>
        <v/>
      </c>
      <c r="W116">
        <f>HYPERLINK("https://klasma.github.io/Logging_0188/klagomålsmail/A 40861-2025 FSC-klagomål mail.docx", "A 40861-2025")</f>
        <v/>
      </c>
      <c r="X116">
        <f>HYPERLINK("https://klasma.github.io/Logging_0188/tillsyn/A 40861-2025 tillsynsbegäran.docx", "A 40861-2025")</f>
        <v/>
      </c>
      <c r="Y116">
        <f>HYPERLINK("https://klasma.github.io/Logging_0188/tillsynsmail/A 40861-2025 tillsynsbegäran mail.docx", "A 40861-2025")</f>
        <v/>
      </c>
    </row>
    <row r="117" ht="15" customHeight="1">
      <c r="A117" t="inlineStr">
        <is>
          <t>A 26120-2024</t>
        </is>
      </c>
      <c r="B117" s="1" t="n">
        <v>45468.45995370371</v>
      </c>
      <c r="C117" s="1" t="n">
        <v>45939</v>
      </c>
      <c r="D117" t="inlineStr">
        <is>
          <t>STOCKHOLMS LÄN</t>
        </is>
      </c>
      <c r="E117" t="inlineStr">
        <is>
          <t>NORRTÄLJE</t>
        </is>
      </c>
      <c r="G117" t="n">
        <v>1.8</v>
      </c>
      <c r="H117" t="n">
        <v>0</v>
      </c>
      <c r="I117" t="n">
        <v>0</v>
      </c>
      <c r="J117" t="n">
        <v>1</v>
      </c>
      <c r="K117" t="n">
        <v>0</v>
      </c>
      <c r="L117" t="n">
        <v>0</v>
      </c>
      <c r="M117" t="n">
        <v>0</v>
      </c>
      <c r="N117" t="n">
        <v>0</v>
      </c>
      <c r="O117" t="n">
        <v>1</v>
      </c>
      <c r="P117" t="n">
        <v>0</v>
      </c>
      <c r="Q117" t="n">
        <v>1</v>
      </c>
      <c r="R117" s="2" t="inlineStr">
        <is>
          <t>Majviva</t>
        </is>
      </c>
      <c r="S117">
        <f>HYPERLINK("https://klasma.github.io/Logging_0188/artfynd/A 26120-2024 artfynd.xlsx", "A 26120-2024")</f>
        <v/>
      </c>
      <c r="T117">
        <f>HYPERLINK("https://klasma.github.io/Logging_0188/kartor/A 26120-2024 karta.png", "A 26120-2024")</f>
        <v/>
      </c>
      <c r="V117">
        <f>HYPERLINK("https://klasma.github.io/Logging_0188/klagomål/A 26120-2024 FSC-klagomål.docx", "A 26120-2024")</f>
        <v/>
      </c>
      <c r="W117">
        <f>HYPERLINK("https://klasma.github.io/Logging_0188/klagomålsmail/A 26120-2024 FSC-klagomål mail.docx", "A 26120-2024")</f>
        <v/>
      </c>
      <c r="X117">
        <f>HYPERLINK("https://klasma.github.io/Logging_0188/tillsyn/A 26120-2024 tillsynsbegäran.docx", "A 26120-2024")</f>
        <v/>
      </c>
      <c r="Y117">
        <f>HYPERLINK("https://klasma.github.io/Logging_0188/tillsynsmail/A 26120-2024 tillsynsbegäran mail.docx", "A 26120-2024")</f>
        <v/>
      </c>
    </row>
    <row r="118" ht="15" customHeight="1">
      <c r="A118" t="inlineStr">
        <is>
          <t>A 42313-2025</t>
        </is>
      </c>
      <c r="B118" s="1" t="n">
        <v>45904.6575</v>
      </c>
      <c r="C118" s="1" t="n">
        <v>45939</v>
      </c>
      <c r="D118" t="inlineStr">
        <is>
          <t>STOCKHOLMS LÄN</t>
        </is>
      </c>
      <c r="E118" t="inlineStr">
        <is>
          <t>NORRTÄLJE</t>
        </is>
      </c>
      <c r="G118" t="n">
        <v>1.7</v>
      </c>
      <c r="H118" t="n">
        <v>1</v>
      </c>
      <c r="I118" t="n">
        <v>0</v>
      </c>
      <c r="J118" t="n">
        <v>0</v>
      </c>
      <c r="K118" t="n">
        <v>0</v>
      </c>
      <c r="L118" t="n">
        <v>0</v>
      </c>
      <c r="M118" t="n">
        <v>0</v>
      </c>
      <c r="N118" t="n">
        <v>0</v>
      </c>
      <c r="O118" t="n">
        <v>0</v>
      </c>
      <c r="P118" t="n">
        <v>0</v>
      </c>
      <c r="Q118" t="n">
        <v>1</v>
      </c>
      <c r="R118" s="2" t="inlineStr">
        <is>
          <t>Vanlig padda</t>
        </is>
      </c>
      <c r="S118">
        <f>HYPERLINK("https://klasma.github.io/Logging_0188/artfynd/A 42313-2025 artfynd.xlsx", "A 42313-2025")</f>
        <v/>
      </c>
      <c r="T118">
        <f>HYPERLINK("https://klasma.github.io/Logging_0188/kartor/A 42313-2025 karta.png", "A 42313-2025")</f>
        <v/>
      </c>
      <c r="V118">
        <f>HYPERLINK("https://klasma.github.io/Logging_0188/klagomål/A 42313-2025 FSC-klagomål.docx", "A 42313-2025")</f>
        <v/>
      </c>
      <c r="W118">
        <f>HYPERLINK("https://klasma.github.io/Logging_0188/klagomålsmail/A 42313-2025 FSC-klagomål mail.docx", "A 42313-2025")</f>
        <v/>
      </c>
      <c r="X118">
        <f>HYPERLINK("https://klasma.github.io/Logging_0188/tillsyn/A 42313-2025 tillsynsbegäran.docx", "A 42313-2025")</f>
        <v/>
      </c>
      <c r="Y118">
        <f>HYPERLINK("https://klasma.github.io/Logging_0188/tillsynsmail/A 42313-2025 tillsynsbegäran mail.docx", "A 42313-2025")</f>
        <v/>
      </c>
    </row>
    <row r="119" ht="15" customHeight="1">
      <c r="A119" t="inlineStr">
        <is>
          <t>A 1970-2021</t>
        </is>
      </c>
      <c r="B119" s="1" t="n">
        <v>44210</v>
      </c>
      <c r="C119" s="1" t="n">
        <v>45939</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45939</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45939</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45939</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45939</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45939</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45939</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45939</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45939</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45939</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45939</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45939</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45939</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45939</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31934-2022</t>
        </is>
      </c>
      <c r="B133" s="1" t="n">
        <v>44777</v>
      </c>
      <c r="C133" s="1" t="n">
        <v>45939</v>
      </c>
      <c r="D133" t="inlineStr">
        <is>
          <t>STOCKHOLMS LÄN</t>
        </is>
      </c>
      <c r="E133" t="inlineStr">
        <is>
          <t>NORRTÄLJE</t>
        </is>
      </c>
      <c r="G133" t="n">
        <v>1.2</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45939</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45939</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45939</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45939</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45939</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54272-2021</t>
        </is>
      </c>
      <c r="B139" s="1" t="n">
        <v>44470.72148148148</v>
      </c>
      <c r="C139" s="1" t="n">
        <v>45939</v>
      </c>
      <c r="D139" t="inlineStr">
        <is>
          <t>STOCKHOLMS LÄN</t>
        </is>
      </c>
      <c r="E139" t="inlineStr">
        <is>
          <t>NORRTÄLJE</t>
        </is>
      </c>
      <c r="G139" t="n">
        <v>5.8</v>
      </c>
      <c r="H139" t="n">
        <v>0</v>
      </c>
      <c r="I139" t="n">
        <v>0</v>
      </c>
      <c r="J139" t="n">
        <v>0</v>
      </c>
      <c r="K139" t="n">
        <v>0</v>
      </c>
      <c r="L139" t="n">
        <v>0</v>
      </c>
      <c r="M139" t="n">
        <v>0</v>
      </c>
      <c r="N139" t="n">
        <v>0</v>
      </c>
      <c r="O139" t="n">
        <v>0</v>
      </c>
      <c r="P139" t="n">
        <v>0</v>
      </c>
      <c r="Q139" t="n">
        <v>0</v>
      </c>
      <c r="R139" s="2" t="inlineStr"/>
    </row>
    <row r="140" ht="15" customHeight="1">
      <c r="A140" t="inlineStr">
        <is>
          <t>A 34436-2021</t>
        </is>
      </c>
      <c r="B140" s="1" t="n">
        <v>44380</v>
      </c>
      <c r="C140" s="1" t="n">
        <v>45939</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67525-2021</t>
        </is>
      </c>
      <c r="B141" s="1" t="n">
        <v>44524</v>
      </c>
      <c r="C141" s="1" t="n">
        <v>45939</v>
      </c>
      <c r="D141" t="inlineStr">
        <is>
          <t>STOCKHOLMS LÄN</t>
        </is>
      </c>
      <c r="E141" t="inlineStr">
        <is>
          <t>NORRTÄLJE</t>
        </is>
      </c>
      <c r="G141" t="n">
        <v>0.8</v>
      </c>
      <c r="H141" t="n">
        <v>0</v>
      </c>
      <c r="I141" t="n">
        <v>0</v>
      </c>
      <c r="J141" t="n">
        <v>0</v>
      </c>
      <c r="K141" t="n">
        <v>0</v>
      </c>
      <c r="L141" t="n">
        <v>0</v>
      </c>
      <c r="M141" t="n">
        <v>0</v>
      </c>
      <c r="N141" t="n">
        <v>0</v>
      </c>
      <c r="O141" t="n">
        <v>0</v>
      </c>
      <c r="P141" t="n">
        <v>0</v>
      </c>
      <c r="Q141" t="n">
        <v>0</v>
      </c>
      <c r="R141" s="2" t="inlineStr"/>
    </row>
    <row r="142" ht="15" customHeight="1">
      <c r="A142" t="inlineStr">
        <is>
          <t>A 1704-2022</t>
        </is>
      </c>
      <c r="B142" s="1" t="n">
        <v>44574.42978009259</v>
      </c>
      <c r="C142" s="1" t="n">
        <v>45939</v>
      </c>
      <c r="D142" t="inlineStr">
        <is>
          <t>STOCKHOLMS LÄN</t>
        </is>
      </c>
      <c r="E142" t="inlineStr">
        <is>
          <t>NORRTÄLJE</t>
        </is>
      </c>
      <c r="G142" t="n">
        <v>6.2</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45939</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56225-2021</t>
        </is>
      </c>
      <c r="B144" s="1" t="n">
        <v>44477.94327546296</v>
      </c>
      <c r="C144" s="1" t="n">
        <v>45939</v>
      </c>
      <c r="D144" t="inlineStr">
        <is>
          <t>STOCKHOLMS LÄN</t>
        </is>
      </c>
      <c r="E144" t="inlineStr">
        <is>
          <t>NORRTÄLJE</t>
        </is>
      </c>
      <c r="G144" t="n">
        <v>0.9</v>
      </c>
      <c r="H144" t="n">
        <v>0</v>
      </c>
      <c r="I144" t="n">
        <v>0</v>
      </c>
      <c r="J144" t="n">
        <v>0</v>
      </c>
      <c r="K144" t="n">
        <v>0</v>
      </c>
      <c r="L144" t="n">
        <v>0</v>
      </c>
      <c r="M144" t="n">
        <v>0</v>
      </c>
      <c r="N144" t="n">
        <v>0</v>
      </c>
      <c r="O144" t="n">
        <v>0</v>
      </c>
      <c r="P144" t="n">
        <v>0</v>
      </c>
      <c r="Q144" t="n">
        <v>0</v>
      </c>
      <c r="R144" s="2" t="inlineStr"/>
    </row>
    <row r="145" ht="15" customHeight="1">
      <c r="A145" t="inlineStr">
        <is>
          <t>A 52133-2022</t>
        </is>
      </c>
      <c r="B145" s="1" t="n">
        <v>44868</v>
      </c>
      <c r="C145" s="1" t="n">
        <v>45939</v>
      </c>
      <c r="D145" t="inlineStr">
        <is>
          <t>STOCKHOLMS LÄN</t>
        </is>
      </c>
      <c r="E145" t="inlineStr">
        <is>
          <t>NORRTÄLJE</t>
        </is>
      </c>
      <c r="G145" t="n">
        <v>11.5</v>
      </c>
      <c r="H145" t="n">
        <v>0</v>
      </c>
      <c r="I145" t="n">
        <v>0</v>
      </c>
      <c r="J145" t="n">
        <v>0</v>
      </c>
      <c r="K145" t="n">
        <v>0</v>
      </c>
      <c r="L145" t="n">
        <v>0</v>
      </c>
      <c r="M145" t="n">
        <v>0</v>
      </c>
      <c r="N145" t="n">
        <v>0</v>
      </c>
      <c r="O145" t="n">
        <v>0</v>
      </c>
      <c r="P145" t="n">
        <v>0</v>
      </c>
      <c r="Q145" t="n">
        <v>0</v>
      </c>
      <c r="R145" s="2" t="inlineStr"/>
    </row>
    <row r="146" ht="15" customHeight="1">
      <c r="A146" t="inlineStr">
        <is>
          <t>A 19283-2021</t>
        </is>
      </c>
      <c r="B146" s="1" t="n">
        <v>44309.47061342592</v>
      </c>
      <c r="C146" s="1" t="n">
        <v>45939</v>
      </c>
      <c r="D146" t="inlineStr">
        <is>
          <t>STOCKHOLMS LÄN</t>
        </is>
      </c>
      <c r="E146" t="inlineStr">
        <is>
          <t>NORRTÄLJE</t>
        </is>
      </c>
      <c r="F146" t="inlineStr">
        <is>
          <t>Holmen skog AB</t>
        </is>
      </c>
      <c r="G146" t="n">
        <v>0.6</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45939</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45939</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45939</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45939</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48384-2021</t>
        </is>
      </c>
      <c r="B151" s="1" t="n">
        <v>44451</v>
      </c>
      <c r="C151" s="1" t="n">
        <v>45939</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48492-2022</t>
        </is>
      </c>
      <c r="B152" s="1" t="n">
        <v>44858</v>
      </c>
      <c r="C152" s="1" t="n">
        <v>45939</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8338-2021</t>
        </is>
      </c>
      <c r="B153" s="1" t="n">
        <v>44244</v>
      </c>
      <c r="C153" s="1" t="n">
        <v>45939</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45939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45939</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18905-2022</t>
        </is>
      </c>
      <c r="B156" s="1" t="n">
        <v>44690</v>
      </c>
      <c r="C156" s="1" t="n">
        <v>45939</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45939</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21723-2022</t>
        </is>
      </c>
      <c r="B158" s="1" t="n">
        <v>44708</v>
      </c>
      <c r="C158" s="1" t="n">
        <v>45939</v>
      </c>
      <c r="D158" t="inlineStr">
        <is>
          <t>STOCKHOLMS LÄN</t>
        </is>
      </c>
      <c r="E158" t="inlineStr">
        <is>
          <t>NORRTÄLJE</t>
        </is>
      </c>
      <c r="G158" t="n">
        <v>0.3</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45939</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45939</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28209-2022</t>
        </is>
      </c>
      <c r="B161" s="1" t="n">
        <v>44746</v>
      </c>
      <c r="C161" s="1" t="n">
        <v>45939</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66907-2020</t>
        </is>
      </c>
      <c r="B162" s="1" t="n">
        <v>44176</v>
      </c>
      <c r="C162" s="1" t="n">
        <v>45939</v>
      </c>
      <c r="D162" t="inlineStr">
        <is>
          <t>STOCKHOLMS LÄN</t>
        </is>
      </c>
      <c r="E162" t="inlineStr">
        <is>
          <t>NORRTÄLJE</t>
        </is>
      </c>
      <c r="G162" t="n">
        <v>1.7</v>
      </c>
      <c r="H162" t="n">
        <v>0</v>
      </c>
      <c r="I162" t="n">
        <v>0</v>
      </c>
      <c r="J162" t="n">
        <v>0</v>
      </c>
      <c r="K162" t="n">
        <v>0</v>
      </c>
      <c r="L162" t="n">
        <v>0</v>
      </c>
      <c r="M162" t="n">
        <v>0</v>
      </c>
      <c r="N162" t="n">
        <v>0</v>
      </c>
      <c r="O162" t="n">
        <v>0</v>
      </c>
      <c r="P162" t="n">
        <v>0</v>
      </c>
      <c r="Q162" t="n">
        <v>0</v>
      </c>
      <c r="R162" s="2" t="inlineStr"/>
    </row>
    <row r="163" ht="15" customHeight="1">
      <c r="A163" t="inlineStr">
        <is>
          <t>A 2447-2021</t>
        </is>
      </c>
      <c r="B163" s="1" t="n">
        <v>44214</v>
      </c>
      <c r="C163" s="1" t="n">
        <v>45939</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18609-2021</t>
        </is>
      </c>
      <c r="B164" s="1" t="n">
        <v>44306</v>
      </c>
      <c r="C164" s="1" t="n">
        <v>45939</v>
      </c>
      <c r="D164" t="inlineStr">
        <is>
          <t>STOCKHOLMS LÄN</t>
        </is>
      </c>
      <c r="E164" t="inlineStr">
        <is>
          <t>NORRTÄLJE</t>
        </is>
      </c>
      <c r="G164" t="n">
        <v>9.5</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45939</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45939</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45939</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45939</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45939</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45939</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54340-2022</t>
        </is>
      </c>
      <c r="B171" s="1" t="n">
        <v>44882.44732638889</v>
      </c>
      <c r="C171" s="1" t="n">
        <v>45939</v>
      </c>
      <c r="D171" t="inlineStr">
        <is>
          <t>STOCKHOLMS LÄN</t>
        </is>
      </c>
      <c r="E171" t="inlineStr">
        <is>
          <t>NORRTÄLJE</t>
        </is>
      </c>
      <c r="G171" t="n">
        <v>6.7</v>
      </c>
      <c r="H171" t="n">
        <v>0</v>
      </c>
      <c r="I171" t="n">
        <v>0</v>
      </c>
      <c r="J171" t="n">
        <v>0</v>
      </c>
      <c r="K171" t="n">
        <v>0</v>
      </c>
      <c r="L171" t="n">
        <v>0</v>
      </c>
      <c r="M171" t="n">
        <v>0</v>
      </c>
      <c r="N171" t="n">
        <v>0</v>
      </c>
      <c r="O171" t="n">
        <v>0</v>
      </c>
      <c r="P171" t="n">
        <v>0</v>
      </c>
      <c r="Q171" t="n">
        <v>0</v>
      </c>
      <c r="R171" s="2" t="inlineStr"/>
    </row>
    <row r="172" ht="15" customHeight="1">
      <c r="A172" t="inlineStr">
        <is>
          <t>A 54355-2022</t>
        </is>
      </c>
      <c r="B172" s="1" t="n">
        <v>44882</v>
      </c>
      <c r="C172" s="1" t="n">
        <v>45939</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4634-2021</t>
        </is>
      </c>
      <c r="B173" s="1" t="n">
        <v>44224</v>
      </c>
      <c r="C173" s="1" t="n">
        <v>45939</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72308-2021</t>
        </is>
      </c>
      <c r="B174" s="1" t="n">
        <v>44545.4189699074</v>
      </c>
      <c r="C174" s="1" t="n">
        <v>45939</v>
      </c>
      <c r="D174" t="inlineStr">
        <is>
          <t>STOCKHOLMS LÄN</t>
        </is>
      </c>
      <c r="E174" t="inlineStr">
        <is>
          <t>NORRTÄLJE</t>
        </is>
      </c>
      <c r="G174" t="n">
        <v>1.1</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45939</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45939</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17703-2021</t>
        </is>
      </c>
      <c r="B177" s="1" t="n">
        <v>44300</v>
      </c>
      <c r="C177" s="1" t="n">
        <v>45939</v>
      </c>
      <c r="D177" t="inlineStr">
        <is>
          <t>STOCKHOLMS LÄN</t>
        </is>
      </c>
      <c r="E177" t="inlineStr">
        <is>
          <t>NORRTÄLJE</t>
        </is>
      </c>
      <c r="F177" t="inlineStr">
        <is>
          <t>Holmen skog AB</t>
        </is>
      </c>
      <c r="G177" t="n">
        <v>1.1</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45939</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27538-2022</t>
        </is>
      </c>
      <c r="B179" s="1" t="n">
        <v>44742</v>
      </c>
      <c r="C179" s="1" t="n">
        <v>45939</v>
      </c>
      <c r="D179" t="inlineStr">
        <is>
          <t>STOCKHOLMS LÄN</t>
        </is>
      </c>
      <c r="E179" t="inlineStr">
        <is>
          <t>NORRTÄLJE</t>
        </is>
      </c>
      <c r="G179" t="n">
        <v>2.2</v>
      </c>
      <c r="H179" t="n">
        <v>0</v>
      </c>
      <c r="I179" t="n">
        <v>0</v>
      </c>
      <c r="J179" t="n">
        <v>0</v>
      </c>
      <c r="K179" t="n">
        <v>0</v>
      </c>
      <c r="L179" t="n">
        <v>0</v>
      </c>
      <c r="M179" t="n">
        <v>0</v>
      </c>
      <c r="N179" t="n">
        <v>0</v>
      </c>
      <c r="O179" t="n">
        <v>0</v>
      </c>
      <c r="P179" t="n">
        <v>0</v>
      </c>
      <c r="Q179" t="n">
        <v>0</v>
      </c>
      <c r="R179" s="2" t="inlineStr"/>
    </row>
    <row r="180" ht="15" customHeight="1">
      <c r="A180" t="inlineStr">
        <is>
          <t>A 36975-2022</t>
        </is>
      </c>
      <c r="B180" s="1" t="n">
        <v>44806.34577546296</v>
      </c>
      <c r="C180" s="1" t="n">
        <v>45939</v>
      </c>
      <c r="D180" t="inlineStr">
        <is>
          <t>STOCKHOLMS LÄN</t>
        </is>
      </c>
      <c r="E180" t="inlineStr">
        <is>
          <t>NORRTÄLJE</t>
        </is>
      </c>
      <c r="G180" t="n">
        <v>4.7</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45939</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23122-2021</t>
        </is>
      </c>
      <c r="B182" s="1" t="n">
        <v>44330</v>
      </c>
      <c r="C182" s="1" t="n">
        <v>45939</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64599-2021</t>
        </is>
      </c>
      <c r="B183" s="1" t="n">
        <v>44511.69885416667</v>
      </c>
      <c r="C183" s="1" t="n">
        <v>45939</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45939</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29868-2022</t>
        </is>
      </c>
      <c r="B185" s="1" t="n">
        <v>44756.40881944444</v>
      </c>
      <c r="C185" s="1" t="n">
        <v>45939</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53690-2020</t>
        </is>
      </c>
      <c r="B186" s="1" t="n">
        <v>44124</v>
      </c>
      <c r="C186" s="1" t="n">
        <v>45939</v>
      </c>
      <c r="D186" t="inlineStr">
        <is>
          <t>STOCKHOLMS LÄN</t>
        </is>
      </c>
      <c r="E186" t="inlineStr">
        <is>
          <t>NORRTÄLJE</t>
        </is>
      </c>
      <c r="G186" t="n">
        <v>0.5</v>
      </c>
      <c r="H186" t="n">
        <v>0</v>
      </c>
      <c r="I186" t="n">
        <v>0</v>
      </c>
      <c r="J186" t="n">
        <v>0</v>
      </c>
      <c r="K186" t="n">
        <v>0</v>
      </c>
      <c r="L186" t="n">
        <v>0</v>
      </c>
      <c r="M186" t="n">
        <v>0</v>
      </c>
      <c r="N186" t="n">
        <v>0</v>
      </c>
      <c r="O186" t="n">
        <v>0</v>
      </c>
      <c r="P186" t="n">
        <v>0</v>
      </c>
      <c r="Q186" t="n">
        <v>0</v>
      </c>
      <c r="R186" s="2" t="inlineStr"/>
    </row>
    <row r="187" ht="15" customHeight="1">
      <c r="A187" t="inlineStr">
        <is>
          <t>A 64212-2021</t>
        </is>
      </c>
      <c r="B187" s="1" t="n">
        <v>44510</v>
      </c>
      <c r="C187" s="1" t="n">
        <v>45939</v>
      </c>
      <c r="D187" t="inlineStr">
        <is>
          <t>STOCKHOLMS LÄN</t>
        </is>
      </c>
      <c r="E187" t="inlineStr">
        <is>
          <t>NORRTÄLJE</t>
        </is>
      </c>
      <c r="G187" t="n">
        <v>28.7</v>
      </c>
      <c r="H187" t="n">
        <v>0</v>
      </c>
      <c r="I187" t="n">
        <v>0</v>
      </c>
      <c r="J187" t="n">
        <v>0</v>
      </c>
      <c r="K187" t="n">
        <v>0</v>
      </c>
      <c r="L187" t="n">
        <v>0</v>
      </c>
      <c r="M187" t="n">
        <v>0</v>
      </c>
      <c r="N187" t="n">
        <v>0</v>
      </c>
      <c r="O187" t="n">
        <v>0</v>
      </c>
      <c r="P187" t="n">
        <v>0</v>
      </c>
      <c r="Q187" t="n">
        <v>0</v>
      </c>
      <c r="R187" s="2" t="inlineStr"/>
    </row>
    <row r="188" ht="15" customHeight="1">
      <c r="A188" t="inlineStr">
        <is>
          <t>A 47349-2021</t>
        </is>
      </c>
      <c r="B188" s="1" t="n">
        <v>44447</v>
      </c>
      <c r="C188" s="1" t="n">
        <v>45939</v>
      </c>
      <c r="D188" t="inlineStr">
        <is>
          <t>STOCKHOLMS LÄN</t>
        </is>
      </c>
      <c r="E188" t="inlineStr">
        <is>
          <t>NORRTÄLJE</t>
        </is>
      </c>
      <c r="G188" t="n">
        <v>3.3</v>
      </c>
      <c r="H188" t="n">
        <v>0</v>
      </c>
      <c r="I188" t="n">
        <v>0</v>
      </c>
      <c r="J188" t="n">
        <v>0</v>
      </c>
      <c r="K188" t="n">
        <v>0</v>
      </c>
      <c r="L188" t="n">
        <v>0</v>
      </c>
      <c r="M188" t="n">
        <v>0</v>
      </c>
      <c r="N188" t="n">
        <v>0</v>
      </c>
      <c r="O188" t="n">
        <v>0</v>
      </c>
      <c r="P188" t="n">
        <v>0</v>
      </c>
      <c r="Q188" t="n">
        <v>0</v>
      </c>
      <c r="R188" s="2" t="inlineStr"/>
    </row>
    <row r="189" ht="15" customHeight="1">
      <c r="A189" t="inlineStr">
        <is>
          <t>A 36565-2021</t>
        </is>
      </c>
      <c r="B189" s="1" t="n">
        <v>44391.5580787037</v>
      </c>
      <c r="C189" s="1" t="n">
        <v>45939</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44274-2021</t>
        </is>
      </c>
      <c r="B190" s="1" t="n">
        <v>44435</v>
      </c>
      <c r="C190" s="1" t="n">
        <v>45939</v>
      </c>
      <c r="D190" t="inlineStr">
        <is>
          <t>STOCKHOLMS LÄN</t>
        </is>
      </c>
      <c r="E190" t="inlineStr">
        <is>
          <t>NORRTÄLJE</t>
        </is>
      </c>
      <c r="G190" t="n">
        <v>1</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45939</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45939</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45939</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45939</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45939</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45939</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45939</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65611-2021</t>
        </is>
      </c>
      <c r="B198" s="1" t="n">
        <v>44516.5275462963</v>
      </c>
      <c r="C198" s="1" t="n">
        <v>45939</v>
      </c>
      <c r="D198" t="inlineStr">
        <is>
          <t>STOCKHOLMS LÄN</t>
        </is>
      </c>
      <c r="E198" t="inlineStr">
        <is>
          <t>NORRTÄLJE</t>
        </is>
      </c>
      <c r="G198" t="n">
        <v>2.5</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45939</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60813-2021</t>
        </is>
      </c>
      <c r="B200" s="1" t="n">
        <v>44496</v>
      </c>
      <c r="C200" s="1" t="n">
        <v>45939</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39497-2021</t>
        </is>
      </c>
      <c r="B201" s="1" t="n">
        <v>44414.81494212963</v>
      </c>
      <c r="C201" s="1" t="n">
        <v>45939</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17460-2021</t>
        </is>
      </c>
      <c r="B202" s="1" t="n">
        <v>44299</v>
      </c>
      <c r="C202" s="1" t="n">
        <v>45939</v>
      </c>
      <c r="D202" t="inlineStr">
        <is>
          <t>STOCKHOLMS LÄN</t>
        </is>
      </c>
      <c r="E202" t="inlineStr">
        <is>
          <t>NORRTÄLJE</t>
        </is>
      </c>
      <c r="G202" t="n">
        <v>3.2</v>
      </c>
      <c r="H202" t="n">
        <v>0</v>
      </c>
      <c r="I202" t="n">
        <v>0</v>
      </c>
      <c r="J202" t="n">
        <v>0</v>
      </c>
      <c r="K202" t="n">
        <v>0</v>
      </c>
      <c r="L202" t="n">
        <v>0</v>
      </c>
      <c r="M202" t="n">
        <v>0</v>
      </c>
      <c r="N202" t="n">
        <v>0</v>
      </c>
      <c r="O202" t="n">
        <v>0</v>
      </c>
      <c r="P202" t="n">
        <v>0</v>
      </c>
      <c r="Q202" t="n">
        <v>0</v>
      </c>
      <c r="R202" s="2" t="inlineStr"/>
    </row>
    <row r="203" ht="15" customHeight="1">
      <c r="A203" t="inlineStr">
        <is>
          <t>A 71325-2021</t>
        </is>
      </c>
      <c r="B203" s="1" t="n">
        <v>44539</v>
      </c>
      <c r="C203" s="1" t="n">
        <v>45939</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34431-2021</t>
        </is>
      </c>
      <c r="B204" s="1" t="n">
        <v>44380</v>
      </c>
      <c r="C204" s="1" t="n">
        <v>45939</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5351-2022</t>
        </is>
      </c>
      <c r="B205" s="1" t="n">
        <v>44594.75950231482</v>
      </c>
      <c r="C205" s="1" t="n">
        <v>45939</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30129-2021</t>
        </is>
      </c>
      <c r="B206" s="1" t="n">
        <v>44363.5784375</v>
      </c>
      <c r="C206" s="1" t="n">
        <v>45939</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22316-2022</t>
        </is>
      </c>
      <c r="B207" s="1" t="n">
        <v>44712.83118055556</v>
      </c>
      <c r="C207" s="1" t="n">
        <v>45939</v>
      </c>
      <c r="D207" t="inlineStr">
        <is>
          <t>STOCKHOLMS LÄN</t>
        </is>
      </c>
      <c r="E207" t="inlineStr">
        <is>
          <t>NORRTÄLJE</t>
        </is>
      </c>
      <c r="G207" t="n">
        <v>6.3</v>
      </c>
      <c r="H207" t="n">
        <v>0</v>
      </c>
      <c r="I207" t="n">
        <v>0</v>
      </c>
      <c r="J207" t="n">
        <v>0</v>
      </c>
      <c r="K207" t="n">
        <v>0</v>
      </c>
      <c r="L207" t="n">
        <v>0</v>
      </c>
      <c r="M207" t="n">
        <v>0</v>
      </c>
      <c r="N207" t="n">
        <v>0</v>
      </c>
      <c r="O207" t="n">
        <v>0</v>
      </c>
      <c r="P207" t="n">
        <v>0</v>
      </c>
      <c r="Q207" t="n">
        <v>0</v>
      </c>
      <c r="R207" s="2" t="inlineStr"/>
    </row>
    <row r="208" ht="15" customHeight="1">
      <c r="A208" t="inlineStr">
        <is>
          <t>A 31092-2022</t>
        </is>
      </c>
      <c r="B208" s="1" t="n">
        <v>44769.62320601852</v>
      </c>
      <c r="C208" s="1" t="n">
        <v>45939</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9467-2021</t>
        </is>
      </c>
      <c r="B209" s="1" t="n">
        <v>44251.43971064815</v>
      </c>
      <c r="C209" s="1" t="n">
        <v>45939</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71871-2021</t>
        </is>
      </c>
      <c r="B210" s="1" t="n">
        <v>44543</v>
      </c>
      <c r="C210" s="1" t="n">
        <v>45939</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71873-2021</t>
        </is>
      </c>
      <c r="B211" s="1" t="n">
        <v>44543</v>
      </c>
      <c r="C211" s="1" t="n">
        <v>45939</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72355-2021</t>
        </is>
      </c>
      <c r="B212" s="1" t="n">
        <v>44545</v>
      </c>
      <c r="C212" s="1" t="n">
        <v>45939</v>
      </c>
      <c r="D212" t="inlineStr">
        <is>
          <t>STOCKHOLMS LÄN</t>
        </is>
      </c>
      <c r="E212" t="inlineStr">
        <is>
          <t>NORRTÄLJE</t>
        </is>
      </c>
      <c r="G212" t="n">
        <v>3.6</v>
      </c>
      <c r="H212" t="n">
        <v>0</v>
      </c>
      <c r="I212" t="n">
        <v>0</v>
      </c>
      <c r="J212" t="n">
        <v>0</v>
      </c>
      <c r="K212" t="n">
        <v>0</v>
      </c>
      <c r="L212" t="n">
        <v>0</v>
      </c>
      <c r="M212" t="n">
        <v>0</v>
      </c>
      <c r="N212" t="n">
        <v>0</v>
      </c>
      <c r="O212" t="n">
        <v>0</v>
      </c>
      <c r="P212" t="n">
        <v>0</v>
      </c>
      <c r="Q212" t="n">
        <v>0</v>
      </c>
      <c r="R212" s="2" t="inlineStr"/>
    </row>
    <row r="213" ht="15" customHeight="1">
      <c r="A213" t="inlineStr">
        <is>
          <t>A 72357-2021</t>
        </is>
      </c>
      <c r="B213" s="1" t="n">
        <v>44545</v>
      </c>
      <c r="C213" s="1" t="n">
        <v>45939</v>
      </c>
      <c r="D213" t="inlineStr">
        <is>
          <t>STOCKHOLMS LÄN</t>
        </is>
      </c>
      <c r="E213" t="inlineStr">
        <is>
          <t>NORRTÄLJE</t>
        </is>
      </c>
      <c r="G213" t="n">
        <v>5.1</v>
      </c>
      <c r="H213" t="n">
        <v>0</v>
      </c>
      <c r="I213" t="n">
        <v>0</v>
      </c>
      <c r="J213" t="n">
        <v>0</v>
      </c>
      <c r="K213" t="n">
        <v>0</v>
      </c>
      <c r="L213" t="n">
        <v>0</v>
      </c>
      <c r="M213" t="n">
        <v>0</v>
      </c>
      <c r="N213" t="n">
        <v>0</v>
      </c>
      <c r="O213" t="n">
        <v>0</v>
      </c>
      <c r="P213" t="n">
        <v>0</v>
      </c>
      <c r="Q213" t="n">
        <v>0</v>
      </c>
      <c r="R213" s="2" t="inlineStr"/>
    </row>
    <row r="214" ht="15" customHeight="1">
      <c r="A214" t="inlineStr">
        <is>
          <t>A 9988-2022</t>
        </is>
      </c>
      <c r="B214" s="1" t="n">
        <v>44621</v>
      </c>
      <c r="C214" s="1" t="n">
        <v>45939</v>
      </c>
      <c r="D214" t="inlineStr">
        <is>
          <t>STOCKHOLMS LÄN</t>
        </is>
      </c>
      <c r="E214" t="inlineStr">
        <is>
          <t>NORRTÄLJE</t>
        </is>
      </c>
      <c r="G214" t="n">
        <v>1.3</v>
      </c>
      <c r="H214" t="n">
        <v>0</v>
      </c>
      <c r="I214" t="n">
        <v>0</v>
      </c>
      <c r="J214" t="n">
        <v>0</v>
      </c>
      <c r="K214" t="n">
        <v>0</v>
      </c>
      <c r="L214" t="n">
        <v>0</v>
      </c>
      <c r="M214" t="n">
        <v>0</v>
      </c>
      <c r="N214" t="n">
        <v>0</v>
      </c>
      <c r="O214" t="n">
        <v>0</v>
      </c>
      <c r="P214" t="n">
        <v>0</v>
      </c>
      <c r="Q214" t="n">
        <v>0</v>
      </c>
      <c r="R214" s="2" t="inlineStr"/>
    </row>
    <row r="215" ht="15" customHeight="1">
      <c r="A215" t="inlineStr">
        <is>
          <t>A 60733-2021</t>
        </is>
      </c>
      <c r="B215" s="1" t="n">
        <v>44496.77542824074</v>
      </c>
      <c r="C215" s="1" t="n">
        <v>45939</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17673-2021</t>
        </is>
      </c>
      <c r="B216" s="1" t="n">
        <v>44300</v>
      </c>
      <c r="C216" s="1" t="n">
        <v>45939</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c r="T216">
        <f>HYPERLINK("https://klasma.github.io/Logging_0188/kartor/A 17673-2021 karta.png", "A 17673-2021")</f>
        <v/>
      </c>
      <c r="V216">
        <f>HYPERLINK("https://klasma.github.io/Logging_0188/klagomål/A 17673-2021 FSC-klagomål.docx", "A 17673-2021")</f>
        <v/>
      </c>
      <c r="W216">
        <f>HYPERLINK("https://klasma.github.io/Logging_0188/klagomålsmail/A 17673-2021 FSC-klagomål mail.docx", "A 17673-2021")</f>
        <v/>
      </c>
      <c r="X216">
        <f>HYPERLINK("https://klasma.github.io/Logging_0188/tillsyn/A 17673-2021 tillsynsbegäran.docx", "A 17673-2021")</f>
        <v/>
      </c>
      <c r="Y216">
        <f>HYPERLINK("https://klasma.github.io/Logging_0188/tillsynsmail/A 17673-2021 tillsynsbegäran mail.docx", "A 17673-2021")</f>
        <v/>
      </c>
      <c r="Z216">
        <f>HYPERLINK("https://klasma.github.io/Logging_0188/fåglar/A 17673-2021 prioriterade fågelarter.docx", "A 17673-2021")</f>
        <v/>
      </c>
    </row>
    <row r="217" ht="15" customHeight="1">
      <c r="A217" t="inlineStr">
        <is>
          <t>A 15226-2022</t>
        </is>
      </c>
      <c r="B217" s="1" t="n">
        <v>44658</v>
      </c>
      <c r="C217" s="1" t="n">
        <v>45939</v>
      </c>
      <c r="D217" t="inlineStr">
        <is>
          <t>STOCKHOLMS LÄN</t>
        </is>
      </c>
      <c r="E217" t="inlineStr">
        <is>
          <t>NORRTÄLJE</t>
        </is>
      </c>
      <c r="G217" t="n">
        <v>1.1</v>
      </c>
      <c r="H217" t="n">
        <v>0</v>
      </c>
      <c r="I217" t="n">
        <v>0</v>
      </c>
      <c r="J217" t="n">
        <v>0</v>
      </c>
      <c r="K217" t="n">
        <v>0</v>
      </c>
      <c r="L217" t="n">
        <v>0</v>
      </c>
      <c r="M217" t="n">
        <v>0</v>
      </c>
      <c r="N217" t="n">
        <v>0</v>
      </c>
      <c r="O217" t="n">
        <v>0</v>
      </c>
      <c r="P217" t="n">
        <v>0</v>
      </c>
      <c r="Q217" t="n">
        <v>0</v>
      </c>
      <c r="R217" s="2" t="inlineStr"/>
    </row>
    <row r="218" ht="15" customHeight="1">
      <c r="A218" t="inlineStr">
        <is>
          <t>A 2732-2022</t>
        </is>
      </c>
      <c r="B218" s="1" t="n">
        <v>44580</v>
      </c>
      <c r="C218" s="1" t="n">
        <v>45939</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3300-2022</t>
        </is>
      </c>
      <c r="B219" s="1" t="n">
        <v>44584.91538194445</v>
      </c>
      <c r="C219" s="1" t="n">
        <v>45939</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17388-2022</t>
        </is>
      </c>
      <c r="B220" s="1" t="n">
        <v>44678</v>
      </c>
      <c r="C220" s="1" t="n">
        <v>45939</v>
      </c>
      <c r="D220" t="inlineStr">
        <is>
          <t>STOCKHOLMS LÄN</t>
        </is>
      </c>
      <c r="E220" t="inlineStr">
        <is>
          <t>NORRTÄLJE</t>
        </is>
      </c>
      <c r="G220" t="n">
        <v>2.4</v>
      </c>
      <c r="H220" t="n">
        <v>0</v>
      </c>
      <c r="I220" t="n">
        <v>0</v>
      </c>
      <c r="J220" t="n">
        <v>0</v>
      </c>
      <c r="K220" t="n">
        <v>0</v>
      </c>
      <c r="L220" t="n">
        <v>0</v>
      </c>
      <c r="M220" t="n">
        <v>0</v>
      </c>
      <c r="N220" t="n">
        <v>0</v>
      </c>
      <c r="O220" t="n">
        <v>0</v>
      </c>
      <c r="P220" t="n">
        <v>0</v>
      </c>
      <c r="Q220" t="n">
        <v>0</v>
      </c>
      <c r="R220" s="2" t="inlineStr"/>
    </row>
    <row r="221" ht="15" customHeight="1">
      <c r="A221" t="inlineStr">
        <is>
          <t>A 38991-2022</t>
        </is>
      </c>
      <c r="B221" s="1" t="n">
        <v>44816.89569444444</v>
      </c>
      <c r="C221" s="1" t="n">
        <v>45939</v>
      </c>
      <c r="D221" t="inlineStr">
        <is>
          <t>STOCKHOLMS LÄN</t>
        </is>
      </c>
      <c r="E221" t="inlineStr">
        <is>
          <t>NORRTÄLJE</t>
        </is>
      </c>
      <c r="G221" t="n">
        <v>1.9</v>
      </c>
      <c r="H221" t="n">
        <v>0</v>
      </c>
      <c r="I221" t="n">
        <v>0</v>
      </c>
      <c r="J221" t="n">
        <v>0</v>
      </c>
      <c r="K221" t="n">
        <v>0</v>
      </c>
      <c r="L221" t="n">
        <v>0</v>
      </c>
      <c r="M221" t="n">
        <v>0</v>
      </c>
      <c r="N221" t="n">
        <v>0</v>
      </c>
      <c r="O221" t="n">
        <v>0</v>
      </c>
      <c r="P221" t="n">
        <v>0</v>
      </c>
      <c r="Q221" t="n">
        <v>0</v>
      </c>
      <c r="R221" s="2" t="inlineStr"/>
    </row>
    <row r="222" ht="15" customHeight="1">
      <c r="A222" t="inlineStr">
        <is>
          <t>A 17771-2022</t>
        </is>
      </c>
      <c r="B222" s="1" t="n">
        <v>44682.75924768519</v>
      </c>
      <c r="C222" s="1" t="n">
        <v>45939</v>
      </c>
      <c r="D222" t="inlineStr">
        <is>
          <t>STOCKHOLMS LÄN</t>
        </is>
      </c>
      <c r="E222" t="inlineStr">
        <is>
          <t>NORRTÄLJE</t>
        </is>
      </c>
      <c r="G222" t="n">
        <v>13.3</v>
      </c>
      <c r="H222" t="n">
        <v>0</v>
      </c>
      <c r="I222" t="n">
        <v>0</v>
      </c>
      <c r="J222" t="n">
        <v>0</v>
      </c>
      <c r="K222" t="n">
        <v>0</v>
      </c>
      <c r="L222" t="n">
        <v>0</v>
      </c>
      <c r="M222" t="n">
        <v>0</v>
      </c>
      <c r="N222" t="n">
        <v>0</v>
      </c>
      <c r="O222" t="n">
        <v>0</v>
      </c>
      <c r="P222" t="n">
        <v>0</v>
      </c>
      <c r="Q222" t="n">
        <v>0</v>
      </c>
      <c r="R222" s="2" t="inlineStr"/>
    </row>
    <row r="223" ht="15" customHeight="1">
      <c r="A223" t="inlineStr">
        <is>
          <t>A 17773-2022</t>
        </is>
      </c>
      <c r="B223" s="1" t="n">
        <v>44682.77616898148</v>
      </c>
      <c r="C223" s="1" t="n">
        <v>45939</v>
      </c>
      <c r="D223" t="inlineStr">
        <is>
          <t>STOCKHOLMS LÄN</t>
        </is>
      </c>
      <c r="E223" t="inlineStr">
        <is>
          <t>NORRTÄLJE</t>
        </is>
      </c>
      <c r="G223" t="n">
        <v>10.8</v>
      </c>
      <c r="H223" t="n">
        <v>0</v>
      </c>
      <c r="I223" t="n">
        <v>0</v>
      </c>
      <c r="J223" t="n">
        <v>0</v>
      </c>
      <c r="K223" t="n">
        <v>0</v>
      </c>
      <c r="L223" t="n">
        <v>0</v>
      </c>
      <c r="M223" t="n">
        <v>0</v>
      </c>
      <c r="N223" t="n">
        <v>0</v>
      </c>
      <c r="O223" t="n">
        <v>0</v>
      </c>
      <c r="P223" t="n">
        <v>0</v>
      </c>
      <c r="Q223" t="n">
        <v>0</v>
      </c>
      <c r="R223" s="2" t="inlineStr"/>
    </row>
    <row r="224" ht="15" customHeight="1">
      <c r="A224" t="inlineStr">
        <is>
          <t>A 10521-2022</t>
        </is>
      </c>
      <c r="B224" s="1" t="n">
        <v>44623</v>
      </c>
      <c r="C224" s="1" t="n">
        <v>45939</v>
      </c>
      <c r="D224" t="inlineStr">
        <is>
          <t>STOCKHOLMS LÄN</t>
        </is>
      </c>
      <c r="E224" t="inlineStr">
        <is>
          <t>NORRTÄLJE</t>
        </is>
      </c>
      <c r="G224" t="n">
        <v>2.9</v>
      </c>
      <c r="H224" t="n">
        <v>0</v>
      </c>
      <c r="I224" t="n">
        <v>0</v>
      </c>
      <c r="J224" t="n">
        <v>0</v>
      </c>
      <c r="K224" t="n">
        <v>0</v>
      </c>
      <c r="L224" t="n">
        <v>0</v>
      </c>
      <c r="M224" t="n">
        <v>0</v>
      </c>
      <c r="N224" t="n">
        <v>0</v>
      </c>
      <c r="O224" t="n">
        <v>0</v>
      </c>
      <c r="P224" t="n">
        <v>0</v>
      </c>
      <c r="Q224" t="n">
        <v>0</v>
      </c>
      <c r="R224" s="2" t="inlineStr"/>
    </row>
    <row r="225" ht="15" customHeight="1">
      <c r="A225" t="inlineStr">
        <is>
          <t>A 16119-2022</t>
        </is>
      </c>
      <c r="B225" s="1" t="n">
        <v>44665.66407407408</v>
      </c>
      <c r="C225" s="1" t="n">
        <v>45939</v>
      </c>
      <c r="D225" t="inlineStr">
        <is>
          <t>STOCKHOLMS LÄN</t>
        </is>
      </c>
      <c r="E225" t="inlineStr">
        <is>
          <t>NORRTÄLJE</t>
        </is>
      </c>
      <c r="G225" t="n">
        <v>3.9</v>
      </c>
      <c r="H225" t="n">
        <v>0</v>
      </c>
      <c r="I225" t="n">
        <v>0</v>
      </c>
      <c r="J225" t="n">
        <v>0</v>
      </c>
      <c r="K225" t="n">
        <v>0</v>
      </c>
      <c r="L225" t="n">
        <v>0</v>
      </c>
      <c r="M225" t="n">
        <v>0</v>
      </c>
      <c r="N225" t="n">
        <v>0</v>
      </c>
      <c r="O225" t="n">
        <v>0</v>
      </c>
      <c r="P225" t="n">
        <v>0</v>
      </c>
      <c r="Q225" t="n">
        <v>0</v>
      </c>
      <c r="R225" s="2" t="inlineStr"/>
    </row>
    <row r="226" ht="15" customHeight="1">
      <c r="A226" t="inlineStr">
        <is>
          <t>A 31924-2022</t>
        </is>
      </c>
      <c r="B226" s="1" t="n">
        <v>44777</v>
      </c>
      <c r="C226" s="1" t="n">
        <v>45939</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27217-2021</t>
        </is>
      </c>
      <c r="B227" s="1" t="n">
        <v>44350</v>
      </c>
      <c r="C227" s="1" t="n">
        <v>45939</v>
      </c>
      <c r="D227" t="inlineStr">
        <is>
          <t>STOCKHOLMS LÄN</t>
        </is>
      </c>
      <c r="E227" t="inlineStr">
        <is>
          <t>NORRTÄLJE</t>
        </is>
      </c>
      <c r="G227" t="n">
        <v>5.5</v>
      </c>
      <c r="H227" t="n">
        <v>0</v>
      </c>
      <c r="I227" t="n">
        <v>0</v>
      </c>
      <c r="J227" t="n">
        <v>0</v>
      </c>
      <c r="K227" t="n">
        <v>0</v>
      </c>
      <c r="L227" t="n">
        <v>0</v>
      </c>
      <c r="M227" t="n">
        <v>0</v>
      </c>
      <c r="N227" t="n">
        <v>0</v>
      </c>
      <c r="O227" t="n">
        <v>0</v>
      </c>
      <c r="P227" t="n">
        <v>0</v>
      </c>
      <c r="Q227" t="n">
        <v>0</v>
      </c>
      <c r="R227" s="2" t="inlineStr"/>
    </row>
    <row r="228" ht="15" customHeight="1">
      <c r="A228" t="inlineStr">
        <is>
          <t>A 57957-2020</t>
        </is>
      </c>
      <c r="B228" s="1" t="n">
        <v>44143</v>
      </c>
      <c r="C228" s="1" t="n">
        <v>45939</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45939</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12270-2022</t>
        </is>
      </c>
      <c r="B230" s="1" t="n">
        <v>44637</v>
      </c>
      <c r="C230" s="1" t="n">
        <v>45939</v>
      </c>
      <c r="D230" t="inlineStr">
        <is>
          <t>STOCKHOLMS LÄN</t>
        </is>
      </c>
      <c r="E230" t="inlineStr">
        <is>
          <t>NORRTÄLJE</t>
        </is>
      </c>
      <c r="G230" t="n">
        <v>2.3</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45939</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45939</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62030-2021</t>
        </is>
      </c>
      <c r="B233" s="1" t="n">
        <v>44502</v>
      </c>
      <c r="C233" s="1" t="n">
        <v>45939</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14543-2022</t>
        </is>
      </c>
      <c r="B234" s="1" t="n">
        <v>44655.45373842592</v>
      </c>
      <c r="C234" s="1" t="n">
        <v>45939</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16117-2022</t>
        </is>
      </c>
      <c r="B235" s="1" t="n">
        <v>44665.65474537037</v>
      </c>
      <c r="C235" s="1" t="n">
        <v>45939</v>
      </c>
      <c r="D235" t="inlineStr">
        <is>
          <t>STOCKHOLMS LÄN</t>
        </is>
      </c>
      <c r="E235" t="inlineStr">
        <is>
          <t>NORRTÄLJE</t>
        </is>
      </c>
      <c r="G235" t="n">
        <v>8.1</v>
      </c>
      <c r="H235" t="n">
        <v>0</v>
      </c>
      <c r="I235" t="n">
        <v>0</v>
      </c>
      <c r="J235" t="n">
        <v>0</v>
      </c>
      <c r="K235" t="n">
        <v>0</v>
      </c>
      <c r="L235" t="n">
        <v>0</v>
      </c>
      <c r="M235" t="n">
        <v>0</v>
      </c>
      <c r="N235" t="n">
        <v>0</v>
      </c>
      <c r="O235" t="n">
        <v>0</v>
      </c>
      <c r="P235" t="n">
        <v>0</v>
      </c>
      <c r="Q235" t="n">
        <v>0</v>
      </c>
      <c r="R235" s="2" t="inlineStr"/>
    </row>
    <row r="236" ht="15" customHeight="1">
      <c r="A236" t="inlineStr">
        <is>
          <t>A 16132-2022</t>
        </is>
      </c>
      <c r="B236" s="1" t="n">
        <v>44665.78351851852</v>
      </c>
      <c r="C236" s="1" t="n">
        <v>45939</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12875-2022</t>
        </is>
      </c>
      <c r="B237" s="1" t="n">
        <v>44642.55565972222</v>
      </c>
      <c r="C237" s="1" t="n">
        <v>45939</v>
      </c>
      <c r="D237" t="inlineStr">
        <is>
          <t>STOCKHOLMS LÄN</t>
        </is>
      </c>
      <c r="E237" t="inlineStr">
        <is>
          <t>NORRTÄLJE</t>
        </is>
      </c>
      <c r="G237" t="n">
        <v>1.6</v>
      </c>
      <c r="H237" t="n">
        <v>0</v>
      </c>
      <c r="I237" t="n">
        <v>0</v>
      </c>
      <c r="J237" t="n">
        <v>0</v>
      </c>
      <c r="K237" t="n">
        <v>0</v>
      </c>
      <c r="L237" t="n">
        <v>0</v>
      </c>
      <c r="M237" t="n">
        <v>0</v>
      </c>
      <c r="N237" t="n">
        <v>0</v>
      </c>
      <c r="O237" t="n">
        <v>0</v>
      </c>
      <c r="P237" t="n">
        <v>0</v>
      </c>
      <c r="Q237" t="n">
        <v>0</v>
      </c>
      <c r="R237" s="2" t="inlineStr"/>
    </row>
    <row r="238" ht="15" customHeight="1">
      <c r="A238" t="inlineStr">
        <is>
          <t>A 70170-2021</t>
        </is>
      </c>
      <c r="B238" s="1" t="n">
        <v>44533</v>
      </c>
      <c r="C238" s="1" t="n">
        <v>45939</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45939</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25463-2021</t>
        </is>
      </c>
      <c r="B240" s="1" t="n">
        <v>44342</v>
      </c>
      <c r="C240" s="1" t="n">
        <v>45939</v>
      </c>
      <c r="D240" t="inlineStr">
        <is>
          <t>STOCKHOLMS LÄN</t>
        </is>
      </c>
      <c r="E240" t="inlineStr">
        <is>
          <t>NORRTÄLJE</t>
        </is>
      </c>
      <c r="F240" t="inlineStr">
        <is>
          <t>Holmen skog AB</t>
        </is>
      </c>
      <c r="G240" t="n">
        <v>1.5</v>
      </c>
      <c r="H240" t="n">
        <v>0</v>
      </c>
      <c r="I240" t="n">
        <v>0</v>
      </c>
      <c r="J240" t="n">
        <v>0</v>
      </c>
      <c r="K240" t="n">
        <v>0</v>
      </c>
      <c r="L240" t="n">
        <v>0</v>
      </c>
      <c r="M240" t="n">
        <v>0</v>
      </c>
      <c r="N240" t="n">
        <v>0</v>
      </c>
      <c r="O240" t="n">
        <v>0</v>
      </c>
      <c r="P240" t="n">
        <v>0</v>
      </c>
      <c r="Q240" t="n">
        <v>0</v>
      </c>
      <c r="R240" s="2" t="inlineStr"/>
    </row>
    <row r="241" ht="15" customHeight="1">
      <c r="A241" t="inlineStr">
        <is>
          <t>A 60542-2020</t>
        </is>
      </c>
      <c r="B241" s="1" t="n">
        <v>44153</v>
      </c>
      <c r="C241" s="1" t="n">
        <v>45939</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21102-2022</t>
        </is>
      </c>
      <c r="B242" s="1" t="n">
        <v>44704</v>
      </c>
      <c r="C242" s="1" t="n">
        <v>45939</v>
      </c>
      <c r="D242" t="inlineStr">
        <is>
          <t>STOCKHOLMS LÄN</t>
        </is>
      </c>
      <c r="E242" t="inlineStr">
        <is>
          <t>NORRTÄLJE</t>
        </is>
      </c>
      <c r="G242" t="n">
        <v>0.2</v>
      </c>
      <c r="H242" t="n">
        <v>0</v>
      </c>
      <c r="I242" t="n">
        <v>0</v>
      </c>
      <c r="J242" t="n">
        <v>0</v>
      </c>
      <c r="K242" t="n">
        <v>0</v>
      </c>
      <c r="L242" t="n">
        <v>0</v>
      </c>
      <c r="M242" t="n">
        <v>0</v>
      </c>
      <c r="N242" t="n">
        <v>0</v>
      </c>
      <c r="O242" t="n">
        <v>0</v>
      </c>
      <c r="P242" t="n">
        <v>0</v>
      </c>
      <c r="Q242" t="n">
        <v>0</v>
      </c>
      <c r="R242" s="2" t="inlineStr"/>
    </row>
    <row r="243" ht="15" customHeight="1">
      <c r="A243" t="inlineStr">
        <is>
          <t>A 55982-2020</t>
        </is>
      </c>
      <c r="B243" s="1" t="n">
        <v>44132</v>
      </c>
      <c r="C243" s="1" t="n">
        <v>45939</v>
      </c>
      <c r="D243" t="inlineStr">
        <is>
          <t>STOCKHOLMS LÄN</t>
        </is>
      </c>
      <c r="E243" t="inlineStr">
        <is>
          <t>NORRTÄLJE</t>
        </is>
      </c>
      <c r="G243" t="n">
        <v>11.3</v>
      </c>
      <c r="H243" t="n">
        <v>0</v>
      </c>
      <c r="I243" t="n">
        <v>0</v>
      </c>
      <c r="J243" t="n">
        <v>0</v>
      </c>
      <c r="K243" t="n">
        <v>0</v>
      </c>
      <c r="L243" t="n">
        <v>0</v>
      </c>
      <c r="M243" t="n">
        <v>0</v>
      </c>
      <c r="N243" t="n">
        <v>0</v>
      </c>
      <c r="O243" t="n">
        <v>0</v>
      </c>
      <c r="P243" t="n">
        <v>0</v>
      </c>
      <c r="Q243" t="n">
        <v>0</v>
      </c>
      <c r="R243" s="2" t="inlineStr"/>
    </row>
    <row r="244" ht="15" customHeight="1">
      <c r="A244" t="inlineStr">
        <is>
          <t>A 71880-2021</t>
        </is>
      </c>
      <c r="B244" s="1" t="n">
        <v>44543</v>
      </c>
      <c r="C244" s="1" t="n">
        <v>45939</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17772-2022</t>
        </is>
      </c>
      <c r="B245" s="1" t="n">
        <v>44682.76528935185</v>
      </c>
      <c r="C245" s="1" t="n">
        <v>45939</v>
      </c>
      <c r="D245" t="inlineStr">
        <is>
          <t>STOCKHOLMS LÄN</t>
        </is>
      </c>
      <c r="E245" t="inlineStr">
        <is>
          <t>NORRTÄLJE</t>
        </is>
      </c>
      <c r="G245" t="n">
        <v>4</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45939</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67285-2021</t>
        </is>
      </c>
      <c r="B247" s="1" t="n">
        <v>44523.61635416667</v>
      </c>
      <c r="C247" s="1" t="n">
        <v>45939</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52449-2021</t>
        </is>
      </c>
      <c r="B248" s="1" t="n">
        <v>44466.37496527778</v>
      </c>
      <c r="C248" s="1" t="n">
        <v>45939</v>
      </c>
      <c r="D248" t="inlineStr">
        <is>
          <t>STOCKHOLMS LÄN</t>
        </is>
      </c>
      <c r="E248" t="inlineStr">
        <is>
          <t>NORRTÄLJE</t>
        </is>
      </c>
      <c r="F248" t="inlineStr">
        <is>
          <t>Holmen skog AB</t>
        </is>
      </c>
      <c r="G248" t="n">
        <v>1.8</v>
      </c>
      <c r="H248" t="n">
        <v>0</v>
      </c>
      <c r="I248" t="n">
        <v>0</v>
      </c>
      <c r="J248" t="n">
        <v>0</v>
      </c>
      <c r="K248" t="n">
        <v>0</v>
      </c>
      <c r="L248" t="n">
        <v>0</v>
      </c>
      <c r="M248" t="n">
        <v>0</v>
      </c>
      <c r="N248" t="n">
        <v>0</v>
      </c>
      <c r="O248" t="n">
        <v>0</v>
      </c>
      <c r="P248" t="n">
        <v>0</v>
      </c>
      <c r="Q248" t="n">
        <v>0</v>
      </c>
      <c r="R248" s="2" t="inlineStr"/>
    </row>
    <row r="249" ht="15" customHeight="1">
      <c r="A249" t="inlineStr">
        <is>
          <t>A 5611-2022</t>
        </is>
      </c>
      <c r="B249" s="1" t="n">
        <v>44595</v>
      </c>
      <c r="C249" s="1" t="n">
        <v>45939</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32055-2021</t>
        </is>
      </c>
      <c r="B250" s="1" t="n">
        <v>44370.72197916666</v>
      </c>
      <c r="C250" s="1" t="n">
        <v>45939</v>
      </c>
      <c r="D250" t="inlineStr">
        <is>
          <t>STOCKHOLMS LÄN</t>
        </is>
      </c>
      <c r="E250" t="inlineStr">
        <is>
          <t>NORRTÄLJE</t>
        </is>
      </c>
      <c r="G250" t="n">
        <v>1.2</v>
      </c>
      <c r="H250" t="n">
        <v>0</v>
      </c>
      <c r="I250" t="n">
        <v>0</v>
      </c>
      <c r="J250" t="n">
        <v>0</v>
      </c>
      <c r="K250" t="n">
        <v>0</v>
      </c>
      <c r="L250" t="n">
        <v>0</v>
      </c>
      <c r="M250" t="n">
        <v>0</v>
      </c>
      <c r="N250" t="n">
        <v>0</v>
      </c>
      <c r="O250" t="n">
        <v>0</v>
      </c>
      <c r="P250" t="n">
        <v>0</v>
      </c>
      <c r="Q250" t="n">
        <v>0</v>
      </c>
      <c r="R250" s="2" t="inlineStr"/>
    </row>
    <row r="251" ht="15" customHeight="1">
      <c r="A251" t="inlineStr">
        <is>
          <t>A 24101-2022</t>
        </is>
      </c>
      <c r="B251" s="1" t="n">
        <v>44725</v>
      </c>
      <c r="C251" s="1" t="n">
        <v>45939</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33046-2021</t>
        </is>
      </c>
      <c r="B252" s="1" t="n">
        <v>44376</v>
      </c>
      <c r="C252" s="1" t="n">
        <v>45939</v>
      </c>
      <c r="D252" t="inlineStr">
        <is>
          <t>STOCKHOLMS LÄN</t>
        </is>
      </c>
      <c r="E252" t="inlineStr">
        <is>
          <t>NORRTÄLJE</t>
        </is>
      </c>
      <c r="G252" t="n">
        <v>2.1</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45939</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26328-2022</t>
        </is>
      </c>
      <c r="B254" s="1" t="n">
        <v>44735</v>
      </c>
      <c r="C254" s="1" t="n">
        <v>45939</v>
      </c>
      <c r="D254" t="inlineStr">
        <is>
          <t>STOCKHOLMS LÄN</t>
        </is>
      </c>
      <c r="E254" t="inlineStr">
        <is>
          <t>NORRTÄLJE</t>
        </is>
      </c>
      <c r="G254" t="n">
        <v>2.8</v>
      </c>
      <c r="H254" t="n">
        <v>0</v>
      </c>
      <c r="I254" t="n">
        <v>0</v>
      </c>
      <c r="J254" t="n">
        <v>0</v>
      </c>
      <c r="K254" t="n">
        <v>0</v>
      </c>
      <c r="L254" t="n">
        <v>0</v>
      </c>
      <c r="M254" t="n">
        <v>0</v>
      </c>
      <c r="N254" t="n">
        <v>0</v>
      </c>
      <c r="O254" t="n">
        <v>0</v>
      </c>
      <c r="P254" t="n">
        <v>0</v>
      </c>
      <c r="Q254" t="n">
        <v>0</v>
      </c>
      <c r="R254" s="2" t="inlineStr"/>
    </row>
    <row r="255" ht="15" customHeight="1">
      <c r="A255" t="inlineStr">
        <is>
          <t>A 66372-2020</t>
        </is>
      </c>
      <c r="B255" s="1" t="n">
        <v>44176</v>
      </c>
      <c r="C255" s="1" t="n">
        <v>45939</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45939</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27214-2021</t>
        </is>
      </c>
      <c r="B257" s="1" t="n">
        <v>44350</v>
      </c>
      <c r="C257" s="1" t="n">
        <v>45939</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12355-2022</t>
        </is>
      </c>
      <c r="B258" s="1" t="n">
        <v>44637</v>
      </c>
      <c r="C258" s="1" t="n">
        <v>45939</v>
      </c>
      <c r="D258" t="inlineStr">
        <is>
          <t>STOCKHOLMS LÄN</t>
        </is>
      </c>
      <c r="E258" t="inlineStr">
        <is>
          <t>NORRTÄLJE</t>
        </is>
      </c>
      <c r="G258" t="n">
        <v>10.4</v>
      </c>
      <c r="H258" t="n">
        <v>0</v>
      </c>
      <c r="I258" t="n">
        <v>0</v>
      </c>
      <c r="J258" t="n">
        <v>0</v>
      </c>
      <c r="K258" t="n">
        <v>0</v>
      </c>
      <c r="L258" t="n">
        <v>0</v>
      </c>
      <c r="M258" t="n">
        <v>0</v>
      </c>
      <c r="N258" t="n">
        <v>0</v>
      </c>
      <c r="O258" t="n">
        <v>0</v>
      </c>
      <c r="P258" t="n">
        <v>0</v>
      </c>
      <c r="Q258" t="n">
        <v>0</v>
      </c>
      <c r="R258" s="2" t="inlineStr"/>
    </row>
    <row r="259" ht="15" customHeight="1">
      <c r="A259" t="inlineStr">
        <is>
          <t>A 38721-2022</t>
        </is>
      </c>
      <c r="B259" s="1" t="n">
        <v>44815</v>
      </c>
      <c r="C259" s="1" t="n">
        <v>45939</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41398-2022</t>
        </is>
      </c>
      <c r="B260" s="1" t="n">
        <v>44826</v>
      </c>
      <c r="C260" s="1" t="n">
        <v>45939</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7565-2022</t>
        </is>
      </c>
      <c r="B261" s="1" t="n">
        <v>44607</v>
      </c>
      <c r="C261" s="1" t="n">
        <v>45939</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41822-2021</t>
        </is>
      </c>
      <c r="B262" s="1" t="n">
        <v>44425</v>
      </c>
      <c r="C262" s="1" t="n">
        <v>45939</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41823-2021</t>
        </is>
      </c>
      <c r="B263" s="1" t="n">
        <v>44425</v>
      </c>
      <c r="C263" s="1" t="n">
        <v>45939</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60184-2021</t>
        </is>
      </c>
      <c r="B264" s="1" t="n">
        <v>44495</v>
      </c>
      <c r="C264" s="1" t="n">
        <v>45939</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55012-2024</t>
        </is>
      </c>
      <c r="B265" s="1" t="n">
        <v>45621.34813657407</v>
      </c>
      <c r="C265" s="1" t="n">
        <v>45939</v>
      </c>
      <c r="D265" t="inlineStr">
        <is>
          <t>STOCKHOLMS LÄN</t>
        </is>
      </c>
      <c r="E265" t="inlineStr">
        <is>
          <t>NORRTÄLJE</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22369-2021</t>
        </is>
      </c>
      <c r="B266" s="1" t="n">
        <v>44326</v>
      </c>
      <c r="C266" s="1" t="n">
        <v>45939</v>
      </c>
      <c r="D266" t="inlineStr">
        <is>
          <t>STOCKHOLMS LÄN</t>
        </is>
      </c>
      <c r="E266" t="inlineStr">
        <is>
          <t>NORRTÄLJE</t>
        </is>
      </c>
      <c r="F266" t="inlineStr">
        <is>
          <t>Holmen skog AB</t>
        </is>
      </c>
      <c r="G266" t="n">
        <v>3.4</v>
      </c>
      <c r="H266" t="n">
        <v>0</v>
      </c>
      <c r="I266" t="n">
        <v>0</v>
      </c>
      <c r="J266" t="n">
        <v>0</v>
      </c>
      <c r="K266" t="n">
        <v>0</v>
      </c>
      <c r="L266" t="n">
        <v>0</v>
      </c>
      <c r="M266" t="n">
        <v>0</v>
      </c>
      <c r="N266" t="n">
        <v>0</v>
      </c>
      <c r="O266" t="n">
        <v>0</v>
      </c>
      <c r="P266" t="n">
        <v>0</v>
      </c>
      <c r="Q266" t="n">
        <v>0</v>
      </c>
      <c r="R266" s="2" t="inlineStr"/>
    </row>
    <row r="267" ht="15" customHeight="1">
      <c r="A267" t="inlineStr">
        <is>
          <t>A 12348-2025</t>
        </is>
      </c>
      <c r="B267" s="1" t="n">
        <v>45730.35026620371</v>
      </c>
      <c r="C267" s="1" t="n">
        <v>45939</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13148-2021</t>
        </is>
      </c>
      <c r="B268" s="1" t="n">
        <v>44272</v>
      </c>
      <c r="C268" s="1" t="n">
        <v>45939</v>
      </c>
      <c r="D268" t="inlineStr">
        <is>
          <t>STOCKHOLMS LÄN</t>
        </is>
      </c>
      <c r="E268" t="inlineStr">
        <is>
          <t>NORRTÄLJE</t>
        </is>
      </c>
      <c r="G268" t="n">
        <v>12.4</v>
      </c>
      <c r="H268" t="n">
        <v>0</v>
      </c>
      <c r="I268" t="n">
        <v>0</v>
      </c>
      <c r="J268" t="n">
        <v>0</v>
      </c>
      <c r="K268" t="n">
        <v>0</v>
      </c>
      <c r="L268" t="n">
        <v>0</v>
      </c>
      <c r="M268" t="n">
        <v>0</v>
      </c>
      <c r="N268" t="n">
        <v>0</v>
      </c>
      <c r="O268" t="n">
        <v>0</v>
      </c>
      <c r="P268" t="n">
        <v>0</v>
      </c>
      <c r="Q268" t="n">
        <v>0</v>
      </c>
      <c r="R268" s="2" t="inlineStr"/>
    </row>
    <row r="269" ht="15" customHeight="1">
      <c r="A269" t="inlineStr">
        <is>
          <t>A 27715-2022</t>
        </is>
      </c>
      <c r="B269" s="1" t="n">
        <v>44743.47407407407</v>
      </c>
      <c r="C269" s="1" t="n">
        <v>45939</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12111-2021</t>
        </is>
      </c>
      <c r="B270" s="1" t="n">
        <v>44266</v>
      </c>
      <c r="C270" s="1" t="n">
        <v>45939</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33053-2021</t>
        </is>
      </c>
      <c r="B271" s="1" t="n">
        <v>44376</v>
      </c>
      <c r="C271" s="1" t="n">
        <v>45939</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15441-2021</t>
        </is>
      </c>
      <c r="B272" s="1" t="n">
        <v>44284</v>
      </c>
      <c r="C272" s="1" t="n">
        <v>45939</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20013-2025</t>
        </is>
      </c>
      <c r="B273" s="1" t="n">
        <v>45772.30436342592</v>
      </c>
      <c r="C273" s="1" t="n">
        <v>45939</v>
      </c>
      <c r="D273" t="inlineStr">
        <is>
          <t>STOCKHOLMS LÄN</t>
        </is>
      </c>
      <c r="E273" t="inlineStr">
        <is>
          <t>NORRTÄLJE</t>
        </is>
      </c>
      <c r="G273" t="n">
        <v>2.3</v>
      </c>
      <c r="H273" t="n">
        <v>0</v>
      </c>
      <c r="I273" t="n">
        <v>0</v>
      </c>
      <c r="J273" t="n">
        <v>0</v>
      </c>
      <c r="K273" t="n">
        <v>0</v>
      </c>
      <c r="L273" t="n">
        <v>0</v>
      </c>
      <c r="M273" t="n">
        <v>0</v>
      </c>
      <c r="N273" t="n">
        <v>0</v>
      </c>
      <c r="O273" t="n">
        <v>0</v>
      </c>
      <c r="P273" t="n">
        <v>0</v>
      </c>
      <c r="Q273" t="n">
        <v>0</v>
      </c>
      <c r="R273" s="2" t="inlineStr"/>
    </row>
    <row r="274" ht="15" customHeight="1">
      <c r="A274" t="inlineStr">
        <is>
          <t>A 63161-2023</t>
        </is>
      </c>
      <c r="B274" s="1" t="n">
        <v>45273</v>
      </c>
      <c r="C274" s="1" t="n">
        <v>45939</v>
      </c>
      <c r="D274" t="inlineStr">
        <is>
          <t>STOCKHOLMS LÄN</t>
        </is>
      </c>
      <c r="E274" t="inlineStr">
        <is>
          <t>NORRTÄLJE</t>
        </is>
      </c>
      <c r="G274" t="n">
        <v>1.6</v>
      </c>
      <c r="H274" t="n">
        <v>0</v>
      </c>
      <c r="I274" t="n">
        <v>0</v>
      </c>
      <c r="J274" t="n">
        <v>0</v>
      </c>
      <c r="K274" t="n">
        <v>0</v>
      </c>
      <c r="L274" t="n">
        <v>0</v>
      </c>
      <c r="M274" t="n">
        <v>0</v>
      </c>
      <c r="N274" t="n">
        <v>0</v>
      </c>
      <c r="O274" t="n">
        <v>0</v>
      </c>
      <c r="P274" t="n">
        <v>0</v>
      </c>
      <c r="Q274" t="n">
        <v>0</v>
      </c>
      <c r="R274" s="2" t="inlineStr"/>
    </row>
    <row r="275" ht="15" customHeight="1">
      <c r="A275" t="inlineStr">
        <is>
          <t>A 20295-2022</t>
        </is>
      </c>
      <c r="B275" s="1" t="n">
        <v>44698</v>
      </c>
      <c r="C275" s="1" t="n">
        <v>45939</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23271-2023</t>
        </is>
      </c>
      <c r="B276" s="1" t="n">
        <v>45075.91362268518</v>
      </c>
      <c r="C276" s="1" t="n">
        <v>45939</v>
      </c>
      <c r="D276" t="inlineStr">
        <is>
          <t>STOCKHOLMS LÄN</t>
        </is>
      </c>
      <c r="E276" t="inlineStr">
        <is>
          <t>NORRTÄLJE</t>
        </is>
      </c>
      <c r="G276" t="n">
        <v>5.1</v>
      </c>
      <c r="H276" t="n">
        <v>0</v>
      </c>
      <c r="I276" t="n">
        <v>0</v>
      </c>
      <c r="J276" t="n">
        <v>0</v>
      </c>
      <c r="K276" t="n">
        <v>0</v>
      </c>
      <c r="L276" t="n">
        <v>0</v>
      </c>
      <c r="M276" t="n">
        <v>0</v>
      </c>
      <c r="N276" t="n">
        <v>0</v>
      </c>
      <c r="O276" t="n">
        <v>0</v>
      </c>
      <c r="P276" t="n">
        <v>0</v>
      </c>
      <c r="Q276" t="n">
        <v>0</v>
      </c>
      <c r="R276" s="2" t="inlineStr"/>
    </row>
    <row r="277" ht="15" customHeight="1">
      <c r="A277" t="inlineStr">
        <is>
          <t>A 23273-2023</t>
        </is>
      </c>
      <c r="B277" s="1" t="n">
        <v>45075.91971064815</v>
      </c>
      <c r="C277" s="1" t="n">
        <v>45939</v>
      </c>
      <c r="D277" t="inlineStr">
        <is>
          <t>STOCKHOLMS LÄN</t>
        </is>
      </c>
      <c r="E277" t="inlineStr">
        <is>
          <t>NORRTÄLJE</t>
        </is>
      </c>
      <c r="G277" t="n">
        <v>7.5</v>
      </c>
      <c r="H277" t="n">
        <v>0</v>
      </c>
      <c r="I277" t="n">
        <v>0</v>
      </c>
      <c r="J277" t="n">
        <v>0</v>
      </c>
      <c r="K277" t="n">
        <v>0</v>
      </c>
      <c r="L277" t="n">
        <v>0</v>
      </c>
      <c r="M277" t="n">
        <v>0</v>
      </c>
      <c r="N277" t="n">
        <v>0</v>
      </c>
      <c r="O277" t="n">
        <v>0</v>
      </c>
      <c r="P277" t="n">
        <v>0</v>
      </c>
      <c r="Q277" t="n">
        <v>0</v>
      </c>
      <c r="R277" s="2" t="inlineStr"/>
    </row>
    <row r="278" ht="15" customHeight="1">
      <c r="A278" t="inlineStr">
        <is>
          <t>A 30802-2022</t>
        </is>
      </c>
      <c r="B278" s="1" t="n">
        <v>44764</v>
      </c>
      <c r="C278" s="1" t="n">
        <v>45939</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19706-2023</t>
        </is>
      </c>
      <c r="B279" s="1" t="n">
        <v>45051.455</v>
      </c>
      <c r="C279" s="1" t="n">
        <v>45939</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45939</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67598-2021</t>
        </is>
      </c>
      <c r="B281" s="1" t="n">
        <v>44524</v>
      </c>
      <c r="C281" s="1" t="n">
        <v>45939</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19398-2021</t>
        </is>
      </c>
      <c r="B282" s="1" t="n">
        <v>44309</v>
      </c>
      <c r="C282" s="1" t="n">
        <v>45939</v>
      </c>
      <c r="D282" t="inlineStr">
        <is>
          <t>STOCKHOLMS LÄN</t>
        </is>
      </c>
      <c r="E282" t="inlineStr">
        <is>
          <t>NORRTÄLJE</t>
        </is>
      </c>
      <c r="F282" t="inlineStr">
        <is>
          <t>Kommuner</t>
        </is>
      </c>
      <c r="G282" t="n">
        <v>2.1</v>
      </c>
      <c r="H282" t="n">
        <v>0</v>
      </c>
      <c r="I282" t="n">
        <v>0</v>
      </c>
      <c r="J282" t="n">
        <v>0</v>
      </c>
      <c r="K282" t="n">
        <v>0</v>
      </c>
      <c r="L282" t="n">
        <v>0</v>
      </c>
      <c r="M282" t="n">
        <v>0</v>
      </c>
      <c r="N282" t="n">
        <v>0</v>
      </c>
      <c r="O282" t="n">
        <v>0</v>
      </c>
      <c r="P282" t="n">
        <v>0</v>
      </c>
      <c r="Q282" t="n">
        <v>0</v>
      </c>
      <c r="R282" s="2" t="inlineStr"/>
    </row>
    <row r="283" ht="15" customHeight="1">
      <c r="A283" t="inlineStr">
        <is>
          <t>A 16008-2025</t>
        </is>
      </c>
      <c r="B283" s="1" t="n">
        <v>45749</v>
      </c>
      <c r="C283" s="1" t="n">
        <v>45939</v>
      </c>
      <c r="D283" t="inlineStr">
        <is>
          <t>STOCKHOLMS LÄN</t>
        </is>
      </c>
      <c r="E283" t="inlineStr">
        <is>
          <t>NORRTÄLJE</t>
        </is>
      </c>
      <c r="F283" t="inlineStr">
        <is>
          <t>Holmen skog AB</t>
        </is>
      </c>
      <c r="G283" t="n">
        <v>0.9</v>
      </c>
      <c r="H283" t="n">
        <v>0</v>
      </c>
      <c r="I283" t="n">
        <v>0</v>
      </c>
      <c r="J283" t="n">
        <v>0</v>
      </c>
      <c r="K283" t="n">
        <v>0</v>
      </c>
      <c r="L283" t="n">
        <v>0</v>
      </c>
      <c r="M283" t="n">
        <v>0</v>
      </c>
      <c r="N283" t="n">
        <v>0</v>
      </c>
      <c r="O283" t="n">
        <v>0</v>
      </c>
      <c r="P283" t="n">
        <v>0</v>
      </c>
      <c r="Q283" t="n">
        <v>0</v>
      </c>
      <c r="R283" s="2" t="inlineStr"/>
    </row>
    <row r="284" ht="15" customHeight="1">
      <c r="A284" t="inlineStr">
        <is>
          <t>A 9765-2024</t>
        </is>
      </c>
      <c r="B284" s="1" t="n">
        <v>45362.62811342593</v>
      </c>
      <c r="C284" s="1" t="n">
        <v>45939</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34520-2021</t>
        </is>
      </c>
      <c r="B285" s="1" t="n">
        <v>44379</v>
      </c>
      <c r="C285" s="1" t="n">
        <v>45939</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45541-2022</t>
        </is>
      </c>
      <c r="B286" s="1" t="n">
        <v>44845.47672453704</v>
      </c>
      <c r="C286" s="1" t="n">
        <v>45939</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30286-2022</t>
        </is>
      </c>
      <c r="B287" s="1" t="n">
        <v>44760</v>
      </c>
      <c r="C287" s="1" t="n">
        <v>45939</v>
      </c>
      <c r="D287" t="inlineStr">
        <is>
          <t>STOCKHOLMS LÄN</t>
        </is>
      </c>
      <c r="E287" t="inlineStr">
        <is>
          <t>NORRTÄLJE</t>
        </is>
      </c>
      <c r="G287" t="n">
        <v>0.3</v>
      </c>
      <c r="H287" t="n">
        <v>0</v>
      </c>
      <c r="I287" t="n">
        <v>0</v>
      </c>
      <c r="J287" t="n">
        <v>0</v>
      </c>
      <c r="K287" t="n">
        <v>0</v>
      </c>
      <c r="L287" t="n">
        <v>0</v>
      </c>
      <c r="M287" t="n">
        <v>0</v>
      </c>
      <c r="N287" t="n">
        <v>0</v>
      </c>
      <c r="O287" t="n">
        <v>0</v>
      </c>
      <c r="P287" t="n">
        <v>0</v>
      </c>
      <c r="Q287" t="n">
        <v>0</v>
      </c>
      <c r="R287" s="2" t="inlineStr"/>
    </row>
    <row r="288" ht="15" customHeight="1">
      <c r="A288" t="inlineStr">
        <is>
          <t>A 8160-2022</t>
        </is>
      </c>
      <c r="B288" s="1" t="n">
        <v>44609</v>
      </c>
      <c r="C288" s="1" t="n">
        <v>45939</v>
      </c>
      <c r="D288" t="inlineStr">
        <is>
          <t>STOCKHOLMS LÄN</t>
        </is>
      </c>
      <c r="E288" t="inlineStr">
        <is>
          <t>NORRTÄLJE</t>
        </is>
      </c>
      <c r="G288" t="n">
        <v>3.9</v>
      </c>
      <c r="H288" t="n">
        <v>0</v>
      </c>
      <c r="I288" t="n">
        <v>0</v>
      </c>
      <c r="J288" t="n">
        <v>0</v>
      </c>
      <c r="K288" t="n">
        <v>0</v>
      </c>
      <c r="L288" t="n">
        <v>0</v>
      </c>
      <c r="M288" t="n">
        <v>0</v>
      </c>
      <c r="N288" t="n">
        <v>0</v>
      </c>
      <c r="O288" t="n">
        <v>0</v>
      </c>
      <c r="P288" t="n">
        <v>0</v>
      </c>
      <c r="Q288" t="n">
        <v>0</v>
      </c>
      <c r="R288" s="2" t="inlineStr"/>
    </row>
    <row r="289" ht="15" customHeight="1">
      <c r="A289" t="inlineStr">
        <is>
          <t>A 12779-2021</t>
        </is>
      </c>
      <c r="B289" s="1" t="n">
        <v>44270</v>
      </c>
      <c r="C289" s="1" t="n">
        <v>45939</v>
      </c>
      <c r="D289" t="inlineStr">
        <is>
          <t>STOCKHOLMS LÄN</t>
        </is>
      </c>
      <c r="E289" t="inlineStr">
        <is>
          <t>NORRTÄLJE</t>
        </is>
      </c>
      <c r="G289" t="n">
        <v>10.8</v>
      </c>
      <c r="H289" t="n">
        <v>0</v>
      </c>
      <c r="I289" t="n">
        <v>0</v>
      </c>
      <c r="J289" t="n">
        <v>0</v>
      </c>
      <c r="K289" t="n">
        <v>0</v>
      </c>
      <c r="L289" t="n">
        <v>0</v>
      </c>
      <c r="M289" t="n">
        <v>0</v>
      </c>
      <c r="N289" t="n">
        <v>0</v>
      </c>
      <c r="O289" t="n">
        <v>0</v>
      </c>
      <c r="P289" t="n">
        <v>0</v>
      </c>
      <c r="Q289" t="n">
        <v>0</v>
      </c>
      <c r="R289" s="2" t="inlineStr"/>
    </row>
    <row r="290" ht="15" customHeight="1">
      <c r="A290" t="inlineStr">
        <is>
          <t>A 12782-2021</t>
        </is>
      </c>
      <c r="B290" s="1" t="n">
        <v>44270</v>
      </c>
      <c r="C290" s="1" t="n">
        <v>45939</v>
      </c>
      <c r="D290" t="inlineStr">
        <is>
          <t>STOCKHOLMS LÄN</t>
        </is>
      </c>
      <c r="E290" t="inlineStr">
        <is>
          <t>NORRTÄLJE</t>
        </is>
      </c>
      <c r="G290" t="n">
        <v>3.8</v>
      </c>
      <c r="H290" t="n">
        <v>0</v>
      </c>
      <c r="I290" t="n">
        <v>0</v>
      </c>
      <c r="J290" t="n">
        <v>0</v>
      </c>
      <c r="K290" t="n">
        <v>0</v>
      </c>
      <c r="L290" t="n">
        <v>0</v>
      </c>
      <c r="M290" t="n">
        <v>0</v>
      </c>
      <c r="N290" t="n">
        <v>0</v>
      </c>
      <c r="O290" t="n">
        <v>0</v>
      </c>
      <c r="P290" t="n">
        <v>0</v>
      </c>
      <c r="Q290" t="n">
        <v>0</v>
      </c>
      <c r="R290" s="2" t="inlineStr"/>
    </row>
    <row r="291" ht="15" customHeight="1">
      <c r="A291" t="inlineStr">
        <is>
          <t>A 47694-2023</t>
        </is>
      </c>
      <c r="B291" s="1" t="n">
        <v>45203.63303240741</v>
      </c>
      <c r="C291" s="1" t="n">
        <v>45939</v>
      </c>
      <c r="D291" t="inlineStr">
        <is>
          <t>STOCKHOLMS LÄN</t>
        </is>
      </c>
      <c r="E291" t="inlineStr">
        <is>
          <t>NORRTÄLJE</t>
        </is>
      </c>
      <c r="G291" t="n">
        <v>5.2</v>
      </c>
      <c r="H291" t="n">
        <v>0</v>
      </c>
      <c r="I291" t="n">
        <v>0</v>
      </c>
      <c r="J291" t="n">
        <v>0</v>
      </c>
      <c r="K291" t="n">
        <v>0</v>
      </c>
      <c r="L291" t="n">
        <v>0</v>
      </c>
      <c r="M291" t="n">
        <v>0</v>
      </c>
      <c r="N291" t="n">
        <v>0</v>
      </c>
      <c r="O291" t="n">
        <v>0</v>
      </c>
      <c r="P291" t="n">
        <v>0</v>
      </c>
      <c r="Q291" t="n">
        <v>0</v>
      </c>
      <c r="R291" s="2" t="inlineStr"/>
    </row>
    <row r="292" ht="15" customHeight="1">
      <c r="A292" t="inlineStr">
        <is>
          <t>A 40656-2022</t>
        </is>
      </c>
      <c r="B292" s="1" t="n">
        <v>44824.36069444445</v>
      </c>
      <c r="C292" s="1" t="n">
        <v>45939</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39319-2022</t>
        </is>
      </c>
      <c r="B293" s="1" t="n">
        <v>44817.70516203704</v>
      </c>
      <c r="C293" s="1" t="n">
        <v>45939</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56219-2021</t>
        </is>
      </c>
      <c r="B294" s="1" t="n">
        <v>44477</v>
      </c>
      <c r="C294" s="1" t="n">
        <v>45939</v>
      </c>
      <c r="D294" t="inlineStr">
        <is>
          <t>STOCKHOLMS LÄN</t>
        </is>
      </c>
      <c r="E294" t="inlineStr">
        <is>
          <t>NORRTÄLJE</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40425-2021</t>
        </is>
      </c>
      <c r="B295" s="1" t="n">
        <v>44419</v>
      </c>
      <c r="C295" s="1" t="n">
        <v>45939</v>
      </c>
      <c r="D295" t="inlineStr">
        <is>
          <t>STOCKHOLMS LÄN</t>
        </is>
      </c>
      <c r="E295" t="inlineStr">
        <is>
          <t>NORRTÄLJE</t>
        </is>
      </c>
      <c r="G295" t="n">
        <v>5</v>
      </c>
      <c r="H295" t="n">
        <v>0</v>
      </c>
      <c r="I295" t="n">
        <v>0</v>
      </c>
      <c r="J295" t="n">
        <v>0</v>
      </c>
      <c r="K295" t="n">
        <v>0</v>
      </c>
      <c r="L295" t="n">
        <v>0</v>
      </c>
      <c r="M295" t="n">
        <v>0</v>
      </c>
      <c r="N295" t="n">
        <v>0</v>
      </c>
      <c r="O295" t="n">
        <v>0</v>
      </c>
      <c r="P295" t="n">
        <v>0</v>
      </c>
      <c r="Q295" t="n">
        <v>0</v>
      </c>
      <c r="R295" s="2" t="inlineStr"/>
    </row>
    <row r="296" ht="15" customHeight="1">
      <c r="A296" t="inlineStr">
        <is>
          <t>A 68273-2021</t>
        </is>
      </c>
      <c r="B296" s="1" t="n">
        <v>44526</v>
      </c>
      <c r="C296" s="1" t="n">
        <v>45939</v>
      </c>
      <c r="D296" t="inlineStr">
        <is>
          <t>STOCKHOLMS LÄN</t>
        </is>
      </c>
      <c r="E296" t="inlineStr">
        <is>
          <t>NORRTÄLJE</t>
        </is>
      </c>
      <c r="G296" t="n">
        <v>5.3</v>
      </c>
      <c r="H296" t="n">
        <v>0</v>
      </c>
      <c r="I296" t="n">
        <v>0</v>
      </c>
      <c r="J296" t="n">
        <v>0</v>
      </c>
      <c r="K296" t="n">
        <v>0</v>
      </c>
      <c r="L296" t="n">
        <v>0</v>
      </c>
      <c r="M296" t="n">
        <v>0</v>
      </c>
      <c r="N296" t="n">
        <v>0</v>
      </c>
      <c r="O296" t="n">
        <v>0</v>
      </c>
      <c r="P296" t="n">
        <v>0</v>
      </c>
      <c r="Q296" t="n">
        <v>0</v>
      </c>
      <c r="R296" s="2" t="inlineStr"/>
    </row>
    <row r="297" ht="15" customHeight="1">
      <c r="A297" t="inlineStr">
        <is>
          <t>A 20014-2025</t>
        </is>
      </c>
      <c r="B297" s="1" t="n">
        <v>45772.3078125</v>
      </c>
      <c r="C297" s="1" t="n">
        <v>45939</v>
      </c>
      <c r="D297" t="inlineStr">
        <is>
          <t>STOCKHOLMS LÄN</t>
        </is>
      </c>
      <c r="E297" t="inlineStr">
        <is>
          <t>NORRTÄLJE</t>
        </is>
      </c>
      <c r="G297" t="n">
        <v>4.4</v>
      </c>
      <c r="H297" t="n">
        <v>0</v>
      </c>
      <c r="I297" t="n">
        <v>0</v>
      </c>
      <c r="J297" t="n">
        <v>0</v>
      </c>
      <c r="K297" t="n">
        <v>0</v>
      </c>
      <c r="L297" t="n">
        <v>0</v>
      </c>
      <c r="M297" t="n">
        <v>0</v>
      </c>
      <c r="N297" t="n">
        <v>0</v>
      </c>
      <c r="O297" t="n">
        <v>0</v>
      </c>
      <c r="P297" t="n">
        <v>0</v>
      </c>
      <c r="Q297" t="n">
        <v>0</v>
      </c>
      <c r="R297" s="2" t="inlineStr"/>
    </row>
    <row r="298" ht="15" customHeight="1">
      <c r="A298" t="inlineStr">
        <is>
          <t>A 56631-2024</t>
        </is>
      </c>
      <c r="B298" s="1" t="n">
        <v>45625</v>
      </c>
      <c r="C298" s="1" t="n">
        <v>45939</v>
      </c>
      <c r="D298" t="inlineStr">
        <is>
          <t>STOCKHOLMS LÄN</t>
        </is>
      </c>
      <c r="E298" t="inlineStr">
        <is>
          <t>NORRTÄLJE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48587-2023</t>
        </is>
      </c>
      <c r="B299" s="1" t="n">
        <v>45208</v>
      </c>
      <c r="C299" s="1" t="n">
        <v>45939</v>
      </c>
      <c r="D299" t="inlineStr">
        <is>
          <t>STOCKHOLMS LÄN</t>
        </is>
      </c>
      <c r="E299" t="inlineStr">
        <is>
          <t>NORRTÄLJE</t>
        </is>
      </c>
      <c r="G299" t="n">
        <v>7</v>
      </c>
      <c r="H299" t="n">
        <v>0</v>
      </c>
      <c r="I299" t="n">
        <v>0</v>
      </c>
      <c r="J299" t="n">
        <v>0</v>
      </c>
      <c r="K299" t="n">
        <v>0</v>
      </c>
      <c r="L299" t="n">
        <v>0</v>
      </c>
      <c r="M299" t="n">
        <v>0</v>
      </c>
      <c r="N299" t="n">
        <v>0</v>
      </c>
      <c r="O299" t="n">
        <v>0</v>
      </c>
      <c r="P299" t="n">
        <v>0</v>
      </c>
      <c r="Q299" t="n">
        <v>0</v>
      </c>
      <c r="R299" s="2" t="inlineStr"/>
    </row>
    <row r="300" ht="15" customHeight="1">
      <c r="A300" t="inlineStr">
        <is>
          <t>A 53600-2022</t>
        </is>
      </c>
      <c r="B300" s="1" t="n">
        <v>44879.70518518519</v>
      </c>
      <c r="C300" s="1" t="n">
        <v>45939</v>
      </c>
      <c r="D300" t="inlineStr">
        <is>
          <t>STOCKHOLMS LÄN</t>
        </is>
      </c>
      <c r="E300" t="inlineStr">
        <is>
          <t>NORRTÄLJE</t>
        </is>
      </c>
      <c r="G300" t="n">
        <v>4.3</v>
      </c>
      <c r="H300" t="n">
        <v>0</v>
      </c>
      <c r="I300" t="n">
        <v>0</v>
      </c>
      <c r="J300" t="n">
        <v>0</v>
      </c>
      <c r="K300" t="n">
        <v>0</v>
      </c>
      <c r="L300" t="n">
        <v>0</v>
      </c>
      <c r="M300" t="n">
        <v>0</v>
      </c>
      <c r="N300" t="n">
        <v>0</v>
      </c>
      <c r="O300" t="n">
        <v>0</v>
      </c>
      <c r="P300" t="n">
        <v>0</v>
      </c>
      <c r="Q300" t="n">
        <v>0</v>
      </c>
      <c r="R300" s="2" t="inlineStr"/>
    </row>
    <row r="301" ht="15" customHeight="1">
      <c r="A301" t="inlineStr">
        <is>
          <t>A 5562-2021</t>
        </is>
      </c>
      <c r="B301" s="1" t="n">
        <v>44230</v>
      </c>
      <c r="C301" s="1" t="n">
        <v>45939</v>
      </c>
      <c r="D301" t="inlineStr">
        <is>
          <t>STOCKHOLMS LÄN</t>
        </is>
      </c>
      <c r="E301" t="inlineStr">
        <is>
          <t>NORRTÄLJE</t>
        </is>
      </c>
      <c r="G301" t="n">
        <v>0.5</v>
      </c>
      <c r="H301" t="n">
        <v>0</v>
      </c>
      <c r="I301" t="n">
        <v>0</v>
      </c>
      <c r="J301" t="n">
        <v>0</v>
      </c>
      <c r="K301" t="n">
        <v>0</v>
      </c>
      <c r="L301" t="n">
        <v>0</v>
      </c>
      <c r="M301" t="n">
        <v>0</v>
      </c>
      <c r="N301" t="n">
        <v>0</v>
      </c>
      <c r="O301" t="n">
        <v>0</v>
      </c>
      <c r="P301" t="n">
        <v>0</v>
      </c>
      <c r="Q301" t="n">
        <v>0</v>
      </c>
      <c r="R301" s="2" t="inlineStr"/>
    </row>
    <row r="302" ht="15" customHeight="1">
      <c r="A302" t="inlineStr">
        <is>
          <t>A 5566-2021</t>
        </is>
      </c>
      <c r="B302" s="1" t="n">
        <v>44230</v>
      </c>
      <c r="C302" s="1" t="n">
        <v>45939</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1968-2022</t>
        </is>
      </c>
      <c r="B303" s="1" t="n">
        <v>44575.52831018518</v>
      </c>
      <c r="C303" s="1" t="n">
        <v>45939</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42955-2022</t>
        </is>
      </c>
      <c r="B304" s="1" t="n">
        <v>44833.40876157407</v>
      </c>
      <c r="C304" s="1" t="n">
        <v>45939</v>
      </c>
      <c r="D304" t="inlineStr">
        <is>
          <t>STOCKHOLMS LÄN</t>
        </is>
      </c>
      <c r="E304" t="inlineStr">
        <is>
          <t>NORRTÄLJE</t>
        </is>
      </c>
      <c r="G304" t="n">
        <v>13.1</v>
      </c>
      <c r="H304" t="n">
        <v>0</v>
      </c>
      <c r="I304" t="n">
        <v>0</v>
      </c>
      <c r="J304" t="n">
        <v>0</v>
      </c>
      <c r="K304" t="n">
        <v>0</v>
      </c>
      <c r="L304" t="n">
        <v>0</v>
      </c>
      <c r="M304" t="n">
        <v>0</v>
      </c>
      <c r="N304" t="n">
        <v>0</v>
      </c>
      <c r="O304" t="n">
        <v>0</v>
      </c>
      <c r="P304" t="n">
        <v>0</v>
      </c>
      <c r="Q304" t="n">
        <v>0</v>
      </c>
      <c r="R304" s="2" t="inlineStr"/>
    </row>
    <row r="305" ht="15" customHeight="1">
      <c r="A305" t="inlineStr">
        <is>
          <t>A 52139-2022</t>
        </is>
      </c>
      <c r="B305" s="1" t="n">
        <v>44868</v>
      </c>
      <c r="C305" s="1" t="n">
        <v>45939</v>
      </c>
      <c r="D305" t="inlineStr">
        <is>
          <t>STOCKHOLMS LÄN</t>
        </is>
      </c>
      <c r="E305" t="inlineStr">
        <is>
          <t>NORRTÄLJE</t>
        </is>
      </c>
      <c r="G305" t="n">
        <v>3.2</v>
      </c>
      <c r="H305" t="n">
        <v>0</v>
      </c>
      <c r="I305" t="n">
        <v>0</v>
      </c>
      <c r="J305" t="n">
        <v>0</v>
      </c>
      <c r="K305" t="n">
        <v>0</v>
      </c>
      <c r="L305" t="n">
        <v>0</v>
      </c>
      <c r="M305" t="n">
        <v>0</v>
      </c>
      <c r="N305" t="n">
        <v>0</v>
      </c>
      <c r="O305" t="n">
        <v>0</v>
      </c>
      <c r="P305" t="n">
        <v>0</v>
      </c>
      <c r="Q305" t="n">
        <v>0</v>
      </c>
      <c r="R305" s="2" t="inlineStr"/>
    </row>
    <row r="306" ht="15" customHeight="1">
      <c r="A306" t="inlineStr">
        <is>
          <t>A 1229-2022</t>
        </is>
      </c>
      <c r="B306" s="1" t="n">
        <v>44572</v>
      </c>
      <c r="C306" s="1" t="n">
        <v>45939</v>
      </c>
      <c r="D306" t="inlineStr">
        <is>
          <t>STOCKHOLMS LÄN</t>
        </is>
      </c>
      <c r="E306" t="inlineStr">
        <is>
          <t>NORRTÄLJE</t>
        </is>
      </c>
      <c r="G306" t="n">
        <v>11.5</v>
      </c>
      <c r="H306" t="n">
        <v>0</v>
      </c>
      <c r="I306" t="n">
        <v>0</v>
      </c>
      <c r="J306" t="n">
        <v>0</v>
      </c>
      <c r="K306" t="n">
        <v>0</v>
      </c>
      <c r="L306" t="n">
        <v>0</v>
      </c>
      <c r="M306" t="n">
        <v>0</v>
      </c>
      <c r="N306" t="n">
        <v>0</v>
      </c>
      <c r="O306" t="n">
        <v>0</v>
      </c>
      <c r="P306" t="n">
        <v>0</v>
      </c>
      <c r="Q306" t="n">
        <v>0</v>
      </c>
      <c r="R306" s="2" t="inlineStr"/>
    </row>
    <row r="307" ht="15" customHeight="1">
      <c r="A307" t="inlineStr">
        <is>
          <t>A 14051-2022</t>
        </is>
      </c>
      <c r="B307" s="1" t="n">
        <v>44650.92714120371</v>
      </c>
      <c r="C307" s="1" t="n">
        <v>45939</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9446-2021</t>
        </is>
      </c>
      <c r="B308" s="1" t="n">
        <v>44251</v>
      </c>
      <c r="C308" s="1" t="n">
        <v>45939</v>
      </c>
      <c r="D308" t="inlineStr">
        <is>
          <t>STOCKHOLMS LÄN</t>
        </is>
      </c>
      <c r="E308" t="inlineStr">
        <is>
          <t>NORRTÄLJE</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59893-2022</t>
        </is>
      </c>
      <c r="B309" s="1" t="n">
        <v>44908.77368055555</v>
      </c>
      <c r="C309" s="1" t="n">
        <v>45939</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22456-2023</t>
        </is>
      </c>
      <c r="B310" s="1" t="n">
        <v>45070</v>
      </c>
      <c r="C310" s="1" t="n">
        <v>45939</v>
      </c>
      <c r="D310" t="inlineStr">
        <is>
          <t>STOCKHOLMS LÄN</t>
        </is>
      </c>
      <c r="E310" t="inlineStr">
        <is>
          <t>NORRTÄLJE</t>
        </is>
      </c>
      <c r="G310" t="n">
        <v>3.1</v>
      </c>
      <c r="H310" t="n">
        <v>0</v>
      </c>
      <c r="I310" t="n">
        <v>0</v>
      </c>
      <c r="J310" t="n">
        <v>0</v>
      </c>
      <c r="K310" t="n">
        <v>0</v>
      </c>
      <c r="L310" t="n">
        <v>0</v>
      </c>
      <c r="M310" t="n">
        <v>0</v>
      </c>
      <c r="N310" t="n">
        <v>0</v>
      </c>
      <c r="O310" t="n">
        <v>0</v>
      </c>
      <c r="P310" t="n">
        <v>0</v>
      </c>
      <c r="Q310" t="n">
        <v>0</v>
      </c>
      <c r="R310" s="2" t="inlineStr"/>
    </row>
    <row r="311" ht="15" customHeight="1">
      <c r="A311" t="inlineStr">
        <is>
          <t>A 20136-2025</t>
        </is>
      </c>
      <c r="B311" s="1" t="n">
        <v>45772.51127314815</v>
      </c>
      <c r="C311" s="1" t="n">
        <v>45939</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15978-2024</t>
        </is>
      </c>
      <c r="B312" s="1" t="n">
        <v>45405.57927083333</v>
      </c>
      <c r="C312" s="1" t="n">
        <v>45939</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9469-2021</t>
        </is>
      </c>
      <c r="B313" s="1" t="n">
        <v>44251</v>
      </c>
      <c r="C313" s="1" t="n">
        <v>45939</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20473-2021</t>
        </is>
      </c>
      <c r="B314" s="1" t="n">
        <v>44315</v>
      </c>
      <c r="C314" s="1" t="n">
        <v>45939</v>
      </c>
      <c r="D314" t="inlineStr">
        <is>
          <t>STOCKHOLMS LÄN</t>
        </is>
      </c>
      <c r="E314" t="inlineStr">
        <is>
          <t>NORRTÄLJE</t>
        </is>
      </c>
      <c r="F314" t="inlineStr">
        <is>
          <t>Övriga Aktiebolag</t>
        </is>
      </c>
      <c r="G314" t="n">
        <v>3.6</v>
      </c>
      <c r="H314" t="n">
        <v>0</v>
      </c>
      <c r="I314" t="n">
        <v>0</v>
      </c>
      <c r="J314" t="n">
        <v>0</v>
      </c>
      <c r="K314" t="n">
        <v>0</v>
      </c>
      <c r="L314" t="n">
        <v>0</v>
      </c>
      <c r="M314" t="n">
        <v>0</v>
      </c>
      <c r="N314" t="n">
        <v>0</v>
      </c>
      <c r="O314" t="n">
        <v>0</v>
      </c>
      <c r="P314" t="n">
        <v>0</v>
      </c>
      <c r="Q314" t="n">
        <v>0</v>
      </c>
      <c r="R314" s="2" t="inlineStr"/>
    </row>
    <row r="315" ht="15" customHeight="1">
      <c r="A315" t="inlineStr">
        <is>
          <t>A 19580-2022</t>
        </is>
      </c>
      <c r="B315" s="1" t="n">
        <v>44693</v>
      </c>
      <c r="C315" s="1" t="n">
        <v>45939</v>
      </c>
      <c r="D315" t="inlineStr">
        <is>
          <t>STOCKHOLMS LÄN</t>
        </is>
      </c>
      <c r="E315" t="inlineStr">
        <is>
          <t>NORRTÄLJE</t>
        </is>
      </c>
      <c r="G315" t="n">
        <v>0.4</v>
      </c>
      <c r="H315" t="n">
        <v>0</v>
      </c>
      <c r="I315" t="n">
        <v>0</v>
      </c>
      <c r="J315" t="n">
        <v>0</v>
      </c>
      <c r="K315" t="n">
        <v>0</v>
      </c>
      <c r="L315" t="n">
        <v>0</v>
      </c>
      <c r="M315" t="n">
        <v>0</v>
      </c>
      <c r="N315" t="n">
        <v>0</v>
      </c>
      <c r="O315" t="n">
        <v>0</v>
      </c>
      <c r="P315" t="n">
        <v>0</v>
      </c>
      <c r="Q315" t="n">
        <v>0</v>
      </c>
      <c r="R315" s="2" t="inlineStr"/>
    </row>
    <row r="316" ht="15" customHeight="1">
      <c r="A316" t="inlineStr">
        <is>
          <t>A 24167-2022</t>
        </is>
      </c>
      <c r="B316" s="1" t="n">
        <v>44725.49491898148</v>
      </c>
      <c r="C316" s="1" t="n">
        <v>45939</v>
      </c>
      <c r="D316" t="inlineStr">
        <is>
          <t>STOCKHOLMS LÄN</t>
        </is>
      </c>
      <c r="E316" t="inlineStr">
        <is>
          <t>NORRTÄLJE</t>
        </is>
      </c>
      <c r="G316" t="n">
        <v>3.4</v>
      </c>
      <c r="H316" t="n">
        <v>0</v>
      </c>
      <c r="I316" t="n">
        <v>0</v>
      </c>
      <c r="J316" t="n">
        <v>0</v>
      </c>
      <c r="K316" t="n">
        <v>0</v>
      </c>
      <c r="L316" t="n">
        <v>0</v>
      </c>
      <c r="M316" t="n">
        <v>0</v>
      </c>
      <c r="N316" t="n">
        <v>0</v>
      </c>
      <c r="O316" t="n">
        <v>0</v>
      </c>
      <c r="P316" t="n">
        <v>0</v>
      </c>
      <c r="Q316" t="n">
        <v>0</v>
      </c>
      <c r="R316" s="2" t="inlineStr"/>
    </row>
    <row r="317" ht="15" customHeight="1">
      <c r="A317" t="inlineStr">
        <is>
          <t>A 42396-2021</t>
        </is>
      </c>
      <c r="B317" s="1" t="n">
        <v>44427</v>
      </c>
      <c r="C317" s="1" t="n">
        <v>45939</v>
      </c>
      <c r="D317" t="inlineStr">
        <is>
          <t>STOCKHOLMS LÄN</t>
        </is>
      </c>
      <c r="E317" t="inlineStr">
        <is>
          <t>NORRTÄLJE</t>
        </is>
      </c>
      <c r="G317" t="n">
        <v>2</v>
      </c>
      <c r="H317" t="n">
        <v>0</v>
      </c>
      <c r="I317" t="n">
        <v>0</v>
      </c>
      <c r="J317" t="n">
        <v>0</v>
      </c>
      <c r="K317" t="n">
        <v>0</v>
      </c>
      <c r="L317" t="n">
        <v>0</v>
      </c>
      <c r="M317" t="n">
        <v>0</v>
      </c>
      <c r="N317" t="n">
        <v>0</v>
      </c>
      <c r="O317" t="n">
        <v>0</v>
      </c>
      <c r="P317" t="n">
        <v>0</v>
      </c>
      <c r="Q317" t="n">
        <v>0</v>
      </c>
      <c r="R317" s="2" t="inlineStr"/>
    </row>
    <row r="318" ht="15" customHeight="1">
      <c r="A318" t="inlineStr">
        <is>
          <t>A 7603-2025</t>
        </is>
      </c>
      <c r="B318" s="1" t="n">
        <v>45705.66126157407</v>
      </c>
      <c r="C318" s="1" t="n">
        <v>45939</v>
      </c>
      <c r="D318" t="inlineStr">
        <is>
          <t>STOCKHOLMS LÄN</t>
        </is>
      </c>
      <c r="E318" t="inlineStr">
        <is>
          <t>NORRTÄLJE</t>
        </is>
      </c>
      <c r="F318" t="inlineStr">
        <is>
          <t>Holmen skog AB</t>
        </is>
      </c>
      <c r="G318" t="n">
        <v>2.4</v>
      </c>
      <c r="H318" t="n">
        <v>0</v>
      </c>
      <c r="I318" t="n">
        <v>0</v>
      </c>
      <c r="J318" t="n">
        <v>0</v>
      </c>
      <c r="K318" t="n">
        <v>0</v>
      </c>
      <c r="L318" t="n">
        <v>0</v>
      </c>
      <c r="M318" t="n">
        <v>0</v>
      </c>
      <c r="N318" t="n">
        <v>0</v>
      </c>
      <c r="O318" t="n">
        <v>0</v>
      </c>
      <c r="P318" t="n">
        <v>0</v>
      </c>
      <c r="Q318" t="n">
        <v>0</v>
      </c>
      <c r="R318" s="2" t="inlineStr"/>
    </row>
    <row r="319" ht="15" customHeight="1">
      <c r="A319" t="inlineStr">
        <is>
          <t>A 33226-2024</t>
        </is>
      </c>
      <c r="B319" s="1" t="n">
        <v>45518</v>
      </c>
      <c r="C319" s="1" t="n">
        <v>45939</v>
      </c>
      <c r="D319" t="inlineStr">
        <is>
          <t>STOCKHOLMS LÄN</t>
        </is>
      </c>
      <c r="E319" t="inlineStr">
        <is>
          <t>NORRTÄLJE</t>
        </is>
      </c>
      <c r="G319" t="n">
        <v>13.8</v>
      </c>
      <c r="H319" t="n">
        <v>0</v>
      </c>
      <c r="I319" t="n">
        <v>0</v>
      </c>
      <c r="J319" t="n">
        <v>0</v>
      </c>
      <c r="K319" t="n">
        <v>0</v>
      </c>
      <c r="L319" t="n">
        <v>0</v>
      </c>
      <c r="M319" t="n">
        <v>0</v>
      </c>
      <c r="N319" t="n">
        <v>0</v>
      </c>
      <c r="O319" t="n">
        <v>0</v>
      </c>
      <c r="P319" t="n">
        <v>0</v>
      </c>
      <c r="Q319" t="n">
        <v>0</v>
      </c>
      <c r="R319" s="2" t="inlineStr"/>
    </row>
    <row r="320" ht="15" customHeight="1">
      <c r="A320" t="inlineStr">
        <is>
          <t>A 5823-2023</t>
        </is>
      </c>
      <c r="B320" s="1" t="n">
        <v>44963</v>
      </c>
      <c r="C320" s="1" t="n">
        <v>45939</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30731-2023</t>
        </is>
      </c>
      <c r="B321" s="1" t="n">
        <v>45112</v>
      </c>
      <c r="C321" s="1" t="n">
        <v>45939</v>
      </c>
      <c r="D321" t="inlineStr">
        <is>
          <t>STOCKHOLMS LÄN</t>
        </is>
      </c>
      <c r="E321" t="inlineStr">
        <is>
          <t>NORRTÄLJE</t>
        </is>
      </c>
      <c r="G321" t="n">
        <v>1.6</v>
      </c>
      <c r="H321" t="n">
        <v>0</v>
      </c>
      <c r="I321" t="n">
        <v>0</v>
      </c>
      <c r="J321" t="n">
        <v>0</v>
      </c>
      <c r="K321" t="n">
        <v>0</v>
      </c>
      <c r="L321" t="n">
        <v>0</v>
      </c>
      <c r="M321" t="n">
        <v>0</v>
      </c>
      <c r="N321" t="n">
        <v>0</v>
      </c>
      <c r="O321" t="n">
        <v>0</v>
      </c>
      <c r="P321" t="n">
        <v>0</v>
      </c>
      <c r="Q321" t="n">
        <v>0</v>
      </c>
      <c r="R321" s="2" t="inlineStr"/>
    </row>
    <row r="322" ht="15" customHeight="1">
      <c r="A322" t="inlineStr">
        <is>
          <t>A 11988-2021</t>
        </is>
      </c>
      <c r="B322" s="1" t="n">
        <v>44266</v>
      </c>
      <c r="C322" s="1" t="n">
        <v>45939</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12132-2021</t>
        </is>
      </c>
      <c r="B323" s="1" t="n">
        <v>44266</v>
      </c>
      <c r="C323" s="1" t="n">
        <v>45939</v>
      </c>
      <c r="D323" t="inlineStr">
        <is>
          <t>STOCKHOLMS LÄN</t>
        </is>
      </c>
      <c r="E323" t="inlineStr">
        <is>
          <t>NORRTÄLJE</t>
        </is>
      </c>
      <c r="G323" t="n">
        <v>4</v>
      </c>
      <c r="H323" t="n">
        <v>0</v>
      </c>
      <c r="I323" t="n">
        <v>0</v>
      </c>
      <c r="J323" t="n">
        <v>0</v>
      </c>
      <c r="K323" t="n">
        <v>0</v>
      </c>
      <c r="L323" t="n">
        <v>0</v>
      </c>
      <c r="M323" t="n">
        <v>0</v>
      </c>
      <c r="N323" t="n">
        <v>0</v>
      </c>
      <c r="O323" t="n">
        <v>0</v>
      </c>
      <c r="P323" t="n">
        <v>0</v>
      </c>
      <c r="Q323" t="n">
        <v>0</v>
      </c>
      <c r="R323" s="2" t="inlineStr"/>
    </row>
    <row r="324" ht="15" customHeight="1">
      <c r="A324" t="inlineStr">
        <is>
          <t>A 44343-2025</t>
        </is>
      </c>
      <c r="B324" s="1" t="n">
        <v>45916.43378472222</v>
      </c>
      <c r="C324" s="1" t="n">
        <v>45939</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44354-2025</t>
        </is>
      </c>
      <c r="B325" s="1" t="n">
        <v>45916.44655092592</v>
      </c>
      <c r="C325" s="1" t="n">
        <v>45939</v>
      </c>
      <c r="D325" t="inlineStr">
        <is>
          <t>STOCKHOLMS LÄN</t>
        </is>
      </c>
      <c r="E325" t="inlineStr">
        <is>
          <t>NORRTÄLJE</t>
        </is>
      </c>
      <c r="G325" t="n">
        <v>2.3</v>
      </c>
      <c r="H325" t="n">
        <v>0</v>
      </c>
      <c r="I325" t="n">
        <v>0</v>
      </c>
      <c r="J325" t="n">
        <v>0</v>
      </c>
      <c r="K325" t="n">
        <v>0</v>
      </c>
      <c r="L325" t="n">
        <v>0</v>
      </c>
      <c r="M325" t="n">
        <v>0</v>
      </c>
      <c r="N325" t="n">
        <v>0</v>
      </c>
      <c r="O325" t="n">
        <v>0</v>
      </c>
      <c r="P325" t="n">
        <v>0</v>
      </c>
      <c r="Q325" t="n">
        <v>0</v>
      </c>
      <c r="R325" s="2" t="inlineStr"/>
    </row>
    <row r="326" ht="15" customHeight="1">
      <c r="A326" t="inlineStr">
        <is>
          <t>A 5158-2024</t>
        </is>
      </c>
      <c r="B326" s="1" t="n">
        <v>45330.50098379629</v>
      </c>
      <c r="C326" s="1" t="n">
        <v>45939</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51653-2022</t>
        </is>
      </c>
      <c r="B327" s="1" t="n">
        <v>44867</v>
      </c>
      <c r="C327" s="1" t="n">
        <v>45939</v>
      </c>
      <c r="D327" t="inlineStr">
        <is>
          <t>STOCKHOLMS LÄN</t>
        </is>
      </c>
      <c r="E327" t="inlineStr">
        <is>
          <t>NORRTÄLJE</t>
        </is>
      </c>
      <c r="G327" t="n">
        <v>6.6</v>
      </c>
      <c r="H327" t="n">
        <v>0</v>
      </c>
      <c r="I327" t="n">
        <v>0</v>
      </c>
      <c r="J327" t="n">
        <v>0</v>
      </c>
      <c r="K327" t="n">
        <v>0</v>
      </c>
      <c r="L327" t="n">
        <v>0</v>
      </c>
      <c r="M327" t="n">
        <v>0</v>
      </c>
      <c r="N327" t="n">
        <v>0</v>
      </c>
      <c r="O327" t="n">
        <v>0</v>
      </c>
      <c r="P327" t="n">
        <v>0</v>
      </c>
      <c r="Q327" t="n">
        <v>0</v>
      </c>
      <c r="R327" s="2" t="inlineStr"/>
    </row>
    <row r="328" ht="15" customHeight="1">
      <c r="A328" t="inlineStr">
        <is>
          <t>A 16980-2023</t>
        </is>
      </c>
      <c r="B328" s="1" t="n">
        <v>45033</v>
      </c>
      <c r="C328" s="1" t="n">
        <v>45939</v>
      </c>
      <c r="D328" t="inlineStr">
        <is>
          <t>STOCKHOLMS LÄN</t>
        </is>
      </c>
      <c r="E328" t="inlineStr">
        <is>
          <t>NORRTÄLJE</t>
        </is>
      </c>
      <c r="G328" t="n">
        <v>2.3</v>
      </c>
      <c r="H328" t="n">
        <v>0</v>
      </c>
      <c r="I328" t="n">
        <v>0</v>
      </c>
      <c r="J328" t="n">
        <v>0</v>
      </c>
      <c r="K328" t="n">
        <v>0</v>
      </c>
      <c r="L328" t="n">
        <v>0</v>
      </c>
      <c r="M328" t="n">
        <v>0</v>
      </c>
      <c r="N328" t="n">
        <v>0</v>
      </c>
      <c r="O328" t="n">
        <v>0</v>
      </c>
      <c r="P328" t="n">
        <v>0</v>
      </c>
      <c r="Q328" t="n">
        <v>0</v>
      </c>
      <c r="R328" s="2" t="inlineStr"/>
    </row>
    <row r="329" ht="15" customHeight="1">
      <c r="A329" t="inlineStr">
        <is>
          <t>A 32103-2022</t>
        </is>
      </c>
      <c r="B329" s="1" t="n">
        <v>44778</v>
      </c>
      <c r="C329" s="1" t="n">
        <v>45939</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55952-2024</t>
        </is>
      </c>
      <c r="B330" s="1" t="n">
        <v>45623.62563657408</v>
      </c>
      <c r="C330" s="1" t="n">
        <v>45939</v>
      </c>
      <c r="D330" t="inlineStr">
        <is>
          <t>STOCKHOLMS LÄN</t>
        </is>
      </c>
      <c r="E330" t="inlineStr">
        <is>
          <t>NORRTÄLJE</t>
        </is>
      </c>
      <c r="F330" t="inlineStr">
        <is>
          <t>Holmen skog AB</t>
        </is>
      </c>
      <c r="G330" t="n">
        <v>2.8</v>
      </c>
      <c r="H330" t="n">
        <v>0</v>
      </c>
      <c r="I330" t="n">
        <v>0</v>
      </c>
      <c r="J330" t="n">
        <v>0</v>
      </c>
      <c r="K330" t="n">
        <v>0</v>
      </c>
      <c r="L330" t="n">
        <v>0</v>
      </c>
      <c r="M330" t="n">
        <v>0</v>
      </c>
      <c r="N330" t="n">
        <v>0</v>
      </c>
      <c r="O330" t="n">
        <v>0</v>
      </c>
      <c r="P330" t="n">
        <v>0</v>
      </c>
      <c r="Q330" t="n">
        <v>0</v>
      </c>
      <c r="R330" s="2" t="inlineStr"/>
    </row>
    <row r="331" ht="15" customHeight="1">
      <c r="A331" t="inlineStr">
        <is>
          <t>A 51046-2023</t>
        </is>
      </c>
      <c r="B331" s="1" t="n">
        <v>45218</v>
      </c>
      <c r="C331" s="1" t="n">
        <v>45939</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23070-2023</t>
        </is>
      </c>
      <c r="B332" s="1" t="n">
        <v>45075</v>
      </c>
      <c r="C332" s="1" t="n">
        <v>45939</v>
      </c>
      <c r="D332" t="inlineStr">
        <is>
          <t>STOCKHOLMS LÄN</t>
        </is>
      </c>
      <c r="E332" t="inlineStr">
        <is>
          <t>NORRTÄLJE</t>
        </is>
      </c>
      <c r="G332" t="n">
        <v>1.5</v>
      </c>
      <c r="H332" t="n">
        <v>0</v>
      </c>
      <c r="I332" t="n">
        <v>0</v>
      </c>
      <c r="J332" t="n">
        <v>0</v>
      </c>
      <c r="K332" t="n">
        <v>0</v>
      </c>
      <c r="L332" t="n">
        <v>0</v>
      </c>
      <c r="M332" t="n">
        <v>0</v>
      </c>
      <c r="N332" t="n">
        <v>0</v>
      </c>
      <c r="O332" t="n">
        <v>0</v>
      </c>
      <c r="P332" t="n">
        <v>0</v>
      </c>
      <c r="Q332" t="n">
        <v>0</v>
      </c>
      <c r="R332" s="2" t="inlineStr"/>
    </row>
    <row r="333" ht="15" customHeight="1">
      <c r="A333" t="inlineStr">
        <is>
          <t>A 31107-2022</t>
        </is>
      </c>
      <c r="B333" s="1" t="n">
        <v>44769.66864583334</v>
      </c>
      <c r="C333" s="1" t="n">
        <v>45939</v>
      </c>
      <c r="D333" t="inlineStr">
        <is>
          <t>STOCKHOLMS LÄN</t>
        </is>
      </c>
      <c r="E333" t="inlineStr">
        <is>
          <t>NORRTÄLJE</t>
        </is>
      </c>
      <c r="G333" t="n">
        <v>3.8</v>
      </c>
      <c r="H333" t="n">
        <v>0</v>
      </c>
      <c r="I333" t="n">
        <v>0</v>
      </c>
      <c r="J333" t="n">
        <v>0</v>
      </c>
      <c r="K333" t="n">
        <v>0</v>
      </c>
      <c r="L333" t="n">
        <v>0</v>
      </c>
      <c r="M333" t="n">
        <v>0</v>
      </c>
      <c r="N333" t="n">
        <v>0</v>
      </c>
      <c r="O333" t="n">
        <v>0</v>
      </c>
      <c r="P333" t="n">
        <v>0</v>
      </c>
      <c r="Q333" t="n">
        <v>0</v>
      </c>
      <c r="R333" s="2" t="inlineStr"/>
    </row>
    <row r="334" ht="15" customHeight="1">
      <c r="A334" t="inlineStr">
        <is>
          <t>A 18539-2021</t>
        </is>
      </c>
      <c r="B334" s="1" t="n">
        <v>44306</v>
      </c>
      <c r="C334" s="1" t="n">
        <v>45939</v>
      </c>
      <c r="D334" t="inlineStr">
        <is>
          <t>STOCKHOLMS LÄN</t>
        </is>
      </c>
      <c r="E334" t="inlineStr">
        <is>
          <t>NORRTÄLJE</t>
        </is>
      </c>
      <c r="F334" t="inlineStr">
        <is>
          <t>Holmen skog AB</t>
        </is>
      </c>
      <c r="G334" t="n">
        <v>5.5</v>
      </c>
      <c r="H334" t="n">
        <v>0</v>
      </c>
      <c r="I334" t="n">
        <v>0</v>
      </c>
      <c r="J334" t="n">
        <v>0</v>
      </c>
      <c r="K334" t="n">
        <v>0</v>
      </c>
      <c r="L334" t="n">
        <v>0</v>
      </c>
      <c r="M334" t="n">
        <v>0</v>
      </c>
      <c r="N334" t="n">
        <v>0</v>
      </c>
      <c r="O334" t="n">
        <v>0</v>
      </c>
      <c r="P334" t="n">
        <v>0</v>
      </c>
      <c r="Q334" t="n">
        <v>0</v>
      </c>
      <c r="R334" s="2" t="inlineStr"/>
    </row>
    <row r="335" ht="15" customHeight="1">
      <c r="A335" t="inlineStr">
        <is>
          <t>A 8792-2025</t>
        </is>
      </c>
      <c r="B335" s="1" t="n">
        <v>45712</v>
      </c>
      <c r="C335" s="1" t="n">
        <v>45939</v>
      </c>
      <c r="D335" t="inlineStr">
        <is>
          <t>STOCKHOLMS LÄN</t>
        </is>
      </c>
      <c r="E335" t="inlineStr">
        <is>
          <t>NORRTÄLJE</t>
        </is>
      </c>
      <c r="F335" t="inlineStr">
        <is>
          <t>Övriga Aktiebolag</t>
        </is>
      </c>
      <c r="G335" t="n">
        <v>6.6</v>
      </c>
      <c r="H335" t="n">
        <v>0</v>
      </c>
      <c r="I335" t="n">
        <v>0</v>
      </c>
      <c r="J335" t="n">
        <v>0</v>
      </c>
      <c r="K335" t="n">
        <v>0</v>
      </c>
      <c r="L335" t="n">
        <v>0</v>
      </c>
      <c r="M335" t="n">
        <v>0</v>
      </c>
      <c r="N335" t="n">
        <v>0</v>
      </c>
      <c r="O335" t="n">
        <v>0</v>
      </c>
      <c r="P335" t="n">
        <v>0</v>
      </c>
      <c r="Q335" t="n">
        <v>0</v>
      </c>
      <c r="R335" s="2" t="inlineStr"/>
    </row>
    <row r="336" ht="15" customHeight="1">
      <c r="A336" t="inlineStr">
        <is>
          <t>A 43170-2023</t>
        </is>
      </c>
      <c r="B336" s="1" t="n">
        <v>45183</v>
      </c>
      <c r="C336" s="1" t="n">
        <v>45939</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7571-2024</t>
        </is>
      </c>
      <c r="B337" s="1" t="n">
        <v>45348.46300925926</v>
      </c>
      <c r="C337" s="1" t="n">
        <v>45939</v>
      </c>
      <c r="D337" t="inlineStr">
        <is>
          <t>STOCKHOLMS LÄN</t>
        </is>
      </c>
      <c r="E337" t="inlineStr">
        <is>
          <t>NORRTÄLJE</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36269-2022</t>
        </is>
      </c>
      <c r="B338" s="1" t="n">
        <v>44803</v>
      </c>
      <c r="C338" s="1" t="n">
        <v>45939</v>
      </c>
      <c r="D338" t="inlineStr">
        <is>
          <t>STOCKHOLMS LÄN</t>
        </is>
      </c>
      <c r="E338" t="inlineStr">
        <is>
          <t>NORRTÄLJE</t>
        </is>
      </c>
      <c r="G338" t="n">
        <v>2.3</v>
      </c>
      <c r="H338" t="n">
        <v>0</v>
      </c>
      <c r="I338" t="n">
        <v>0</v>
      </c>
      <c r="J338" t="n">
        <v>0</v>
      </c>
      <c r="K338" t="n">
        <v>0</v>
      </c>
      <c r="L338" t="n">
        <v>0</v>
      </c>
      <c r="M338" t="n">
        <v>0</v>
      </c>
      <c r="N338" t="n">
        <v>0</v>
      </c>
      <c r="O338" t="n">
        <v>0</v>
      </c>
      <c r="P338" t="n">
        <v>0</v>
      </c>
      <c r="Q338" t="n">
        <v>0</v>
      </c>
      <c r="R338" s="2" t="inlineStr"/>
    </row>
    <row r="339" ht="15" customHeight="1">
      <c r="A339" t="inlineStr">
        <is>
          <t>A 8736-2024</t>
        </is>
      </c>
      <c r="B339" s="1" t="n">
        <v>45356.4722800926</v>
      </c>
      <c r="C339" s="1" t="n">
        <v>45939</v>
      </c>
      <c r="D339" t="inlineStr">
        <is>
          <t>STOCKHOLMS LÄN</t>
        </is>
      </c>
      <c r="E339" t="inlineStr">
        <is>
          <t>NORRTÄLJE</t>
        </is>
      </c>
      <c r="G339" t="n">
        <v>8.9</v>
      </c>
      <c r="H339" t="n">
        <v>0</v>
      </c>
      <c r="I339" t="n">
        <v>0</v>
      </c>
      <c r="J339" t="n">
        <v>0</v>
      </c>
      <c r="K339" t="n">
        <v>0</v>
      </c>
      <c r="L339" t="n">
        <v>0</v>
      </c>
      <c r="M339" t="n">
        <v>0</v>
      </c>
      <c r="N339" t="n">
        <v>0</v>
      </c>
      <c r="O339" t="n">
        <v>0</v>
      </c>
      <c r="P339" t="n">
        <v>0</v>
      </c>
      <c r="Q339" t="n">
        <v>0</v>
      </c>
      <c r="R339" s="2" t="inlineStr"/>
    </row>
    <row r="340" ht="15" customHeight="1">
      <c r="A340" t="inlineStr">
        <is>
          <t>A 15552-2021</t>
        </is>
      </c>
      <c r="B340" s="1" t="n">
        <v>44285</v>
      </c>
      <c r="C340" s="1" t="n">
        <v>45939</v>
      </c>
      <c r="D340" t="inlineStr">
        <is>
          <t>STOCKHOLMS LÄN</t>
        </is>
      </c>
      <c r="E340" t="inlineStr">
        <is>
          <t>NORRTÄLJE</t>
        </is>
      </c>
      <c r="G340" t="n">
        <v>10</v>
      </c>
      <c r="H340" t="n">
        <v>0</v>
      </c>
      <c r="I340" t="n">
        <v>0</v>
      </c>
      <c r="J340" t="n">
        <v>0</v>
      </c>
      <c r="K340" t="n">
        <v>0</v>
      </c>
      <c r="L340" t="n">
        <v>0</v>
      </c>
      <c r="M340" t="n">
        <v>0</v>
      </c>
      <c r="N340" t="n">
        <v>0</v>
      </c>
      <c r="O340" t="n">
        <v>0</v>
      </c>
      <c r="P340" t="n">
        <v>0</v>
      </c>
      <c r="Q340" t="n">
        <v>0</v>
      </c>
      <c r="R340" s="2" t="inlineStr"/>
    </row>
    <row r="341" ht="15" customHeight="1">
      <c r="A341" t="inlineStr">
        <is>
          <t>A 44311-2025</t>
        </is>
      </c>
      <c r="B341" s="1" t="n">
        <v>45916.38394675926</v>
      </c>
      <c r="C341" s="1" t="n">
        <v>45939</v>
      </c>
      <c r="D341" t="inlineStr">
        <is>
          <t>STOCKHOLMS LÄN</t>
        </is>
      </c>
      <c r="E341" t="inlineStr">
        <is>
          <t>NORRTÄLJE</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47626-2022</t>
        </is>
      </c>
      <c r="B342" s="1" t="n">
        <v>44854</v>
      </c>
      <c r="C342" s="1" t="n">
        <v>45939</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44306-2025</t>
        </is>
      </c>
      <c r="B343" s="1" t="n">
        <v>45916.37736111111</v>
      </c>
      <c r="C343" s="1" t="n">
        <v>45939</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32101-2022</t>
        </is>
      </c>
      <c r="B344" s="1" t="n">
        <v>44778.69210648148</v>
      </c>
      <c r="C344" s="1" t="n">
        <v>45939</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28365-2022</t>
        </is>
      </c>
      <c r="B345" s="1" t="n">
        <v>44747</v>
      </c>
      <c r="C345" s="1" t="n">
        <v>45939</v>
      </c>
      <c r="D345" t="inlineStr">
        <is>
          <t>STOCKHOLMS LÄN</t>
        </is>
      </c>
      <c r="E345" t="inlineStr">
        <is>
          <t>NORRTÄLJE</t>
        </is>
      </c>
      <c r="G345" t="n">
        <v>5.1</v>
      </c>
      <c r="H345" t="n">
        <v>0</v>
      </c>
      <c r="I345" t="n">
        <v>0</v>
      </c>
      <c r="J345" t="n">
        <v>0</v>
      </c>
      <c r="K345" t="n">
        <v>0</v>
      </c>
      <c r="L345" t="n">
        <v>0</v>
      </c>
      <c r="M345" t="n">
        <v>0</v>
      </c>
      <c r="N345" t="n">
        <v>0</v>
      </c>
      <c r="O345" t="n">
        <v>0</v>
      </c>
      <c r="P345" t="n">
        <v>0</v>
      </c>
      <c r="Q345" t="n">
        <v>0</v>
      </c>
      <c r="R345" s="2" t="inlineStr"/>
    </row>
    <row r="346" ht="15" customHeight="1">
      <c r="A346" t="inlineStr">
        <is>
          <t>A 42867-2022</t>
        </is>
      </c>
      <c r="B346" s="1" t="n">
        <v>44832</v>
      </c>
      <c r="C346" s="1" t="n">
        <v>45939</v>
      </c>
      <c r="D346" t="inlineStr">
        <is>
          <t>STOCKHOLMS LÄN</t>
        </is>
      </c>
      <c r="E346" t="inlineStr">
        <is>
          <t>NORRTÄLJE</t>
        </is>
      </c>
      <c r="G346" t="n">
        <v>6.4</v>
      </c>
      <c r="H346" t="n">
        <v>0</v>
      </c>
      <c r="I346" t="n">
        <v>0</v>
      </c>
      <c r="J346" t="n">
        <v>0</v>
      </c>
      <c r="K346" t="n">
        <v>0</v>
      </c>
      <c r="L346" t="n">
        <v>0</v>
      </c>
      <c r="M346" t="n">
        <v>0</v>
      </c>
      <c r="N346" t="n">
        <v>0</v>
      </c>
      <c r="O346" t="n">
        <v>0</v>
      </c>
      <c r="P346" t="n">
        <v>0</v>
      </c>
      <c r="Q346" t="n">
        <v>0</v>
      </c>
      <c r="R346" s="2" t="inlineStr"/>
    </row>
    <row r="347" ht="15" customHeight="1">
      <c r="A347" t="inlineStr">
        <is>
          <t>A 5665-2025</t>
        </is>
      </c>
      <c r="B347" s="1" t="n">
        <v>45693</v>
      </c>
      <c r="C347" s="1" t="n">
        <v>45939</v>
      </c>
      <c r="D347" t="inlineStr">
        <is>
          <t>STOCKHOLMS LÄN</t>
        </is>
      </c>
      <c r="E347" t="inlineStr">
        <is>
          <t>NORRTÄLJE</t>
        </is>
      </c>
      <c r="G347" t="n">
        <v>4</v>
      </c>
      <c r="H347" t="n">
        <v>0</v>
      </c>
      <c r="I347" t="n">
        <v>0</v>
      </c>
      <c r="J347" t="n">
        <v>0</v>
      </c>
      <c r="K347" t="n">
        <v>0</v>
      </c>
      <c r="L347" t="n">
        <v>0</v>
      </c>
      <c r="M347" t="n">
        <v>0</v>
      </c>
      <c r="N347" t="n">
        <v>0</v>
      </c>
      <c r="O347" t="n">
        <v>0</v>
      </c>
      <c r="P347" t="n">
        <v>0</v>
      </c>
      <c r="Q347" t="n">
        <v>0</v>
      </c>
      <c r="R347" s="2" t="inlineStr"/>
    </row>
    <row r="348" ht="15" customHeight="1">
      <c r="A348" t="inlineStr">
        <is>
          <t>A 45255-2022</t>
        </is>
      </c>
      <c r="B348" s="1" t="n">
        <v>44840</v>
      </c>
      <c r="C348" s="1" t="n">
        <v>45939</v>
      </c>
      <c r="D348" t="inlineStr">
        <is>
          <t>STOCKHOLMS LÄN</t>
        </is>
      </c>
      <c r="E348" t="inlineStr">
        <is>
          <t>NORRTÄLJE</t>
        </is>
      </c>
      <c r="G348" t="n">
        <v>4.1</v>
      </c>
      <c r="H348" t="n">
        <v>0</v>
      </c>
      <c r="I348" t="n">
        <v>0</v>
      </c>
      <c r="J348" t="n">
        <v>0</v>
      </c>
      <c r="K348" t="n">
        <v>0</v>
      </c>
      <c r="L348" t="n">
        <v>0</v>
      </c>
      <c r="M348" t="n">
        <v>0</v>
      </c>
      <c r="N348" t="n">
        <v>0</v>
      </c>
      <c r="O348" t="n">
        <v>0</v>
      </c>
      <c r="P348" t="n">
        <v>0</v>
      </c>
      <c r="Q348" t="n">
        <v>0</v>
      </c>
      <c r="R348" s="2" t="inlineStr"/>
    </row>
    <row r="349" ht="15" customHeight="1">
      <c r="A349" t="inlineStr">
        <is>
          <t>A 19915-2024</t>
        </is>
      </c>
      <c r="B349" s="1" t="n">
        <v>45433.58431712963</v>
      </c>
      <c r="C349" s="1" t="n">
        <v>45939</v>
      </c>
      <c r="D349" t="inlineStr">
        <is>
          <t>STOCKHOLMS LÄN</t>
        </is>
      </c>
      <c r="E349" t="inlineStr">
        <is>
          <t>NORRTÄLJE</t>
        </is>
      </c>
      <c r="G349" t="n">
        <v>2</v>
      </c>
      <c r="H349" t="n">
        <v>0</v>
      </c>
      <c r="I349" t="n">
        <v>0</v>
      </c>
      <c r="J349" t="n">
        <v>0</v>
      </c>
      <c r="K349" t="n">
        <v>0</v>
      </c>
      <c r="L349" t="n">
        <v>0</v>
      </c>
      <c r="M349" t="n">
        <v>0</v>
      </c>
      <c r="N349" t="n">
        <v>0</v>
      </c>
      <c r="O349" t="n">
        <v>0</v>
      </c>
      <c r="P349" t="n">
        <v>0</v>
      </c>
      <c r="Q349" t="n">
        <v>0</v>
      </c>
      <c r="R349" s="2" t="inlineStr"/>
    </row>
    <row r="350" ht="15" customHeight="1">
      <c r="A350" t="inlineStr">
        <is>
          <t>A 5645-2023</t>
        </is>
      </c>
      <c r="B350" s="1" t="n">
        <v>44960.60469907407</v>
      </c>
      <c r="C350" s="1" t="n">
        <v>45939</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12407-2025</t>
        </is>
      </c>
      <c r="B351" s="1" t="n">
        <v>45730.42851851852</v>
      </c>
      <c r="C351" s="1" t="n">
        <v>45939</v>
      </c>
      <c r="D351" t="inlineStr">
        <is>
          <t>STOCKHOLMS LÄN</t>
        </is>
      </c>
      <c r="E351" t="inlineStr">
        <is>
          <t>NORRTÄLJE</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12629-2024</t>
        </is>
      </c>
      <c r="B352" s="1" t="n">
        <v>45383</v>
      </c>
      <c r="C352" s="1" t="n">
        <v>45939</v>
      </c>
      <c r="D352" t="inlineStr">
        <is>
          <t>STOCKHOLMS LÄN</t>
        </is>
      </c>
      <c r="E352" t="inlineStr">
        <is>
          <t>NORRTÄLJE</t>
        </is>
      </c>
      <c r="G352" t="n">
        <v>2.6</v>
      </c>
      <c r="H352" t="n">
        <v>0</v>
      </c>
      <c r="I352" t="n">
        <v>0</v>
      </c>
      <c r="J352" t="n">
        <v>0</v>
      </c>
      <c r="K352" t="n">
        <v>0</v>
      </c>
      <c r="L352" t="n">
        <v>0</v>
      </c>
      <c r="M352" t="n">
        <v>0</v>
      </c>
      <c r="N352" t="n">
        <v>0</v>
      </c>
      <c r="O352" t="n">
        <v>0</v>
      </c>
      <c r="P352" t="n">
        <v>0</v>
      </c>
      <c r="Q352" t="n">
        <v>0</v>
      </c>
      <c r="R352" s="2" t="inlineStr"/>
    </row>
    <row r="353" ht="15" customHeight="1">
      <c r="A353" t="inlineStr">
        <is>
          <t>A 20428-2024</t>
        </is>
      </c>
      <c r="B353" s="1" t="n">
        <v>45435</v>
      </c>
      <c r="C353" s="1" t="n">
        <v>45939</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26636-2023</t>
        </is>
      </c>
      <c r="B354" s="1" t="n">
        <v>45092</v>
      </c>
      <c r="C354" s="1" t="n">
        <v>45939</v>
      </c>
      <c r="D354" t="inlineStr">
        <is>
          <t>STOCKHOLMS LÄN</t>
        </is>
      </c>
      <c r="E354" t="inlineStr">
        <is>
          <t>NORRTÄLJE</t>
        </is>
      </c>
      <c r="G354" t="n">
        <v>1.7</v>
      </c>
      <c r="H354" t="n">
        <v>0</v>
      </c>
      <c r="I354" t="n">
        <v>0</v>
      </c>
      <c r="J354" t="n">
        <v>0</v>
      </c>
      <c r="K354" t="n">
        <v>0</v>
      </c>
      <c r="L354" t="n">
        <v>0</v>
      </c>
      <c r="M354" t="n">
        <v>0</v>
      </c>
      <c r="N354" t="n">
        <v>0</v>
      </c>
      <c r="O354" t="n">
        <v>0</v>
      </c>
      <c r="P354" t="n">
        <v>0</v>
      </c>
      <c r="Q354" t="n">
        <v>0</v>
      </c>
      <c r="R354" s="2" t="inlineStr"/>
    </row>
    <row r="355" ht="15" customHeight="1">
      <c r="A355" t="inlineStr">
        <is>
          <t>A 26637-2023</t>
        </is>
      </c>
      <c r="B355" s="1" t="n">
        <v>45092</v>
      </c>
      <c r="C355" s="1" t="n">
        <v>45939</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44937-2025</t>
        </is>
      </c>
      <c r="B356" s="1" t="n">
        <v>45918.58224537037</v>
      </c>
      <c r="C356" s="1" t="n">
        <v>45939</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57037-2022</t>
        </is>
      </c>
      <c r="B357" s="1" t="n">
        <v>44895</v>
      </c>
      <c r="C357" s="1" t="n">
        <v>45939</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23266-2023</t>
        </is>
      </c>
      <c r="B358" s="1" t="n">
        <v>45075.90817129629</v>
      </c>
      <c r="C358" s="1" t="n">
        <v>45939</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14762-2024</t>
        </is>
      </c>
      <c r="B359" s="1" t="n">
        <v>45397</v>
      </c>
      <c r="C359" s="1" t="n">
        <v>45939</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35161-2022</t>
        </is>
      </c>
      <c r="B360" s="1" t="n">
        <v>44797</v>
      </c>
      <c r="C360" s="1" t="n">
        <v>45939</v>
      </c>
      <c r="D360" t="inlineStr">
        <is>
          <t>STOCKHOLMS LÄN</t>
        </is>
      </c>
      <c r="E360" t="inlineStr">
        <is>
          <t>NORRTÄLJE</t>
        </is>
      </c>
      <c r="G360" t="n">
        <v>6</v>
      </c>
      <c r="H360" t="n">
        <v>0</v>
      </c>
      <c r="I360" t="n">
        <v>0</v>
      </c>
      <c r="J360" t="n">
        <v>0</v>
      </c>
      <c r="K360" t="n">
        <v>0</v>
      </c>
      <c r="L360" t="n">
        <v>0</v>
      </c>
      <c r="M360" t="n">
        <v>0</v>
      </c>
      <c r="N360" t="n">
        <v>0</v>
      </c>
      <c r="O360" t="n">
        <v>0</v>
      </c>
      <c r="P360" t="n">
        <v>0</v>
      </c>
      <c r="Q360" t="n">
        <v>0</v>
      </c>
      <c r="R360" s="2" t="inlineStr"/>
    </row>
    <row r="361" ht="15" customHeight="1">
      <c r="A361" t="inlineStr">
        <is>
          <t>A 37261-2025</t>
        </is>
      </c>
      <c r="B361" s="1" t="n">
        <v>45876.45253472222</v>
      </c>
      <c r="C361" s="1" t="n">
        <v>45939</v>
      </c>
      <c r="D361" t="inlineStr">
        <is>
          <t>STOCKHOLMS LÄN</t>
        </is>
      </c>
      <c r="E361" t="inlineStr">
        <is>
          <t>NORRTÄLJE</t>
        </is>
      </c>
      <c r="F361" t="inlineStr">
        <is>
          <t>Kommuner</t>
        </is>
      </c>
      <c r="G361" t="n">
        <v>2.2</v>
      </c>
      <c r="H361" t="n">
        <v>0</v>
      </c>
      <c r="I361" t="n">
        <v>0</v>
      </c>
      <c r="J361" t="n">
        <v>0</v>
      </c>
      <c r="K361" t="n">
        <v>0</v>
      </c>
      <c r="L361" t="n">
        <v>0</v>
      </c>
      <c r="M361" t="n">
        <v>0</v>
      </c>
      <c r="N361" t="n">
        <v>0</v>
      </c>
      <c r="O361" t="n">
        <v>0</v>
      </c>
      <c r="P361" t="n">
        <v>0</v>
      </c>
      <c r="Q361" t="n">
        <v>0</v>
      </c>
      <c r="R361" s="2" t="inlineStr"/>
    </row>
    <row r="362" ht="15" customHeight="1">
      <c r="A362" t="inlineStr">
        <is>
          <t>A 17775-2022</t>
        </is>
      </c>
      <c r="B362" s="1" t="n">
        <v>44682.78430555556</v>
      </c>
      <c r="C362" s="1" t="n">
        <v>45939</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9703-2021</t>
        </is>
      </c>
      <c r="B363" s="1" t="n">
        <v>44252</v>
      </c>
      <c r="C363" s="1" t="n">
        <v>45939</v>
      </c>
      <c r="D363" t="inlineStr">
        <is>
          <t>STOCKHOLMS LÄN</t>
        </is>
      </c>
      <c r="E363" t="inlineStr">
        <is>
          <t>NORRTÄLJE</t>
        </is>
      </c>
      <c r="G363" t="n">
        <v>3.4</v>
      </c>
      <c r="H363" t="n">
        <v>0</v>
      </c>
      <c r="I363" t="n">
        <v>0</v>
      </c>
      <c r="J363" t="n">
        <v>0</v>
      </c>
      <c r="K363" t="n">
        <v>0</v>
      </c>
      <c r="L363" t="n">
        <v>0</v>
      </c>
      <c r="M363" t="n">
        <v>0</v>
      </c>
      <c r="N363" t="n">
        <v>0</v>
      </c>
      <c r="O363" t="n">
        <v>0</v>
      </c>
      <c r="P363" t="n">
        <v>0</v>
      </c>
      <c r="Q363" t="n">
        <v>0</v>
      </c>
      <c r="R363" s="2" t="inlineStr"/>
    </row>
    <row r="364" ht="15" customHeight="1">
      <c r="A364" t="inlineStr">
        <is>
          <t>A 47481-2024</t>
        </is>
      </c>
      <c r="B364" s="1" t="n">
        <v>45587</v>
      </c>
      <c r="C364" s="1" t="n">
        <v>45939</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23149-2024</t>
        </is>
      </c>
      <c r="B365" s="1" t="n">
        <v>45450.64208333333</v>
      </c>
      <c r="C365" s="1" t="n">
        <v>45939</v>
      </c>
      <c r="D365" t="inlineStr">
        <is>
          <t>STOCKHOLMS LÄN</t>
        </is>
      </c>
      <c r="E365" t="inlineStr">
        <is>
          <t>NORRTÄLJE</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23151-2024</t>
        </is>
      </c>
      <c r="B366" s="1" t="n">
        <v>45450</v>
      </c>
      <c r="C366" s="1" t="n">
        <v>45939</v>
      </c>
      <c r="D366" t="inlineStr">
        <is>
          <t>STOCKHOLMS LÄN</t>
        </is>
      </c>
      <c r="E366" t="inlineStr">
        <is>
          <t>NORRTÄLJE</t>
        </is>
      </c>
      <c r="F366" t="inlineStr">
        <is>
          <t>Kommuner</t>
        </is>
      </c>
      <c r="G366" t="n">
        <v>1.2</v>
      </c>
      <c r="H366" t="n">
        <v>0</v>
      </c>
      <c r="I366" t="n">
        <v>0</v>
      </c>
      <c r="J366" t="n">
        <v>0</v>
      </c>
      <c r="K366" t="n">
        <v>0</v>
      </c>
      <c r="L366" t="n">
        <v>0</v>
      </c>
      <c r="M366" t="n">
        <v>0</v>
      </c>
      <c r="N366" t="n">
        <v>0</v>
      </c>
      <c r="O366" t="n">
        <v>0</v>
      </c>
      <c r="P366" t="n">
        <v>0</v>
      </c>
      <c r="Q366" t="n">
        <v>0</v>
      </c>
      <c r="R366" s="2" t="inlineStr"/>
    </row>
    <row r="367" ht="15" customHeight="1">
      <c r="A367" t="inlineStr">
        <is>
          <t>A 24933-2023</t>
        </is>
      </c>
      <c r="B367" s="1" t="n">
        <v>45085.5309375</v>
      </c>
      <c r="C367" s="1" t="n">
        <v>45939</v>
      </c>
      <c r="D367" t="inlineStr">
        <is>
          <t>STOCKHOLMS LÄN</t>
        </is>
      </c>
      <c r="E367" t="inlineStr">
        <is>
          <t>NORRTÄLJE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16913-2025</t>
        </is>
      </c>
      <c r="B368" s="1" t="n">
        <v>45755.36583333334</v>
      </c>
      <c r="C368" s="1" t="n">
        <v>45939</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7903-2021</t>
        </is>
      </c>
      <c r="B369" s="1" t="n">
        <v>44243.33587962963</v>
      </c>
      <c r="C369" s="1" t="n">
        <v>45939</v>
      </c>
      <c r="D369" t="inlineStr">
        <is>
          <t>STOCKHOLMS LÄN</t>
        </is>
      </c>
      <c r="E369" t="inlineStr">
        <is>
          <t>NORRTÄLJE</t>
        </is>
      </c>
      <c r="G369" t="n">
        <v>3.5</v>
      </c>
      <c r="H369" t="n">
        <v>0</v>
      </c>
      <c r="I369" t="n">
        <v>0</v>
      </c>
      <c r="J369" t="n">
        <v>0</v>
      </c>
      <c r="K369" t="n">
        <v>0</v>
      </c>
      <c r="L369" t="n">
        <v>0</v>
      </c>
      <c r="M369" t="n">
        <v>0</v>
      </c>
      <c r="N369" t="n">
        <v>0</v>
      </c>
      <c r="O369" t="n">
        <v>0</v>
      </c>
      <c r="P369" t="n">
        <v>0</v>
      </c>
      <c r="Q369" t="n">
        <v>0</v>
      </c>
      <c r="R369" s="2" t="inlineStr"/>
    </row>
    <row r="370" ht="15" customHeight="1">
      <c r="A370" t="inlineStr">
        <is>
          <t>A 58863-2024</t>
        </is>
      </c>
      <c r="B370" s="1" t="n">
        <v>45636.41572916666</v>
      </c>
      <c r="C370" s="1" t="n">
        <v>45939</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11062-2024</t>
        </is>
      </c>
      <c r="B371" s="1" t="n">
        <v>45370</v>
      </c>
      <c r="C371" s="1" t="n">
        <v>45939</v>
      </c>
      <c r="D371" t="inlineStr">
        <is>
          <t>STOCKHOLMS LÄN</t>
        </is>
      </c>
      <c r="E371" t="inlineStr">
        <is>
          <t>NORRTÄLJE</t>
        </is>
      </c>
      <c r="G371" t="n">
        <v>3.2</v>
      </c>
      <c r="H371" t="n">
        <v>0</v>
      </c>
      <c r="I371" t="n">
        <v>0</v>
      </c>
      <c r="J371" t="n">
        <v>0</v>
      </c>
      <c r="K371" t="n">
        <v>0</v>
      </c>
      <c r="L371" t="n">
        <v>0</v>
      </c>
      <c r="M371" t="n">
        <v>0</v>
      </c>
      <c r="N371" t="n">
        <v>0</v>
      </c>
      <c r="O371" t="n">
        <v>0</v>
      </c>
      <c r="P371" t="n">
        <v>0</v>
      </c>
      <c r="Q371" t="n">
        <v>0</v>
      </c>
      <c r="R371" s="2" t="inlineStr"/>
    </row>
    <row r="372" ht="15" customHeight="1">
      <c r="A372" t="inlineStr">
        <is>
          <t>A 15447-2023</t>
        </is>
      </c>
      <c r="B372" s="1" t="n">
        <v>45020</v>
      </c>
      <c r="C372" s="1" t="n">
        <v>45939</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34391-2023</t>
        </is>
      </c>
      <c r="B373" s="1" t="n">
        <v>45139.51457175926</v>
      </c>
      <c r="C373" s="1" t="n">
        <v>45939</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51978-2023</t>
        </is>
      </c>
      <c r="B374" s="1" t="n">
        <v>45223</v>
      </c>
      <c r="C374" s="1" t="n">
        <v>45939</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13051-2021</t>
        </is>
      </c>
      <c r="B375" s="1" t="n">
        <v>44272</v>
      </c>
      <c r="C375" s="1" t="n">
        <v>45939</v>
      </c>
      <c r="D375" t="inlineStr">
        <is>
          <t>STOCKHOLMS LÄN</t>
        </is>
      </c>
      <c r="E375" t="inlineStr">
        <is>
          <t>NORRTÄLJE</t>
        </is>
      </c>
      <c r="G375" t="n">
        <v>9.1</v>
      </c>
      <c r="H375" t="n">
        <v>0</v>
      </c>
      <c r="I375" t="n">
        <v>0</v>
      </c>
      <c r="J375" t="n">
        <v>0</v>
      </c>
      <c r="K375" t="n">
        <v>0</v>
      </c>
      <c r="L375" t="n">
        <v>0</v>
      </c>
      <c r="M375" t="n">
        <v>0</v>
      </c>
      <c r="N375" t="n">
        <v>0</v>
      </c>
      <c r="O375" t="n">
        <v>0</v>
      </c>
      <c r="P375" t="n">
        <v>0</v>
      </c>
      <c r="Q375" t="n">
        <v>0</v>
      </c>
      <c r="R375" s="2" t="inlineStr"/>
    </row>
    <row r="376" ht="15" customHeight="1">
      <c r="A376" t="inlineStr">
        <is>
          <t>A 55755-2023</t>
        </is>
      </c>
      <c r="B376" s="1" t="n">
        <v>45239</v>
      </c>
      <c r="C376" s="1" t="n">
        <v>45939</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20692-2025</t>
        </is>
      </c>
      <c r="B377" s="1" t="n">
        <v>45776.46369212963</v>
      </c>
      <c r="C377" s="1" t="n">
        <v>45939</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45549-2022</t>
        </is>
      </c>
      <c r="B378" s="1" t="n">
        <v>44845.48064814815</v>
      </c>
      <c r="C378" s="1" t="n">
        <v>45939</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53312-2024</t>
        </is>
      </c>
      <c r="B379" s="1" t="n">
        <v>45614.39627314815</v>
      </c>
      <c r="C379" s="1" t="n">
        <v>45939</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576-2023</t>
        </is>
      </c>
      <c r="B380" s="1" t="n">
        <v>44925</v>
      </c>
      <c r="C380" s="1" t="n">
        <v>45939</v>
      </c>
      <c r="D380" t="inlineStr">
        <is>
          <t>STOCKHOLMS LÄN</t>
        </is>
      </c>
      <c r="E380" t="inlineStr">
        <is>
          <t>NORRTÄLJE</t>
        </is>
      </c>
      <c r="G380" t="n">
        <v>7.2</v>
      </c>
      <c r="H380" t="n">
        <v>0</v>
      </c>
      <c r="I380" t="n">
        <v>0</v>
      </c>
      <c r="J380" t="n">
        <v>0</v>
      </c>
      <c r="K380" t="n">
        <v>0</v>
      </c>
      <c r="L380" t="n">
        <v>0</v>
      </c>
      <c r="M380" t="n">
        <v>0</v>
      </c>
      <c r="N380" t="n">
        <v>0</v>
      </c>
      <c r="O380" t="n">
        <v>0</v>
      </c>
      <c r="P380" t="n">
        <v>0</v>
      </c>
      <c r="Q380" t="n">
        <v>0</v>
      </c>
      <c r="R380" s="2" t="inlineStr"/>
    </row>
    <row r="381" ht="15" customHeight="1">
      <c r="A381" t="inlineStr">
        <is>
          <t>A 40761-2024</t>
        </is>
      </c>
      <c r="B381" s="1" t="n">
        <v>45558.46283564815</v>
      </c>
      <c r="C381" s="1" t="n">
        <v>45939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12908-2025</t>
        </is>
      </c>
      <c r="B382" s="1" t="n">
        <v>45733.82105324074</v>
      </c>
      <c r="C382" s="1" t="n">
        <v>45939</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21158-2022</t>
        </is>
      </c>
      <c r="B383" s="1" t="n">
        <v>44704</v>
      </c>
      <c r="C383" s="1" t="n">
        <v>45939</v>
      </c>
      <c r="D383" t="inlineStr">
        <is>
          <t>STOCKHOLMS LÄN</t>
        </is>
      </c>
      <c r="E383" t="inlineStr">
        <is>
          <t>NORRTÄLJE</t>
        </is>
      </c>
      <c r="G383" t="n">
        <v>17.8</v>
      </c>
      <c r="H383" t="n">
        <v>0</v>
      </c>
      <c r="I383" t="n">
        <v>0</v>
      </c>
      <c r="J383" t="n">
        <v>0</v>
      </c>
      <c r="K383" t="n">
        <v>0</v>
      </c>
      <c r="L383" t="n">
        <v>0</v>
      </c>
      <c r="M383" t="n">
        <v>0</v>
      </c>
      <c r="N383" t="n">
        <v>0</v>
      </c>
      <c r="O383" t="n">
        <v>0</v>
      </c>
      <c r="P383" t="n">
        <v>0</v>
      </c>
      <c r="Q383" t="n">
        <v>0</v>
      </c>
      <c r="R383" s="2" t="inlineStr"/>
    </row>
    <row r="384" ht="15" customHeight="1">
      <c r="A384" t="inlineStr">
        <is>
          <t>A 23692-2024</t>
        </is>
      </c>
      <c r="B384" s="1" t="n">
        <v>45454.65774305556</v>
      </c>
      <c r="C384" s="1" t="n">
        <v>45939</v>
      </c>
      <c r="D384" t="inlineStr">
        <is>
          <t>STOCKHOLMS LÄN</t>
        </is>
      </c>
      <c r="E384" t="inlineStr">
        <is>
          <t>NORRTÄLJE</t>
        </is>
      </c>
      <c r="G384" t="n">
        <v>3.7</v>
      </c>
      <c r="H384" t="n">
        <v>0</v>
      </c>
      <c r="I384" t="n">
        <v>0</v>
      </c>
      <c r="J384" t="n">
        <v>0</v>
      </c>
      <c r="K384" t="n">
        <v>0</v>
      </c>
      <c r="L384" t="n">
        <v>0</v>
      </c>
      <c r="M384" t="n">
        <v>0</v>
      </c>
      <c r="N384" t="n">
        <v>0</v>
      </c>
      <c r="O384" t="n">
        <v>0</v>
      </c>
      <c r="P384" t="n">
        <v>0</v>
      </c>
      <c r="Q384" t="n">
        <v>0</v>
      </c>
      <c r="R384" s="2" t="inlineStr"/>
    </row>
    <row r="385" ht="15" customHeight="1">
      <c r="A385" t="inlineStr">
        <is>
          <t>A 68361-2021</t>
        </is>
      </c>
      <c r="B385" s="1" t="n">
        <v>44528.91494212963</v>
      </c>
      <c r="C385" s="1" t="n">
        <v>45939</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15915-2023</t>
        </is>
      </c>
      <c r="B386" s="1" t="n">
        <v>45022</v>
      </c>
      <c r="C386" s="1" t="n">
        <v>45939</v>
      </c>
      <c r="D386" t="inlineStr">
        <is>
          <t>STOCKHOLMS LÄN</t>
        </is>
      </c>
      <c r="E386" t="inlineStr">
        <is>
          <t>NORRTÄLJE</t>
        </is>
      </c>
      <c r="G386" t="n">
        <v>2.9</v>
      </c>
      <c r="H386" t="n">
        <v>0</v>
      </c>
      <c r="I386" t="n">
        <v>0</v>
      </c>
      <c r="J386" t="n">
        <v>0</v>
      </c>
      <c r="K386" t="n">
        <v>0</v>
      </c>
      <c r="L386" t="n">
        <v>0</v>
      </c>
      <c r="M386" t="n">
        <v>0</v>
      </c>
      <c r="N386" t="n">
        <v>0</v>
      </c>
      <c r="O386" t="n">
        <v>0</v>
      </c>
      <c r="P386" t="n">
        <v>0</v>
      </c>
      <c r="Q386" t="n">
        <v>0</v>
      </c>
      <c r="R386" s="2" t="inlineStr"/>
    </row>
    <row r="387" ht="15" customHeight="1">
      <c r="A387" t="inlineStr">
        <is>
          <t>A 50469-2022</t>
        </is>
      </c>
      <c r="B387" s="1" t="n">
        <v>44866.49827546296</v>
      </c>
      <c r="C387" s="1" t="n">
        <v>45939</v>
      </c>
      <c r="D387" t="inlineStr">
        <is>
          <t>STOCKHOLMS LÄN</t>
        </is>
      </c>
      <c r="E387" t="inlineStr">
        <is>
          <t>NORRTÄLJE</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58993-2022</t>
        </is>
      </c>
      <c r="B388" s="1" t="n">
        <v>44903</v>
      </c>
      <c r="C388" s="1" t="n">
        <v>45939</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46071-2024</t>
        </is>
      </c>
      <c r="B389" s="1" t="n">
        <v>45581</v>
      </c>
      <c r="C389" s="1" t="n">
        <v>45939</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39905-2023</t>
        </is>
      </c>
      <c r="B390" s="1" t="n">
        <v>45168.44489583333</v>
      </c>
      <c r="C390" s="1" t="n">
        <v>45939</v>
      </c>
      <c r="D390" t="inlineStr">
        <is>
          <t>STOCKHOLMS LÄN</t>
        </is>
      </c>
      <c r="E390" t="inlineStr">
        <is>
          <t>NORRTÄLJE</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29369-2024</t>
        </is>
      </c>
      <c r="B391" s="1" t="n">
        <v>45483.57244212963</v>
      </c>
      <c r="C391" s="1" t="n">
        <v>45939</v>
      </c>
      <c r="D391" t="inlineStr">
        <is>
          <t>STOCKHOLMS LÄN</t>
        </is>
      </c>
      <c r="E391" t="inlineStr">
        <is>
          <t>NORRTÄLJE</t>
        </is>
      </c>
      <c r="G391" t="n">
        <v>15.9</v>
      </c>
      <c r="H391" t="n">
        <v>0</v>
      </c>
      <c r="I391" t="n">
        <v>0</v>
      </c>
      <c r="J391" t="n">
        <v>0</v>
      </c>
      <c r="K391" t="n">
        <v>0</v>
      </c>
      <c r="L391" t="n">
        <v>0</v>
      </c>
      <c r="M391" t="n">
        <v>0</v>
      </c>
      <c r="N391" t="n">
        <v>0</v>
      </c>
      <c r="O391" t="n">
        <v>0</v>
      </c>
      <c r="P391" t="n">
        <v>0</v>
      </c>
      <c r="Q391" t="n">
        <v>0</v>
      </c>
      <c r="R391" s="2" t="inlineStr"/>
    </row>
    <row r="392" ht="15" customHeight="1">
      <c r="A392" t="inlineStr">
        <is>
          <t>A 37630-2025</t>
        </is>
      </c>
      <c r="B392" s="1" t="n">
        <v>45880.46372685185</v>
      </c>
      <c r="C392" s="1" t="n">
        <v>45939</v>
      </c>
      <c r="D392" t="inlineStr">
        <is>
          <t>STOCKHOLMS LÄN</t>
        </is>
      </c>
      <c r="E392" t="inlineStr">
        <is>
          <t>NORRTÄLJE</t>
        </is>
      </c>
      <c r="F392" t="inlineStr">
        <is>
          <t>Sveaskog</t>
        </is>
      </c>
      <c r="G392" t="n">
        <v>12.9</v>
      </c>
      <c r="H392" t="n">
        <v>0</v>
      </c>
      <c r="I392" t="n">
        <v>0</v>
      </c>
      <c r="J392" t="n">
        <v>0</v>
      </c>
      <c r="K392" t="n">
        <v>0</v>
      </c>
      <c r="L392" t="n">
        <v>0</v>
      </c>
      <c r="M392" t="n">
        <v>0</v>
      </c>
      <c r="N392" t="n">
        <v>0</v>
      </c>
      <c r="O392" t="n">
        <v>0</v>
      </c>
      <c r="P392" t="n">
        <v>0</v>
      </c>
      <c r="Q392" t="n">
        <v>0</v>
      </c>
      <c r="R392" s="2" t="inlineStr"/>
    </row>
    <row r="393" ht="15" customHeight="1">
      <c r="A393" t="inlineStr">
        <is>
          <t>A 33793-2022</t>
        </is>
      </c>
      <c r="B393" s="1" t="n">
        <v>44790</v>
      </c>
      <c r="C393" s="1" t="n">
        <v>45939</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41976-2024</t>
        </is>
      </c>
      <c r="B394" s="1" t="n">
        <v>45561.62141203704</v>
      </c>
      <c r="C394" s="1" t="n">
        <v>45939</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17304-2024</t>
        </is>
      </c>
      <c r="B395" s="1" t="n">
        <v>45414</v>
      </c>
      <c r="C395" s="1" t="n">
        <v>45939</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16852-2024</t>
        </is>
      </c>
      <c r="B396" s="1" t="n">
        <v>45411.54768518519</v>
      </c>
      <c r="C396" s="1" t="n">
        <v>45939</v>
      </c>
      <c r="D396" t="inlineStr">
        <is>
          <t>STOCKHOLMS LÄN</t>
        </is>
      </c>
      <c r="E396" t="inlineStr">
        <is>
          <t>NORRTÄLJE</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37550-2022</t>
        </is>
      </c>
      <c r="B397" s="1" t="n">
        <v>44809</v>
      </c>
      <c r="C397" s="1" t="n">
        <v>45939</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62206-2022</t>
        </is>
      </c>
      <c r="B398" s="1" t="n">
        <v>44922</v>
      </c>
      <c r="C398" s="1" t="n">
        <v>45939</v>
      </c>
      <c r="D398" t="inlineStr">
        <is>
          <t>STOCKHOLMS LÄN</t>
        </is>
      </c>
      <c r="E398" t="inlineStr">
        <is>
          <t>NORRTÄLJE</t>
        </is>
      </c>
      <c r="G398" t="n">
        <v>2.9</v>
      </c>
      <c r="H398" t="n">
        <v>0</v>
      </c>
      <c r="I398" t="n">
        <v>0</v>
      </c>
      <c r="J398" t="n">
        <v>0</v>
      </c>
      <c r="K398" t="n">
        <v>0</v>
      </c>
      <c r="L398" t="n">
        <v>0</v>
      </c>
      <c r="M398" t="n">
        <v>0</v>
      </c>
      <c r="N398" t="n">
        <v>0</v>
      </c>
      <c r="O398" t="n">
        <v>0</v>
      </c>
      <c r="P398" t="n">
        <v>0</v>
      </c>
      <c r="Q398" t="n">
        <v>0</v>
      </c>
      <c r="R398" s="2" t="inlineStr"/>
    </row>
    <row r="399" ht="15" customHeight="1">
      <c r="A399" t="inlineStr">
        <is>
          <t>A 4326-2023</t>
        </is>
      </c>
      <c r="B399" s="1" t="n">
        <v>44953.70481481482</v>
      </c>
      <c r="C399" s="1" t="n">
        <v>45939</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47431-2023</t>
        </is>
      </c>
      <c r="B400" s="1" t="n">
        <v>45202</v>
      </c>
      <c r="C400" s="1" t="n">
        <v>45939</v>
      </c>
      <c r="D400" t="inlineStr">
        <is>
          <t>STOCKHOLMS LÄN</t>
        </is>
      </c>
      <c r="E400" t="inlineStr">
        <is>
          <t>NORRTÄLJE</t>
        </is>
      </c>
      <c r="F400" t="inlineStr">
        <is>
          <t>Naturvårdsverket</t>
        </is>
      </c>
      <c r="G400" t="n">
        <v>1.2</v>
      </c>
      <c r="H400" t="n">
        <v>0</v>
      </c>
      <c r="I400" t="n">
        <v>0</v>
      </c>
      <c r="J400" t="n">
        <v>0</v>
      </c>
      <c r="K400" t="n">
        <v>0</v>
      </c>
      <c r="L400" t="n">
        <v>0</v>
      </c>
      <c r="M400" t="n">
        <v>0</v>
      </c>
      <c r="N400" t="n">
        <v>0</v>
      </c>
      <c r="O400" t="n">
        <v>0</v>
      </c>
      <c r="P400" t="n">
        <v>0</v>
      </c>
      <c r="Q400" t="n">
        <v>0</v>
      </c>
      <c r="R400" s="2" t="inlineStr"/>
    </row>
    <row r="401" ht="15" customHeight="1">
      <c r="A401" t="inlineStr">
        <is>
          <t>A 37632-2025</t>
        </is>
      </c>
      <c r="B401" s="1" t="n">
        <v>45880.46524305556</v>
      </c>
      <c r="C401" s="1" t="n">
        <v>45939</v>
      </c>
      <c r="D401" t="inlineStr">
        <is>
          <t>STOCKHOLMS LÄN</t>
        </is>
      </c>
      <c r="E401" t="inlineStr">
        <is>
          <t>NORRTÄLJE</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29841-2024</t>
        </is>
      </c>
      <c r="B402" s="1" t="n">
        <v>45485.60261574074</v>
      </c>
      <c r="C402" s="1" t="n">
        <v>45939</v>
      </c>
      <c r="D402" t="inlineStr">
        <is>
          <t>STOCKHOLMS LÄN</t>
        </is>
      </c>
      <c r="E402" t="inlineStr">
        <is>
          <t>NORRTÄLJE</t>
        </is>
      </c>
      <c r="G402" t="n">
        <v>15.9</v>
      </c>
      <c r="H402" t="n">
        <v>0</v>
      </c>
      <c r="I402" t="n">
        <v>0</v>
      </c>
      <c r="J402" t="n">
        <v>0</v>
      </c>
      <c r="K402" t="n">
        <v>0</v>
      </c>
      <c r="L402" t="n">
        <v>0</v>
      </c>
      <c r="M402" t="n">
        <v>0</v>
      </c>
      <c r="N402" t="n">
        <v>0</v>
      </c>
      <c r="O402" t="n">
        <v>0</v>
      </c>
      <c r="P402" t="n">
        <v>0</v>
      </c>
      <c r="Q402" t="n">
        <v>0</v>
      </c>
      <c r="R402" s="2" t="inlineStr"/>
    </row>
    <row r="403" ht="15" customHeight="1">
      <c r="A403" t="inlineStr">
        <is>
          <t>A 30886-2022</t>
        </is>
      </c>
      <c r="B403" s="1" t="n">
        <v>44767.60601851852</v>
      </c>
      <c r="C403" s="1" t="n">
        <v>45939</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58989-2021</t>
        </is>
      </c>
      <c r="B404" s="1" t="n">
        <v>44490.02482638889</v>
      </c>
      <c r="C404" s="1" t="n">
        <v>45939</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58990-2021</t>
        </is>
      </c>
      <c r="B405" s="1" t="n">
        <v>44490.03621527777</v>
      </c>
      <c r="C405" s="1" t="n">
        <v>45939</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11940-2023</t>
        </is>
      </c>
      <c r="B406" s="1" t="n">
        <v>44995</v>
      </c>
      <c r="C406" s="1" t="n">
        <v>45939</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33385-2024</t>
        </is>
      </c>
      <c r="B407" s="1" t="n">
        <v>45519</v>
      </c>
      <c r="C407" s="1" t="n">
        <v>45939</v>
      </c>
      <c r="D407" t="inlineStr">
        <is>
          <t>STOCKHOLMS LÄN</t>
        </is>
      </c>
      <c r="E407" t="inlineStr">
        <is>
          <t>NORRTÄLJE</t>
        </is>
      </c>
      <c r="G407" t="n">
        <v>1.7</v>
      </c>
      <c r="H407" t="n">
        <v>0</v>
      </c>
      <c r="I407" t="n">
        <v>0</v>
      </c>
      <c r="J407" t="n">
        <v>0</v>
      </c>
      <c r="K407" t="n">
        <v>0</v>
      </c>
      <c r="L407" t="n">
        <v>0</v>
      </c>
      <c r="M407" t="n">
        <v>0</v>
      </c>
      <c r="N407" t="n">
        <v>0</v>
      </c>
      <c r="O407" t="n">
        <v>0</v>
      </c>
      <c r="P407" t="n">
        <v>0</v>
      </c>
      <c r="Q407" t="n">
        <v>0</v>
      </c>
      <c r="R407" s="2" t="inlineStr"/>
    </row>
    <row r="408" ht="15" customHeight="1">
      <c r="A408" t="inlineStr">
        <is>
          <t>A 29714-2023</t>
        </is>
      </c>
      <c r="B408" s="1" t="n">
        <v>45107.42538194444</v>
      </c>
      <c r="C408" s="1" t="n">
        <v>45939</v>
      </c>
      <c r="D408" t="inlineStr">
        <is>
          <t>STOCKHOLMS LÄN</t>
        </is>
      </c>
      <c r="E408" t="inlineStr">
        <is>
          <t>NORRTÄLJE</t>
        </is>
      </c>
      <c r="G408" t="n">
        <v>1.6</v>
      </c>
      <c r="H408" t="n">
        <v>0</v>
      </c>
      <c r="I408" t="n">
        <v>0</v>
      </c>
      <c r="J408" t="n">
        <v>0</v>
      </c>
      <c r="K408" t="n">
        <v>0</v>
      </c>
      <c r="L408" t="n">
        <v>0</v>
      </c>
      <c r="M408" t="n">
        <v>0</v>
      </c>
      <c r="N408" t="n">
        <v>0</v>
      </c>
      <c r="O408" t="n">
        <v>0</v>
      </c>
      <c r="P408" t="n">
        <v>0</v>
      </c>
      <c r="Q408" t="n">
        <v>0</v>
      </c>
      <c r="R408" s="2" t="inlineStr"/>
    </row>
    <row r="409" ht="15" customHeight="1">
      <c r="A409" t="inlineStr">
        <is>
          <t>A 30508-2023</t>
        </is>
      </c>
      <c r="B409" s="1" t="n">
        <v>45111</v>
      </c>
      <c r="C409" s="1" t="n">
        <v>45939</v>
      </c>
      <c r="D409" t="inlineStr">
        <is>
          <t>STOCKHOLMS LÄN</t>
        </is>
      </c>
      <c r="E409" t="inlineStr">
        <is>
          <t>NORRTÄLJE</t>
        </is>
      </c>
      <c r="G409" t="n">
        <v>2.1</v>
      </c>
      <c r="H409" t="n">
        <v>0</v>
      </c>
      <c r="I409" t="n">
        <v>0</v>
      </c>
      <c r="J409" t="n">
        <v>0</v>
      </c>
      <c r="K409" t="n">
        <v>0</v>
      </c>
      <c r="L409" t="n">
        <v>0</v>
      </c>
      <c r="M409" t="n">
        <v>0</v>
      </c>
      <c r="N409" t="n">
        <v>0</v>
      </c>
      <c r="O409" t="n">
        <v>0</v>
      </c>
      <c r="P409" t="n">
        <v>0</v>
      </c>
      <c r="Q409" t="n">
        <v>0</v>
      </c>
      <c r="R409" s="2" t="inlineStr"/>
    </row>
    <row r="410" ht="15" customHeight="1">
      <c r="A410" t="inlineStr">
        <is>
          <t>A 23262-2023</t>
        </is>
      </c>
      <c r="B410" s="1" t="n">
        <v>45075.90270833333</v>
      </c>
      <c r="C410" s="1" t="n">
        <v>45939</v>
      </c>
      <c r="D410" t="inlineStr">
        <is>
          <t>STOCKHOLMS LÄN</t>
        </is>
      </c>
      <c r="E410" t="inlineStr">
        <is>
          <t>NORRTÄLJE</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23268-2023</t>
        </is>
      </c>
      <c r="B411" s="1" t="n">
        <v>45075.91042824074</v>
      </c>
      <c r="C411" s="1" t="n">
        <v>45939</v>
      </c>
      <c r="D411" t="inlineStr">
        <is>
          <t>STOCKHOLMS LÄN</t>
        </is>
      </c>
      <c r="E411" t="inlineStr">
        <is>
          <t>NORRTÄLJE</t>
        </is>
      </c>
      <c r="G411" t="n">
        <v>3.3</v>
      </c>
      <c r="H411" t="n">
        <v>0</v>
      </c>
      <c r="I411" t="n">
        <v>0</v>
      </c>
      <c r="J411" t="n">
        <v>0</v>
      </c>
      <c r="K411" t="n">
        <v>0</v>
      </c>
      <c r="L411" t="n">
        <v>0</v>
      </c>
      <c r="M411" t="n">
        <v>0</v>
      </c>
      <c r="N411" t="n">
        <v>0</v>
      </c>
      <c r="O411" t="n">
        <v>0</v>
      </c>
      <c r="P411" t="n">
        <v>0</v>
      </c>
      <c r="Q411" t="n">
        <v>0</v>
      </c>
      <c r="R411" s="2" t="inlineStr"/>
    </row>
    <row r="412" ht="15" customHeight="1">
      <c r="A412" t="inlineStr">
        <is>
          <t>A 23270-2023</t>
        </is>
      </c>
      <c r="B412" s="1" t="n">
        <v>45075.91265046296</v>
      </c>
      <c r="C412" s="1" t="n">
        <v>45939</v>
      </c>
      <c r="D412" t="inlineStr">
        <is>
          <t>STOCKHOLMS LÄN</t>
        </is>
      </c>
      <c r="E412" t="inlineStr">
        <is>
          <t>NORRTÄLJE</t>
        </is>
      </c>
      <c r="G412" t="n">
        <v>12.3</v>
      </c>
      <c r="H412" t="n">
        <v>0</v>
      </c>
      <c r="I412" t="n">
        <v>0</v>
      </c>
      <c r="J412" t="n">
        <v>0</v>
      </c>
      <c r="K412" t="n">
        <v>0</v>
      </c>
      <c r="L412" t="n">
        <v>0</v>
      </c>
      <c r="M412" t="n">
        <v>0</v>
      </c>
      <c r="N412" t="n">
        <v>0</v>
      </c>
      <c r="O412" t="n">
        <v>0</v>
      </c>
      <c r="P412" t="n">
        <v>0</v>
      </c>
      <c r="Q412" t="n">
        <v>0</v>
      </c>
      <c r="R412" s="2" t="inlineStr"/>
    </row>
    <row r="413" ht="15" customHeight="1">
      <c r="A413" t="inlineStr">
        <is>
          <t>A 29266-2022</t>
        </is>
      </c>
      <c r="B413" s="1" t="n">
        <v>44750.66068287037</v>
      </c>
      <c r="C413" s="1" t="n">
        <v>45939</v>
      </c>
      <c r="D413" t="inlineStr">
        <is>
          <t>STOCKHOLMS LÄN</t>
        </is>
      </c>
      <c r="E413" t="inlineStr">
        <is>
          <t>NORRTÄLJE</t>
        </is>
      </c>
      <c r="G413" t="n">
        <v>1.8</v>
      </c>
      <c r="H413" t="n">
        <v>0</v>
      </c>
      <c r="I413" t="n">
        <v>0</v>
      </c>
      <c r="J413" t="n">
        <v>0</v>
      </c>
      <c r="K413" t="n">
        <v>0</v>
      </c>
      <c r="L413" t="n">
        <v>0</v>
      </c>
      <c r="M413" t="n">
        <v>0</v>
      </c>
      <c r="N413" t="n">
        <v>0</v>
      </c>
      <c r="O413" t="n">
        <v>0</v>
      </c>
      <c r="P413" t="n">
        <v>0</v>
      </c>
      <c r="Q413" t="n">
        <v>0</v>
      </c>
      <c r="R413" s="2" t="inlineStr"/>
    </row>
    <row r="414" ht="15" customHeight="1">
      <c r="A414" t="inlineStr">
        <is>
          <t>A 29278-2022</t>
        </is>
      </c>
      <c r="B414" s="1" t="n">
        <v>44750</v>
      </c>
      <c r="C414" s="1" t="n">
        <v>45939</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23274-2023</t>
        </is>
      </c>
      <c r="B415" s="1" t="n">
        <v>45075.92153935185</v>
      </c>
      <c r="C415" s="1" t="n">
        <v>45939</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5732-2023</t>
        </is>
      </c>
      <c r="B416" s="1" t="n">
        <v>44962</v>
      </c>
      <c r="C416" s="1" t="n">
        <v>45939</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25609-2023</t>
        </is>
      </c>
      <c r="B417" s="1" t="n">
        <v>45089</v>
      </c>
      <c r="C417" s="1" t="n">
        <v>45939</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6401-2024</t>
        </is>
      </c>
      <c r="B418" s="1" t="n">
        <v>45338</v>
      </c>
      <c r="C418" s="1" t="n">
        <v>45939</v>
      </c>
      <c r="D418" t="inlineStr">
        <is>
          <t>STOCKHOLMS LÄN</t>
        </is>
      </c>
      <c r="E418" t="inlineStr">
        <is>
          <t>NORRTÄLJE</t>
        </is>
      </c>
      <c r="G418" t="n">
        <v>2.2</v>
      </c>
      <c r="H418" t="n">
        <v>0</v>
      </c>
      <c r="I418" t="n">
        <v>0</v>
      </c>
      <c r="J418" t="n">
        <v>0</v>
      </c>
      <c r="K418" t="n">
        <v>0</v>
      </c>
      <c r="L418" t="n">
        <v>0</v>
      </c>
      <c r="M418" t="n">
        <v>0</v>
      </c>
      <c r="N418" t="n">
        <v>0</v>
      </c>
      <c r="O418" t="n">
        <v>0</v>
      </c>
      <c r="P418" t="n">
        <v>0</v>
      </c>
      <c r="Q418" t="n">
        <v>0</v>
      </c>
      <c r="R418" s="2" t="inlineStr"/>
    </row>
    <row r="419" ht="15" customHeight="1">
      <c r="A419" t="inlineStr">
        <is>
          <t>A 12031-2021</t>
        </is>
      </c>
      <c r="B419" s="1" t="n">
        <v>44266</v>
      </c>
      <c r="C419" s="1" t="n">
        <v>45939</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24501-2023</t>
        </is>
      </c>
      <c r="B420" s="1" t="n">
        <v>45082</v>
      </c>
      <c r="C420" s="1" t="n">
        <v>45939</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24520-2023</t>
        </is>
      </c>
      <c r="B421" s="1" t="n">
        <v>45082.68922453704</v>
      </c>
      <c r="C421" s="1" t="n">
        <v>45939</v>
      </c>
      <c r="D421" t="inlineStr">
        <is>
          <t>STOCKHOLMS LÄN</t>
        </is>
      </c>
      <c r="E421" t="inlineStr">
        <is>
          <t>NORRTÄLJE</t>
        </is>
      </c>
      <c r="G421" t="n">
        <v>4.3</v>
      </c>
      <c r="H421" t="n">
        <v>0</v>
      </c>
      <c r="I421" t="n">
        <v>0</v>
      </c>
      <c r="J421" t="n">
        <v>0</v>
      </c>
      <c r="K421" t="n">
        <v>0</v>
      </c>
      <c r="L421" t="n">
        <v>0</v>
      </c>
      <c r="M421" t="n">
        <v>0</v>
      </c>
      <c r="N421" t="n">
        <v>0</v>
      </c>
      <c r="O421" t="n">
        <v>0</v>
      </c>
      <c r="P421" t="n">
        <v>0</v>
      </c>
      <c r="Q421" t="n">
        <v>0</v>
      </c>
      <c r="R421" s="2" t="inlineStr"/>
    </row>
    <row r="422" ht="15" customHeight="1">
      <c r="A422" t="inlineStr">
        <is>
          <t>A 31281-2022</t>
        </is>
      </c>
      <c r="B422" s="1" t="n">
        <v>44771</v>
      </c>
      <c r="C422" s="1" t="n">
        <v>45939</v>
      </c>
      <c r="D422" t="inlineStr">
        <is>
          <t>STOCKHOLMS LÄN</t>
        </is>
      </c>
      <c r="E422" t="inlineStr">
        <is>
          <t>NORRTÄLJE</t>
        </is>
      </c>
      <c r="F422" t="inlineStr">
        <is>
          <t>Holmen skog AB</t>
        </is>
      </c>
      <c r="G422" t="n">
        <v>5.2</v>
      </c>
      <c r="H422" t="n">
        <v>0</v>
      </c>
      <c r="I422" t="n">
        <v>0</v>
      </c>
      <c r="J422" t="n">
        <v>0</v>
      </c>
      <c r="K422" t="n">
        <v>0</v>
      </c>
      <c r="L422" t="n">
        <v>0</v>
      </c>
      <c r="M422" t="n">
        <v>0</v>
      </c>
      <c r="N422" t="n">
        <v>0</v>
      </c>
      <c r="O422" t="n">
        <v>0</v>
      </c>
      <c r="P422" t="n">
        <v>0</v>
      </c>
      <c r="Q422" t="n">
        <v>0</v>
      </c>
      <c r="R422" s="2" t="inlineStr"/>
    </row>
    <row r="423" ht="15" customHeight="1">
      <c r="A423" t="inlineStr">
        <is>
          <t>A 33569-2023</t>
        </is>
      </c>
      <c r="B423" s="1" t="n">
        <v>45131.666875</v>
      </c>
      <c r="C423" s="1" t="n">
        <v>45939</v>
      </c>
      <c r="D423" t="inlineStr">
        <is>
          <t>STOCKHOLMS LÄN</t>
        </is>
      </c>
      <c r="E423" t="inlineStr">
        <is>
          <t>NORRTÄLJE</t>
        </is>
      </c>
      <c r="G423" t="n">
        <v>2.3</v>
      </c>
      <c r="H423" t="n">
        <v>0</v>
      </c>
      <c r="I423" t="n">
        <v>0</v>
      </c>
      <c r="J423" t="n">
        <v>0</v>
      </c>
      <c r="K423" t="n">
        <v>0</v>
      </c>
      <c r="L423" t="n">
        <v>0</v>
      </c>
      <c r="M423" t="n">
        <v>0</v>
      </c>
      <c r="N423" t="n">
        <v>0</v>
      </c>
      <c r="O423" t="n">
        <v>0</v>
      </c>
      <c r="P423" t="n">
        <v>0</v>
      </c>
      <c r="Q423" t="n">
        <v>0</v>
      </c>
      <c r="R423" s="2" t="inlineStr"/>
    </row>
    <row r="424" ht="15" customHeight="1">
      <c r="A424" t="inlineStr">
        <is>
          <t>A 50569-2022</t>
        </is>
      </c>
      <c r="B424" s="1" t="n">
        <v>44866.63775462963</v>
      </c>
      <c r="C424" s="1" t="n">
        <v>45939</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37628-2025</t>
        </is>
      </c>
      <c r="B425" s="1" t="n">
        <v>45880.46189814815</v>
      </c>
      <c r="C425" s="1" t="n">
        <v>45939</v>
      </c>
      <c r="D425" t="inlineStr">
        <is>
          <t>STOCKHOLMS LÄN</t>
        </is>
      </c>
      <c r="E425" t="inlineStr">
        <is>
          <t>NORRTÄLJE</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8296-2023</t>
        </is>
      </c>
      <c r="B426" s="1" t="n">
        <v>44974</v>
      </c>
      <c r="C426" s="1" t="n">
        <v>45939</v>
      </c>
      <c r="D426" t="inlineStr">
        <is>
          <t>STOCKHOLMS LÄN</t>
        </is>
      </c>
      <c r="E426" t="inlineStr">
        <is>
          <t>NORRTÄLJE</t>
        </is>
      </c>
      <c r="G426" t="n">
        <v>3.8</v>
      </c>
      <c r="H426" t="n">
        <v>0</v>
      </c>
      <c r="I426" t="n">
        <v>0</v>
      </c>
      <c r="J426" t="n">
        <v>0</v>
      </c>
      <c r="K426" t="n">
        <v>0</v>
      </c>
      <c r="L426" t="n">
        <v>0</v>
      </c>
      <c r="M426" t="n">
        <v>0</v>
      </c>
      <c r="N426" t="n">
        <v>0</v>
      </c>
      <c r="O426" t="n">
        <v>0</v>
      </c>
      <c r="P426" t="n">
        <v>0</v>
      </c>
      <c r="Q426" t="n">
        <v>0</v>
      </c>
      <c r="R426" s="2" t="inlineStr"/>
    </row>
    <row r="427" ht="15" customHeight="1">
      <c r="A427" t="inlineStr">
        <is>
          <t>A 22833-2024</t>
        </is>
      </c>
      <c r="B427" s="1" t="n">
        <v>45448.56746527777</v>
      </c>
      <c r="C427" s="1" t="n">
        <v>45939</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45697-2025</t>
        </is>
      </c>
      <c r="B428" s="1" t="n">
        <v>45923.39877314815</v>
      </c>
      <c r="C428" s="1" t="n">
        <v>45939</v>
      </c>
      <c r="D428" t="inlineStr">
        <is>
          <t>STOCKHOLMS LÄN</t>
        </is>
      </c>
      <c r="E428" t="inlineStr">
        <is>
          <t>NORRTÄLJE</t>
        </is>
      </c>
      <c r="G428" t="n">
        <v>1.8</v>
      </c>
      <c r="H428" t="n">
        <v>0</v>
      </c>
      <c r="I428" t="n">
        <v>0</v>
      </c>
      <c r="J428" t="n">
        <v>0</v>
      </c>
      <c r="K428" t="n">
        <v>0</v>
      </c>
      <c r="L428" t="n">
        <v>0</v>
      </c>
      <c r="M428" t="n">
        <v>0</v>
      </c>
      <c r="N428" t="n">
        <v>0</v>
      </c>
      <c r="O428" t="n">
        <v>0</v>
      </c>
      <c r="P428" t="n">
        <v>0</v>
      </c>
      <c r="Q428" t="n">
        <v>0</v>
      </c>
      <c r="R428" s="2" t="inlineStr"/>
    </row>
    <row r="429" ht="15" customHeight="1">
      <c r="A429" t="inlineStr">
        <is>
          <t>A 38612-2022</t>
        </is>
      </c>
      <c r="B429" s="1" t="n">
        <v>44813</v>
      </c>
      <c r="C429" s="1" t="n">
        <v>45939</v>
      </c>
      <c r="D429" t="inlineStr">
        <is>
          <t>STOCKHOLMS LÄN</t>
        </is>
      </c>
      <c r="E429" t="inlineStr">
        <is>
          <t>NORRTÄLJE</t>
        </is>
      </c>
      <c r="G429" t="n">
        <v>1.7</v>
      </c>
      <c r="H429" t="n">
        <v>0</v>
      </c>
      <c r="I429" t="n">
        <v>0</v>
      </c>
      <c r="J429" t="n">
        <v>0</v>
      </c>
      <c r="K429" t="n">
        <v>0</v>
      </c>
      <c r="L429" t="n">
        <v>0</v>
      </c>
      <c r="M429" t="n">
        <v>0</v>
      </c>
      <c r="N429" t="n">
        <v>0</v>
      </c>
      <c r="O429" t="n">
        <v>0</v>
      </c>
      <c r="P429" t="n">
        <v>0</v>
      </c>
      <c r="Q429" t="n">
        <v>0</v>
      </c>
      <c r="R429" s="2" t="inlineStr"/>
    </row>
    <row r="430" ht="15" customHeight="1">
      <c r="A430" t="inlineStr">
        <is>
          <t>A 60224-2023</t>
        </is>
      </c>
      <c r="B430" s="1" t="n">
        <v>45257</v>
      </c>
      <c r="C430" s="1" t="n">
        <v>45939</v>
      </c>
      <c r="D430" t="inlineStr">
        <is>
          <t>STOCKHOLMS LÄN</t>
        </is>
      </c>
      <c r="E430" t="inlineStr">
        <is>
          <t>NORRTÄLJE</t>
        </is>
      </c>
      <c r="G430" t="n">
        <v>8.1</v>
      </c>
      <c r="H430" t="n">
        <v>0</v>
      </c>
      <c r="I430" t="n">
        <v>0</v>
      </c>
      <c r="J430" t="n">
        <v>0</v>
      </c>
      <c r="K430" t="n">
        <v>0</v>
      </c>
      <c r="L430" t="n">
        <v>0</v>
      </c>
      <c r="M430" t="n">
        <v>0</v>
      </c>
      <c r="N430" t="n">
        <v>0</v>
      </c>
      <c r="O430" t="n">
        <v>0</v>
      </c>
      <c r="P430" t="n">
        <v>0</v>
      </c>
      <c r="Q430" t="n">
        <v>0</v>
      </c>
      <c r="R430" s="2" t="inlineStr"/>
    </row>
    <row r="431" ht="15" customHeight="1">
      <c r="A431" t="inlineStr">
        <is>
          <t>A 33040-2021</t>
        </is>
      </c>
      <c r="B431" s="1" t="n">
        <v>44376.50728009259</v>
      </c>
      <c r="C431" s="1" t="n">
        <v>45939</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26117-2024</t>
        </is>
      </c>
      <c r="B432" s="1" t="n">
        <v>45468.45877314815</v>
      </c>
      <c r="C432" s="1" t="n">
        <v>45939</v>
      </c>
      <c r="D432" t="inlineStr">
        <is>
          <t>STOCKHOLMS LÄN</t>
        </is>
      </c>
      <c r="E432" t="inlineStr">
        <is>
          <t>NORRTÄLJE</t>
        </is>
      </c>
      <c r="G432" t="n">
        <v>2.4</v>
      </c>
      <c r="H432" t="n">
        <v>0</v>
      </c>
      <c r="I432" t="n">
        <v>0</v>
      </c>
      <c r="J432" t="n">
        <v>0</v>
      </c>
      <c r="K432" t="n">
        <v>0</v>
      </c>
      <c r="L432" t="n">
        <v>0</v>
      </c>
      <c r="M432" t="n">
        <v>0</v>
      </c>
      <c r="N432" t="n">
        <v>0</v>
      </c>
      <c r="O432" t="n">
        <v>0</v>
      </c>
      <c r="P432" t="n">
        <v>0</v>
      </c>
      <c r="Q432" t="n">
        <v>0</v>
      </c>
      <c r="R432" s="2" t="inlineStr"/>
    </row>
    <row r="433" ht="15" customHeight="1">
      <c r="A433" t="inlineStr">
        <is>
          <t>A 31236-2022</t>
        </is>
      </c>
      <c r="B433" s="1" t="n">
        <v>44771</v>
      </c>
      <c r="C433" s="1" t="n">
        <v>45939</v>
      </c>
      <c r="D433" t="inlineStr">
        <is>
          <t>STOCKHOLMS LÄN</t>
        </is>
      </c>
      <c r="E433" t="inlineStr">
        <is>
          <t>NORRTÄLJE</t>
        </is>
      </c>
      <c r="G433" t="n">
        <v>1.7</v>
      </c>
      <c r="H433" t="n">
        <v>0</v>
      </c>
      <c r="I433" t="n">
        <v>0</v>
      </c>
      <c r="J433" t="n">
        <v>0</v>
      </c>
      <c r="K433" t="n">
        <v>0</v>
      </c>
      <c r="L433" t="n">
        <v>0</v>
      </c>
      <c r="M433" t="n">
        <v>0</v>
      </c>
      <c r="N433" t="n">
        <v>0</v>
      </c>
      <c r="O433" t="n">
        <v>0</v>
      </c>
      <c r="P433" t="n">
        <v>0</v>
      </c>
      <c r="Q433" t="n">
        <v>0</v>
      </c>
      <c r="R433" s="2" t="inlineStr"/>
    </row>
    <row r="434" ht="15" customHeight="1">
      <c r="A434" t="inlineStr">
        <is>
          <t>A 24350-2025</t>
        </is>
      </c>
      <c r="B434" s="1" t="n">
        <v>45797.58350694444</v>
      </c>
      <c r="C434" s="1" t="n">
        <v>45939</v>
      </c>
      <c r="D434" t="inlineStr">
        <is>
          <t>STOCKHOLMS LÄN</t>
        </is>
      </c>
      <c r="E434" t="inlineStr">
        <is>
          <t>NORRTÄLJE</t>
        </is>
      </c>
      <c r="G434" t="n">
        <v>4.5</v>
      </c>
      <c r="H434" t="n">
        <v>0</v>
      </c>
      <c r="I434" t="n">
        <v>0</v>
      </c>
      <c r="J434" t="n">
        <v>0</v>
      </c>
      <c r="K434" t="n">
        <v>0</v>
      </c>
      <c r="L434" t="n">
        <v>0</v>
      </c>
      <c r="M434" t="n">
        <v>0</v>
      </c>
      <c r="N434" t="n">
        <v>0</v>
      </c>
      <c r="O434" t="n">
        <v>0</v>
      </c>
      <c r="P434" t="n">
        <v>0</v>
      </c>
      <c r="Q434" t="n">
        <v>0</v>
      </c>
      <c r="R434" s="2" t="inlineStr"/>
    </row>
    <row r="435" ht="15" customHeight="1">
      <c r="A435" t="inlineStr">
        <is>
          <t>A 61113-2023</t>
        </is>
      </c>
      <c r="B435" s="1" t="n">
        <v>45261</v>
      </c>
      <c r="C435" s="1" t="n">
        <v>45939</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17785-2024</t>
        </is>
      </c>
      <c r="B436" s="1" t="n">
        <v>45418.6968287037</v>
      </c>
      <c r="C436" s="1" t="n">
        <v>45939</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29684-2021</t>
        </is>
      </c>
      <c r="B437" s="1" t="n">
        <v>44362.37172453704</v>
      </c>
      <c r="C437" s="1" t="n">
        <v>45939</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26703-2025</t>
        </is>
      </c>
      <c r="B438" s="1" t="n">
        <v>45810.45263888889</v>
      </c>
      <c r="C438" s="1" t="n">
        <v>45939</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52593-2024</t>
        </is>
      </c>
      <c r="B439" s="1" t="n">
        <v>45609.70778935185</v>
      </c>
      <c r="C439" s="1" t="n">
        <v>45939</v>
      </c>
      <c r="D439" t="inlineStr">
        <is>
          <t>STOCKHOLMS LÄN</t>
        </is>
      </c>
      <c r="E439" t="inlineStr">
        <is>
          <t>NORRTÄLJE</t>
        </is>
      </c>
      <c r="F439" t="inlineStr">
        <is>
          <t>Holmen skog AB</t>
        </is>
      </c>
      <c r="G439" t="n">
        <v>2.4</v>
      </c>
      <c r="H439" t="n">
        <v>0</v>
      </c>
      <c r="I439" t="n">
        <v>0</v>
      </c>
      <c r="J439" t="n">
        <v>0</v>
      </c>
      <c r="K439" t="n">
        <v>0</v>
      </c>
      <c r="L439" t="n">
        <v>0</v>
      </c>
      <c r="M439" t="n">
        <v>0</v>
      </c>
      <c r="N439" t="n">
        <v>0</v>
      </c>
      <c r="O439" t="n">
        <v>0</v>
      </c>
      <c r="P439" t="n">
        <v>0</v>
      </c>
      <c r="Q439" t="n">
        <v>0</v>
      </c>
      <c r="R439" s="2" t="inlineStr"/>
    </row>
    <row r="440" ht="15" customHeight="1">
      <c r="A440" t="inlineStr">
        <is>
          <t>A 60822-2023</t>
        </is>
      </c>
      <c r="B440" s="1" t="n">
        <v>45259</v>
      </c>
      <c r="C440" s="1" t="n">
        <v>45939</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52617-2024</t>
        </is>
      </c>
      <c r="B441" s="1" t="n">
        <v>45609.85146990741</v>
      </c>
      <c r="C441" s="1" t="n">
        <v>45939</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59310-2023</t>
        </is>
      </c>
      <c r="B442" s="1" t="n">
        <v>45253.61146990741</v>
      </c>
      <c r="C442" s="1" t="n">
        <v>45939</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27824-2022</t>
        </is>
      </c>
      <c r="B443" s="1" t="n">
        <v>44743.59331018518</v>
      </c>
      <c r="C443" s="1" t="n">
        <v>45939</v>
      </c>
      <c r="D443" t="inlineStr">
        <is>
          <t>STOCKHOLMS LÄN</t>
        </is>
      </c>
      <c r="E443" t="inlineStr">
        <is>
          <t>NORRTÄLJE</t>
        </is>
      </c>
      <c r="F443" t="inlineStr">
        <is>
          <t>Kommuner</t>
        </is>
      </c>
      <c r="G443" t="n">
        <v>3.1</v>
      </c>
      <c r="H443" t="n">
        <v>0</v>
      </c>
      <c r="I443" t="n">
        <v>0</v>
      </c>
      <c r="J443" t="n">
        <v>0</v>
      </c>
      <c r="K443" t="n">
        <v>0</v>
      </c>
      <c r="L443" t="n">
        <v>0</v>
      </c>
      <c r="M443" t="n">
        <v>0</v>
      </c>
      <c r="N443" t="n">
        <v>0</v>
      </c>
      <c r="O443" t="n">
        <v>0</v>
      </c>
      <c r="P443" t="n">
        <v>0</v>
      </c>
      <c r="Q443" t="n">
        <v>0</v>
      </c>
      <c r="R443" s="2" t="inlineStr"/>
    </row>
    <row r="444" ht="15" customHeight="1">
      <c r="A444" t="inlineStr">
        <is>
          <t>A 20343-2024</t>
        </is>
      </c>
      <c r="B444" s="1" t="n">
        <v>45435.43466435185</v>
      </c>
      <c r="C444" s="1" t="n">
        <v>45939</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20345-2024</t>
        </is>
      </c>
      <c r="B445" s="1" t="n">
        <v>45435.43820601852</v>
      </c>
      <c r="C445" s="1" t="n">
        <v>45939</v>
      </c>
      <c r="D445" t="inlineStr">
        <is>
          <t>STOCKHOLMS LÄN</t>
        </is>
      </c>
      <c r="E445" t="inlineStr">
        <is>
          <t>NORRTÄLJE</t>
        </is>
      </c>
      <c r="G445" t="n">
        <v>3.8</v>
      </c>
      <c r="H445" t="n">
        <v>0</v>
      </c>
      <c r="I445" t="n">
        <v>0</v>
      </c>
      <c r="J445" t="n">
        <v>0</v>
      </c>
      <c r="K445" t="n">
        <v>0</v>
      </c>
      <c r="L445" t="n">
        <v>0</v>
      </c>
      <c r="M445" t="n">
        <v>0</v>
      </c>
      <c r="N445" t="n">
        <v>0</v>
      </c>
      <c r="O445" t="n">
        <v>0</v>
      </c>
      <c r="P445" t="n">
        <v>0</v>
      </c>
      <c r="Q445" t="n">
        <v>0</v>
      </c>
      <c r="R445" s="2" t="inlineStr"/>
    </row>
    <row r="446" ht="15" customHeight="1">
      <c r="A446" t="inlineStr">
        <is>
          <t>A 21386-2023</t>
        </is>
      </c>
      <c r="B446" s="1" t="n">
        <v>45063.35880787037</v>
      </c>
      <c r="C446" s="1" t="n">
        <v>45939</v>
      </c>
      <c r="D446" t="inlineStr">
        <is>
          <t>STOCKHOLMS LÄN</t>
        </is>
      </c>
      <c r="E446" t="inlineStr">
        <is>
          <t>NORRTÄLJE</t>
        </is>
      </c>
      <c r="G446" t="n">
        <v>1.8</v>
      </c>
      <c r="H446" t="n">
        <v>0</v>
      </c>
      <c r="I446" t="n">
        <v>0</v>
      </c>
      <c r="J446" t="n">
        <v>0</v>
      </c>
      <c r="K446" t="n">
        <v>0</v>
      </c>
      <c r="L446" t="n">
        <v>0</v>
      </c>
      <c r="M446" t="n">
        <v>0</v>
      </c>
      <c r="N446" t="n">
        <v>0</v>
      </c>
      <c r="O446" t="n">
        <v>0</v>
      </c>
      <c r="P446" t="n">
        <v>0</v>
      </c>
      <c r="Q446" t="n">
        <v>0</v>
      </c>
      <c r="R446" s="2" t="inlineStr"/>
    </row>
    <row r="447" ht="15" customHeight="1">
      <c r="A447" t="inlineStr">
        <is>
          <t>A 55010-2024</t>
        </is>
      </c>
      <c r="B447" s="1" t="n">
        <v>45621.34425925926</v>
      </c>
      <c r="C447" s="1" t="n">
        <v>45939</v>
      </c>
      <c r="D447" t="inlineStr">
        <is>
          <t>STOCKHOLMS LÄN</t>
        </is>
      </c>
      <c r="E447" t="inlineStr">
        <is>
          <t>NORRTÄLJE</t>
        </is>
      </c>
      <c r="F447" t="inlineStr">
        <is>
          <t>Sveaskog</t>
        </is>
      </c>
      <c r="G447" t="n">
        <v>5.7</v>
      </c>
      <c r="H447" t="n">
        <v>0</v>
      </c>
      <c r="I447" t="n">
        <v>0</v>
      </c>
      <c r="J447" t="n">
        <v>0</v>
      </c>
      <c r="K447" t="n">
        <v>0</v>
      </c>
      <c r="L447" t="n">
        <v>0</v>
      </c>
      <c r="M447" t="n">
        <v>0</v>
      </c>
      <c r="N447" t="n">
        <v>0</v>
      </c>
      <c r="O447" t="n">
        <v>0</v>
      </c>
      <c r="P447" t="n">
        <v>0</v>
      </c>
      <c r="Q447" t="n">
        <v>0</v>
      </c>
      <c r="R447" s="2" t="inlineStr"/>
    </row>
    <row r="448" ht="15" customHeight="1">
      <c r="A448" t="inlineStr">
        <is>
          <t>A 55018-2024</t>
        </is>
      </c>
      <c r="B448" s="1" t="n">
        <v>45621.35712962963</v>
      </c>
      <c r="C448" s="1" t="n">
        <v>45939</v>
      </c>
      <c r="D448" t="inlineStr">
        <is>
          <t>STOCKHOLMS LÄN</t>
        </is>
      </c>
      <c r="E448" t="inlineStr">
        <is>
          <t>NORRTÄLJE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4593-2023</t>
        </is>
      </c>
      <c r="B449" s="1" t="n">
        <v>44956</v>
      </c>
      <c r="C449" s="1" t="n">
        <v>45939</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19058-2024</t>
        </is>
      </c>
      <c r="B450" s="1" t="n">
        <v>45427.89121527778</v>
      </c>
      <c r="C450" s="1" t="n">
        <v>45939</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13137-2024</t>
        </is>
      </c>
      <c r="B451" s="1" t="n">
        <v>45386.34175925926</v>
      </c>
      <c r="C451" s="1" t="n">
        <v>45939</v>
      </c>
      <c r="D451" t="inlineStr">
        <is>
          <t>STOCKHOLMS LÄN</t>
        </is>
      </c>
      <c r="E451" t="inlineStr">
        <is>
          <t>NORRTÄLJE</t>
        </is>
      </c>
      <c r="G451" t="n">
        <v>5</v>
      </c>
      <c r="H451" t="n">
        <v>0</v>
      </c>
      <c r="I451" t="n">
        <v>0</v>
      </c>
      <c r="J451" t="n">
        <v>0</v>
      </c>
      <c r="K451" t="n">
        <v>0</v>
      </c>
      <c r="L451" t="n">
        <v>0</v>
      </c>
      <c r="M451" t="n">
        <v>0</v>
      </c>
      <c r="N451" t="n">
        <v>0</v>
      </c>
      <c r="O451" t="n">
        <v>0</v>
      </c>
      <c r="P451" t="n">
        <v>0</v>
      </c>
      <c r="Q451" t="n">
        <v>0</v>
      </c>
      <c r="R451" s="2" t="inlineStr"/>
    </row>
    <row r="452" ht="15" customHeight="1">
      <c r="A452" t="inlineStr">
        <is>
          <t>A 54396-2021</t>
        </is>
      </c>
      <c r="B452" s="1" t="n">
        <v>44472</v>
      </c>
      <c r="C452" s="1" t="n">
        <v>45939</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38153-2025</t>
        </is>
      </c>
      <c r="B453" s="1" t="n">
        <v>45882.59722222222</v>
      </c>
      <c r="C453" s="1" t="n">
        <v>45939</v>
      </c>
      <c r="D453" t="inlineStr">
        <is>
          <t>STOCKHOLMS LÄN</t>
        </is>
      </c>
      <c r="E453" t="inlineStr">
        <is>
          <t>NORRTÄLJE</t>
        </is>
      </c>
      <c r="G453" t="n">
        <v>1.7</v>
      </c>
      <c r="H453" t="n">
        <v>0</v>
      </c>
      <c r="I453" t="n">
        <v>0</v>
      </c>
      <c r="J453" t="n">
        <v>0</v>
      </c>
      <c r="K453" t="n">
        <v>0</v>
      </c>
      <c r="L453" t="n">
        <v>0</v>
      </c>
      <c r="M453" t="n">
        <v>0</v>
      </c>
      <c r="N453" t="n">
        <v>0</v>
      </c>
      <c r="O453" t="n">
        <v>0</v>
      </c>
      <c r="P453" t="n">
        <v>0</v>
      </c>
      <c r="Q453" t="n">
        <v>0</v>
      </c>
      <c r="R453" s="2" t="inlineStr"/>
    </row>
    <row r="454" ht="15" customHeight="1">
      <c r="A454" t="inlineStr">
        <is>
          <t>A 50113-2024</t>
        </is>
      </c>
      <c r="B454" s="1" t="n">
        <v>45600.411875</v>
      </c>
      <c r="C454" s="1" t="n">
        <v>45939</v>
      </c>
      <c r="D454" t="inlineStr">
        <is>
          <t>STOCKHOLMS LÄN</t>
        </is>
      </c>
      <c r="E454" t="inlineStr">
        <is>
          <t>NORRTÄLJE</t>
        </is>
      </c>
      <c r="G454" t="n">
        <v>1.5</v>
      </c>
      <c r="H454" t="n">
        <v>0</v>
      </c>
      <c r="I454" t="n">
        <v>0</v>
      </c>
      <c r="J454" t="n">
        <v>0</v>
      </c>
      <c r="K454" t="n">
        <v>0</v>
      </c>
      <c r="L454" t="n">
        <v>0</v>
      </c>
      <c r="M454" t="n">
        <v>0</v>
      </c>
      <c r="N454" t="n">
        <v>0</v>
      </c>
      <c r="O454" t="n">
        <v>0</v>
      </c>
      <c r="P454" t="n">
        <v>0</v>
      </c>
      <c r="Q454" t="n">
        <v>0</v>
      </c>
      <c r="R454" s="2" t="inlineStr"/>
    </row>
    <row r="455" ht="15" customHeight="1">
      <c r="A455" t="inlineStr">
        <is>
          <t>A 20336-2024</t>
        </is>
      </c>
      <c r="B455" s="1" t="n">
        <v>45435.43123842592</v>
      </c>
      <c r="C455" s="1" t="n">
        <v>45939</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47521-2024</t>
        </is>
      </c>
      <c r="B456" s="1" t="n">
        <v>45587.62565972222</v>
      </c>
      <c r="C456" s="1" t="n">
        <v>45939</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64899-2023</t>
        </is>
      </c>
      <c r="B457" s="1" t="n">
        <v>45282</v>
      </c>
      <c r="C457" s="1" t="n">
        <v>45939</v>
      </c>
      <c r="D457" t="inlineStr">
        <is>
          <t>STOCKHOLMS LÄN</t>
        </is>
      </c>
      <c r="E457" t="inlineStr">
        <is>
          <t>NORRTÄLJE</t>
        </is>
      </c>
      <c r="G457" t="n">
        <v>6.3</v>
      </c>
      <c r="H457" t="n">
        <v>0</v>
      </c>
      <c r="I457" t="n">
        <v>0</v>
      </c>
      <c r="J457" t="n">
        <v>0</v>
      </c>
      <c r="K457" t="n">
        <v>0</v>
      </c>
      <c r="L457" t="n">
        <v>0</v>
      </c>
      <c r="M457" t="n">
        <v>0</v>
      </c>
      <c r="N457" t="n">
        <v>0</v>
      </c>
      <c r="O457" t="n">
        <v>0</v>
      </c>
      <c r="P457" t="n">
        <v>0</v>
      </c>
      <c r="Q457" t="n">
        <v>0</v>
      </c>
      <c r="R457" s="2" t="inlineStr"/>
    </row>
    <row r="458" ht="15" customHeight="1">
      <c r="A458" t="inlineStr">
        <is>
          <t>A 32071-2023</t>
        </is>
      </c>
      <c r="B458" s="1" t="n">
        <v>45119.57728009259</v>
      </c>
      <c r="C458" s="1" t="n">
        <v>45939</v>
      </c>
      <c r="D458" t="inlineStr">
        <is>
          <t>STOCKHOLMS LÄN</t>
        </is>
      </c>
      <c r="E458" t="inlineStr">
        <is>
          <t>NORRTÄLJE</t>
        </is>
      </c>
      <c r="G458" t="n">
        <v>6.5</v>
      </c>
      <c r="H458" t="n">
        <v>0</v>
      </c>
      <c r="I458" t="n">
        <v>0</v>
      </c>
      <c r="J458" t="n">
        <v>0</v>
      </c>
      <c r="K458" t="n">
        <v>0</v>
      </c>
      <c r="L458" t="n">
        <v>0</v>
      </c>
      <c r="M458" t="n">
        <v>0</v>
      </c>
      <c r="N458" t="n">
        <v>0</v>
      </c>
      <c r="O458" t="n">
        <v>0</v>
      </c>
      <c r="P458" t="n">
        <v>0</v>
      </c>
      <c r="Q458" t="n">
        <v>0</v>
      </c>
      <c r="R458" s="2" t="inlineStr"/>
    </row>
    <row r="459" ht="15" customHeight="1">
      <c r="A459" t="inlineStr">
        <is>
          <t>A 1847-2023</t>
        </is>
      </c>
      <c r="B459" s="1" t="n">
        <v>44938</v>
      </c>
      <c r="C459" s="1" t="n">
        <v>45939</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11122-2021</t>
        </is>
      </c>
      <c r="B460" s="1" t="n">
        <v>44260</v>
      </c>
      <c r="C460" s="1" t="n">
        <v>45939</v>
      </c>
      <c r="D460" t="inlineStr">
        <is>
          <t>STOCKHOLMS LÄN</t>
        </is>
      </c>
      <c r="E460" t="inlineStr">
        <is>
          <t>NORRTÄLJE</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25681-2024</t>
        </is>
      </c>
      <c r="B461" s="1" t="n">
        <v>45463.80486111111</v>
      </c>
      <c r="C461" s="1" t="n">
        <v>45939</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24245-2024</t>
        </is>
      </c>
      <c r="B462" s="1" t="n">
        <v>45457</v>
      </c>
      <c r="C462" s="1" t="n">
        <v>45939</v>
      </c>
      <c r="D462" t="inlineStr">
        <is>
          <t>STOCKHOLMS LÄN</t>
        </is>
      </c>
      <c r="E462" t="inlineStr">
        <is>
          <t>NORRTÄLJE</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29362-2022</t>
        </is>
      </c>
      <c r="B463" s="1" t="n">
        <v>44753</v>
      </c>
      <c r="C463" s="1" t="n">
        <v>45939</v>
      </c>
      <c r="D463" t="inlineStr">
        <is>
          <t>STOCKHOLMS LÄN</t>
        </is>
      </c>
      <c r="E463" t="inlineStr">
        <is>
          <t>NORRTÄLJE</t>
        </is>
      </c>
      <c r="G463" t="n">
        <v>3.8</v>
      </c>
      <c r="H463" t="n">
        <v>0</v>
      </c>
      <c r="I463" t="n">
        <v>0</v>
      </c>
      <c r="J463" t="n">
        <v>0</v>
      </c>
      <c r="K463" t="n">
        <v>0</v>
      </c>
      <c r="L463" t="n">
        <v>0</v>
      </c>
      <c r="M463" t="n">
        <v>0</v>
      </c>
      <c r="N463" t="n">
        <v>0</v>
      </c>
      <c r="O463" t="n">
        <v>0</v>
      </c>
      <c r="P463" t="n">
        <v>0</v>
      </c>
      <c r="Q463" t="n">
        <v>0</v>
      </c>
      <c r="R463" s="2" t="inlineStr"/>
    </row>
    <row r="464" ht="15" customHeight="1">
      <c r="A464" t="inlineStr">
        <is>
          <t>A 50534-2024</t>
        </is>
      </c>
      <c r="B464" s="1" t="n">
        <v>45601.56726851852</v>
      </c>
      <c r="C464" s="1" t="n">
        <v>45939</v>
      </c>
      <c r="D464" t="inlineStr">
        <is>
          <t>STOCKHOLMS LÄN</t>
        </is>
      </c>
      <c r="E464" t="inlineStr">
        <is>
          <t>NORRTÄLJE</t>
        </is>
      </c>
      <c r="G464" t="n">
        <v>2.6</v>
      </c>
      <c r="H464" t="n">
        <v>0</v>
      </c>
      <c r="I464" t="n">
        <v>0</v>
      </c>
      <c r="J464" t="n">
        <v>0</v>
      </c>
      <c r="K464" t="n">
        <v>0</v>
      </c>
      <c r="L464" t="n">
        <v>0</v>
      </c>
      <c r="M464" t="n">
        <v>0</v>
      </c>
      <c r="N464" t="n">
        <v>0</v>
      </c>
      <c r="O464" t="n">
        <v>0</v>
      </c>
      <c r="P464" t="n">
        <v>0</v>
      </c>
      <c r="Q464" t="n">
        <v>0</v>
      </c>
      <c r="R464" s="2" t="inlineStr"/>
    </row>
    <row r="465" ht="15" customHeight="1">
      <c r="A465" t="inlineStr">
        <is>
          <t>A 26115-2024</t>
        </is>
      </c>
      <c r="B465" s="1" t="n">
        <v>45468.45628472222</v>
      </c>
      <c r="C465" s="1" t="n">
        <v>45939</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42094-2023</t>
        </is>
      </c>
      <c r="B466" s="1" t="n">
        <v>45177.61498842593</v>
      </c>
      <c r="C466" s="1" t="n">
        <v>45939</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20291-2022</t>
        </is>
      </c>
      <c r="B467" s="1" t="n">
        <v>44698</v>
      </c>
      <c r="C467" s="1" t="n">
        <v>45939</v>
      </c>
      <c r="D467" t="inlineStr">
        <is>
          <t>STOCKHOLMS LÄN</t>
        </is>
      </c>
      <c r="E467" t="inlineStr">
        <is>
          <t>NORRTÄLJE</t>
        </is>
      </c>
      <c r="F467" t="inlineStr">
        <is>
          <t>Naturvårdsverket</t>
        </is>
      </c>
      <c r="G467" t="n">
        <v>2</v>
      </c>
      <c r="H467" t="n">
        <v>0</v>
      </c>
      <c r="I467" t="n">
        <v>0</v>
      </c>
      <c r="J467" t="n">
        <v>0</v>
      </c>
      <c r="K467" t="n">
        <v>0</v>
      </c>
      <c r="L467" t="n">
        <v>0</v>
      </c>
      <c r="M467" t="n">
        <v>0</v>
      </c>
      <c r="N467" t="n">
        <v>0</v>
      </c>
      <c r="O467" t="n">
        <v>0</v>
      </c>
      <c r="P467" t="n">
        <v>0</v>
      </c>
      <c r="Q467" t="n">
        <v>0</v>
      </c>
      <c r="R467" s="2" t="inlineStr"/>
    </row>
    <row r="468" ht="15" customHeight="1">
      <c r="A468" t="inlineStr">
        <is>
          <t>A 58530-2024</t>
        </is>
      </c>
      <c r="B468" s="1" t="n">
        <v>45635.44788194444</v>
      </c>
      <c r="C468" s="1" t="n">
        <v>45939</v>
      </c>
      <c r="D468" t="inlineStr">
        <is>
          <t>STOCKHOLMS LÄN</t>
        </is>
      </c>
      <c r="E468" t="inlineStr">
        <is>
          <t>NORRTÄLJE</t>
        </is>
      </c>
      <c r="G468" t="n">
        <v>4.5</v>
      </c>
      <c r="H468" t="n">
        <v>0</v>
      </c>
      <c r="I468" t="n">
        <v>0</v>
      </c>
      <c r="J468" t="n">
        <v>0</v>
      </c>
      <c r="K468" t="n">
        <v>0</v>
      </c>
      <c r="L468" t="n">
        <v>0</v>
      </c>
      <c r="M468" t="n">
        <v>0</v>
      </c>
      <c r="N468" t="n">
        <v>0</v>
      </c>
      <c r="O468" t="n">
        <v>0</v>
      </c>
      <c r="P468" t="n">
        <v>0</v>
      </c>
      <c r="Q468" t="n">
        <v>0</v>
      </c>
      <c r="R468" s="2" t="inlineStr"/>
    </row>
    <row r="469" ht="15" customHeight="1">
      <c r="A469" t="inlineStr">
        <is>
          <t>A 54273-2021</t>
        </is>
      </c>
      <c r="B469" s="1" t="n">
        <v>44470.72987268519</v>
      </c>
      <c r="C469" s="1" t="n">
        <v>45939</v>
      </c>
      <c r="D469" t="inlineStr">
        <is>
          <t>STOCKHOLMS LÄN</t>
        </is>
      </c>
      <c r="E469" t="inlineStr">
        <is>
          <t>NORRTÄLJE</t>
        </is>
      </c>
      <c r="G469" t="n">
        <v>2.7</v>
      </c>
      <c r="H469" t="n">
        <v>0</v>
      </c>
      <c r="I469" t="n">
        <v>0</v>
      </c>
      <c r="J469" t="n">
        <v>0</v>
      </c>
      <c r="K469" t="n">
        <v>0</v>
      </c>
      <c r="L469" t="n">
        <v>0</v>
      </c>
      <c r="M469" t="n">
        <v>0</v>
      </c>
      <c r="N469" t="n">
        <v>0</v>
      </c>
      <c r="O469" t="n">
        <v>0</v>
      </c>
      <c r="P469" t="n">
        <v>0</v>
      </c>
      <c r="Q469" t="n">
        <v>0</v>
      </c>
      <c r="R469" s="2" t="inlineStr"/>
    </row>
    <row r="470" ht="15" customHeight="1">
      <c r="A470" t="inlineStr">
        <is>
          <t>A 43212-2022</t>
        </is>
      </c>
      <c r="B470" s="1" t="n">
        <v>44834.38636574074</v>
      </c>
      <c r="C470" s="1" t="n">
        <v>45939</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45939</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12302-2025</t>
        </is>
      </c>
      <c r="B472" s="1" t="n">
        <v>45729.72851851852</v>
      </c>
      <c r="C472" s="1" t="n">
        <v>45939</v>
      </c>
      <c r="D472" t="inlineStr">
        <is>
          <t>STOCKHOLMS LÄN</t>
        </is>
      </c>
      <c r="E472" t="inlineStr">
        <is>
          <t>NORRTÄLJE</t>
        </is>
      </c>
      <c r="F472" t="inlineStr">
        <is>
          <t>Holmen skog AB</t>
        </is>
      </c>
      <c r="G472" t="n">
        <v>0.8</v>
      </c>
      <c r="H472" t="n">
        <v>0</v>
      </c>
      <c r="I472" t="n">
        <v>0</v>
      </c>
      <c r="J472" t="n">
        <v>0</v>
      </c>
      <c r="K472" t="n">
        <v>0</v>
      </c>
      <c r="L472" t="n">
        <v>0</v>
      </c>
      <c r="M472" t="n">
        <v>0</v>
      </c>
      <c r="N472" t="n">
        <v>0</v>
      </c>
      <c r="O472" t="n">
        <v>0</v>
      </c>
      <c r="P472" t="n">
        <v>0</v>
      </c>
      <c r="Q472" t="n">
        <v>0</v>
      </c>
      <c r="R472" s="2" t="inlineStr"/>
    </row>
    <row r="473" ht="15" customHeight="1">
      <c r="A473" t="inlineStr">
        <is>
          <t>A 30620-2022</t>
        </is>
      </c>
      <c r="B473" s="1" t="n">
        <v>44763.40914351852</v>
      </c>
      <c r="C473" s="1" t="n">
        <v>45939</v>
      </c>
      <c r="D473" t="inlineStr">
        <is>
          <t>STOCKHOLMS LÄN</t>
        </is>
      </c>
      <c r="E473" t="inlineStr">
        <is>
          <t>NORRTÄLJE</t>
        </is>
      </c>
      <c r="G473" t="n">
        <v>1.8</v>
      </c>
      <c r="H473" t="n">
        <v>0</v>
      </c>
      <c r="I473" t="n">
        <v>0</v>
      </c>
      <c r="J473" t="n">
        <v>0</v>
      </c>
      <c r="K473" t="n">
        <v>0</v>
      </c>
      <c r="L473" t="n">
        <v>0</v>
      </c>
      <c r="M473" t="n">
        <v>0</v>
      </c>
      <c r="N473" t="n">
        <v>0</v>
      </c>
      <c r="O473" t="n">
        <v>0</v>
      </c>
      <c r="P473" t="n">
        <v>0</v>
      </c>
      <c r="Q473" t="n">
        <v>0</v>
      </c>
      <c r="R473" s="2" t="inlineStr"/>
    </row>
    <row r="474" ht="15" customHeight="1">
      <c r="A474" t="inlineStr">
        <is>
          <t>A 57602-2024</t>
        </is>
      </c>
      <c r="B474" s="1" t="n">
        <v>45630.52866898148</v>
      </c>
      <c r="C474" s="1" t="n">
        <v>45939</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11854-2025</t>
        </is>
      </c>
      <c r="B475" s="1" t="n">
        <v>45728.38924768518</v>
      </c>
      <c r="C475" s="1" t="n">
        <v>45939</v>
      </c>
      <c r="D475" t="inlineStr">
        <is>
          <t>STOCKHOLMS LÄN</t>
        </is>
      </c>
      <c r="E475" t="inlineStr">
        <is>
          <t>NORRTÄLJE</t>
        </is>
      </c>
      <c r="G475" t="n">
        <v>1.4</v>
      </c>
      <c r="H475" t="n">
        <v>0</v>
      </c>
      <c r="I475" t="n">
        <v>0</v>
      </c>
      <c r="J475" t="n">
        <v>0</v>
      </c>
      <c r="K475" t="n">
        <v>0</v>
      </c>
      <c r="L475" t="n">
        <v>0</v>
      </c>
      <c r="M475" t="n">
        <v>0</v>
      </c>
      <c r="N475" t="n">
        <v>0</v>
      </c>
      <c r="O475" t="n">
        <v>0</v>
      </c>
      <c r="P475" t="n">
        <v>0</v>
      </c>
      <c r="Q475" t="n">
        <v>0</v>
      </c>
      <c r="R475" s="2" t="inlineStr"/>
    </row>
    <row r="476" ht="15" customHeight="1">
      <c r="A476" t="inlineStr">
        <is>
          <t>A 1283-2025</t>
        </is>
      </c>
      <c r="B476" s="1" t="n">
        <v>45667.49878472222</v>
      </c>
      <c r="C476" s="1" t="n">
        <v>45939</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31926-2022</t>
        </is>
      </c>
      <c r="B477" s="1" t="n">
        <v>44777</v>
      </c>
      <c r="C477" s="1" t="n">
        <v>45939</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1425-2025</t>
        </is>
      </c>
      <c r="B478" s="1" t="n">
        <v>45668.67446759259</v>
      </c>
      <c r="C478" s="1" t="n">
        <v>45939</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1453-2025</t>
        </is>
      </c>
      <c r="B479" s="1" t="n">
        <v>45670.3079050926</v>
      </c>
      <c r="C479" s="1" t="n">
        <v>45939</v>
      </c>
      <c r="D479" t="inlineStr">
        <is>
          <t>STOCKHOLMS LÄN</t>
        </is>
      </c>
      <c r="E479" t="inlineStr">
        <is>
          <t>NORRTÄLJE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3386-2021</t>
        </is>
      </c>
      <c r="B480" s="1" t="n">
        <v>44218</v>
      </c>
      <c r="C480" s="1" t="n">
        <v>45939</v>
      </c>
      <c r="D480" t="inlineStr">
        <is>
          <t>STOCKHOLMS LÄN</t>
        </is>
      </c>
      <c r="E480" t="inlineStr">
        <is>
          <t>NORRTÄLJE</t>
        </is>
      </c>
      <c r="G480" t="n">
        <v>8</v>
      </c>
      <c r="H480" t="n">
        <v>0</v>
      </c>
      <c r="I480" t="n">
        <v>0</v>
      </c>
      <c r="J480" t="n">
        <v>0</v>
      </c>
      <c r="K480" t="n">
        <v>0</v>
      </c>
      <c r="L480" t="n">
        <v>0</v>
      </c>
      <c r="M480" t="n">
        <v>0</v>
      </c>
      <c r="N480" t="n">
        <v>0</v>
      </c>
      <c r="O480" t="n">
        <v>0</v>
      </c>
      <c r="P480" t="n">
        <v>0</v>
      </c>
      <c r="Q480" t="n">
        <v>0</v>
      </c>
      <c r="R480" s="2" t="inlineStr"/>
    </row>
    <row r="481" ht="15" customHeight="1">
      <c r="A481" t="inlineStr">
        <is>
          <t>A 13860-2023</t>
        </is>
      </c>
      <c r="B481" s="1" t="n">
        <v>45007</v>
      </c>
      <c r="C481" s="1" t="n">
        <v>45939</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6070-2022</t>
        </is>
      </c>
      <c r="B482" s="1" t="n">
        <v>44599.58428240741</v>
      </c>
      <c r="C482" s="1" t="n">
        <v>45939</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9130-2025</t>
        </is>
      </c>
      <c r="B483" s="1" t="n">
        <v>45713.92623842593</v>
      </c>
      <c r="C483" s="1" t="n">
        <v>45939</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34295-2024</t>
        </is>
      </c>
      <c r="B484" s="1" t="n">
        <v>45524</v>
      </c>
      <c r="C484" s="1" t="n">
        <v>45939</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60217-2021</t>
        </is>
      </c>
      <c r="B485" s="1" t="n">
        <v>44495.5893287037</v>
      </c>
      <c r="C485" s="1" t="n">
        <v>45939</v>
      </c>
      <c r="D485" t="inlineStr">
        <is>
          <t>STOCKHOLMS LÄN</t>
        </is>
      </c>
      <c r="E485" t="inlineStr">
        <is>
          <t>NORRTÄLJE</t>
        </is>
      </c>
      <c r="G485" t="n">
        <v>4.3</v>
      </c>
      <c r="H485" t="n">
        <v>0</v>
      </c>
      <c r="I485" t="n">
        <v>0</v>
      </c>
      <c r="J485" t="n">
        <v>0</v>
      </c>
      <c r="K485" t="n">
        <v>0</v>
      </c>
      <c r="L485" t="n">
        <v>0</v>
      </c>
      <c r="M485" t="n">
        <v>0</v>
      </c>
      <c r="N485" t="n">
        <v>0</v>
      </c>
      <c r="O485" t="n">
        <v>0</v>
      </c>
      <c r="P485" t="n">
        <v>0</v>
      </c>
      <c r="Q485" t="n">
        <v>0</v>
      </c>
      <c r="R485" s="2" t="inlineStr"/>
    </row>
    <row r="486" ht="15" customHeight="1">
      <c r="A486" t="inlineStr">
        <is>
          <t>A 27828-2022</t>
        </is>
      </c>
      <c r="B486" s="1" t="n">
        <v>44743.59765046297</v>
      </c>
      <c r="C486" s="1" t="n">
        <v>45939</v>
      </c>
      <c r="D486" t="inlineStr">
        <is>
          <t>STOCKHOLMS LÄN</t>
        </is>
      </c>
      <c r="E486" t="inlineStr">
        <is>
          <t>NORRTÄLJE</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6537-2024</t>
        </is>
      </c>
      <c r="B487" s="1" t="n">
        <v>45341.39853009259</v>
      </c>
      <c r="C487" s="1" t="n">
        <v>45939</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28900-2022</t>
        </is>
      </c>
      <c r="B488" s="1" t="n">
        <v>44749.55258101852</v>
      </c>
      <c r="C488" s="1" t="n">
        <v>45939</v>
      </c>
      <c r="D488" t="inlineStr">
        <is>
          <t>STOCKHOLMS LÄN</t>
        </is>
      </c>
      <c r="E488" t="inlineStr">
        <is>
          <t>NORRTÄLJE</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32514-2022</t>
        </is>
      </c>
      <c r="B489" s="1" t="n">
        <v>44782</v>
      </c>
      <c r="C489" s="1" t="n">
        <v>45939</v>
      </c>
      <c r="D489" t="inlineStr">
        <is>
          <t>STOCKHOLMS LÄN</t>
        </is>
      </c>
      <c r="E489" t="inlineStr">
        <is>
          <t>NORRTÄLJE</t>
        </is>
      </c>
      <c r="G489" t="n">
        <v>5.1</v>
      </c>
      <c r="H489" t="n">
        <v>0</v>
      </c>
      <c r="I489" t="n">
        <v>0</v>
      </c>
      <c r="J489" t="n">
        <v>0</v>
      </c>
      <c r="K489" t="n">
        <v>0</v>
      </c>
      <c r="L489" t="n">
        <v>0</v>
      </c>
      <c r="M489" t="n">
        <v>0</v>
      </c>
      <c r="N489" t="n">
        <v>0</v>
      </c>
      <c r="O489" t="n">
        <v>0</v>
      </c>
      <c r="P489" t="n">
        <v>0</v>
      </c>
      <c r="Q489" t="n">
        <v>0</v>
      </c>
      <c r="R489" s="2" t="inlineStr"/>
    </row>
    <row r="490" ht="15" customHeight="1">
      <c r="A490" t="inlineStr">
        <is>
          <t>A 59873-2024</t>
        </is>
      </c>
      <c r="B490" s="1" t="n">
        <v>45640.57305555556</v>
      </c>
      <c r="C490" s="1" t="n">
        <v>45939</v>
      </c>
      <c r="D490" t="inlineStr">
        <is>
          <t>STOCKHOLMS LÄN</t>
        </is>
      </c>
      <c r="E490" t="inlineStr">
        <is>
          <t>NORRTÄLJE</t>
        </is>
      </c>
      <c r="G490" t="n">
        <v>3.3</v>
      </c>
      <c r="H490" t="n">
        <v>0</v>
      </c>
      <c r="I490" t="n">
        <v>0</v>
      </c>
      <c r="J490" t="n">
        <v>0</v>
      </c>
      <c r="K490" t="n">
        <v>0</v>
      </c>
      <c r="L490" t="n">
        <v>0</v>
      </c>
      <c r="M490" t="n">
        <v>0</v>
      </c>
      <c r="N490" t="n">
        <v>0</v>
      </c>
      <c r="O490" t="n">
        <v>0</v>
      </c>
      <c r="P490" t="n">
        <v>0</v>
      </c>
      <c r="Q490" t="n">
        <v>0</v>
      </c>
      <c r="R490" s="2" t="inlineStr"/>
    </row>
    <row r="491" ht="15" customHeight="1">
      <c r="A491" t="inlineStr">
        <is>
          <t>A 38593-2025</t>
        </is>
      </c>
      <c r="B491" s="1" t="n">
        <v>45884.48696759259</v>
      </c>
      <c r="C491" s="1" t="n">
        <v>45939</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22412-2021</t>
        </is>
      </c>
      <c r="B492" s="1" t="n">
        <v>44326.61967592593</v>
      </c>
      <c r="C492" s="1" t="n">
        <v>45939</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52260-2022</t>
        </is>
      </c>
      <c r="B493" s="1" t="n">
        <v>44869</v>
      </c>
      <c r="C493" s="1" t="n">
        <v>45939</v>
      </c>
      <c r="D493" t="inlineStr">
        <is>
          <t>STOCKHOLMS LÄN</t>
        </is>
      </c>
      <c r="E493" t="inlineStr">
        <is>
          <t>NORRTÄLJE</t>
        </is>
      </c>
      <c r="G493" t="n">
        <v>3.1</v>
      </c>
      <c r="H493" t="n">
        <v>0</v>
      </c>
      <c r="I493" t="n">
        <v>0</v>
      </c>
      <c r="J493" t="n">
        <v>0</v>
      </c>
      <c r="K493" t="n">
        <v>0</v>
      </c>
      <c r="L493" t="n">
        <v>0</v>
      </c>
      <c r="M493" t="n">
        <v>0</v>
      </c>
      <c r="N493" t="n">
        <v>0</v>
      </c>
      <c r="O493" t="n">
        <v>0</v>
      </c>
      <c r="P493" t="n">
        <v>0</v>
      </c>
      <c r="Q493" t="n">
        <v>0</v>
      </c>
      <c r="R493" s="2" t="inlineStr"/>
    </row>
    <row r="494" ht="15" customHeight="1">
      <c r="A494" t="inlineStr">
        <is>
          <t>A 48161-2022</t>
        </is>
      </c>
      <c r="B494" s="1" t="n">
        <v>44858</v>
      </c>
      <c r="C494" s="1" t="n">
        <v>45939</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43150-2023</t>
        </is>
      </c>
      <c r="B495" s="1" t="n">
        <v>45183</v>
      </c>
      <c r="C495" s="1" t="n">
        <v>45939</v>
      </c>
      <c r="D495" t="inlineStr">
        <is>
          <t>STOCKHOLMS LÄN</t>
        </is>
      </c>
      <c r="E495" t="inlineStr">
        <is>
          <t>NORRTÄLJE</t>
        </is>
      </c>
      <c r="G495" t="n">
        <v>2.4</v>
      </c>
      <c r="H495" t="n">
        <v>0</v>
      </c>
      <c r="I495" t="n">
        <v>0</v>
      </c>
      <c r="J495" t="n">
        <v>0</v>
      </c>
      <c r="K495" t="n">
        <v>0</v>
      </c>
      <c r="L495" t="n">
        <v>0</v>
      </c>
      <c r="M495" t="n">
        <v>0</v>
      </c>
      <c r="N495" t="n">
        <v>0</v>
      </c>
      <c r="O495" t="n">
        <v>0</v>
      </c>
      <c r="P495" t="n">
        <v>0</v>
      </c>
      <c r="Q495" t="n">
        <v>0</v>
      </c>
      <c r="R495" s="2" t="inlineStr"/>
    </row>
    <row r="496" ht="15" customHeight="1">
      <c r="A496" t="inlineStr">
        <is>
          <t>A 59534-2024</t>
        </is>
      </c>
      <c r="B496" s="1" t="n">
        <v>45638.5987037037</v>
      </c>
      <c r="C496" s="1" t="n">
        <v>45939</v>
      </c>
      <c r="D496" t="inlineStr">
        <is>
          <t>STOCKHOLMS LÄN</t>
        </is>
      </c>
      <c r="E496" t="inlineStr">
        <is>
          <t>NORRTÄLJE</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23307-2024</t>
        </is>
      </c>
      <c r="B497" s="1" t="n">
        <v>45453</v>
      </c>
      <c r="C497" s="1" t="n">
        <v>45939</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23125-2022</t>
        </is>
      </c>
      <c r="B498" s="1" t="n">
        <v>44719</v>
      </c>
      <c r="C498" s="1" t="n">
        <v>45939</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55058-2021</t>
        </is>
      </c>
      <c r="B499" s="1" t="n">
        <v>44474.62141203704</v>
      </c>
      <c r="C499" s="1" t="n">
        <v>45939</v>
      </c>
      <c r="D499" t="inlineStr">
        <is>
          <t>STOCKHOLMS LÄN</t>
        </is>
      </c>
      <c r="E499" t="inlineStr">
        <is>
          <t>NORRTÄLJE</t>
        </is>
      </c>
      <c r="G499" t="n">
        <v>1.9</v>
      </c>
      <c r="H499" t="n">
        <v>0</v>
      </c>
      <c r="I499" t="n">
        <v>0</v>
      </c>
      <c r="J499" t="n">
        <v>0</v>
      </c>
      <c r="K499" t="n">
        <v>0</v>
      </c>
      <c r="L499" t="n">
        <v>0</v>
      </c>
      <c r="M499" t="n">
        <v>0</v>
      </c>
      <c r="N499" t="n">
        <v>0</v>
      </c>
      <c r="O499" t="n">
        <v>0</v>
      </c>
      <c r="P499" t="n">
        <v>0</v>
      </c>
      <c r="Q499" t="n">
        <v>0</v>
      </c>
      <c r="R499" s="2" t="inlineStr"/>
    </row>
    <row r="500" ht="15" customHeight="1">
      <c r="A500" t="inlineStr">
        <is>
          <t>A 40192-2023</t>
        </is>
      </c>
      <c r="B500" s="1" t="n">
        <v>45169</v>
      </c>
      <c r="C500" s="1" t="n">
        <v>45939</v>
      </c>
      <c r="D500" t="inlineStr">
        <is>
          <t>STOCKHOLMS LÄN</t>
        </is>
      </c>
      <c r="E500" t="inlineStr">
        <is>
          <t>NORRTÄLJE</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19450-2025</t>
        </is>
      </c>
      <c r="B501" s="1" t="n">
        <v>45770</v>
      </c>
      <c r="C501" s="1" t="n">
        <v>45939</v>
      </c>
      <c r="D501" t="inlineStr">
        <is>
          <t>STOCKHOLMS LÄN</t>
        </is>
      </c>
      <c r="E501" t="inlineStr">
        <is>
          <t>NORRTÄLJE</t>
        </is>
      </c>
      <c r="G501" t="n">
        <v>5.3</v>
      </c>
      <c r="H501" t="n">
        <v>0</v>
      </c>
      <c r="I501" t="n">
        <v>0</v>
      </c>
      <c r="J501" t="n">
        <v>0</v>
      </c>
      <c r="K501" t="n">
        <v>0</v>
      </c>
      <c r="L501" t="n">
        <v>0</v>
      </c>
      <c r="M501" t="n">
        <v>0</v>
      </c>
      <c r="N501" t="n">
        <v>0</v>
      </c>
      <c r="O501" t="n">
        <v>0</v>
      </c>
      <c r="P501" t="n">
        <v>0</v>
      </c>
      <c r="Q501" t="n">
        <v>0</v>
      </c>
      <c r="R501" s="2" t="inlineStr"/>
    </row>
    <row r="502" ht="15" customHeight="1">
      <c r="A502" t="inlineStr">
        <is>
          <t>A 2281-2024</t>
        </is>
      </c>
      <c r="B502" s="1" t="n">
        <v>45310.40628472222</v>
      </c>
      <c r="C502" s="1" t="n">
        <v>45939</v>
      </c>
      <c r="D502" t="inlineStr">
        <is>
          <t>STOCKHOLMS LÄN</t>
        </is>
      </c>
      <c r="E502" t="inlineStr">
        <is>
          <t>NORRTÄLJE</t>
        </is>
      </c>
      <c r="G502" t="n">
        <v>2.7</v>
      </c>
      <c r="H502" t="n">
        <v>0</v>
      </c>
      <c r="I502" t="n">
        <v>0</v>
      </c>
      <c r="J502" t="n">
        <v>0</v>
      </c>
      <c r="K502" t="n">
        <v>0</v>
      </c>
      <c r="L502" t="n">
        <v>0</v>
      </c>
      <c r="M502" t="n">
        <v>0</v>
      </c>
      <c r="N502" t="n">
        <v>0</v>
      </c>
      <c r="O502" t="n">
        <v>0</v>
      </c>
      <c r="P502" t="n">
        <v>0</v>
      </c>
      <c r="Q502" t="n">
        <v>0</v>
      </c>
      <c r="R502" s="2" t="inlineStr"/>
    </row>
    <row r="503" ht="15" customHeight="1">
      <c r="A503" t="inlineStr">
        <is>
          <t>A 2287-2024</t>
        </is>
      </c>
      <c r="B503" s="1" t="n">
        <v>45310</v>
      </c>
      <c r="C503" s="1" t="n">
        <v>45939</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4035-2023</t>
        </is>
      </c>
      <c r="B504" s="1" t="n">
        <v>44952.57989583333</v>
      </c>
      <c r="C504" s="1" t="n">
        <v>45939</v>
      </c>
      <c r="D504" t="inlineStr">
        <is>
          <t>STOCKHOLMS LÄN</t>
        </is>
      </c>
      <c r="E504" t="inlineStr">
        <is>
          <t>NORRTÄLJE</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20618-2022</t>
        </is>
      </c>
      <c r="B505" s="1" t="n">
        <v>44700.50659722222</v>
      </c>
      <c r="C505" s="1" t="n">
        <v>45939</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9329-2023</t>
        </is>
      </c>
      <c r="B506" s="1" t="n">
        <v>44980</v>
      </c>
      <c r="C506" s="1" t="n">
        <v>45939</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26644-2024</t>
        </is>
      </c>
      <c r="B507" s="1" t="n">
        <v>45469</v>
      </c>
      <c r="C507" s="1" t="n">
        <v>45939</v>
      </c>
      <c r="D507" t="inlineStr">
        <is>
          <t>STOCKHOLMS LÄN</t>
        </is>
      </c>
      <c r="E507" t="inlineStr">
        <is>
          <t>NORRTÄLJE</t>
        </is>
      </c>
      <c r="G507" t="n">
        <v>4.3</v>
      </c>
      <c r="H507" t="n">
        <v>0</v>
      </c>
      <c r="I507" t="n">
        <v>0</v>
      </c>
      <c r="J507" t="n">
        <v>0</v>
      </c>
      <c r="K507" t="n">
        <v>0</v>
      </c>
      <c r="L507" t="n">
        <v>0</v>
      </c>
      <c r="M507" t="n">
        <v>0</v>
      </c>
      <c r="N507" t="n">
        <v>0</v>
      </c>
      <c r="O507" t="n">
        <v>0</v>
      </c>
      <c r="P507" t="n">
        <v>0</v>
      </c>
      <c r="Q507" t="n">
        <v>0</v>
      </c>
      <c r="R507" s="2" t="inlineStr"/>
    </row>
    <row r="508" ht="15" customHeight="1">
      <c r="A508" t="inlineStr">
        <is>
          <t>A 6855-2025</t>
        </is>
      </c>
      <c r="B508" s="1" t="n">
        <v>45700</v>
      </c>
      <c r="C508" s="1" t="n">
        <v>45939</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26668-2024</t>
        </is>
      </c>
      <c r="B509" s="1" t="n">
        <v>45469</v>
      </c>
      <c r="C509" s="1" t="n">
        <v>45939</v>
      </c>
      <c r="D509" t="inlineStr">
        <is>
          <t>STOCKHOLMS LÄN</t>
        </is>
      </c>
      <c r="E509" t="inlineStr">
        <is>
          <t>NORRTÄLJE</t>
        </is>
      </c>
      <c r="G509" t="n">
        <v>4.8</v>
      </c>
      <c r="H509" t="n">
        <v>0</v>
      </c>
      <c r="I509" t="n">
        <v>0</v>
      </c>
      <c r="J509" t="n">
        <v>0</v>
      </c>
      <c r="K509" t="n">
        <v>0</v>
      </c>
      <c r="L509" t="n">
        <v>0</v>
      </c>
      <c r="M509" t="n">
        <v>0</v>
      </c>
      <c r="N509" t="n">
        <v>0</v>
      </c>
      <c r="O509" t="n">
        <v>0</v>
      </c>
      <c r="P509" t="n">
        <v>0</v>
      </c>
      <c r="Q509" t="n">
        <v>0</v>
      </c>
      <c r="R509" s="2" t="inlineStr"/>
    </row>
    <row r="510" ht="15" customHeight="1">
      <c r="A510" t="inlineStr">
        <is>
          <t>A 59504-2023</t>
        </is>
      </c>
      <c r="B510" s="1" t="n">
        <v>45254</v>
      </c>
      <c r="C510" s="1" t="n">
        <v>45939</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14873-2025</t>
        </is>
      </c>
      <c r="B511" s="1" t="n">
        <v>45743.44953703704</v>
      </c>
      <c r="C511" s="1" t="n">
        <v>45939</v>
      </c>
      <c r="D511" t="inlineStr">
        <is>
          <t>STOCKHOLMS LÄN</t>
        </is>
      </c>
      <c r="E511" t="inlineStr">
        <is>
          <t>NORRTÄLJE</t>
        </is>
      </c>
      <c r="G511" t="n">
        <v>10.2</v>
      </c>
      <c r="H511" t="n">
        <v>0</v>
      </c>
      <c r="I511" t="n">
        <v>0</v>
      </c>
      <c r="J511" t="n">
        <v>0</v>
      </c>
      <c r="K511" t="n">
        <v>0</v>
      </c>
      <c r="L511" t="n">
        <v>0</v>
      </c>
      <c r="M511" t="n">
        <v>0</v>
      </c>
      <c r="N511" t="n">
        <v>0</v>
      </c>
      <c r="O511" t="n">
        <v>0</v>
      </c>
      <c r="P511" t="n">
        <v>0</v>
      </c>
      <c r="Q511" t="n">
        <v>0</v>
      </c>
      <c r="R511" s="2" t="inlineStr"/>
    </row>
    <row r="512" ht="15" customHeight="1">
      <c r="A512" t="inlineStr">
        <is>
          <t>A 25656-2023</t>
        </is>
      </c>
      <c r="B512" s="1" t="n">
        <v>45089</v>
      </c>
      <c r="C512" s="1" t="n">
        <v>45939</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38049-2023</t>
        </is>
      </c>
      <c r="B513" s="1" t="n">
        <v>45159</v>
      </c>
      <c r="C513" s="1" t="n">
        <v>45939</v>
      </c>
      <c r="D513" t="inlineStr">
        <is>
          <t>STOCKHOLMS LÄN</t>
        </is>
      </c>
      <c r="E513" t="inlineStr">
        <is>
          <t>NORRTÄLJE</t>
        </is>
      </c>
      <c r="G513" t="n">
        <v>3.6</v>
      </c>
      <c r="H513" t="n">
        <v>0</v>
      </c>
      <c r="I513" t="n">
        <v>0</v>
      </c>
      <c r="J513" t="n">
        <v>0</v>
      </c>
      <c r="K513" t="n">
        <v>0</v>
      </c>
      <c r="L513" t="n">
        <v>0</v>
      </c>
      <c r="M513" t="n">
        <v>0</v>
      </c>
      <c r="N513" t="n">
        <v>0</v>
      </c>
      <c r="O513" t="n">
        <v>0</v>
      </c>
      <c r="P513" t="n">
        <v>0</v>
      </c>
      <c r="Q513" t="n">
        <v>0</v>
      </c>
      <c r="R513" s="2" t="inlineStr"/>
    </row>
    <row r="514" ht="15" customHeight="1">
      <c r="A514" t="inlineStr">
        <is>
          <t>A 8135-2025</t>
        </is>
      </c>
      <c r="B514" s="1" t="n">
        <v>45707.84997685185</v>
      </c>
      <c r="C514" s="1" t="n">
        <v>45939</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3966-2024</t>
        </is>
      </c>
      <c r="B515" s="1" t="n">
        <v>45322</v>
      </c>
      <c r="C515" s="1" t="n">
        <v>45939</v>
      </c>
      <c r="D515" t="inlineStr">
        <is>
          <t>STOCKHOLMS LÄN</t>
        </is>
      </c>
      <c r="E515" t="inlineStr">
        <is>
          <t>NORRTÄLJE</t>
        </is>
      </c>
      <c r="G515" t="n">
        <v>5.3</v>
      </c>
      <c r="H515" t="n">
        <v>0</v>
      </c>
      <c r="I515" t="n">
        <v>0</v>
      </c>
      <c r="J515" t="n">
        <v>0</v>
      </c>
      <c r="K515" t="n">
        <v>0</v>
      </c>
      <c r="L515" t="n">
        <v>0</v>
      </c>
      <c r="M515" t="n">
        <v>0</v>
      </c>
      <c r="N515" t="n">
        <v>0</v>
      </c>
      <c r="O515" t="n">
        <v>0</v>
      </c>
      <c r="P515" t="n">
        <v>0</v>
      </c>
      <c r="Q515" t="n">
        <v>0</v>
      </c>
      <c r="R515" s="2" t="inlineStr"/>
    </row>
    <row r="516" ht="15" customHeight="1">
      <c r="A516" t="inlineStr">
        <is>
          <t>A 31936-2022</t>
        </is>
      </c>
      <c r="B516" s="1" t="n">
        <v>44777</v>
      </c>
      <c r="C516" s="1" t="n">
        <v>45939</v>
      </c>
      <c r="D516" t="inlineStr">
        <is>
          <t>STOCKHOLMS LÄN</t>
        </is>
      </c>
      <c r="E516" t="inlineStr">
        <is>
          <t>NORRTÄLJE</t>
        </is>
      </c>
      <c r="G516" t="n">
        <v>5.2</v>
      </c>
      <c r="H516" t="n">
        <v>0</v>
      </c>
      <c r="I516" t="n">
        <v>0</v>
      </c>
      <c r="J516" t="n">
        <v>0</v>
      </c>
      <c r="K516" t="n">
        <v>0</v>
      </c>
      <c r="L516" t="n">
        <v>0</v>
      </c>
      <c r="M516" t="n">
        <v>0</v>
      </c>
      <c r="N516" t="n">
        <v>0</v>
      </c>
      <c r="O516" t="n">
        <v>0</v>
      </c>
      <c r="P516" t="n">
        <v>0</v>
      </c>
      <c r="Q516" t="n">
        <v>0</v>
      </c>
      <c r="R516" s="2" t="inlineStr"/>
    </row>
    <row r="517" ht="15" customHeight="1">
      <c r="A517" t="inlineStr">
        <is>
          <t>A 24887-2023</t>
        </is>
      </c>
      <c r="B517" s="1" t="n">
        <v>45085</v>
      </c>
      <c r="C517" s="1" t="n">
        <v>45939</v>
      </c>
      <c r="D517" t="inlineStr">
        <is>
          <t>STOCKHOLMS LÄN</t>
        </is>
      </c>
      <c r="E517" t="inlineStr">
        <is>
          <t>NORRTÄLJE</t>
        </is>
      </c>
      <c r="G517" t="n">
        <v>13.9</v>
      </c>
      <c r="H517" t="n">
        <v>0</v>
      </c>
      <c r="I517" t="n">
        <v>0</v>
      </c>
      <c r="J517" t="n">
        <v>0</v>
      </c>
      <c r="K517" t="n">
        <v>0</v>
      </c>
      <c r="L517" t="n">
        <v>0</v>
      </c>
      <c r="M517" t="n">
        <v>0</v>
      </c>
      <c r="N517" t="n">
        <v>0</v>
      </c>
      <c r="O517" t="n">
        <v>0</v>
      </c>
      <c r="P517" t="n">
        <v>0</v>
      </c>
      <c r="Q517" t="n">
        <v>0</v>
      </c>
      <c r="R517" s="2" t="inlineStr"/>
    </row>
    <row r="518" ht="15" customHeight="1">
      <c r="A518" t="inlineStr">
        <is>
          <t>A 67921-2021</t>
        </is>
      </c>
      <c r="B518" s="1" t="n">
        <v>44525</v>
      </c>
      <c r="C518" s="1" t="n">
        <v>45939</v>
      </c>
      <c r="D518" t="inlineStr">
        <is>
          <t>STOCKHOLMS LÄN</t>
        </is>
      </c>
      <c r="E518" t="inlineStr">
        <is>
          <t>NORRTÄLJE</t>
        </is>
      </c>
      <c r="G518" t="n">
        <v>6.3</v>
      </c>
      <c r="H518" t="n">
        <v>0</v>
      </c>
      <c r="I518" t="n">
        <v>0</v>
      </c>
      <c r="J518" t="n">
        <v>0</v>
      </c>
      <c r="K518" t="n">
        <v>0</v>
      </c>
      <c r="L518" t="n">
        <v>0</v>
      </c>
      <c r="M518" t="n">
        <v>0</v>
      </c>
      <c r="N518" t="n">
        <v>0</v>
      </c>
      <c r="O518" t="n">
        <v>0</v>
      </c>
      <c r="P518" t="n">
        <v>0</v>
      </c>
      <c r="Q518" t="n">
        <v>0</v>
      </c>
      <c r="R518" s="2" t="inlineStr"/>
    </row>
    <row r="519" ht="15" customHeight="1">
      <c r="A519" t="inlineStr">
        <is>
          <t>A 56428-2023</t>
        </is>
      </c>
      <c r="B519" s="1" t="n">
        <v>45243.45289351852</v>
      </c>
      <c r="C519" s="1" t="n">
        <v>45939</v>
      </c>
      <c r="D519" t="inlineStr">
        <is>
          <t>STOCKHOLMS LÄN</t>
        </is>
      </c>
      <c r="E519" t="inlineStr">
        <is>
          <t>NORRTÄLJE</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17348-2024</t>
        </is>
      </c>
      <c r="B520" s="1" t="n">
        <v>45414.58650462963</v>
      </c>
      <c r="C520" s="1" t="n">
        <v>45939</v>
      </c>
      <c r="D520" t="inlineStr">
        <is>
          <t>STOCKHOLMS LÄN</t>
        </is>
      </c>
      <c r="E520" t="inlineStr">
        <is>
          <t>NORRTÄLJE</t>
        </is>
      </c>
      <c r="G520" t="n">
        <v>2.3</v>
      </c>
      <c r="H520" t="n">
        <v>0</v>
      </c>
      <c r="I520" t="n">
        <v>0</v>
      </c>
      <c r="J520" t="n">
        <v>0</v>
      </c>
      <c r="K520" t="n">
        <v>0</v>
      </c>
      <c r="L520" t="n">
        <v>0</v>
      </c>
      <c r="M520" t="n">
        <v>0</v>
      </c>
      <c r="N520" t="n">
        <v>0</v>
      </c>
      <c r="O520" t="n">
        <v>0</v>
      </c>
      <c r="P520" t="n">
        <v>0</v>
      </c>
      <c r="Q520" t="n">
        <v>0</v>
      </c>
      <c r="R520" s="2" t="inlineStr"/>
    </row>
    <row r="521" ht="15" customHeight="1">
      <c r="A521" t="inlineStr">
        <is>
          <t>A 37085-2021</t>
        </is>
      </c>
      <c r="B521" s="1" t="n">
        <v>44395</v>
      </c>
      <c r="C521" s="1" t="n">
        <v>45939</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38591-2023</t>
        </is>
      </c>
      <c r="B522" s="1" t="n">
        <v>45162</v>
      </c>
      <c r="C522" s="1" t="n">
        <v>45939</v>
      </c>
      <c r="D522" t="inlineStr">
        <is>
          <t>STOCKHOLMS LÄN</t>
        </is>
      </c>
      <c r="E522" t="inlineStr">
        <is>
          <t>NORRTÄLJE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3273-2025</t>
        </is>
      </c>
      <c r="B523" s="1" t="n">
        <v>45679</v>
      </c>
      <c r="C523" s="1" t="n">
        <v>45939</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55890-2020</t>
        </is>
      </c>
      <c r="B524" s="1" t="n">
        <v>44132</v>
      </c>
      <c r="C524" s="1" t="n">
        <v>45939</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30338-2022</t>
        </is>
      </c>
      <c r="B525" s="1" t="n">
        <v>44760</v>
      </c>
      <c r="C525" s="1" t="n">
        <v>45939</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18541-2023</t>
        </is>
      </c>
      <c r="B526" s="1" t="n">
        <v>45042.74291666667</v>
      </c>
      <c r="C526" s="1" t="n">
        <v>45939</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32857-2021</t>
        </is>
      </c>
      <c r="B527" s="1" t="n">
        <v>44375</v>
      </c>
      <c r="C527" s="1" t="n">
        <v>45939</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34461-2023</t>
        </is>
      </c>
      <c r="B528" s="1" t="n">
        <v>45139</v>
      </c>
      <c r="C528" s="1" t="n">
        <v>45939</v>
      </c>
      <c r="D528" t="inlineStr">
        <is>
          <t>STOCKHOLMS LÄN</t>
        </is>
      </c>
      <c r="E528" t="inlineStr">
        <is>
          <t>NORRTÄLJE</t>
        </is>
      </c>
      <c r="G528" t="n">
        <v>1.4</v>
      </c>
      <c r="H528" t="n">
        <v>0</v>
      </c>
      <c r="I528" t="n">
        <v>0</v>
      </c>
      <c r="J528" t="n">
        <v>0</v>
      </c>
      <c r="K528" t="n">
        <v>0</v>
      </c>
      <c r="L528" t="n">
        <v>0</v>
      </c>
      <c r="M528" t="n">
        <v>0</v>
      </c>
      <c r="N528" t="n">
        <v>0</v>
      </c>
      <c r="O528" t="n">
        <v>0</v>
      </c>
      <c r="P528" t="n">
        <v>0</v>
      </c>
      <c r="Q528" t="n">
        <v>0</v>
      </c>
      <c r="R528" s="2" t="inlineStr"/>
    </row>
    <row r="529" ht="15" customHeight="1">
      <c r="A529" t="inlineStr">
        <is>
          <t>A 51325-2023</t>
        </is>
      </c>
      <c r="B529" s="1" t="n">
        <v>45219</v>
      </c>
      <c r="C529" s="1" t="n">
        <v>45939</v>
      </c>
      <c r="D529" t="inlineStr">
        <is>
          <t>STOCKHOLMS LÄN</t>
        </is>
      </c>
      <c r="E529" t="inlineStr">
        <is>
          <t>NORRTÄLJE</t>
        </is>
      </c>
      <c r="G529" t="n">
        <v>2.2</v>
      </c>
      <c r="H529" t="n">
        <v>0</v>
      </c>
      <c r="I529" t="n">
        <v>0</v>
      </c>
      <c r="J529" t="n">
        <v>0</v>
      </c>
      <c r="K529" t="n">
        <v>0</v>
      </c>
      <c r="L529" t="n">
        <v>0</v>
      </c>
      <c r="M529" t="n">
        <v>0</v>
      </c>
      <c r="N529" t="n">
        <v>0</v>
      </c>
      <c r="O529" t="n">
        <v>0</v>
      </c>
      <c r="P529" t="n">
        <v>0</v>
      </c>
      <c r="Q529" t="n">
        <v>0</v>
      </c>
      <c r="R529" s="2" t="inlineStr"/>
    </row>
    <row r="530" ht="15" customHeight="1">
      <c r="A530" t="inlineStr">
        <is>
          <t>A 21729-2024</t>
        </is>
      </c>
      <c r="B530" s="1" t="n">
        <v>45442</v>
      </c>
      <c r="C530" s="1" t="n">
        <v>45939</v>
      </c>
      <c r="D530" t="inlineStr">
        <is>
          <t>STOCKHOLMS LÄN</t>
        </is>
      </c>
      <c r="E530" t="inlineStr">
        <is>
          <t>NORRTÄLJE</t>
        </is>
      </c>
      <c r="G530" t="n">
        <v>2.2</v>
      </c>
      <c r="H530" t="n">
        <v>0</v>
      </c>
      <c r="I530" t="n">
        <v>0</v>
      </c>
      <c r="J530" t="n">
        <v>0</v>
      </c>
      <c r="K530" t="n">
        <v>0</v>
      </c>
      <c r="L530" t="n">
        <v>0</v>
      </c>
      <c r="M530" t="n">
        <v>0</v>
      </c>
      <c r="N530" t="n">
        <v>0</v>
      </c>
      <c r="O530" t="n">
        <v>0</v>
      </c>
      <c r="P530" t="n">
        <v>0</v>
      </c>
      <c r="Q530" t="n">
        <v>0</v>
      </c>
      <c r="R530" s="2" t="inlineStr"/>
    </row>
    <row r="531" ht="15" customHeight="1">
      <c r="A531" t="inlineStr">
        <is>
          <t>A 46988-2024</t>
        </is>
      </c>
      <c r="B531" s="1" t="n">
        <v>45586</v>
      </c>
      <c r="C531" s="1" t="n">
        <v>45939</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15217-2023</t>
        </is>
      </c>
      <c r="B532" s="1" t="n">
        <v>45019.28847222222</v>
      </c>
      <c r="C532" s="1" t="n">
        <v>45939</v>
      </c>
      <c r="D532" t="inlineStr">
        <is>
          <t>STOCKHOLMS LÄN</t>
        </is>
      </c>
      <c r="E532" t="inlineStr">
        <is>
          <t>NORRTÄLJE</t>
        </is>
      </c>
      <c r="G532" t="n">
        <v>3.6</v>
      </c>
      <c r="H532" t="n">
        <v>0</v>
      </c>
      <c r="I532" t="n">
        <v>0</v>
      </c>
      <c r="J532" t="n">
        <v>0</v>
      </c>
      <c r="K532" t="n">
        <v>0</v>
      </c>
      <c r="L532" t="n">
        <v>0</v>
      </c>
      <c r="M532" t="n">
        <v>0</v>
      </c>
      <c r="N532" t="n">
        <v>0</v>
      </c>
      <c r="O532" t="n">
        <v>0</v>
      </c>
      <c r="P532" t="n">
        <v>0</v>
      </c>
      <c r="Q532" t="n">
        <v>0</v>
      </c>
      <c r="R532" s="2" t="inlineStr"/>
    </row>
    <row r="533" ht="15" customHeight="1">
      <c r="A533" t="inlineStr">
        <is>
          <t>A 71552-2021</t>
        </is>
      </c>
      <c r="B533" s="1" t="n">
        <v>44540</v>
      </c>
      <c r="C533" s="1" t="n">
        <v>45939</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24522-2023</t>
        </is>
      </c>
      <c r="B534" s="1" t="n">
        <v>45082.69179398148</v>
      </c>
      <c r="C534" s="1" t="n">
        <v>45939</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21894-2023</t>
        </is>
      </c>
      <c r="B535" s="1" t="n">
        <v>45068.51783564815</v>
      </c>
      <c r="C535" s="1" t="n">
        <v>45939</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17382-2024</t>
        </is>
      </c>
      <c r="B536" s="1" t="n">
        <v>45414.65855324074</v>
      </c>
      <c r="C536" s="1" t="n">
        <v>45939</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56166-2020</t>
        </is>
      </c>
      <c r="B537" s="1" t="n">
        <v>44133</v>
      </c>
      <c r="C537" s="1" t="n">
        <v>45939</v>
      </c>
      <c r="D537" t="inlineStr">
        <is>
          <t>STOCKHOLMS LÄN</t>
        </is>
      </c>
      <c r="E537" t="inlineStr">
        <is>
          <t>NORRTÄLJE</t>
        </is>
      </c>
      <c r="G537" t="n">
        <v>4.4</v>
      </c>
      <c r="H537" t="n">
        <v>0</v>
      </c>
      <c r="I537" t="n">
        <v>0</v>
      </c>
      <c r="J537" t="n">
        <v>0</v>
      </c>
      <c r="K537" t="n">
        <v>0</v>
      </c>
      <c r="L537" t="n">
        <v>0</v>
      </c>
      <c r="M537" t="n">
        <v>0</v>
      </c>
      <c r="N537" t="n">
        <v>0</v>
      </c>
      <c r="O537" t="n">
        <v>0</v>
      </c>
      <c r="P537" t="n">
        <v>0</v>
      </c>
      <c r="Q537" t="n">
        <v>0</v>
      </c>
      <c r="R537" s="2" t="inlineStr"/>
    </row>
    <row r="538" ht="15" customHeight="1">
      <c r="A538" t="inlineStr">
        <is>
          <t>A 25557-2023</t>
        </is>
      </c>
      <c r="B538" s="1" t="n">
        <v>45089</v>
      </c>
      <c r="C538" s="1" t="n">
        <v>45939</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29176-2024</t>
        </is>
      </c>
      <c r="B539" s="1" t="n">
        <v>45482.53388888889</v>
      </c>
      <c r="C539" s="1" t="n">
        <v>45939</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9914-2023</t>
        </is>
      </c>
      <c r="B540" s="1" t="n">
        <v>44985</v>
      </c>
      <c r="C540" s="1" t="n">
        <v>45939</v>
      </c>
      <c r="D540" t="inlineStr">
        <is>
          <t>STOCKHOLMS LÄN</t>
        </is>
      </c>
      <c r="E540" t="inlineStr">
        <is>
          <t>NORRTÄLJE</t>
        </is>
      </c>
      <c r="G540" t="n">
        <v>4.2</v>
      </c>
      <c r="H540" t="n">
        <v>0</v>
      </c>
      <c r="I540" t="n">
        <v>0</v>
      </c>
      <c r="J540" t="n">
        <v>0</v>
      </c>
      <c r="K540" t="n">
        <v>0</v>
      </c>
      <c r="L540" t="n">
        <v>0</v>
      </c>
      <c r="M540" t="n">
        <v>0</v>
      </c>
      <c r="N540" t="n">
        <v>0</v>
      </c>
      <c r="O540" t="n">
        <v>0</v>
      </c>
      <c r="P540" t="n">
        <v>0</v>
      </c>
      <c r="Q540" t="n">
        <v>0</v>
      </c>
      <c r="R540" s="2" t="inlineStr"/>
    </row>
    <row r="541" ht="15" customHeight="1">
      <c r="A541" t="inlineStr">
        <is>
          <t>A 21732-2023</t>
        </is>
      </c>
      <c r="B541" s="1" t="n">
        <v>45063</v>
      </c>
      <c r="C541" s="1" t="n">
        <v>45939</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60525-2022</t>
        </is>
      </c>
      <c r="B542" s="1" t="n">
        <v>44904</v>
      </c>
      <c r="C542" s="1" t="n">
        <v>45939</v>
      </c>
      <c r="D542" t="inlineStr">
        <is>
          <t>STOCKHOLMS LÄN</t>
        </is>
      </c>
      <c r="E542" t="inlineStr">
        <is>
          <t>NORRTÄLJE</t>
        </is>
      </c>
      <c r="G542" t="n">
        <v>13.4</v>
      </c>
      <c r="H542" t="n">
        <v>0</v>
      </c>
      <c r="I542" t="n">
        <v>0</v>
      </c>
      <c r="J542" t="n">
        <v>0</v>
      </c>
      <c r="K542" t="n">
        <v>0</v>
      </c>
      <c r="L542" t="n">
        <v>0</v>
      </c>
      <c r="M542" t="n">
        <v>0</v>
      </c>
      <c r="N542" t="n">
        <v>0</v>
      </c>
      <c r="O542" t="n">
        <v>0</v>
      </c>
      <c r="P542" t="n">
        <v>0</v>
      </c>
      <c r="Q542" t="n">
        <v>0</v>
      </c>
      <c r="R542" s="2" t="inlineStr"/>
    </row>
    <row r="543" ht="15" customHeight="1">
      <c r="A543" t="inlineStr">
        <is>
          <t>A 4596-2023</t>
        </is>
      </c>
      <c r="B543" s="1" t="n">
        <v>44956</v>
      </c>
      <c r="C543" s="1" t="n">
        <v>45939</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57987-2020</t>
        </is>
      </c>
      <c r="B544" s="1" t="n">
        <v>44143</v>
      </c>
      <c r="C544" s="1" t="n">
        <v>45939</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4438-2023</t>
        </is>
      </c>
      <c r="B545" s="1" t="n">
        <v>44956</v>
      </c>
      <c r="C545" s="1" t="n">
        <v>45939</v>
      </c>
      <c r="D545" t="inlineStr">
        <is>
          <t>STOCKHOLMS LÄN</t>
        </is>
      </c>
      <c r="E545" t="inlineStr">
        <is>
          <t>NORRTÄLJE</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58302-2022</t>
        </is>
      </c>
      <c r="B546" s="1" t="n">
        <v>44901</v>
      </c>
      <c r="C546" s="1" t="n">
        <v>45939</v>
      </c>
      <c r="D546" t="inlineStr">
        <is>
          <t>STOCKHOLMS LÄN</t>
        </is>
      </c>
      <c r="E546" t="inlineStr">
        <is>
          <t>NORRTÄLJE</t>
        </is>
      </c>
      <c r="G546" t="n">
        <v>3.9</v>
      </c>
      <c r="H546" t="n">
        <v>0</v>
      </c>
      <c r="I546" t="n">
        <v>0</v>
      </c>
      <c r="J546" t="n">
        <v>0</v>
      </c>
      <c r="K546" t="n">
        <v>0</v>
      </c>
      <c r="L546" t="n">
        <v>0</v>
      </c>
      <c r="M546" t="n">
        <v>0</v>
      </c>
      <c r="N546" t="n">
        <v>0</v>
      </c>
      <c r="O546" t="n">
        <v>0</v>
      </c>
      <c r="P546" t="n">
        <v>0</v>
      </c>
      <c r="Q546" t="n">
        <v>0</v>
      </c>
      <c r="R546" s="2" t="inlineStr"/>
    </row>
    <row r="547" ht="15" customHeight="1">
      <c r="A547" t="inlineStr">
        <is>
          <t>A 24727-2023</t>
        </is>
      </c>
      <c r="B547" s="1" t="n">
        <v>45084.57695601852</v>
      </c>
      <c r="C547" s="1" t="n">
        <v>45939</v>
      </c>
      <c r="D547" t="inlineStr">
        <is>
          <t>STOCKHOLMS LÄN</t>
        </is>
      </c>
      <c r="E547" t="inlineStr">
        <is>
          <t>NORRTÄLJE</t>
        </is>
      </c>
      <c r="F547" t="inlineStr">
        <is>
          <t>Holmen skog AB</t>
        </is>
      </c>
      <c r="G547" t="n">
        <v>2.2</v>
      </c>
      <c r="H547" t="n">
        <v>0</v>
      </c>
      <c r="I547" t="n">
        <v>0</v>
      </c>
      <c r="J547" t="n">
        <v>0</v>
      </c>
      <c r="K547" t="n">
        <v>0</v>
      </c>
      <c r="L547" t="n">
        <v>0</v>
      </c>
      <c r="M547" t="n">
        <v>0</v>
      </c>
      <c r="N547" t="n">
        <v>0</v>
      </c>
      <c r="O547" t="n">
        <v>0</v>
      </c>
      <c r="P547" t="n">
        <v>0</v>
      </c>
      <c r="Q547" t="n">
        <v>0</v>
      </c>
      <c r="R547" s="2" t="inlineStr"/>
    </row>
    <row r="548" ht="15" customHeight="1">
      <c r="A548" t="inlineStr">
        <is>
          <t>A 59904-2023</t>
        </is>
      </c>
      <c r="B548" s="1" t="n">
        <v>45257</v>
      </c>
      <c r="C548" s="1" t="n">
        <v>45939</v>
      </c>
      <c r="D548" t="inlineStr">
        <is>
          <t>STOCKHOLMS LÄN</t>
        </is>
      </c>
      <c r="E548" t="inlineStr">
        <is>
          <t>NORRTÄLJE</t>
        </is>
      </c>
      <c r="G548" t="n">
        <v>17.4</v>
      </c>
      <c r="H548" t="n">
        <v>0</v>
      </c>
      <c r="I548" t="n">
        <v>0</v>
      </c>
      <c r="J548" t="n">
        <v>0</v>
      </c>
      <c r="K548" t="n">
        <v>0</v>
      </c>
      <c r="L548" t="n">
        <v>0</v>
      </c>
      <c r="M548" t="n">
        <v>0</v>
      </c>
      <c r="N548" t="n">
        <v>0</v>
      </c>
      <c r="O548" t="n">
        <v>0</v>
      </c>
      <c r="P548" t="n">
        <v>0</v>
      </c>
      <c r="Q548" t="n">
        <v>0</v>
      </c>
      <c r="R548" s="2" t="inlineStr"/>
    </row>
    <row r="549" ht="15" customHeight="1">
      <c r="A549" t="inlineStr">
        <is>
          <t>A 7806-2025</t>
        </is>
      </c>
      <c r="B549" s="1" t="n">
        <v>45706.61178240741</v>
      </c>
      <c r="C549" s="1" t="n">
        <v>45939</v>
      </c>
      <c r="D549" t="inlineStr">
        <is>
          <t>STOCKHOLMS LÄN</t>
        </is>
      </c>
      <c r="E549" t="inlineStr">
        <is>
          <t>NORRTÄLJE</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36308-2022</t>
        </is>
      </c>
      <c r="B550" s="1" t="n">
        <v>44803</v>
      </c>
      <c r="C550" s="1" t="n">
        <v>45939</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37444-2021</t>
        </is>
      </c>
      <c r="B551" s="1" t="n">
        <v>44398</v>
      </c>
      <c r="C551" s="1" t="n">
        <v>45939</v>
      </c>
      <c r="D551" t="inlineStr">
        <is>
          <t>STOCKHOLMS LÄN</t>
        </is>
      </c>
      <c r="E551" t="inlineStr">
        <is>
          <t>NORRTÄLJE</t>
        </is>
      </c>
      <c r="F551" t="inlineStr">
        <is>
          <t>Holmen skog AB</t>
        </is>
      </c>
      <c r="G551" t="n">
        <v>3.2</v>
      </c>
      <c r="H551" t="n">
        <v>0</v>
      </c>
      <c r="I551" t="n">
        <v>0</v>
      </c>
      <c r="J551" t="n">
        <v>0</v>
      </c>
      <c r="K551" t="n">
        <v>0</v>
      </c>
      <c r="L551" t="n">
        <v>0</v>
      </c>
      <c r="M551" t="n">
        <v>0</v>
      </c>
      <c r="N551" t="n">
        <v>0</v>
      </c>
      <c r="O551" t="n">
        <v>0</v>
      </c>
      <c r="P551" t="n">
        <v>0</v>
      </c>
      <c r="Q551" t="n">
        <v>0</v>
      </c>
      <c r="R551" s="2" t="inlineStr"/>
    </row>
    <row r="552" ht="15" customHeight="1">
      <c r="A552" t="inlineStr">
        <is>
          <t>A 23269-2023</t>
        </is>
      </c>
      <c r="B552" s="1" t="n">
        <v>45075.91148148148</v>
      </c>
      <c r="C552" s="1" t="n">
        <v>45939</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45173-2023</t>
        </is>
      </c>
      <c r="B553" s="1" t="n">
        <v>45191</v>
      </c>
      <c r="C553" s="1" t="n">
        <v>45939</v>
      </c>
      <c r="D553" t="inlineStr">
        <is>
          <t>STOCKHOLMS LÄN</t>
        </is>
      </c>
      <c r="E553" t="inlineStr">
        <is>
          <t>NORRTÄLJE</t>
        </is>
      </c>
      <c r="F553" t="inlineStr">
        <is>
          <t>Sveaskog</t>
        </is>
      </c>
      <c r="G553" t="n">
        <v>3.6</v>
      </c>
      <c r="H553" t="n">
        <v>0</v>
      </c>
      <c r="I553" t="n">
        <v>0</v>
      </c>
      <c r="J553" t="n">
        <v>0</v>
      </c>
      <c r="K553" t="n">
        <v>0</v>
      </c>
      <c r="L553" t="n">
        <v>0</v>
      </c>
      <c r="M553" t="n">
        <v>0</v>
      </c>
      <c r="N553" t="n">
        <v>0</v>
      </c>
      <c r="O553" t="n">
        <v>0</v>
      </c>
      <c r="P553" t="n">
        <v>0</v>
      </c>
      <c r="Q553" t="n">
        <v>0</v>
      </c>
      <c r="R553" s="2" t="inlineStr"/>
    </row>
    <row r="554" ht="15" customHeight="1">
      <c r="A554" t="inlineStr">
        <is>
          <t>A 23060-2023</t>
        </is>
      </c>
      <c r="B554" s="1" t="n">
        <v>45075</v>
      </c>
      <c r="C554" s="1" t="n">
        <v>45939</v>
      </c>
      <c r="D554" t="inlineStr">
        <is>
          <t>STOCKHOLMS LÄN</t>
        </is>
      </c>
      <c r="E554" t="inlineStr">
        <is>
          <t>NORRTÄLJE</t>
        </is>
      </c>
      <c r="G554" t="n">
        <v>0.5</v>
      </c>
      <c r="H554" t="n">
        <v>0</v>
      </c>
      <c r="I554" t="n">
        <v>0</v>
      </c>
      <c r="J554" t="n">
        <v>0</v>
      </c>
      <c r="K554" t="n">
        <v>0</v>
      </c>
      <c r="L554" t="n">
        <v>0</v>
      </c>
      <c r="M554" t="n">
        <v>0</v>
      </c>
      <c r="N554" t="n">
        <v>0</v>
      </c>
      <c r="O554" t="n">
        <v>0</v>
      </c>
      <c r="P554" t="n">
        <v>0</v>
      </c>
      <c r="Q554" t="n">
        <v>0</v>
      </c>
      <c r="R554" s="2" t="inlineStr"/>
    </row>
    <row r="555" ht="15" customHeight="1">
      <c r="A555" t="inlineStr">
        <is>
          <t>A 18787-2022</t>
        </is>
      </c>
      <c r="B555" s="1" t="n">
        <v>44687</v>
      </c>
      <c r="C555" s="1" t="n">
        <v>45939</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58661-2020</t>
        </is>
      </c>
      <c r="B556" s="1" t="n">
        <v>44145</v>
      </c>
      <c r="C556" s="1" t="n">
        <v>45939</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64137-2021</t>
        </is>
      </c>
      <c r="B557" s="1" t="n">
        <v>44510.51422453704</v>
      </c>
      <c r="C557" s="1" t="n">
        <v>45939</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52743-2024</t>
        </is>
      </c>
      <c r="B558" s="1" t="n">
        <v>45610.47414351852</v>
      </c>
      <c r="C558" s="1" t="n">
        <v>45939</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38720-2022</t>
        </is>
      </c>
      <c r="B559" s="1" t="n">
        <v>44815.74539351852</v>
      </c>
      <c r="C559" s="1" t="n">
        <v>45939</v>
      </c>
      <c r="D559" t="inlineStr">
        <is>
          <t>STOCKHOLMS LÄN</t>
        </is>
      </c>
      <c r="E559" t="inlineStr">
        <is>
          <t>NORRTÄLJE</t>
        </is>
      </c>
      <c r="G559" t="n">
        <v>2.5</v>
      </c>
      <c r="H559" t="n">
        <v>0</v>
      </c>
      <c r="I559" t="n">
        <v>0</v>
      </c>
      <c r="J559" t="n">
        <v>0</v>
      </c>
      <c r="K559" t="n">
        <v>0</v>
      </c>
      <c r="L559" t="n">
        <v>0</v>
      </c>
      <c r="M559" t="n">
        <v>0</v>
      </c>
      <c r="N559" t="n">
        <v>0</v>
      </c>
      <c r="O559" t="n">
        <v>0</v>
      </c>
      <c r="P559" t="n">
        <v>0</v>
      </c>
      <c r="Q559" t="n">
        <v>0</v>
      </c>
      <c r="R559" s="2" t="inlineStr"/>
    </row>
    <row r="560" ht="15" customHeight="1">
      <c r="A560" t="inlineStr">
        <is>
          <t>A 34432-2021</t>
        </is>
      </c>
      <c r="B560" s="1" t="n">
        <v>44380.77346064815</v>
      </c>
      <c r="C560" s="1" t="n">
        <v>45939</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19911-2025</t>
        </is>
      </c>
      <c r="B561" s="1" t="n">
        <v>45771</v>
      </c>
      <c r="C561" s="1" t="n">
        <v>45939</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11499-2023</t>
        </is>
      </c>
      <c r="B562" s="1" t="n">
        <v>44993.66707175926</v>
      </c>
      <c r="C562" s="1" t="n">
        <v>45939</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53652-2020</t>
        </is>
      </c>
      <c r="B563" s="1" t="n">
        <v>44124</v>
      </c>
      <c r="C563" s="1" t="n">
        <v>45939</v>
      </c>
      <c r="D563" t="inlineStr">
        <is>
          <t>STOCKHOLMS LÄN</t>
        </is>
      </c>
      <c r="E563" t="inlineStr">
        <is>
          <t>NORRTÄLJE</t>
        </is>
      </c>
      <c r="G563" t="n">
        <v>2</v>
      </c>
      <c r="H563" t="n">
        <v>0</v>
      </c>
      <c r="I563" t="n">
        <v>0</v>
      </c>
      <c r="J563" t="n">
        <v>0</v>
      </c>
      <c r="K563" t="n">
        <v>0</v>
      </c>
      <c r="L563" t="n">
        <v>0</v>
      </c>
      <c r="M563" t="n">
        <v>0</v>
      </c>
      <c r="N563" t="n">
        <v>0</v>
      </c>
      <c r="O563" t="n">
        <v>0</v>
      </c>
      <c r="P563" t="n">
        <v>0</v>
      </c>
      <c r="Q563" t="n">
        <v>0</v>
      </c>
      <c r="R563" s="2" t="inlineStr"/>
    </row>
    <row r="564" ht="15" customHeight="1">
      <c r="A564" t="inlineStr">
        <is>
          <t>A 64600-2021</t>
        </is>
      </c>
      <c r="B564" s="1" t="n">
        <v>44511.70518518519</v>
      </c>
      <c r="C564" s="1" t="n">
        <v>45939</v>
      </c>
      <c r="D564" t="inlineStr">
        <is>
          <t>STOCKHOLMS LÄN</t>
        </is>
      </c>
      <c r="E564" t="inlineStr">
        <is>
          <t>NORRTÄLJE</t>
        </is>
      </c>
      <c r="G564" t="n">
        <v>6.2</v>
      </c>
      <c r="H564" t="n">
        <v>0</v>
      </c>
      <c r="I564" t="n">
        <v>0</v>
      </c>
      <c r="J564" t="n">
        <v>0</v>
      </c>
      <c r="K564" t="n">
        <v>0</v>
      </c>
      <c r="L564" t="n">
        <v>0</v>
      </c>
      <c r="M564" t="n">
        <v>0</v>
      </c>
      <c r="N564" t="n">
        <v>0</v>
      </c>
      <c r="O564" t="n">
        <v>0</v>
      </c>
      <c r="P564" t="n">
        <v>0</v>
      </c>
      <c r="Q564" t="n">
        <v>0</v>
      </c>
      <c r="R564" s="2" t="inlineStr"/>
    </row>
    <row r="565" ht="15" customHeight="1">
      <c r="A565" t="inlineStr">
        <is>
          <t>A 35640-2024</t>
        </is>
      </c>
      <c r="B565" s="1" t="n">
        <v>45531</v>
      </c>
      <c r="C565" s="1" t="n">
        <v>45939</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8586-2023</t>
        </is>
      </c>
      <c r="B566" s="1" t="n">
        <v>44977</v>
      </c>
      <c r="C566" s="1" t="n">
        <v>45939</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67990-2021</t>
        </is>
      </c>
      <c r="B567" s="1" t="n">
        <v>44525</v>
      </c>
      <c r="C567" s="1" t="n">
        <v>45939</v>
      </c>
      <c r="D567" t="inlineStr">
        <is>
          <t>STOCKHOLMS LÄN</t>
        </is>
      </c>
      <c r="E567" t="inlineStr">
        <is>
          <t>NORRTÄLJE</t>
        </is>
      </c>
      <c r="F567" t="inlineStr">
        <is>
          <t>Sveaskog</t>
        </is>
      </c>
      <c r="G567" t="n">
        <v>7.8</v>
      </c>
      <c r="H567" t="n">
        <v>0</v>
      </c>
      <c r="I567" t="n">
        <v>0</v>
      </c>
      <c r="J567" t="n">
        <v>0</v>
      </c>
      <c r="K567" t="n">
        <v>0</v>
      </c>
      <c r="L567" t="n">
        <v>0</v>
      </c>
      <c r="M567" t="n">
        <v>0</v>
      </c>
      <c r="N567" t="n">
        <v>0</v>
      </c>
      <c r="O567" t="n">
        <v>0</v>
      </c>
      <c r="P567" t="n">
        <v>0</v>
      </c>
      <c r="Q567" t="n">
        <v>0</v>
      </c>
      <c r="R567" s="2" t="inlineStr"/>
    </row>
    <row r="568" ht="15" customHeight="1">
      <c r="A568" t="inlineStr">
        <is>
          <t>A 14130-2025</t>
        </is>
      </c>
      <c r="B568" s="1" t="n">
        <v>45740.47288194444</v>
      </c>
      <c r="C568" s="1" t="n">
        <v>45939</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12532-2025</t>
        </is>
      </c>
      <c r="B569" s="1" t="n">
        <v>45730.69143518519</v>
      </c>
      <c r="C569" s="1" t="n">
        <v>45939</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21696-2024</t>
        </is>
      </c>
      <c r="B570" s="1" t="n">
        <v>45442.45686342593</v>
      </c>
      <c r="C570" s="1" t="n">
        <v>45939</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37136-2023</t>
        </is>
      </c>
      <c r="B571" s="1" t="n">
        <v>45155</v>
      </c>
      <c r="C571" s="1" t="n">
        <v>45939</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40175-2024</t>
        </is>
      </c>
      <c r="B572" s="1" t="n">
        <v>45554.55707175926</v>
      </c>
      <c r="C572" s="1" t="n">
        <v>45939</v>
      </c>
      <c r="D572" t="inlineStr">
        <is>
          <t>STOCKHOLMS LÄN</t>
        </is>
      </c>
      <c r="E572" t="inlineStr">
        <is>
          <t>NORRTÄLJE</t>
        </is>
      </c>
      <c r="G572" t="n">
        <v>7.7</v>
      </c>
      <c r="H572" t="n">
        <v>0</v>
      </c>
      <c r="I572" t="n">
        <v>0</v>
      </c>
      <c r="J572" t="n">
        <v>0</v>
      </c>
      <c r="K572" t="n">
        <v>0</v>
      </c>
      <c r="L572" t="n">
        <v>0</v>
      </c>
      <c r="M572" t="n">
        <v>0</v>
      </c>
      <c r="N572" t="n">
        <v>0</v>
      </c>
      <c r="O572" t="n">
        <v>0</v>
      </c>
      <c r="P572" t="n">
        <v>0</v>
      </c>
      <c r="Q572" t="n">
        <v>0</v>
      </c>
      <c r="R572" s="2" t="inlineStr"/>
    </row>
    <row r="573" ht="15" customHeight="1">
      <c r="A573" t="inlineStr">
        <is>
          <t>A 16229-2022</t>
        </is>
      </c>
      <c r="B573" s="1" t="n">
        <v>44670.4190162037</v>
      </c>
      <c r="C573" s="1" t="n">
        <v>45939</v>
      </c>
      <c r="D573" t="inlineStr">
        <is>
          <t>STOCKHOLMS LÄN</t>
        </is>
      </c>
      <c r="E573" t="inlineStr">
        <is>
          <t>NORRTÄLJE</t>
        </is>
      </c>
      <c r="G573" t="n">
        <v>7.4</v>
      </c>
      <c r="H573" t="n">
        <v>0</v>
      </c>
      <c r="I573" t="n">
        <v>0</v>
      </c>
      <c r="J573" t="n">
        <v>0</v>
      </c>
      <c r="K573" t="n">
        <v>0</v>
      </c>
      <c r="L573" t="n">
        <v>0</v>
      </c>
      <c r="M573" t="n">
        <v>0</v>
      </c>
      <c r="N573" t="n">
        <v>0</v>
      </c>
      <c r="O573" t="n">
        <v>0</v>
      </c>
      <c r="P573" t="n">
        <v>0</v>
      </c>
      <c r="Q573" t="n">
        <v>0</v>
      </c>
      <c r="R573" s="2" t="inlineStr"/>
    </row>
    <row r="574" ht="15" customHeight="1">
      <c r="A574" t="inlineStr">
        <is>
          <t>A 1740-2023</t>
        </is>
      </c>
      <c r="B574" s="1" t="n">
        <v>44938</v>
      </c>
      <c r="C574" s="1" t="n">
        <v>45939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46914-2022</t>
        </is>
      </c>
      <c r="B575" s="1" t="n">
        <v>44851</v>
      </c>
      <c r="C575" s="1" t="n">
        <v>45939</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20244-2025</t>
        </is>
      </c>
      <c r="B576" s="1" t="n">
        <v>45772.71221064815</v>
      </c>
      <c r="C576" s="1" t="n">
        <v>45939</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50143-2023</t>
        </is>
      </c>
      <c r="B577" s="1" t="n">
        <v>45215</v>
      </c>
      <c r="C577" s="1" t="n">
        <v>45939</v>
      </c>
      <c r="D577" t="inlineStr">
        <is>
          <t>STOCKHOLMS LÄN</t>
        </is>
      </c>
      <c r="E577" t="inlineStr">
        <is>
          <t>NORRTÄLJE</t>
        </is>
      </c>
      <c r="G577" t="n">
        <v>10.3</v>
      </c>
      <c r="H577" t="n">
        <v>0</v>
      </c>
      <c r="I577" t="n">
        <v>0</v>
      </c>
      <c r="J577" t="n">
        <v>0</v>
      </c>
      <c r="K577" t="n">
        <v>0</v>
      </c>
      <c r="L577" t="n">
        <v>0</v>
      </c>
      <c r="M577" t="n">
        <v>0</v>
      </c>
      <c r="N577" t="n">
        <v>0</v>
      </c>
      <c r="O577" t="n">
        <v>0</v>
      </c>
      <c r="P577" t="n">
        <v>0</v>
      </c>
      <c r="Q577" t="n">
        <v>0</v>
      </c>
      <c r="R577" s="2" t="inlineStr"/>
    </row>
    <row r="578" ht="15" customHeight="1">
      <c r="A578" t="inlineStr">
        <is>
          <t>A 50108-2021</t>
        </is>
      </c>
      <c r="B578" s="1" t="n">
        <v>44456</v>
      </c>
      <c r="C578" s="1" t="n">
        <v>45939</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20015-2023</t>
        </is>
      </c>
      <c r="B579" s="1" t="n">
        <v>45054</v>
      </c>
      <c r="C579" s="1" t="n">
        <v>45939</v>
      </c>
      <c r="D579" t="inlineStr">
        <is>
          <t>STOCKHOLMS LÄN</t>
        </is>
      </c>
      <c r="E579" t="inlineStr">
        <is>
          <t>NORRTÄLJE</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22816-2021</t>
        </is>
      </c>
      <c r="B580" s="1" t="n">
        <v>44325</v>
      </c>
      <c r="C580" s="1" t="n">
        <v>45939</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66662-2020</t>
        </is>
      </c>
      <c r="B581" s="1" t="n">
        <v>44179</v>
      </c>
      <c r="C581" s="1" t="n">
        <v>45939</v>
      </c>
      <c r="D581" t="inlineStr">
        <is>
          <t>STOCKHOLMS LÄN</t>
        </is>
      </c>
      <c r="E581" t="inlineStr">
        <is>
          <t>NORRTÄLJE</t>
        </is>
      </c>
      <c r="G581" t="n">
        <v>1.9</v>
      </c>
      <c r="H581" t="n">
        <v>0</v>
      </c>
      <c r="I581" t="n">
        <v>0</v>
      </c>
      <c r="J581" t="n">
        <v>0</v>
      </c>
      <c r="K581" t="n">
        <v>0</v>
      </c>
      <c r="L581" t="n">
        <v>0</v>
      </c>
      <c r="M581" t="n">
        <v>0</v>
      </c>
      <c r="N581" t="n">
        <v>0</v>
      </c>
      <c r="O581" t="n">
        <v>0</v>
      </c>
      <c r="P581" t="n">
        <v>0</v>
      </c>
      <c r="Q581" t="n">
        <v>0</v>
      </c>
      <c r="R581" s="2" t="inlineStr"/>
    </row>
    <row r="582" ht="15" customHeight="1">
      <c r="A582" t="inlineStr">
        <is>
          <t>A 63824-2020</t>
        </is>
      </c>
      <c r="B582" s="1" t="n">
        <v>44162</v>
      </c>
      <c r="C582" s="1" t="n">
        <v>45939</v>
      </c>
      <c r="D582" t="inlineStr">
        <is>
          <t>STOCKHOLMS LÄN</t>
        </is>
      </c>
      <c r="E582" t="inlineStr">
        <is>
          <t>NORRTÄLJE</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5423-2023</t>
        </is>
      </c>
      <c r="B583" s="1" t="n">
        <v>44959.74533564815</v>
      </c>
      <c r="C583" s="1" t="n">
        <v>45939</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58492-2022</t>
        </is>
      </c>
      <c r="B584" s="1" t="n">
        <v>44902</v>
      </c>
      <c r="C584" s="1" t="n">
        <v>45939</v>
      </c>
      <c r="D584" t="inlineStr">
        <is>
          <t>STOCKHOLMS LÄN</t>
        </is>
      </c>
      <c r="E584" t="inlineStr">
        <is>
          <t>NORRTÄLJE</t>
        </is>
      </c>
      <c r="G584" t="n">
        <v>1</v>
      </c>
      <c r="H584" t="n">
        <v>0</v>
      </c>
      <c r="I584" t="n">
        <v>0</v>
      </c>
      <c r="J584" t="n">
        <v>0</v>
      </c>
      <c r="K584" t="n">
        <v>0</v>
      </c>
      <c r="L584" t="n">
        <v>0</v>
      </c>
      <c r="M584" t="n">
        <v>0</v>
      </c>
      <c r="N584" t="n">
        <v>0</v>
      </c>
      <c r="O584" t="n">
        <v>0</v>
      </c>
      <c r="P584" t="n">
        <v>0</v>
      </c>
      <c r="Q584" t="n">
        <v>0</v>
      </c>
      <c r="R584" s="2" t="inlineStr"/>
    </row>
    <row r="585" ht="15" customHeight="1">
      <c r="A585" t="inlineStr">
        <is>
          <t>A 13291-2025</t>
        </is>
      </c>
      <c r="B585" s="1" t="n">
        <v>45735</v>
      </c>
      <c r="C585" s="1" t="n">
        <v>45939</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5027-2025</t>
        </is>
      </c>
      <c r="B586" s="1" t="n">
        <v>45691.41101851852</v>
      </c>
      <c r="C586" s="1" t="n">
        <v>45939</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4581-2025</t>
        </is>
      </c>
      <c r="B587" s="1" t="n">
        <v>45687</v>
      </c>
      <c r="C587" s="1" t="n">
        <v>45939</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65499-2021</t>
        </is>
      </c>
      <c r="B588" s="1" t="n">
        <v>44516</v>
      </c>
      <c r="C588" s="1" t="n">
        <v>45939</v>
      </c>
      <c r="D588" t="inlineStr">
        <is>
          <t>STOCKHOLMS LÄN</t>
        </is>
      </c>
      <c r="E588" t="inlineStr">
        <is>
          <t>NORRTÄLJE</t>
        </is>
      </c>
      <c r="F588" t="inlineStr">
        <is>
          <t>Kommuner</t>
        </is>
      </c>
      <c r="G588" t="n">
        <v>5.2</v>
      </c>
      <c r="H588" t="n">
        <v>0</v>
      </c>
      <c r="I588" t="n">
        <v>0</v>
      </c>
      <c r="J588" t="n">
        <v>0</v>
      </c>
      <c r="K588" t="n">
        <v>0</v>
      </c>
      <c r="L588" t="n">
        <v>0</v>
      </c>
      <c r="M588" t="n">
        <v>0</v>
      </c>
      <c r="N588" t="n">
        <v>0</v>
      </c>
      <c r="O588" t="n">
        <v>0</v>
      </c>
      <c r="P588" t="n">
        <v>0</v>
      </c>
      <c r="Q588" t="n">
        <v>0</v>
      </c>
      <c r="R588" s="2" t="inlineStr"/>
    </row>
    <row r="589" ht="15" customHeight="1">
      <c r="A589" t="inlineStr">
        <is>
          <t>A 36157-2024</t>
        </is>
      </c>
      <c r="B589" s="1" t="n">
        <v>45534.38240740741</v>
      </c>
      <c r="C589" s="1" t="n">
        <v>45939</v>
      </c>
      <c r="D589" t="inlineStr">
        <is>
          <t>STOCKHOLMS LÄN</t>
        </is>
      </c>
      <c r="E589" t="inlineStr">
        <is>
          <t>NORRTÄLJE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62398-2022</t>
        </is>
      </c>
      <c r="B590" s="1" t="n">
        <v>44923.90159722222</v>
      </c>
      <c r="C590" s="1" t="n">
        <v>45939</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20011-2025</t>
        </is>
      </c>
      <c r="B591" s="1" t="n">
        <v>45772.29622685185</v>
      </c>
      <c r="C591" s="1" t="n">
        <v>45939</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25621-2022</t>
        </is>
      </c>
      <c r="B592" s="1" t="n">
        <v>44732</v>
      </c>
      <c r="C592" s="1" t="n">
        <v>45939</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20304-2023</t>
        </is>
      </c>
      <c r="B593" s="1" t="n">
        <v>45056</v>
      </c>
      <c r="C593" s="1" t="n">
        <v>45939</v>
      </c>
      <c r="D593" t="inlineStr">
        <is>
          <t>STOCKHOLMS LÄN</t>
        </is>
      </c>
      <c r="E593" t="inlineStr">
        <is>
          <t>NORRTÄLJE</t>
        </is>
      </c>
      <c r="G593" t="n">
        <v>1.5</v>
      </c>
      <c r="H593" t="n">
        <v>0</v>
      </c>
      <c r="I593" t="n">
        <v>0</v>
      </c>
      <c r="J593" t="n">
        <v>0</v>
      </c>
      <c r="K593" t="n">
        <v>0</v>
      </c>
      <c r="L593" t="n">
        <v>0</v>
      </c>
      <c r="M593" t="n">
        <v>0</v>
      </c>
      <c r="N593" t="n">
        <v>0</v>
      </c>
      <c r="O593" t="n">
        <v>0</v>
      </c>
      <c r="P593" t="n">
        <v>0</v>
      </c>
      <c r="Q593" t="n">
        <v>0</v>
      </c>
      <c r="R593" s="2" t="inlineStr"/>
    </row>
    <row r="594" ht="15" customHeight="1">
      <c r="A594" t="inlineStr">
        <is>
          <t>A 68081-2020</t>
        </is>
      </c>
      <c r="B594" s="1" t="n">
        <v>44183</v>
      </c>
      <c r="C594" s="1" t="n">
        <v>45939</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8315-2025</t>
        </is>
      </c>
      <c r="B595" s="1" t="n">
        <v>45708.61761574074</v>
      </c>
      <c r="C595" s="1" t="n">
        <v>45939</v>
      </c>
      <c r="D595" t="inlineStr">
        <is>
          <t>STOCKHOLMS LÄN</t>
        </is>
      </c>
      <c r="E595" t="inlineStr">
        <is>
          <t>NORRTÄLJE</t>
        </is>
      </c>
      <c r="G595" t="n">
        <v>3.9</v>
      </c>
      <c r="H595" t="n">
        <v>0</v>
      </c>
      <c r="I595" t="n">
        <v>0</v>
      </c>
      <c r="J595" t="n">
        <v>0</v>
      </c>
      <c r="K595" t="n">
        <v>0</v>
      </c>
      <c r="L595" t="n">
        <v>0</v>
      </c>
      <c r="M595" t="n">
        <v>0</v>
      </c>
      <c r="N595" t="n">
        <v>0</v>
      </c>
      <c r="O595" t="n">
        <v>0</v>
      </c>
      <c r="P595" t="n">
        <v>0</v>
      </c>
      <c r="Q595" t="n">
        <v>0</v>
      </c>
      <c r="R595" s="2" t="inlineStr"/>
    </row>
    <row r="596" ht="15" customHeight="1">
      <c r="A596" t="inlineStr">
        <is>
          <t>A 17039-2024</t>
        </is>
      </c>
      <c r="B596" s="1" t="n">
        <v>45412.4104050926</v>
      </c>
      <c r="C596" s="1" t="n">
        <v>45939</v>
      </c>
      <c r="D596" t="inlineStr">
        <is>
          <t>STOCKHOLMS LÄN</t>
        </is>
      </c>
      <c r="E596" t="inlineStr">
        <is>
          <t>NORRTÄLJE</t>
        </is>
      </c>
      <c r="G596" t="n">
        <v>5.9</v>
      </c>
      <c r="H596" t="n">
        <v>0</v>
      </c>
      <c r="I596" t="n">
        <v>0</v>
      </c>
      <c r="J596" t="n">
        <v>0</v>
      </c>
      <c r="K596" t="n">
        <v>0</v>
      </c>
      <c r="L596" t="n">
        <v>0</v>
      </c>
      <c r="M596" t="n">
        <v>0</v>
      </c>
      <c r="N596" t="n">
        <v>0</v>
      </c>
      <c r="O596" t="n">
        <v>0</v>
      </c>
      <c r="P596" t="n">
        <v>0</v>
      </c>
      <c r="Q596" t="n">
        <v>0</v>
      </c>
      <c r="R596" s="2" t="inlineStr"/>
    </row>
    <row r="597" ht="15" customHeight="1">
      <c r="A597" t="inlineStr">
        <is>
          <t>A 35235-2024</t>
        </is>
      </c>
      <c r="B597" s="1" t="n">
        <v>45530</v>
      </c>
      <c r="C597" s="1" t="n">
        <v>45939</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3509-2022</t>
        </is>
      </c>
      <c r="B598" s="1" t="n">
        <v>44585</v>
      </c>
      <c r="C598" s="1" t="n">
        <v>45939</v>
      </c>
      <c r="D598" t="inlineStr">
        <is>
          <t>STOCKHOLMS LÄN</t>
        </is>
      </c>
      <c r="E598" t="inlineStr">
        <is>
          <t>NORRTÄLJE</t>
        </is>
      </c>
      <c r="F598" t="inlineStr">
        <is>
          <t>Kommuner</t>
        </is>
      </c>
      <c r="G598" t="n">
        <v>0.8</v>
      </c>
      <c r="H598" t="n">
        <v>0</v>
      </c>
      <c r="I598" t="n">
        <v>0</v>
      </c>
      <c r="J598" t="n">
        <v>0</v>
      </c>
      <c r="K598" t="n">
        <v>0</v>
      </c>
      <c r="L598" t="n">
        <v>0</v>
      </c>
      <c r="M598" t="n">
        <v>0</v>
      </c>
      <c r="N598" t="n">
        <v>0</v>
      </c>
      <c r="O598" t="n">
        <v>0</v>
      </c>
      <c r="P598" t="n">
        <v>0</v>
      </c>
      <c r="Q598" t="n">
        <v>0</v>
      </c>
      <c r="R598" s="2" t="inlineStr"/>
    </row>
    <row r="599" ht="15" customHeight="1">
      <c r="A599" t="inlineStr">
        <is>
          <t>A 51061-2023</t>
        </is>
      </c>
      <c r="B599" s="1" t="n">
        <v>45218.65849537037</v>
      </c>
      <c r="C599" s="1" t="n">
        <v>45939</v>
      </c>
      <c r="D599" t="inlineStr">
        <is>
          <t>STOCKHOLMS LÄN</t>
        </is>
      </c>
      <c r="E599" t="inlineStr">
        <is>
          <t>NORRTÄLJE</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39213-2022</t>
        </is>
      </c>
      <c r="B600" s="1" t="n">
        <v>44817.56120370371</v>
      </c>
      <c r="C600" s="1" t="n">
        <v>45939</v>
      </c>
      <c r="D600" t="inlineStr">
        <is>
          <t>STOCKHOLMS LÄN</t>
        </is>
      </c>
      <c r="E600" t="inlineStr">
        <is>
          <t>NORRTÄLJE</t>
        </is>
      </c>
      <c r="G600" t="n">
        <v>3.4</v>
      </c>
      <c r="H600" t="n">
        <v>0</v>
      </c>
      <c r="I600" t="n">
        <v>0</v>
      </c>
      <c r="J600" t="n">
        <v>0</v>
      </c>
      <c r="K600" t="n">
        <v>0</v>
      </c>
      <c r="L600" t="n">
        <v>0</v>
      </c>
      <c r="M600" t="n">
        <v>0</v>
      </c>
      <c r="N600" t="n">
        <v>0</v>
      </c>
      <c r="O600" t="n">
        <v>0</v>
      </c>
      <c r="P600" t="n">
        <v>0</v>
      </c>
      <c r="Q600" t="n">
        <v>0</v>
      </c>
      <c r="R600" s="2" t="inlineStr"/>
    </row>
    <row r="601" ht="15" customHeight="1">
      <c r="A601" t="inlineStr">
        <is>
          <t>A 36246-2021</t>
        </is>
      </c>
      <c r="B601" s="1" t="n">
        <v>44390</v>
      </c>
      <c r="C601" s="1" t="n">
        <v>45939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12251-2025</t>
        </is>
      </c>
      <c r="B602" s="1" t="n">
        <v>45729.60859953704</v>
      </c>
      <c r="C602" s="1" t="n">
        <v>45939</v>
      </c>
      <c r="D602" t="inlineStr">
        <is>
          <t>STOCKHOLMS LÄN</t>
        </is>
      </c>
      <c r="E602" t="inlineStr">
        <is>
          <t>NORRTÄLJE</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46415-2025</t>
        </is>
      </c>
      <c r="B603" s="1" t="n">
        <v>45925.58636574074</v>
      </c>
      <c r="C603" s="1" t="n">
        <v>45939</v>
      </c>
      <c r="D603" t="inlineStr">
        <is>
          <t>STOCKHOLMS LÄN</t>
        </is>
      </c>
      <c r="E603" t="inlineStr">
        <is>
          <t>NORRTÄLJE</t>
        </is>
      </c>
      <c r="G603" t="n">
        <v>3.8</v>
      </c>
      <c r="H603" t="n">
        <v>0</v>
      </c>
      <c r="I603" t="n">
        <v>0</v>
      </c>
      <c r="J603" t="n">
        <v>0</v>
      </c>
      <c r="K603" t="n">
        <v>0</v>
      </c>
      <c r="L603" t="n">
        <v>0</v>
      </c>
      <c r="M603" t="n">
        <v>0</v>
      </c>
      <c r="N603" t="n">
        <v>0</v>
      </c>
      <c r="O603" t="n">
        <v>0</v>
      </c>
      <c r="P603" t="n">
        <v>0</v>
      </c>
      <c r="Q603" t="n">
        <v>0</v>
      </c>
      <c r="R603" s="2" t="inlineStr"/>
    </row>
    <row r="604" ht="15" customHeight="1">
      <c r="A604" t="inlineStr">
        <is>
          <t>A 15905-2023</t>
        </is>
      </c>
      <c r="B604" s="1" t="n">
        <v>45022</v>
      </c>
      <c r="C604" s="1" t="n">
        <v>45939</v>
      </c>
      <c r="D604" t="inlineStr">
        <is>
          <t>STOCKHOLMS LÄN</t>
        </is>
      </c>
      <c r="E604" t="inlineStr">
        <is>
          <t>NORRTÄLJE</t>
        </is>
      </c>
      <c r="G604" t="n">
        <v>3.2</v>
      </c>
      <c r="H604" t="n">
        <v>0</v>
      </c>
      <c r="I604" t="n">
        <v>0</v>
      </c>
      <c r="J604" t="n">
        <v>0</v>
      </c>
      <c r="K604" t="n">
        <v>0</v>
      </c>
      <c r="L604" t="n">
        <v>0</v>
      </c>
      <c r="M604" t="n">
        <v>0</v>
      </c>
      <c r="N604" t="n">
        <v>0</v>
      </c>
      <c r="O604" t="n">
        <v>0</v>
      </c>
      <c r="P604" t="n">
        <v>0</v>
      </c>
      <c r="Q604" t="n">
        <v>0</v>
      </c>
      <c r="R604" s="2" t="inlineStr"/>
    </row>
    <row r="605" ht="15" customHeight="1">
      <c r="A605" t="inlineStr">
        <is>
          <t>A 7697-2025</t>
        </is>
      </c>
      <c r="B605" s="1" t="n">
        <v>45706.40086805556</v>
      </c>
      <c r="C605" s="1" t="n">
        <v>45939</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11041-2025</t>
        </is>
      </c>
      <c r="B606" s="1" t="n">
        <v>45723</v>
      </c>
      <c r="C606" s="1" t="n">
        <v>45939</v>
      </c>
      <c r="D606" t="inlineStr">
        <is>
          <t>STOCKHOLMS LÄN</t>
        </is>
      </c>
      <c r="E606" t="inlineStr">
        <is>
          <t>NORRTÄLJE</t>
        </is>
      </c>
      <c r="F606" t="inlineStr">
        <is>
          <t>Övriga Aktiebolag</t>
        </is>
      </c>
      <c r="G606" t="n">
        <v>1.8</v>
      </c>
      <c r="H606" t="n">
        <v>0</v>
      </c>
      <c r="I606" t="n">
        <v>0</v>
      </c>
      <c r="J606" t="n">
        <v>0</v>
      </c>
      <c r="K606" t="n">
        <v>0</v>
      </c>
      <c r="L606" t="n">
        <v>0</v>
      </c>
      <c r="M606" t="n">
        <v>0</v>
      </c>
      <c r="N606" t="n">
        <v>0</v>
      </c>
      <c r="O606" t="n">
        <v>0</v>
      </c>
      <c r="P606" t="n">
        <v>0</v>
      </c>
      <c r="Q606" t="n">
        <v>0</v>
      </c>
      <c r="R606" s="2" t="inlineStr"/>
    </row>
    <row r="607" ht="15" customHeight="1">
      <c r="A607" t="inlineStr">
        <is>
          <t>A 54776-2023</t>
        </is>
      </c>
      <c r="B607" s="1" t="n">
        <v>45236.46369212963</v>
      </c>
      <c r="C607" s="1" t="n">
        <v>45939</v>
      </c>
      <c r="D607" t="inlineStr">
        <is>
          <t>STOCKHOLMS LÄN</t>
        </is>
      </c>
      <c r="E607" t="inlineStr">
        <is>
          <t>NORRTÄLJE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20144-2023</t>
        </is>
      </c>
      <c r="B608" s="1" t="n">
        <v>45055.43509259259</v>
      </c>
      <c r="C608" s="1" t="n">
        <v>45939</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39669-2024</t>
        </is>
      </c>
      <c r="B609" s="1" t="n">
        <v>45552.52827546297</v>
      </c>
      <c r="C609" s="1" t="n">
        <v>45939</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13314-2025</t>
        </is>
      </c>
      <c r="B610" s="1" t="n">
        <v>45735.59287037037</v>
      </c>
      <c r="C610" s="1" t="n">
        <v>45939</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2982-2023</t>
        </is>
      </c>
      <c r="B611" s="1" t="n">
        <v>44945.67409722223</v>
      </c>
      <c r="C611" s="1" t="n">
        <v>45939</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1448-2023</t>
        </is>
      </c>
      <c r="B612" s="1" t="n">
        <v>44937</v>
      </c>
      <c r="C612" s="1" t="n">
        <v>45939</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23056-2023</t>
        </is>
      </c>
      <c r="B613" s="1" t="n">
        <v>45075</v>
      </c>
      <c r="C613" s="1" t="n">
        <v>45939</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44917-2022</t>
        </is>
      </c>
      <c r="B614" s="1" t="n">
        <v>44841.52804398148</v>
      </c>
      <c r="C614" s="1" t="n">
        <v>45939</v>
      </c>
      <c r="D614" t="inlineStr">
        <is>
          <t>STOCKHOLMS LÄN</t>
        </is>
      </c>
      <c r="E614" t="inlineStr">
        <is>
          <t>NORRTÄLJE</t>
        </is>
      </c>
      <c r="F614" t="inlineStr">
        <is>
          <t>Holmen skog AB</t>
        </is>
      </c>
      <c r="G614" t="n">
        <v>3.3</v>
      </c>
      <c r="H614" t="n">
        <v>0</v>
      </c>
      <c r="I614" t="n">
        <v>0</v>
      </c>
      <c r="J614" t="n">
        <v>0</v>
      </c>
      <c r="K614" t="n">
        <v>0</v>
      </c>
      <c r="L614" t="n">
        <v>0</v>
      </c>
      <c r="M614" t="n">
        <v>0</v>
      </c>
      <c r="N614" t="n">
        <v>0</v>
      </c>
      <c r="O614" t="n">
        <v>0</v>
      </c>
      <c r="P614" t="n">
        <v>0</v>
      </c>
      <c r="Q614" t="n">
        <v>0</v>
      </c>
      <c r="R614" s="2" t="inlineStr"/>
    </row>
    <row r="615" ht="15" customHeight="1">
      <c r="A615" t="inlineStr">
        <is>
          <t>A 33173-2024</t>
        </is>
      </c>
      <c r="B615" s="1" t="n">
        <v>45518</v>
      </c>
      <c r="C615" s="1" t="n">
        <v>45939</v>
      </c>
      <c r="D615" t="inlineStr">
        <is>
          <t>STOCKHOLMS LÄN</t>
        </is>
      </c>
      <c r="E615" t="inlineStr">
        <is>
          <t>NORRTÄLJE</t>
        </is>
      </c>
      <c r="G615" t="n">
        <v>0.8</v>
      </c>
      <c r="H615" t="n">
        <v>0</v>
      </c>
      <c r="I615" t="n">
        <v>0</v>
      </c>
      <c r="J615" t="n">
        <v>0</v>
      </c>
      <c r="K615" t="n">
        <v>0</v>
      </c>
      <c r="L615" t="n">
        <v>0</v>
      </c>
      <c r="M615" t="n">
        <v>0</v>
      </c>
      <c r="N615" t="n">
        <v>0</v>
      </c>
      <c r="O615" t="n">
        <v>0</v>
      </c>
      <c r="P615" t="n">
        <v>0</v>
      </c>
      <c r="Q615" t="n">
        <v>0</v>
      </c>
      <c r="R615" s="2" t="inlineStr"/>
    </row>
    <row r="616" ht="15" customHeight="1">
      <c r="A616" t="inlineStr">
        <is>
          <t>A 13172-2025</t>
        </is>
      </c>
      <c r="B616" s="1" t="n">
        <v>45735.36873842592</v>
      </c>
      <c r="C616" s="1" t="n">
        <v>45939</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17551-2025</t>
        </is>
      </c>
      <c r="B617" s="1" t="n">
        <v>45757.61421296297</v>
      </c>
      <c r="C617" s="1" t="n">
        <v>45939</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35127-2023</t>
        </is>
      </c>
      <c r="B618" s="1" t="n">
        <v>45145.51</v>
      </c>
      <c r="C618" s="1" t="n">
        <v>45939</v>
      </c>
      <c r="D618" t="inlineStr">
        <is>
          <t>STOCKHOLMS LÄN</t>
        </is>
      </c>
      <c r="E618" t="inlineStr">
        <is>
          <t>NORRTÄLJE</t>
        </is>
      </c>
      <c r="G618" t="n">
        <v>4.7</v>
      </c>
      <c r="H618" t="n">
        <v>0</v>
      </c>
      <c r="I618" t="n">
        <v>0</v>
      </c>
      <c r="J618" t="n">
        <v>0</v>
      </c>
      <c r="K618" t="n">
        <v>0</v>
      </c>
      <c r="L618" t="n">
        <v>0</v>
      </c>
      <c r="M618" t="n">
        <v>0</v>
      </c>
      <c r="N618" t="n">
        <v>0</v>
      </c>
      <c r="O618" t="n">
        <v>0</v>
      </c>
      <c r="P618" t="n">
        <v>0</v>
      </c>
      <c r="Q618" t="n">
        <v>0</v>
      </c>
      <c r="R618" s="2" t="inlineStr"/>
    </row>
    <row r="619" ht="15" customHeight="1">
      <c r="A619" t="inlineStr">
        <is>
          <t>A 50136-2023</t>
        </is>
      </c>
      <c r="B619" s="1" t="n">
        <v>45215</v>
      </c>
      <c r="C619" s="1" t="n">
        <v>45939</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11229-2022</t>
        </is>
      </c>
      <c r="B620" s="1" t="n">
        <v>44629</v>
      </c>
      <c r="C620" s="1" t="n">
        <v>45939</v>
      </c>
      <c r="D620" t="inlineStr">
        <is>
          <t>STOCKHOLMS LÄN</t>
        </is>
      </c>
      <c r="E620" t="inlineStr">
        <is>
          <t>NORRTÄLJE</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9654-2022</t>
        </is>
      </c>
      <c r="B621" s="1" t="n">
        <v>44617</v>
      </c>
      <c r="C621" s="1" t="n">
        <v>45939</v>
      </c>
      <c r="D621" t="inlineStr">
        <is>
          <t>STOCKHOLMS LÄN</t>
        </is>
      </c>
      <c r="E621" t="inlineStr">
        <is>
          <t>NORRTÄLJE</t>
        </is>
      </c>
      <c r="G621" t="n">
        <v>6.4</v>
      </c>
      <c r="H621" t="n">
        <v>0</v>
      </c>
      <c r="I621" t="n">
        <v>0</v>
      </c>
      <c r="J621" t="n">
        <v>0</v>
      </c>
      <c r="K621" t="n">
        <v>0</v>
      </c>
      <c r="L621" t="n">
        <v>0</v>
      </c>
      <c r="M621" t="n">
        <v>0</v>
      </c>
      <c r="N621" t="n">
        <v>0</v>
      </c>
      <c r="O621" t="n">
        <v>0</v>
      </c>
      <c r="P621" t="n">
        <v>0</v>
      </c>
      <c r="Q621" t="n">
        <v>0</v>
      </c>
      <c r="R621" s="2" t="inlineStr"/>
    </row>
    <row r="622" ht="15" customHeight="1">
      <c r="A622" t="inlineStr">
        <is>
          <t>A 5389-2025</t>
        </is>
      </c>
      <c r="B622" s="1" t="n">
        <v>45692</v>
      </c>
      <c r="C622" s="1" t="n">
        <v>45939</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19025-2025</t>
        </is>
      </c>
      <c r="B623" s="1" t="n">
        <v>45764.6359837963</v>
      </c>
      <c r="C623" s="1" t="n">
        <v>45939</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10678-2025</t>
        </is>
      </c>
      <c r="B624" s="1" t="n">
        <v>45721.89123842592</v>
      </c>
      <c r="C624" s="1" t="n">
        <v>45939</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5867-2022</t>
        </is>
      </c>
      <c r="B625" s="1" t="n">
        <v>44596.66335648148</v>
      </c>
      <c r="C625" s="1" t="n">
        <v>45939</v>
      </c>
      <c r="D625" t="inlineStr">
        <is>
          <t>STOCKHOLMS LÄN</t>
        </is>
      </c>
      <c r="E625" t="inlineStr">
        <is>
          <t>NORRTÄLJE</t>
        </is>
      </c>
      <c r="F625" t="inlineStr">
        <is>
          <t>Naturvårdsverket</t>
        </is>
      </c>
      <c r="G625" t="n">
        <v>1.6</v>
      </c>
      <c r="H625" t="n">
        <v>0</v>
      </c>
      <c r="I625" t="n">
        <v>0</v>
      </c>
      <c r="J625" t="n">
        <v>0</v>
      </c>
      <c r="K625" t="n">
        <v>0</v>
      </c>
      <c r="L625" t="n">
        <v>0</v>
      </c>
      <c r="M625" t="n">
        <v>0</v>
      </c>
      <c r="N625" t="n">
        <v>0</v>
      </c>
      <c r="O625" t="n">
        <v>0</v>
      </c>
      <c r="P625" t="n">
        <v>0</v>
      </c>
      <c r="Q625" t="n">
        <v>0</v>
      </c>
      <c r="R625" s="2" t="inlineStr"/>
    </row>
    <row r="626" ht="15" customHeight="1">
      <c r="A626" t="inlineStr">
        <is>
          <t>A 8370-2025</t>
        </is>
      </c>
      <c r="B626" s="1" t="n">
        <v>45708</v>
      </c>
      <c r="C626" s="1" t="n">
        <v>45939</v>
      </c>
      <c r="D626" t="inlineStr">
        <is>
          <t>STOCKHOLMS LÄN</t>
        </is>
      </c>
      <c r="E626" t="inlineStr">
        <is>
          <t>NORRTÄLJE</t>
        </is>
      </c>
      <c r="F626" t="inlineStr">
        <is>
          <t>Övriga Aktiebolag</t>
        </is>
      </c>
      <c r="G626" t="n">
        <v>5.6</v>
      </c>
      <c r="H626" t="n">
        <v>0</v>
      </c>
      <c r="I626" t="n">
        <v>0</v>
      </c>
      <c r="J626" t="n">
        <v>0</v>
      </c>
      <c r="K626" t="n">
        <v>0</v>
      </c>
      <c r="L626" t="n">
        <v>0</v>
      </c>
      <c r="M626" t="n">
        <v>0</v>
      </c>
      <c r="N626" t="n">
        <v>0</v>
      </c>
      <c r="O626" t="n">
        <v>0</v>
      </c>
      <c r="P626" t="n">
        <v>0</v>
      </c>
      <c r="Q626" t="n">
        <v>0</v>
      </c>
      <c r="R626" s="2" t="inlineStr"/>
    </row>
    <row r="627" ht="15" customHeight="1">
      <c r="A627" t="inlineStr">
        <is>
          <t>A 37147-2023</t>
        </is>
      </c>
      <c r="B627" s="1" t="n">
        <v>45155</v>
      </c>
      <c r="C627" s="1" t="n">
        <v>45939</v>
      </c>
      <c r="D627" t="inlineStr">
        <is>
          <t>STOCKHOLMS LÄN</t>
        </is>
      </c>
      <c r="E627" t="inlineStr">
        <is>
          <t>NORRTÄLJE</t>
        </is>
      </c>
      <c r="G627" t="n">
        <v>8</v>
      </c>
      <c r="H627" t="n">
        <v>0</v>
      </c>
      <c r="I627" t="n">
        <v>0</v>
      </c>
      <c r="J627" t="n">
        <v>0</v>
      </c>
      <c r="K627" t="n">
        <v>0</v>
      </c>
      <c r="L627" t="n">
        <v>0</v>
      </c>
      <c r="M627" t="n">
        <v>0</v>
      </c>
      <c r="N627" t="n">
        <v>0</v>
      </c>
      <c r="O627" t="n">
        <v>0</v>
      </c>
      <c r="P627" t="n">
        <v>0</v>
      </c>
      <c r="Q627" t="n">
        <v>0</v>
      </c>
      <c r="R627" s="2" t="inlineStr"/>
    </row>
    <row r="628" ht="15" customHeight="1">
      <c r="A628" t="inlineStr">
        <is>
          <t>A 59499-2023</t>
        </is>
      </c>
      <c r="B628" s="1" t="n">
        <v>45254</v>
      </c>
      <c r="C628" s="1" t="n">
        <v>45939</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60654-2023</t>
        </is>
      </c>
      <c r="B629" s="1" t="n">
        <v>45260.43225694444</v>
      </c>
      <c r="C629" s="1" t="n">
        <v>45939</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73307-2021</t>
        </is>
      </c>
      <c r="B630" s="1" t="n">
        <v>44549</v>
      </c>
      <c r="C630" s="1" t="n">
        <v>45939</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60656-2023</t>
        </is>
      </c>
      <c r="B631" s="1" t="n">
        <v>45260.4333449074</v>
      </c>
      <c r="C631" s="1" t="n">
        <v>45939</v>
      </c>
      <c r="D631" t="inlineStr">
        <is>
          <t>STOCKHOLMS LÄN</t>
        </is>
      </c>
      <c r="E631" t="inlineStr">
        <is>
          <t>NORRTÄLJE</t>
        </is>
      </c>
      <c r="G631" t="n">
        <v>4.8</v>
      </c>
      <c r="H631" t="n">
        <v>0</v>
      </c>
      <c r="I631" t="n">
        <v>0</v>
      </c>
      <c r="J631" t="n">
        <v>0</v>
      </c>
      <c r="K631" t="n">
        <v>0</v>
      </c>
      <c r="L631" t="n">
        <v>0</v>
      </c>
      <c r="M631" t="n">
        <v>0</v>
      </c>
      <c r="N631" t="n">
        <v>0</v>
      </c>
      <c r="O631" t="n">
        <v>0</v>
      </c>
      <c r="P631" t="n">
        <v>0</v>
      </c>
      <c r="Q631" t="n">
        <v>0</v>
      </c>
      <c r="R631" s="2" t="inlineStr"/>
    </row>
    <row r="632" ht="15" customHeight="1">
      <c r="A632" t="inlineStr">
        <is>
          <t>A 951-2023</t>
        </is>
      </c>
      <c r="B632" s="1" t="n">
        <v>44934</v>
      </c>
      <c r="C632" s="1" t="n">
        <v>45939</v>
      </c>
      <c r="D632" t="inlineStr">
        <is>
          <t>STOCKHOLMS LÄN</t>
        </is>
      </c>
      <c r="E632" t="inlineStr">
        <is>
          <t>NORRTÄLJE</t>
        </is>
      </c>
      <c r="G632" t="n">
        <v>3.7</v>
      </c>
      <c r="H632" t="n">
        <v>0</v>
      </c>
      <c r="I632" t="n">
        <v>0</v>
      </c>
      <c r="J632" t="n">
        <v>0</v>
      </c>
      <c r="K632" t="n">
        <v>0</v>
      </c>
      <c r="L632" t="n">
        <v>0</v>
      </c>
      <c r="M632" t="n">
        <v>0</v>
      </c>
      <c r="N632" t="n">
        <v>0</v>
      </c>
      <c r="O632" t="n">
        <v>0</v>
      </c>
      <c r="P632" t="n">
        <v>0</v>
      </c>
      <c r="Q632" t="n">
        <v>0</v>
      </c>
      <c r="R632" s="2" t="inlineStr"/>
    </row>
    <row r="633" ht="15" customHeight="1">
      <c r="A633" t="inlineStr">
        <is>
          <t>A 58493-2020</t>
        </is>
      </c>
      <c r="B633" s="1" t="n">
        <v>44145</v>
      </c>
      <c r="C633" s="1" t="n">
        <v>45939</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21731-2023</t>
        </is>
      </c>
      <c r="B634" s="1" t="n">
        <v>45063</v>
      </c>
      <c r="C634" s="1" t="n">
        <v>45939</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21745-2023</t>
        </is>
      </c>
      <c r="B635" s="1" t="n">
        <v>45065.55917824074</v>
      </c>
      <c r="C635" s="1" t="n">
        <v>45939</v>
      </c>
      <c r="D635" t="inlineStr">
        <is>
          <t>STOCKHOLMS LÄN</t>
        </is>
      </c>
      <c r="E635" t="inlineStr">
        <is>
          <t>NORRTÄLJE</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22697-2022</t>
        </is>
      </c>
      <c r="B636" s="1" t="n">
        <v>44714.56040509259</v>
      </c>
      <c r="C636" s="1" t="n">
        <v>45939</v>
      </c>
      <c r="D636" t="inlineStr">
        <is>
          <t>STOCKHOLMS LÄN</t>
        </is>
      </c>
      <c r="E636" t="inlineStr">
        <is>
          <t>NORRTÄLJE</t>
        </is>
      </c>
      <c r="G636" t="n">
        <v>5.6</v>
      </c>
      <c r="H636" t="n">
        <v>0</v>
      </c>
      <c r="I636" t="n">
        <v>0</v>
      </c>
      <c r="J636" t="n">
        <v>0</v>
      </c>
      <c r="K636" t="n">
        <v>0</v>
      </c>
      <c r="L636" t="n">
        <v>0</v>
      </c>
      <c r="M636" t="n">
        <v>0</v>
      </c>
      <c r="N636" t="n">
        <v>0</v>
      </c>
      <c r="O636" t="n">
        <v>0</v>
      </c>
      <c r="P636" t="n">
        <v>0</v>
      </c>
      <c r="Q636" t="n">
        <v>0</v>
      </c>
      <c r="R636" s="2" t="inlineStr"/>
    </row>
    <row r="637" ht="15" customHeight="1">
      <c r="A637" t="inlineStr">
        <is>
          <t>A 32100-2022</t>
        </is>
      </c>
      <c r="B637" s="1" t="n">
        <v>44778</v>
      </c>
      <c r="C637" s="1" t="n">
        <v>45939</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2888-2022</t>
        </is>
      </c>
      <c r="B638" s="1" t="n">
        <v>44581</v>
      </c>
      <c r="C638" s="1" t="n">
        <v>45939</v>
      </c>
      <c r="D638" t="inlineStr">
        <is>
          <t>STOCKHOLMS LÄN</t>
        </is>
      </c>
      <c r="E638" t="inlineStr">
        <is>
          <t>NORRTÄLJE</t>
        </is>
      </c>
      <c r="G638" t="n">
        <v>2.4</v>
      </c>
      <c r="H638" t="n">
        <v>0</v>
      </c>
      <c r="I638" t="n">
        <v>0</v>
      </c>
      <c r="J638" t="n">
        <v>0</v>
      </c>
      <c r="K638" t="n">
        <v>0</v>
      </c>
      <c r="L638" t="n">
        <v>0</v>
      </c>
      <c r="M638" t="n">
        <v>0</v>
      </c>
      <c r="N638" t="n">
        <v>0</v>
      </c>
      <c r="O638" t="n">
        <v>0</v>
      </c>
      <c r="P638" t="n">
        <v>0</v>
      </c>
      <c r="Q638" t="n">
        <v>0</v>
      </c>
      <c r="R638" s="2" t="inlineStr"/>
    </row>
    <row r="639" ht="15" customHeight="1">
      <c r="A639" t="inlineStr">
        <is>
          <t>A 30221-2024</t>
        </is>
      </c>
      <c r="B639" s="1" t="n">
        <v>45490.45342592592</v>
      </c>
      <c r="C639" s="1" t="n">
        <v>45939</v>
      </c>
      <c r="D639" t="inlineStr">
        <is>
          <t>STOCKHOLMS LÄN</t>
        </is>
      </c>
      <c r="E639" t="inlineStr">
        <is>
          <t>NORRTÄLJE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11902-2024</t>
        </is>
      </c>
      <c r="B640" s="1" t="n">
        <v>45376.55704861111</v>
      </c>
      <c r="C640" s="1" t="n">
        <v>45939</v>
      </c>
      <c r="D640" t="inlineStr">
        <is>
          <t>STOCKHOLMS LÄN</t>
        </is>
      </c>
      <c r="E640" t="inlineStr">
        <is>
          <t>NORRTÄLJE</t>
        </is>
      </c>
      <c r="G640" t="n">
        <v>2.5</v>
      </c>
      <c r="H640" t="n">
        <v>0</v>
      </c>
      <c r="I640" t="n">
        <v>0</v>
      </c>
      <c r="J640" t="n">
        <v>0</v>
      </c>
      <c r="K640" t="n">
        <v>0</v>
      </c>
      <c r="L640" t="n">
        <v>0</v>
      </c>
      <c r="M640" t="n">
        <v>0</v>
      </c>
      <c r="N640" t="n">
        <v>0</v>
      </c>
      <c r="O640" t="n">
        <v>0</v>
      </c>
      <c r="P640" t="n">
        <v>0</v>
      </c>
      <c r="Q640" t="n">
        <v>0</v>
      </c>
      <c r="R640" s="2" t="inlineStr"/>
    </row>
    <row r="641" ht="15" customHeight="1">
      <c r="A641" t="inlineStr">
        <is>
          <t>A 26365-2024</t>
        </is>
      </c>
      <c r="B641" s="1" t="n">
        <v>45469</v>
      </c>
      <c r="C641" s="1" t="n">
        <v>45939</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50602-2021</t>
        </is>
      </c>
      <c r="B642" s="1" t="n">
        <v>44459</v>
      </c>
      <c r="C642" s="1" t="n">
        <v>45939</v>
      </c>
      <c r="D642" t="inlineStr">
        <is>
          <t>STOCKHOLMS LÄN</t>
        </is>
      </c>
      <c r="E642" t="inlineStr">
        <is>
          <t>NORRTÄLJE</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13-2024</t>
        </is>
      </c>
      <c r="B643" s="1" t="n">
        <v>45293.37263888889</v>
      </c>
      <c r="C643" s="1" t="n">
        <v>45939</v>
      </c>
      <c r="D643" t="inlineStr">
        <is>
          <t>STOCKHOLMS LÄN</t>
        </is>
      </c>
      <c r="E643" t="inlineStr">
        <is>
          <t>NORRTÄLJE</t>
        </is>
      </c>
      <c r="G643" t="n">
        <v>1.6</v>
      </c>
      <c r="H643" t="n">
        <v>0</v>
      </c>
      <c r="I643" t="n">
        <v>0</v>
      </c>
      <c r="J643" t="n">
        <v>0</v>
      </c>
      <c r="K643" t="n">
        <v>0</v>
      </c>
      <c r="L643" t="n">
        <v>0</v>
      </c>
      <c r="M643" t="n">
        <v>0</v>
      </c>
      <c r="N643" t="n">
        <v>0</v>
      </c>
      <c r="O643" t="n">
        <v>0</v>
      </c>
      <c r="P643" t="n">
        <v>0</v>
      </c>
      <c r="Q643" t="n">
        <v>0</v>
      </c>
      <c r="R643" s="2" t="inlineStr"/>
    </row>
    <row r="644" ht="15" customHeight="1">
      <c r="A644" t="inlineStr">
        <is>
          <t>A 58260-2023</t>
        </is>
      </c>
      <c r="B644" s="1" t="n">
        <v>45245</v>
      </c>
      <c r="C644" s="1" t="n">
        <v>45939</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58261-2023</t>
        </is>
      </c>
      <c r="B645" s="1" t="n">
        <v>45245</v>
      </c>
      <c r="C645" s="1" t="n">
        <v>45939</v>
      </c>
      <c r="D645" t="inlineStr">
        <is>
          <t>STOCKHOLMS LÄN</t>
        </is>
      </c>
      <c r="E645" t="inlineStr">
        <is>
          <t>NORRTÄLJE</t>
        </is>
      </c>
      <c r="G645" t="n">
        <v>53.5</v>
      </c>
      <c r="H645" t="n">
        <v>0</v>
      </c>
      <c r="I645" t="n">
        <v>0</v>
      </c>
      <c r="J645" t="n">
        <v>0</v>
      </c>
      <c r="K645" t="n">
        <v>0</v>
      </c>
      <c r="L645" t="n">
        <v>0</v>
      </c>
      <c r="M645" t="n">
        <v>0</v>
      </c>
      <c r="N645" t="n">
        <v>0</v>
      </c>
      <c r="O645" t="n">
        <v>0</v>
      </c>
      <c r="P645" t="n">
        <v>0</v>
      </c>
      <c r="Q645" t="n">
        <v>0</v>
      </c>
      <c r="R645" s="2" t="inlineStr"/>
    </row>
    <row r="646" ht="15" customHeight="1">
      <c r="A646" t="inlineStr">
        <is>
          <t>A 48798-2021</t>
        </is>
      </c>
      <c r="B646" s="1" t="n">
        <v>44452</v>
      </c>
      <c r="C646" s="1" t="n">
        <v>45939</v>
      </c>
      <c r="D646" t="inlineStr">
        <is>
          <t>STOCKHOLMS LÄN</t>
        </is>
      </c>
      <c r="E646" t="inlineStr">
        <is>
          <t>NORRTÄLJE</t>
        </is>
      </c>
      <c r="G646" t="n">
        <v>2</v>
      </c>
      <c r="H646" t="n">
        <v>0</v>
      </c>
      <c r="I646" t="n">
        <v>0</v>
      </c>
      <c r="J646" t="n">
        <v>0</v>
      </c>
      <c r="K646" t="n">
        <v>0</v>
      </c>
      <c r="L646" t="n">
        <v>0</v>
      </c>
      <c r="M646" t="n">
        <v>0</v>
      </c>
      <c r="N646" t="n">
        <v>0</v>
      </c>
      <c r="O646" t="n">
        <v>0</v>
      </c>
      <c r="P646" t="n">
        <v>0</v>
      </c>
      <c r="Q646" t="n">
        <v>0</v>
      </c>
      <c r="R646" s="2" t="inlineStr"/>
    </row>
    <row r="647" ht="15" customHeight="1">
      <c r="A647" t="inlineStr">
        <is>
          <t>A 4553-2023</t>
        </is>
      </c>
      <c r="B647" s="1" t="n">
        <v>44956.65920138889</v>
      </c>
      <c r="C647" s="1" t="n">
        <v>45939</v>
      </c>
      <c r="D647" t="inlineStr">
        <is>
          <t>STOCKHOLMS LÄN</t>
        </is>
      </c>
      <c r="E647" t="inlineStr">
        <is>
          <t>NORRTÄLJE</t>
        </is>
      </c>
      <c r="G647" t="n">
        <v>7.5</v>
      </c>
      <c r="H647" t="n">
        <v>0</v>
      </c>
      <c r="I647" t="n">
        <v>0</v>
      </c>
      <c r="J647" t="n">
        <v>0</v>
      </c>
      <c r="K647" t="n">
        <v>0</v>
      </c>
      <c r="L647" t="n">
        <v>0</v>
      </c>
      <c r="M647" t="n">
        <v>0</v>
      </c>
      <c r="N647" t="n">
        <v>0</v>
      </c>
      <c r="O647" t="n">
        <v>0</v>
      </c>
      <c r="P647" t="n">
        <v>0</v>
      </c>
      <c r="Q647" t="n">
        <v>0</v>
      </c>
      <c r="R647" s="2" t="inlineStr"/>
    </row>
    <row r="648" ht="15" customHeight="1">
      <c r="A648" t="inlineStr">
        <is>
          <t>A 875-2023</t>
        </is>
      </c>
      <c r="B648" s="1" t="n">
        <v>44931.65626157408</v>
      </c>
      <c r="C648" s="1" t="n">
        <v>45939</v>
      </c>
      <c r="D648" t="inlineStr">
        <is>
          <t>STOCKHOLMS LÄN</t>
        </is>
      </c>
      <c r="E648" t="inlineStr">
        <is>
          <t>NORRTÄLJE</t>
        </is>
      </c>
      <c r="G648" t="n">
        <v>2.2</v>
      </c>
      <c r="H648" t="n">
        <v>0</v>
      </c>
      <c r="I648" t="n">
        <v>0</v>
      </c>
      <c r="J648" t="n">
        <v>0</v>
      </c>
      <c r="K648" t="n">
        <v>0</v>
      </c>
      <c r="L648" t="n">
        <v>0</v>
      </c>
      <c r="M648" t="n">
        <v>0</v>
      </c>
      <c r="N648" t="n">
        <v>0</v>
      </c>
      <c r="O648" t="n">
        <v>0</v>
      </c>
      <c r="P648" t="n">
        <v>0</v>
      </c>
      <c r="Q648" t="n">
        <v>0</v>
      </c>
      <c r="R648" s="2" t="inlineStr"/>
    </row>
    <row r="649" ht="15" customHeight="1">
      <c r="A649" t="inlineStr">
        <is>
          <t>A 24575-2024</t>
        </is>
      </c>
      <c r="B649" s="1" t="n">
        <v>45460.45523148148</v>
      </c>
      <c r="C649" s="1" t="n">
        <v>45939</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19-2024</t>
        </is>
      </c>
      <c r="B650" s="1" t="n">
        <v>45293</v>
      </c>
      <c r="C650" s="1" t="n">
        <v>45939</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53607-2020</t>
        </is>
      </c>
      <c r="B651" s="1" t="n">
        <v>44124</v>
      </c>
      <c r="C651" s="1" t="n">
        <v>45939</v>
      </c>
      <c r="D651" t="inlineStr">
        <is>
          <t>STOCKHOLMS LÄN</t>
        </is>
      </c>
      <c r="E651" t="inlineStr">
        <is>
          <t>NORRTÄLJE</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11333-2025</t>
        </is>
      </c>
      <c r="B652" s="1" t="n">
        <v>45726.48377314815</v>
      </c>
      <c r="C652" s="1" t="n">
        <v>45939</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21529-2021</t>
        </is>
      </c>
      <c r="B653" s="1" t="n">
        <v>44321</v>
      </c>
      <c r="C653" s="1" t="n">
        <v>45939</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48180-2023</t>
        </is>
      </c>
      <c r="B654" s="1" t="n">
        <v>45205</v>
      </c>
      <c r="C654" s="1" t="n">
        <v>45939</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47497-2025</t>
        </is>
      </c>
      <c r="B655" s="1" t="n">
        <v>45930.80217592593</v>
      </c>
      <c r="C655" s="1" t="n">
        <v>45939</v>
      </c>
      <c r="D655" t="inlineStr">
        <is>
          <t>STOCKHOLMS LÄN</t>
        </is>
      </c>
      <c r="E655" t="inlineStr">
        <is>
          <t>NORRTÄLJE</t>
        </is>
      </c>
      <c r="F655" t="inlineStr">
        <is>
          <t>Holmen skog AB</t>
        </is>
      </c>
      <c r="G655" t="n">
        <v>1</v>
      </c>
      <c r="H655" t="n">
        <v>0</v>
      </c>
      <c r="I655" t="n">
        <v>0</v>
      </c>
      <c r="J655" t="n">
        <v>0</v>
      </c>
      <c r="K655" t="n">
        <v>0</v>
      </c>
      <c r="L655" t="n">
        <v>0</v>
      </c>
      <c r="M655" t="n">
        <v>0</v>
      </c>
      <c r="N655" t="n">
        <v>0</v>
      </c>
      <c r="O655" t="n">
        <v>0</v>
      </c>
      <c r="P655" t="n">
        <v>0</v>
      </c>
      <c r="Q655" t="n">
        <v>0</v>
      </c>
      <c r="R655" s="2" t="inlineStr"/>
    </row>
    <row r="656" ht="15" customHeight="1">
      <c r="A656" t="inlineStr">
        <is>
          <t>A 57353-2024</t>
        </is>
      </c>
      <c r="B656" s="1" t="n">
        <v>45629.65143518519</v>
      </c>
      <c r="C656" s="1" t="n">
        <v>45939</v>
      </c>
      <c r="D656" t="inlineStr">
        <is>
          <t>STOCKHOLMS LÄN</t>
        </is>
      </c>
      <c r="E656" t="inlineStr">
        <is>
          <t>NORRTÄLJE</t>
        </is>
      </c>
      <c r="F656" t="inlineStr">
        <is>
          <t>Holmen skog AB</t>
        </is>
      </c>
      <c r="G656" t="n">
        <v>0.9</v>
      </c>
      <c r="H656" t="n">
        <v>0</v>
      </c>
      <c r="I656" t="n">
        <v>0</v>
      </c>
      <c r="J656" t="n">
        <v>0</v>
      </c>
      <c r="K656" t="n">
        <v>0</v>
      </c>
      <c r="L656" t="n">
        <v>0</v>
      </c>
      <c r="M656" t="n">
        <v>0</v>
      </c>
      <c r="N656" t="n">
        <v>0</v>
      </c>
      <c r="O656" t="n">
        <v>0</v>
      </c>
      <c r="P656" t="n">
        <v>0</v>
      </c>
      <c r="Q656" t="n">
        <v>0</v>
      </c>
      <c r="R656" s="2" t="inlineStr"/>
    </row>
    <row r="657" ht="15" customHeight="1">
      <c r="A657" t="inlineStr">
        <is>
          <t>A 39149-2025</t>
        </is>
      </c>
      <c r="B657" s="1" t="n">
        <v>45888.60714120371</v>
      </c>
      <c r="C657" s="1" t="n">
        <v>45939</v>
      </c>
      <c r="D657" t="inlineStr">
        <is>
          <t>STOCKHOLMS LÄN</t>
        </is>
      </c>
      <c r="E657" t="inlineStr">
        <is>
          <t>NORRTÄLJE</t>
        </is>
      </c>
      <c r="G657" t="n">
        <v>3.5</v>
      </c>
      <c r="H657" t="n">
        <v>0</v>
      </c>
      <c r="I657" t="n">
        <v>0</v>
      </c>
      <c r="J657" t="n">
        <v>0</v>
      </c>
      <c r="K657" t="n">
        <v>0</v>
      </c>
      <c r="L657" t="n">
        <v>0</v>
      </c>
      <c r="M657" t="n">
        <v>0</v>
      </c>
      <c r="N657" t="n">
        <v>0</v>
      </c>
      <c r="O657" t="n">
        <v>0</v>
      </c>
      <c r="P657" t="n">
        <v>0</v>
      </c>
      <c r="Q657" t="n">
        <v>0</v>
      </c>
      <c r="R657" s="2" t="inlineStr"/>
    </row>
    <row r="658" ht="15" customHeight="1">
      <c r="A658" t="inlineStr">
        <is>
          <t>A 47498-2025</t>
        </is>
      </c>
      <c r="B658" s="1" t="n">
        <v>45930.8134375</v>
      </c>
      <c r="C658" s="1" t="n">
        <v>45939</v>
      </c>
      <c r="D658" t="inlineStr">
        <is>
          <t>STOCKHOLMS LÄN</t>
        </is>
      </c>
      <c r="E658" t="inlineStr">
        <is>
          <t>NORRTÄLJE</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38720-2025</t>
        </is>
      </c>
      <c r="B659" s="1" t="n">
        <v>45886</v>
      </c>
      <c r="C659" s="1" t="n">
        <v>45939</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47460-2025</t>
        </is>
      </c>
      <c r="B660" s="1" t="n">
        <v>45930.66012731481</v>
      </c>
      <c r="C660" s="1" t="n">
        <v>45939</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31827-2023</t>
        </is>
      </c>
      <c r="B661" s="1" t="n">
        <v>45118</v>
      </c>
      <c r="C661" s="1" t="n">
        <v>45939</v>
      </c>
      <c r="D661" t="inlineStr">
        <is>
          <t>STOCKHOLMS LÄN</t>
        </is>
      </c>
      <c r="E661" t="inlineStr">
        <is>
          <t>NORRTÄLJE</t>
        </is>
      </c>
      <c r="F661" t="inlineStr">
        <is>
          <t>Kyrkan</t>
        </is>
      </c>
      <c r="G661" t="n">
        <v>4.9</v>
      </c>
      <c r="H661" t="n">
        <v>0</v>
      </c>
      <c r="I661" t="n">
        <v>0</v>
      </c>
      <c r="J661" t="n">
        <v>0</v>
      </c>
      <c r="K661" t="n">
        <v>0</v>
      </c>
      <c r="L661" t="n">
        <v>0</v>
      </c>
      <c r="M661" t="n">
        <v>0</v>
      </c>
      <c r="N661" t="n">
        <v>0</v>
      </c>
      <c r="O661" t="n">
        <v>0</v>
      </c>
      <c r="P661" t="n">
        <v>0</v>
      </c>
      <c r="Q661" t="n">
        <v>0</v>
      </c>
      <c r="R661" s="2" t="inlineStr"/>
    </row>
    <row r="662" ht="15" customHeight="1">
      <c r="A662" t="inlineStr">
        <is>
          <t>A 55696-2022</t>
        </is>
      </c>
      <c r="B662" s="1" t="n">
        <v>44888</v>
      </c>
      <c r="C662" s="1" t="n">
        <v>45939</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10973-2025</t>
        </is>
      </c>
      <c r="B663" s="1" t="n">
        <v>45723</v>
      </c>
      <c r="C663" s="1" t="n">
        <v>45939</v>
      </c>
      <c r="D663" t="inlineStr">
        <is>
          <t>STOCKHOLMS LÄN</t>
        </is>
      </c>
      <c r="E663" t="inlineStr">
        <is>
          <t>NORRTÄLJE</t>
        </is>
      </c>
      <c r="F663" t="inlineStr">
        <is>
          <t>Övriga Aktiebolag</t>
        </is>
      </c>
      <c r="G663" t="n">
        <v>2.7</v>
      </c>
      <c r="H663" t="n">
        <v>0</v>
      </c>
      <c r="I663" t="n">
        <v>0</v>
      </c>
      <c r="J663" t="n">
        <v>0</v>
      </c>
      <c r="K663" t="n">
        <v>0</v>
      </c>
      <c r="L663" t="n">
        <v>0</v>
      </c>
      <c r="M663" t="n">
        <v>0</v>
      </c>
      <c r="N663" t="n">
        <v>0</v>
      </c>
      <c r="O663" t="n">
        <v>0</v>
      </c>
      <c r="P663" t="n">
        <v>0</v>
      </c>
      <c r="Q663" t="n">
        <v>0</v>
      </c>
      <c r="R663" s="2" t="inlineStr"/>
    </row>
    <row r="664" ht="15" customHeight="1">
      <c r="A664" t="inlineStr">
        <is>
          <t>A 50907-2022</t>
        </is>
      </c>
      <c r="B664" s="1" t="n">
        <v>44867.62090277778</v>
      </c>
      <c r="C664" s="1" t="n">
        <v>45939</v>
      </c>
      <c r="D664" t="inlineStr">
        <is>
          <t>STOCKHOLMS LÄN</t>
        </is>
      </c>
      <c r="E664" t="inlineStr">
        <is>
          <t>NORRTÄLJE</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6919-2025</t>
        </is>
      </c>
      <c r="B665" s="1" t="n">
        <v>45701.44372685185</v>
      </c>
      <c r="C665" s="1" t="n">
        <v>45939</v>
      </c>
      <c r="D665" t="inlineStr">
        <is>
          <t>STOCKHOLMS LÄN</t>
        </is>
      </c>
      <c r="E665" t="inlineStr">
        <is>
          <t>NORRTÄLJE</t>
        </is>
      </c>
      <c r="G665" t="n">
        <v>3.5</v>
      </c>
      <c r="H665" t="n">
        <v>0</v>
      </c>
      <c r="I665" t="n">
        <v>0</v>
      </c>
      <c r="J665" t="n">
        <v>0</v>
      </c>
      <c r="K665" t="n">
        <v>0</v>
      </c>
      <c r="L665" t="n">
        <v>0</v>
      </c>
      <c r="M665" t="n">
        <v>0</v>
      </c>
      <c r="N665" t="n">
        <v>0</v>
      </c>
      <c r="O665" t="n">
        <v>0</v>
      </c>
      <c r="P665" t="n">
        <v>0</v>
      </c>
      <c r="Q665" t="n">
        <v>0</v>
      </c>
      <c r="R665" s="2" t="inlineStr"/>
    </row>
    <row r="666" ht="15" customHeight="1">
      <c r="A666" t="inlineStr">
        <is>
          <t>A 53362-2023</t>
        </is>
      </c>
      <c r="B666" s="1" t="n">
        <v>45223</v>
      </c>
      <c r="C666" s="1" t="n">
        <v>45939</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54496-2024</t>
        </is>
      </c>
      <c r="B667" s="1" t="n">
        <v>45617.57439814815</v>
      </c>
      <c r="C667" s="1" t="n">
        <v>45939</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30283-2022</t>
        </is>
      </c>
      <c r="B668" s="1" t="n">
        <v>44760</v>
      </c>
      <c r="C668" s="1" t="n">
        <v>45939</v>
      </c>
      <c r="D668" t="inlineStr">
        <is>
          <t>STOCKHOLMS LÄN</t>
        </is>
      </c>
      <c r="E668" t="inlineStr">
        <is>
          <t>NORRTÄLJE</t>
        </is>
      </c>
      <c r="G668" t="n">
        <v>6.2</v>
      </c>
      <c r="H668" t="n">
        <v>0</v>
      </c>
      <c r="I668" t="n">
        <v>0</v>
      </c>
      <c r="J668" t="n">
        <v>0</v>
      </c>
      <c r="K668" t="n">
        <v>0</v>
      </c>
      <c r="L668" t="n">
        <v>0</v>
      </c>
      <c r="M668" t="n">
        <v>0</v>
      </c>
      <c r="N668" t="n">
        <v>0</v>
      </c>
      <c r="O668" t="n">
        <v>0</v>
      </c>
      <c r="P668" t="n">
        <v>0</v>
      </c>
      <c r="Q668" t="n">
        <v>0</v>
      </c>
      <c r="R668" s="2" t="inlineStr"/>
    </row>
    <row r="669" ht="15" customHeight="1">
      <c r="A669" t="inlineStr">
        <is>
          <t>A 47496-2025</t>
        </is>
      </c>
      <c r="B669" s="1" t="n">
        <v>45930.79252314815</v>
      </c>
      <c r="C669" s="1" t="n">
        <v>45939</v>
      </c>
      <c r="D669" t="inlineStr">
        <is>
          <t>STOCKHOLMS LÄN</t>
        </is>
      </c>
      <c r="E669" t="inlineStr">
        <is>
          <t>NORRTÄLJE</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30290-2022</t>
        </is>
      </c>
      <c r="B670" s="1" t="n">
        <v>44760</v>
      </c>
      <c r="C670" s="1" t="n">
        <v>45939</v>
      </c>
      <c r="D670" t="inlineStr">
        <is>
          <t>STOCKHOLMS LÄN</t>
        </is>
      </c>
      <c r="E670" t="inlineStr">
        <is>
          <t>NORRTÄLJE</t>
        </is>
      </c>
      <c r="G670" t="n">
        <v>4.8</v>
      </c>
      <c r="H670" t="n">
        <v>0</v>
      </c>
      <c r="I670" t="n">
        <v>0</v>
      </c>
      <c r="J670" t="n">
        <v>0</v>
      </c>
      <c r="K670" t="n">
        <v>0</v>
      </c>
      <c r="L670" t="n">
        <v>0</v>
      </c>
      <c r="M670" t="n">
        <v>0</v>
      </c>
      <c r="N670" t="n">
        <v>0</v>
      </c>
      <c r="O670" t="n">
        <v>0</v>
      </c>
      <c r="P670" t="n">
        <v>0</v>
      </c>
      <c r="Q670" t="n">
        <v>0</v>
      </c>
      <c r="R670" s="2" t="inlineStr"/>
    </row>
    <row r="671" ht="15" customHeight="1">
      <c r="A671" t="inlineStr">
        <is>
          <t>A 38985-2022</t>
        </is>
      </c>
      <c r="B671" s="1" t="n">
        <v>44816</v>
      </c>
      <c r="C671" s="1" t="n">
        <v>45939</v>
      </c>
      <c r="D671" t="inlineStr">
        <is>
          <t>STOCKHOLMS LÄN</t>
        </is>
      </c>
      <c r="E671" t="inlineStr">
        <is>
          <t>NORRTÄLJE</t>
        </is>
      </c>
      <c r="G671" t="n">
        <v>10.1</v>
      </c>
      <c r="H671" t="n">
        <v>0</v>
      </c>
      <c r="I671" t="n">
        <v>0</v>
      </c>
      <c r="J671" t="n">
        <v>0</v>
      </c>
      <c r="K671" t="n">
        <v>0</v>
      </c>
      <c r="L671" t="n">
        <v>0</v>
      </c>
      <c r="M671" t="n">
        <v>0</v>
      </c>
      <c r="N671" t="n">
        <v>0</v>
      </c>
      <c r="O671" t="n">
        <v>0</v>
      </c>
      <c r="P671" t="n">
        <v>0</v>
      </c>
      <c r="Q671" t="n">
        <v>0</v>
      </c>
      <c r="R671" s="2" t="inlineStr"/>
    </row>
    <row r="672" ht="15" customHeight="1">
      <c r="A672" t="inlineStr">
        <is>
          <t>A 25625-2023</t>
        </is>
      </c>
      <c r="B672" s="1" t="n">
        <v>45089</v>
      </c>
      <c r="C672" s="1" t="n">
        <v>45939</v>
      </c>
      <c r="D672" t="inlineStr">
        <is>
          <t>STOCKHOLMS LÄN</t>
        </is>
      </c>
      <c r="E672" t="inlineStr">
        <is>
          <t>NORRTÄLJE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7796-2025</t>
        </is>
      </c>
      <c r="B673" s="1" t="n">
        <v>45706.60130787037</v>
      </c>
      <c r="C673" s="1" t="n">
        <v>45939</v>
      </c>
      <c r="D673" t="inlineStr">
        <is>
          <t>STOCKHOLMS LÄN</t>
        </is>
      </c>
      <c r="E673" t="inlineStr">
        <is>
          <t>NORRTÄLJE</t>
        </is>
      </c>
      <c r="F673" t="inlineStr">
        <is>
          <t>Holmen skog AB</t>
        </is>
      </c>
      <c r="G673" t="n">
        <v>2.4</v>
      </c>
      <c r="H673" t="n">
        <v>0</v>
      </c>
      <c r="I673" t="n">
        <v>0</v>
      </c>
      <c r="J673" t="n">
        <v>0</v>
      </c>
      <c r="K673" t="n">
        <v>0</v>
      </c>
      <c r="L673" t="n">
        <v>0</v>
      </c>
      <c r="M673" t="n">
        <v>0</v>
      </c>
      <c r="N673" t="n">
        <v>0</v>
      </c>
      <c r="O673" t="n">
        <v>0</v>
      </c>
      <c r="P673" t="n">
        <v>0</v>
      </c>
      <c r="Q673" t="n">
        <v>0</v>
      </c>
      <c r="R673" s="2" t="inlineStr"/>
    </row>
    <row r="674" ht="15" customHeight="1">
      <c r="A674" t="inlineStr">
        <is>
          <t>A 59767-2022</t>
        </is>
      </c>
      <c r="B674" s="1" t="n">
        <v>44900</v>
      </c>
      <c r="C674" s="1" t="n">
        <v>45939</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22756-2022</t>
        </is>
      </c>
      <c r="B675" s="1" t="n">
        <v>44714.92253472222</v>
      </c>
      <c r="C675" s="1" t="n">
        <v>45939</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39152-2025</t>
        </is>
      </c>
      <c r="B676" s="1" t="n">
        <v>45888</v>
      </c>
      <c r="C676" s="1" t="n">
        <v>45939</v>
      </c>
      <c r="D676" t="inlineStr">
        <is>
          <t>STOCKHOLMS LÄN</t>
        </is>
      </c>
      <c r="E676" t="inlineStr">
        <is>
          <t>NORRTÄLJE</t>
        </is>
      </c>
      <c r="G676" t="n">
        <v>4.6</v>
      </c>
      <c r="H676" t="n">
        <v>0</v>
      </c>
      <c r="I676" t="n">
        <v>0</v>
      </c>
      <c r="J676" t="n">
        <v>0</v>
      </c>
      <c r="K676" t="n">
        <v>0</v>
      </c>
      <c r="L676" t="n">
        <v>0</v>
      </c>
      <c r="M676" t="n">
        <v>0</v>
      </c>
      <c r="N676" t="n">
        <v>0</v>
      </c>
      <c r="O676" t="n">
        <v>0</v>
      </c>
      <c r="P676" t="n">
        <v>0</v>
      </c>
      <c r="Q676" t="n">
        <v>0</v>
      </c>
      <c r="R676" s="2" t="inlineStr"/>
    </row>
    <row r="677" ht="15" customHeight="1">
      <c r="A677" t="inlineStr">
        <is>
          <t>A 8433-2022</t>
        </is>
      </c>
      <c r="B677" s="1" t="n">
        <v>44611</v>
      </c>
      <c r="C677" s="1" t="n">
        <v>45939</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58311-2023</t>
        </is>
      </c>
      <c r="B678" s="1" t="n">
        <v>45245</v>
      </c>
      <c r="C678" s="1" t="n">
        <v>45939</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10215-2023</t>
        </is>
      </c>
      <c r="B679" s="1" t="n">
        <v>44986.5887962963</v>
      </c>
      <c r="C679" s="1" t="n">
        <v>45939</v>
      </c>
      <c r="D679" t="inlineStr">
        <is>
          <t>STOCKHOLMS LÄN</t>
        </is>
      </c>
      <c r="E679" t="inlineStr">
        <is>
          <t>NORRTÄLJE</t>
        </is>
      </c>
      <c r="G679" t="n">
        <v>6.5</v>
      </c>
      <c r="H679" t="n">
        <v>0</v>
      </c>
      <c r="I679" t="n">
        <v>0</v>
      </c>
      <c r="J679" t="n">
        <v>0</v>
      </c>
      <c r="K679" t="n">
        <v>0</v>
      </c>
      <c r="L679" t="n">
        <v>0</v>
      </c>
      <c r="M679" t="n">
        <v>0</v>
      </c>
      <c r="N679" t="n">
        <v>0</v>
      </c>
      <c r="O679" t="n">
        <v>0</v>
      </c>
      <c r="P679" t="n">
        <v>0</v>
      </c>
      <c r="Q679" t="n">
        <v>0</v>
      </c>
      <c r="R679" s="2" t="inlineStr"/>
    </row>
    <row r="680" ht="15" customHeight="1">
      <c r="A680" t="inlineStr">
        <is>
          <t>A 19058-2023</t>
        </is>
      </c>
      <c r="B680" s="1" t="n">
        <v>45048</v>
      </c>
      <c r="C680" s="1" t="n">
        <v>45939</v>
      </c>
      <c r="D680" t="inlineStr">
        <is>
          <t>STOCKHOLMS LÄN</t>
        </is>
      </c>
      <c r="E680" t="inlineStr">
        <is>
          <t>NORRTÄLJE</t>
        </is>
      </c>
      <c r="G680" t="n">
        <v>3.7</v>
      </c>
      <c r="H680" t="n">
        <v>0</v>
      </c>
      <c r="I680" t="n">
        <v>0</v>
      </c>
      <c r="J680" t="n">
        <v>0</v>
      </c>
      <c r="K680" t="n">
        <v>0</v>
      </c>
      <c r="L680" t="n">
        <v>0</v>
      </c>
      <c r="M680" t="n">
        <v>0</v>
      </c>
      <c r="N680" t="n">
        <v>0</v>
      </c>
      <c r="O680" t="n">
        <v>0</v>
      </c>
      <c r="P680" t="n">
        <v>0</v>
      </c>
      <c r="Q680" t="n">
        <v>0</v>
      </c>
      <c r="R680" s="2" t="inlineStr"/>
    </row>
    <row r="681" ht="15" customHeight="1">
      <c r="A681" t="inlineStr">
        <is>
          <t>A 8739-2024</t>
        </is>
      </c>
      <c r="B681" s="1" t="n">
        <v>45356.47784722222</v>
      </c>
      <c r="C681" s="1" t="n">
        <v>45939</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46900-2025</t>
        </is>
      </c>
      <c r="B682" s="1" t="n">
        <v>45929.38712962963</v>
      </c>
      <c r="C682" s="1" t="n">
        <v>45939</v>
      </c>
      <c r="D682" t="inlineStr">
        <is>
          <t>STOCKHOLMS LÄN</t>
        </is>
      </c>
      <c r="E682" t="inlineStr">
        <is>
          <t>NORRTÄLJE</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26640-2023</t>
        </is>
      </c>
      <c r="B683" s="1" t="n">
        <v>45092</v>
      </c>
      <c r="C683" s="1" t="n">
        <v>45939</v>
      </c>
      <c r="D683" t="inlineStr">
        <is>
          <t>STOCKHOLMS LÄN</t>
        </is>
      </c>
      <c r="E683" t="inlineStr">
        <is>
          <t>NORRTÄLJE</t>
        </is>
      </c>
      <c r="G683" t="n">
        <v>5.7</v>
      </c>
      <c r="H683" t="n">
        <v>0</v>
      </c>
      <c r="I683" t="n">
        <v>0</v>
      </c>
      <c r="J683" t="n">
        <v>0</v>
      </c>
      <c r="K683" t="n">
        <v>0</v>
      </c>
      <c r="L683" t="n">
        <v>0</v>
      </c>
      <c r="M683" t="n">
        <v>0</v>
      </c>
      <c r="N683" t="n">
        <v>0</v>
      </c>
      <c r="O683" t="n">
        <v>0</v>
      </c>
      <c r="P683" t="n">
        <v>0</v>
      </c>
      <c r="Q683" t="n">
        <v>0</v>
      </c>
      <c r="R683" s="2" t="inlineStr"/>
    </row>
    <row r="684" ht="15" customHeight="1">
      <c r="A684" t="inlineStr">
        <is>
          <t>A 62765-2022</t>
        </is>
      </c>
      <c r="B684" s="1" t="n">
        <v>44637</v>
      </c>
      <c r="C684" s="1" t="n">
        <v>45939</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14132-2025</t>
        </is>
      </c>
      <c r="B685" s="1" t="n">
        <v>45740.47550925926</v>
      </c>
      <c r="C685" s="1" t="n">
        <v>45939</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14133-2025</t>
        </is>
      </c>
      <c r="B686" s="1" t="n">
        <v>45740.47724537037</v>
      </c>
      <c r="C686" s="1" t="n">
        <v>45939</v>
      </c>
      <c r="D686" t="inlineStr">
        <is>
          <t>STOCKHOLMS LÄN</t>
        </is>
      </c>
      <c r="E686" t="inlineStr">
        <is>
          <t>NORRTÄLJE</t>
        </is>
      </c>
      <c r="G686" t="n">
        <v>0.4</v>
      </c>
      <c r="H686" t="n">
        <v>0</v>
      </c>
      <c r="I686" t="n">
        <v>0</v>
      </c>
      <c r="J686" t="n">
        <v>0</v>
      </c>
      <c r="K686" t="n">
        <v>0</v>
      </c>
      <c r="L686" t="n">
        <v>0</v>
      </c>
      <c r="M686" t="n">
        <v>0</v>
      </c>
      <c r="N686" t="n">
        <v>0</v>
      </c>
      <c r="O686" t="n">
        <v>0</v>
      </c>
      <c r="P686" t="n">
        <v>0</v>
      </c>
      <c r="Q686" t="n">
        <v>0</v>
      </c>
      <c r="R686" s="2" t="inlineStr"/>
    </row>
    <row r="687" ht="15" customHeight="1">
      <c r="A687" t="inlineStr">
        <is>
          <t>A 7186-2024</t>
        </is>
      </c>
      <c r="B687" s="1" t="n">
        <v>45344</v>
      </c>
      <c r="C687" s="1" t="n">
        <v>45939</v>
      </c>
      <c r="D687" t="inlineStr">
        <is>
          <t>STOCKHOLMS LÄN</t>
        </is>
      </c>
      <c r="E687" t="inlineStr">
        <is>
          <t>NORRTÄLJE</t>
        </is>
      </c>
      <c r="G687" t="n">
        <v>4.9</v>
      </c>
      <c r="H687" t="n">
        <v>0</v>
      </c>
      <c r="I687" t="n">
        <v>0</v>
      </c>
      <c r="J687" t="n">
        <v>0</v>
      </c>
      <c r="K687" t="n">
        <v>0</v>
      </c>
      <c r="L687" t="n">
        <v>0</v>
      </c>
      <c r="M687" t="n">
        <v>0</v>
      </c>
      <c r="N687" t="n">
        <v>0</v>
      </c>
      <c r="O687" t="n">
        <v>0</v>
      </c>
      <c r="P687" t="n">
        <v>0</v>
      </c>
      <c r="Q687" t="n">
        <v>0</v>
      </c>
      <c r="R687" s="2" t="inlineStr"/>
    </row>
    <row r="688" ht="15" customHeight="1">
      <c r="A688" t="inlineStr">
        <is>
          <t>A 38990-2022</t>
        </is>
      </c>
      <c r="B688" s="1" t="n">
        <v>44816</v>
      </c>
      <c r="C688" s="1" t="n">
        <v>45939</v>
      </c>
      <c r="D688" t="inlineStr">
        <is>
          <t>STOCKHOLMS LÄN</t>
        </is>
      </c>
      <c r="E688" t="inlineStr">
        <is>
          <t>NORRTÄLJE</t>
        </is>
      </c>
      <c r="G688" t="n">
        <v>5.7</v>
      </c>
      <c r="H688" t="n">
        <v>0</v>
      </c>
      <c r="I688" t="n">
        <v>0</v>
      </c>
      <c r="J688" t="n">
        <v>0</v>
      </c>
      <c r="K688" t="n">
        <v>0</v>
      </c>
      <c r="L688" t="n">
        <v>0</v>
      </c>
      <c r="M688" t="n">
        <v>0</v>
      </c>
      <c r="N688" t="n">
        <v>0</v>
      </c>
      <c r="O688" t="n">
        <v>0</v>
      </c>
      <c r="P688" t="n">
        <v>0</v>
      </c>
      <c r="Q688" t="n">
        <v>0</v>
      </c>
      <c r="R688" s="2" t="inlineStr"/>
    </row>
    <row r="689" ht="15" customHeight="1">
      <c r="A689" t="inlineStr">
        <is>
          <t>A 17545-2025</t>
        </is>
      </c>
      <c r="B689" s="1" t="n">
        <v>45757.60658564815</v>
      </c>
      <c r="C689" s="1" t="n">
        <v>45939</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17956-2025</t>
        </is>
      </c>
      <c r="B690" s="1" t="n">
        <v>45760.91174768518</v>
      </c>
      <c r="C690" s="1" t="n">
        <v>45939</v>
      </c>
      <c r="D690" t="inlineStr">
        <is>
          <t>STOCKHOLMS LÄN</t>
        </is>
      </c>
      <c r="E690" t="inlineStr">
        <is>
          <t>NORRTÄLJE</t>
        </is>
      </c>
      <c r="G690" t="n">
        <v>4.3</v>
      </c>
      <c r="H690" t="n">
        <v>0</v>
      </c>
      <c r="I690" t="n">
        <v>0</v>
      </c>
      <c r="J690" t="n">
        <v>0</v>
      </c>
      <c r="K690" t="n">
        <v>0</v>
      </c>
      <c r="L690" t="n">
        <v>0</v>
      </c>
      <c r="M690" t="n">
        <v>0</v>
      </c>
      <c r="N690" t="n">
        <v>0</v>
      </c>
      <c r="O690" t="n">
        <v>0</v>
      </c>
      <c r="P690" t="n">
        <v>0</v>
      </c>
      <c r="Q690" t="n">
        <v>0</v>
      </c>
      <c r="R690" s="2" t="inlineStr"/>
    </row>
    <row r="691" ht="15" customHeight="1">
      <c r="A691" t="inlineStr">
        <is>
          <t>A 14127-2025</t>
        </is>
      </c>
      <c r="B691" s="1" t="n">
        <v>45740.47055555556</v>
      </c>
      <c r="C691" s="1" t="n">
        <v>45939</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23265-2023</t>
        </is>
      </c>
      <c r="B692" s="1" t="n">
        <v>45075.90703703704</v>
      </c>
      <c r="C692" s="1" t="n">
        <v>45939</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39202-2024</t>
        </is>
      </c>
      <c r="B693" s="1" t="n">
        <v>45548.72306712963</v>
      </c>
      <c r="C693" s="1" t="n">
        <v>45939</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30268-2024</t>
        </is>
      </c>
      <c r="B694" s="1" t="n">
        <v>45490.60572916667</v>
      </c>
      <c r="C694" s="1" t="n">
        <v>45939</v>
      </c>
      <c r="D694" t="inlineStr">
        <is>
          <t>STOCKHOLMS LÄN</t>
        </is>
      </c>
      <c r="E694" t="inlineStr">
        <is>
          <t>NORRTÄLJE</t>
        </is>
      </c>
      <c r="G694" t="n">
        <v>5.6</v>
      </c>
      <c r="H694" t="n">
        <v>0</v>
      </c>
      <c r="I694" t="n">
        <v>0</v>
      </c>
      <c r="J694" t="n">
        <v>0</v>
      </c>
      <c r="K694" t="n">
        <v>0</v>
      </c>
      <c r="L694" t="n">
        <v>0</v>
      </c>
      <c r="M694" t="n">
        <v>0</v>
      </c>
      <c r="N694" t="n">
        <v>0</v>
      </c>
      <c r="O694" t="n">
        <v>0</v>
      </c>
      <c r="P694" t="n">
        <v>0</v>
      </c>
      <c r="Q694" t="n">
        <v>0</v>
      </c>
      <c r="R694" s="2" t="inlineStr"/>
    </row>
    <row r="695" ht="15" customHeight="1">
      <c r="A695" t="inlineStr">
        <is>
          <t>A 59535-2024</t>
        </is>
      </c>
      <c r="B695" s="1" t="n">
        <v>45638.59979166667</v>
      </c>
      <c r="C695" s="1" t="n">
        <v>45939</v>
      </c>
      <c r="D695" t="inlineStr">
        <is>
          <t>STOCKHOLMS LÄN</t>
        </is>
      </c>
      <c r="E695" t="inlineStr">
        <is>
          <t>NORRTÄLJE</t>
        </is>
      </c>
      <c r="F695" t="inlineStr">
        <is>
          <t>Holmen skog AB</t>
        </is>
      </c>
      <c r="G695" t="n">
        <v>1.1</v>
      </c>
      <c r="H695" t="n">
        <v>0</v>
      </c>
      <c r="I695" t="n">
        <v>0</v>
      </c>
      <c r="J695" t="n">
        <v>0</v>
      </c>
      <c r="K695" t="n">
        <v>0</v>
      </c>
      <c r="L695" t="n">
        <v>0</v>
      </c>
      <c r="M695" t="n">
        <v>0</v>
      </c>
      <c r="N695" t="n">
        <v>0</v>
      </c>
      <c r="O695" t="n">
        <v>0</v>
      </c>
      <c r="P695" t="n">
        <v>0</v>
      </c>
      <c r="Q695" t="n">
        <v>0</v>
      </c>
      <c r="R695" s="2" t="inlineStr"/>
    </row>
    <row r="696" ht="15" customHeight="1">
      <c r="A696" t="inlineStr">
        <is>
          <t>A 9246-2024</t>
        </is>
      </c>
      <c r="B696" s="1" t="n">
        <v>45357</v>
      </c>
      <c r="C696" s="1" t="n">
        <v>45939</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31559-2022</t>
        </is>
      </c>
      <c r="B697" s="1" t="n">
        <v>44775</v>
      </c>
      <c r="C697" s="1" t="n">
        <v>45939</v>
      </c>
      <c r="D697" t="inlineStr">
        <is>
          <t>STOCKHOLMS LÄN</t>
        </is>
      </c>
      <c r="E697" t="inlineStr">
        <is>
          <t>NORRTÄLJE</t>
        </is>
      </c>
      <c r="G697" t="n">
        <v>5.6</v>
      </c>
      <c r="H697" t="n">
        <v>0</v>
      </c>
      <c r="I697" t="n">
        <v>0</v>
      </c>
      <c r="J697" t="n">
        <v>0</v>
      </c>
      <c r="K697" t="n">
        <v>0</v>
      </c>
      <c r="L697" t="n">
        <v>0</v>
      </c>
      <c r="M697" t="n">
        <v>0</v>
      </c>
      <c r="N697" t="n">
        <v>0</v>
      </c>
      <c r="O697" t="n">
        <v>0</v>
      </c>
      <c r="P697" t="n">
        <v>0</v>
      </c>
      <c r="Q697" t="n">
        <v>0</v>
      </c>
      <c r="R697" s="2" t="inlineStr"/>
    </row>
    <row r="698" ht="15" customHeight="1">
      <c r="A698" t="inlineStr">
        <is>
          <t>A 52001-2023</t>
        </is>
      </c>
      <c r="B698" s="1" t="n">
        <v>45223</v>
      </c>
      <c r="C698" s="1" t="n">
        <v>45939</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20852-2023</t>
        </is>
      </c>
      <c r="B699" s="1" t="n">
        <v>45058.78607638889</v>
      </c>
      <c r="C699" s="1" t="n">
        <v>45939</v>
      </c>
      <c r="D699" t="inlineStr">
        <is>
          <t>STOCKHOLMS LÄN</t>
        </is>
      </c>
      <c r="E699" t="inlineStr">
        <is>
          <t>NORRTÄLJE</t>
        </is>
      </c>
      <c r="G699" t="n">
        <v>3.5</v>
      </c>
      <c r="H699" t="n">
        <v>0</v>
      </c>
      <c r="I699" t="n">
        <v>0</v>
      </c>
      <c r="J699" t="n">
        <v>0</v>
      </c>
      <c r="K699" t="n">
        <v>0</v>
      </c>
      <c r="L699" t="n">
        <v>0</v>
      </c>
      <c r="M699" t="n">
        <v>0</v>
      </c>
      <c r="N699" t="n">
        <v>0</v>
      </c>
      <c r="O699" t="n">
        <v>0</v>
      </c>
      <c r="P699" t="n">
        <v>0</v>
      </c>
      <c r="Q699" t="n">
        <v>0</v>
      </c>
      <c r="R699" s="2" t="inlineStr"/>
    </row>
    <row r="700" ht="15" customHeight="1">
      <c r="A700" t="inlineStr">
        <is>
          <t>A 53792-2023</t>
        </is>
      </c>
      <c r="B700" s="1" t="n">
        <v>45231.34144675926</v>
      </c>
      <c r="C700" s="1" t="n">
        <v>45939</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50355-2024</t>
        </is>
      </c>
      <c r="B701" s="1" t="n">
        <v>45600.86128472222</v>
      </c>
      <c r="C701" s="1" t="n">
        <v>45939</v>
      </c>
      <c r="D701" t="inlineStr">
        <is>
          <t>STOCKHOLMS LÄN</t>
        </is>
      </c>
      <c r="E701" t="inlineStr">
        <is>
          <t>NORRTÄLJE</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35639-2025</t>
        </is>
      </c>
      <c r="B702" s="1" t="n">
        <v>45859</v>
      </c>
      <c r="C702" s="1" t="n">
        <v>45939</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28816-2023</t>
        </is>
      </c>
      <c r="B703" s="1" t="n">
        <v>45104</v>
      </c>
      <c r="C703" s="1" t="n">
        <v>45939</v>
      </c>
      <c r="D703" t="inlineStr">
        <is>
          <t>STOCKHOLMS LÄN</t>
        </is>
      </c>
      <c r="E703" t="inlineStr">
        <is>
          <t>NORRTÄLJE</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11280-2023</t>
        </is>
      </c>
      <c r="B704" s="1" t="n">
        <v>44992</v>
      </c>
      <c r="C704" s="1" t="n">
        <v>45939</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60694-2024</t>
        </is>
      </c>
      <c r="B705" s="1" t="n">
        <v>45644.47878472223</v>
      </c>
      <c r="C705" s="1" t="n">
        <v>45939</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48127-2025</t>
        </is>
      </c>
      <c r="B706" s="1" t="n">
        <v>45933.36621527778</v>
      </c>
      <c r="C706" s="1" t="n">
        <v>45939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39692-2025</t>
        </is>
      </c>
      <c r="B707" s="1" t="n">
        <v>45890.68083333333</v>
      </c>
      <c r="C707" s="1" t="n">
        <v>45939</v>
      </c>
      <c r="D707" t="inlineStr">
        <is>
          <t>STOCKHOLMS LÄN</t>
        </is>
      </c>
      <c r="E707" t="inlineStr">
        <is>
          <t>NORRTÄLJE</t>
        </is>
      </c>
      <c r="G707" t="n">
        <v>10.5</v>
      </c>
      <c r="H707" t="n">
        <v>0</v>
      </c>
      <c r="I707" t="n">
        <v>0</v>
      </c>
      <c r="J707" t="n">
        <v>0</v>
      </c>
      <c r="K707" t="n">
        <v>0</v>
      </c>
      <c r="L707" t="n">
        <v>0</v>
      </c>
      <c r="M707" t="n">
        <v>0</v>
      </c>
      <c r="N707" t="n">
        <v>0</v>
      </c>
      <c r="O707" t="n">
        <v>0</v>
      </c>
      <c r="P707" t="n">
        <v>0</v>
      </c>
      <c r="Q707" t="n">
        <v>0</v>
      </c>
      <c r="R707" s="2" t="inlineStr"/>
    </row>
    <row r="708" ht="15" customHeight="1">
      <c r="A708" t="inlineStr">
        <is>
          <t>A 47951-2025</t>
        </is>
      </c>
      <c r="B708" s="1" t="n">
        <v>45932.58491898148</v>
      </c>
      <c r="C708" s="1" t="n">
        <v>45939</v>
      </c>
      <c r="D708" t="inlineStr">
        <is>
          <t>STOCKHOLMS LÄN</t>
        </is>
      </c>
      <c r="E708" t="inlineStr">
        <is>
          <t>NORRTÄLJE</t>
        </is>
      </c>
      <c r="G708" t="n">
        <v>21.4</v>
      </c>
      <c r="H708" t="n">
        <v>0</v>
      </c>
      <c r="I708" t="n">
        <v>0</v>
      </c>
      <c r="J708" t="n">
        <v>0</v>
      </c>
      <c r="K708" t="n">
        <v>0</v>
      </c>
      <c r="L708" t="n">
        <v>0</v>
      </c>
      <c r="M708" t="n">
        <v>0</v>
      </c>
      <c r="N708" t="n">
        <v>0</v>
      </c>
      <c r="O708" t="n">
        <v>0</v>
      </c>
      <c r="P708" t="n">
        <v>0</v>
      </c>
      <c r="Q708" t="n">
        <v>0</v>
      </c>
      <c r="R708" s="2" t="inlineStr"/>
    </row>
    <row r="709" ht="15" customHeight="1">
      <c r="A709" t="inlineStr">
        <is>
          <t>A 40032-2025</t>
        </is>
      </c>
      <c r="B709" s="1" t="n">
        <v>45893</v>
      </c>
      <c r="C709" s="1" t="n">
        <v>45939</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57442-2021</t>
        </is>
      </c>
      <c r="B710" s="1" t="n">
        <v>44483</v>
      </c>
      <c r="C710" s="1" t="n">
        <v>45939</v>
      </c>
      <c r="D710" t="inlineStr">
        <is>
          <t>STOCKHOLMS LÄN</t>
        </is>
      </c>
      <c r="E710" t="inlineStr">
        <is>
          <t>NORRTÄLJE</t>
        </is>
      </c>
      <c r="G710" t="n">
        <v>3.3</v>
      </c>
      <c r="H710" t="n">
        <v>0</v>
      </c>
      <c r="I710" t="n">
        <v>0</v>
      </c>
      <c r="J710" t="n">
        <v>0</v>
      </c>
      <c r="K710" t="n">
        <v>0</v>
      </c>
      <c r="L710" t="n">
        <v>0</v>
      </c>
      <c r="M710" t="n">
        <v>0</v>
      </c>
      <c r="N710" t="n">
        <v>0</v>
      </c>
      <c r="O710" t="n">
        <v>0</v>
      </c>
      <c r="P710" t="n">
        <v>0</v>
      </c>
      <c r="Q710" t="n">
        <v>0</v>
      </c>
      <c r="R710" s="2" t="inlineStr"/>
    </row>
    <row r="711" ht="15" customHeight="1">
      <c r="A711" t="inlineStr">
        <is>
          <t>A 25094-2023</t>
        </is>
      </c>
      <c r="B711" s="1" t="n">
        <v>45086.3629050926</v>
      </c>
      <c r="C711" s="1" t="n">
        <v>45939</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27677-2025</t>
        </is>
      </c>
      <c r="B712" s="1" t="n">
        <v>45813.63650462963</v>
      </c>
      <c r="C712" s="1" t="n">
        <v>45939</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59276-2023</t>
        </is>
      </c>
      <c r="B713" s="1" t="n">
        <v>45253.55641203704</v>
      </c>
      <c r="C713" s="1" t="n">
        <v>45939</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13767-2025</t>
        </is>
      </c>
      <c r="B714" s="1" t="n">
        <v>45737.43347222222</v>
      </c>
      <c r="C714" s="1" t="n">
        <v>45939</v>
      </c>
      <c r="D714" t="inlineStr">
        <is>
          <t>STOCKHOLMS LÄN</t>
        </is>
      </c>
      <c r="E714" t="inlineStr">
        <is>
          <t>NORRTÄLJE</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40097-2025</t>
        </is>
      </c>
      <c r="B715" s="1" t="n">
        <v>45894.48322916667</v>
      </c>
      <c r="C715" s="1" t="n">
        <v>45939</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19952-2023</t>
        </is>
      </c>
      <c r="B716" s="1" t="n">
        <v>45054.54091435186</v>
      </c>
      <c r="C716" s="1" t="n">
        <v>45939</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19994-2023</t>
        </is>
      </c>
      <c r="B717" s="1" t="n">
        <v>45054</v>
      </c>
      <c r="C717" s="1" t="n">
        <v>45939</v>
      </c>
      <c r="D717" t="inlineStr">
        <is>
          <t>STOCKHOLMS LÄN</t>
        </is>
      </c>
      <c r="E717" t="inlineStr">
        <is>
          <t>NORRTÄLJE</t>
        </is>
      </c>
      <c r="G717" t="n">
        <v>4.3</v>
      </c>
      <c r="H717" t="n">
        <v>0</v>
      </c>
      <c r="I717" t="n">
        <v>0</v>
      </c>
      <c r="J717" t="n">
        <v>0</v>
      </c>
      <c r="K717" t="n">
        <v>0</v>
      </c>
      <c r="L717" t="n">
        <v>0</v>
      </c>
      <c r="M717" t="n">
        <v>0</v>
      </c>
      <c r="N717" t="n">
        <v>0</v>
      </c>
      <c r="O717" t="n">
        <v>0</v>
      </c>
      <c r="P717" t="n">
        <v>0</v>
      </c>
      <c r="Q717" t="n">
        <v>0</v>
      </c>
      <c r="R717" s="2" t="inlineStr"/>
    </row>
    <row r="718" ht="15" customHeight="1">
      <c r="A718" t="inlineStr">
        <is>
          <t>A 48179-2025</t>
        </is>
      </c>
      <c r="B718" s="1" t="n">
        <v>45933.44907407407</v>
      </c>
      <c r="C718" s="1" t="n">
        <v>45939</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29003-2023</t>
        </is>
      </c>
      <c r="B719" s="1" t="n">
        <v>45104</v>
      </c>
      <c r="C719" s="1" t="n">
        <v>45939</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41587-2023</t>
        </is>
      </c>
      <c r="B720" s="1" t="n">
        <v>45175</v>
      </c>
      <c r="C720" s="1" t="n">
        <v>45939</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15956-2023</t>
        </is>
      </c>
      <c r="B721" s="1" t="n">
        <v>45022.61003472222</v>
      </c>
      <c r="C721" s="1" t="n">
        <v>45939</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5950-2021</t>
        </is>
      </c>
      <c r="B722" s="1" t="n">
        <v>44231</v>
      </c>
      <c r="C722" s="1" t="n">
        <v>45939</v>
      </c>
      <c r="D722" t="inlineStr">
        <is>
          <t>STOCKHOLMS LÄN</t>
        </is>
      </c>
      <c r="E722" t="inlineStr">
        <is>
          <t>NORRTÄLJE</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3444-2023</t>
        </is>
      </c>
      <c r="B723" s="1" t="n">
        <v>44949</v>
      </c>
      <c r="C723" s="1" t="n">
        <v>45939</v>
      </c>
      <c r="D723" t="inlineStr">
        <is>
          <t>STOCKHOLMS LÄN</t>
        </is>
      </c>
      <c r="E723" t="inlineStr">
        <is>
          <t>NORRTÄLJE</t>
        </is>
      </c>
      <c r="G723" t="n">
        <v>5.1</v>
      </c>
      <c r="H723" t="n">
        <v>0</v>
      </c>
      <c r="I723" t="n">
        <v>0</v>
      </c>
      <c r="J723" t="n">
        <v>0</v>
      </c>
      <c r="K723" t="n">
        <v>0</v>
      </c>
      <c r="L723" t="n">
        <v>0</v>
      </c>
      <c r="M723" t="n">
        <v>0</v>
      </c>
      <c r="N723" t="n">
        <v>0</v>
      </c>
      <c r="O723" t="n">
        <v>0</v>
      </c>
      <c r="P723" t="n">
        <v>0</v>
      </c>
      <c r="Q723" t="n">
        <v>0</v>
      </c>
      <c r="R723" s="2" t="inlineStr"/>
    </row>
    <row r="724" ht="15" customHeight="1">
      <c r="A724" t="inlineStr">
        <is>
          <t>A 40529-2025</t>
        </is>
      </c>
      <c r="B724" s="1" t="n">
        <v>45896.38466435186</v>
      </c>
      <c r="C724" s="1" t="n">
        <v>45939</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13053-2022</t>
        </is>
      </c>
      <c r="B725" s="1" t="n">
        <v>44643</v>
      </c>
      <c r="C725" s="1" t="n">
        <v>45939</v>
      </c>
      <c r="D725" t="inlineStr">
        <is>
          <t>STOCKHOLMS LÄN</t>
        </is>
      </c>
      <c r="E725" t="inlineStr">
        <is>
          <t>NORRTÄLJE</t>
        </is>
      </c>
      <c r="G725" t="n">
        <v>2.8</v>
      </c>
      <c r="H725" t="n">
        <v>0</v>
      </c>
      <c r="I725" t="n">
        <v>0</v>
      </c>
      <c r="J725" t="n">
        <v>0</v>
      </c>
      <c r="K725" t="n">
        <v>0</v>
      </c>
      <c r="L725" t="n">
        <v>0</v>
      </c>
      <c r="M725" t="n">
        <v>0</v>
      </c>
      <c r="N725" t="n">
        <v>0</v>
      </c>
      <c r="O725" t="n">
        <v>0</v>
      </c>
      <c r="P725" t="n">
        <v>0</v>
      </c>
      <c r="Q725" t="n">
        <v>0</v>
      </c>
      <c r="R725" s="2" t="inlineStr"/>
    </row>
    <row r="726" ht="15" customHeight="1">
      <c r="A726" t="inlineStr">
        <is>
          <t>A 27381-2024</t>
        </is>
      </c>
      <c r="B726" s="1" t="n">
        <v>45473.94501157408</v>
      </c>
      <c r="C726" s="1" t="n">
        <v>45939</v>
      </c>
      <c r="D726" t="inlineStr">
        <is>
          <t>STOCKHOLMS LÄN</t>
        </is>
      </c>
      <c r="E726" t="inlineStr">
        <is>
          <t>NORRTÄLJE</t>
        </is>
      </c>
      <c r="G726" t="n">
        <v>4.5</v>
      </c>
      <c r="H726" t="n">
        <v>0</v>
      </c>
      <c r="I726" t="n">
        <v>0</v>
      </c>
      <c r="J726" t="n">
        <v>0</v>
      </c>
      <c r="K726" t="n">
        <v>0</v>
      </c>
      <c r="L726" t="n">
        <v>0</v>
      </c>
      <c r="M726" t="n">
        <v>0</v>
      </c>
      <c r="N726" t="n">
        <v>0</v>
      </c>
      <c r="O726" t="n">
        <v>0</v>
      </c>
      <c r="P726" t="n">
        <v>0</v>
      </c>
      <c r="Q726" t="n">
        <v>0</v>
      </c>
      <c r="R726" s="2" t="inlineStr"/>
    </row>
    <row r="727" ht="15" customHeight="1">
      <c r="A727" t="inlineStr">
        <is>
          <t>A 3383-2023</t>
        </is>
      </c>
      <c r="B727" s="1" t="n">
        <v>44949</v>
      </c>
      <c r="C727" s="1" t="n">
        <v>45939</v>
      </c>
      <c r="D727" t="inlineStr">
        <is>
          <t>STOCKHOLMS LÄN</t>
        </is>
      </c>
      <c r="E727" t="inlineStr">
        <is>
          <t>NORRTÄLJE</t>
        </is>
      </c>
      <c r="G727" t="n">
        <v>14.6</v>
      </c>
      <c r="H727" t="n">
        <v>0</v>
      </c>
      <c r="I727" t="n">
        <v>0</v>
      </c>
      <c r="J727" t="n">
        <v>0</v>
      </c>
      <c r="K727" t="n">
        <v>0</v>
      </c>
      <c r="L727" t="n">
        <v>0</v>
      </c>
      <c r="M727" t="n">
        <v>0</v>
      </c>
      <c r="N727" t="n">
        <v>0</v>
      </c>
      <c r="O727" t="n">
        <v>0</v>
      </c>
      <c r="P727" t="n">
        <v>0</v>
      </c>
      <c r="Q727" t="n">
        <v>0</v>
      </c>
      <c r="R727" s="2" t="inlineStr"/>
    </row>
    <row r="728" ht="15" customHeight="1">
      <c r="A728" t="inlineStr">
        <is>
          <t>A 60529-2023</t>
        </is>
      </c>
      <c r="B728" s="1" t="n">
        <v>45259</v>
      </c>
      <c r="C728" s="1" t="n">
        <v>45939</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47212-2025</t>
        </is>
      </c>
      <c r="B729" s="1" t="n">
        <v>45930</v>
      </c>
      <c r="C729" s="1" t="n">
        <v>45939</v>
      </c>
      <c r="D729" t="inlineStr">
        <is>
          <t>STOCKHOLMS LÄN</t>
        </is>
      </c>
      <c r="E729" t="inlineStr">
        <is>
          <t>NORRTÄLJE</t>
        </is>
      </c>
      <c r="G729" t="n">
        <v>5.5</v>
      </c>
      <c r="H729" t="n">
        <v>0</v>
      </c>
      <c r="I729" t="n">
        <v>0</v>
      </c>
      <c r="J729" t="n">
        <v>0</v>
      </c>
      <c r="K729" t="n">
        <v>0</v>
      </c>
      <c r="L729" t="n">
        <v>0</v>
      </c>
      <c r="M729" t="n">
        <v>0</v>
      </c>
      <c r="N729" t="n">
        <v>0</v>
      </c>
      <c r="O729" t="n">
        <v>0</v>
      </c>
      <c r="P729" t="n">
        <v>0</v>
      </c>
      <c r="Q729" t="n">
        <v>0</v>
      </c>
      <c r="R729" s="2" t="inlineStr"/>
    </row>
    <row r="730" ht="15" customHeight="1">
      <c r="A730" t="inlineStr">
        <is>
          <t>A 4316-2023</t>
        </is>
      </c>
      <c r="B730" s="1" t="n">
        <v>44953.67443287037</v>
      </c>
      <c r="C730" s="1" t="n">
        <v>45939</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5839-2023</t>
        </is>
      </c>
      <c r="B731" s="1" t="n">
        <v>44963</v>
      </c>
      <c r="C731" s="1" t="n">
        <v>45939</v>
      </c>
      <c r="D731" t="inlineStr">
        <is>
          <t>STOCKHOLMS LÄN</t>
        </is>
      </c>
      <c r="E731" t="inlineStr">
        <is>
          <t>NORRTÄLJE</t>
        </is>
      </c>
      <c r="G731" t="n">
        <v>3.6</v>
      </c>
      <c r="H731" t="n">
        <v>0</v>
      </c>
      <c r="I731" t="n">
        <v>0</v>
      </c>
      <c r="J731" t="n">
        <v>0</v>
      </c>
      <c r="K731" t="n">
        <v>0</v>
      </c>
      <c r="L731" t="n">
        <v>0</v>
      </c>
      <c r="M731" t="n">
        <v>0</v>
      </c>
      <c r="N731" t="n">
        <v>0</v>
      </c>
      <c r="O731" t="n">
        <v>0</v>
      </c>
      <c r="P731" t="n">
        <v>0</v>
      </c>
      <c r="Q731" t="n">
        <v>0</v>
      </c>
      <c r="R731" s="2" t="inlineStr"/>
    </row>
    <row r="732" ht="15" customHeight="1">
      <c r="A732" t="inlineStr">
        <is>
          <t>A 48593-2025</t>
        </is>
      </c>
      <c r="B732" s="1" t="n">
        <v>45936.4627662037</v>
      </c>
      <c r="C732" s="1" t="n">
        <v>45939</v>
      </c>
      <c r="D732" t="inlineStr">
        <is>
          <t>STOCKHOLMS LÄN</t>
        </is>
      </c>
      <c r="E732" t="inlineStr">
        <is>
          <t>NORRTÄLJE</t>
        </is>
      </c>
      <c r="G732" t="n">
        <v>4.2</v>
      </c>
      <c r="H732" t="n">
        <v>0</v>
      </c>
      <c r="I732" t="n">
        <v>0</v>
      </c>
      <c r="J732" t="n">
        <v>0</v>
      </c>
      <c r="K732" t="n">
        <v>0</v>
      </c>
      <c r="L732" t="n">
        <v>0</v>
      </c>
      <c r="M732" t="n">
        <v>0</v>
      </c>
      <c r="N732" t="n">
        <v>0</v>
      </c>
      <c r="O732" t="n">
        <v>0</v>
      </c>
      <c r="P732" t="n">
        <v>0</v>
      </c>
      <c r="Q732" t="n">
        <v>0</v>
      </c>
      <c r="R732" s="2" t="inlineStr"/>
    </row>
    <row r="733" ht="15" customHeight="1">
      <c r="A733" t="inlineStr">
        <is>
          <t>A 40230-2025</t>
        </is>
      </c>
      <c r="B733" s="1" t="n">
        <v>45894.71101851852</v>
      </c>
      <c r="C733" s="1" t="n">
        <v>45939</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40292-2025</t>
        </is>
      </c>
      <c r="B734" s="1" t="n">
        <v>45895.3867824074</v>
      </c>
      <c r="C734" s="1" t="n">
        <v>45939</v>
      </c>
      <c r="D734" t="inlineStr">
        <is>
          <t>STOCKHOLMS LÄN</t>
        </is>
      </c>
      <c r="E734" t="inlineStr">
        <is>
          <t>NORRTÄLJE</t>
        </is>
      </c>
      <c r="G734" t="n">
        <v>3.5</v>
      </c>
      <c r="H734" t="n">
        <v>0</v>
      </c>
      <c r="I734" t="n">
        <v>0</v>
      </c>
      <c r="J734" t="n">
        <v>0</v>
      </c>
      <c r="K734" t="n">
        <v>0</v>
      </c>
      <c r="L734" t="n">
        <v>0</v>
      </c>
      <c r="M734" t="n">
        <v>0</v>
      </c>
      <c r="N734" t="n">
        <v>0</v>
      </c>
      <c r="O734" t="n">
        <v>0</v>
      </c>
      <c r="P734" t="n">
        <v>0</v>
      </c>
      <c r="Q734" t="n">
        <v>0</v>
      </c>
      <c r="R734" s="2" t="inlineStr"/>
    </row>
    <row r="735" ht="15" customHeight="1">
      <c r="A735" t="inlineStr">
        <is>
          <t>A 5804-2025</t>
        </is>
      </c>
      <c r="B735" s="1" t="n">
        <v>45694.68207175926</v>
      </c>
      <c r="C735" s="1" t="n">
        <v>45939</v>
      </c>
      <c r="D735" t="inlineStr">
        <is>
          <t>STOCKHOLMS LÄN</t>
        </is>
      </c>
      <c r="E735" t="inlineStr">
        <is>
          <t>NORRTÄLJE</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40294-2025</t>
        </is>
      </c>
      <c r="B736" s="1" t="n">
        <v>45895.38778935185</v>
      </c>
      <c r="C736" s="1" t="n">
        <v>45939</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48718-2025</t>
        </is>
      </c>
      <c r="B737" s="1" t="n">
        <v>45936</v>
      </c>
      <c r="C737" s="1" t="n">
        <v>45939</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48174-2025</t>
        </is>
      </c>
      <c r="B738" s="1" t="n">
        <v>45933.44230324074</v>
      </c>
      <c r="C738" s="1" t="n">
        <v>45939</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24705-2023</t>
        </is>
      </c>
      <c r="B739" s="1" t="n">
        <v>45084.54459490741</v>
      </c>
      <c r="C739" s="1" t="n">
        <v>45939</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59326-2023</t>
        </is>
      </c>
      <c r="B740" s="1" t="n">
        <v>45253.63089120371</v>
      </c>
      <c r="C740" s="1" t="n">
        <v>45939</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48780-2025</t>
        </is>
      </c>
      <c r="B741" s="1" t="n">
        <v>45937.30377314815</v>
      </c>
      <c r="C741" s="1" t="n">
        <v>45939</v>
      </c>
      <c r="D741" t="inlineStr">
        <is>
          <t>STOCKHOLMS LÄN</t>
        </is>
      </c>
      <c r="E741" t="inlineStr">
        <is>
          <t>NORRTÄLJE</t>
        </is>
      </c>
      <c r="G741" t="n">
        <v>7.7</v>
      </c>
      <c r="H741" t="n">
        <v>0</v>
      </c>
      <c r="I741" t="n">
        <v>0</v>
      </c>
      <c r="J741" t="n">
        <v>0</v>
      </c>
      <c r="K741" t="n">
        <v>0</v>
      </c>
      <c r="L741" t="n">
        <v>0</v>
      </c>
      <c r="M741" t="n">
        <v>0</v>
      </c>
      <c r="N741" t="n">
        <v>0</v>
      </c>
      <c r="O741" t="n">
        <v>0</v>
      </c>
      <c r="P741" t="n">
        <v>0</v>
      </c>
      <c r="Q741" t="n">
        <v>0</v>
      </c>
      <c r="R741" s="2" t="inlineStr"/>
    </row>
    <row r="742" ht="15" customHeight="1">
      <c r="A742" t="inlineStr">
        <is>
          <t>A 40228-2025</t>
        </is>
      </c>
      <c r="B742" s="1" t="n">
        <v>45894.70854166667</v>
      </c>
      <c r="C742" s="1" t="n">
        <v>45939</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20790-2025</t>
        </is>
      </c>
      <c r="B743" s="1" t="n">
        <v>45776.62563657408</v>
      </c>
      <c r="C743" s="1" t="n">
        <v>45939</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35636-2025</t>
        </is>
      </c>
      <c r="B744" s="1" t="n">
        <v>45859</v>
      </c>
      <c r="C744" s="1" t="n">
        <v>45939</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3152-2024</t>
        </is>
      </c>
      <c r="B745" s="1" t="n">
        <v>45316.60306712963</v>
      </c>
      <c r="C745" s="1" t="n">
        <v>45939</v>
      </c>
      <c r="D745" t="inlineStr">
        <is>
          <t>STOCKHOLMS LÄN</t>
        </is>
      </c>
      <c r="E745" t="inlineStr">
        <is>
          <t>NORRTÄLJE</t>
        </is>
      </c>
      <c r="G745" t="n">
        <v>7.9</v>
      </c>
      <c r="H745" t="n">
        <v>0</v>
      </c>
      <c r="I745" t="n">
        <v>0</v>
      </c>
      <c r="J745" t="n">
        <v>0</v>
      </c>
      <c r="K745" t="n">
        <v>0</v>
      </c>
      <c r="L745" t="n">
        <v>0</v>
      </c>
      <c r="M745" t="n">
        <v>0</v>
      </c>
      <c r="N745" t="n">
        <v>0</v>
      </c>
      <c r="O745" t="n">
        <v>0</v>
      </c>
      <c r="P745" t="n">
        <v>0</v>
      </c>
      <c r="Q745" t="n">
        <v>0</v>
      </c>
      <c r="R745" s="2" t="inlineStr"/>
    </row>
    <row r="746" ht="15" customHeight="1">
      <c r="A746" t="inlineStr">
        <is>
          <t>A 54358-2022</t>
        </is>
      </c>
      <c r="B746" s="1" t="n">
        <v>44882</v>
      </c>
      <c r="C746" s="1" t="n">
        <v>45939</v>
      </c>
      <c r="D746" t="inlineStr">
        <is>
          <t>STOCKHOLMS LÄN</t>
        </is>
      </c>
      <c r="E746" t="inlineStr">
        <is>
          <t>NORRTÄLJE</t>
        </is>
      </c>
      <c r="G746" t="n">
        <v>3.3</v>
      </c>
      <c r="H746" t="n">
        <v>0</v>
      </c>
      <c r="I746" t="n">
        <v>0</v>
      </c>
      <c r="J746" t="n">
        <v>0</v>
      </c>
      <c r="K746" t="n">
        <v>0</v>
      </c>
      <c r="L746" t="n">
        <v>0</v>
      </c>
      <c r="M746" t="n">
        <v>0</v>
      </c>
      <c r="N746" t="n">
        <v>0</v>
      </c>
      <c r="O746" t="n">
        <v>0</v>
      </c>
      <c r="P746" t="n">
        <v>0</v>
      </c>
      <c r="Q746" t="n">
        <v>0</v>
      </c>
      <c r="R746" s="2" t="inlineStr"/>
    </row>
    <row r="747" ht="15" customHeight="1">
      <c r="A747" t="inlineStr">
        <is>
          <t>A 20699-2025</t>
        </is>
      </c>
      <c r="B747" s="1" t="n">
        <v>45776.47346064815</v>
      </c>
      <c r="C747" s="1" t="n">
        <v>45939</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20779-2025</t>
        </is>
      </c>
      <c r="B748" s="1" t="n">
        <v>45776.59871527777</v>
      </c>
      <c r="C748" s="1" t="n">
        <v>45939</v>
      </c>
      <c r="D748" t="inlineStr">
        <is>
          <t>STOCKHOLMS LÄN</t>
        </is>
      </c>
      <c r="E748" t="inlineStr">
        <is>
          <t>NORRTÄLJE</t>
        </is>
      </c>
      <c r="G748" t="n">
        <v>6.9</v>
      </c>
      <c r="H748" t="n">
        <v>0</v>
      </c>
      <c r="I748" t="n">
        <v>0</v>
      </c>
      <c r="J748" t="n">
        <v>0</v>
      </c>
      <c r="K748" t="n">
        <v>0</v>
      </c>
      <c r="L748" t="n">
        <v>0</v>
      </c>
      <c r="M748" t="n">
        <v>0</v>
      </c>
      <c r="N748" t="n">
        <v>0</v>
      </c>
      <c r="O748" t="n">
        <v>0</v>
      </c>
      <c r="P748" t="n">
        <v>0</v>
      </c>
      <c r="Q748" t="n">
        <v>0</v>
      </c>
      <c r="R748" s="2" t="inlineStr"/>
    </row>
    <row r="749" ht="15" customHeight="1">
      <c r="A749" t="inlineStr">
        <is>
          <t>A 40172-2025</t>
        </is>
      </c>
      <c r="B749" s="1" t="n">
        <v>45894.6353125</v>
      </c>
      <c r="C749" s="1" t="n">
        <v>45939</v>
      </c>
      <c r="D749" t="inlineStr">
        <is>
          <t>STOCKHOLMS LÄN</t>
        </is>
      </c>
      <c r="E749" t="inlineStr">
        <is>
          <t>NORRTÄLJE</t>
        </is>
      </c>
      <c r="G749" t="n">
        <v>6</v>
      </c>
      <c r="H749" t="n">
        <v>0</v>
      </c>
      <c r="I749" t="n">
        <v>0</v>
      </c>
      <c r="J749" t="n">
        <v>0</v>
      </c>
      <c r="K749" t="n">
        <v>0</v>
      </c>
      <c r="L749" t="n">
        <v>0</v>
      </c>
      <c r="M749" t="n">
        <v>0</v>
      </c>
      <c r="N749" t="n">
        <v>0</v>
      </c>
      <c r="O749" t="n">
        <v>0</v>
      </c>
      <c r="P749" t="n">
        <v>0</v>
      </c>
      <c r="Q749" t="n">
        <v>0</v>
      </c>
      <c r="R749" s="2" t="inlineStr"/>
    </row>
    <row r="750" ht="15" customHeight="1">
      <c r="A750" t="inlineStr">
        <is>
          <t>A 44836-2023</t>
        </is>
      </c>
      <c r="B750" s="1" t="n">
        <v>45190.55609953704</v>
      </c>
      <c r="C750" s="1" t="n">
        <v>45939</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23749-2024</t>
        </is>
      </c>
      <c r="B751" s="1" t="n">
        <v>45455.33037037037</v>
      </c>
      <c r="C751" s="1" t="n">
        <v>45939</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48360-2025</t>
        </is>
      </c>
      <c r="B752" s="1" t="n">
        <v>45933.66253472222</v>
      </c>
      <c r="C752" s="1" t="n">
        <v>45939</v>
      </c>
      <c r="D752" t="inlineStr">
        <is>
          <t>STOCKHOLMS LÄN</t>
        </is>
      </c>
      <c r="E752" t="inlineStr">
        <is>
          <t>NORRTÄLJE</t>
        </is>
      </c>
      <c r="G752" t="n">
        <v>4.1</v>
      </c>
      <c r="H752" t="n">
        <v>0</v>
      </c>
      <c r="I752" t="n">
        <v>0</v>
      </c>
      <c r="J752" t="n">
        <v>0</v>
      </c>
      <c r="K752" t="n">
        <v>0</v>
      </c>
      <c r="L752" t="n">
        <v>0</v>
      </c>
      <c r="M752" t="n">
        <v>0</v>
      </c>
      <c r="N752" t="n">
        <v>0</v>
      </c>
      <c r="O752" t="n">
        <v>0</v>
      </c>
      <c r="P752" t="n">
        <v>0</v>
      </c>
      <c r="Q752" t="n">
        <v>0</v>
      </c>
      <c r="R752" s="2" t="inlineStr"/>
    </row>
    <row r="753" ht="15" customHeight="1">
      <c r="A753" t="inlineStr">
        <is>
          <t>A 24835-2025</t>
        </is>
      </c>
      <c r="B753" s="1" t="n">
        <v>45799</v>
      </c>
      <c r="C753" s="1" t="n">
        <v>45939</v>
      </c>
      <c r="D753" t="inlineStr">
        <is>
          <t>STOCKHOLMS LÄN</t>
        </is>
      </c>
      <c r="E753" t="inlineStr">
        <is>
          <t>NORRTÄLJE</t>
        </is>
      </c>
      <c r="G753" t="n">
        <v>2.5</v>
      </c>
      <c r="H753" t="n">
        <v>0</v>
      </c>
      <c r="I753" t="n">
        <v>0</v>
      </c>
      <c r="J753" t="n">
        <v>0</v>
      </c>
      <c r="K753" t="n">
        <v>0</v>
      </c>
      <c r="L753" t="n">
        <v>0</v>
      </c>
      <c r="M753" t="n">
        <v>0</v>
      </c>
      <c r="N753" t="n">
        <v>0</v>
      </c>
      <c r="O753" t="n">
        <v>0</v>
      </c>
      <c r="P753" t="n">
        <v>0</v>
      </c>
      <c r="Q753" t="n">
        <v>0</v>
      </c>
      <c r="R753" s="2" t="inlineStr"/>
    </row>
    <row r="754" ht="15" customHeight="1">
      <c r="A754" t="inlineStr">
        <is>
          <t>A 35691-2023</t>
        </is>
      </c>
      <c r="B754" s="1" t="n">
        <v>45147.65222222222</v>
      </c>
      <c r="C754" s="1" t="n">
        <v>45939</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35693-2023</t>
        </is>
      </c>
      <c r="B755" s="1" t="n">
        <v>45147.65311342593</v>
      </c>
      <c r="C755" s="1" t="n">
        <v>45939</v>
      </c>
      <c r="D755" t="inlineStr">
        <is>
          <t>STOCKHOLMS LÄN</t>
        </is>
      </c>
      <c r="E755" t="inlineStr">
        <is>
          <t>NORRTÄLJE</t>
        </is>
      </c>
      <c r="G755" t="n">
        <v>2.2</v>
      </c>
      <c r="H755" t="n">
        <v>0</v>
      </c>
      <c r="I755" t="n">
        <v>0</v>
      </c>
      <c r="J755" t="n">
        <v>0</v>
      </c>
      <c r="K755" t="n">
        <v>0</v>
      </c>
      <c r="L755" t="n">
        <v>0</v>
      </c>
      <c r="M755" t="n">
        <v>0</v>
      </c>
      <c r="N755" t="n">
        <v>0</v>
      </c>
      <c r="O755" t="n">
        <v>0</v>
      </c>
      <c r="P755" t="n">
        <v>0</v>
      </c>
      <c r="Q755" t="n">
        <v>0</v>
      </c>
      <c r="R755" s="2" t="inlineStr"/>
    </row>
    <row r="756" ht="15" customHeight="1">
      <c r="A756" t="inlineStr">
        <is>
          <t>A 35698-2023</t>
        </is>
      </c>
      <c r="B756" s="1" t="n">
        <v>45147</v>
      </c>
      <c r="C756" s="1" t="n">
        <v>45939</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48370-2025</t>
        </is>
      </c>
      <c r="B757" s="1" t="n">
        <v>45933.67854166667</v>
      </c>
      <c r="C757" s="1" t="n">
        <v>45939</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49129-2025</t>
        </is>
      </c>
      <c r="B758" s="1" t="n">
        <v>45937.89517361111</v>
      </c>
      <c r="C758" s="1" t="n">
        <v>45939</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48364-2025</t>
        </is>
      </c>
      <c r="B759" s="1" t="n">
        <v>45933.66796296297</v>
      </c>
      <c r="C759" s="1" t="n">
        <v>45939</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48443-2025</t>
        </is>
      </c>
      <c r="B760" s="1" t="n">
        <v>45935.55326388889</v>
      </c>
      <c r="C760" s="1" t="n">
        <v>45939</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40033-2025</t>
        </is>
      </c>
      <c r="B761" s="1" t="n">
        <v>45893</v>
      </c>
      <c r="C761" s="1" t="n">
        <v>45939</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40217-2025</t>
        </is>
      </c>
      <c r="B762" s="1" t="n">
        <v>45894.68864583333</v>
      </c>
      <c r="C762" s="1" t="n">
        <v>45939</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73992-2021</t>
        </is>
      </c>
      <c r="B763" s="1" t="n">
        <v>44556</v>
      </c>
      <c r="C763" s="1" t="n">
        <v>45939</v>
      </c>
      <c r="D763" t="inlineStr">
        <is>
          <t>STOCKHOLMS LÄN</t>
        </is>
      </c>
      <c r="E763" t="inlineStr">
        <is>
          <t>NORRTÄLJE</t>
        </is>
      </c>
      <c r="G763" t="n">
        <v>12.5</v>
      </c>
      <c r="H763" t="n">
        <v>0</v>
      </c>
      <c r="I763" t="n">
        <v>0</v>
      </c>
      <c r="J763" t="n">
        <v>0</v>
      </c>
      <c r="K763" t="n">
        <v>0</v>
      </c>
      <c r="L763" t="n">
        <v>0</v>
      </c>
      <c r="M763" t="n">
        <v>0</v>
      </c>
      <c r="N763" t="n">
        <v>0</v>
      </c>
      <c r="O763" t="n">
        <v>0</v>
      </c>
      <c r="P763" t="n">
        <v>0</v>
      </c>
      <c r="Q763" t="n">
        <v>0</v>
      </c>
      <c r="R763" s="2" t="inlineStr"/>
    </row>
    <row r="764" ht="15" customHeight="1">
      <c r="A764" t="inlineStr">
        <is>
          <t>A 21329-2022</t>
        </is>
      </c>
      <c r="B764" s="1" t="n">
        <v>44705.60626157407</v>
      </c>
      <c r="C764" s="1" t="n">
        <v>45939</v>
      </c>
      <c r="D764" t="inlineStr">
        <is>
          <t>STOCKHOLMS LÄN</t>
        </is>
      </c>
      <c r="E764" t="inlineStr">
        <is>
          <t>NORRTÄLJE</t>
        </is>
      </c>
      <c r="G764" t="n">
        <v>4.1</v>
      </c>
      <c r="H764" t="n">
        <v>0</v>
      </c>
      <c r="I764" t="n">
        <v>0</v>
      </c>
      <c r="J764" t="n">
        <v>0</v>
      </c>
      <c r="K764" t="n">
        <v>0</v>
      </c>
      <c r="L764" t="n">
        <v>0</v>
      </c>
      <c r="M764" t="n">
        <v>0</v>
      </c>
      <c r="N764" t="n">
        <v>0</v>
      </c>
      <c r="O764" t="n">
        <v>0</v>
      </c>
      <c r="P764" t="n">
        <v>0</v>
      </c>
      <c r="Q764" t="n">
        <v>0</v>
      </c>
      <c r="R764" s="2" t="inlineStr"/>
    </row>
    <row r="765" ht="15" customHeight="1">
      <c r="A765" t="inlineStr">
        <is>
          <t>A 54276-2021</t>
        </is>
      </c>
      <c r="B765" s="1" t="n">
        <v>44470</v>
      </c>
      <c r="C765" s="1" t="n">
        <v>45939</v>
      </c>
      <c r="D765" t="inlineStr">
        <is>
          <t>STOCKHOLMS LÄN</t>
        </is>
      </c>
      <c r="E765" t="inlineStr">
        <is>
          <t>NORRTÄLJE</t>
        </is>
      </c>
      <c r="G765" t="n">
        <v>7.3</v>
      </c>
      <c r="H765" t="n">
        <v>0</v>
      </c>
      <c r="I765" t="n">
        <v>0</v>
      </c>
      <c r="J765" t="n">
        <v>0</v>
      </c>
      <c r="K765" t="n">
        <v>0</v>
      </c>
      <c r="L765" t="n">
        <v>0</v>
      </c>
      <c r="M765" t="n">
        <v>0</v>
      </c>
      <c r="N765" t="n">
        <v>0</v>
      </c>
      <c r="O765" t="n">
        <v>0</v>
      </c>
      <c r="P765" t="n">
        <v>0</v>
      </c>
      <c r="Q765" t="n">
        <v>0</v>
      </c>
      <c r="R765" s="2" t="inlineStr"/>
    </row>
    <row r="766" ht="15" customHeight="1">
      <c r="A766" t="inlineStr">
        <is>
          <t>A 10090-2022</t>
        </is>
      </c>
      <c r="B766" s="1" t="n">
        <v>44621</v>
      </c>
      <c r="C766" s="1" t="n">
        <v>45939</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13785-2024</t>
        </is>
      </c>
      <c r="B767" s="1" t="n">
        <v>45391.3395949074</v>
      </c>
      <c r="C767" s="1" t="n">
        <v>45939</v>
      </c>
      <c r="D767" t="inlineStr">
        <is>
          <t>STOCKHOLMS LÄN</t>
        </is>
      </c>
      <c r="E767" t="inlineStr">
        <is>
          <t>NORRTÄLJE</t>
        </is>
      </c>
      <c r="G767" t="n">
        <v>5</v>
      </c>
      <c r="H767" t="n">
        <v>0</v>
      </c>
      <c r="I767" t="n">
        <v>0</v>
      </c>
      <c r="J767" t="n">
        <v>0</v>
      </c>
      <c r="K767" t="n">
        <v>0</v>
      </c>
      <c r="L767" t="n">
        <v>0</v>
      </c>
      <c r="M767" t="n">
        <v>0</v>
      </c>
      <c r="N767" t="n">
        <v>0</v>
      </c>
      <c r="O767" t="n">
        <v>0</v>
      </c>
      <c r="P767" t="n">
        <v>0</v>
      </c>
      <c r="Q767" t="n">
        <v>0</v>
      </c>
      <c r="R767" s="2" t="inlineStr"/>
    </row>
    <row r="768" ht="15" customHeight="1">
      <c r="A768" t="inlineStr">
        <is>
          <t>A 51116-2022</t>
        </is>
      </c>
      <c r="B768" s="1" t="n">
        <v>44868.45741898148</v>
      </c>
      <c r="C768" s="1" t="n">
        <v>45939</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21771-2025</t>
        </is>
      </c>
      <c r="B769" s="1" t="n">
        <v>45783</v>
      </c>
      <c r="C769" s="1" t="n">
        <v>45939</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29972-2024</t>
        </is>
      </c>
      <c r="B770" s="1" t="n">
        <v>45485</v>
      </c>
      <c r="C770" s="1" t="n">
        <v>45939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21778-2025</t>
        </is>
      </c>
      <c r="B771" s="1" t="n">
        <v>45783.66429398148</v>
      </c>
      <c r="C771" s="1" t="n">
        <v>45939</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28809-2023</t>
        </is>
      </c>
      <c r="B772" s="1" t="n">
        <v>45104</v>
      </c>
      <c r="C772" s="1" t="n">
        <v>45939</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28813-2023</t>
        </is>
      </c>
      <c r="B773" s="1" t="n">
        <v>45104</v>
      </c>
      <c r="C773" s="1" t="n">
        <v>45939</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12902-2024</t>
        </is>
      </c>
      <c r="B774" s="1" t="n">
        <v>45385.38146990741</v>
      </c>
      <c r="C774" s="1" t="n">
        <v>45939</v>
      </c>
      <c r="D774" t="inlineStr">
        <is>
          <t>STOCKHOLMS LÄN</t>
        </is>
      </c>
      <c r="E774" t="inlineStr">
        <is>
          <t>NORRTÄLJE</t>
        </is>
      </c>
      <c r="G774" t="n">
        <v>3.7</v>
      </c>
      <c r="H774" t="n">
        <v>0</v>
      </c>
      <c r="I774" t="n">
        <v>0</v>
      </c>
      <c r="J774" t="n">
        <v>0</v>
      </c>
      <c r="K774" t="n">
        <v>0</v>
      </c>
      <c r="L774" t="n">
        <v>0</v>
      </c>
      <c r="M774" t="n">
        <v>0</v>
      </c>
      <c r="N774" t="n">
        <v>0</v>
      </c>
      <c r="O774" t="n">
        <v>0</v>
      </c>
      <c r="P774" t="n">
        <v>0</v>
      </c>
      <c r="Q774" t="n">
        <v>0</v>
      </c>
      <c r="R774" s="2" t="inlineStr"/>
    </row>
    <row r="775" ht="15" customHeight="1">
      <c r="A775" t="inlineStr">
        <is>
          <t>A 19131-2025</t>
        </is>
      </c>
      <c r="B775" s="1" t="n">
        <v>45769</v>
      </c>
      <c r="C775" s="1" t="n">
        <v>45939</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39237-2024</t>
        </is>
      </c>
      <c r="B776" s="1" t="n">
        <v>45549</v>
      </c>
      <c r="C776" s="1" t="n">
        <v>45939</v>
      </c>
      <c r="D776" t="inlineStr">
        <is>
          <t>STOCKHOLMS LÄN</t>
        </is>
      </c>
      <c r="E776" t="inlineStr">
        <is>
          <t>NORRTÄLJE</t>
        </is>
      </c>
      <c r="G776" t="n">
        <v>13.3</v>
      </c>
      <c r="H776" t="n">
        <v>0</v>
      </c>
      <c r="I776" t="n">
        <v>0</v>
      </c>
      <c r="J776" t="n">
        <v>0</v>
      </c>
      <c r="K776" t="n">
        <v>0</v>
      </c>
      <c r="L776" t="n">
        <v>0</v>
      </c>
      <c r="M776" t="n">
        <v>0</v>
      </c>
      <c r="N776" t="n">
        <v>0</v>
      </c>
      <c r="O776" t="n">
        <v>0</v>
      </c>
      <c r="P776" t="n">
        <v>0</v>
      </c>
      <c r="Q776" t="n">
        <v>0</v>
      </c>
      <c r="R776" s="2" t="inlineStr"/>
    </row>
    <row r="777" ht="15" customHeight="1">
      <c r="A777" t="inlineStr">
        <is>
          <t>A 44891-2023</t>
        </is>
      </c>
      <c r="B777" s="1" t="n">
        <v>45187</v>
      </c>
      <c r="C777" s="1" t="n">
        <v>45939</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13268-2025</t>
        </is>
      </c>
      <c r="B778" s="1" t="n">
        <v>45735</v>
      </c>
      <c r="C778" s="1" t="n">
        <v>45939</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11929-2024</t>
        </is>
      </c>
      <c r="B779" s="1" t="n">
        <v>45376.64532407407</v>
      </c>
      <c r="C779" s="1" t="n">
        <v>45939</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8414-2025</t>
        </is>
      </c>
      <c r="B780" s="1" t="n">
        <v>45709.39361111111</v>
      </c>
      <c r="C780" s="1" t="n">
        <v>45939</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64145-2021</t>
        </is>
      </c>
      <c r="B781" s="1" t="n">
        <v>44510</v>
      </c>
      <c r="C781" s="1" t="n">
        <v>45939</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45451-2024</t>
        </is>
      </c>
      <c r="B782" s="1" t="n">
        <v>45576</v>
      </c>
      <c r="C782" s="1" t="n">
        <v>45939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44032-2024</t>
        </is>
      </c>
      <c r="B783" s="1" t="n">
        <v>45572.57828703704</v>
      </c>
      <c r="C783" s="1" t="n">
        <v>45939</v>
      </c>
      <c r="D783" t="inlineStr">
        <is>
          <t>STOCKHOLMS LÄN</t>
        </is>
      </c>
      <c r="E783" t="inlineStr">
        <is>
          <t>NORRTÄLJE</t>
        </is>
      </c>
      <c r="G783" t="n">
        <v>8.6</v>
      </c>
      <c r="H783" t="n">
        <v>0</v>
      </c>
      <c r="I783" t="n">
        <v>0</v>
      </c>
      <c r="J783" t="n">
        <v>0</v>
      </c>
      <c r="K783" t="n">
        <v>0</v>
      </c>
      <c r="L783" t="n">
        <v>0</v>
      </c>
      <c r="M783" t="n">
        <v>0</v>
      </c>
      <c r="N783" t="n">
        <v>0</v>
      </c>
      <c r="O783" t="n">
        <v>0</v>
      </c>
      <c r="P783" t="n">
        <v>0</v>
      </c>
      <c r="Q783" t="n">
        <v>0</v>
      </c>
      <c r="R783" s="2" t="inlineStr"/>
    </row>
    <row r="784" ht="15" customHeight="1">
      <c r="A784" t="inlineStr">
        <is>
          <t>A 17843-2024</t>
        </is>
      </c>
      <c r="B784" s="1" t="n">
        <v>45418</v>
      </c>
      <c r="C784" s="1" t="n">
        <v>45939</v>
      </c>
      <c r="D784" t="inlineStr">
        <is>
          <t>STOCKHOLMS LÄN</t>
        </is>
      </c>
      <c r="E784" t="inlineStr">
        <is>
          <t>NORRTÄLJE</t>
        </is>
      </c>
      <c r="G784" t="n">
        <v>5.4</v>
      </c>
      <c r="H784" t="n">
        <v>0</v>
      </c>
      <c r="I784" t="n">
        <v>0</v>
      </c>
      <c r="J784" t="n">
        <v>0</v>
      </c>
      <c r="K784" t="n">
        <v>0</v>
      </c>
      <c r="L784" t="n">
        <v>0</v>
      </c>
      <c r="M784" t="n">
        <v>0</v>
      </c>
      <c r="N784" t="n">
        <v>0</v>
      </c>
      <c r="O784" t="n">
        <v>0</v>
      </c>
      <c r="P784" t="n">
        <v>0</v>
      </c>
      <c r="Q784" t="n">
        <v>0</v>
      </c>
      <c r="R784" s="2" t="inlineStr"/>
    </row>
    <row r="785" ht="15" customHeight="1">
      <c r="A785" t="inlineStr">
        <is>
          <t>A 24563-2024</t>
        </is>
      </c>
      <c r="B785" s="1" t="n">
        <v>45460.44347222222</v>
      </c>
      <c r="C785" s="1" t="n">
        <v>45939</v>
      </c>
      <c r="D785" t="inlineStr">
        <is>
          <t>STOCKHOLMS LÄN</t>
        </is>
      </c>
      <c r="E785" t="inlineStr">
        <is>
          <t>NORRTÄLJE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12890-2024</t>
        </is>
      </c>
      <c r="B786" s="1" t="n">
        <v>45385.36243055556</v>
      </c>
      <c r="C786" s="1" t="n">
        <v>45939</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22202-2025</t>
        </is>
      </c>
      <c r="B787" s="1" t="n">
        <v>45785.65300925926</v>
      </c>
      <c r="C787" s="1" t="n">
        <v>45939</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36430-2024</t>
        </is>
      </c>
      <c r="B788" s="1" t="n">
        <v>45536</v>
      </c>
      <c r="C788" s="1" t="n">
        <v>45939</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36625-2024</t>
        </is>
      </c>
      <c r="B789" s="1" t="n">
        <v>45537</v>
      </c>
      <c r="C789" s="1" t="n">
        <v>45939</v>
      </c>
      <c r="D789" t="inlineStr">
        <is>
          <t>STOCKHOLMS LÄN</t>
        </is>
      </c>
      <c r="E789" t="inlineStr">
        <is>
          <t>NORRTÄLJE</t>
        </is>
      </c>
      <c r="G789" t="n">
        <v>3.8</v>
      </c>
      <c r="H789" t="n">
        <v>0</v>
      </c>
      <c r="I789" t="n">
        <v>0</v>
      </c>
      <c r="J789" t="n">
        <v>0</v>
      </c>
      <c r="K789" t="n">
        <v>0</v>
      </c>
      <c r="L789" t="n">
        <v>0</v>
      </c>
      <c r="M789" t="n">
        <v>0</v>
      </c>
      <c r="N789" t="n">
        <v>0</v>
      </c>
      <c r="O789" t="n">
        <v>0</v>
      </c>
      <c r="P789" t="n">
        <v>0</v>
      </c>
      <c r="Q789" t="n">
        <v>0</v>
      </c>
      <c r="R789" s="2" t="inlineStr"/>
    </row>
    <row r="790" ht="15" customHeight="1">
      <c r="A790" t="inlineStr">
        <is>
          <t>A 45746-2024</t>
        </is>
      </c>
      <c r="B790" s="1" t="n">
        <v>45579</v>
      </c>
      <c r="C790" s="1" t="n">
        <v>45939</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41172-2023</t>
        </is>
      </c>
      <c r="B791" s="1" t="n">
        <v>45170</v>
      </c>
      <c r="C791" s="1" t="n">
        <v>45939</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67921-2021</t>
        </is>
      </c>
      <c r="B792" s="1" t="n">
        <v>44525</v>
      </c>
      <c r="C792" s="1" t="n">
        <v>45939</v>
      </c>
      <c r="D792" t="inlineStr">
        <is>
          <t>STOCKHOLMS LÄN</t>
        </is>
      </c>
      <c r="E792" t="inlineStr">
        <is>
          <t>NORRTÄLJE</t>
        </is>
      </c>
      <c r="G792" t="n">
        <v>6.3</v>
      </c>
      <c r="H792" t="n">
        <v>0</v>
      </c>
      <c r="I792" t="n">
        <v>0</v>
      </c>
      <c r="J792" t="n">
        <v>0</v>
      </c>
      <c r="K792" t="n">
        <v>0</v>
      </c>
      <c r="L792" t="n">
        <v>0</v>
      </c>
      <c r="M792" t="n">
        <v>0</v>
      </c>
      <c r="N792" t="n">
        <v>0</v>
      </c>
      <c r="O792" t="n">
        <v>0</v>
      </c>
      <c r="P792" t="n">
        <v>0</v>
      </c>
      <c r="Q792" t="n">
        <v>0</v>
      </c>
      <c r="R792" s="2" t="inlineStr"/>
    </row>
    <row r="793" ht="15" customHeight="1">
      <c r="A793" t="inlineStr">
        <is>
          <t>A 72704-2021</t>
        </is>
      </c>
      <c r="B793" s="1" t="n">
        <v>44546</v>
      </c>
      <c r="C793" s="1" t="n">
        <v>45939</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30719-2025</t>
        </is>
      </c>
      <c r="B794" s="1" t="n">
        <v>45831.56521990741</v>
      </c>
      <c r="C794" s="1" t="n">
        <v>45939</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65499-2021</t>
        </is>
      </c>
      <c r="B795" s="1" t="n">
        <v>44516</v>
      </c>
      <c r="C795" s="1" t="n">
        <v>45939</v>
      </c>
      <c r="D795" t="inlineStr">
        <is>
          <t>STOCKHOLMS LÄN</t>
        </is>
      </c>
      <c r="E795" t="inlineStr">
        <is>
          <t>NORRTÄLJE</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65511-2021</t>
        </is>
      </c>
      <c r="B796" s="1" t="n">
        <v>44516.40674768519</v>
      </c>
      <c r="C796" s="1" t="n">
        <v>45939</v>
      </c>
      <c r="D796" t="inlineStr">
        <is>
          <t>STOCKHOLMS LÄN</t>
        </is>
      </c>
      <c r="E796" t="inlineStr">
        <is>
          <t>NORRTÄLJE</t>
        </is>
      </c>
      <c r="F796" t="inlineStr">
        <is>
          <t>Kommuner</t>
        </is>
      </c>
      <c r="G796" t="n">
        <v>2.8</v>
      </c>
      <c r="H796" t="n">
        <v>0</v>
      </c>
      <c r="I796" t="n">
        <v>0</v>
      </c>
      <c r="J796" t="n">
        <v>0</v>
      </c>
      <c r="K796" t="n">
        <v>0</v>
      </c>
      <c r="L796" t="n">
        <v>0</v>
      </c>
      <c r="M796" t="n">
        <v>0</v>
      </c>
      <c r="N796" t="n">
        <v>0</v>
      </c>
      <c r="O796" t="n">
        <v>0</v>
      </c>
      <c r="P796" t="n">
        <v>0</v>
      </c>
      <c r="Q796" t="n">
        <v>0</v>
      </c>
      <c r="R796" s="2" t="inlineStr"/>
    </row>
    <row r="797" ht="15" customHeight="1">
      <c r="A797" t="inlineStr">
        <is>
          <t>A 8400-2024</t>
        </is>
      </c>
      <c r="B797" s="1" t="n">
        <v>45352.74090277778</v>
      </c>
      <c r="C797" s="1" t="n">
        <v>45939</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26113-2024</t>
        </is>
      </c>
      <c r="B798" s="1" t="n">
        <v>45468.45541666666</v>
      </c>
      <c r="C798" s="1" t="n">
        <v>45939</v>
      </c>
      <c r="D798" t="inlineStr">
        <is>
          <t>STOCKHOLMS LÄN</t>
        </is>
      </c>
      <c r="E798" t="inlineStr">
        <is>
          <t>NORRTÄLJE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26116-2024</t>
        </is>
      </c>
      <c r="B799" s="1" t="n">
        <v>45468.45747685185</v>
      </c>
      <c r="C799" s="1" t="n">
        <v>45939</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52686-2024</t>
        </is>
      </c>
      <c r="B800" s="1" t="n">
        <v>45610.39271990741</v>
      </c>
      <c r="C800" s="1" t="n">
        <v>45939</v>
      </c>
      <c r="D800" t="inlineStr">
        <is>
          <t>STOCKHOLMS LÄN</t>
        </is>
      </c>
      <c r="E800" t="inlineStr">
        <is>
          <t>NORRTÄLJE</t>
        </is>
      </c>
      <c r="G800" t="n">
        <v>5.7</v>
      </c>
      <c r="H800" t="n">
        <v>0</v>
      </c>
      <c r="I800" t="n">
        <v>0</v>
      </c>
      <c r="J800" t="n">
        <v>0</v>
      </c>
      <c r="K800" t="n">
        <v>0</v>
      </c>
      <c r="L800" t="n">
        <v>0</v>
      </c>
      <c r="M800" t="n">
        <v>0</v>
      </c>
      <c r="N800" t="n">
        <v>0</v>
      </c>
      <c r="O800" t="n">
        <v>0</v>
      </c>
      <c r="P800" t="n">
        <v>0</v>
      </c>
      <c r="Q800" t="n">
        <v>0</v>
      </c>
      <c r="R800" s="2" t="inlineStr"/>
    </row>
    <row r="801" ht="15" customHeight="1">
      <c r="A801" t="inlineStr">
        <is>
          <t>A 2182-2022</t>
        </is>
      </c>
      <c r="B801" s="1" t="n">
        <v>44578</v>
      </c>
      <c r="C801" s="1" t="n">
        <v>45939</v>
      </c>
      <c r="D801" t="inlineStr">
        <is>
          <t>STOCKHOLMS LÄN</t>
        </is>
      </c>
      <c r="E801" t="inlineStr">
        <is>
          <t>NORRTÄLJE</t>
        </is>
      </c>
      <c r="G801" t="n">
        <v>7.2</v>
      </c>
      <c r="H801" t="n">
        <v>0</v>
      </c>
      <c r="I801" t="n">
        <v>0</v>
      </c>
      <c r="J801" t="n">
        <v>0</v>
      </c>
      <c r="K801" t="n">
        <v>0</v>
      </c>
      <c r="L801" t="n">
        <v>0</v>
      </c>
      <c r="M801" t="n">
        <v>0</v>
      </c>
      <c r="N801" t="n">
        <v>0</v>
      </c>
      <c r="O801" t="n">
        <v>0</v>
      </c>
      <c r="P801" t="n">
        <v>0</v>
      </c>
      <c r="Q801" t="n">
        <v>0</v>
      </c>
      <c r="R801" s="2" t="inlineStr"/>
    </row>
    <row r="802" ht="15" customHeight="1">
      <c r="A802" t="inlineStr">
        <is>
          <t>A 16620-2024</t>
        </is>
      </c>
      <c r="B802" s="1" t="n">
        <v>45408.57707175926</v>
      </c>
      <c r="C802" s="1" t="n">
        <v>45939</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31105-2022</t>
        </is>
      </c>
      <c r="B803" s="1" t="n">
        <v>44769.66039351852</v>
      </c>
      <c r="C803" s="1" t="n">
        <v>45939</v>
      </c>
      <c r="D803" t="inlineStr">
        <is>
          <t>STOCKHOLMS LÄN</t>
        </is>
      </c>
      <c r="E803" t="inlineStr">
        <is>
          <t>NORRTÄLJE</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22416-2025</t>
        </is>
      </c>
      <c r="B804" s="1" t="n">
        <v>45786.55645833333</v>
      </c>
      <c r="C804" s="1" t="n">
        <v>45939</v>
      </c>
      <c r="D804" t="inlineStr">
        <is>
          <t>STOCKHOLMS LÄN</t>
        </is>
      </c>
      <c r="E804" t="inlineStr">
        <is>
          <t>NORRTÄLJE</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62644-2023</t>
        </is>
      </c>
      <c r="B805" s="1" t="n">
        <v>45271</v>
      </c>
      <c r="C805" s="1" t="n">
        <v>45939</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60185-2024</t>
        </is>
      </c>
      <c r="B806" s="1" t="n">
        <v>45642.64634259259</v>
      </c>
      <c r="C806" s="1" t="n">
        <v>45939</v>
      </c>
      <c r="D806" t="inlineStr">
        <is>
          <t>STOCKHOLMS LÄN</t>
        </is>
      </c>
      <c r="E806" t="inlineStr">
        <is>
          <t>NORRTÄLJE</t>
        </is>
      </c>
      <c r="G806" t="n">
        <v>0.3</v>
      </c>
      <c r="H806" t="n">
        <v>0</v>
      </c>
      <c r="I806" t="n">
        <v>0</v>
      </c>
      <c r="J806" t="n">
        <v>0</v>
      </c>
      <c r="K806" t="n">
        <v>0</v>
      </c>
      <c r="L806" t="n">
        <v>0</v>
      </c>
      <c r="M806" t="n">
        <v>0</v>
      </c>
      <c r="N806" t="n">
        <v>0</v>
      </c>
      <c r="O806" t="n">
        <v>0</v>
      </c>
      <c r="P806" t="n">
        <v>0</v>
      </c>
      <c r="Q806" t="n">
        <v>0</v>
      </c>
      <c r="R806" s="2" t="inlineStr"/>
    </row>
    <row r="807" ht="15" customHeight="1">
      <c r="A807" t="inlineStr">
        <is>
          <t>A 60765-2023</t>
        </is>
      </c>
      <c r="B807" s="1" t="n">
        <v>45260</v>
      </c>
      <c r="C807" s="1" t="n">
        <v>45939</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58785-2024</t>
        </is>
      </c>
      <c r="B808" s="1" t="n">
        <v>45635.88849537037</v>
      </c>
      <c r="C808" s="1" t="n">
        <v>45939</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12268-2022</t>
        </is>
      </c>
      <c r="B809" s="1" t="n">
        <v>44637</v>
      </c>
      <c r="C809" s="1" t="n">
        <v>45939</v>
      </c>
      <c r="D809" t="inlineStr">
        <is>
          <t>STOCKHOLMS LÄN</t>
        </is>
      </c>
      <c r="E809" t="inlineStr">
        <is>
          <t>NORRTÄLJE</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22832-2021</t>
        </is>
      </c>
      <c r="B810" s="1" t="n">
        <v>44325</v>
      </c>
      <c r="C810" s="1" t="n">
        <v>45939</v>
      </c>
      <c r="D810" t="inlineStr">
        <is>
          <t>STOCKHOLMS LÄN</t>
        </is>
      </c>
      <c r="E810" t="inlineStr">
        <is>
          <t>NORRTÄLJE</t>
        </is>
      </c>
      <c r="G810" t="n">
        <v>6.8</v>
      </c>
      <c r="H810" t="n">
        <v>0</v>
      </c>
      <c r="I810" t="n">
        <v>0</v>
      </c>
      <c r="J810" t="n">
        <v>0</v>
      </c>
      <c r="K810" t="n">
        <v>0</v>
      </c>
      <c r="L810" t="n">
        <v>0</v>
      </c>
      <c r="M810" t="n">
        <v>0</v>
      </c>
      <c r="N810" t="n">
        <v>0</v>
      </c>
      <c r="O810" t="n">
        <v>0</v>
      </c>
      <c r="P810" t="n">
        <v>0</v>
      </c>
      <c r="Q810" t="n">
        <v>0</v>
      </c>
      <c r="R810" s="2" t="inlineStr"/>
    </row>
    <row r="811" ht="15" customHeight="1">
      <c r="A811" t="inlineStr">
        <is>
          <t>A 51315-2021</t>
        </is>
      </c>
      <c r="B811" s="1" t="n">
        <v>44461</v>
      </c>
      <c r="C811" s="1" t="n">
        <v>45939</v>
      </c>
      <c r="D811" t="inlineStr">
        <is>
          <t>STOCKHOLMS LÄN</t>
        </is>
      </c>
      <c r="E811" t="inlineStr">
        <is>
          <t>NORRTÄLJE</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22008-2024</t>
        </is>
      </c>
      <c r="B812" s="1" t="n">
        <v>45443</v>
      </c>
      <c r="C812" s="1" t="n">
        <v>45939</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58277-2023</t>
        </is>
      </c>
      <c r="B813" s="1" t="n">
        <v>45245</v>
      </c>
      <c r="C813" s="1" t="n">
        <v>45939</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9480-2025</t>
        </is>
      </c>
      <c r="B814" s="1" t="n">
        <v>45715</v>
      </c>
      <c r="C814" s="1" t="n">
        <v>45939</v>
      </c>
      <c r="D814" t="inlineStr">
        <is>
          <t>STOCKHOLMS LÄN</t>
        </is>
      </c>
      <c r="E814" t="inlineStr">
        <is>
          <t>NORRTÄLJE</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62998-2023</t>
        </is>
      </c>
      <c r="B815" s="1" t="n">
        <v>45272.64479166667</v>
      </c>
      <c r="C815" s="1" t="n">
        <v>45939</v>
      </c>
      <c r="D815" t="inlineStr">
        <is>
          <t>STOCKHOLMS LÄN</t>
        </is>
      </c>
      <c r="E815" t="inlineStr">
        <is>
          <t>NORRTÄLJE</t>
        </is>
      </c>
      <c r="G815" t="n">
        <v>16.3</v>
      </c>
      <c r="H815" t="n">
        <v>0</v>
      </c>
      <c r="I815" t="n">
        <v>0</v>
      </c>
      <c r="J815" t="n">
        <v>0</v>
      </c>
      <c r="K815" t="n">
        <v>0</v>
      </c>
      <c r="L815" t="n">
        <v>0</v>
      </c>
      <c r="M815" t="n">
        <v>0</v>
      </c>
      <c r="N815" t="n">
        <v>0</v>
      </c>
      <c r="O815" t="n">
        <v>0</v>
      </c>
      <c r="P815" t="n">
        <v>0</v>
      </c>
      <c r="Q815" t="n">
        <v>0</v>
      </c>
      <c r="R815" s="2" t="inlineStr"/>
    </row>
    <row r="816" ht="15" customHeight="1">
      <c r="A816" t="inlineStr">
        <is>
          <t>A 63015-2023</t>
        </is>
      </c>
      <c r="B816" s="1" t="n">
        <v>45272</v>
      </c>
      <c r="C816" s="1" t="n">
        <v>45939</v>
      </c>
      <c r="D816" t="inlineStr">
        <is>
          <t>STOCKHOLMS LÄN</t>
        </is>
      </c>
      <c r="E816" t="inlineStr">
        <is>
          <t>NORRTÄLJE</t>
        </is>
      </c>
      <c r="G816" t="n">
        <v>13.1</v>
      </c>
      <c r="H816" t="n">
        <v>0</v>
      </c>
      <c r="I816" t="n">
        <v>0</v>
      </c>
      <c r="J816" t="n">
        <v>0</v>
      </c>
      <c r="K816" t="n">
        <v>0</v>
      </c>
      <c r="L816" t="n">
        <v>0</v>
      </c>
      <c r="M816" t="n">
        <v>0</v>
      </c>
      <c r="N816" t="n">
        <v>0</v>
      </c>
      <c r="O816" t="n">
        <v>0</v>
      </c>
      <c r="P816" t="n">
        <v>0</v>
      </c>
      <c r="Q816" t="n">
        <v>0</v>
      </c>
      <c r="R816" s="2" t="inlineStr"/>
    </row>
    <row r="817" ht="15" customHeight="1">
      <c r="A817" t="inlineStr">
        <is>
          <t>A 4322-2023</t>
        </is>
      </c>
      <c r="B817" s="1" t="n">
        <v>44953.69298611111</v>
      </c>
      <c r="C817" s="1" t="n">
        <v>45939</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35916-2024</t>
        </is>
      </c>
      <c r="B818" s="1" t="n">
        <v>45533</v>
      </c>
      <c r="C818" s="1" t="n">
        <v>45939</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38889-2024</t>
        </is>
      </c>
      <c r="B819" s="1" t="n">
        <v>45547</v>
      </c>
      <c r="C819" s="1" t="n">
        <v>45939</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12901-2024</t>
        </is>
      </c>
      <c r="B820" s="1" t="n">
        <v>45385.37922453704</v>
      </c>
      <c r="C820" s="1" t="n">
        <v>45939</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12301-2025</t>
        </is>
      </c>
      <c r="B821" s="1" t="n">
        <v>45729.7271875</v>
      </c>
      <c r="C821" s="1" t="n">
        <v>45939</v>
      </c>
      <c r="D821" t="inlineStr">
        <is>
          <t>STOCKHOLMS LÄN</t>
        </is>
      </c>
      <c r="E821" t="inlineStr">
        <is>
          <t>NORRTÄLJE</t>
        </is>
      </c>
      <c r="G821" t="n">
        <v>3.2</v>
      </c>
      <c r="H821" t="n">
        <v>0</v>
      </c>
      <c r="I821" t="n">
        <v>0</v>
      </c>
      <c r="J821" t="n">
        <v>0</v>
      </c>
      <c r="K821" t="n">
        <v>0</v>
      </c>
      <c r="L821" t="n">
        <v>0</v>
      </c>
      <c r="M821" t="n">
        <v>0</v>
      </c>
      <c r="N821" t="n">
        <v>0</v>
      </c>
      <c r="O821" t="n">
        <v>0</v>
      </c>
      <c r="P821" t="n">
        <v>0</v>
      </c>
      <c r="Q821" t="n">
        <v>0</v>
      </c>
      <c r="R821" s="2" t="inlineStr"/>
    </row>
    <row r="822" ht="15" customHeight="1">
      <c r="A822" t="inlineStr">
        <is>
          <t>A 57216-2020</t>
        </is>
      </c>
      <c r="B822" s="1" t="n">
        <v>44139.54078703704</v>
      </c>
      <c r="C822" s="1" t="n">
        <v>45939</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8950-2025</t>
        </is>
      </c>
      <c r="B823" s="1" t="n">
        <v>45713</v>
      </c>
      <c r="C823" s="1" t="n">
        <v>45939</v>
      </c>
      <c r="D823" t="inlineStr">
        <is>
          <t>STOCKHOLMS LÄN</t>
        </is>
      </c>
      <c r="E823" t="inlineStr">
        <is>
          <t>NORRTÄLJE</t>
        </is>
      </c>
      <c r="F823" t="inlineStr">
        <is>
          <t>Övriga Aktiebolag</t>
        </is>
      </c>
      <c r="G823" t="n">
        <v>3.6</v>
      </c>
      <c r="H823" t="n">
        <v>0</v>
      </c>
      <c r="I823" t="n">
        <v>0</v>
      </c>
      <c r="J823" t="n">
        <v>0</v>
      </c>
      <c r="K823" t="n">
        <v>0</v>
      </c>
      <c r="L823" t="n">
        <v>0</v>
      </c>
      <c r="M823" t="n">
        <v>0</v>
      </c>
      <c r="N823" t="n">
        <v>0</v>
      </c>
      <c r="O823" t="n">
        <v>0</v>
      </c>
      <c r="P823" t="n">
        <v>0</v>
      </c>
      <c r="Q823" t="n">
        <v>0</v>
      </c>
      <c r="R823" s="2" t="inlineStr"/>
    </row>
    <row r="824" ht="15" customHeight="1">
      <c r="A824" t="inlineStr">
        <is>
          <t>A 20730-2024</t>
        </is>
      </c>
      <c r="B824" s="1" t="n">
        <v>45436</v>
      </c>
      <c r="C824" s="1" t="n">
        <v>45939</v>
      </c>
      <c r="D824" t="inlineStr">
        <is>
          <t>STOCKHOLMS LÄN</t>
        </is>
      </c>
      <c r="E824" t="inlineStr">
        <is>
          <t>NORRTÄLJE</t>
        </is>
      </c>
      <c r="G824" t="n">
        <v>7.3</v>
      </c>
      <c r="H824" t="n">
        <v>0</v>
      </c>
      <c r="I824" t="n">
        <v>0</v>
      </c>
      <c r="J824" t="n">
        <v>0</v>
      </c>
      <c r="K824" t="n">
        <v>0</v>
      </c>
      <c r="L824" t="n">
        <v>0</v>
      </c>
      <c r="M824" t="n">
        <v>0</v>
      </c>
      <c r="N824" t="n">
        <v>0</v>
      </c>
      <c r="O824" t="n">
        <v>0</v>
      </c>
      <c r="P824" t="n">
        <v>0</v>
      </c>
      <c r="Q824" t="n">
        <v>0</v>
      </c>
      <c r="R824" s="2" t="inlineStr"/>
    </row>
    <row r="825" ht="15" customHeight="1">
      <c r="A825" t="inlineStr">
        <is>
          <t>A 33175-2024</t>
        </is>
      </c>
      <c r="B825" s="1" t="n">
        <v>45518</v>
      </c>
      <c r="C825" s="1" t="n">
        <v>45939</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13283-2025</t>
        </is>
      </c>
      <c r="B826" s="1" t="n">
        <v>45735</v>
      </c>
      <c r="C826" s="1" t="n">
        <v>45939</v>
      </c>
      <c r="D826" t="inlineStr">
        <is>
          <t>STOCKHOLMS LÄN</t>
        </is>
      </c>
      <c r="E826" t="inlineStr">
        <is>
          <t>NORRTÄLJE</t>
        </is>
      </c>
      <c r="G826" t="n">
        <v>4.9</v>
      </c>
      <c r="H826" t="n">
        <v>0</v>
      </c>
      <c r="I826" t="n">
        <v>0</v>
      </c>
      <c r="J826" t="n">
        <v>0</v>
      </c>
      <c r="K826" t="n">
        <v>0</v>
      </c>
      <c r="L826" t="n">
        <v>0</v>
      </c>
      <c r="M826" t="n">
        <v>0</v>
      </c>
      <c r="N826" t="n">
        <v>0</v>
      </c>
      <c r="O826" t="n">
        <v>0</v>
      </c>
      <c r="P826" t="n">
        <v>0</v>
      </c>
      <c r="Q826" t="n">
        <v>0</v>
      </c>
      <c r="R826" s="2" t="inlineStr"/>
    </row>
    <row r="827" ht="15" customHeight="1">
      <c r="A827" t="inlineStr">
        <is>
          <t>A 27831-2024</t>
        </is>
      </c>
      <c r="B827" s="1" t="n">
        <v>45475.61896990741</v>
      </c>
      <c r="C827" s="1" t="n">
        <v>45939</v>
      </c>
      <c r="D827" t="inlineStr">
        <is>
          <t>STOCKHOLMS LÄN</t>
        </is>
      </c>
      <c r="E827" t="inlineStr">
        <is>
          <t>NORRTÄLJE</t>
        </is>
      </c>
      <c r="G827" t="n">
        <v>3.8</v>
      </c>
      <c r="H827" t="n">
        <v>0</v>
      </c>
      <c r="I827" t="n">
        <v>0</v>
      </c>
      <c r="J827" t="n">
        <v>0</v>
      </c>
      <c r="K827" t="n">
        <v>0</v>
      </c>
      <c r="L827" t="n">
        <v>0</v>
      </c>
      <c r="M827" t="n">
        <v>0</v>
      </c>
      <c r="N827" t="n">
        <v>0</v>
      </c>
      <c r="O827" t="n">
        <v>0</v>
      </c>
      <c r="P827" t="n">
        <v>0</v>
      </c>
      <c r="Q827" t="n">
        <v>0</v>
      </c>
      <c r="R827" s="2" t="inlineStr"/>
    </row>
    <row r="828" ht="15" customHeight="1">
      <c r="A828" t="inlineStr">
        <is>
          <t>A 3299-2022</t>
        </is>
      </c>
      <c r="B828" s="1" t="n">
        <v>44584.91001157407</v>
      </c>
      <c r="C828" s="1" t="n">
        <v>45939</v>
      </c>
      <c r="D828" t="inlineStr">
        <is>
          <t>STOCKHOLMS LÄN</t>
        </is>
      </c>
      <c r="E828" t="inlineStr">
        <is>
          <t>NORRTÄLJE</t>
        </is>
      </c>
      <c r="G828" t="n">
        <v>2.7</v>
      </c>
      <c r="H828" t="n">
        <v>0</v>
      </c>
      <c r="I828" t="n">
        <v>0</v>
      </c>
      <c r="J828" t="n">
        <v>0</v>
      </c>
      <c r="K828" t="n">
        <v>0</v>
      </c>
      <c r="L828" t="n">
        <v>0</v>
      </c>
      <c r="M828" t="n">
        <v>0</v>
      </c>
      <c r="N828" t="n">
        <v>0</v>
      </c>
      <c r="O828" t="n">
        <v>0</v>
      </c>
      <c r="P828" t="n">
        <v>0</v>
      </c>
      <c r="Q828" t="n">
        <v>0</v>
      </c>
      <c r="R828" s="2" t="inlineStr"/>
    </row>
    <row r="829" ht="15" customHeight="1">
      <c r="A829" t="inlineStr">
        <is>
          <t>A 42075-2023</t>
        </is>
      </c>
      <c r="B829" s="1" t="n">
        <v>45177</v>
      </c>
      <c r="C829" s="1" t="n">
        <v>45939</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10676-2025</t>
        </is>
      </c>
      <c r="B830" s="1" t="n">
        <v>45721.88684027778</v>
      </c>
      <c r="C830" s="1" t="n">
        <v>45939</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50154-2024</t>
        </is>
      </c>
      <c r="B831" s="1" t="n">
        <v>45600.4558912037</v>
      </c>
      <c r="C831" s="1" t="n">
        <v>45939</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21803-2022</t>
        </is>
      </c>
      <c r="B832" s="1" t="n">
        <v>44708.67822916667</v>
      </c>
      <c r="C832" s="1" t="n">
        <v>45939</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37273-2024</t>
        </is>
      </c>
      <c r="B833" s="1" t="n">
        <v>45540</v>
      </c>
      <c r="C833" s="1" t="n">
        <v>45939</v>
      </c>
      <c r="D833" t="inlineStr">
        <is>
          <t>STOCKHOLMS LÄN</t>
        </is>
      </c>
      <c r="E833" t="inlineStr">
        <is>
          <t>NORRTÄLJE</t>
        </is>
      </c>
      <c r="F833" t="inlineStr">
        <is>
          <t>Sveaskog</t>
        </is>
      </c>
      <c r="G833" t="n">
        <v>12.5</v>
      </c>
      <c r="H833" t="n">
        <v>0</v>
      </c>
      <c r="I833" t="n">
        <v>0</v>
      </c>
      <c r="J833" t="n">
        <v>0</v>
      </c>
      <c r="K833" t="n">
        <v>0</v>
      </c>
      <c r="L833" t="n">
        <v>0</v>
      </c>
      <c r="M833" t="n">
        <v>0</v>
      </c>
      <c r="N833" t="n">
        <v>0</v>
      </c>
      <c r="O833" t="n">
        <v>0</v>
      </c>
      <c r="P833" t="n">
        <v>0</v>
      </c>
      <c r="Q833" t="n">
        <v>0</v>
      </c>
      <c r="R833" s="2" t="inlineStr"/>
    </row>
    <row r="834" ht="15" customHeight="1">
      <c r="A834" t="inlineStr">
        <is>
          <t>A 33279-2025</t>
        </is>
      </c>
      <c r="B834" s="1" t="n">
        <v>45840.70885416667</v>
      </c>
      <c r="C834" s="1" t="n">
        <v>45939</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24687-2025</t>
        </is>
      </c>
      <c r="B835" s="1" t="n">
        <v>45798.66767361111</v>
      </c>
      <c r="C835" s="1" t="n">
        <v>45939</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34773-2022</t>
        </is>
      </c>
      <c r="B836" s="1" t="n">
        <v>44795</v>
      </c>
      <c r="C836" s="1" t="n">
        <v>45939</v>
      </c>
      <c r="D836" t="inlineStr">
        <is>
          <t>STOCKHOLMS LÄN</t>
        </is>
      </c>
      <c r="E836" t="inlineStr">
        <is>
          <t>NORRTÄLJE</t>
        </is>
      </c>
      <c r="G836" t="n">
        <v>3.9</v>
      </c>
      <c r="H836" t="n">
        <v>0</v>
      </c>
      <c r="I836" t="n">
        <v>0</v>
      </c>
      <c r="J836" t="n">
        <v>0</v>
      </c>
      <c r="K836" t="n">
        <v>0</v>
      </c>
      <c r="L836" t="n">
        <v>0</v>
      </c>
      <c r="M836" t="n">
        <v>0</v>
      </c>
      <c r="N836" t="n">
        <v>0</v>
      </c>
      <c r="O836" t="n">
        <v>0</v>
      </c>
      <c r="P836" t="n">
        <v>0</v>
      </c>
      <c r="Q836" t="n">
        <v>0</v>
      </c>
      <c r="R836" s="2" t="inlineStr"/>
    </row>
    <row r="837" ht="15" customHeight="1">
      <c r="A837" t="inlineStr">
        <is>
          <t>A 23263-2023</t>
        </is>
      </c>
      <c r="B837" s="1" t="n">
        <v>45075</v>
      </c>
      <c r="C837" s="1" t="n">
        <v>45939</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23264-2023</t>
        </is>
      </c>
      <c r="B838" s="1" t="n">
        <v>45075</v>
      </c>
      <c r="C838" s="1" t="n">
        <v>45939</v>
      </c>
      <c r="D838" t="inlineStr">
        <is>
          <t>STOCKHOLMS LÄN</t>
        </is>
      </c>
      <c r="E838" t="inlineStr">
        <is>
          <t>NORRTÄLJE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23267-2023</t>
        </is>
      </c>
      <c r="B839" s="1" t="n">
        <v>45075.90934027778</v>
      </c>
      <c r="C839" s="1" t="n">
        <v>45939</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25654-2023</t>
        </is>
      </c>
      <c r="B840" s="1" t="n">
        <v>45089</v>
      </c>
      <c r="C840" s="1" t="n">
        <v>45939</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24690-2025</t>
        </is>
      </c>
      <c r="B841" s="1" t="n">
        <v>45798.67082175926</v>
      </c>
      <c r="C841" s="1" t="n">
        <v>45939</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24638-2025</t>
        </is>
      </c>
      <c r="B842" s="1" t="n">
        <v>45798</v>
      </c>
      <c r="C842" s="1" t="n">
        <v>45939</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24351-2025</t>
        </is>
      </c>
      <c r="B843" s="1" t="n">
        <v>45797.58399305555</v>
      </c>
      <c r="C843" s="1" t="n">
        <v>45939</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47758-2023</t>
        </is>
      </c>
      <c r="B844" s="1" t="n">
        <v>45203.83891203703</v>
      </c>
      <c r="C844" s="1" t="n">
        <v>45939</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48151-2024</t>
        </is>
      </c>
      <c r="B845" s="1" t="n">
        <v>45589.68289351852</v>
      </c>
      <c r="C845" s="1" t="n">
        <v>45939</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5831-2022</t>
        </is>
      </c>
      <c r="B846" s="1" t="n">
        <v>44596</v>
      </c>
      <c r="C846" s="1" t="n">
        <v>45939</v>
      </c>
      <c r="D846" t="inlineStr">
        <is>
          <t>STOCKHOLMS LÄN</t>
        </is>
      </c>
      <c r="E846" t="inlineStr">
        <is>
          <t>NORRTÄLJE</t>
        </is>
      </c>
      <c r="G846" t="n">
        <v>4.8</v>
      </c>
      <c r="H846" t="n">
        <v>0</v>
      </c>
      <c r="I846" t="n">
        <v>0</v>
      </c>
      <c r="J846" t="n">
        <v>0</v>
      </c>
      <c r="K846" t="n">
        <v>0</v>
      </c>
      <c r="L846" t="n">
        <v>0</v>
      </c>
      <c r="M846" t="n">
        <v>0</v>
      </c>
      <c r="N846" t="n">
        <v>0</v>
      </c>
      <c r="O846" t="n">
        <v>0</v>
      </c>
      <c r="P846" t="n">
        <v>0</v>
      </c>
      <c r="Q846" t="n">
        <v>0</v>
      </c>
      <c r="R846" s="2" t="inlineStr"/>
    </row>
    <row r="847" ht="15" customHeight="1">
      <c r="A847" t="inlineStr">
        <is>
          <t>A 28603-2024</t>
        </is>
      </c>
      <c r="B847" s="1" t="n">
        <v>45478.42887731481</v>
      </c>
      <c r="C847" s="1" t="n">
        <v>45939</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58853-2024</t>
        </is>
      </c>
      <c r="B848" s="1" t="n">
        <v>45636.38974537037</v>
      </c>
      <c r="C848" s="1" t="n">
        <v>45939</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25702-2025</t>
        </is>
      </c>
      <c r="B849" s="1" t="n">
        <v>45800</v>
      </c>
      <c r="C849" s="1" t="n">
        <v>45939</v>
      </c>
      <c r="D849" t="inlineStr">
        <is>
          <t>STOCKHOLMS LÄN</t>
        </is>
      </c>
      <c r="E849" t="inlineStr">
        <is>
          <t>NORRTÄLJE</t>
        </is>
      </c>
      <c r="G849" t="n">
        <v>5.3</v>
      </c>
      <c r="H849" t="n">
        <v>0</v>
      </c>
      <c r="I849" t="n">
        <v>0</v>
      </c>
      <c r="J849" t="n">
        <v>0</v>
      </c>
      <c r="K849" t="n">
        <v>0</v>
      </c>
      <c r="L849" t="n">
        <v>0</v>
      </c>
      <c r="M849" t="n">
        <v>0</v>
      </c>
      <c r="N849" t="n">
        <v>0</v>
      </c>
      <c r="O849" t="n">
        <v>0</v>
      </c>
      <c r="P849" t="n">
        <v>0</v>
      </c>
      <c r="Q849" t="n">
        <v>0</v>
      </c>
      <c r="R849" s="2" t="inlineStr"/>
    </row>
    <row r="850" ht="15" customHeight="1">
      <c r="A850" t="inlineStr">
        <is>
          <t>A 59712-2024</t>
        </is>
      </c>
      <c r="B850" s="1" t="n">
        <v>45639.45166666667</v>
      </c>
      <c r="C850" s="1" t="n">
        <v>45939</v>
      </c>
      <c r="D850" t="inlineStr">
        <is>
          <t>STOCKHOLMS LÄN</t>
        </is>
      </c>
      <c r="E850" t="inlineStr">
        <is>
          <t>NORRTÄLJE</t>
        </is>
      </c>
      <c r="G850" t="n">
        <v>4.4</v>
      </c>
      <c r="H850" t="n">
        <v>0</v>
      </c>
      <c r="I850" t="n">
        <v>0</v>
      </c>
      <c r="J850" t="n">
        <v>0</v>
      </c>
      <c r="K850" t="n">
        <v>0</v>
      </c>
      <c r="L850" t="n">
        <v>0</v>
      </c>
      <c r="M850" t="n">
        <v>0</v>
      </c>
      <c r="N850" t="n">
        <v>0</v>
      </c>
      <c r="O850" t="n">
        <v>0</v>
      </c>
      <c r="P850" t="n">
        <v>0</v>
      </c>
      <c r="Q850" t="n">
        <v>0</v>
      </c>
      <c r="R850" s="2" t="inlineStr"/>
    </row>
    <row r="851" ht="15" customHeight="1">
      <c r="A851" t="inlineStr">
        <is>
          <t>A 59721-2024</t>
        </is>
      </c>
      <c r="B851" s="1" t="n">
        <v>45639.47385416667</v>
      </c>
      <c r="C851" s="1" t="n">
        <v>45939</v>
      </c>
      <c r="D851" t="inlineStr">
        <is>
          <t>STOCKHOLMS LÄN</t>
        </is>
      </c>
      <c r="E851" t="inlineStr">
        <is>
          <t>NORRTÄLJE</t>
        </is>
      </c>
      <c r="G851" t="n">
        <v>4.6</v>
      </c>
      <c r="H851" t="n">
        <v>0</v>
      </c>
      <c r="I851" t="n">
        <v>0</v>
      </c>
      <c r="J851" t="n">
        <v>0</v>
      </c>
      <c r="K851" t="n">
        <v>0</v>
      </c>
      <c r="L851" t="n">
        <v>0</v>
      </c>
      <c r="M851" t="n">
        <v>0</v>
      </c>
      <c r="N851" t="n">
        <v>0</v>
      </c>
      <c r="O851" t="n">
        <v>0</v>
      </c>
      <c r="P851" t="n">
        <v>0</v>
      </c>
      <c r="Q851" t="n">
        <v>0</v>
      </c>
      <c r="R851" s="2" t="inlineStr"/>
    </row>
    <row r="852" ht="15" customHeight="1">
      <c r="A852" t="inlineStr">
        <is>
          <t>A 60884-2024</t>
        </is>
      </c>
      <c r="B852" s="1" t="n">
        <v>45644.90815972222</v>
      </c>
      <c r="C852" s="1" t="n">
        <v>45939</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23150-2024</t>
        </is>
      </c>
      <c r="B853" s="1" t="n">
        <v>45450.64643518518</v>
      </c>
      <c r="C853" s="1" t="n">
        <v>45939</v>
      </c>
      <c r="D853" t="inlineStr">
        <is>
          <t>STOCKHOLMS LÄN</t>
        </is>
      </c>
      <c r="E853" t="inlineStr">
        <is>
          <t>NORRTÄLJE</t>
        </is>
      </c>
      <c r="F853" t="inlineStr">
        <is>
          <t>Kommuner</t>
        </is>
      </c>
      <c r="G853" t="n">
        <v>2.7</v>
      </c>
      <c r="H853" t="n">
        <v>0</v>
      </c>
      <c r="I853" t="n">
        <v>0</v>
      </c>
      <c r="J853" t="n">
        <v>0</v>
      </c>
      <c r="K853" t="n">
        <v>0</v>
      </c>
      <c r="L853" t="n">
        <v>0</v>
      </c>
      <c r="M853" t="n">
        <v>0</v>
      </c>
      <c r="N853" t="n">
        <v>0</v>
      </c>
      <c r="O853" t="n">
        <v>0</v>
      </c>
      <c r="P853" t="n">
        <v>0</v>
      </c>
      <c r="Q853" t="n">
        <v>0</v>
      </c>
      <c r="R853" s="2" t="inlineStr"/>
    </row>
    <row r="854" ht="15" customHeight="1">
      <c r="A854" t="inlineStr">
        <is>
          <t>A 59878-2024</t>
        </is>
      </c>
      <c r="B854" s="1" t="n">
        <v>45640.60240740741</v>
      </c>
      <c r="C854" s="1" t="n">
        <v>45939</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50182-2024</t>
        </is>
      </c>
      <c r="B855" s="1" t="n">
        <v>45600.47275462963</v>
      </c>
      <c r="C855" s="1" t="n">
        <v>45939</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2549-2022</t>
        </is>
      </c>
      <c r="B856" s="1" t="n">
        <v>44580</v>
      </c>
      <c r="C856" s="1" t="n">
        <v>45939</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31140-2023</t>
        </is>
      </c>
      <c r="B857" s="1" t="n">
        <v>45113</v>
      </c>
      <c r="C857" s="1" t="n">
        <v>45939</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31149-2023</t>
        </is>
      </c>
      <c r="B858" s="1" t="n">
        <v>45113</v>
      </c>
      <c r="C858" s="1" t="n">
        <v>45939</v>
      </c>
      <c r="D858" t="inlineStr">
        <is>
          <t>STOCKHOLMS LÄN</t>
        </is>
      </c>
      <c r="E858" t="inlineStr">
        <is>
          <t>NORRTÄLJE</t>
        </is>
      </c>
      <c r="G858" t="n">
        <v>7.1</v>
      </c>
      <c r="H858" t="n">
        <v>0</v>
      </c>
      <c r="I858" t="n">
        <v>0</v>
      </c>
      <c r="J858" t="n">
        <v>0</v>
      </c>
      <c r="K858" t="n">
        <v>0</v>
      </c>
      <c r="L858" t="n">
        <v>0</v>
      </c>
      <c r="M858" t="n">
        <v>0</v>
      </c>
      <c r="N858" t="n">
        <v>0</v>
      </c>
      <c r="O858" t="n">
        <v>0</v>
      </c>
      <c r="P858" t="n">
        <v>0</v>
      </c>
      <c r="Q858" t="n">
        <v>0</v>
      </c>
      <c r="R858" s="2" t="inlineStr"/>
    </row>
    <row r="859" ht="15" customHeight="1">
      <c r="A859" t="inlineStr">
        <is>
          <t>A 16835-2022</t>
        </is>
      </c>
      <c r="B859" s="1" t="n">
        <v>44673</v>
      </c>
      <c r="C859" s="1" t="n">
        <v>45939</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25709-2025</t>
        </is>
      </c>
      <c r="B860" s="1" t="n">
        <v>45800</v>
      </c>
      <c r="C860" s="1" t="n">
        <v>45939</v>
      </c>
      <c r="D860" t="inlineStr">
        <is>
          <t>STOCKHOLMS LÄN</t>
        </is>
      </c>
      <c r="E860" t="inlineStr">
        <is>
          <t>NORRTÄLJE</t>
        </is>
      </c>
      <c r="G860" t="n">
        <v>4.6</v>
      </c>
      <c r="H860" t="n">
        <v>0</v>
      </c>
      <c r="I860" t="n">
        <v>0</v>
      </c>
      <c r="J860" t="n">
        <v>0</v>
      </c>
      <c r="K860" t="n">
        <v>0</v>
      </c>
      <c r="L860" t="n">
        <v>0</v>
      </c>
      <c r="M860" t="n">
        <v>0</v>
      </c>
      <c r="N860" t="n">
        <v>0</v>
      </c>
      <c r="O860" t="n">
        <v>0</v>
      </c>
      <c r="P860" t="n">
        <v>0</v>
      </c>
      <c r="Q860" t="n">
        <v>0</v>
      </c>
      <c r="R860" s="2" t="inlineStr"/>
    </row>
    <row r="861" ht="15" customHeight="1">
      <c r="A861" t="inlineStr">
        <is>
          <t>A 25721-2025</t>
        </is>
      </c>
      <c r="B861" s="1" t="n">
        <v>45800</v>
      </c>
      <c r="C861" s="1" t="n">
        <v>45939</v>
      </c>
      <c r="D861" t="inlineStr">
        <is>
          <t>STOCKHOLMS LÄN</t>
        </is>
      </c>
      <c r="E861" t="inlineStr">
        <is>
          <t>NORRTÄLJE</t>
        </is>
      </c>
      <c r="G861" t="n">
        <v>6</v>
      </c>
      <c r="H861" t="n">
        <v>0</v>
      </c>
      <c r="I861" t="n">
        <v>0</v>
      </c>
      <c r="J861" t="n">
        <v>0</v>
      </c>
      <c r="K861" t="n">
        <v>0</v>
      </c>
      <c r="L861" t="n">
        <v>0</v>
      </c>
      <c r="M861" t="n">
        <v>0</v>
      </c>
      <c r="N861" t="n">
        <v>0</v>
      </c>
      <c r="O861" t="n">
        <v>0</v>
      </c>
      <c r="P861" t="n">
        <v>0</v>
      </c>
      <c r="Q861" t="n">
        <v>0</v>
      </c>
      <c r="R861" s="2" t="inlineStr"/>
    </row>
    <row r="862" ht="15" customHeight="1">
      <c r="A862" t="inlineStr">
        <is>
          <t>A 25733-2025</t>
        </is>
      </c>
      <c r="B862" s="1" t="n">
        <v>45800</v>
      </c>
      <c r="C862" s="1" t="n">
        <v>45939</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13701-2022</t>
        </is>
      </c>
      <c r="B863" s="1" t="n">
        <v>44648</v>
      </c>
      <c r="C863" s="1" t="n">
        <v>45939</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25725-2025</t>
        </is>
      </c>
      <c r="B864" s="1" t="n">
        <v>45800</v>
      </c>
      <c r="C864" s="1" t="n">
        <v>45939</v>
      </c>
      <c r="D864" t="inlineStr">
        <is>
          <t>STOCKHOLMS LÄN</t>
        </is>
      </c>
      <c r="E864" t="inlineStr">
        <is>
          <t>NORRTÄLJE</t>
        </is>
      </c>
      <c r="G864" t="n">
        <v>5.2</v>
      </c>
      <c r="H864" t="n">
        <v>0</v>
      </c>
      <c r="I864" t="n">
        <v>0</v>
      </c>
      <c r="J864" t="n">
        <v>0</v>
      </c>
      <c r="K864" t="n">
        <v>0</v>
      </c>
      <c r="L864" t="n">
        <v>0</v>
      </c>
      <c r="M864" t="n">
        <v>0</v>
      </c>
      <c r="N864" t="n">
        <v>0</v>
      </c>
      <c r="O864" t="n">
        <v>0</v>
      </c>
      <c r="P864" t="n">
        <v>0</v>
      </c>
      <c r="Q864" t="n">
        <v>0</v>
      </c>
      <c r="R864" s="2" t="inlineStr"/>
    </row>
    <row r="865" ht="15" customHeight="1">
      <c r="A865" t="inlineStr">
        <is>
          <t>A 13089-2022</t>
        </is>
      </c>
      <c r="B865" s="1" t="n">
        <v>44643</v>
      </c>
      <c r="C865" s="1" t="n">
        <v>45939</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25571-2025</t>
        </is>
      </c>
      <c r="B866" s="1" t="n">
        <v>45803.4675</v>
      </c>
      <c r="C866" s="1" t="n">
        <v>45939</v>
      </c>
      <c r="D866" t="inlineStr">
        <is>
          <t>STOCKHOLMS LÄN</t>
        </is>
      </c>
      <c r="E866" t="inlineStr">
        <is>
          <t>NORRTÄLJE</t>
        </is>
      </c>
      <c r="G866" t="n">
        <v>5.4</v>
      </c>
      <c r="H866" t="n">
        <v>0</v>
      </c>
      <c r="I866" t="n">
        <v>0</v>
      </c>
      <c r="J866" t="n">
        <v>0</v>
      </c>
      <c r="K866" t="n">
        <v>0</v>
      </c>
      <c r="L866" t="n">
        <v>0</v>
      </c>
      <c r="M866" t="n">
        <v>0</v>
      </c>
      <c r="N866" t="n">
        <v>0</v>
      </c>
      <c r="O866" t="n">
        <v>0</v>
      </c>
      <c r="P866" t="n">
        <v>0</v>
      </c>
      <c r="Q866" t="n">
        <v>0</v>
      </c>
      <c r="R866" s="2" t="inlineStr"/>
    </row>
    <row r="867" ht="15" customHeight="1">
      <c r="A867" t="inlineStr">
        <is>
          <t>A 53561-2023</t>
        </is>
      </c>
      <c r="B867" s="1" t="n">
        <v>45224</v>
      </c>
      <c r="C867" s="1" t="n">
        <v>45939</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25270-2025</t>
        </is>
      </c>
      <c r="B868" s="1" t="n">
        <v>45800</v>
      </c>
      <c r="C868" s="1" t="n">
        <v>45939</v>
      </c>
      <c r="D868" t="inlineStr">
        <is>
          <t>STOCKHOLMS LÄN</t>
        </is>
      </c>
      <c r="E868" t="inlineStr">
        <is>
          <t>NORRTÄLJE</t>
        </is>
      </c>
      <c r="F868" t="inlineStr">
        <is>
          <t>Övriga Aktiebolag</t>
        </is>
      </c>
      <c r="G868" t="n">
        <v>30</v>
      </c>
      <c r="H868" t="n">
        <v>0</v>
      </c>
      <c r="I868" t="n">
        <v>0</v>
      </c>
      <c r="J868" t="n">
        <v>0</v>
      </c>
      <c r="K868" t="n">
        <v>0</v>
      </c>
      <c r="L868" t="n">
        <v>0</v>
      </c>
      <c r="M868" t="n">
        <v>0</v>
      </c>
      <c r="N868" t="n">
        <v>0</v>
      </c>
      <c r="O868" t="n">
        <v>0</v>
      </c>
      <c r="P868" t="n">
        <v>0</v>
      </c>
      <c r="Q868" t="n">
        <v>0</v>
      </c>
      <c r="R868" s="2" t="inlineStr"/>
    </row>
    <row r="869" ht="15" customHeight="1">
      <c r="A869" t="inlineStr">
        <is>
          <t>A 25712-2025</t>
        </is>
      </c>
      <c r="B869" s="1" t="n">
        <v>45803.69228009259</v>
      </c>
      <c r="C869" s="1" t="n">
        <v>45939</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41218-2024</t>
        </is>
      </c>
      <c r="B870" s="1" t="n">
        <v>45559.54706018518</v>
      </c>
      <c r="C870" s="1" t="n">
        <v>45939</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26051-2025</t>
        </is>
      </c>
      <c r="B871" s="1" t="n">
        <v>45804.74479166666</v>
      </c>
      <c r="C871" s="1" t="n">
        <v>45939</v>
      </c>
      <c r="D871" t="inlineStr">
        <is>
          <t>STOCKHOLMS LÄN</t>
        </is>
      </c>
      <c r="E871" t="inlineStr">
        <is>
          <t>NORRTÄLJE</t>
        </is>
      </c>
      <c r="G871" t="n">
        <v>3.2</v>
      </c>
      <c r="H871" t="n">
        <v>0</v>
      </c>
      <c r="I871" t="n">
        <v>0</v>
      </c>
      <c r="J871" t="n">
        <v>0</v>
      </c>
      <c r="K871" t="n">
        <v>0</v>
      </c>
      <c r="L871" t="n">
        <v>0</v>
      </c>
      <c r="M871" t="n">
        <v>0</v>
      </c>
      <c r="N871" t="n">
        <v>0</v>
      </c>
      <c r="O871" t="n">
        <v>0</v>
      </c>
      <c r="P871" t="n">
        <v>0</v>
      </c>
      <c r="Q871" t="n">
        <v>0</v>
      </c>
      <c r="R871" s="2" t="inlineStr"/>
    </row>
    <row r="872" ht="15" customHeight="1">
      <c r="A872" t="inlineStr">
        <is>
          <t>A 39238-2024</t>
        </is>
      </c>
      <c r="B872" s="1" t="n">
        <v>45549</v>
      </c>
      <c r="C872" s="1" t="n">
        <v>45939</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38449-2022</t>
        </is>
      </c>
      <c r="B873" s="1" t="n">
        <v>44813</v>
      </c>
      <c r="C873" s="1" t="n">
        <v>45939</v>
      </c>
      <c r="D873" t="inlineStr">
        <is>
          <t>STOCKHOLMS LÄN</t>
        </is>
      </c>
      <c r="E873" t="inlineStr">
        <is>
          <t>NORRTÄLJE</t>
        </is>
      </c>
      <c r="G873" t="n">
        <v>4.2</v>
      </c>
      <c r="H873" t="n">
        <v>0</v>
      </c>
      <c r="I873" t="n">
        <v>0</v>
      </c>
      <c r="J873" t="n">
        <v>0</v>
      </c>
      <c r="K873" t="n">
        <v>0</v>
      </c>
      <c r="L873" t="n">
        <v>0</v>
      </c>
      <c r="M873" t="n">
        <v>0</v>
      </c>
      <c r="N873" t="n">
        <v>0</v>
      </c>
      <c r="O873" t="n">
        <v>0</v>
      </c>
      <c r="P873" t="n">
        <v>0</v>
      </c>
      <c r="Q873" t="n">
        <v>0</v>
      </c>
      <c r="R873" s="2" t="inlineStr"/>
    </row>
    <row r="874" ht="15" customHeight="1">
      <c r="A874" t="inlineStr">
        <is>
          <t>A 25697-2025</t>
        </is>
      </c>
      <c r="B874" s="1" t="n">
        <v>45803.66587962963</v>
      </c>
      <c r="C874" s="1" t="n">
        <v>45939</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38759-2022</t>
        </is>
      </c>
      <c r="B875" s="1" t="n">
        <v>44816</v>
      </c>
      <c r="C875" s="1" t="n">
        <v>45939</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23998-2024</t>
        </is>
      </c>
      <c r="B876" s="1" t="n">
        <v>45456</v>
      </c>
      <c r="C876" s="1" t="n">
        <v>45939</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47259-2024</t>
        </is>
      </c>
      <c r="B877" s="1" t="n">
        <v>45586</v>
      </c>
      <c r="C877" s="1" t="n">
        <v>45939</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54504-2024</t>
        </is>
      </c>
      <c r="B878" s="1" t="n">
        <v>45617.58453703704</v>
      </c>
      <c r="C878" s="1" t="n">
        <v>45939</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32595-2023</t>
        </is>
      </c>
      <c r="B879" s="1" t="n">
        <v>45121</v>
      </c>
      <c r="C879" s="1" t="n">
        <v>45939</v>
      </c>
      <c r="D879" t="inlineStr">
        <is>
          <t>STOCKHOLMS LÄN</t>
        </is>
      </c>
      <c r="E879" t="inlineStr">
        <is>
          <t>NORRTÄLJE</t>
        </is>
      </c>
      <c r="G879" t="n">
        <v>2.4</v>
      </c>
      <c r="H879" t="n">
        <v>0</v>
      </c>
      <c r="I879" t="n">
        <v>0</v>
      </c>
      <c r="J879" t="n">
        <v>0</v>
      </c>
      <c r="K879" t="n">
        <v>0</v>
      </c>
      <c r="L879" t="n">
        <v>0</v>
      </c>
      <c r="M879" t="n">
        <v>0</v>
      </c>
      <c r="N879" t="n">
        <v>0</v>
      </c>
      <c r="O879" t="n">
        <v>0</v>
      </c>
      <c r="P879" t="n">
        <v>0</v>
      </c>
      <c r="Q879" t="n">
        <v>0</v>
      </c>
      <c r="R879" s="2" t="inlineStr"/>
    </row>
    <row r="880" ht="15" customHeight="1">
      <c r="A880" t="inlineStr">
        <is>
          <t>A 11332-2025</t>
        </is>
      </c>
      <c r="B880" s="1" t="n">
        <v>45726.48152777777</v>
      </c>
      <c r="C880" s="1" t="n">
        <v>45939</v>
      </c>
      <c r="D880" t="inlineStr">
        <is>
          <t>STOCKHOLMS LÄN</t>
        </is>
      </c>
      <c r="E880" t="inlineStr">
        <is>
          <t>NORRTÄLJE</t>
        </is>
      </c>
      <c r="G880" t="n">
        <v>4.6</v>
      </c>
      <c r="H880" t="n">
        <v>0</v>
      </c>
      <c r="I880" t="n">
        <v>0</v>
      </c>
      <c r="J880" t="n">
        <v>0</v>
      </c>
      <c r="K880" t="n">
        <v>0</v>
      </c>
      <c r="L880" t="n">
        <v>0</v>
      </c>
      <c r="M880" t="n">
        <v>0</v>
      </c>
      <c r="N880" t="n">
        <v>0</v>
      </c>
      <c r="O880" t="n">
        <v>0</v>
      </c>
      <c r="P880" t="n">
        <v>0</v>
      </c>
      <c r="Q880" t="n">
        <v>0</v>
      </c>
      <c r="R880" s="2" t="inlineStr"/>
    </row>
    <row r="881" ht="15" customHeight="1">
      <c r="A881" t="inlineStr">
        <is>
          <t>A 34478-2025</t>
        </is>
      </c>
      <c r="B881" s="1" t="n">
        <v>45847.37414351852</v>
      </c>
      <c r="C881" s="1" t="n">
        <v>45939</v>
      </c>
      <c r="D881" t="inlineStr">
        <is>
          <t>STOCKHOLMS LÄN</t>
        </is>
      </c>
      <c r="E881" t="inlineStr">
        <is>
          <t>NORRTÄLJE</t>
        </is>
      </c>
      <c r="F881" t="inlineStr">
        <is>
          <t>Övriga Aktiebolag</t>
        </is>
      </c>
      <c r="G881" t="n">
        <v>10.8</v>
      </c>
      <c r="H881" t="n">
        <v>0</v>
      </c>
      <c r="I881" t="n">
        <v>0</v>
      </c>
      <c r="J881" t="n">
        <v>0</v>
      </c>
      <c r="K881" t="n">
        <v>0</v>
      </c>
      <c r="L881" t="n">
        <v>0</v>
      </c>
      <c r="M881" t="n">
        <v>0</v>
      </c>
      <c r="N881" t="n">
        <v>0</v>
      </c>
      <c r="O881" t="n">
        <v>0</v>
      </c>
      <c r="P881" t="n">
        <v>0</v>
      </c>
      <c r="Q881" t="n">
        <v>0</v>
      </c>
      <c r="R881" s="2" t="inlineStr"/>
    </row>
    <row r="882" ht="15" customHeight="1">
      <c r="A882" t="inlineStr">
        <is>
          <t>A 13718-2022</t>
        </is>
      </c>
      <c r="B882" s="1" t="n">
        <v>44649</v>
      </c>
      <c r="C882" s="1" t="n">
        <v>45939</v>
      </c>
      <c r="D882" t="inlineStr">
        <is>
          <t>STOCKHOLMS LÄN</t>
        </is>
      </c>
      <c r="E882" t="inlineStr">
        <is>
          <t>NORRTÄLJE</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61363-2020</t>
        </is>
      </c>
      <c r="B883" s="1" t="n">
        <v>44155.69458333333</v>
      </c>
      <c r="C883" s="1" t="n">
        <v>45939</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26675-2025</t>
        </is>
      </c>
      <c r="B884" s="1" t="n">
        <v>45810.42393518519</v>
      </c>
      <c r="C884" s="1" t="n">
        <v>45939</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54259-2023</t>
        </is>
      </c>
      <c r="B885" s="1" t="n">
        <v>45232</v>
      </c>
      <c r="C885" s="1" t="n">
        <v>45939</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13171-2025</t>
        </is>
      </c>
      <c r="B886" s="1" t="n">
        <v>45735.36594907408</v>
      </c>
      <c r="C886" s="1" t="n">
        <v>45939</v>
      </c>
      <c r="D886" t="inlineStr">
        <is>
          <t>STOCKHOLMS LÄN</t>
        </is>
      </c>
      <c r="E886" t="inlineStr">
        <is>
          <t>NORRTÄLJE</t>
        </is>
      </c>
      <c r="G886" t="n">
        <v>5.1</v>
      </c>
      <c r="H886" t="n">
        <v>0</v>
      </c>
      <c r="I886" t="n">
        <v>0</v>
      </c>
      <c r="J886" t="n">
        <v>0</v>
      </c>
      <c r="K886" t="n">
        <v>0</v>
      </c>
      <c r="L886" t="n">
        <v>0</v>
      </c>
      <c r="M886" t="n">
        <v>0</v>
      </c>
      <c r="N886" t="n">
        <v>0</v>
      </c>
      <c r="O886" t="n">
        <v>0</v>
      </c>
      <c r="P886" t="n">
        <v>0</v>
      </c>
      <c r="Q886" t="n">
        <v>0</v>
      </c>
      <c r="R886" s="2" t="inlineStr"/>
    </row>
    <row r="887" ht="15" customHeight="1">
      <c r="A887" t="inlineStr">
        <is>
          <t>A 12299-2025</t>
        </is>
      </c>
      <c r="B887" s="1" t="n">
        <v>45729.71065972222</v>
      </c>
      <c r="C887" s="1" t="n">
        <v>45939</v>
      </c>
      <c r="D887" t="inlineStr">
        <is>
          <t>STOCKHOLMS LÄN</t>
        </is>
      </c>
      <c r="E887" t="inlineStr">
        <is>
          <t>NORRTÄLJE</t>
        </is>
      </c>
      <c r="F887" t="inlineStr">
        <is>
          <t>Holmen skog AB</t>
        </is>
      </c>
      <c r="G887" t="n">
        <v>6.9</v>
      </c>
      <c r="H887" t="n">
        <v>0</v>
      </c>
      <c r="I887" t="n">
        <v>0</v>
      </c>
      <c r="J887" t="n">
        <v>0</v>
      </c>
      <c r="K887" t="n">
        <v>0</v>
      </c>
      <c r="L887" t="n">
        <v>0</v>
      </c>
      <c r="M887" t="n">
        <v>0</v>
      </c>
      <c r="N887" t="n">
        <v>0</v>
      </c>
      <c r="O887" t="n">
        <v>0</v>
      </c>
      <c r="P887" t="n">
        <v>0</v>
      </c>
      <c r="Q887" t="n">
        <v>0</v>
      </c>
      <c r="R887" s="2" t="inlineStr"/>
    </row>
    <row r="888" ht="15" customHeight="1">
      <c r="A888" t="inlineStr">
        <is>
          <t>A 11900-2024</t>
        </is>
      </c>
      <c r="B888" s="1" t="n">
        <v>45376.55484953704</v>
      </c>
      <c r="C888" s="1" t="n">
        <v>45939</v>
      </c>
      <c r="D888" t="inlineStr">
        <is>
          <t>STOCKHOLMS LÄN</t>
        </is>
      </c>
      <c r="E888" t="inlineStr">
        <is>
          <t>NORRTÄLJE</t>
        </is>
      </c>
      <c r="G888" t="n">
        <v>4.2</v>
      </c>
      <c r="H888" t="n">
        <v>0</v>
      </c>
      <c r="I888" t="n">
        <v>0</v>
      </c>
      <c r="J888" t="n">
        <v>0</v>
      </c>
      <c r="K888" t="n">
        <v>0</v>
      </c>
      <c r="L888" t="n">
        <v>0</v>
      </c>
      <c r="M888" t="n">
        <v>0</v>
      </c>
      <c r="N888" t="n">
        <v>0</v>
      </c>
      <c r="O888" t="n">
        <v>0</v>
      </c>
      <c r="P888" t="n">
        <v>0</v>
      </c>
      <c r="Q888" t="n">
        <v>0</v>
      </c>
      <c r="R888" s="2" t="inlineStr"/>
    </row>
    <row r="889" ht="15" customHeight="1">
      <c r="A889" t="inlineStr">
        <is>
          <t>A 43300-2023</t>
        </is>
      </c>
      <c r="B889" s="1" t="n">
        <v>45183</v>
      </c>
      <c r="C889" s="1" t="n">
        <v>45939</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13276-2022</t>
        </is>
      </c>
      <c r="B890" s="1" t="n">
        <v>44644</v>
      </c>
      <c r="C890" s="1" t="n">
        <v>45939</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11900-2022</t>
        </is>
      </c>
      <c r="B891" s="1" t="n">
        <v>44635</v>
      </c>
      <c r="C891" s="1" t="n">
        <v>45939</v>
      </c>
      <c r="D891" t="inlineStr">
        <is>
          <t>STOCKHOLMS LÄN</t>
        </is>
      </c>
      <c r="E891" t="inlineStr">
        <is>
          <t>NORRTÄLJE</t>
        </is>
      </c>
      <c r="G891" t="n">
        <v>2.4</v>
      </c>
      <c r="H891" t="n">
        <v>0</v>
      </c>
      <c r="I891" t="n">
        <v>0</v>
      </c>
      <c r="J891" t="n">
        <v>0</v>
      </c>
      <c r="K891" t="n">
        <v>0</v>
      </c>
      <c r="L891" t="n">
        <v>0</v>
      </c>
      <c r="M891" t="n">
        <v>0</v>
      </c>
      <c r="N891" t="n">
        <v>0</v>
      </c>
      <c r="O891" t="n">
        <v>0</v>
      </c>
      <c r="P891" t="n">
        <v>0</v>
      </c>
      <c r="Q891" t="n">
        <v>0</v>
      </c>
      <c r="R891" s="2" t="inlineStr"/>
    </row>
    <row r="892" ht="15" customHeight="1">
      <c r="A892" t="inlineStr">
        <is>
          <t>A 14724-2022</t>
        </is>
      </c>
      <c r="B892" s="1" t="n">
        <v>44656</v>
      </c>
      <c r="C892" s="1" t="n">
        <v>45939</v>
      </c>
      <c r="D892" t="inlineStr">
        <is>
          <t>STOCKHOLMS LÄN</t>
        </is>
      </c>
      <c r="E892" t="inlineStr">
        <is>
          <t>NORRTÄLJE</t>
        </is>
      </c>
      <c r="F892" t="inlineStr">
        <is>
          <t>Sveaskog</t>
        </is>
      </c>
      <c r="G892" t="n">
        <v>9</v>
      </c>
      <c r="H892" t="n">
        <v>0</v>
      </c>
      <c r="I892" t="n">
        <v>0</v>
      </c>
      <c r="J892" t="n">
        <v>0</v>
      </c>
      <c r="K892" t="n">
        <v>0</v>
      </c>
      <c r="L892" t="n">
        <v>0</v>
      </c>
      <c r="M892" t="n">
        <v>0</v>
      </c>
      <c r="N892" t="n">
        <v>0</v>
      </c>
      <c r="O892" t="n">
        <v>0</v>
      </c>
      <c r="P892" t="n">
        <v>0</v>
      </c>
      <c r="Q892" t="n">
        <v>0</v>
      </c>
      <c r="R892" s="2" t="inlineStr"/>
    </row>
    <row r="893" ht="15" customHeight="1">
      <c r="A893" t="inlineStr">
        <is>
          <t>A 23061-2025</t>
        </is>
      </c>
      <c r="B893" s="1" t="n">
        <v>45790.81410879629</v>
      </c>
      <c r="C893" s="1" t="n">
        <v>45939</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4580-2025</t>
        </is>
      </c>
      <c r="B894" s="1" t="n">
        <v>45687.5038425926</v>
      </c>
      <c r="C894" s="1" t="n">
        <v>45939</v>
      </c>
      <c r="D894" t="inlineStr">
        <is>
          <t>STOCKHOLMS LÄN</t>
        </is>
      </c>
      <c r="E894" t="inlineStr">
        <is>
          <t>NORRTÄLJE</t>
        </is>
      </c>
      <c r="F894" t="inlineStr">
        <is>
          <t>Holmen skog AB</t>
        </is>
      </c>
      <c r="G894" t="n">
        <v>4.8</v>
      </c>
      <c r="H894" t="n">
        <v>0</v>
      </c>
      <c r="I894" t="n">
        <v>0</v>
      </c>
      <c r="J894" t="n">
        <v>0</v>
      </c>
      <c r="K894" t="n">
        <v>0</v>
      </c>
      <c r="L894" t="n">
        <v>0</v>
      </c>
      <c r="M894" t="n">
        <v>0</v>
      </c>
      <c r="N894" t="n">
        <v>0</v>
      </c>
      <c r="O894" t="n">
        <v>0</v>
      </c>
      <c r="P894" t="n">
        <v>0</v>
      </c>
      <c r="Q894" t="n">
        <v>0</v>
      </c>
      <c r="R894" s="2" t="inlineStr"/>
    </row>
    <row r="895" ht="15" customHeight="1">
      <c r="A895" t="inlineStr">
        <is>
          <t>A 16202-2022</t>
        </is>
      </c>
      <c r="B895" s="1" t="n">
        <v>44670</v>
      </c>
      <c r="C895" s="1" t="n">
        <v>45939</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6003-2025</t>
        </is>
      </c>
      <c r="B896" s="1" t="n">
        <v>45695.57881944445</v>
      </c>
      <c r="C896" s="1" t="n">
        <v>45939</v>
      </c>
      <c r="D896" t="inlineStr">
        <is>
          <t>STOCKHOLMS LÄN</t>
        </is>
      </c>
      <c r="E896" t="inlineStr">
        <is>
          <t>NORRTÄLJE</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52321-2024</t>
        </is>
      </c>
      <c r="B897" s="1" t="n">
        <v>45608</v>
      </c>
      <c r="C897" s="1" t="n">
        <v>45939</v>
      </c>
      <c r="D897" t="inlineStr">
        <is>
          <t>STOCKHOLMS LÄN</t>
        </is>
      </c>
      <c r="E897" t="inlineStr">
        <is>
          <t>NORRTÄLJE</t>
        </is>
      </c>
      <c r="G897" t="n">
        <v>18.1</v>
      </c>
      <c r="H897" t="n">
        <v>0</v>
      </c>
      <c r="I897" t="n">
        <v>0</v>
      </c>
      <c r="J897" t="n">
        <v>0</v>
      </c>
      <c r="K897" t="n">
        <v>0</v>
      </c>
      <c r="L897" t="n">
        <v>0</v>
      </c>
      <c r="M897" t="n">
        <v>0</v>
      </c>
      <c r="N897" t="n">
        <v>0</v>
      </c>
      <c r="O897" t="n">
        <v>0</v>
      </c>
      <c r="P897" t="n">
        <v>0</v>
      </c>
      <c r="Q897" t="n">
        <v>0</v>
      </c>
      <c r="R897" s="2" t="inlineStr"/>
    </row>
    <row r="898" ht="15" customHeight="1">
      <c r="A898" t="inlineStr">
        <is>
          <t>A 26747-2025</t>
        </is>
      </c>
      <c r="B898" s="1" t="n">
        <v>45810.5333912037</v>
      </c>
      <c r="C898" s="1" t="n">
        <v>45939</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54558-2024</t>
        </is>
      </c>
      <c r="B899" s="1" t="n">
        <v>45617.62358796296</v>
      </c>
      <c r="C899" s="1" t="n">
        <v>45939</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22157-2023</t>
        </is>
      </c>
      <c r="B900" s="1" t="n">
        <v>45069</v>
      </c>
      <c r="C900" s="1" t="n">
        <v>45939</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c r="U900">
        <f>HYPERLINK("https://klasma.github.io/Logging_0188/knärot/A 22157-2023 karta knärot.png", "A 22157-2023")</f>
        <v/>
      </c>
      <c r="V900">
        <f>HYPERLINK("https://klasma.github.io/Logging_0188/klagomål/A 22157-2023 FSC-klagomål.docx", "A 22157-2023")</f>
        <v/>
      </c>
      <c r="W900">
        <f>HYPERLINK("https://klasma.github.io/Logging_0188/klagomålsmail/A 22157-2023 FSC-klagomål mail.docx", "A 22157-2023")</f>
        <v/>
      </c>
      <c r="X900">
        <f>HYPERLINK("https://klasma.github.io/Logging_0188/tillsyn/A 22157-2023 tillsynsbegäran.docx", "A 22157-2023")</f>
        <v/>
      </c>
      <c r="Y900">
        <f>HYPERLINK("https://klasma.github.io/Logging_0188/tillsynsmail/A 22157-2023 tillsynsbegäran mail.docx", "A 22157-2023")</f>
        <v/>
      </c>
    </row>
    <row r="901" ht="15" customHeight="1">
      <c r="A901" t="inlineStr">
        <is>
          <t>A 48633-2023</t>
        </is>
      </c>
      <c r="B901" s="1" t="n">
        <v>45208.58004629629</v>
      </c>
      <c r="C901" s="1" t="n">
        <v>45939</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26702-2025</t>
        </is>
      </c>
      <c r="B902" s="1" t="n">
        <v>45810.45236111111</v>
      </c>
      <c r="C902" s="1" t="n">
        <v>45939</v>
      </c>
      <c r="D902" t="inlineStr">
        <is>
          <t>STOCKHOLMS LÄN</t>
        </is>
      </c>
      <c r="E902" t="inlineStr">
        <is>
          <t>NORRTÄLJE</t>
        </is>
      </c>
      <c r="G902" t="n">
        <v>7.3</v>
      </c>
      <c r="H902" t="n">
        <v>0</v>
      </c>
      <c r="I902" t="n">
        <v>0</v>
      </c>
      <c r="J902" t="n">
        <v>0</v>
      </c>
      <c r="K902" t="n">
        <v>0</v>
      </c>
      <c r="L902" t="n">
        <v>0</v>
      </c>
      <c r="M902" t="n">
        <v>0</v>
      </c>
      <c r="N902" t="n">
        <v>0</v>
      </c>
      <c r="O902" t="n">
        <v>0</v>
      </c>
      <c r="P902" t="n">
        <v>0</v>
      </c>
      <c r="Q902" t="n">
        <v>0</v>
      </c>
      <c r="R902" s="2" t="inlineStr"/>
    </row>
    <row r="903" ht="15" customHeight="1">
      <c r="A903" t="inlineStr">
        <is>
          <t>A 19057-2024</t>
        </is>
      </c>
      <c r="B903" s="1" t="n">
        <v>45427.88731481481</v>
      </c>
      <c r="C903" s="1" t="n">
        <v>45939</v>
      </c>
      <c r="D903" t="inlineStr">
        <is>
          <t>STOCKHOLMS LÄN</t>
        </is>
      </c>
      <c r="E903" t="inlineStr">
        <is>
          <t>NORRTÄLJE</t>
        </is>
      </c>
      <c r="G903" t="n">
        <v>3</v>
      </c>
      <c r="H903" t="n">
        <v>0</v>
      </c>
      <c r="I903" t="n">
        <v>0</v>
      </c>
      <c r="J903" t="n">
        <v>0</v>
      </c>
      <c r="K903" t="n">
        <v>0</v>
      </c>
      <c r="L903" t="n">
        <v>0</v>
      </c>
      <c r="M903" t="n">
        <v>0</v>
      </c>
      <c r="N903" t="n">
        <v>0</v>
      </c>
      <c r="O903" t="n">
        <v>0</v>
      </c>
      <c r="P903" t="n">
        <v>0</v>
      </c>
      <c r="Q903" t="n">
        <v>0</v>
      </c>
      <c r="R903" s="2" t="inlineStr"/>
    </row>
    <row r="904" ht="15" customHeight="1">
      <c r="A904" t="inlineStr">
        <is>
          <t>A 47419-2023</t>
        </is>
      </c>
      <c r="B904" s="1" t="n">
        <v>45202.65660879629</v>
      </c>
      <c r="C904" s="1" t="n">
        <v>45939</v>
      </c>
      <c r="D904" t="inlineStr">
        <is>
          <t>STOCKHOLMS LÄN</t>
        </is>
      </c>
      <c r="E904" t="inlineStr">
        <is>
          <t>NORRTÄLJE</t>
        </is>
      </c>
      <c r="G904" t="n">
        <v>11.4</v>
      </c>
      <c r="H904" t="n">
        <v>0</v>
      </c>
      <c r="I904" t="n">
        <v>0</v>
      </c>
      <c r="J904" t="n">
        <v>0</v>
      </c>
      <c r="K904" t="n">
        <v>0</v>
      </c>
      <c r="L904" t="n">
        <v>0</v>
      </c>
      <c r="M904" t="n">
        <v>0</v>
      </c>
      <c r="N904" t="n">
        <v>0</v>
      </c>
      <c r="O904" t="n">
        <v>0</v>
      </c>
      <c r="P904" t="n">
        <v>0</v>
      </c>
      <c r="Q904" t="n">
        <v>0</v>
      </c>
      <c r="R904" s="2" t="inlineStr"/>
    </row>
    <row r="905" ht="15" customHeight="1">
      <c r="A905" t="inlineStr">
        <is>
          <t>A 652-2025</t>
        </is>
      </c>
      <c r="B905" s="1" t="n">
        <v>45664</v>
      </c>
      <c r="C905" s="1" t="n">
        <v>45939</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26708-2025</t>
        </is>
      </c>
      <c r="B906" s="1" t="n">
        <v>45810.45633101852</v>
      </c>
      <c r="C906" s="1" t="n">
        <v>45939</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27040-2025</t>
        </is>
      </c>
      <c r="B907" s="1" t="n">
        <v>45811.60451388889</v>
      </c>
      <c r="C907" s="1" t="n">
        <v>45939</v>
      </c>
      <c r="D907" t="inlineStr">
        <is>
          <t>STOCKHOLMS LÄN</t>
        </is>
      </c>
      <c r="E907" t="inlineStr">
        <is>
          <t>NORRTÄLJE</t>
        </is>
      </c>
      <c r="G907" t="n">
        <v>4.3</v>
      </c>
      <c r="H907" t="n">
        <v>0</v>
      </c>
      <c r="I907" t="n">
        <v>0</v>
      </c>
      <c r="J907" t="n">
        <v>0</v>
      </c>
      <c r="K907" t="n">
        <v>0</v>
      </c>
      <c r="L907" t="n">
        <v>0</v>
      </c>
      <c r="M907" t="n">
        <v>0</v>
      </c>
      <c r="N907" t="n">
        <v>0</v>
      </c>
      <c r="O907" t="n">
        <v>0</v>
      </c>
      <c r="P907" t="n">
        <v>0</v>
      </c>
      <c r="Q907" t="n">
        <v>0</v>
      </c>
      <c r="R907" s="2" t="inlineStr"/>
    </row>
    <row r="908" ht="15" customHeight="1">
      <c r="A908" t="inlineStr">
        <is>
          <t>A 10653-2022</t>
        </is>
      </c>
      <c r="B908" s="1" t="n">
        <v>44624.59434027778</v>
      </c>
      <c r="C908" s="1" t="n">
        <v>45939</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35695-2023</t>
        </is>
      </c>
      <c r="B909" s="1" t="n">
        <v>45147.65407407407</v>
      </c>
      <c r="C909" s="1" t="n">
        <v>45939</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18665-2022</t>
        </is>
      </c>
      <c r="B910" s="1" t="n">
        <v>44687</v>
      </c>
      <c r="C910" s="1" t="n">
        <v>45939</v>
      </c>
      <c r="D910" t="inlineStr">
        <is>
          <t>STOCKHOLMS LÄN</t>
        </is>
      </c>
      <c r="E910" t="inlineStr">
        <is>
          <t>NORRTÄLJE</t>
        </is>
      </c>
      <c r="F910" t="inlineStr">
        <is>
          <t>Kyrkan</t>
        </is>
      </c>
      <c r="G910" t="n">
        <v>1.1</v>
      </c>
      <c r="H910" t="n">
        <v>0</v>
      </c>
      <c r="I910" t="n">
        <v>0</v>
      </c>
      <c r="J910" t="n">
        <v>0</v>
      </c>
      <c r="K910" t="n">
        <v>0</v>
      </c>
      <c r="L910" t="n">
        <v>0</v>
      </c>
      <c r="M910" t="n">
        <v>0</v>
      </c>
      <c r="N910" t="n">
        <v>0</v>
      </c>
      <c r="O910" t="n">
        <v>0</v>
      </c>
      <c r="P910" t="n">
        <v>0</v>
      </c>
      <c r="Q910" t="n">
        <v>0</v>
      </c>
      <c r="R910" s="2" t="inlineStr"/>
    </row>
    <row r="911" ht="15" customHeight="1">
      <c r="A911" t="inlineStr">
        <is>
          <t>A 17574-2025</t>
        </is>
      </c>
      <c r="B911" s="1" t="n">
        <v>45757.65178240741</v>
      </c>
      <c r="C911" s="1" t="n">
        <v>45939</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20370-2025</t>
        </is>
      </c>
      <c r="B912" s="1" t="n">
        <v>45775.41451388889</v>
      </c>
      <c r="C912" s="1" t="n">
        <v>45939</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19982-2022</t>
        </is>
      </c>
      <c r="B913" s="1" t="n">
        <v>44697</v>
      </c>
      <c r="C913" s="1" t="n">
        <v>45939</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27697-2025</t>
        </is>
      </c>
      <c r="B914" s="1" t="n">
        <v>45813.66961805556</v>
      </c>
      <c r="C914" s="1" t="n">
        <v>45939</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27700-2025</t>
        </is>
      </c>
      <c r="B915" s="1" t="n">
        <v>45813.6799537037</v>
      </c>
      <c r="C915" s="1" t="n">
        <v>45939</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27554-2025</t>
        </is>
      </c>
      <c r="B916" s="1" t="n">
        <v>45813.4709375</v>
      </c>
      <c r="C916" s="1" t="n">
        <v>45939</v>
      </c>
      <c r="D916" t="inlineStr">
        <is>
          <t>STOCKHOLMS LÄN</t>
        </is>
      </c>
      <c r="E916" t="inlineStr">
        <is>
          <t>NORRTÄLJE</t>
        </is>
      </c>
      <c r="F916" t="inlineStr">
        <is>
          <t>Övriga Aktiebolag</t>
        </is>
      </c>
      <c r="G916" t="n">
        <v>2.5</v>
      </c>
      <c r="H916" t="n">
        <v>0</v>
      </c>
      <c r="I916" t="n">
        <v>0</v>
      </c>
      <c r="J916" t="n">
        <v>0</v>
      </c>
      <c r="K916" t="n">
        <v>0</v>
      </c>
      <c r="L916" t="n">
        <v>0</v>
      </c>
      <c r="M916" t="n">
        <v>0</v>
      </c>
      <c r="N916" t="n">
        <v>0</v>
      </c>
      <c r="O916" t="n">
        <v>0</v>
      </c>
      <c r="P916" t="n">
        <v>0</v>
      </c>
      <c r="Q916" t="n">
        <v>0</v>
      </c>
      <c r="R916" s="2" t="inlineStr"/>
    </row>
    <row r="917" ht="15" customHeight="1">
      <c r="A917" t="inlineStr">
        <is>
          <t>A 35438-2023</t>
        </is>
      </c>
      <c r="B917" s="1" t="n">
        <v>45146</v>
      </c>
      <c r="C917" s="1" t="n">
        <v>45939</v>
      </c>
      <c r="D917" t="inlineStr">
        <is>
          <t>STOCKHOLMS LÄN</t>
        </is>
      </c>
      <c r="E917" t="inlineStr">
        <is>
          <t>NORRTÄLJE</t>
        </is>
      </c>
      <c r="F917" t="inlineStr">
        <is>
          <t>Kommuner</t>
        </is>
      </c>
      <c r="G917" t="n">
        <v>1.9</v>
      </c>
      <c r="H917" t="n">
        <v>0</v>
      </c>
      <c r="I917" t="n">
        <v>0</v>
      </c>
      <c r="J917" t="n">
        <v>0</v>
      </c>
      <c r="K917" t="n">
        <v>0</v>
      </c>
      <c r="L917" t="n">
        <v>0</v>
      </c>
      <c r="M917" t="n">
        <v>0</v>
      </c>
      <c r="N917" t="n">
        <v>0</v>
      </c>
      <c r="O917" t="n">
        <v>0</v>
      </c>
      <c r="P917" t="n">
        <v>0</v>
      </c>
      <c r="Q917" t="n">
        <v>0</v>
      </c>
      <c r="R917" s="2" t="inlineStr"/>
    </row>
    <row r="918" ht="15" customHeight="1">
      <c r="A918" t="inlineStr">
        <is>
          <t>A 33878-2024</t>
        </is>
      </c>
      <c r="B918" s="1" t="n">
        <v>45522.44414351852</v>
      </c>
      <c r="C918" s="1" t="n">
        <v>45939</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11901-2024</t>
        </is>
      </c>
      <c r="B919" s="1" t="n">
        <v>45376.55638888889</v>
      </c>
      <c r="C919" s="1" t="n">
        <v>45939</v>
      </c>
      <c r="D919" t="inlineStr">
        <is>
          <t>STOCKHOLMS LÄN</t>
        </is>
      </c>
      <c r="E919" t="inlineStr">
        <is>
          <t>NORRTÄLJE</t>
        </is>
      </c>
      <c r="F919" t="inlineStr">
        <is>
          <t>Holmen skog AB</t>
        </is>
      </c>
      <c r="G919" t="n">
        <v>3.5</v>
      </c>
      <c r="H919" t="n">
        <v>0</v>
      </c>
      <c r="I919" t="n">
        <v>0</v>
      </c>
      <c r="J919" t="n">
        <v>0</v>
      </c>
      <c r="K919" t="n">
        <v>0</v>
      </c>
      <c r="L919" t="n">
        <v>0</v>
      </c>
      <c r="M919" t="n">
        <v>0</v>
      </c>
      <c r="N919" t="n">
        <v>0</v>
      </c>
      <c r="O919" t="n">
        <v>0</v>
      </c>
      <c r="P919" t="n">
        <v>0</v>
      </c>
      <c r="Q919" t="n">
        <v>0</v>
      </c>
      <c r="R919" s="2" t="inlineStr"/>
    </row>
    <row r="920" ht="15" customHeight="1">
      <c r="A920" t="inlineStr">
        <is>
          <t>A 4183-2025</t>
        </is>
      </c>
      <c r="B920" s="1" t="n">
        <v>45685.44592592592</v>
      </c>
      <c r="C920" s="1" t="n">
        <v>45939</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17556-2025</t>
        </is>
      </c>
      <c r="B921" s="1" t="n">
        <v>45757.62482638889</v>
      </c>
      <c r="C921" s="1" t="n">
        <v>45939</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41335-2023</t>
        </is>
      </c>
      <c r="B922" s="1" t="n">
        <v>45174.68702546296</v>
      </c>
      <c r="C922" s="1" t="n">
        <v>45939</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27802-2025</t>
        </is>
      </c>
      <c r="B923" s="1" t="n">
        <v>45817.2565625</v>
      </c>
      <c r="C923" s="1" t="n">
        <v>45939</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27806-2025</t>
        </is>
      </c>
      <c r="B924" s="1" t="n">
        <v>45817.30329861111</v>
      </c>
      <c r="C924" s="1" t="n">
        <v>45939</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27808-2025</t>
        </is>
      </c>
      <c r="B925" s="1" t="n">
        <v>45817.31085648148</v>
      </c>
      <c r="C925" s="1" t="n">
        <v>45939</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27810-2025</t>
        </is>
      </c>
      <c r="B926" s="1" t="n">
        <v>45817.31708333334</v>
      </c>
      <c r="C926" s="1" t="n">
        <v>45939</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27811-2025</t>
        </is>
      </c>
      <c r="B927" s="1" t="n">
        <v>45817.31986111111</v>
      </c>
      <c r="C927" s="1" t="n">
        <v>45939</v>
      </c>
      <c r="D927" t="inlineStr">
        <is>
          <t>STOCKHOLMS LÄN</t>
        </is>
      </c>
      <c r="E927" t="inlineStr">
        <is>
          <t>NORRTÄLJE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27818-2025</t>
        </is>
      </c>
      <c r="B928" s="1" t="n">
        <v>45817.33503472222</v>
      </c>
      <c r="C928" s="1" t="n">
        <v>45939</v>
      </c>
      <c r="D928" t="inlineStr">
        <is>
          <t>STOCKHOLMS LÄN</t>
        </is>
      </c>
      <c r="E928" t="inlineStr">
        <is>
          <t>NORRTÄLJE</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4484-2025</t>
        </is>
      </c>
      <c r="B929" s="1" t="n">
        <v>45686.65545138889</v>
      </c>
      <c r="C929" s="1" t="n">
        <v>45939</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10511-2025</t>
        </is>
      </c>
      <c r="B930" s="1" t="n">
        <v>45721.40780092592</v>
      </c>
      <c r="C930" s="1" t="n">
        <v>45939</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15528-2025</t>
        </is>
      </c>
      <c r="B931" s="1" t="n">
        <v>45747.63471064815</v>
      </c>
      <c r="C931" s="1" t="n">
        <v>45939</v>
      </c>
      <c r="D931" t="inlineStr">
        <is>
          <t>STOCKHOLMS LÄN</t>
        </is>
      </c>
      <c r="E931" t="inlineStr">
        <is>
          <t>NORRTÄLJE</t>
        </is>
      </c>
      <c r="G931" t="n">
        <v>10</v>
      </c>
      <c r="H931" t="n">
        <v>0</v>
      </c>
      <c r="I931" t="n">
        <v>0</v>
      </c>
      <c r="J931" t="n">
        <v>0</v>
      </c>
      <c r="K931" t="n">
        <v>0</v>
      </c>
      <c r="L931" t="n">
        <v>0</v>
      </c>
      <c r="M931" t="n">
        <v>0</v>
      </c>
      <c r="N931" t="n">
        <v>0</v>
      </c>
      <c r="O931" t="n">
        <v>0</v>
      </c>
      <c r="P931" t="n">
        <v>0</v>
      </c>
      <c r="Q931" t="n">
        <v>0</v>
      </c>
      <c r="R931" s="2" t="inlineStr"/>
    </row>
    <row r="932" ht="15" customHeight="1">
      <c r="A932" t="inlineStr">
        <is>
          <t>A 8419-2025</t>
        </is>
      </c>
      <c r="B932" s="1" t="n">
        <v>45709.40231481481</v>
      </c>
      <c r="C932" s="1" t="n">
        <v>45939</v>
      </c>
      <c r="D932" t="inlineStr">
        <is>
          <t>STOCKHOLMS LÄN</t>
        </is>
      </c>
      <c r="E932" t="inlineStr">
        <is>
          <t>NORRTÄLJE</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21480-2022</t>
        </is>
      </c>
      <c r="B933" s="1" t="n">
        <v>44704</v>
      </c>
      <c r="C933" s="1" t="n">
        <v>45939</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27803-2025</t>
        </is>
      </c>
      <c r="B934" s="1" t="n">
        <v>45817.291875</v>
      </c>
      <c r="C934" s="1" t="n">
        <v>45939</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27813-2025</t>
        </is>
      </c>
      <c r="B935" s="1" t="n">
        <v>45817.32538194444</v>
      </c>
      <c r="C935" s="1" t="n">
        <v>45939</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27801-2025</t>
        </is>
      </c>
      <c r="B936" s="1" t="n">
        <v>45817.25471064815</v>
      </c>
      <c r="C936" s="1" t="n">
        <v>45939</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27821-2025</t>
        </is>
      </c>
      <c r="B937" s="1" t="n">
        <v>45817.34083333334</v>
      </c>
      <c r="C937" s="1" t="n">
        <v>45939</v>
      </c>
      <c r="D937" t="inlineStr">
        <is>
          <t>STOCKHOLMS LÄN</t>
        </is>
      </c>
      <c r="E937" t="inlineStr">
        <is>
          <t>NORRTÄLJE</t>
        </is>
      </c>
      <c r="G937" t="n">
        <v>3.2</v>
      </c>
      <c r="H937" t="n">
        <v>0</v>
      </c>
      <c r="I937" t="n">
        <v>0</v>
      </c>
      <c r="J937" t="n">
        <v>0</v>
      </c>
      <c r="K937" t="n">
        <v>0</v>
      </c>
      <c r="L937" t="n">
        <v>0</v>
      </c>
      <c r="M937" t="n">
        <v>0</v>
      </c>
      <c r="N937" t="n">
        <v>0</v>
      </c>
      <c r="O937" t="n">
        <v>0</v>
      </c>
      <c r="P937" t="n">
        <v>0</v>
      </c>
      <c r="Q937" t="n">
        <v>0</v>
      </c>
      <c r="R937" s="2" t="inlineStr"/>
    </row>
    <row r="938" ht="15" customHeight="1">
      <c r="A938" t="inlineStr">
        <is>
          <t>A 1654-2025</t>
        </is>
      </c>
      <c r="B938" s="1" t="n">
        <v>45670.65921296296</v>
      </c>
      <c r="C938" s="1" t="n">
        <v>45939</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48686-2023</t>
        </is>
      </c>
      <c r="B939" s="1" t="n">
        <v>45208</v>
      </c>
      <c r="C939" s="1" t="n">
        <v>45939</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48691-2023</t>
        </is>
      </c>
      <c r="B940" s="1" t="n">
        <v>45208</v>
      </c>
      <c r="C940" s="1" t="n">
        <v>45939</v>
      </c>
      <c r="D940" t="inlineStr">
        <is>
          <t>STOCKHOLMS LÄN</t>
        </is>
      </c>
      <c r="E940" t="inlineStr">
        <is>
          <t>NORRTÄLJE</t>
        </is>
      </c>
      <c r="G940" t="n">
        <v>5.8</v>
      </c>
      <c r="H940" t="n">
        <v>0</v>
      </c>
      <c r="I940" t="n">
        <v>0</v>
      </c>
      <c r="J940" t="n">
        <v>0</v>
      </c>
      <c r="K940" t="n">
        <v>0</v>
      </c>
      <c r="L940" t="n">
        <v>0</v>
      </c>
      <c r="M940" t="n">
        <v>0</v>
      </c>
      <c r="N940" t="n">
        <v>0</v>
      </c>
      <c r="O940" t="n">
        <v>0</v>
      </c>
      <c r="P940" t="n">
        <v>0</v>
      </c>
      <c r="Q940" t="n">
        <v>0</v>
      </c>
      <c r="R940" s="2" t="inlineStr"/>
    </row>
    <row r="941" ht="15" customHeight="1">
      <c r="A941" t="inlineStr">
        <is>
          <t>A 55243-2023</t>
        </is>
      </c>
      <c r="B941" s="1" t="n">
        <v>45237</v>
      </c>
      <c r="C941" s="1" t="n">
        <v>45939</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35210-2023</t>
        </is>
      </c>
      <c r="B942" s="1" t="n">
        <v>45145.63584490741</v>
      </c>
      <c r="C942" s="1" t="n">
        <v>45939</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44075-2023</t>
        </is>
      </c>
      <c r="B943" s="1" t="n">
        <v>45188.41637731482</v>
      </c>
      <c r="C943" s="1" t="n">
        <v>45939</v>
      </c>
      <c r="D943" t="inlineStr">
        <is>
          <t>STOCKHOLMS LÄN</t>
        </is>
      </c>
      <c r="E943" t="inlineStr">
        <is>
          <t>NORRTÄLJE</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29250-2025</t>
        </is>
      </c>
      <c r="B944" s="1" t="n">
        <v>45824.37275462963</v>
      </c>
      <c r="C944" s="1" t="n">
        <v>45939</v>
      </c>
      <c r="D944" t="inlineStr">
        <is>
          <t>STOCKHOLMS LÄN</t>
        </is>
      </c>
      <c r="E944" t="inlineStr">
        <is>
          <t>NORRTÄLJE</t>
        </is>
      </c>
      <c r="F944" t="inlineStr">
        <is>
          <t>Sveaskog</t>
        </is>
      </c>
      <c r="G944" t="n">
        <v>6.4</v>
      </c>
      <c r="H944" t="n">
        <v>0</v>
      </c>
      <c r="I944" t="n">
        <v>0</v>
      </c>
      <c r="J944" t="n">
        <v>0</v>
      </c>
      <c r="K944" t="n">
        <v>0</v>
      </c>
      <c r="L944" t="n">
        <v>0</v>
      </c>
      <c r="M944" t="n">
        <v>0</v>
      </c>
      <c r="N944" t="n">
        <v>0</v>
      </c>
      <c r="O944" t="n">
        <v>0</v>
      </c>
      <c r="P944" t="n">
        <v>0</v>
      </c>
      <c r="Q944" t="n">
        <v>0</v>
      </c>
      <c r="R944" s="2" t="inlineStr"/>
    </row>
    <row r="945" ht="15" customHeight="1">
      <c r="A945" t="inlineStr">
        <is>
          <t>A 6678-2025</t>
        </is>
      </c>
      <c r="B945" s="1" t="n">
        <v>45700</v>
      </c>
      <c r="C945" s="1" t="n">
        <v>45939</v>
      </c>
      <c r="D945" t="inlineStr">
        <is>
          <t>STOCKHOLMS LÄN</t>
        </is>
      </c>
      <c r="E945" t="inlineStr">
        <is>
          <t>NORRTÄLJE</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17612-2022</t>
        </is>
      </c>
      <c r="B946" s="1" t="n">
        <v>44680</v>
      </c>
      <c r="C946" s="1" t="n">
        <v>45939</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58297-2023</t>
        </is>
      </c>
      <c r="B947" s="1" t="n">
        <v>45245</v>
      </c>
      <c r="C947" s="1" t="n">
        <v>45939</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21726-2022</t>
        </is>
      </c>
      <c r="B948" s="1" t="n">
        <v>44708</v>
      </c>
      <c r="C948" s="1" t="n">
        <v>45939</v>
      </c>
      <c r="D948" t="inlineStr">
        <is>
          <t>STOCKHOLMS LÄN</t>
        </is>
      </c>
      <c r="E948" t="inlineStr">
        <is>
          <t>NORRTÄLJE</t>
        </is>
      </c>
      <c r="G948" t="n">
        <v>0.2</v>
      </c>
      <c r="H948" t="n">
        <v>0</v>
      </c>
      <c r="I948" t="n">
        <v>0</v>
      </c>
      <c r="J948" t="n">
        <v>0</v>
      </c>
      <c r="K948" t="n">
        <v>0</v>
      </c>
      <c r="L948" t="n">
        <v>0</v>
      </c>
      <c r="M948" t="n">
        <v>0</v>
      </c>
      <c r="N948" t="n">
        <v>0</v>
      </c>
      <c r="O948" t="n">
        <v>0</v>
      </c>
      <c r="P948" t="n">
        <v>0</v>
      </c>
      <c r="Q948" t="n">
        <v>0</v>
      </c>
      <c r="R948" s="2" t="inlineStr"/>
    </row>
    <row r="949" ht="15" customHeight="1">
      <c r="A949" t="inlineStr">
        <is>
          <t>A 21739-2022</t>
        </is>
      </c>
      <c r="B949" s="1" t="n">
        <v>44708.36708333333</v>
      </c>
      <c r="C949" s="1" t="n">
        <v>45939</v>
      </c>
      <c r="D949" t="inlineStr">
        <is>
          <t>STOCKHOLMS LÄN</t>
        </is>
      </c>
      <c r="E949" t="inlineStr">
        <is>
          <t>NORRTÄLJE</t>
        </is>
      </c>
      <c r="F949" t="inlineStr">
        <is>
          <t>Holmen skog AB</t>
        </is>
      </c>
      <c r="G949" t="n">
        <v>1.1</v>
      </c>
      <c r="H949" t="n">
        <v>0</v>
      </c>
      <c r="I949" t="n">
        <v>0</v>
      </c>
      <c r="J949" t="n">
        <v>0</v>
      </c>
      <c r="K949" t="n">
        <v>0</v>
      </c>
      <c r="L949" t="n">
        <v>0</v>
      </c>
      <c r="M949" t="n">
        <v>0</v>
      </c>
      <c r="N949" t="n">
        <v>0</v>
      </c>
      <c r="O949" t="n">
        <v>0</v>
      </c>
      <c r="P949" t="n">
        <v>0</v>
      </c>
      <c r="Q949" t="n">
        <v>0</v>
      </c>
      <c r="R949" s="2" t="inlineStr"/>
    </row>
    <row r="950" ht="15" customHeight="1">
      <c r="A950" t="inlineStr">
        <is>
          <t>A 28182-2022</t>
        </is>
      </c>
      <c r="B950" s="1" t="n">
        <v>44746.58530092592</v>
      </c>
      <c r="C950" s="1" t="n">
        <v>45939</v>
      </c>
      <c r="D950" t="inlineStr">
        <is>
          <t>STOCKHOLMS LÄN</t>
        </is>
      </c>
      <c r="E950" t="inlineStr">
        <is>
          <t>NORRTÄLJE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3283-2025</t>
        </is>
      </c>
      <c r="B951" s="1" t="n">
        <v>45679</v>
      </c>
      <c r="C951" s="1" t="n">
        <v>45939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18092-2022</t>
        </is>
      </c>
      <c r="B952" s="1" t="n">
        <v>44684</v>
      </c>
      <c r="C952" s="1" t="n">
        <v>45939</v>
      </c>
      <c r="D952" t="inlineStr">
        <is>
          <t>STOCKHOLMS LÄN</t>
        </is>
      </c>
      <c r="E952" t="inlineStr">
        <is>
          <t>NORRTÄLJE</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33295-2023</t>
        </is>
      </c>
      <c r="B953" s="1" t="n">
        <v>45127.69371527778</v>
      </c>
      <c r="C953" s="1" t="n">
        <v>45939</v>
      </c>
      <c r="D953" t="inlineStr">
        <is>
          <t>STOCKHOLMS LÄN</t>
        </is>
      </c>
      <c r="E953" t="inlineStr">
        <is>
          <t>NORRTÄLJE</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58404-2023</t>
        </is>
      </c>
      <c r="B954" s="1" t="n">
        <v>45245</v>
      </c>
      <c r="C954" s="1" t="n">
        <v>45939</v>
      </c>
      <c r="D954" t="inlineStr">
        <is>
          <t>STOCKHOLMS LÄN</t>
        </is>
      </c>
      <c r="E954" t="inlineStr">
        <is>
          <t>NORRTÄLJE</t>
        </is>
      </c>
      <c r="G954" t="n">
        <v>53.5</v>
      </c>
      <c r="H954" t="n">
        <v>0</v>
      </c>
      <c r="I954" t="n">
        <v>0</v>
      </c>
      <c r="J954" t="n">
        <v>0</v>
      </c>
      <c r="K954" t="n">
        <v>0</v>
      </c>
      <c r="L954" t="n">
        <v>0</v>
      </c>
      <c r="M954" t="n">
        <v>0</v>
      </c>
      <c r="N954" t="n">
        <v>0</v>
      </c>
      <c r="O954" t="n">
        <v>0</v>
      </c>
      <c r="P954" t="n">
        <v>0</v>
      </c>
      <c r="Q954" t="n">
        <v>0</v>
      </c>
      <c r="R954" s="2" t="inlineStr"/>
    </row>
    <row r="955" ht="15" customHeight="1">
      <c r="A955" t="inlineStr">
        <is>
          <t>A 27885-2022</t>
        </is>
      </c>
      <c r="B955" s="1" t="n">
        <v>44743.67418981482</v>
      </c>
      <c r="C955" s="1" t="n">
        <v>45939</v>
      </c>
      <c r="D955" t="inlineStr">
        <is>
          <t>STOCKHOLMS LÄN</t>
        </is>
      </c>
      <c r="E955" t="inlineStr">
        <is>
          <t>NORRTÄLJE</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25525-2022</t>
        </is>
      </c>
      <c r="B956" s="1" t="n">
        <v>44732</v>
      </c>
      <c r="C956" s="1" t="n">
        <v>45939</v>
      </c>
      <c r="D956" t="inlineStr">
        <is>
          <t>STOCKHOLMS LÄN</t>
        </is>
      </c>
      <c r="E956" t="inlineStr">
        <is>
          <t>NORRTÄLJE</t>
        </is>
      </c>
      <c r="G956" t="n">
        <v>2.2</v>
      </c>
      <c r="H956" t="n">
        <v>0</v>
      </c>
      <c r="I956" t="n">
        <v>0</v>
      </c>
      <c r="J956" t="n">
        <v>0</v>
      </c>
      <c r="K956" t="n">
        <v>0</v>
      </c>
      <c r="L956" t="n">
        <v>0</v>
      </c>
      <c r="M956" t="n">
        <v>0</v>
      </c>
      <c r="N956" t="n">
        <v>0</v>
      </c>
      <c r="O956" t="n">
        <v>0</v>
      </c>
      <c r="P956" t="n">
        <v>0</v>
      </c>
      <c r="Q956" t="n">
        <v>0</v>
      </c>
      <c r="R956" s="2" t="inlineStr"/>
    </row>
    <row r="957" ht="15" customHeight="1">
      <c r="A957" t="inlineStr">
        <is>
          <t>A 30668-2025</t>
        </is>
      </c>
      <c r="B957" s="1" t="n">
        <v>45831.51659722222</v>
      </c>
      <c r="C957" s="1" t="n">
        <v>45939</v>
      </c>
      <c r="D957" t="inlineStr">
        <is>
          <t>STOCKHOLMS LÄN</t>
        </is>
      </c>
      <c r="E957" t="inlineStr">
        <is>
          <t>NORRTÄLJE</t>
        </is>
      </c>
      <c r="G957" t="n">
        <v>4.9</v>
      </c>
      <c r="H957" t="n">
        <v>0</v>
      </c>
      <c r="I957" t="n">
        <v>0</v>
      </c>
      <c r="J957" t="n">
        <v>0</v>
      </c>
      <c r="K957" t="n">
        <v>0</v>
      </c>
      <c r="L957" t="n">
        <v>0</v>
      </c>
      <c r="M957" t="n">
        <v>0</v>
      </c>
      <c r="N957" t="n">
        <v>0</v>
      </c>
      <c r="O957" t="n">
        <v>0</v>
      </c>
      <c r="P957" t="n">
        <v>0</v>
      </c>
      <c r="Q957" t="n">
        <v>0</v>
      </c>
      <c r="R957" s="2" t="inlineStr"/>
    </row>
    <row r="958" ht="15" customHeight="1">
      <c r="A958" t="inlineStr">
        <is>
          <t>A 48722-2023</t>
        </is>
      </c>
      <c r="B958" s="1" t="n">
        <v>45208.70996527778</v>
      </c>
      <c r="C958" s="1" t="n">
        <v>45939</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67393-2020</t>
        </is>
      </c>
      <c r="B959" s="1" t="n">
        <v>44181</v>
      </c>
      <c r="C959" s="1" t="n">
        <v>45939</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30639-2025</t>
        </is>
      </c>
      <c r="B960" s="1" t="n">
        <v>45831.4844212963</v>
      </c>
      <c r="C960" s="1" t="n">
        <v>45939</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31170-2025</t>
        </is>
      </c>
      <c r="B961" s="1" t="n">
        <v>45832.66385416667</v>
      </c>
      <c r="C961" s="1" t="n">
        <v>45939</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30699-2025</t>
        </is>
      </c>
      <c r="B962" s="1" t="n">
        <v>45831.54618055555</v>
      </c>
      <c r="C962" s="1" t="n">
        <v>45939</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23801-2022</t>
        </is>
      </c>
      <c r="B963" s="1" t="n">
        <v>44722</v>
      </c>
      <c r="C963" s="1" t="n">
        <v>45939</v>
      </c>
      <c r="D963" t="inlineStr">
        <is>
          <t>STOCKHOLMS LÄN</t>
        </is>
      </c>
      <c r="E963" t="inlineStr">
        <is>
          <t>NORRTÄLJE</t>
        </is>
      </c>
      <c r="G963" t="n">
        <v>6.8</v>
      </c>
      <c r="H963" t="n">
        <v>0</v>
      </c>
      <c r="I963" t="n">
        <v>0</v>
      </c>
      <c r="J963" t="n">
        <v>0</v>
      </c>
      <c r="K963" t="n">
        <v>0</v>
      </c>
      <c r="L963" t="n">
        <v>0</v>
      </c>
      <c r="M963" t="n">
        <v>0</v>
      </c>
      <c r="N963" t="n">
        <v>0</v>
      </c>
      <c r="O963" t="n">
        <v>0</v>
      </c>
      <c r="P963" t="n">
        <v>0</v>
      </c>
      <c r="Q963" t="n">
        <v>0</v>
      </c>
      <c r="R963" s="2" t="inlineStr"/>
    </row>
    <row r="964" ht="15" customHeight="1">
      <c r="A964" t="inlineStr">
        <is>
          <t>A 31874-2025</t>
        </is>
      </c>
      <c r="B964" s="1" t="n">
        <v>45834</v>
      </c>
      <c r="C964" s="1" t="n">
        <v>45939</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31868-2025</t>
        </is>
      </c>
      <c r="B965" s="1" t="n">
        <v>45834.6447337963</v>
      </c>
      <c r="C965" s="1" t="n">
        <v>45939</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6413-2025</t>
        </is>
      </c>
      <c r="B966" s="1" t="n">
        <v>45699.46283564815</v>
      </c>
      <c r="C966" s="1" t="n">
        <v>45939</v>
      </c>
      <c r="D966" t="inlineStr">
        <is>
          <t>STOCKHOLMS LÄN</t>
        </is>
      </c>
      <c r="E966" t="inlineStr">
        <is>
          <t>NORRTÄLJE</t>
        </is>
      </c>
      <c r="G966" t="n">
        <v>3.6</v>
      </c>
      <c r="H966" t="n">
        <v>0</v>
      </c>
      <c r="I966" t="n">
        <v>0</v>
      </c>
      <c r="J966" t="n">
        <v>0</v>
      </c>
      <c r="K966" t="n">
        <v>0</v>
      </c>
      <c r="L966" t="n">
        <v>0</v>
      </c>
      <c r="M966" t="n">
        <v>0</v>
      </c>
      <c r="N966" t="n">
        <v>0</v>
      </c>
      <c r="O966" t="n">
        <v>0</v>
      </c>
      <c r="P966" t="n">
        <v>0</v>
      </c>
      <c r="Q966" t="n">
        <v>0</v>
      </c>
      <c r="R966" s="2" t="inlineStr"/>
    </row>
    <row r="967" ht="15" customHeight="1">
      <c r="A967" t="inlineStr">
        <is>
          <t>A 31880-2025</t>
        </is>
      </c>
      <c r="B967" s="1" t="n">
        <v>45834.65538194445</v>
      </c>
      <c r="C967" s="1" t="n">
        <v>45939</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33353-2023</t>
        </is>
      </c>
      <c r="B968" s="1" t="n">
        <v>45128</v>
      </c>
      <c r="C968" s="1" t="n">
        <v>45939</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32283-2025</t>
        </is>
      </c>
      <c r="B969" s="1" t="n">
        <v>45835.68076388889</v>
      </c>
      <c r="C969" s="1" t="n">
        <v>45939</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32122-2025</t>
        </is>
      </c>
      <c r="B970" s="1" t="n">
        <v>45835.4928125</v>
      </c>
      <c r="C970" s="1" t="n">
        <v>45939</v>
      </c>
      <c r="D970" t="inlineStr">
        <is>
          <t>STOCKHOLMS LÄN</t>
        </is>
      </c>
      <c r="E970" t="inlineStr">
        <is>
          <t>NORRTÄLJE</t>
        </is>
      </c>
      <c r="F970" t="inlineStr">
        <is>
          <t>Holmen skog AB</t>
        </is>
      </c>
      <c r="G970" t="n">
        <v>1.9</v>
      </c>
      <c r="H970" t="n">
        <v>0</v>
      </c>
      <c r="I970" t="n">
        <v>0</v>
      </c>
      <c r="J970" t="n">
        <v>0</v>
      </c>
      <c r="K970" t="n">
        <v>0</v>
      </c>
      <c r="L970" t="n">
        <v>0</v>
      </c>
      <c r="M970" t="n">
        <v>0</v>
      </c>
      <c r="N970" t="n">
        <v>0</v>
      </c>
      <c r="O970" t="n">
        <v>0</v>
      </c>
      <c r="P970" t="n">
        <v>0</v>
      </c>
      <c r="Q970" t="n">
        <v>0</v>
      </c>
      <c r="R970" s="2" t="inlineStr"/>
    </row>
    <row r="971" ht="15" customHeight="1">
      <c r="A971" t="inlineStr">
        <is>
          <t>A 32094-2025</t>
        </is>
      </c>
      <c r="B971" s="1" t="n">
        <v>45835.46034722222</v>
      </c>
      <c r="C971" s="1" t="n">
        <v>45939</v>
      </c>
      <c r="D971" t="inlineStr">
        <is>
          <t>STOCKHOLMS LÄN</t>
        </is>
      </c>
      <c r="E971" t="inlineStr">
        <is>
          <t>NORRTÄLJE</t>
        </is>
      </c>
      <c r="F971" t="inlineStr">
        <is>
          <t>Holmen skog AB</t>
        </is>
      </c>
      <c r="G971" t="n">
        <v>2.9</v>
      </c>
      <c r="H971" t="n">
        <v>0</v>
      </c>
      <c r="I971" t="n">
        <v>0</v>
      </c>
      <c r="J971" t="n">
        <v>0</v>
      </c>
      <c r="K971" t="n">
        <v>0</v>
      </c>
      <c r="L971" t="n">
        <v>0</v>
      </c>
      <c r="M971" t="n">
        <v>0</v>
      </c>
      <c r="N971" t="n">
        <v>0</v>
      </c>
      <c r="O971" t="n">
        <v>0</v>
      </c>
      <c r="P971" t="n">
        <v>0</v>
      </c>
      <c r="Q971" t="n">
        <v>0</v>
      </c>
      <c r="R971" s="2" t="inlineStr"/>
    </row>
    <row r="972" ht="15" customHeight="1">
      <c r="A972" t="inlineStr">
        <is>
          <t>A 32016-2025</t>
        </is>
      </c>
      <c r="B972" s="1" t="n">
        <v>45835</v>
      </c>
      <c r="C972" s="1" t="n">
        <v>45939</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35708-2022</t>
        </is>
      </c>
      <c r="B973" s="1" t="n">
        <v>44799.65013888889</v>
      </c>
      <c r="C973" s="1" t="n">
        <v>45939</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32396-2025</t>
        </is>
      </c>
      <c r="B974" s="1" t="n">
        <v>45837</v>
      </c>
      <c r="C974" s="1" t="n">
        <v>45939</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32397-2025</t>
        </is>
      </c>
      <c r="B975" s="1" t="n">
        <v>45837.94081018519</v>
      </c>
      <c r="C975" s="1" t="n">
        <v>45939</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32480-2025</t>
        </is>
      </c>
      <c r="B976" s="1" t="n">
        <v>45838.43261574074</v>
      </c>
      <c r="C976" s="1" t="n">
        <v>45939</v>
      </c>
      <c r="D976" t="inlineStr">
        <is>
          <t>STOCKHOLMS LÄN</t>
        </is>
      </c>
      <c r="E976" t="inlineStr">
        <is>
          <t>NORRTÄLJE</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3426-2025</t>
        </is>
      </c>
      <c r="B977" s="1" t="n">
        <v>45680.42665509259</v>
      </c>
      <c r="C977" s="1" t="n">
        <v>45939</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9-2024</t>
        </is>
      </c>
      <c r="B978" s="1" t="n">
        <v>45293</v>
      </c>
      <c r="C978" s="1" t="n">
        <v>45939</v>
      </c>
      <c r="D978" t="inlineStr">
        <is>
          <t>STOCKHOLMS LÄN</t>
        </is>
      </c>
      <c r="E978" t="inlineStr">
        <is>
          <t>NORRTÄLJE</t>
        </is>
      </c>
      <c r="F978" t="inlineStr">
        <is>
          <t>Sveaskog</t>
        </is>
      </c>
      <c r="G978" t="n">
        <v>1.3</v>
      </c>
      <c r="H978" t="n">
        <v>0</v>
      </c>
      <c r="I978" t="n">
        <v>0</v>
      </c>
      <c r="J978" t="n">
        <v>0</v>
      </c>
      <c r="K978" t="n">
        <v>0</v>
      </c>
      <c r="L978" t="n">
        <v>0</v>
      </c>
      <c r="M978" t="n">
        <v>0</v>
      </c>
      <c r="N978" t="n">
        <v>0</v>
      </c>
      <c r="O978" t="n">
        <v>0</v>
      </c>
      <c r="P978" t="n">
        <v>0</v>
      </c>
      <c r="Q978" t="n">
        <v>0</v>
      </c>
      <c r="R978" s="2" t="inlineStr"/>
    </row>
    <row r="979" ht="15" customHeight="1">
      <c r="A979" t="inlineStr">
        <is>
          <t>A 32395-2025</t>
        </is>
      </c>
      <c r="B979" s="1" t="n">
        <v>45837.93730324074</v>
      </c>
      <c r="C979" s="1" t="n">
        <v>45939</v>
      </c>
      <c r="D979" t="inlineStr">
        <is>
          <t>STOCKHOLMS LÄN</t>
        </is>
      </c>
      <c r="E979" t="inlineStr">
        <is>
          <t>NORRTÄLJE</t>
        </is>
      </c>
      <c r="G979" t="n">
        <v>2.2</v>
      </c>
      <c r="H979" t="n">
        <v>0</v>
      </c>
      <c r="I979" t="n">
        <v>0</v>
      </c>
      <c r="J979" t="n">
        <v>0</v>
      </c>
      <c r="K979" t="n">
        <v>0</v>
      </c>
      <c r="L979" t="n">
        <v>0</v>
      </c>
      <c r="M979" t="n">
        <v>0</v>
      </c>
      <c r="N979" t="n">
        <v>0</v>
      </c>
      <c r="O979" t="n">
        <v>0</v>
      </c>
      <c r="P979" t="n">
        <v>0</v>
      </c>
      <c r="Q979" t="n">
        <v>0</v>
      </c>
      <c r="R979" s="2" t="inlineStr"/>
    </row>
    <row r="980" ht="15" customHeight="1">
      <c r="A980" t="inlineStr">
        <is>
          <t>A 51312-2023</t>
        </is>
      </c>
      <c r="B980" s="1" t="n">
        <v>45219.56697916667</v>
      </c>
      <c r="C980" s="1" t="n">
        <v>45939</v>
      </c>
      <c r="D980" t="inlineStr">
        <is>
          <t>STOCKHOLMS LÄN</t>
        </is>
      </c>
      <c r="E980" t="inlineStr">
        <is>
          <t>NORRTÄLJE</t>
        </is>
      </c>
      <c r="G980" t="n">
        <v>1.9</v>
      </c>
      <c r="H980" t="n">
        <v>0</v>
      </c>
      <c r="I980" t="n">
        <v>0</v>
      </c>
      <c r="J980" t="n">
        <v>0</v>
      </c>
      <c r="K980" t="n">
        <v>0</v>
      </c>
      <c r="L980" t="n">
        <v>0</v>
      </c>
      <c r="M980" t="n">
        <v>0</v>
      </c>
      <c r="N980" t="n">
        <v>0</v>
      </c>
      <c r="O980" t="n">
        <v>0</v>
      </c>
      <c r="P980" t="n">
        <v>0</v>
      </c>
      <c r="Q980" t="n">
        <v>0</v>
      </c>
      <c r="R980" s="2" t="inlineStr"/>
    </row>
    <row r="981" ht="15" customHeight="1">
      <c r="A981" t="inlineStr">
        <is>
          <t>A 33211-2025</t>
        </is>
      </c>
      <c r="B981" s="1" t="n">
        <v>45840.62755787037</v>
      </c>
      <c r="C981" s="1" t="n">
        <v>45939</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11849-2025</t>
        </is>
      </c>
      <c r="B982" s="1" t="n">
        <v>45728.38409722222</v>
      </c>
      <c r="C982" s="1" t="n">
        <v>45939</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32903-2025</t>
        </is>
      </c>
      <c r="B983" s="1" t="n">
        <v>45839.62398148148</v>
      </c>
      <c r="C983" s="1" t="n">
        <v>45939</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38610-2022</t>
        </is>
      </c>
      <c r="B984" s="1" t="n">
        <v>44813.59915509259</v>
      </c>
      <c r="C984" s="1" t="n">
        <v>45939</v>
      </c>
      <c r="D984" t="inlineStr">
        <is>
          <t>STOCKHOLMS LÄN</t>
        </is>
      </c>
      <c r="E984" t="inlineStr">
        <is>
          <t>NORRTÄLJE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22816-2021</t>
        </is>
      </c>
      <c r="B985" s="1" t="n">
        <v>44325</v>
      </c>
      <c r="C985" s="1" t="n">
        <v>45939</v>
      </c>
      <c r="D985" t="inlineStr">
        <is>
          <t>STOCKHOLMS LÄN</t>
        </is>
      </c>
      <c r="E985" t="inlineStr">
        <is>
          <t>NORRTÄLJE</t>
        </is>
      </c>
      <c r="G985" t="n">
        <v>4.5</v>
      </c>
      <c r="H985" t="n">
        <v>0</v>
      </c>
      <c r="I985" t="n">
        <v>0</v>
      </c>
      <c r="J985" t="n">
        <v>0</v>
      </c>
      <c r="K985" t="n">
        <v>0</v>
      </c>
      <c r="L985" t="n">
        <v>0</v>
      </c>
      <c r="M985" t="n">
        <v>0</v>
      </c>
      <c r="N985" t="n">
        <v>0</v>
      </c>
      <c r="O985" t="n">
        <v>0</v>
      </c>
      <c r="P985" t="n">
        <v>0</v>
      </c>
      <c r="Q985" t="n">
        <v>0</v>
      </c>
      <c r="R985" s="2" t="inlineStr"/>
    </row>
    <row r="986" ht="15" customHeight="1">
      <c r="A986" t="inlineStr">
        <is>
          <t>A 33265-2025</t>
        </is>
      </c>
      <c r="B986" s="1" t="n">
        <v>45840.67829861111</v>
      </c>
      <c r="C986" s="1" t="n">
        <v>45939</v>
      </c>
      <c r="D986" t="inlineStr">
        <is>
          <t>STOCKHOLMS LÄN</t>
        </is>
      </c>
      <c r="E986" t="inlineStr">
        <is>
          <t>NORRTÄLJE</t>
        </is>
      </c>
      <c r="G986" t="n">
        <v>5.5</v>
      </c>
      <c r="H986" t="n">
        <v>0</v>
      </c>
      <c r="I986" t="n">
        <v>0</v>
      </c>
      <c r="J986" t="n">
        <v>0</v>
      </c>
      <c r="K986" t="n">
        <v>0</v>
      </c>
      <c r="L986" t="n">
        <v>0</v>
      </c>
      <c r="M986" t="n">
        <v>0</v>
      </c>
      <c r="N986" t="n">
        <v>0</v>
      </c>
      <c r="O986" t="n">
        <v>0</v>
      </c>
      <c r="P986" t="n">
        <v>0</v>
      </c>
      <c r="Q986" t="n">
        <v>0</v>
      </c>
      <c r="R986" s="2" t="inlineStr"/>
    </row>
    <row r="987" ht="15" customHeight="1">
      <c r="A987" t="inlineStr">
        <is>
          <t>A 32872-2025</t>
        </is>
      </c>
      <c r="B987" s="1" t="n">
        <v>45839</v>
      </c>
      <c r="C987" s="1" t="n">
        <v>45939</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33702-2025</t>
        </is>
      </c>
      <c r="B988" s="1" t="n">
        <v>45841.74596064815</v>
      </c>
      <c r="C988" s="1" t="n">
        <v>45939</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33336-2025</t>
        </is>
      </c>
      <c r="B989" s="1" t="n">
        <v>45841.35611111111</v>
      </c>
      <c r="C989" s="1" t="n">
        <v>45939</v>
      </c>
      <c r="D989" t="inlineStr">
        <is>
          <t>STOCKHOLMS LÄN</t>
        </is>
      </c>
      <c r="E989" t="inlineStr">
        <is>
          <t>NORRTÄLJE</t>
        </is>
      </c>
      <c r="G989" t="n">
        <v>2.4</v>
      </c>
      <c r="H989" t="n">
        <v>0</v>
      </c>
      <c r="I989" t="n">
        <v>0</v>
      </c>
      <c r="J989" t="n">
        <v>0</v>
      </c>
      <c r="K989" t="n">
        <v>0</v>
      </c>
      <c r="L989" t="n">
        <v>0</v>
      </c>
      <c r="M989" t="n">
        <v>0</v>
      </c>
      <c r="N989" t="n">
        <v>0</v>
      </c>
      <c r="O989" t="n">
        <v>0</v>
      </c>
      <c r="P989" t="n">
        <v>0</v>
      </c>
      <c r="Q989" t="n">
        <v>0</v>
      </c>
      <c r="R989" s="2" t="inlineStr"/>
    </row>
    <row r="990" ht="15" customHeight="1">
      <c r="A990" t="inlineStr">
        <is>
          <t>A 33552-2025</t>
        </is>
      </c>
      <c r="B990" s="1" t="n">
        <v>45841.5737962963</v>
      </c>
      <c r="C990" s="1" t="n">
        <v>45939</v>
      </c>
      <c r="D990" t="inlineStr">
        <is>
          <t>STOCKHOLMS LÄN</t>
        </is>
      </c>
      <c r="E990" t="inlineStr">
        <is>
          <t>NORRTÄLJE</t>
        </is>
      </c>
      <c r="G990" t="n">
        <v>8.9</v>
      </c>
      <c r="H990" t="n">
        <v>0</v>
      </c>
      <c r="I990" t="n">
        <v>0</v>
      </c>
      <c r="J990" t="n">
        <v>0</v>
      </c>
      <c r="K990" t="n">
        <v>0</v>
      </c>
      <c r="L990" t="n">
        <v>0</v>
      </c>
      <c r="M990" t="n">
        <v>0</v>
      </c>
      <c r="N990" t="n">
        <v>0</v>
      </c>
      <c r="O990" t="n">
        <v>0</v>
      </c>
      <c r="P990" t="n">
        <v>0</v>
      </c>
      <c r="Q990" t="n">
        <v>0</v>
      </c>
      <c r="R990" s="2" t="inlineStr"/>
    </row>
    <row r="991" ht="15" customHeight="1">
      <c r="A991" t="inlineStr">
        <is>
          <t>A 33824-2025</t>
        </is>
      </c>
      <c r="B991" s="1" t="n">
        <v>45842.46885416667</v>
      </c>
      <c r="C991" s="1" t="n">
        <v>45939</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46073-2024</t>
        </is>
      </c>
      <c r="B992" s="1" t="n">
        <v>45581</v>
      </c>
      <c r="C992" s="1" t="n">
        <v>45939</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59468-2023</t>
        </is>
      </c>
      <c r="B993" s="1" t="n">
        <v>45254.41509259259</v>
      </c>
      <c r="C993" s="1" t="n">
        <v>45939</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18846-2022</t>
        </is>
      </c>
      <c r="B994" s="1" t="n">
        <v>44690</v>
      </c>
      <c r="C994" s="1" t="n">
        <v>45939</v>
      </c>
      <c r="D994" t="inlineStr">
        <is>
          <t>STOCKHOLMS LÄN</t>
        </is>
      </c>
      <c r="E994" t="inlineStr">
        <is>
          <t>NORRTÄLJE</t>
        </is>
      </c>
      <c r="G994" t="n">
        <v>7</v>
      </c>
      <c r="H994" t="n">
        <v>0</v>
      </c>
      <c r="I994" t="n">
        <v>0</v>
      </c>
      <c r="J994" t="n">
        <v>0</v>
      </c>
      <c r="K994" t="n">
        <v>0</v>
      </c>
      <c r="L994" t="n">
        <v>0</v>
      </c>
      <c r="M994" t="n">
        <v>0</v>
      </c>
      <c r="N994" t="n">
        <v>0</v>
      </c>
      <c r="O994" t="n">
        <v>0</v>
      </c>
      <c r="P994" t="n">
        <v>0</v>
      </c>
      <c r="Q994" t="n">
        <v>0</v>
      </c>
      <c r="R994" s="2" t="inlineStr"/>
    </row>
    <row r="995" ht="15" customHeight="1">
      <c r="A995" t="inlineStr">
        <is>
          <t>A 36689-2023</t>
        </is>
      </c>
      <c r="B995" s="1" t="n">
        <v>45152</v>
      </c>
      <c r="C995" s="1" t="n">
        <v>45939</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34139-2025</t>
        </is>
      </c>
      <c r="B996" s="1" t="n">
        <v>45845</v>
      </c>
      <c r="C996" s="1" t="n">
        <v>45939</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34006-2025</t>
        </is>
      </c>
      <c r="B997" s="1" t="n">
        <v>45844.62609953704</v>
      </c>
      <c r="C997" s="1" t="n">
        <v>45939</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12535-2025</t>
        </is>
      </c>
      <c r="B998" s="1" t="n">
        <v>45730.69502314815</v>
      </c>
      <c r="C998" s="1" t="n">
        <v>45939</v>
      </c>
      <c r="D998" t="inlineStr">
        <is>
          <t>STOCKHOLMS LÄN</t>
        </is>
      </c>
      <c r="E998" t="inlineStr">
        <is>
          <t>NORRTÄLJE</t>
        </is>
      </c>
      <c r="G998" t="n">
        <v>7.1</v>
      </c>
      <c r="H998" t="n">
        <v>0</v>
      </c>
      <c r="I998" t="n">
        <v>0</v>
      </c>
      <c r="J998" t="n">
        <v>0</v>
      </c>
      <c r="K998" t="n">
        <v>0</v>
      </c>
      <c r="L998" t="n">
        <v>0</v>
      </c>
      <c r="M998" t="n">
        <v>0</v>
      </c>
      <c r="N998" t="n">
        <v>0</v>
      </c>
      <c r="O998" t="n">
        <v>0</v>
      </c>
      <c r="P998" t="n">
        <v>0</v>
      </c>
      <c r="Q998" t="n">
        <v>0</v>
      </c>
      <c r="R998" s="2" t="inlineStr"/>
    </row>
    <row r="999" ht="15" customHeight="1">
      <c r="A999" t="inlineStr">
        <is>
          <t>A 34010-2025</t>
        </is>
      </c>
      <c r="B999" s="1" t="n">
        <v>45844.91234953704</v>
      </c>
      <c r="C999" s="1" t="n">
        <v>45939</v>
      </c>
      <c r="D999" t="inlineStr">
        <is>
          <t>STOCKHOLMS LÄN</t>
        </is>
      </c>
      <c r="E999" t="inlineStr">
        <is>
          <t>NORRTÄLJE</t>
        </is>
      </c>
      <c r="F999" t="inlineStr">
        <is>
          <t>Övriga Aktiebolag</t>
        </is>
      </c>
      <c r="G999" t="n">
        <v>1.1</v>
      </c>
      <c r="H999" t="n">
        <v>0</v>
      </c>
      <c r="I999" t="n">
        <v>0</v>
      </c>
      <c r="J999" t="n">
        <v>0</v>
      </c>
      <c r="K999" t="n">
        <v>0</v>
      </c>
      <c r="L999" t="n">
        <v>0</v>
      </c>
      <c r="M999" t="n">
        <v>0</v>
      </c>
      <c r="N999" t="n">
        <v>0</v>
      </c>
      <c r="O999" t="n">
        <v>0</v>
      </c>
      <c r="P999" t="n">
        <v>0</v>
      </c>
      <c r="Q999" t="n">
        <v>0</v>
      </c>
      <c r="R999" s="2" t="inlineStr"/>
    </row>
    <row r="1000" ht="15" customHeight="1">
      <c r="A1000" t="inlineStr">
        <is>
          <t>A 574-2023</t>
        </is>
      </c>
      <c r="B1000" s="1" t="n">
        <v>44925</v>
      </c>
      <c r="C1000" s="1" t="n">
        <v>45939</v>
      </c>
      <c r="D1000" t="inlineStr">
        <is>
          <t>STOCKHOLMS LÄN</t>
        </is>
      </c>
      <c r="E1000" t="inlineStr">
        <is>
          <t>NORRTÄLJE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39610-2025</t>
        </is>
      </c>
      <c r="B1001" s="1" t="n">
        <v>45890.56001157407</v>
      </c>
      <c r="C1001" s="1" t="n">
        <v>45939</v>
      </c>
      <c r="D1001" t="inlineStr">
        <is>
          <t>STOCKHOLMS LÄN</t>
        </is>
      </c>
      <c r="E1001" t="inlineStr">
        <is>
          <t>NORRTÄLJE</t>
        </is>
      </c>
      <c r="G1001" t="n">
        <v>28.6</v>
      </c>
      <c r="H1001" t="n">
        <v>0</v>
      </c>
      <c r="I1001" t="n">
        <v>0</v>
      </c>
      <c r="J1001" t="n">
        <v>0</v>
      </c>
      <c r="K1001" t="n">
        <v>0</v>
      </c>
      <c r="L1001" t="n">
        <v>0</v>
      </c>
      <c r="M1001" t="n">
        <v>0</v>
      </c>
      <c r="N1001" t="n">
        <v>0</v>
      </c>
      <c r="O1001" t="n">
        <v>0</v>
      </c>
      <c r="P1001" t="n">
        <v>0</v>
      </c>
      <c r="Q1001" t="n">
        <v>0</v>
      </c>
      <c r="R1001" s="2" t="inlineStr"/>
    </row>
    <row r="1002" ht="15" customHeight="1">
      <c r="A1002" t="inlineStr">
        <is>
          <t>A 15733-2025</t>
        </is>
      </c>
      <c r="B1002" s="1" t="n">
        <v>45748</v>
      </c>
      <c r="C1002" s="1" t="n">
        <v>45939</v>
      </c>
      <c r="D1002" t="inlineStr">
        <is>
          <t>STOCKHOLMS LÄN</t>
        </is>
      </c>
      <c r="E1002" t="inlineStr">
        <is>
          <t>NORRTÄLJE</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37010-2022</t>
        </is>
      </c>
      <c r="B1003" s="1" t="n">
        <v>44806.41576388889</v>
      </c>
      <c r="C1003" s="1" t="n">
        <v>45939</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32705-2022</t>
        </is>
      </c>
      <c r="B1004" s="1" t="n">
        <v>44783</v>
      </c>
      <c r="C1004" s="1" t="n">
        <v>45939</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35110-2025</t>
        </is>
      </c>
      <c r="B1005" s="1" t="n">
        <v>45852.58030092593</v>
      </c>
      <c r="C1005" s="1" t="n">
        <v>45939</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33149-2022</t>
        </is>
      </c>
      <c r="B1006" s="1" t="n">
        <v>44785</v>
      </c>
      <c r="C1006" s="1" t="n">
        <v>45939</v>
      </c>
      <c r="D1006" t="inlineStr">
        <is>
          <t>STOCKHOLMS LÄN</t>
        </is>
      </c>
      <c r="E1006" t="inlineStr">
        <is>
          <t>NORRTÄLJE</t>
        </is>
      </c>
      <c r="F1006" t="inlineStr">
        <is>
          <t>Holmen skog AB</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14559-2024</t>
        </is>
      </c>
      <c r="B1007" s="1" t="n">
        <v>45394.72869212963</v>
      </c>
      <c r="C1007" s="1" t="n">
        <v>45939</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35256-2025</t>
        </is>
      </c>
      <c r="B1008" s="1" t="n">
        <v>45853</v>
      </c>
      <c r="C1008" s="1" t="n">
        <v>45939</v>
      </c>
      <c r="D1008" t="inlineStr">
        <is>
          <t>STOCKHOLMS LÄN</t>
        </is>
      </c>
      <c r="E1008" t="inlineStr">
        <is>
          <t>NORRTÄLJE</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35254-2025</t>
        </is>
      </c>
      <c r="B1009" s="1" t="n">
        <v>45853</v>
      </c>
      <c r="C1009" s="1" t="n">
        <v>45939</v>
      </c>
      <c r="D1009" t="inlineStr">
        <is>
          <t>STOCKHOLMS LÄN</t>
        </is>
      </c>
      <c r="E1009" t="inlineStr">
        <is>
          <t>NORRTÄLJE</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11-2024</t>
        </is>
      </c>
      <c r="B1010" s="1" t="n">
        <v>45293</v>
      </c>
      <c r="C1010" s="1" t="n">
        <v>45939</v>
      </c>
      <c r="D1010" t="inlineStr">
        <is>
          <t>STOCKHOLMS LÄN</t>
        </is>
      </c>
      <c r="E1010" t="inlineStr">
        <is>
          <t>NORRTÄLJE</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15256-2023</t>
        </is>
      </c>
      <c r="B1011" s="1" t="n">
        <v>45019.3959837963</v>
      </c>
      <c r="C1011" s="1" t="n">
        <v>45939</v>
      </c>
      <c r="D1011" t="inlineStr">
        <is>
          <t>STOCKHOLMS LÄN</t>
        </is>
      </c>
      <c r="E1011" t="inlineStr">
        <is>
          <t>NORRTÄLJE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40829-2025</t>
        </is>
      </c>
      <c r="B1012" s="1" t="n">
        <v>45897.50802083333</v>
      </c>
      <c r="C1012" s="1" t="n">
        <v>45939</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7413-2024</t>
        </is>
      </c>
      <c r="B1013" s="1" t="n">
        <v>45345.6059837963</v>
      </c>
      <c r="C1013" s="1" t="n">
        <v>45939</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58040-2024</t>
        </is>
      </c>
      <c r="B1014" s="1" t="n">
        <v>45631.73952546297</v>
      </c>
      <c r="C1014" s="1" t="n">
        <v>45939</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58041-2024</t>
        </is>
      </c>
      <c r="B1015" s="1" t="n">
        <v>45631.74673611111</v>
      </c>
      <c r="C1015" s="1" t="n">
        <v>45939</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40831-2025</t>
        </is>
      </c>
      <c r="B1016" s="1" t="n">
        <v>45897.51077546296</v>
      </c>
      <c r="C1016" s="1" t="n">
        <v>45939</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40837-2025</t>
        </is>
      </c>
      <c r="B1017" s="1" t="n">
        <v>45897.51328703704</v>
      </c>
      <c r="C1017" s="1" t="n">
        <v>45939</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35479-2025</t>
        </is>
      </c>
      <c r="B1018" s="1" t="n">
        <v>45855.69387731481</v>
      </c>
      <c r="C1018" s="1" t="n">
        <v>45939</v>
      </c>
      <c r="D1018" t="inlineStr">
        <is>
          <t>STOCKHOLMS LÄN</t>
        </is>
      </c>
      <c r="E1018" t="inlineStr">
        <is>
          <t>NORRTÄLJE</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41174-2025</t>
        </is>
      </c>
      <c r="B1019" s="1" t="n">
        <v>45898.54921296296</v>
      </c>
      <c r="C1019" s="1" t="n">
        <v>45939</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41259-2025</t>
        </is>
      </c>
      <c r="B1020" s="1" t="n">
        <v>45898.61054398148</v>
      </c>
      <c r="C1020" s="1" t="n">
        <v>45939</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31057-2022</t>
        </is>
      </c>
      <c r="B1021" s="1" t="n">
        <v>44769</v>
      </c>
      <c r="C1021" s="1" t="n">
        <v>45939</v>
      </c>
      <c r="D1021" t="inlineStr">
        <is>
          <t>STOCKHOLMS LÄN</t>
        </is>
      </c>
      <c r="E1021" t="inlineStr">
        <is>
          <t>NORRTÄLJE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41275-2025</t>
        </is>
      </c>
      <c r="B1022" s="1" t="n">
        <v>45898.62625</v>
      </c>
      <c r="C1022" s="1" t="n">
        <v>45939</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41036-2025</t>
        </is>
      </c>
      <c r="B1023" s="1" t="n">
        <v>45898.38552083333</v>
      </c>
      <c r="C1023" s="1" t="n">
        <v>45939</v>
      </c>
      <c r="D1023" t="inlineStr">
        <is>
          <t>STOCKHOLMS LÄN</t>
        </is>
      </c>
      <c r="E1023" t="inlineStr">
        <is>
          <t>NORRTÄLJE</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41053-2025</t>
        </is>
      </c>
      <c r="B1024" s="1" t="n">
        <v>45898.40480324074</v>
      </c>
      <c r="C1024" s="1" t="n">
        <v>45939</v>
      </c>
      <c r="D1024" t="inlineStr">
        <is>
          <t>STOCKHOLMS LÄN</t>
        </is>
      </c>
      <c r="E1024" t="inlineStr">
        <is>
          <t>NORRTÄLJE</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41106-2025</t>
        </is>
      </c>
      <c r="B1025" s="1" t="n">
        <v>45898.45636574074</v>
      </c>
      <c r="C1025" s="1" t="n">
        <v>45939</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35451-2025</t>
        </is>
      </c>
      <c r="B1026" s="1" t="n">
        <v>45855.57033564815</v>
      </c>
      <c r="C1026" s="1" t="n">
        <v>45939</v>
      </c>
      <c r="D1026" t="inlineStr">
        <is>
          <t>STOCKHOLMS LÄN</t>
        </is>
      </c>
      <c r="E1026" t="inlineStr">
        <is>
          <t>NORRTÄLJE</t>
        </is>
      </c>
      <c r="F1026" t="inlineStr">
        <is>
          <t>Holmen skog AB</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35478-2025</t>
        </is>
      </c>
      <c r="B1027" s="1" t="n">
        <v>45855.68413194444</v>
      </c>
      <c r="C1027" s="1" t="n">
        <v>45939</v>
      </c>
      <c r="D1027" t="inlineStr">
        <is>
          <t>STOCKHOLMS LÄN</t>
        </is>
      </c>
      <c r="E1027" t="inlineStr">
        <is>
          <t>NORRTÄLJE</t>
        </is>
      </c>
      <c r="F1027" t="inlineStr">
        <is>
          <t>Holmen skog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41301-2025</t>
        </is>
      </c>
      <c r="B1028" s="1" t="n">
        <v>45898.68826388889</v>
      </c>
      <c r="C1028" s="1" t="n">
        <v>45939</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3143-2021</t>
        </is>
      </c>
      <c r="B1029" s="1" t="n">
        <v>44217.40149305556</v>
      </c>
      <c r="C1029" s="1" t="n">
        <v>45939</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41110-2025</t>
        </is>
      </c>
      <c r="B1030" s="1" t="n">
        <v>45898.45976851852</v>
      </c>
      <c r="C1030" s="1" t="n">
        <v>45939</v>
      </c>
      <c r="D1030" t="inlineStr">
        <is>
          <t>STOCKHOLMS LÄN</t>
        </is>
      </c>
      <c r="E1030" t="inlineStr">
        <is>
          <t>NORRTÄLJE</t>
        </is>
      </c>
      <c r="F1030" t="inlineStr">
        <is>
          <t>Holmen skog AB</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41030-2025</t>
        </is>
      </c>
      <c r="B1031" s="1" t="n">
        <v>45898.37636574074</v>
      </c>
      <c r="C1031" s="1" t="n">
        <v>45939</v>
      </c>
      <c r="D1031" t="inlineStr">
        <is>
          <t>STOCKHOLMS LÄN</t>
        </is>
      </c>
      <c r="E1031" t="inlineStr">
        <is>
          <t>NORRTÄLJE</t>
        </is>
      </c>
      <c r="F1031" t="inlineStr">
        <is>
          <t>Holmen skog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25619-2022</t>
        </is>
      </c>
      <c r="B1032" s="1" t="n">
        <v>44732</v>
      </c>
      <c r="C1032" s="1" t="n">
        <v>45939</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15422-2024</t>
        </is>
      </c>
      <c r="B1033" s="1" t="n">
        <v>45401.3653125</v>
      </c>
      <c r="C1033" s="1" t="n">
        <v>45939</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41158-2025</t>
        </is>
      </c>
      <c r="B1034" s="1" t="n">
        <v>45898.5315625</v>
      </c>
      <c r="C1034" s="1" t="n">
        <v>45939</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41272-2025</t>
        </is>
      </c>
      <c r="B1035" s="1" t="n">
        <v>45898.62373842593</v>
      </c>
      <c r="C1035" s="1" t="n">
        <v>45939</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48716-2023</t>
        </is>
      </c>
      <c r="B1036" s="1" t="n">
        <v>45208.69671296296</v>
      </c>
      <c r="C1036" s="1" t="n">
        <v>45939</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55369-2023</t>
        </is>
      </c>
      <c r="B1037" s="1" t="n">
        <v>45238</v>
      </c>
      <c r="C1037" s="1" t="n">
        <v>45939</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20121-2022</t>
        </is>
      </c>
      <c r="B1038" s="1" t="n">
        <v>44698</v>
      </c>
      <c r="C1038" s="1" t="n">
        <v>45939</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26407-2024</t>
        </is>
      </c>
      <c r="B1039" s="1" t="n">
        <v>45469</v>
      </c>
      <c r="C1039" s="1" t="n">
        <v>45939</v>
      </c>
      <c r="D1039" t="inlineStr">
        <is>
          <t>STOCKHOLMS LÄN</t>
        </is>
      </c>
      <c r="E1039" t="inlineStr">
        <is>
          <t>NORRTÄLJE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58888-2020</t>
        </is>
      </c>
      <c r="B1040" s="1" t="n">
        <v>44146</v>
      </c>
      <c r="C1040" s="1" t="n">
        <v>45939</v>
      </c>
      <c r="D1040" t="inlineStr">
        <is>
          <t>STOCKHOLMS LÄN</t>
        </is>
      </c>
      <c r="E1040" t="inlineStr">
        <is>
          <t>NORRTÄLJE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10098-2022</t>
        </is>
      </c>
      <c r="B1041" s="1" t="n">
        <v>44621</v>
      </c>
      <c r="C1041" s="1" t="n">
        <v>45939</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49700-2023</t>
        </is>
      </c>
      <c r="B1042" s="1" t="n">
        <v>45212</v>
      </c>
      <c r="C1042" s="1" t="n">
        <v>45939</v>
      </c>
      <c r="D1042" t="inlineStr">
        <is>
          <t>STOCKHOLMS LÄN</t>
        </is>
      </c>
      <c r="E1042" t="inlineStr">
        <is>
          <t>NORRTÄLJE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59875-2024</t>
        </is>
      </c>
      <c r="B1043" s="1" t="n">
        <v>45640.58716435185</v>
      </c>
      <c r="C1043" s="1" t="n">
        <v>45939</v>
      </c>
      <c r="D1043" t="inlineStr">
        <is>
          <t>STOCKHOLMS LÄN</t>
        </is>
      </c>
      <c r="E1043" t="inlineStr">
        <is>
          <t>NORRTÄLJE</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41964-2025</t>
        </is>
      </c>
      <c r="B1044" s="1" t="n">
        <v>45903.47270833333</v>
      </c>
      <c r="C1044" s="1" t="n">
        <v>45939</v>
      </c>
      <c r="D1044" t="inlineStr">
        <is>
          <t>STOCKHOLMS LÄN</t>
        </is>
      </c>
      <c r="E1044" t="inlineStr">
        <is>
          <t>NORRTÄLJE</t>
        </is>
      </c>
      <c r="F1044" t="inlineStr">
        <is>
          <t>Sveaskog</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42038-2025</t>
        </is>
      </c>
      <c r="B1045" s="1" t="n">
        <v>45903.61431712963</v>
      </c>
      <c r="C1045" s="1" t="n">
        <v>45939</v>
      </c>
      <c r="D1045" t="inlineStr">
        <is>
          <t>STOCKHOLMS LÄN</t>
        </is>
      </c>
      <c r="E1045" t="inlineStr">
        <is>
          <t>NORRTÄLJE</t>
        </is>
      </c>
      <c r="F1045" t="inlineStr">
        <is>
          <t>Sveaskog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45220-2024</t>
        </is>
      </c>
      <c r="B1046" s="1" t="n">
        <v>45575</v>
      </c>
      <c r="C1046" s="1" t="n">
        <v>45939</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41966-2025</t>
        </is>
      </c>
      <c r="B1047" s="1" t="n">
        <v>45903.47456018518</v>
      </c>
      <c r="C1047" s="1" t="n">
        <v>45939</v>
      </c>
      <c r="D1047" t="inlineStr">
        <is>
          <t>STOCKHOLMS LÄN</t>
        </is>
      </c>
      <c r="E1047" t="inlineStr">
        <is>
          <t>NORRTÄLJE</t>
        </is>
      </c>
      <c r="F1047" t="inlineStr">
        <is>
          <t>Sveaskog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4658-2024</t>
        </is>
      </c>
      <c r="B1048" s="1" t="n">
        <v>45328.46336805556</v>
      </c>
      <c r="C1048" s="1" t="n">
        <v>45939</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48145-2024</t>
        </is>
      </c>
      <c r="B1049" s="1" t="n">
        <v>45589.6756712963</v>
      </c>
      <c r="C1049" s="1" t="n">
        <v>45939</v>
      </c>
      <c r="D1049" t="inlineStr">
        <is>
          <t>STOCKHOLMS LÄN</t>
        </is>
      </c>
      <c r="E1049" t="inlineStr">
        <is>
          <t>NORRTÄLJE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10642-2025</t>
        </is>
      </c>
      <c r="B1050" s="1" t="n">
        <v>45721.65858796296</v>
      </c>
      <c r="C1050" s="1" t="n">
        <v>45939</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24024-2024</t>
        </is>
      </c>
      <c r="B1051" s="1" t="n">
        <v>45456</v>
      </c>
      <c r="C1051" s="1" t="n">
        <v>45939</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20698-2025</t>
        </is>
      </c>
      <c r="B1052" s="1" t="n">
        <v>45776.47122685185</v>
      </c>
      <c r="C1052" s="1" t="n">
        <v>45939</v>
      </c>
      <c r="D1052" t="inlineStr">
        <is>
          <t>STOCKHOLMS LÄN</t>
        </is>
      </c>
      <c r="E1052" t="inlineStr">
        <is>
          <t>NORRTÄLJE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60321-2020</t>
        </is>
      </c>
      <c r="B1053" s="1" t="n">
        <v>44152</v>
      </c>
      <c r="C1053" s="1" t="n">
        <v>45939</v>
      </c>
      <c r="D1053" t="inlineStr">
        <is>
          <t>STOCKHOLMS LÄN</t>
        </is>
      </c>
      <c r="E1053" t="inlineStr">
        <is>
          <t>NORRTÄLJE</t>
        </is>
      </c>
      <c r="F1053" t="inlineStr">
        <is>
          <t>Holmen skog AB</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35532-2024</t>
        </is>
      </c>
      <c r="B1054" s="1" t="n">
        <v>45531</v>
      </c>
      <c r="C1054" s="1" t="n">
        <v>45939</v>
      </c>
      <c r="D1054" t="inlineStr">
        <is>
          <t>STOCKHOLMS LÄN</t>
        </is>
      </c>
      <c r="E1054" t="inlineStr">
        <is>
          <t>NORRTÄLJE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36396-2025</t>
        </is>
      </c>
      <c r="B1055" s="1" t="n">
        <v>45868.62267361111</v>
      </c>
      <c r="C1055" s="1" t="n">
        <v>45939</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21291-2021</t>
        </is>
      </c>
      <c r="B1056" s="1" t="n">
        <v>44319</v>
      </c>
      <c r="C1056" s="1" t="n">
        <v>45939</v>
      </c>
      <c r="D1056" t="inlineStr">
        <is>
          <t>STOCKHOLMS LÄN</t>
        </is>
      </c>
      <c r="E1056" t="inlineStr">
        <is>
          <t>NORRTÄLJE</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19118-2022</t>
        </is>
      </c>
      <c r="B1057" s="1" t="n">
        <v>44691.5652662037</v>
      </c>
      <c r="C1057" s="1" t="n">
        <v>45939</v>
      </c>
      <c r="D1057" t="inlineStr">
        <is>
          <t>STOCKHOLMS LÄN</t>
        </is>
      </c>
      <c r="E1057" t="inlineStr">
        <is>
          <t>NORRTÄLJE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22421-2021</t>
        </is>
      </c>
      <c r="B1058" s="1" t="n">
        <v>44326</v>
      </c>
      <c r="C1058" s="1" t="n">
        <v>45939</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43269-2025</t>
        </is>
      </c>
      <c r="B1059" s="1" t="n">
        <v>45910.5819212963</v>
      </c>
      <c r="C1059" s="1" t="n">
        <v>45939</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22232-2024</t>
        </is>
      </c>
      <c r="B1060" s="1" t="n">
        <v>45446.4287962963</v>
      </c>
      <c r="C1060" s="1" t="n">
        <v>45939</v>
      </c>
      <c r="D1060" t="inlineStr">
        <is>
          <t>STOCKHOLMS LÄN</t>
        </is>
      </c>
      <c r="E1060" t="inlineStr">
        <is>
          <t>NORRTÄLJE</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34444-2024</t>
        </is>
      </c>
      <c r="B1061" s="1" t="n">
        <v>45525</v>
      </c>
      <c r="C1061" s="1" t="n">
        <v>45939</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42856-2025</t>
        </is>
      </c>
      <c r="B1062" s="1" t="n">
        <v>45908</v>
      </c>
      <c r="C1062" s="1" t="n">
        <v>45939</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43169-2025</t>
        </is>
      </c>
      <c r="B1063" s="1" t="n">
        <v>45910</v>
      </c>
      <c r="C1063" s="1" t="n">
        <v>45939</v>
      </c>
      <c r="D1063" t="inlineStr">
        <is>
          <t>STOCKHOLMS LÄN</t>
        </is>
      </c>
      <c r="E1063" t="inlineStr">
        <is>
          <t>NORRTÄLJE</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43916-2025</t>
        </is>
      </c>
      <c r="B1064" s="1" t="n">
        <v>45914.78884259259</v>
      </c>
      <c r="C1064" s="1" t="n">
        <v>45939</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22359-2025</t>
        </is>
      </c>
      <c r="B1065" s="1" t="n">
        <v>45786</v>
      </c>
      <c r="C1065" s="1" t="n">
        <v>45939</v>
      </c>
      <c r="D1065" t="inlineStr">
        <is>
          <t>STOCKHOLMS LÄN</t>
        </is>
      </c>
      <c r="E1065" t="inlineStr">
        <is>
          <t>NORRTÄLJE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44349-2025</t>
        </is>
      </c>
      <c r="B1066" s="1" t="n">
        <v>45916.43929398148</v>
      </c>
      <c r="C1066" s="1" t="n">
        <v>45939</v>
      </c>
      <c r="D1066" t="inlineStr">
        <is>
          <t>STOCKHOLMS LÄN</t>
        </is>
      </c>
      <c r="E1066" t="inlineStr">
        <is>
          <t>NORRTÄLJE</t>
        </is>
      </c>
      <c r="G1066" t="n">
        <v>3.5</v>
      </c>
      <c r="H1066" t="n">
        <v>0</v>
      </c>
      <c r="I1066" t="n">
        <v>0</v>
      </c>
      <c r="J1066" t="n">
        <v>0</v>
      </c>
      <c r="K1066" t="n">
        <v>0</v>
      </c>
      <c r="L1066" t="n">
        <v>0</v>
      </c>
      <c r="M1066" t="n">
        <v>0</v>
      </c>
      <c r="N1066" t="n">
        <v>0</v>
      </c>
      <c r="O1066" t="n">
        <v>0</v>
      </c>
      <c r="P1066" t="n">
        <v>0</v>
      </c>
      <c r="Q1066" t="n">
        <v>0</v>
      </c>
      <c r="R1066" s="2" t="inlineStr"/>
    </row>
    <row r="1067">
      <c r="A1067" t="inlineStr">
        <is>
          <t>A 44333-2025</t>
        </is>
      </c>
      <c r="B1067" s="1" t="n">
        <v>45916.42293981482</v>
      </c>
      <c r="C1067" s="1" t="n">
        <v>45939</v>
      </c>
      <c r="D1067" t="inlineStr">
        <is>
          <t>STOCKHOLMS LÄN</t>
        </is>
      </c>
      <c r="E1067" t="inlineStr">
        <is>
          <t>NORRTÄLJE</t>
        </is>
      </c>
      <c r="G1067" t="n">
        <v>1.5</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2025-10-09T12:33:20Z</dcterms:created>
  <dcterms:modified xmlns:dcterms="http://purl.org/dc/terms/" xmlns:xsi="http://www.w3.org/2001/XMLSchema-instance" xsi:type="dcterms:W3CDTF">2025-10-09T12:33:21Z</dcterms:modified>
</cp:coreProperties>
</file>