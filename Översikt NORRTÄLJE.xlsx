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46088</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46088</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46088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46088</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46088</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56024-2025</t>
        </is>
      </c>
      <c r="B13" s="1" t="n">
        <v>45973</v>
      </c>
      <c r="C13" s="1" t="n">
        <v>46088</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46088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46088</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46088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46088</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46088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46088</v>
      </c>
      <c r="D21" t="inlineStr">
        <is>
          <t>STOCKHOLMS LÄN</t>
        </is>
      </c>
      <c r="E21" t="inlineStr">
        <is>
          <t>NORRTÄLJE</t>
        </is>
      </c>
      <c r="F21" t="inlineStr">
        <is>
          <t>Holmen skog AB</t>
        </is>
      </c>
      <c r="G21" t="n">
        <v>12</v>
      </c>
      <c r="H21" t="n">
        <v>7</v>
      </c>
      <c r="I21" t="n">
        <v>2</v>
      </c>
      <c r="J21" t="n">
        <v>5</v>
      </c>
      <c r="K21" t="n">
        <v>0</v>
      </c>
      <c r="L21" t="n">
        <v>2</v>
      </c>
      <c r="M21" t="n">
        <v>0</v>
      </c>
      <c r="N21" t="n">
        <v>0</v>
      </c>
      <c r="O21" t="n">
        <v>7</v>
      </c>
      <c r="P21" t="n">
        <v>2</v>
      </c>
      <c r="Q21" t="n">
        <v>11</v>
      </c>
      <c r="R21" s="2" t="inlineStr">
        <is>
          <t>Grönfink
Tornseglare
Fiskmås
Havsörn
Motaggsvamp
Talltita
Vedskivlav
Björksplintborre
Dropptaggsvamp
Tjäder
Törnskata</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20722-2024</t>
        </is>
      </c>
      <c r="B22" s="1" t="n">
        <v>45436</v>
      </c>
      <c r="C22" s="1" t="n">
        <v>46088</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46088</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46088</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46088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46088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46088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46088</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46088</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25732-2025</t>
        </is>
      </c>
      <c r="B30" s="1" t="n">
        <v>45800</v>
      </c>
      <c r="C30" s="1" t="n">
        <v>46088</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61099-2025</t>
        </is>
      </c>
      <c r="B31" s="1" t="n">
        <v>46000.44185185185</v>
      </c>
      <c r="C31" s="1" t="n">
        <v>46088</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46088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46088</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46088</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46088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46088</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46088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46088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46088</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46088</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46088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46088</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46088</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46088</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46088</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46088</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46088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46088</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47212-2025</t>
        </is>
      </c>
      <c r="B51" s="1" t="n">
        <v>45930</v>
      </c>
      <c r="C51" s="1" t="n">
        <v>46088</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46088</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46088</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46088</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46088</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46088</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46088</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46088</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46088</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46088</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46088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46088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46088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46088</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46088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46088</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46088</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50618-2022</t>
        </is>
      </c>
      <c r="B68" s="1" t="n">
        <v>44866</v>
      </c>
      <c r="C68" s="1" t="n">
        <v>46088</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46088</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46088</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46088</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46088</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46088</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46088</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46088</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46088</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22190-2024</t>
        </is>
      </c>
      <c r="B77" s="1" t="n">
        <v>45446.35888888889</v>
      </c>
      <c r="C77" s="1" t="n">
        <v>46088</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50697-2025</t>
        </is>
      </c>
      <c r="B78" s="1" t="n">
        <v>45945.90854166666</v>
      </c>
      <c r="C78" s="1" t="n">
        <v>46088</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46088</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46088</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46088</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46088</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46088</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46088</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46088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46088</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46088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46088</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46088</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46088</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23905-2025</t>
        </is>
      </c>
      <c r="B94" s="1" t="n">
        <v>45794.63298611111</v>
      </c>
      <c r="C94" s="1" t="n">
        <v>46088</v>
      </c>
      <c r="D94" t="inlineStr">
        <is>
          <t>STOCKHOLMS LÄN</t>
        </is>
      </c>
      <c r="E94" t="inlineStr">
        <is>
          <t>NORRTÄLJE</t>
        </is>
      </c>
      <c r="G94" t="n">
        <v>8.4</v>
      </c>
      <c r="H94" t="n">
        <v>1</v>
      </c>
      <c r="I94" t="n">
        <v>0</v>
      </c>
      <c r="J94" t="n">
        <v>0</v>
      </c>
      <c r="K94" t="n">
        <v>0</v>
      </c>
      <c r="L94" t="n">
        <v>0</v>
      </c>
      <c r="M94" t="n">
        <v>0</v>
      </c>
      <c r="N94" t="n">
        <v>0</v>
      </c>
      <c r="O94" t="n">
        <v>0</v>
      </c>
      <c r="P94" t="n">
        <v>0</v>
      </c>
      <c r="Q94" t="n">
        <v>1</v>
      </c>
      <c r="R94" s="2" t="inlineStr">
        <is>
          <t>Blåsippa</t>
        </is>
      </c>
      <c r="S94">
        <f>HYPERLINK("https://klasma.github.io/Logging_0188/artfynd/A 23905-2025 artfynd.xlsx", "A 23905-2025")</f>
        <v/>
      </c>
      <c r="T94">
        <f>HYPERLINK("https://klasma.github.io/Logging_0188/kartor/A 23905-2025 karta.png", "A 23905-2025")</f>
        <v/>
      </c>
      <c r="V94">
        <f>HYPERLINK("https://klasma.github.io/Logging_0188/klagomål/A 23905-2025 FSC-klagomål.docx", "A 23905-2025")</f>
        <v/>
      </c>
      <c r="W94">
        <f>HYPERLINK("https://klasma.github.io/Logging_0188/klagomålsmail/A 23905-2025 FSC-klagomål mail.docx", "A 23905-2025")</f>
        <v/>
      </c>
      <c r="X94">
        <f>HYPERLINK("https://klasma.github.io/Logging_0188/tillsyn/A 23905-2025 tillsynsbegäran.docx", "A 23905-2025")</f>
        <v/>
      </c>
      <c r="Y94">
        <f>HYPERLINK("https://klasma.github.io/Logging_0188/tillsynsmail/A 23905-2025 tillsynsbegäran mail.docx", "A 23905-2025")</f>
        <v/>
      </c>
    </row>
    <row r="95" ht="15" customHeight="1">
      <c r="A95" t="inlineStr">
        <is>
          <t>A 24535-2023</t>
        </is>
      </c>
      <c r="B95" s="1" t="n">
        <v>45082</v>
      </c>
      <c r="C95" s="1" t="n">
        <v>46088</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7734-2026</t>
        </is>
      </c>
      <c r="B96" s="1" t="n">
        <v>46062.52902777777</v>
      </c>
      <c r="C96" s="1" t="n">
        <v>46088</v>
      </c>
      <c r="D96" t="inlineStr">
        <is>
          <t>STOCKHOLMS LÄN</t>
        </is>
      </c>
      <c r="E96" t="inlineStr">
        <is>
          <t>NORRTÄLJE</t>
        </is>
      </c>
      <c r="G96" t="n">
        <v>6.6</v>
      </c>
      <c r="H96" t="n">
        <v>0</v>
      </c>
      <c r="I96" t="n">
        <v>1</v>
      </c>
      <c r="J96" t="n">
        <v>0</v>
      </c>
      <c r="K96" t="n">
        <v>0</v>
      </c>
      <c r="L96" t="n">
        <v>0</v>
      </c>
      <c r="M96" t="n">
        <v>0</v>
      </c>
      <c r="N96" t="n">
        <v>0</v>
      </c>
      <c r="O96" t="n">
        <v>0</v>
      </c>
      <c r="P96" t="n">
        <v>0</v>
      </c>
      <c r="Q96" t="n">
        <v>1</v>
      </c>
      <c r="R96" s="2" t="inlineStr">
        <is>
          <t>Kastanjefjällskivling</t>
        </is>
      </c>
      <c r="S96">
        <f>HYPERLINK("https://klasma.github.io/Logging_0188/artfynd/A 7734-2026 artfynd.xlsx", "A 7734-2026")</f>
        <v/>
      </c>
      <c r="T96">
        <f>HYPERLINK("https://klasma.github.io/Logging_0188/kartor/A 7734-2026 karta.png", "A 7734-2026")</f>
        <v/>
      </c>
      <c r="V96">
        <f>HYPERLINK("https://klasma.github.io/Logging_0188/klagomål/A 7734-2026 FSC-klagomål.docx", "A 7734-2026")</f>
        <v/>
      </c>
      <c r="W96">
        <f>HYPERLINK("https://klasma.github.io/Logging_0188/klagomålsmail/A 7734-2026 FSC-klagomål mail.docx", "A 7734-2026")</f>
        <v/>
      </c>
      <c r="X96">
        <f>HYPERLINK("https://klasma.github.io/Logging_0188/tillsyn/A 7734-2026 tillsynsbegäran.docx", "A 7734-2026")</f>
        <v/>
      </c>
      <c r="Y96">
        <f>HYPERLINK("https://klasma.github.io/Logging_0188/tillsynsmail/A 7734-2026 tillsynsbegäran mail.docx", "A 7734-2026")</f>
        <v/>
      </c>
    </row>
    <row r="97" ht="15" customHeight="1">
      <c r="A97" t="inlineStr">
        <is>
          <t>A 25669-2025</t>
        </is>
      </c>
      <c r="B97" s="1" t="n">
        <v>45803.62766203703</v>
      </c>
      <c r="C97" s="1" t="n">
        <v>46088</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35764-2024</t>
        </is>
      </c>
      <c r="B98" s="1" t="n">
        <v>45532</v>
      </c>
      <c r="C98" s="1" t="n">
        <v>46088</v>
      </c>
      <c r="D98" t="inlineStr">
        <is>
          <t>STOCKHOLMS LÄN</t>
        </is>
      </c>
      <c r="E98" t="inlineStr">
        <is>
          <t>NORRTÄLJE</t>
        </is>
      </c>
      <c r="G98" t="n">
        <v>14.2</v>
      </c>
      <c r="H98" t="n">
        <v>1</v>
      </c>
      <c r="I98" t="n">
        <v>0</v>
      </c>
      <c r="J98" t="n">
        <v>0</v>
      </c>
      <c r="K98" t="n">
        <v>1</v>
      </c>
      <c r="L98" t="n">
        <v>0</v>
      </c>
      <c r="M98" t="n">
        <v>0</v>
      </c>
      <c r="N98" t="n">
        <v>0</v>
      </c>
      <c r="O98" t="n">
        <v>1</v>
      </c>
      <c r="P98" t="n">
        <v>1</v>
      </c>
      <c r="Q98" t="n">
        <v>1</v>
      </c>
      <c r="R98" s="2" t="inlineStr">
        <is>
          <t>Knärot</t>
        </is>
      </c>
      <c r="S98">
        <f>HYPERLINK("https://klasma.github.io/Logging_0188/artfynd/A 35764-2024 artfynd.xlsx", "A 35764-2024")</f>
        <v/>
      </c>
      <c r="T98">
        <f>HYPERLINK("https://klasma.github.io/Logging_0188/kartor/A 35764-2024 karta.png", "A 35764-2024")</f>
        <v/>
      </c>
      <c r="U98">
        <f>HYPERLINK("https://klasma.github.io/Logging_0188/knärot/A 35764-2024 karta knärot.png", "A 35764-2024")</f>
        <v/>
      </c>
      <c r="V98">
        <f>HYPERLINK("https://klasma.github.io/Logging_0188/klagomål/A 35764-2024 FSC-klagomål.docx", "A 35764-2024")</f>
        <v/>
      </c>
      <c r="W98">
        <f>HYPERLINK("https://klasma.github.io/Logging_0188/klagomålsmail/A 35764-2024 FSC-klagomål mail.docx", "A 35764-2024")</f>
        <v/>
      </c>
      <c r="X98">
        <f>HYPERLINK("https://klasma.github.io/Logging_0188/tillsyn/A 35764-2024 tillsynsbegäran.docx", "A 35764-2024")</f>
        <v/>
      </c>
      <c r="Y98">
        <f>HYPERLINK("https://klasma.github.io/Logging_0188/tillsynsmail/A 35764-2024 tillsynsbegäran mail.docx", "A 35764-2024")</f>
        <v/>
      </c>
    </row>
    <row r="99" ht="15" customHeight="1">
      <c r="A99" t="inlineStr">
        <is>
          <t>A 25725-2025</t>
        </is>
      </c>
      <c r="B99" s="1" t="n">
        <v>45800</v>
      </c>
      <c r="C99" s="1" t="n">
        <v>46088</v>
      </c>
      <c r="D99" t="inlineStr">
        <is>
          <t>STOCKHOLMS LÄN</t>
        </is>
      </c>
      <c r="E99" t="inlineStr">
        <is>
          <t>NORRTÄLJE</t>
        </is>
      </c>
      <c r="G99" t="n">
        <v>5.2</v>
      </c>
      <c r="H99" t="n">
        <v>0</v>
      </c>
      <c r="I99" t="n">
        <v>0</v>
      </c>
      <c r="J99" t="n">
        <v>1</v>
      </c>
      <c r="K99" t="n">
        <v>0</v>
      </c>
      <c r="L99" t="n">
        <v>0</v>
      </c>
      <c r="M99" t="n">
        <v>0</v>
      </c>
      <c r="N99" t="n">
        <v>0</v>
      </c>
      <c r="O99" t="n">
        <v>1</v>
      </c>
      <c r="P99" t="n">
        <v>0</v>
      </c>
      <c r="Q99" t="n">
        <v>1</v>
      </c>
      <c r="R99" s="2" t="inlineStr">
        <is>
          <t>Tallticka</t>
        </is>
      </c>
      <c r="S99">
        <f>HYPERLINK("https://klasma.github.io/Logging_0188/artfynd/A 25725-2025 artfynd.xlsx", "A 25725-2025")</f>
        <v/>
      </c>
      <c r="T99">
        <f>HYPERLINK("https://klasma.github.io/Logging_0188/kartor/A 25725-2025 karta.png", "A 25725-2025")</f>
        <v/>
      </c>
      <c r="V99">
        <f>HYPERLINK("https://klasma.github.io/Logging_0188/klagomål/A 25725-2025 FSC-klagomål.docx", "A 25725-2025")</f>
        <v/>
      </c>
      <c r="W99">
        <f>HYPERLINK("https://klasma.github.io/Logging_0188/klagomålsmail/A 25725-2025 FSC-klagomål mail.docx", "A 25725-2025")</f>
        <v/>
      </c>
      <c r="X99">
        <f>HYPERLINK("https://klasma.github.io/Logging_0188/tillsyn/A 25725-2025 tillsynsbegäran.docx", "A 25725-2025")</f>
        <v/>
      </c>
      <c r="Y99">
        <f>HYPERLINK("https://klasma.github.io/Logging_0188/tillsynsmail/A 25725-2025 tillsynsbegäran mail.docx", "A 25725-2025")</f>
        <v/>
      </c>
    </row>
    <row r="100" ht="15" customHeight="1">
      <c r="A100" t="inlineStr">
        <is>
          <t>A 25709-2025</t>
        </is>
      </c>
      <c r="B100" s="1" t="n">
        <v>45800</v>
      </c>
      <c r="C100" s="1" t="n">
        <v>46088</v>
      </c>
      <c r="D100" t="inlineStr">
        <is>
          <t>STOCKHOLMS LÄN</t>
        </is>
      </c>
      <c r="E100" t="inlineStr">
        <is>
          <t>NORRTÄLJE</t>
        </is>
      </c>
      <c r="G100" t="n">
        <v>4.6</v>
      </c>
      <c r="H100" t="n">
        <v>0</v>
      </c>
      <c r="I100" t="n">
        <v>0</v>
      </c>
      <c r="J100" t="n">
        <v>1</v>
      </c>
      <c r="K100" t="n">
        <v>0</v>
      </c>
      <c r="L100" t="n">
        <v>0</v>
      </c>
      <c r="M100" t="n">
        <v>0</v>
      </c>
      <c r="N100" t="n">
        <v>0</v>
      </c>
      <c r="O100" t="n">
        <v>1</v>
      </c>
      <c r="P100" t="n">
        <v>0</v>
      </c>
      <c r="Q100" t="n">
        <v>1</v>
      </c>
      <c r="R100" s="2" t="inlineStr">
        <is>
          <t>Ullticka</t>
        </is>
      </c>
      <c r="S100">
        <f>HYPERLINK("https://klasma.github.io/Logging_0188/artfynd/A 25709-2025 artfynd.xlsx", "A 25709-2025")</f>
        <v/>
      </c>
      <c r="T100">
        <f>HYPERLINK("https://klasma.github.io/Logging_0188/kartor/A 25709-2025 karta.png", "A 25709-2025")</f>
        <v/>
      </c>
      <c r="V100">
        <f>HYPERLINK("https://klasma.github.io/Logging_0188/klagomål/A 25709-2025 FSC-klagomål.docx", "A 25709-2025")</f>
        <v/>
      </c>
      <c r="W100">
        <f>HYPERLINK("https://klasma.github.io/Logging_0188/klagomålsmail/A 25709-2025 FSC-klagomål mail.docx", "A 25709-2025")</f>
        <v/>
      </c>
      <c r="X100">
        <f>HYPERLINK("https://klasma.github.io/Logging_0188/tillsyn/A 25709-2025 tillsynsbegäran.docx", "A 25709-2025")</f>
        <v/>
      </c>
      <c r="Y100">
        <f>HYPERLINK("https://klasma.github.io/Logging_0188/tillsynsmail/A 25709-2025 tillsynsbegäran mail.docx", "A 25709-2025")</f>
        <v/>
      </c>
    </row>
    <row r="101" ht="15" customHeight="1">
      <c r="A101" t="inlineStr">
        <is>
          <t>A 35649-2023</t>
        </is>
      </c>
      <c r="B101" s="1" t="n">
        <v>45146</v>
      </c>
      <c r="C101" s="1" t="n">
        <v>46088</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4532-2025</t>
        </is>
      </c>
      <c r="B102" s="1" t="n">
        <v>45687.34177083334</v>
      </c>
      <c r="C102" s="1" t="n">
        <v>46088</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40861-2025</t>
        </is>
      </c>
      <c r="B103" s="1" t="n">
        <v>45897.56356481482</v>
      </c>
      <c r="C103" s="1" t="n">
        <v>46088</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46088</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35691-2023</t>
        </is>
      </c>
      <c r="B105" s="1" t="n">
        <v>45147.65222222222</v>
      </c>
      <c r="C105" s="1" t="n">
        <v>46088</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46088</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42313-2025</t>
        </is>
      </c>
      <c r="B107" s="1" t="n">
        <v>45904.6575</v>
      </c>
      <c r="C107" s="1" t="n">
        <v>46088</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6381-2023</t>
        </is>
      </c>
      <c r="B108" s="1" t="n">
        <v>44965</v>
      </c>
      <c r="C108" s="1" t="n">
        <v>46088</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50854-2022</t>
        </is>
      </c>
      <c r="B109" s="1" t="n">
        <v>44863</v>
      </c>
      <c r="C109" s="1" t="n">
        <v>46088</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29946-2025</t>
        </is>
      </c>
      <c r="B110" s="1" t="n">
        <v>45826.46392361111</v>
      </c>
      <c r="C110" s="1" t="n">
        <v>46088</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26120-2024</t>
        </is>
      </c>
      <c r="B111" s="1" t="n">
        <v>45468.45995370371</v>
      </c>
      <c r="C111" s="1" t="n">
        <v>46088</v>
      </c>
      <c r="D111" t="inlineStr">
        <is>
          <t>STOCKHOLMS LÄN</t>
        </is>
      </c>
      <c r="E111" t="inlineStr">
        <is>
          <t>NORRTÄLJE</t>
        </is>
      </c>
      <c r="G111" t="n">
        <v>1.8</v>
      </c>
      <c r="H111" t="n">
        <v>0</v>
      </c>
      <c r="I111" t="n">
        <v>0</v>
      </c>
      <c r="J111" t="n">
        <v>1</v>
      </c>
      <c r="K111" t="n">
        <v>0</v>
      </c>
      <c r="L111" t="n">
        <v>0</v>
      </c>
      <c r="M111" t="n">
        <v>0</v>
      </c>
      <c r="N111" t="n">
        <v>0</v>
      </c>
      <c r="O111" t="n">
        <v>1</v>
      </c>
      <c r="P111" t="n">
        <v>0</v>
      </c>
      <c r="Q111" t="n">
        <v>1</v>
      </c>
      <c r="R111" s="2" t="inlineStr">
        <is>
          <t>Majviva</t>
        </is>
      </c>
      <c r="S111">
        <f>HYPERLINK("https://klasma.github.io/Logging_0188/artfynd/A 26120-2024 artfynd.xlsx", "A 26120-2024")</f>
        <v/>
      </c>
      <c r="T111">
        <f>HYPERLINK("https://klasma.github.io/Logging_0188/kartor/A 26120-2024 karta.png", "A 26120-2024")</f>
        <v/>
      </c>
      <c r="V111">
        <f>HYPERLINK("https://klasma.github.io/Logging_0188/klagomål/A 26120-2024 FSC-klagomål.docx", "A 26120-2024")</f>
        <v/>
      </c>
      <c r="W111">
        <f>HYPERLINK("https://klasma.github.io/Logging_0188/klagomålsmail/A 26120-2024 FSC-klagomål mail.docx", "A 26120-2024")</f>
        <v/>
      </c>
      <c r="X111">
        <f>HYPERLINK("https://klasma.github.io/Logging_0188/tillsyn/A 26120-2024 tillsynsbegäran.docx", "A 26120-2024")</f>
        <v/>
      </c>
      <c r="Y111">
        <f>HYPERLINK("https://klasma.github.io/Logging_0188/tillsynsmail/A 26120-2024 tillsynsbegäran mail.docx", "A 26120-2024")</f>
        <v/>
      </c>
    </row>
    <row r="112" ht="15" customHeight="1">
      <c r="A112" t="inlineStr">
        <is>
          <t>A 364-2026</t>
        </is>
      </c>
      <c r="B112" s="1" t="n">
        <v>46027.67134259259</v>
      </c>
      <c r="C112" s="1" t="n">
        <v>46088</v>
      </c>
      <c r="D112" t="inlineStr">
        <is>
          <t>STOCKHOLMS LÄN</t>
        </is>
      </c>
      <c r="E112" t="inlineStr">
        <is>
          <t>NORRTÄLJE</t>
        </is>
      </c>
      <c r="F112" t="inlineStr">
        <is>
          <t>Holmen skog AB</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364-2026 artfynd.xlsx", "A 364-2026")</f>
        <v/>
      </c>
      <c r="T112">
        <f>HYPERLINK("https://klasma.github.io/Logging_0188/kartor/A 364-2026 karta.png", "A 364-2026")</f>
        <v/>
      </c>
      <c r="V112">
        <f>HYPERLINK("https://klasma.github.io/Logging_0188/klagomål/A 364-2026 FSC-klagomål.docx", "A 364-2026")</f>
        <v/>
      </c>
      <c r="W112">
        <f>HYPERLINK("https://klasma.github.io/Logging_0188/klagomålsmail/A 364-2026 FSC-klagomål mail.docx", "A 364-2026")</f>
        <v/>
      </c>
      <c r="X112">
        <f>HYPERLINK("https://klasma.github.io/Logging_0188/tillsyn/A 364-2026 tillsynsbegäran.docx", "A 364-2026")</f>
        <v/>
      </c>
      <c r="Y112">
        <f>HYPERLINK("https://klasma.github.io/Logging_0188/tillsynsmail/A 364-2026 tillsynsbegäran mail.docx", "A 364-2026")</f>
        <v/>
      </c>
    </row>
    <row r="113" ht="15" customHeight="1">
      <c r="A113" t="inlineStr">
        <is>
          <t>A 33546-2025</t>
        </is>
      </c>
      <c r="B113" s="1" t="n">
        <v>45841.56996527778</v>
      </c>
      <c r="C113" s="1" t="n">
        <v>46088</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13291-2025</t>
        </is>
      </c>
      <c r="B114" s="1" t="n">
        <v>45735</v>
      </c>
      <c r="C114" s="1" t="n">
        <v>46088</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39158-2025</t>
        </is>
      </c>
      <c r="B115" s="1" t="n">
        <v>45888</v>
      </c>
      <c r="C115" s="1" t="n">
        <v>46088</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64456-2023</t>
        </is>
      </c>
      <c r="B116" s="1" t="n">
        <v>45280</v>
      </c>
      <c r="C116" s="1" t="n">
        <v>46088</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8371-2025</t>
        </is>
      </c>
      <c r="B117" s="1" t="n">
        <v>45708</v>
      </c>
      <c r="C117" s="1" t="n">
        <v>46088</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24330-2023</t>
        </is>
      </c>
      <c r="B118" s="1" t="n">
        <v>45081</v>
      </c>
      <c r="C118" s="1" t="n">
        <v>46088</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21744-2023</t>
        </is>
      </c>
      <c r="B119" s="1" t="n">
        <v>45065</v>
      </c>
      <c r="C119" s="1" t="n">
        <v>46088</v>
      </c>
      <c r="D119" t="inlineStr">
        <is>
          <t>STOCKHOLMS LÄN</t>
        </is>
      </c>
      <c r="E119" t="inlineStr">
        <is>
          <t>NORRTÄLJE</t>
        </is>
      </c>
      <c r="F119" t="inlineStr">
        <is>
          <t>Holmen skog AB</t>
        </is>
      </c>
      <c r="G119" t="n">
        <v>4.2</v>
      </c>
      <c r="H119" t="n">
        <v>0</v>
      </c>
      <c r="I119" t="n">
        <v>1</v>
      </c>
      <c r="J119" t="n">
        <v>0</v>
      </c>
      <c r="K119" t="n">
        <v>0</v>
      </c>
      <c r="L119" t="n">
        <v>0</v>
      </c>
      <c r="M119" t="n">
        <v>0</v>
      </c>
      <c r="N119" t="n">
        <v>0</v>
      </c>
      <c r="O119" t="n">
        <v>0</v>
      </c>
      <c r="P119" t="n">
        <v>0</v>
      </c>
      <c r="Q119" t="n">
        <v>1</v>
      </c>
      <c r="R119" s="2" t="inlineStr">
        <is>
          <t>Korallblylav</t>
        </is>
      </c>
      <c r="S119">
        <f>HYPERLINK("https://klasma.github.io/Logging_0188/artfynd/A 21744-2023 artfynd.xlsx", "A 21744-2023")</f>
        <v/>
      </c>
      <c r="T119">
        <f>HYPERLINK("https://klasma.github.io/Logging_0188/kartor/A 21744-2023 karta.png", "A 21744-2023")</f>
        <v/>
      </c>
      <c r="V119">
        <f>HYPERLINK("https://klasma.github.io/Logging_0188/klagomål/A 21744-2023 FSC-klagomål.docx", "A 21744-2023")</f>
        <v/>
      </c>
      <c r="W119">
        <f>HYPERLINK("https://klasma.github.io/Logging_0188/klagomålsmail/A 21744-2023 FSC-klagomål mail.docx", "A 21744-2023")</f>
        <v/>
      </c>
      <c r="X119">
        <f>HYPERLINK("https://klasma.github.io/Logging_0188/tillsyn/A 21744-2023 tillsynsbegäran.docx", "A 21744-2023")</f>
        <v/>
      </c>
      <c r="Y119">
        <f>HYPERLINK("https://klasma.github.io/Logging_0188/tillsynsmail/A 21744-2023 tillsynsbegäran mail.docx", "A 21744-2023")</f>
        <v/>
      </c>
    </row>
    <row r="120" ht="15" customHeight="1">
      <c r="A120" t="inlineStr">
        <is>
          <t>A 52775-2025</t>
        </is>
      </c>
      <c r="B120" s="1" t="n">
        <v>45957.41608796296</v>
      </c>
      <c r="C120" s="1" t="n">
        <v>46088</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53716-2025</t>
        </is>
      </c>
      <c r="B121" s="1" t="n">
        <v>45960.61782407408</v>
      </c>
      <c r="C121" s="1" t="n">
        <v>46088</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46088</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52611-2024</t>
        </is>
      </c>
      <c r="B123" s="1" t="n">
        <v>45609.83747685186</v>
      </c>
      <c r="C123" s="1" t="n">
        <v>46088</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59682-2025</t>
        </is>
      </c>
      <c r="B124" s="1" t="n">
        <v>45992.47116898148</v>
      </c>
      <c r="C124" s="1" t="n">
        <v>46088</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26635-2023</t>
        </is>
      </c>
      <c r="B125" s="1" t="n">
        <v>45092</v>
      </c>
      <c r="C125" s="1" t="n">
        <v>46088</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62715-2025</t>
        </is>
      </c>
      <c r="B126" s="1" t="n">
        <v>46008.52034722222</v>
      </c>
      <c r="C126" s="1" t="n">
        <v>46088</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46088</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47898-2022</t>
        </is>
      </c>
      <c r="B128" s="1" t="n">
        <v>44855</v>
      </c>
      <c r="C128" s="1" t="n">
        <v>46088</v>
      </c>
      <c r="D128" t="inlineStr">
        <is>
          <t>STOCKHOLMS LÄN</t>
        </is>
      </c>
      <c r="E128" t="inlineStr">
        <is>
          <t>NORRTÄLJE</t>
        </is>
      </c>
      <c r="G128" t="n">
        <v>6.7</v>
      </c>
      <c r="H128" t="n">
        <v>1</v>
      </c>
      <c r="I128" t="n">
        <v>1</v>
      </c>
      <c r="J128" t="n">
        <v>0</v>
      </c>
      <c r="K128" t="n">
        <v>0</v>
      </c>
      <c r="L128" t="n">
        <v>0</v>
      </c>
      <c r="M128" t="n">
        <v>0</v>
      </c>
      <c r="N128" t="n">
        <v>0</v>
      </c>
      <c r="O128" t="n">
        <v>0</v>
      </c>
      <c r="P128" t="n">
        <v>0</v>
      </c>
      <c r="Q128" t="n">
        <v>1</v>
      </c>
      <c r="R128" s="2" t="inlineStr">
        <is>
          <t>Guckusko</t>
        </is>
      </c>
      <c r="S128">
        <f>HYPERLINK("https://klasma.github.io/Logging_0188/artfynd/A 47898-2022 artfynd.xlsx", "A 47898-2022")</f>
        <v/>
      </c>
      <c r="T128">
        <f>HYPERLINK("https://klasma.github.io/Logging_0188/kartor/A 47898-2022 karta.png", "A 47898-2022")</f>
        <v/>
      </c>
      <c r="V128">
        <f>HYPERLINK("https://klasma.github.io/Logging_0188/klagomål/A 47898-2022 FSC-klagomål.docx", "A 47898-2022")</f>
        <v/>
      </c>
      <c r="W128">
        <f>HYPERLINK("https://klasma.github.io/Logging_0188/klagomålsmail/A 47898-2022 FSC-klagomål mail.docx", "A 47898-2022")</f>
        <v/>
      </c>
      <c r="X128">
        <f>HYPERLINK("https://klasma.github.io/Logging_0188/tillsyn/A 47898-2022 tillsynsbegäran.docx", "A 47898-2022")</f>
        <v/>
      </c>
      <c r="Y128">
        <f>HYPERLINK("https://klasma.github.io/Logging_0188/tillsynsmail/A 47898-2022 tillsynsbegäran mail.docx", "A 47898-2022")</f>
        <v/>
      </c>
    </row>
    <row r="129" ht="15" customHeight="1">
      <c r="A129" t="inlineStr">
        <is>
          <t>A 14365-2025</t>
        </is>
      </c>
      <c r="B129" s="1" t="n">
        <v>45741.38688657407</v>
      </c>
      <c r="C129" s="1" t="n">
        <v>46088</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46088</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46088</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4860-2022</t>
        </is>
      </c>
      <c r="B132" s="1" t="n">
        <v>44592</v>
      </c>
      <c r="C132" s="1" t="n">
        <v>46088</v>
      </c>
      <c r="D132" t="inlineStr">
        <is>
          <t>STOCKHOLMS LÄN</t>
        </is>
      </c>
      <c r="E132" t="inlineStr">
        <is>
          <t>NORRTÄLJE</t>
        </is>
      </c>
      <c r="G132" t="n">
        <v>22.3</v>
      </c>
      <c r="H132" t="n">
        <v>0</v>
      </c>
      <c r="I132" t="n">
        <v>0</v>
      </c>
      <c r="J132" t="n">
        <v>1</v>
      </c>
      <c r="K132" t="n">
        <v>0</v>
      </c>
      <c r="L132" t="n">
        <v>0</v>
      </c>
      <c r="M132" t="n">
        <v>0</v>
      </c>
      <c r="N132" t="n">
        <v>0</v>
      </c>
      <c r="O132" t="n">
        <v>1</v>
      </c>
      <c r="P132" t="n">
        <v>0</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19829-2022</t>
        </is>
      </c>
      <c r="B133" s="1" t="n">
        <v>44695.43527777777</v>
      </c>
      <c r="C133" s="1" t="n">
        <v>46088</v>
      </c>
      <c r="D133" t="inlineStr">
        <is>
          <t>STOCKHOLMS LÄN</t>
        </is>
      </c>
      <c r="E133" t="inlineStr">
        <is>
          <t>NORRTÄLJE</t>
        </is>
      </c>
      <c r="G133" t="n">
        <v>2</v>
      </c>
      <c r="H133" t="n">
        <v>1</v>
      </c>
      <c r="I133" t="n">
        <v>1</v>
      </c>
      <c r="J133" t="n">
        <v>0</v>
      </c>
      <c r="K133" t="n">
        <v>0</v>
      </c>
      <c r="L133" t="n">
        <v>0</v>
      </c>
      <c r="M133" t="n">
        <v>0</v>
      </c>
      <c r="N133" t="n">
        <v>0</v>
      </c>
      <c r="O133" t="n">
        <v>0</v>
      </c>
      <c r="P133" t="n">
        <v>0</v>
      </c>
      <c r="Q133" t="n">
        <v>1</v>
      </c>
      <c r="R133" s="2" t="inlineStr">
        <is>
          <t>Guckusko</t>
        </is>
      </c>
      <c r="S133">
        <f>HYPERLINK("https://klasma.github.io/Logging_0188/artfynd/A 19829-2022 artfynd.xlsx", "A 19829-2022")</f>
        <v/>
      </c>
      <c r="T133">
        <f>HYPERLINK("https://klasma.github.io/Logging_0188/kartor/A 19829-2022 karta.png", "A 19829-2022")</f>
        <v/>
      </c>
      <c r="V133">
        <f>HYPERLINK("https://klasma.github.io/Logging_0188/klagomål/A 19829-2022 FSC-klagomål.docx", "A 19829-2022")</f>
        <v/>
      </c>
      <c r="W133">
        <f>HYPERLINK("https://klasma.github.io/Logging_0188/klagomålsmail/A 19829-2022 FSC-klagomål mail.docx", "A 19829-2022")</f>
        <v/>
      </c>
      <c r="X133">
        <f>HYPERLINK("https://klasma.github.io/Logging_0188/tillsyn/A 19829-2022 tillsynsbegäran.docx", "A 19829-2022")</f>
        <v/>
      </c>
      <c r="Y133">
        <f>HYPERLINK("https://klasma.github.io/Logging_0188/tillsynsmail/A 19829-2022 tillsynsbegäran mail.docx", "A 19829-2022")</f>
        <v/>
      </c>
    </row>
    <row r="134" ht="15" customHeight="1">
      <c r="A134" t="inlineStr">
        <is>
          <t>A 28816-2023</t>
        </is>
      </c>
      <c r="B134" s="1" t="n">
        <v>45104</v>
      </c>
      <c r="C134" s="1" t="n">
        <v>46088</v>
      </c>
      <c r="D134" t="inlineStr">
        <is>
          <t>STOCKHOLMS LÄN</t>
        </is>
      </c>
      <c r="E134" t="inlineStr">
        <is>
          <t>NORRTÄLJE</t>
        </is>
      </c>
      <c r="F134" t="inlineStr">
        <is>
          <t>Kommuner</t>
        </is>
      </c>
      <c r="G134" t="n">
        <v>0.5</v>
      </c>
      <c r="H134" t="n">
        <v>1</v>
      </c>
      <c r="I134" t="n">
        <v>0</v>
      </c>
      <c r="J134" t="n">
        <v>0</v>
      </c>
      <c r="K134" t="n">
        <v>0</v>
      </c>
      <c r="L134" t="n">
        <v>0</v>
      </c>
      <c r="M134" t="n">
        <v>0</v>
      </c>
      <c r="N134" t="n">
        <v>0</v>
      </c>
      <c r="O134" t="n">
        <v>0</v>
      </c>
      <c r="P134" t="n">
        <v>0</v>
      </c>
      <c r="Q134" t="n">
        <v>1</v>
      </c>
      <c r="R134" s="2" t="inlineStr">
        <is>
          <t>Kungsfågel</t>
        </is>
      </c>
      <c r="S134">
        <f>HYPERLINK("https://klasma.github.io/Logging_0188/artfynd/A 28816-2023 artfynd.xlsx", "A 28816-2023")</f>
        <v/>
      </c>
      <c r="T134">
        <f>HYPERLINK("https://klasma.github.io/Logging_0188/kartor/A 28816-2023 karta.png", "A 28816-2023")</f>
        <v/>
      </c>
      <c r="V134">
        <f>HYPERLINK("https://klasma.github.io/Logging_0188/klagomål/A 28816-2023 FSC-klagomål.docx", "A 28816-2023")</f>
        <v/>
      </c>
      <c r="W134">
        <f>HYPERLINK("https://klasma.github.io/Logging_0188/klagomålsmail/A 28816-2023 FSC-klagomål mail.docx", "A 28816-2023")</f>
        <v/>
      </c>
      <c r="X134">
        <f>HYPERLINK("https://klasma.github.io/Logging_0188/tillsyn/A 28816-2023 tillsynsbegäran.docx", "A 28816-2023")</f>
        <v/>
      </c>
      <c r="Y134">
        <f>HYPERLINK("https://klasma.github.io/Logging_0188/tillsynsmail/A 28816-2023 tillsynsbegäran mail.docx", "A 28816-2023")</f>
        <v/>
      </c>
      <c r="Z134">
        <f>HYPERLINK("https://klasma.github.io/Logging_0188/fåglar/A 28816-2023 prioriterade fågelarter.docx", "A 28816-2023")</f>
        <v/>
      </c>
    </row>
    <row r="135" ht="15" customHeight="1">
      <c r="A135" t="inlineStr">
        <is>
          <t>A 52508-2023</t>
        </is>
      </c>
      <c r="B135" s="1" t="n">
        <v>45225</v>
      </c>
      <c r="C135" s="1" t="n">
        <v>46088</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46088</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46088</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46088</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46088</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46088</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46088</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9955-2022</t>
        </is>
      </c>
      <c r="B142" s="1" t="n">
        <v>44620</v>
      </c>
      <c r="C142" s="1" t="n">
        <v>46088</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18580-2021</t>
        </is>
      </c>
      <c r="B143" s="1" t="n">
        <v>44306</v>
      </c>
      <c r="C143" s="1" t="n">
        <v>46088</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46088</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46088</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46088</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46088</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46088</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46088</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46088</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46088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46088</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46088</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46088</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46088</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46088</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46088</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46088</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46088</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46088</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46088</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46088</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46088</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46088</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46088</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46088</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46088</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46088</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46088</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46088</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46088</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46088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46088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46088</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46088</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46088</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46088</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46088</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46088</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46088</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46088</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46088</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46088</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46088</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46088</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46088</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46088</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46088</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46088</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46088</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46088</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46088</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46088</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46088</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46088</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46088</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46088</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46088</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46088</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46088</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46088</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46088</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46088</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46088</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46088</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46088</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46088</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46088</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46088</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46088</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46088</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46088</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46088</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46088</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46088</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46088</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46088</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46088</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46088</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46088</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46088</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46088</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46088</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46088</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46088</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46088</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46088</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46088</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46088</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46088</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46088</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46088</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46088</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46088</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46088</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46088</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46088</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46088</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46088</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46088</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46088</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46088</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46088</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46088</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46088</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46088</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46088</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46088</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46088</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46088</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46088</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62030-2021</t>
        </is>
      </c>
      <c r="B258" s="1" t="n">
        <v>44502</v>
      </c>
      <c r="C258" s="1" t="n">
        <v>46088</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27217-2021</t>
        </is>
      </c>
      <c r="B259" s="1" t="n">
        <v>44350</v>
      </c>
      <c r="C259" s="1" t="n">
        <v>46088</v>
      </c>
      <c r="D259" t="inlineStr">
        <is>
          <t>STOCKHOLMS LÄN</t>
        </is>
      </c>
      <c r="E259" t="inlineStr">
        <is>
          <t>NORRTÄLJE</t>
        </is>
      </c>
      <c r="G259" t="n">
        <v>5.5</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46088</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46088</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27214-2021</t>
        </is>
      </c>
      <c r="B262" s="1" t="n">
        <v>44350</v>
      </c>
      <c r="C262" s="1" t="n">
        <v>46088</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12355-2022</t>
        </is>
      </c>
      <c r="B263" s="1" t="n">
        <v>44637</v>
      </c>
      <c r="C263" s="1" t="n">
        <v>46088</v>
      </c>
      <c r="D263" t="inlineStr">
        <is>
          <t>STOCKHOLMS LÄN</t>
        </is>
      </c>
      <c r="E263" t="inlineStr">
        <is>
          <t>NORRTÄLJE</t>
        </is>
      </c>
      <c r="G263" t="n">
        <v>10.4</v>
      </c>
      <c r="H263" t="n">
        <v>0</v>
      </c>
      <c r="I263" t="n">
        <v>0</v>
      </c>
      <c r="J263" t="n">
        <v>0</v>
      </c>
      <c r="K263" t="n">
        <v>0</v>
      </c>
      <c r="L263" t="n">
        <v>0</v>
      </c>
      <c r="M263" t="n">
        <v>0</v>
      </c>
      <c r="N263" t="n">
        <v>0</v>
      </c>
      <c r="O263" t="n">
        <v>0</v>
      </c>
      <c r="P263" t="n">
        <v>0</v>
      </c>
      <c r="Q263" t="n">
        <v>0</v>
      </c>
      <c r="R263" s="2" t="inlineStr"/>
    </row>
    <row r="264" ht="15" customHeight="1">
      <c r="A264" t="inlineStr">
        <is>
          <t>A 7565-2022</t>
        </is>
      </c>
      <c r="B264" s="1" t="n">
        <v>44607</v>
      </c>
      <c r="C264" s="1" t="n">
        <v>46088</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41822-2021</t>
        </is>
      </c>
      <c r="B265" s="1" t="n">
        <v>44425</v>
      </c>
      <c r="C265" s="1" t="n">
        <v>46088</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41823-2021</t>
        </is>
      </c>
      <c r="B266" s="1" t="n">
        <v>44425</v>
      </c>
      <c r="C266" s="1" t="n">
        <v>46088</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46088</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46088</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8160-2022</t>
        </is>
      </c>
      <c r="B269" s="1" t="n">
        <v>44609</v>
      </c>
      <c r="C269" s="1" t="n">
        <v>46088</v>
      </c>
      <c r="D269" t="inlineStr">
        <is>
          <t>STOCKHOLMS LÄN</t>
        </is>
      </c>
      <c r="E269" t="inlineStr">
        <is>
          <t>NORRTÄLJE</t>
        </is>
      </c>
      <c r="G269" t="n">
        <v>3.9</v>
      </c>
      <c r="H269" t="n">
        <v>0</v>
      </c>
      <c r="I269" t="n">
        <v>0</v>
      </c>
      <c r="J269" t="n">
        <v>0</v>
      </c>
      <c r="K269" t="n">
        <v>0</v>
      </c>
      <c r="L269" t="n">
        <v>0</v>
      </c>
      <c r="M269" t="n">
        <v>0</v>
      </c>
      <c r="N269" t="n">
        <v>0</v>
      </c>
      <c r="O269" t="n">
        <v>0</v>
      </c>
      <c r="P269" t="n">
        <v>0</v>
      </c>
      <c r="Q269" t="n">
        <v>0</v>
      </c>
      <c r="R269" s="2" t="inlineStr"/>
    </row>
    <row r="270" ht="15" customHeight="1">
      <c r="A270" t="inlineStr">
        <is>
          <t>A 39319-2022</t>
        </is>
      </c>
      <c r="B270" s="1" t="n">
        <v>44817.70516203704</v>
      </c>
      <c r="C270" s="1" t="n">
        <v>46088</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56219-2021</t>
        </is>
      </c>
      <c r="B271" s="1" t="n">
        <v>44477</v>
      </c>
      <c r="C271" s="1" t="n">
        <v>46088</v>
      </c>
      <c r="D271" t="inlineStr">
        <is>
          <t>STOCKHOLMS LÄN</t>
        </is>
      </c>
      <c r="E271" t="inlineStr">
        <is>
          <t>NORRTÄLJE</t>
        </is>
      </c>
      <c r="F271" t="inlineStr">
        <is>
          <t>Kommuner</t>
        </is>
      </c>
      <c r="G271" t="n">
        <v>2.3</v>
      </c>
      <c r="H271" t="n">
        <v>0</v>
      </c>
      <c r="I271" t="n">
        <v>0</v>
      </c>
      <c r="J271" t="n">
        <v>0</v>
      </c>
      <c r="K271" t="n">
        <v>0</v>
      </c>
      <c r="L271" t="n">
        <v>0</v>
      </c>
      <c r="M271" t="n">
        <v>0</v>
      </c>
      <c r="N271" t="n">
        <v>0</v>
      </c>
      <c r="O271" t="n">
        <v>0</v>
      </c>
      <c r="P271" t="n">
        <v>0</v>
      </c>
      <c r="Q271" t="n">
        <v>0</v>
      </c>
      <c r="R271" s="2" t="inlineStr"/>
    </row>
    <row r="272" ht="15" customHeight="1">
      <c r="A272" t="inlineStr">
        <is>
          <t>A 30286-2022</t>
        </is>
      </c>
      <c r="B272" s="1" t="n">
        <v>44760</v>
      </c>
      <c r="C272" s="1" t="n">
        <v>46088</v>
      </c>
      <c r="D272" t="inlineStr">
        <is>
          <t>STOCKHOLMS LÄN</t>
        </is>
      </c>
      <c r="E272" t="inlineStr">
        <is>
          <t>NORRTÄLJE</t>
        </is>
      </c>
      <c r="G272" t="n">
        <v>0.3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46088</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46088</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46088</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10521-2022</t>
        </is>
      </c>
      <c r="B276" s="1" t="n">
        <v>44623</v>
      </c>
      <c r="C276" s="1" t="n">
        <v>46088</v>
      </c>
      <c r="D276" t="inlineStr">
        <is>
          <t>STOCKHOLMS LÄN</t>
        </is>
      </c>
      <c r="E276" t="inlineStr">
        <is>
          <t>NORRTÄLJE</t>
        </is>
      </c>
      <c r="G276" t="n">
        <v>2.9</v>
      </c>
      <c r="H276" t="n">
        <v>0</v>
      </c>
      <c r="I276" t="n">
        <v>0</v>
      </c>
      <c r="J276" t="n">
        <v>0</v>
      </c>
      <c r="K276" t="n">
        <v>0</v>
      </c>
      <c r="L276" t="n">
        <v>0</v>
      </c>
      <c r="M276" t="n">
        <v>0</v>
      </c>
      <c r="N276" t="n">
        <v>0</v>
      </c>
      <c r="O276" t="n">
        <v>0</v>
      </c>
      <c r="P276" t="n">
        <v>0</v>
      </c>
      <c r="Q276" t="n">
        <v>0</v>
      </c>
      <c r="R276" s="2" t="inlineStr"/>
    </row>
    <row r="277" ht="15" customHeight="1">
      <c r="A277" t="inlineStr">
        <is>
          <t>A 17771-2022</t>
        </is>
      </c>
      <c r="B277" s="1" t="n">
        <v>44682.75924768519</v>
      </c>
      <c r="C277" s="1" t="n">
        <v>46088</v>
      </c>
      <c r="D277" t="inlineStr">
        <is>
          <t>STOCKHOLMS LÄN</t>
        </is>
      </c>
      <c r="E277" t="inlineStr">
        <is>
          <t>NORRTÄLJE</t>
        </is>
      </c>
      <c r="G277" t="n">
        <v>13.3</v>
      </c>
      <c r="H277" t="n">
        <v>0</v>
      </c>
      <c r="I277" t="n">
        <v>0</v>
      </c>
      <c r="J277" t="n">
        <v>0</v>
      </c>
      <c r="K277" t="n">
        <v>0</v>
      </c>
      <c r="L277" t="n">
        <v>0</v>
      </c>
      <c r="M277" t="n">
        <v>0</v>
      </c>
      <c r="N277" t="n">
        <v>0</v>
      </c>
      <c r="O277" t="n">
        <v>0</v>
      </c>
      <c r="P277" t="n">
        <v>0</v>
      </c>
      <c r="Q277" t="n">
        <v>0</v>
      </c>
      <c r="R277" s="2" t="inlineStr"/>
    </row>
    <row r="278" ht="15" customHeight="1">
      <c r="A278" t="inlineStr">
        <is>
          <t>A 17773-2022</t>
        </is>
      </c>
      <c r="B278" s="1" t="n">
        <v>44682.77616898148</v>
      </c>
      <c r="C278" s="1" t="n">
        <v>46088</v>
      </c>
      <c r="D278" t="inlineStr">
        <is>
          <t>STOCKHOLMS LÄN</t>
        </is>
      </c>
      <c r="E278" t="inlineStr">
        <is>
          <t>NORRTÄLJE</t>
        </is>
      </c>
      <c r="G278" t="n">
        <v>10.8</v>
      </c>
      <c r="H278" t="n">
        <v>0</v>
      </c>
      <c r="I278" t="n">
        <v>0</v>
      </c>
      <c r="J278" t="n">
        <v>0</v>
      </c>
      <c r="K278" t="n">
        <v>0</v>
      </c>
      <c r="L278" t="n">
        <v>0</v>
      </c>
      <c r="M278" t="n">
        <v>0</v>
      </c>
      <c r="N278" t="n">
        <v>0</v>
      </c>
      <c r="O278" t="n">
        <v>0</v>
      </c>
      <c r="P278" t="n">
        <v>0</v>
      </c>
      <c r="Q278" t="n">
        <v>0</v>
      </c>
      <c r="R278" s="2" t="inlineStr"/>
    </row>
    <row r="279" ht="15" customHeight="1">
      <c r="A279" t="inlineStr">
        <is>
          <t>A 16117-2022</t>
        </is>
      </c>
      <c r="B279" s="1" t="n">
        <v>44665.65474537037</v>
      </c>
      <c r="C279" s="1" t="n">
        <v>46088</v>
      </c>
      <c r="D279" t="inlineStr">
        <is>
          <t>STOCKHOLMS LÄN</t>
        </is>
      </c>
      <c r="E279" t="inlineStr">
        <is>
          <t>NORRTÄLJE</t>
        </is>
      </c>
      <c r="G279" t="n">
        <v>8.1</v>
      </c>
      <c r="H279" t="n">
        <v>0</v>
      </c>
      <c r="I279" t="n">
        <v>0</v>
      </c>
      <c r="J279" t="n">
        <v>0</v>
      </c>
      <c r="K279" t="n">
        <v>0</v>
      </c>
      <c r="L279" t="n">
        <v>0</v>
      </c>
      <c r="M279" t="n">
        <v>0</v>
      </c>
      <c r="N279" t="n">
        <v>0</v>
      </c>
      <c r="O279" t="n">
        <v>0</v>
      </c>
      <c r="P279" t="n">
        <v>0</v>
      </c>
      <c r="Q279" t="n">
        <v>0</v>
      </c>
      <c r="R279" s="2" t="inlineStr"/>
    </row>
    <row r="280" ht="15" customHeight="1">
      <c r="A280" t="inlineStr">
        <is>
          <t>A 16132-2022</t>
        </is>
      </c>
      <c r="B280" s="1" t="n">
        <v>44665.78351851852</v>
      </c>
      <c r="C280" s="1" t="n">
        <v>46088</v>
      </c>
      <c r="D280" t="inlineStr">
        <is>
          <t>STOCKHOLMS LÄN</t>
        </is>
      </c>
      <c r="E280" t="inlineStr">
        <is>
          <t>NORRTÄLJE</t>
        </is>
      </c>
      <c r="G280" t="n">
        <v>4.4</v>
      </c>
      <c r="H280" t="n">
        <v>0</v>
      </c>
      <c r="I280" t="n">
        <v>0</v>
      </c>
      <c r="J280" t="n">
        <v>0</v>
      </c>
      <c r="K280" t="n">
        <v>0</v>
      </c>
      <c r="L280" t="n">
        <v>0</v>
      </c>
      <c r="M280" t="n">
        <v>0</v>
      </c>
      <c r="N280" t="n">
        <v>0</v>
      </c>
      <c r="O280" t="n">
        <v>0</v>
      </c>
      <c r="P280" t="n">
        <v>0</v>
      </c>
      <c r="Q280" t="n">
        <v>0</v>
      </c>
      <c r="R280" s="2" t="inlineStr"/>
    </row>
    <row r="281" ht="15" customHeight="1">
      <c r="A281" t="inlineStr">
        <is>
          <t>A 25463-2021</t>
        </is>
      </c>
      <c r="B281" s="1" t="n">
        <v>44342</v>
      </c>
      <c r="C281" s="1" t="n">
        <v>46088</v>
      </c>
      <c r="D281" t="inlineStr">
        <is>
          <t>STOCKHOLMS LÄN</t>
        </is>
      </c>
      <c r="E281" t="inlineStr">
        <is>
          <t>NORRTÄLJE</t>
        </is>
      </c>
      <c r="F281" t="inlineStr">
        <is>
          <t>Holmen skog AB</t>
        </is>
      </c>
      <c r="G281" t="n">
        <v>1.5</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46088</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21102-2022</t>
        </is>
      </c>
      <c r="B283" s="1" t="n">
        <v>44704</v>
      </c>
      <c r="C283" s="1" t="n">
        <v>46088</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71880-2021</t>
        </is>
      </c>
      <c r="B284" s="1" t="n">
        <v>44543</v>
      </c>
      <c r="C284" s="1" t="n">
        <v>46088</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46088</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46088</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46088</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46088</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46088</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46088</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46088</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15915-2023</t>
        </is>
      </c>
      <c r="B292" s="1" t="n">
        <v>45022</v>
      </c>
      <c r="C292" s="1" t="n">
        <v>46088</v>
      </c>
      <c r="D292" t="inlineStr">
        <is>
          <t>STOCKHOLMS LÄN</t>
        </is>
      </c>
      <c r="E292" t="inlineStr">
        <is>
          <t>NORRTÄLJE</t>
        </is>
      </c>
      <c r="G292" t="n">
        <v>2.9</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46088</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46088</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22412-2021</t>
        </is>
      </c>
      <c r="B295" s="1" t="n">
        <v>44326.61967592593</v>
      </c>
      <c r="C295" s="1" t="n">
        <v>46088</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16229-2022</t>
        </is>
      </c>
      <c r="B296" s="1" t="n">
        <v>44670.4190162037</v>
      </c>
      <c r="C296" s="1" t="n">
        <v>46088</v>
      </c>
      <c r="D296" t="inlineStr">
        <is>
          <t>STOCKHOLMS LÄN</t>
        </is>
      </c>
      <c r="E296" t="inlineStr">
        <is>
          <t>NORRTÄLJE</t>
        </is>
      </c>
      <c r="G296" t="n">
        <v>7.4</v>
      </c>
      <c r="H296" t="n">
        <v>0</v>
      </c>
      <c r="I296" t="n">
        <v>0</v>
      </c>
      <c r="J296" t="n">
        <v>0</v>
      </c>
      <c r="K296" t="n">
        <v>0</v>
      </c>
      <c r="L296" t="n">
        <v>0</v>
      </c>
      <c r="M296" t="n">
        <v>0</v>
      </c>
      <c r="N296" t="n">
        <v>0</v>
      </c>
      <c r="O296" t="n">
        <v>0</v>
      </c>
      <c r="P296" t="n">
        <v>0</v>
      </c>
      <c r="Q296" t="n">
        <v>0</v>
      </c>
      <c r="R296" s="2" t="inlineStr"/>
    </row>
    <row r="297" ht="15" customHeight="1">
      <c r="A297" t="inlineStr">
        <is>
          <t>A 13053-2022</t>
        </is>
      </c>
      <c r="B297" s="1" t="n">
        <v>44643</v>
      </c>
      <c r="C297" s="1" t="n">
        <v>46088</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46088</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22008-2024</t>
        </is>
      </c>
      <c r="B299" s="1" t="n">
        <v>45443</v>
      </c>
      <c r="C299" s="1" t="n">
        <v>46088</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29972-2024</t>
        </is>
      </c>
      <c r="B300" s="1" t="n">
        <v>45485</v>
      </c>
      <c r="C300" s="1" t="n">
        <v>46088</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64137-2021</t>
        </is>
      </c>
      <c r="B301" s="1" t="n">
        <v>44510.51422453704</v>
      </c>
      <c r="C301" s="1" t="n">
        <v>46088</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48716-2023</t>
        </is>
      </c>
      <c r="B302" s="1" t="n">
        <v>45208.69671296296</v>
      </c>
      <c r="C302" s="1" t="n">
        <v>46088</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5027-2025</t>
        </is>
      </c>
      <c r="B303" s="1" t="n">
        <v>45691.41101851852</v>
      </c>
      <c r="C303" s="1" t="n">
        <v>46088</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12268-2022</t>
        </is>
      </c>
      <c r="B304" s="1" t="n">
        <v>44637</v>
      </c>
      <c r="C304" s="1" t="n">
        <v>46088</v>
      </c>
      <c r="D304" t="inlineStr">
        <is>
          <t>STOCKHOLMS LÄN</t>
        </is>
      </c>
      <c r="E304" t="inlineStr">
        <is>
          <t>NORRTÄLJE</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20015-2023</t>
        </is>
      </c>
      <c r="B305" s="1" t="n">
        <v>45054</v>
      </c>
      <c r="C305" s="1" t="n">
        <v>46088</v>
      </c>
      <c r="D305" t="inlineStr">
        <is>
          <t>STOCKHOLMS LÄN</t>
        </is>
      </c>
      <c r="E305" t="inlineStr">
        <is>
          <t>NORRTÄLJE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3273-2025</t>
        </is>
      </c>
      <c r="B306" s="1" t="n">
        <v>45679</v>
      </c>
      <c r="C306" s="1" t="n">
        <v>46088</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24245-2024</t>
        </is>
      </c>
      <c r="B307" s="1" t="n">
        <v>45457</v>
      </c>
      <c r="C307" s="1" t="n">
        <v>46088</v>
      </c>
      <c r="D307" t="inlineStr">
        <is>
          <t>STOCKHOLMS LÄN</t>
        </is>
      </c>
      <c r="E307" t="inlineStr">
        <is>
          <t>NORRTÄLJE</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55243-2023</t>
        </is>
      </c>
      <c r="B308" s="1" t="n">
        <v>45237</v>
      </c>
      <c r="C308" s="1" t="n">
        <v>46088</v>
      </c>
      <c r="D308" t="inlineStr">
        <is>
          <t>STOCKHOLMS LÄN</t>
        </is>
      </c>
      <c r="E308" t="inlineStr">
        <is>
          <t>NORRTÄLJE</t>
        </is>
      </c>
      <c r="G308" t="n">
        <v>6.5</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46088</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46088</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20428-2024</t>
        </is>
      </c>
      <c r="B311" s="1" t="n">
        <v>45435</v>
      </c>
      <c r="C311" s="1" t="n">
        <v>46088</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52260-2022</t>
        </is>
      </c>
      <c r="B312" s="1" t="n">
        <v>44869</v>
      </c>
      <c r="C312" s="1" t="n">
        <v>46088</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13172-2025</t>
        </is>
      </c>
      <c r="B313" s="1" t="n">
        <v>45735.36873842592</v>
      </c>
      <c r="C313" s="1" t="n">
        <v>46088</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64145-2021</t>
        </is>
      </c>
      <c r="B314" s="1" t="n">
        <v>44510</v>
      </c>
      <c r="C314" s="1" t="n">
        <v>46088</v>
      </c>
      <c r="D314" t="inlineStr">
        <is>
          <t>STOCKHOLMS LÄN</t>
        </is>
      </c>
      <c r="E314" t="inlineStr">
        <is>
          <t>NORRTÄLJE</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1740-2023</t>
        </is>
      </c>
      <c r="B315" s="1" t="n">
        <v>44938</v>
      </c>
      <c r="C315" s="1" t="n">
        <v>46088</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4596-2023</t>
        </is>
      </c>
      <c r="B316" s="1" t="n">
        <v>44956</v>
      </c>
      <c r="C316" s="1" t="n">
        <v>46088</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22456-2023</t>
        </is>
      </c>
      <c r="B317" s="1" t="n">
        <v>45070</v>
      </c>
      <c r="C317" s="1" t="n">
        <v>46088</v>
      </c>
      <c r="D317" t="inlineStr">
        <is>
          <t>STOCKHOLMS LÄN</t>
        </is>
      </c>
      <c r="E317" t="inlineStr">
        <is>
          <t>NORRTÄLJE</t>
        </is>
      </c>
      <c r="G317" t="n">
        <v>3.1</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46088</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25557-2023</t>
        </is>
      </c>
      <c r="B319" s="1" t="n">
        <v>45089</v>
      </c>
      <c r="C319" s="1" t="n">
        <v>46088</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27715-2022</t>
        </is>
      </c>
      <c r="B320" s="1" t="n">
        <v>44743.47407407407</v>
      </c>
      <c r="C320" s="1" t="n">
        <v>46088</v>
      </c>
      <c r="D320" t="inlineStr">
        <is>
          <t>STOCKHOLMS LÄN</t>
        </is>
      </c>
      <c r="E320" t="inlineStr">
        <is>
          <t>NORRTÄLJE</t>
        </is>
      </c>
      <c r="G320" t="n">
        <v>2.2</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46088</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20852-2023</t>
        </is>
      </c>
      <c r="B322" s="1" t="n">
        <v>45058.78607638889</v>
      </c>
      <c r="C322" s="1" t="n">
        <v>46088</v>
      </c>
      <c r="D322" t="inlineStr">
        <is>
          <t>STOCKHOLMS LÄN</t>
        </is>
      </c>
      <c r="E322" t="inlineStr">
        <is>
          <t>NORRTÄLJE</t>
        </is>
      </c>
      <c r="G322" t="n">
        <v>3.5</v>
      </c>
      <c r="H322" t="n">
        <v>0</v>
      </c>
      <c r="I322" t="n">
        <v>0</v>
      </c>
      <c r="J322" t="n">
        <v>0</v>
      </c>
      <c r="K322" t="n">
        <v>0</v>
      </c>
      <c r="L322" t="n">
        <v>0</v>
      </c>
      <c r="M322" t="n">
        <v>0</v>
      </c>
      <c r="N322" t="n">
        <v>0</v>
      </c>
      <c r="O322" t="n">
        <v>0</v>
      </c>
      <c r="P322" t="n">
        <v>0</v>
      </c>
      <c r="Q322" t="n">
        <v>0</v>
      </c>
      <c r="R322" s="2" t="inlineStr"/>
    </row>
    <row r="323" ht="15" customHeight="1">
      <c r="A323" t="inlineStr">
        <is>
          <t>A 19982-2022</t>
        </is>
      </c>
      <c r="B323" s="1" t="n">
        <v>44697</v>
      </c>
      <c r="C323" s="1" t="n">
        <v>46088</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6678-2025</t>
        </is>
      </c>
      <c r="B324" s="1" t="n">
        <v>45700</v>
      </c>
      <c r="C324" s="1" t="n">
        <v>46088</v>
      </c>
      <c r="D324" t="inlineStr">
        <is>
          <t>STOCKHOLMS LÄN</t>
        </is>
      </c>
      <c r="E324" t="inlineStr">
        <is>
          <t>NORRTÄLJE</t>
        </is>
      </c>
      <c r="F324" t="inlineStr">
        <is>
          <t>Övriga Aktiebolag</t>
        </is>
      </c>
      <c r="G324" t="n">
        <v>6.6</v>
      </c>
      <c r="H324" t="n">
        <v>0</v>
      </c>
      <c r="I324" t="n">
        <v>0</v>
      </c>
      <c r="J324" t="n">
        <v>0</v>
      </c>
      <c r="K324" t="n">
        <v>0</v>
      </c>
      <c r="L324" t="n">
        <v>0</v>
      </c>
      <c r="M324" t="n">
        <v>0</v>
      </c>
      <c r="N324" t="n">
        <v>0</v>
      </c>
      <c r="O324" t="n">
        <v>0</v>
      </c>
      <c r="P324" t="n">
        <v>0</v>
      </c>
      <c r="Q324" t="n">
        <v>0</v>
      </c>
      <c r="R324" s="2" t="inlineStr"/>
    </row>
    <row r="325" ht="15" customHeight="1">
      <c r="A325" t="inlineStr">
        <is>
          <t>A 42075-2023</t>
        </is>
      </c>
      <c r="B325" s="1" t="n">
        <v>45177</v>
      </c>
      <c r="C325" s="1" t="n">
        <v>46088</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44917-2022</t>
        </is>
      </c>
      <c r="B326" s="1" t="n">
        <v>44841.52804398148</v>
      </c>
      <c r="C326" s="1" t="n">
        <v>46088</v>
      </c>
      <c r="D326" t="inlineStr">
        <is>
          <t>STOCKHOLMS LÄN</t>
        </is>
      </c>
      <c r="E326" t="inlineStr">
        <is>
          <t>NORRTÄLJE</t>
        </is>
      </c>
      <c r="F326" t="inlineStr">
        <is>
          <t>Holmen skog AB</t>
        </is>
      </c>
      <c r="G326" t="n">
        <v>3.3</v>
      </c>
      <c r="H326" t="n">
        <v>0</v>
      </c>
      <c r="I326" t="n">
        <v>0</v>
      </c>
      <c r="J326" t="n">
        <v>0</v>
      </c>
      <c r="K326" t="n">
        <v>0</v>
      </c>
      <c r="L326" t="n">
        <v>0</v>
      </c>
      <c r="M326" t="n">
        <v>0</v>
      </c>
      <c r="N326" t="n">
        <v>0</v>
      </c>
      <c r="O326" t="n">
        <v>0</v>
      </c>
      <c r="P326" t="n">
        <v>0</v>
      </c>
      <c r="Q326" t="n">
        <v>0</v>
      </c>
      <c r="R326" s="2" t="inlineStr"/>
    </row>
    <row r="327" ht="15" customHeight="1">
      <c r="A327" t="inlineStr">
        <is>
          <t>A 50108-2021</t>
        </is>
      </c>
      <c r="B327" s="1" t="n">
        <v>44456</v>
      </c>
      <c r="C327" s="1" t="n">
        <v>46088</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55058-2021</t>
        </is>
      </c>
      <c r="B328" s="1" t="n">
        <v>44474.62141203704</v>
      </c>
      <c r="C328" s="1" t="n">
        <v>46088</v>
      </c>
      <c r="D328" t="inlineStr">
        <is>
          <t>STOCKHOLMS LÄN</t>
        </is>
      </c>
      <c r="E328" t="inlineStr">
        <is>
          <t>NORRTÄLJE</t>
        </is>
      </c>
      <c r="G328" t="n">
        <v>1.9</v>
      </c>
      <c r="H328" t="n">
        <v>0</v>
      </c>
      <c r="I328" t="n">
        <v>0</v>
      </c>
      <c r="J328" t="n">
        <v>0</v>
      </c>
      <c r="K328" t="n">
        <v>0</v>
      </c>
      <c r="L328" t="n">
        <v>0</v>
      </c>
      <c r="M328" t="n">
        <v>0</v>
      </c>
      <c r="N328" t="n">
        <v>0</v>
      </c>
      <c r="O328" t="n">
        <v>0</v>
      </c>
      <c r="P328" t="n">
        <v>0</v>
      </c>
      <c r="Q328" t="n">
        <v>0</v>
      </c>
      <c r="R328" s="2" t="inlineStr"/>
    </row>
    <row r="329" ht="15" customHeight="1">
      <c r="A329" t="inlineStr">
        <is>
          <t>A 55012-2024</t>
        </is>
      </c>
      <c r="B329" s="1" t="n">
        <v>45621.34813657407</v>
      </c>
      <c r="C329" s="1" t="n">
        <v>46088</v>
      </c>
      <c r="D329" t="inlineStr">
        <is>
          <t>STOCKHOLMS LÄN</t>
        </is>
      </c>
      <c r="E329" t="inlineStr">
        <is>
          <t>NORRTÄLJE</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50355-2024</t>
        </is>
      </c>
      <c r="B330" s="1" t="n">
        <v>45600.86128472222</v>
      </c>
      <c r="C330" s="1" t="n">
        <v>46088</v>
      </c>
      <c r="D330" t="inlineStr">
        <is>
          <t>STOCKHOLMS LÄN</t>
        </is>
      </c>
      <c r="E330" t="inlineStr">
        <is>
          <t>NORRTÄLJE</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7413-2024</t>
        </is>
      </c>
      <c r="B331" s="1" t="n">
        <v>45345.6059837963</v>
      </c>
      <c r="C331" s="1" t="n">
        <v>46088</v>
      </c>
      <c r="D331" t="inlineStr">
        <is>
          <t>STOCKHOLMS LÄN</t>
        </is>
      </c>
      <c r="E331" t="inlineStr">
        <is>
          <t>NORRTÄLJE</t>
        </is>
      </c>
      <c r="G331" t="n">
        <v>1.8</v>
      </c>
      <c r="H331" t="n">
        <v>0</v>
      </c>
      <c r="I331" t="n">
        <v>0</v>
      </c>
      <c r="J331" t="n">
        <v>0</v>
      </c>
      <c r="K331" t="n">
        <v>0</v>
      </c>
      <c r="L331" t="n">
        <v>0</v>
      </c>
      <c r="M331" t="n">
        <v>0</v>
      </c>
      <c r="N331" t="n">
        <v>0</v>
      </c>
      <c r="O331" t="n">
        <v>0</v>
      </c>
      <c r="P331" t="n">
        <v>0</v>
      </c>
      <c r="Q331" t="n">
        <v>0</v>
      </c>
      <c r="R331" s="2" t="inlineStr"/>
    </row>
    <row r="332" ht="15" customHeight="1">
      <c r="A332" t="inlineStr">
        <is>
          <t>A 12251-2025</t>
        </is>
      </c>
      <c r="B332" s="1" t="n">
        <v>45729.60859953704</v>
      </c>
      <c r="C332" s="1" t="n">
        <v>46088</v>
      </c>
      <c r="D332" t="inlineStr">
        <is>
          <t>STOCKHOLMS LÄN</t>
        </is>
      </c>
      <c r="E332" t="inlineStr">
        <is>
          <t>NORRTÄLJE</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58863-2024</t>
        </is>
      </c>
      <c r="B333" s="1" t="n">
        <v>45636.41572916666</v>
      </c>
      <c r="C333" s="1" t="n">
        <v>46088</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42867-2022</t>
        </is>
      </c>
      <c r="B334" s="1" t="n">
        <v>44832</v>
      </c>
      <c r="C334" s="1" t="n">
        <v>46088</v>
      </c>
      <c r="D334" t="inlineStr">
        <is>
          <t>STOCKHOLMS LÄN</t>
        </is>
      </c>
      <c r="E334" t="inlineStr">
        <is>
          <t>NORRTÄLJE</t>
        </is>
      </c>
      <c r="G334" t="n">
        <v>6.4</v>
      </c>
      <c r="H334" t="n">
        <v>0</v>
      </c>
      <c r="I334" t="n">
        <v>0</v>
      </c>
      <c r="J334" t="n">
        <v>0</v>
      </c>
      <c r="K334" t="n">
        <v>0</v>
      </c>
      <c r="L334" t="n">
        <v>0</v>
      </c>
      <c r="M334" t="n">
        <v>0</v>
      </c>
      <c r="N334" t="n">
        <v>0</v>
      </c>
      <c r="O334" t="n">
        <v>0</v>
      </c>
      <c r="P334" t="n">
        <v>0</v>
      </c>
      <c r="Q334" t="n">
        <v>0</v>
      </c>
      <c r="R334" s="2" t="inlineStr"/>
    </row>
    <row r="335" ht="15" customHeight="1">
      <c r="A335" t="inlineStr">
        <is>
          <t>A 50154-2024</t>
        </is>
      </c>
      <c r="B335" s="1" t="n">
        <v>45600.4558912037</v>
      </c>
      <c r="C335" s="1" t="n">
        <v>46088</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58277-2023</t>
        </is>
      </c>
      <c r="B336" s="1" t="n">
        <v>45245</v>
      </c>
      <c r="C336" s="1" t="n">
        <v>46088</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11900-2024</t>
        </is>
      </c>
      <c r="B337" s="1" t="n">
        <v>45376.55484953704</v>
      </c>
      <c r="C337" s="1" t="n">
        <v>46088</v>
      </c>
      <c r="D337" t="inlineStr">
        <is>
          <t>STOCKHOLMS LÄN</t>
        </is>
      </c>
      <c r="E337" t="inlineStr">
        <is>
          <t>NORRTÄLJE</t>
        </is>
      </c>
      <c r="G337" t="n">
        <v>4.2</v>
      </c>
      <c r="H337" t="n">
        <v>0</v>
      </c>
      <c r="I337" t="n">
        <v>0</v>
      </c>
      <c r="J337" t="n">
        <v>0</v>
      </c>
      <c r="K337" t="n">
        <v>0</v>
      </c>
      <c r="L337" t="n">
        <v>0</v>
      </c>
      <c r="M337" t="n">
        <v>0</v>
      </c>
      <c r="N337" t="n">
        <v>0</v>
      </c>
      <c r="O337" t="n">
        <v>0</v>
      </c>
      <c r="P337" t="n">
        <v>0</v>
      </c>
      <c r="Q337" t="n">
        <v>0</v>
      </c>
      <c r="R337" s="2" t="inlineStr"/>
    </row>
    <row r="338" ht="15" customHeight="1">
      <c r="A338" t="inlineStr">
        <is>
          <t>A 32705-2022</t>
        </is>
      </c>
      <c r="B338" s="1" t="n">
        <v>44783</v>
      </c>
      <c r="C338" s="1" t="n">
        <v>46088</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46088</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47481-2024</t>
        </is>
      </c>
      <c r="B340" s="1" t="n">
        <v>45587</v>
      </c>
      <c r="C340" s="1" t="n">
        <v>46088</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46088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11940-2023</t>
        </is>
      </c>
      <c r="B342" s="1" t="n">
        <v>44995</v>
      </c>
      <c r="C342" s="1" t="n">
        <v>46088</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2281-2024</t>
        </is>
      </c>
      <c r="B343" s="1" t="n">
        <v>45310.40628472222</v>
      </c>
      <c r="C343" s="1" t="n">
        <v>46088</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60525-2022</t>
        </is>
      </c>
      <c r="B344" s="1" t="n">
        <v>44904</v>
      </c>
      <c r="C344" s="1" t="n">
        <v>46088</v>
      </c>
      <c r="D344" t="inlineStr">
        <is>
          <t>STOCKHOLMS LÄN</t>
        </is>
      </c>
      <c r="E344" t="inlineStr">
        <is>
          <t>NORRTÄLJE</t>
        </is>
      </c>
      <c r="G344" t="n">
        <v>13.4</v>
      </c>
      <c r="H344" t="n">
        <v>0</v>
      </c>
      <c r="I344" t="n">
        <v>0</v>
      </c>
      <c r="J344" t="n">
        <v>0</v>
      </c>
      <c r="K344" t="n">
        <v>0</v>
      </c>
      <c r="L344" t="n">
        <v>0</v>
      </c>
      <c r="M344" t="n">
        <v>0</v>
      </c>
      <c r="N344" t="n">
        <v>0</v>
      </c>
      <c r="O344" t="n">
        <v>0</v>
      </c>
      <c r="P344" t="n">
        <v>0</v>
      </c>
      <c r="Q344" t="n">
        <v>0</v>
      </c>
      <c r="R344" s="2" t="inlineStr"/>
    </row>
    <row r="345" ht="15" customHeight="1">
      <c r="A345" t="inlineStr">
        <is>
          <t>A 39213-2022</t>
        </is>
      </c>
      <c r="B345" s="1" t="n">
        <v>44817.56120370371</v>
      </c>
      <c r="C345" s="1" t="n">
        <v>46088</v>
      </c>
      <c r="D345" t="inlineStr">
        <is>
          <t>STOCKHOLMS LÄN</t>
        </is>
      </c>
      <c r="E345" t="inlineStr">
        <is>
          <t>NORRTÄLJE</t>
        </is>
      </c>
      <c r="G345" t="n">
        <v>3.4</v>
      </c>
      <c r="H345" t="n">
        <v>0</v>
      </c>
      <c r="I345" t="n">
        <v>0</v>
      </c>
      <c r="J345" t="n">
        <v>0</v>
      </c>
      <c r="K345" t="n">
        <v>0</v>
      </c>
      <c r="L345" t="n">
        <v>0</v>
      </c>
      <c r="M345" t="n">
        <v>0</v>
      </c>
      <c r="N345" t="n">
        <v>0</v>
      </c>
      <c r="O345" t="n">
        <v>0</v>
      </c>
      <c r="P345" t="n">
        <v>0</v>
      </c>
      <c r="Q345" t="n">
        <v>0</v>
      </c>
      <c r="R345" s="2" t="inlineStr"/>
    </row>
    <row r="346" ht="15" customHeight="1">
      <c r="A346" t="inlineStr">
        <is>
          <t>A 62998-2023</t>
        </is>
      </c>
      <c r="B346" s="1" t="n">
        <v>45272.64479166667</v>
      </c>
      <c r="C346" s="1" t="n">
        <v>46088</v>
      </c>
      <c r="D346" t="inlineStr">
        <is>
          <t>STOCKHOLMS LÄN</t>
        </is>
      </c>
      <c r="E346" t="inlineStr">
        <is>
          <t>NORRTÄLJE</t>
        </is>
      </c>
      <c r="G346" t="n">
        <v>16.3</v>
      </c>
      <c r="H346" t="n">
        <v>0</v>
      </c>
      <c r="I346" t="n">
        <v>0</v>
      </c>
      <c r="J346" t="n">
        <v>0</v>
      </c>
      <c r="K346" t="n">
        <v>0</v>
      </c>
      <c r="L346" t="n">
        <v>0</v>
      </c>
      <c r="M346" t="n">
        <v>0</v>
      </c>
      <c r="N346" t="n">
        <v>0</v>
      </c>
      <c r="O346" t="n">
        <v>0</v>
      </c>
      <c r="P346" t="n">
        <v>0</v>
      </c>
      <c r="Q346" t="n">
        <v>0</v>
      </c>
      <c r="R346" s="2" t="inlineStr"/>
    </row>
    <row r="347" ht="15" customHeight="1">
      <c r="A347" t="inlineStr">
        <is>
          <t>A 63015-2023</t>
        </is>
      </c>
      <c r="B347" s="1" t="n">
        <v>45272</v>
      </c>
      <c r="C347" s="1" t="n">
        <v>46088</v>
      </c>
      <c r="D347" t="inlineStr">
        <is>
          <t>STOCKHOLMS LÄN</t>
        </is>
      </c>
      <c r="E347" t="inlineStr">
        <is>
          <t>NORRTÄLJE</t>
        </is>
      </c>
      <c r="G347" t="n">
        <v>13.1</v>
      </c>
      <c r="H347" t="n">
        <v>0</v>
      </c>
      <c r="I347" t="n">
        <v>0</v>
      </c>
      <c r="J347" t="n">
        <v>0</v>
      </c>
      <c r="K347" t="n">
        <v>0</v>
      </c>
      <c r="L347" t="n">
        <v>0</v>
      </c>
      <c r="M347" t="n">
        <v>0</v>
      </c>
      <c r="N347" t="n">
        <v>0</v>
      </c>
      <c r="O347" t="n">
        <v>0</v>
      </c>
      <c r="P347" t="n">
        <v>0</v>
      </c>
      <c r="Q347" t="n">
        <v>0</v>
      </c>
      <c r="R347" s="2" t="inlineStr"/>
    </row>
    <row r="348" ht="15" customHeight="1">
      <c r="A348" t="inlineStr">
        <is>
          <t>A 27831-2024</t>
        </is>
      </c>
      <c r="B348" s="1" t="n">
        <v>45475.61896990741</v>
      </c>
      <c r="C348" s="1" t="n">
        <v>46088</v>
      </c>
      <c r="D348" t="inlineStr">
        <is>
          <t>STOCKHOLMS LÄN</t>
        </is>
      </c>
      <c r="E348" t="inlineStr">
        <is>
          <t>NORRTÄLJE</t>
        </is>
      </c>
      <c r="G348" t="n">
        <v>3.8</v>
      </c>
      <c r="H348" t="n">
        <v>0</v>
      </c>
      <c r="I348" t="n">
        <v>0</v>
      </c>
      <c r="J348" t="n">
        <v>0</v>
      </c>
      <c r="K348" t="n">
        <v>0</v>
      </c>
      <c r="L348" t="n">
        <v>0</v>
      </c>
      <c r="M348" t="n">
        <v>0</v>
      </c>
      <c r="N348" t="n">
        <v>0</v>
      </c>
      <c r="O348" t="n">
        <v>0</v>
      </c>
      <c r="P348" t="n">
        <v>0</v>
      </c>
      <c r="Q348" t="n">
        <v>0</v>
      </c>
      <c r="R348" s="2" t="inlineStr"/>
    </row>
    <row r="349" ht="15" customHeight="1">
      <c r="A349" t="inlineStr">
        <is>
          <t>A 41976-2024</t>
        </is>
      </c>
      <c r="B349" s="1" t="n">
        <v>45561.62141203704</v>
      </c>
      <c r="C349" s="1" t="n">
        <v>46088</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51325-2023</t>
        </is>
      </c>
      <c r="B350" s="1" t="n">
        <v>45219</v>
      </c>
      <c r="C350" s="1" t="n">
        <v>46088</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33175-2024</t>
        </is>
      </c>
      <c r="B351" s="1" t="n">
        <v>45518</v>
      </c>
      <c r="C351" s="1" t="n">
        <v>46088</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21803-2022</t>
        </is>
      </c>
      <c r="B352" s="1" t="n">
        <v>44708.67822916667</v>
      </c>
      <c r="C352" s="1" t="n">
        <v>46088</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59534-2024</t>
        </is>
      </c>
      <c r="B353" s="1" t="n">
        <v>45638.5987037037</v>
      </c>
      <c r="C353" s="1" t="n">
        <v>46088</v>
      </c>
      <c r="D353" t="inlineStr">
        <is>
          <t>STOCKHOLMS LÄN</t>
        </is>
      </c>
      <c r="E353" t="inlineStr">
        <is>
          <t>NORRTÄLJE</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31107-2022</t>
        </is>
      </c>
      <c r="B354" s="1" t="n">
        <v>44769.66864583334</v>
      </c>
      <c r="C354" s="1" t="n">
        <v>46088</v>
      </c>
      <c r="D354" t="inlineStr">
        <is>
          <t>STOCKHOLMS LÄN</t>
        </is>
      </c>
      <c r="E354" t="inlineStr">
        <is>
          <t>NORRTÄLJE</t>
        </is>
      </c>
      <c r="G354" t="n">
        <v>3.8</v>
      </c>
      <c r="H354" t="n">
        <v>0</v>
      </c>
      <c r="I354" t="n">
        <v>0</v>
      </c>
      <c r="J354" t="n">
        <v>0</v>
      </c>
      <c r="K354" t="n">
        <v>0</v>
      </c>
      <c r="L354" t="n">
        <v>0</v>
      </c>
      <c r="M354" t="n">
        <v>0</v>
      </c>
      <c r="N354" t="n">
        <v>0</v>
      </c>
      <c r="O354" t="n">
        <v>0</v>
      </c>
      <c r="P354" t="n">
        <v>0</v>
      </c>
      <c r="Q354" t="n">
        <v>0</v>
      </c>
      <c r="R354" s="2" t="inlineStr"/>
    </row>
    <row r="355" ht="15" customHeight="1">
      <c r="A355" t="inlineStr">
        <is>
          <t>A 20730-2024</t>
        </is>
      </c>
      <c r="B355" s="1" t="n">
        <v>45436</v>
      </c>
      <c r="C355" s="1" t="n">
        <v>46088</v>
      </c>
      <c r="D355" t="inlineStr">
        <is>
          <t>STOCKHOLMS LÄN</t>
        </is>
      </c>
      <c r="E355" t="inlineStr">
        <is>
          <t>NORRTÄLJE</t>
        </is>
      </c>
      <c r="G355" t="n">
        <v>7.3</v>
      </c>
      <c r="H355" t="n">
        <v>0</v>
      </c>
      <c r="I355" t="n">
        <v>0</v>
      </c>
      <c r="J355" t="n">
        <v>0</v>
      </c>
      <c r="K355" t="n">
        <v>0</v>
      </c>
      <c r="L355" t="n">
        <v>0</v>
      </c>
      <c r="M355" t="n">
        <v>0</v>
      </c>
      <c r="N355" t="n">
        <v>0</v>
      </c>
      <c r="O355" t="n">
        <v>0</v>
      </c>
      <c r="P355" t="n">
        <v>0</v>
      </c>
      <c r="Q355" t="n">
        <v>0</v>
      </c>
      <c r="R355" s="2" t="inlineStr"/>
    </row>
    <row r="356" ht="15" customHeight="1">
      <c r="A356" t="inlineStr">
        <is>
          <t>A 13860-2023</t>
        </is>
      </c>
      <c r="B356" s="1" t="n">
        <v>45007</v>
      </c>
      <c r="C356" s="1" t="n">
        <v>46088</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6855-2025</t>
        </is>
      </c>
      <c r="B357" s="1" t="n">
        <v>45700</v>
      </c>
      <c r="C357" s="1" t="n">
        <v>46088</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38720-2025</t>
        </is>
      </c>
      <c r="B358" s="1" t="n">
        <v>45886</v>
      </c>
      <c r="C358" s="1" t="n">
        <v>46088</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13314-2025</t>
        </is>
      </c>
      <c r="B359" s="1" t="n">
        <v>45735.59287037037</v>
      </c>
      <c r="C359" s="1" t="n">
        <v>46088</v>
      </c>
      <c r="D359" t="inlineStr">
        <is>
          <t>STOCKHOLMS LÄN</t>
        </is>
      </c>
      <c r="E359" t="inlineStr">
        <is>
          <t>NORRTÄLJE</t>
        </is>
      </c>
      <c r="G359" t="n">
        <v>2.4</v>
      </c>
      <c r="H359" t="n">
        <v>0</v>
      </c>
      <c r="I359" t="n">
        <v>0</v>
      </c>
      <c r="J359" t="n">
        <v>0</v>
      </c>
      <c r="K359" t="n">
        <v>0</v>
      </c>
      <c r="L359" t="n">
        <v>0</v>
      </c>
      <c r="M359" t="n">
        <v>0</v>
      </c>
      <c r="N359" t="n">
        <v>0</v>
      </c>
      <c r="O359" t="n">
        <v>0</v>
      </c>
      <c r="P359" t="n">
        <v>0</v>
      </c>
      <c r="Q359" t="n">
        <v>0</v>
      </c>
      <c r="R359" s="2" t="inlineStr"/>
    </row>
    <row r="360" ht="15" customHeight="1">
      <c r="A360" t="inlineStr">
        <is>
          <t>A 12901-2024</t>
        </is>
      </c>
      <c r="B360" s="1" t="n">
        <v>45385.37922453704</v>
      </c>
      <c r="C360" s="1" t="n">
        <v>46088</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8950-2025</t>
        </is>
      </c>
      <c r="B361" s="1" t="n">
        <v>45713</v>
      </c>
      <c r="C361" s="1" t="n">
        <v>46088</v>
      </c>
      <c r="D361" t="inlineStr">
        <is>
          <t>STOCKHOLMS LÄN</t>
        </is>
      </c>
      <c r="E361" t="inlineStr">
        <is>
          <t>NORRTÄLJE</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12301-2025</t>
        </is>
      </c>
      <c r="B362" s="1" t="n">
        <v>45729.7271875</v>
      </c>
      <c r="C362" s="1" t="n">
        <v>46088</v>
      </c>
      <c r="D362" t="inlineStr">
        <is>
          <t>STOCKHOLMS LÄN</t>
        </is>
      </c>
      <c r="E362" t="inlineStr">
        <is>
          <t>NORRTÄLJE</t>
        </is>
      </c>
      <c r="G362" t="n">
        <v>3.2</v>
      </c>
      <c r="H362" t="n">
        <v>0</v>
      </c>
      <c r="I362" t="n">
        <v>0</v>
      </c>
      <c r="J362" t="n">
        <v>0</v>
      </c>
      <c r="K362" t="n">
        <v>0</v>
      </c>
      <c r="L362" t="n">
        <v>0</v>
      </c>
      <c r="M362" t="n">
        <v>0</v>
      </c>
      <c r="N362" t="n">
        <v>0</v>
      </c>
      <c r="O362" t="n">
        <v>0</v>
      </c>
      <c r="P362" t="n">
        <v>0</v>
      </c>
      <c r="Q362" t="n">
        <v>0</v>
      </c>
      <c r="R362" s="2" t="inlineStr"/>
    </row>
    <row r="363" ht="15" customHeight="1">
      <c r="A363" t="inlineStr">
        <is>
          <t>A 34432-2021</t>
        </is>
      </c>
      <c r="B363" s="1" t="n">
        <v>44380.77346064815</v>
      </c>
      <c r="C363" s="1" t="n">
        <v>46088</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24351-2025</t>
        </is>
      </c>
      <c r="B364" s="1" t="n">
        <v>45797.58399305555</v>
      </c>
      <c r="C364" s="1" t="n">
        <v>46088</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13283-2025</t>
        </is>
      </c>
      <c r="B365" s="1" t="n">
        <v>45735</v>
      </c>
      <c r="C365" s="1" t="n">
        <v>46088</v>
      </c>
      <c r="D365" t="inlineStr">
        <is>
          <t>STOCKHOLMS LÄN</t>
        </is>
      </c>
      <c r="E365" t="inlineStr">
        <is>
          <t>NORRTÄLJE</t>
        </is>
      </c>
      <c r="G365" t="n">
        <v>4.9</v>
      </c>
      <c r="H365" t="n">
        <v>0</v>
      </c>
      <c r="I365" t="n">
        <v>0</v>
      </c>
      <c r="J365" t="n">
        <v>0</v>
      </c>
      <c r="K365" t="n">
        <v>0</v>
      </c>
      <c r="L365" t="n">
        <v>0</v>
      </c>
      <c r="M365" t="n">
        <v>0</v>
      </c>
      <c r="N365" t="n">
        <v>0</v>
      </c>
      <c r="O365" t="n">
        <v>0</v>
      </c>
      <c r="P365" t="n">
        <v>0</v>
      </c>
      <c r="Q365" t="n">
        <v>0</v>
      </c>
      <c r="R365" s="2" t="inlineStr"/>
    </row>
    <row r="366" ht="15" customHeight="1">
      <c r="A366" t="inlineStr">
        <is>
          <t>A 7308-2026</t>
        </is>
      </c>
      <c r="B366" s="1" t="n">
        <v>46058.66025462963</v>
      </c>
      <c r="C366" s="1" t="n">
        <v>46088</v>
      </c>
      <c r="D366" t="inlineStr">
        <is>
          <t>STOCKHOLMS LÄN</t>
        </is>
      </c>
      <c r="E366" t="inlineStr">
        <is>
          <t>NORRTÄLJE</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24687-2025</t>
        </is>
      </c>
      <c r="B367" s="1" t="n">
        <v>45798.66767361111</v>
      </c>
      <c r="C367" s="1" t="n">
        <v>46088</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23149-2024</t>
        </is>
      </c>
      <c r="B368" s="1" t="n">
        <v>45450.64208333333</v>
      </c>
      <c r="C368" s="1" t="n">
        <v>46088</v>
      </c>
      <c r="D368" t="inlineStr">
        <is>
          <t>STOCKHOLMS LÄN</t>
        </is>
      </c>
      <c r="E368" t="inlineStr">
        <is>
          <t>NORRTÄLJE</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23151-2024</t>
        </is>
      </c>
      <c r="B369" s="1" t="n">
        <v>45450</v>
      </c>
      <c r="C369" s="1" t="n">
        <v>46088</v>
      </c>
      <c r="D369" t="inlineStr">
        <is>
          <t>STOCKHOLMS LÄN</t>
        </is>
      </c>
      <c r="E369" t="inlineStr">
        <is>
          <t>NORRTÄLJE</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38593-2025</t>
        </is>
      </c>
      <c r="B370" s="1" t="n">
        <v>45884.48696759259</v>
      </c>
      <c r="C370" s="1" t="n">
        <v>46088</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24638-2025</t>
        </is>
      </c>
      <c r="B371" s="1" t="n">
        <v>45798</v>
      </c>
      <c r="C371" s="1" t="n">
        <v>46088</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8091-2026</t>
        </is>
      </c>
      <c r="B372" s="1" t="n">
        <v>46063.70944444444</v>
      </c>
      <c r="C372" s="1" t="n">
        <v>46088</v>
      </c>
      <c r="D372" t="inlineStr">
        <is>
          <t>STOCKHOLMS LÄN</t>
        </is>
      </c>
      <c r="E372" t="inlineStr">
        <is>
          <t>NORRTÄLJE</t>
        </is>
      </c>
      <c r="G372" t="n">
        <v>4.7</v>
      </c>
      <c r="H372" t="n">
        <v>0</v>
      </c>
      <c r="I372" t="n">
        <v>0</v>
      </c>
      <c r="J372" t="n">
        <v>0</v>
      </c>
      <c r="K372" t="n">
        <v>0</v>
      </c>
      <c r="L372" t="n">
        <v>0</v>
      </c>
      <c r="M372" t="n">
        <v>0</v>
      </c>
      <c r="N372" t="n">
        <v>0</v>
      </c>
      <c r="O372" t="n">
        <v>0</v>
      </c>
      <c r="P372" t="n">
        <v>0</v>
      </c>
      <c r="Q372" t="n">
        <v>0</v>
      </c>
      <c r="R372" s="2" t="inlineStr"/>
    </row>
    <row r="373" ht="15" customHeight="1">
      <c r="A373" t="inlineStr">
        <is>
          <t>A 52001-2023</t>
        </is>
      </c>
      <c r="B373" s="1" t="n">
        <v>45223</v>
      </c>
      <c r="C373" s="1" t="n">
        <v>46088</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60185-2024</t>
        </is>
      </c>
      <c r="B374" s="1" t="n">
        <v>45642.64634259259</v>
      </c>
      <c r="C374" s="1" t="n">
        <v>46088</v>
      </c>
      <c r="D374" t="inlineStr">
        <is>
          <t>STOCKHOLMS LÄN</t>
        </is>
      </c>
      <c r="E374" t="inlineStr">
        <is>
          <t>NORRTÄLJE</t>
        </is>
      </c>
      <c r="G374" t="n">
        <v>0.3</v>
      </c>
      <c r="H374" t="n">
        <v>0</v>
      </c>
      <c r="I374" t="n">
        <v>0</v>
      </c>
      <c r="J374" t="n">
        <v>0</v>
      </c>
      <c r="K374" t="n">
        <v>0</v>
      </c>
      <c r="L374" t="n">
        <v>0</v>
      </c>
      <c r="M374" t="n">
        <v>0</v>
      </c>
      <c r="N374" t="n">
        <v>0</v>
      </c>
      <c r="O374" t="n">
        <v>0</v>
      </c>
      <c r="P374" t="n">
        <v>0</v>
      </c>
      <c r="Q374" t="n">
        <v>0</v>
      </c>
      <c r="R374" s="2" t="inlineStr"/>
    </row>
    <row r="375" ht="15" customHeight="1">
      <c r="A375" t="inlineStr">
        <is>
          <t>A 48686-2023</t>
        </is>
      </c>
      <c r="B375" s="1" t="n">
        <v>45208</v>
      </c>
      <c r="C375" s="1" t="n">
        <v>46088</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48691-2023</t>
        </is>
      </c>
      <c r="B376" s="1" t="n">
        <v>45208</v>
      </c>
      <c r="C376" s="1" t="n">
        <v>46088</v>
      </c>
      <c r="D376" t="inlineStr">
        <is>
          <t>STOCKHOLMS LÄN</t>
        </is>
      </c>
      <c r="E376" t="inlineStr">
        <is>
          <t>NORRTÄLJE</t>
        </is>
      </c>
      <c r="G376" t="n">
        <v>5.8</v>
      </c>
      <c r="H376" t="n">
        <v>0</v>
      </c>
      <c r="I376" t="n">
        <v>0</v>
      </c>
      <c r="J376" t="n">
        <v>0</v>
      </c>
      <c r="K376" t="n">
        <v>0</v>
      </c>
      <c r="L376" t="n">
        <v>0</v>
      </c>
      <c r="M376" t="n">
        <v>0</v>
      </c>
      <c r="N376" t="n">
        <v>0</v>
      </c>
      <c r="O376" t="n">
        <v>0</v>
      </c>
      <c r="P376" t="n">
        <v>0</v>
      </c>
      <c r="Q376" t="n">
        <v>0</v>
      </c>
      <c r="R376" s="2" t="inlineStr"/>
    </row>
    <row r="377" ht="15" customHeight="1">
      <c r="A377" t="inlineStr">
        <is>
          <t>A 7793-2026</t>
        </is>
      </c>
      <c r="B377" s="1" t="n">
        <v>46062.59496527778</v>
      </c>
      <c r="C377" s="1" t="n">
        <v>46088</v>
      </c>
      <c r="D377" t="inlineStr">
        <is>
          <t>STOCKHOLMS LÄN</t>
        </is>
      </c>
      <c r="E377" t="inlineStr">
        <is>
          <t>NORRTÄLJE</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28603-2024</t>
        </is>
      </c>
      <c r="B378" s="1" t="n">
        <v>45478.42887731481</v>
      </c>
      <c r="C378" s="1" t="n">
        <v>46088</v>
      </c>
      <c r="D378" t="inlineStr">
        <is>
          <t>STOCKHOLMS LÄN</t>
        </is>
      </c>
      <c r="E378" t="inlineStr">
        <is>
          <t>NORRTÄLJE</t>
        </is>
      </c>
      <c r="G378" t="n">
        <v>5.6</v>
      </c>
      <c r="H378" t="n">
        <v>0</v>
      </c>
      <c r="I378" t="n">
        <v>0</v>
      </c>
      <c r="J378" t="n">
        <v>0</v>
      </c>
      <c r="K378" t="n">
        <v>0</v>
      </c>
      <c r="L378" t="n">
        <v>0</v>
      </c>
      <c r="M378" t="n">
        <v>0</v>
      </c>
      <c r="N378" t="n">
        <v>0</v>
      </c>
      <c r="O378" t="n">
        <v>0</v>
      </c>
      <c r="P378" t="n">
        <v>0</v>
      </c>
      <c r="Q378" t="n">
        <v>0</v>
      </c>
      <c r="R378" s="2" t="inlineStr"/>
    </row>
    <row r="379" ht="15" customHeight="1">
      <c r="A379" t="inlineStr">
        <is>
          <t>A 27677-2025</t>
        </is>
      </c>
      <c r="B379" s="1" t="n">
        <v>45813.63650462963</v>
      </c>
      <c r="C379" s="1" t="n">
        <v>46088</v>
      </c>
      <c r="D379" t="inlineStr">
        <is>
          <t>STOCKHOLMS LÄN</t>
        </is>
      </c>
      <c r="E379" t="inlineStr">
        <is>
          <t>NORRTÄLJE</t>
        </is>
      </c>
      <c r="G379" t="n">
        <v>2</v>
      </c>
      <c r="H379" t="n">
        <v>0</v>
      </c>
      <c r="I379" t="n">
        <v>0</v>
      </c>
      <c r="J379" t="n">
        <v>0</v>
      </c>
      <c r="K379" t="n">
        <v>0</v>
      </c>
      <c r="L379" t="n">
        <v>0</v>
      </c>
      <c r="M379" t="n">
        <v>0</v>
      </c>
      <c r="N379" t="n">
        <v>0</v>
      </c>
      <c r="O379" t="n">
        <v>0</v>
      </c>
      <c r="P379" t="n">
        <v>0</v>
      </c>
      <c r="Q379" t="n">
        <v>0</v>
      </c>
      <c r="R379" s="2" t="inlineStr"/>
    </row>
    <row r="380" ht="15" customHeight="1">
      <c r="A380" t="inlineStr">
        <is>
          <t>A 39152-2025</t>
        </is>
      </c>
      <c r="B380" s="1" t="n">
        <v>45888</v>
      </c>
      <c r="C380" s="1" t="n">
        <v>46088</v>
      </c>
      <c r="D380" t="inlineStr">
        <is>
          <t>STOCKHOLMS LÄN</t>
        </is>
      </c>
      <c r="E380" t="inlineStr">
        <is>
          <t>NORRTÄLJE</t>
        </is>
      </c>
      <c r="G380" t="n">
        <v>4.6</v>
      </c>
      <c r="H380" t="n">
        <v>0</v>
      </c>
      <c r="I380" t="n">
        <v>0</v>
      </c>
      <c r="J380" t="n">
        <v>0</v>
      </c>
      <c r="K380" t="n">
        <v>0</v>
      </c>
      <c r="L380" t="n">
        <v>0</v>
      </c>
      <c r="M380" t="n">
        <v>0</v>
      </c>
      <c r="N380" t="n">
        <v>0</v>
      </c>
      <c r="O380" t="n">
        <v>0</v>
      </c>
      <c r="P380" t="n">
        <v>0</v>
      </c>
      <c r="Q380" t="n">
        <v>0</v>
      </c>
      <c r="R380" s="2" t="inlineStr"/>
    </row>
    <row r="381" ht="15" customHeight="1">
      <c r="A381" t="inlineStr">
        <is>
          <t>A 21726-2022</t>
        </is>
      </c>
      <c r="B381" s="1" t="n">
        <v>44708</v>
      </c>
      <c r="C381" s="1" t="n">
        <v>46088</v>
      </c>
      <c r="D381" t="inlineStr">
        <is>
          <t>STOCKHOLMS LÄN</t>
        </is>
      </c>
      <c r="E381" t="inlineStr">
        <is>
          <t>NORRTÄLJE</t>
        </is>
      </c>
      <c r="G381" t="n">
        <v>0.2</v>
      </c>
      <c r="H381" t="n">
        <v>0</v>
      </c>
      <c r="I381" t="n">
        <v>0</v>
      </c>
      <c r="J381" t="n">
        <v>0</v>
      </c>
      <c r="K381" t="n">
        <v>0</v>
      </c>
      <c r="L381" t="n">
        <v>0</v>
      </c>
      <c r="M381" t="n">
        <v>0</v>
      </c>
      <c r="N381" t="n">
        <v>0</v>
      </c>
      <c r="O381" t="n">
        <v>0</v>
      </c>
      <c r="P381" t="n">
        <v>0</v>
      </c>
      <c r="Q381" t="n">
        <v>0</v>
      </c>
      <c r="R381" s="2" t="inlineStr"/>
    </row>
    <row r="382" ht="15" customHeight="1">
      <c r="A382" t="inlineStr">
        <is>
          <t>A 21739-2022</t>
        </is>
      </c>
      <c r="B382" s="1" t="n">
        <v>44708.36708333333</v>
      </c>
      <c r="C382" s="1" t="n">
        <v>46088</v>
      </c>
      <c r="D382" t="inlineStr">
        <is>
          <t>STOCKHOLMS LÄN</t>
        </is>
      </c>
      <c r="E382" t="inlineStr">
        <is>
          <t>NORRTÄLJE</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24690-2025</t>
        </is>
      </c>
      <c r="B383" s="1" t="n">
        <v>45798.67082175926</v>
      </c>
      <c r="C383" s="1" t="n">
        <v>46088</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35210-2023</t>
        </is>
      </c>
      <c r="B384" s="1" t="n">
        <v>45145.63584490741</v>
      </c>
      <c r="C384" s="1" t="n">
        <v>46088</v>
      </c>
      <c r="D384" t="inlineStr">
        <is>
          <t>STOCKHOLMS LÄN</t>
        </is>
      </c>
      <c r="E384" t="inlineStr">
        <is>
          <t>NORRTÄLJE</t>
        </is>
      </c>
      <c r="G384" t="n">
        <v>1.2</v>
      </c>
      <c r="H384" t="n">
        <v>0</v>
      </c>
      <c r="I384" t="n">
        <v>0</v>
      </c>
      <c r="J384" t="n">
        <v>0</v>
      </c>
      <c r="K384" t="n">
        <v>0</v>
      </c>
      <c r="L384" t="n">
        <v>0</v>
      </c>
      <c r="M384" t="n">
        <v>0</v>
      </c>
      <c r="N384" t="n">
        <v>0</v>
      </c>
      <c r="O384" t="n">
        <v>0</v>
      </c>
      <c r="P384" t="n">
        <v>0</v>
      </c>
      <c r="Q384" t="n">
        <v>0</v>
      </c>
      <c r="R384" s="2" t="inlineStr"/>
    </row>
    <row r="385" ht="15" customHeight="1">
      <c r="A385" t="inlineStr">
        <is>
          <t>A 47259-2024</t>
        </is>
      </c>
      <c r="B385" s="1" t="n">
        <v>45586</v>
      </c>
      <c r="C385" s="1" t="n">
        <v>46088</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25702-2025</t>
        </is>
      </c>
      <c r="B386" s="1" t="n">
        <v>45800</v>
      </c>
      <c r="C386" s="1" t="n">
        <v>46088</v>
      </c>
      <c r="D386" t="inlineStr">
        <is>
          <t>STOCKHOLMS LÄN</t>
        </is>
      </c>
      <c r="E386" t="inlineStr">
        <is>
          <t>NORRTÄLJE</t>
        </is>
      </c>
      <c r="G386" t="n">
        <v>5.3</v>
      </c>
      <c r="H386" t="n">
        <v>0</v>
      </c>
      <c r="I386" t="n">
        <v>0</v>
      </c>
      <c r="J386" t="n">
        <v>0</v>
      </c>
      <c r="K386" t="n">
        <v>0</v>
      </c>
      <c r="L386" t="n">
        <v>0</v>
      </c>
      <c r="M386" t="n">
        <v>0</v>
      </c>
      <c r="N386" t="n">
        <v>0</v>
      </c>
      <c r="O386" t="n">
        <v>0</v>
      </c>
      <c r="P386" t="n">
        <v>0</v>
      </c>
      <c r="Q386" t="n">
        <v>0</v>
      </c>
      <c r="R386" s="2" t="inlineStr"/>
    </row>
    <row r="387" ht="15" customHeight="1">
      <c r="A387" t="inlineStr">
        <is>
          <t>A 39149-2025</t>
        </is>
      </c>
      <c r="B387" s="1" t="n">
        <v>45888.60714120371</v>
      </c>
      <c r="C387" s="1" t="n">
        <v>46088</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59767-2022</t>
        </is>
      </c>
      <c r="B388" s="1" t="n">
        <v>44900</v>
      </c>
      <c r="C388" s="1" t="n">
        <v>46088</v>
      </c>
      <c r="D388" t="inlineStr">
        <is>
          <t>STOCKHOLMS LÄN</t>
        </is>
      </c>
      <c r="E388" t="inlineStr">
        <is>
          <t>NORRTÄLJE</t>
        </is>
      </c>
      <c r="G388" t="n">
        <v>2.2</v>
      </c>
      <c r="H388" t="n">
        <v>0</v>
      </c>
      <c r="I388" t="n">
        <v>0</v>
      </c>
      <c r="J388" t="n">
        <v>0</v>
      </c>
      <c r="K388" t="n">
        <v>0</v>
      </c>
      <c r="L388" t="n">
        <v>0</v>
      </c>
      <c r="M388" t="n">
        <v>0</v>
      </c>
      <c r="N388" t="n">
        <v>0</v>
      </c>
      <c r="O388" t="n">
        <v>0</v>
      </c>
      <c r="P388" t="n">
        <v>0</v>
      </c>
      <c r="Q388" t="n">
        <v>0</v>
      </c>
      <c r="R388" s="2" t="inlineStr"/>
    </row>
    <row r="389" ht="15" customHeight="1">
      <c r="A389" t="inlineStr">
        <is>
          <t>A 5823-2023</t>
        </is>
      </c>
      <c r="B389" s="1" t="n">
        <v>44963</v>
      </c>
      <c r="C389" s="1" t="n">
        <v>46088</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19915-2024</t>
        </is>
      </c>
      <c r="B390" s="1" t="n">
        <v>45433.58431712963</v>
      </c>
      <c r="C390" s="1" t="n">
        <v>46088</v>
      </c>
      <c r="D390" t="inlineStr">
        <is>
          <t>STOCKHOLMS LÄN</t>
        </is>
      </c>
      <c r="E390" t="inlineStr">
        <is>
          <t>NORRTÄLJE</t>
        </is>
      </c>
      <c r="G390" t="n">
        <v>2</v>
      </c>
      <c r="H390" t="n">
        <v>0</v>
      </c>
      <c r="I390" t="n">
        <v>0</v>
      </c>
      <c r="J390" t="n">
        <v>0</v>
      </c>
      <c r="K390" t="n">
        <v>0</v>
      </c>
      <c r="L390" t="n">
        <v>0</v>
      </c>
      <c r="M390" t="n">
        <v>0</v>
      </c>
      <c r="N390" t="n">
        <v>0</v>
      </c>
      <c r="O390" t="n">
        <v>0</v>
      </c>
      <c r="P390" t="n">
        <v>0</v>
      </c>
      <c r="Q390" t="n">
        <v>0</v>
      </c>
      <c r="R390" s="2" t="inlineStr"/>
    </row>
    <row r="391" ht="15" customHeight="1">
      <c r="A391" t="inlineStr">
        <is>
          <t>A 15217-2023</t>
        </is>
      </c>
      <c r="B391" s="1" t="n">
        <v>45019.28847222222</v>
      </c>
      <c r="C391" s="1" t="n">
        <v>46088</v>
      </c>
      <c r="D391" t="inlineStr">
        <is>
          <t>STOCKHOLMS LÄN</t>
        </is>
      </c>
      <c r="E391" t="inlineStr">
        <is>
          <t>NORRTÄLJE</t>
        </is>
      </c>
      <c r="G391" t="n">
        <v>3.6</v>
      </c>
      <c r="H391" t="n">
        <v>0</v>
      </c>
      <c r="I391" t="n">
        <v>0</v>
      </c>
      <c r="J391" t="n">
        <v>0</v>
      </c>
      <c r="K391" t="n">
        <v>0</v>
      </c>
      <c r="L391" t="n">
        <v>0</v>
      </c>
      <c r="M391" t="n">
        <v>0</v>
      </c>
      <c r="N391" t="n">
        <v>0</v>
      </c>
      <c r="O391" t="n">
        <v>0</v>
      </c>
      <c r="P391" t="n">
        <v>0</v>
      </c>
      <c r="Q391" t="n">
        <v>0</v>
      </c>
      <c r="R391" s="2" t="inlineStr"/>
    </row>
    <row r="392" ht="15" customHeight="1">
      <c r="A392" t="inlineStr">
        <is>
          <t>A 25712-2025</t>
        </is>
      </c>
      <c r="B392" s="1" t="n">
        <v>45803.69228009259</v>
      </c>
      <c r="C392" s="1" t="n">
        <v>46088</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7723-2026</t>
        </is>
      </c>
      <c r="B393" s="1" t="n">
        <v>46062.49905092592</v>
      </c>
      <c r="C393" s="1" t="n">
        <v>46088</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25733-2025</t>
        </is>
      </c>
      <c r="B394" s="1" t="n">
        <v>45800</v>
      </c>
      <c r="C394" s="1" t="n">
        <v>46088</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50143-2023</t>
        </is>
      </c>
      <c r="B395" s="1" t="n">
        <v>45215</v>
      </c>
      <c r="C395" s="1" t="n">
        <v>46088</v>
      </c>
      <c r="D395" t="inlineStr">
        <is>
          <t>STOCKHOLMS LÄN</t>
        </is>
      </c>
      <c r="E395" t="inlineStr">
        <is>
          <t>NORRTÄLJE</t>
        </is>
      </c>
      <c r="G395" t="n">
        <v>10.3</v>
      </c>
      <c r="H395" t="n">
        <v>0</v>
      </c>
      <c r="I395" t="n">
        <v>0</v>
      </c>
      <c r="J395" t="n">
        <v>0</v>
      </c>
      <c r="K395" t="n">
        <v>0</v>
      </c>
      <c r="L395" t="n">
        <v>0</v>
      </c>
      <c r="M395" t="n">
        <v>0</v>
      </c>
      <c r="N395" t="n">
        <v>0</v>
      </c>
      <c r="O395" t="n">
        <v>0</v>
      </c>
      <c r="P395" t="n">
        <v>0</v>
      </c>
      <c r="Q395" t="n">
        <v>0</v>
      </c>
      <c r="R395" s="2" t="inlineStr"/>
    </row>
    <row r="396" ht="15" customHeight="1">
      <c r="A396" t="inlineStr">
        <is>
          <t>A 39238-2024</t>
        </is>
      </c>
      <c r="B396" s="1" t="n">
        <v>45549</v>
      </c>
      <c r="C396" s="1" t="n">
        <v>46088</v>
      </c>
      <c r="D396" t="inlineStr">
        <is>
          <t>STOCKHOLMS LÄN</t>
        </is>
      </c>
      <c r="E396" t="inlineStr">
        <is>
          <t>NORRTÄLJE</t>
        </is>
      </c>
      <c r="G396" t="n">
        <v>3.6</v>
      </c>
      <c r="H396" t="n">
        <v>0</v>
      </c>
      <c r="I396" t="n">
        <v>0</v>
      </c>
      <c r="J396" t="n">
        <v>0</v>
      </c>
      <c r="K396" t="n">
        <v>0</v>
      </c>
      <c r="L396" t="n">
        <v>0</v>
      </c>
      <c r="M396" t="n">
        <v>0</v>
      </c>
      <c r="N396" t="n">
        <v>0</v>
      </c>
      <c r="O396" t="n">
        <v>0</v>
      </c>
      <c r="P396" t="n">
        <v>0</v>
      </c>
      <c r="Q396" t="n">
        <v>0</v>
      </c>
      <c r="R396" s="2" t="inlineStr"/>
    </row>
    <row r="397" ht="15" customHeight="1">
      <c r="A397" t="inlineStr">
        <is>
          <t>A 29176-2024</t>
        </is>
      </c>
      <c r="B397" s="1" t="n">
        <v>45482.53388888889</v>
      </c>
      <c r="C397" s="1" t="n">
        <v>46088</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25571-2025</t>
        </is>
      </c>
      <c r="B398" s="1" t="n">
        <v>45803.4675</v>
      </c>
      <c r="C398" s="1" t="n">
        <v>46088</v>
      </c>
      <c r="D398" t="inlineStr">
        <is>
          <t>STOCKHOLMS LÄN</t>
        </is>
      </c>
      <c r="E398" t="inlineStr">
        <is>
          <t>NORRTÄLJE</t>
        </is>
      </c>
      <c r="G398" t="n">
        <v>5.4</v>
      </c>
      <c r="H398" t="n">
        <v>0</v>
      </c>
      <c r="I398" t="n">
        <v>0</v>
      </c>
      <c r="J398" t="n">
        <v>0</v>
      </c>
      <c r="K398" t="n">
        <v>0</v>
      </c>
      <c r="L398" t="n">
        <v>0</v>
      </c>
      <c r="M398" t="n">
        <v>0</v>
      </c>
      <c r="N398" t="n">
        <v>0</v>
      </c>
      <c r="O398" t="n">
        <v>0</v>
      </c>
      <c r="P398" t="n">
        <v>0</v>
      </c>
      <c r="Q398" t="n">
        <v>0</v>
      </c>
      <c r="R398" s="2" t="inlineStr"/>
    </row>
    <row r="399" ht="15" customHeight="1">
      <c r="A399" t="inlineStr">
        <is>
          <t>A 25721-2025</t>
        </is>
      </c>
      <c r="B399" s="1" t="n">
        <v>45800</v>
      </c>
      <c r="C399" s="1" t="n">
        <v>46088</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39692-2025</t>
        </is>
      </c>
      <c r="B400" s="1" t="n">
        <v>45890.68083333333</v>
      </c>
      <c r="C400" s="1" t="n">
        <v>46088</v>
      </c>
      <c r="D400" t="inlineStr">
        <is>
          <t>STOCKHOLMS LÄN</t>
        </is>
      </c>
      <c r="E400" t="inlineStr">
        <is>
          <t>NORRTÄLJE</t>
        </is>
      </c>
      <c r="G400" t="n">
        <v>10.5</v>
      </c>
      <c r="H400" t="n">
        <v>0</v>
      </c>
      <c r="I400" t="n">
        <v>0</v>
      </c>
      <c r="J400" t="n">
        <v>0</v>
      </c>
      <c r="K400" t="n">
        <v>0</v>
      </c>
      <c r="L400" t="n">
        <v>0</v>
      </c>
      <c r="M400" t="n">
        <v>0</v>
      </c>
      <c r="N400" t="n">
        <v>0</v>
      </c>
      <c r="O400" t="n">
        <v>0</v>
      </c>
      <c r="P400" t="n">
        <v>0</v>
      </c>
      <c r="Q400" t="n">
        <v>0</v>
      </c>
      <c r="R400" s="2" t="inlineStr"/>
    </row>
    <row r="401" ht="15" customHeight="1">
      <c r="A401" t="inlineStr">
        <is>
          <t>A 36430-2024</t>
        </is>
      </c>
      <c r="B401" s="1" t="n">
        <v>45536</v>
      </c>
      <c r="C401" s="1" t="n">
        <v>46088</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51312-2023</t>
        </is>
      </c>
      <c r="B402" s="1" t="n">
        <v>45219.56697916667</v>
      </c>
      <c r="C402" s="1" t="n">
        <v>46088</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35640-2024</t>
        </is>
      </c>
      <c r="B403" s="1" t="n">
        <v>45531</v>
      </c>
      <c r="C403" s="1" t="n">
        <v>46088</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25697-2025</t>
        </is>
      </c>
      <c r="B404" s="1" t="n">
        <v>45803.66587962963</v>
      </c>
      <c r="C404" s="1" t="n">
        <v>46088</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41218-2024</t>
        </is>
      </c>
      <c r="B405" s="1" t="n">
        <v>45559.54706018518</v>
      </c>
      <c r="C405" s="1" t="n">
        <v>46088</v>
      </c>
      <c r="D405" t="inlineStr">
        <is>
          <t>STOCKHOLMS LÄN</t>
        </is>
      </c>
      <c r="E405" t="inlineStr">
        <is>
          <t>NORRTÄLJE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35639-2025</t>
        </is>
      </c>
      <c r="B406" s="1" t="n">
        <v>45859</v>
      </c>
      <c r="C406" s="1" t="n">
        <v>46088</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43212-2022</t>
        </is>
      </c>
      <c r="B407" s="1" t="n">
        <v>44834.38636574074</v>
      </c>
      <c r="C407" s="1" t="n">
        <v>46088</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51653-2022</t>
        </is>
      </c>
      <c r="B408" s="1" t="n">
        <v>44867</v>
      </c>
      <c r="C408" s="1" t="n">
        <v>46088</v>
      </c>
      <c r="D408" t="inlineStr">
        <is>
          <t>STOCKHOLMS LÄN</t>
        </is>
      </c>
      <c r="E408" t="inlineStr">
        <is>
          <t>NORRTÄLJE</t>
        </is>
      </c>
      <c r="G408" t="n">
        <v>6.6</v>
      </c>
      <c r="H408" t="n">
        <v>0</v>
      </c>
      <c r="I408" t="n">
        <v>0</v>
      </c>
      <c r="J408" t="n">
        <v>0</v>
      </c>
      <c r="K408" t="n">
        <v>0</v>
      </c>
      <c r="L408" t="n">
        <v>0</v>
      </c>
      <c r="M408" t="n">
        <v>0</v>
      </c>
      <c r="N408" t="n">
        <v>0</v>
      </c>
      <c r="O408" t="n">
        <v>0</v>
      </c>
      <c r="P408" t="n">
        <v>0</v>
      </c>
      <c r="Q408" t="n">
        <v>0</v>
      </c>
      <c r="R408" s="2" t="inlineStr"/>
    </row>
    <row r="409" ht="15" customHeight="1">
      <c r="A409" t="inlineStr">
        <is>
          <t>A 35636-2025</t>
        </is>
      </c>
      <c r="B409" s="1" t="n">
        <v>45859</v>
      </c>
      <c r="C409" s="1" t="n">
        <v>46088</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38449-2022</t>
        </is>
      </c>
      <c r="B410" s="1" t="n">
        <v>44813</v>
      </c>
      <c r="C410" s="1" t="n">
        <v>46088</v>
      </c>
      <c r="D410" t="inlineStr">
        <is>
          <t>STOCKHOLMS LÄN</t>
        </is>
      </c>
      <c r="E410" t="inlineStr">
        <is>
          <t>NORRTÄLJE</t>
        </is>
      </c>
      <c r="G410" t="n">
        <v>4.2</v>
      </c>
      <c r="H410" t="n">
        <v>0</v>
      </c>
      <c r="I410" t="n">
        <v>0</v>
      </c>
      <c r="J410" t="n">
        <v>0</v>
      </c>
      <c r="K410" t="n">
        <v>0</v>
      </c>
      <c r="L410" t="n">
        <v>0</v>
      </c>
      <c r="M410" t="n">
        <v>0</v>
      </c>
      <c r="N410" t="n">
        <v>0</v>
      </c>
      <c r="O410" t="n">
        <v>0</v>
      </c>
      <c r="P410" t="n">
        <v>0</v>
      </c>
      <c r="Q410" t="n">
        <v>0</v>
      </c>
      <c r="R410" s="2" t="inlineStr"/>
    </row>
    <row r="411" ht="15" customHeight="1">
      <c r="A411" t="inlineStr">
        <is>
          <t>A 4322-2023</t>
        </is>
      </c>
      <c r="B411" s="1" t="n">
        <v>44953.69298611111</v>
      </c>
      <c r="C411" s="1" t="n">
        <v>46088</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40172-2025</t>
        </is>
      </c>
      <c r="B412" s="1" t="n">
        <v>45894.6353125</v>
      </c>
      <c r="C412" s="1" t="n">
        <v>46088</v>
      </c>
      <c r="D412" t="inlineStr">
        <is>
          <t>STOCKHOLMS LÄN</t>
        </is>
      </c>
      <c r="E412" t="inlineStr">
        <is>
          <t>NORRTÄLJE</t>
        </is>
      </c>
      <c r="G412" t="n">
        <v>6</v>
      </c>
      <c r="H412" t="n">
        <v>0</v>
      </c>
      <c r="I412" t="n">
        <v>0</v>
      </c>
      <c r="J412" t="n">
        <v>0</v>
      </c>
      <c r="K412" t="n">
        <v>0</v>
      </c>
      <c r="L412" t="n">
        <v>0</v>
      </c>
      <c r="M412" t="n">
        <v>0</v>
      </c>
      <c r="N412" t="n">
        <v>0</v>
      </c>
      <c r="O412" t="n">
        <v>0</v>
      </c>
      <c r="P412" t="n">
        <v>0</v>
      </c>
      <c r="Q412" t="n">
        <v>0</v>
      </c>
      <c r="R412" s="2" t="inlineStr"/>
    </row>
    <row r="413" ht="15" customHeight="1">
      <c r="A413" t="inlineStr">
        <is>
          <t>A 40033-2025</t>
        </is>
      </c>
      <c r="B413" s="1" t="n">
        <v>45893</v>
      </c>
      <c r="C413" s="1" t="n">
        <v>46088</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40032-2025</t>
        </is>
      </c>
      <c r="B414" s="1" t="n">
        <v>45893</v>
      </c>
      <c r="C414" s="1" t="n">
        <v>46088</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40292-2025</t>
        </is>
      </c>
      <c r="B415" s="1" t="n">
        <v>45895.3867824074</v>
      </c>
      <c r="C415" s="1" t="n">
        <v>46088</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40294-2025</t>
        </is>
      </c>
      <c r="B416" s="1" t="n">
        <v>45895.38778935185</v>
      </c>
      <c r="C416" s="1" t="n">
        <v>46088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40228-2025</t>
        </is>
      </c>
      <c r="B417" s="1" t="n">
        <v>45894.70854166667</v>
      </c>
      <c r="C417" s="1" t="n">
        <v>46088</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8096-2026</t>
        </is>
      </c>
      <c r="B418" s="1" t="n">
        <v>46063.714375</v>
      </c>
      <c r="C418" s="1" t="n">
        <v>46088</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38990-2022</t>
        </is>
      </c>
      <c r="B419" s="1" t="n">
        <v>44816</v>
      </c>
      <c r="C419" s="1" t="n">
        <v>46088</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53561-2023</t>
        </is>
      </c>
      <c r="B420" s="1" t="n">
        <v>45224</v>
      </c>
      <c r="C420" s="1" t="n">
        <v>46088</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17956-2025</t>
        </is>
      </c>
      <c r="B421" s="1" t="n">
        <v>45760.91174768518</v>
      </c>
      <c r="C421" s="1" t="n">
        <v>46088</v>
      </c>
      <c r="D421" t="inlineStr">
        <is>
          <t>STOCKHOLMS LÄN</t>
        </is>
      </c>
      <c r="E421" t="inlineStr">
        <is>
          <t>NORRTÄLJE</t>
        </is>
      </c>
      <c r="G421" t="n">
        <v>4.3</v>
      </c>
      <c r="H421" t="n">
        <v>0</v>
      </c>
      <c r="I421" t="n">
        <v>0</v>
      </c>
      <c r="J421" t="n">
        <v>0</v>
      </c>
      <c r="K421" t="n">
        <v>0</v>
      </c>
      <c r="L421" t="n">
        <v>0</v>
      </c>
      <c r="M421" t="n">
        <v>0</v>
      </c>
      <c r="N421" t="n">
        <v>0</v>
      </c>
      <c r="O421" t="n">
        <v>0</v>
      </c>
      <c r="P421" t="n">
        <v>0</v>
      </c>
      <c r="Q421" t="n">
        <v>0</v>
      </c>
      <c r="R421" s="2" t="inlineStr"/>
    </row>
    <row r="422" ht="15" customHeight="1">
      <c r="A422" t="inlineStr">
        <is>
          <t>A 875-2023</t>
        </is>
      </c>
      <c r="B422" s="1" t="n">
        <v>44931.65626157408</v>
      </c>
      <c r="C422" s="1" t="n">
        <v>46088</v>
      </c>
      <c r="D422" t="inlineStr">
        <is>
          <t>STOCKHOLMS LÄN</t>
        </is>
      </c>
      <c r="E422" t="inlineStr">
        <is>
          <t>NORRTÄLJE</t>
        </is>
      </c>
      <c r="G422" t="n">
        <v>2.2</v>
      </c>
      <c r="H422" t="n">
        <v>0</v>
      </c>
      <c r="I422" t="n">
        <v>0</v>
      </c>
      <c r="J422" t="n">
        <v>0</v>
      </c>
      <c r="K422" t="n">
        <v>0</v>
      </c>
      <c r="L422" t="n">
        <v>0</v>
      </c>
      <c r="M422" t="n">
        <v>0</v>
      </c>
      <c r="N422" t="n">
        <v>0</v>
      </c>
      <c r="O422" t="n">
        <v>0</v>
      </c>
      <c r="P422" t="n">
        <v>0</v>
      </c>
      <c r="Q422" t="n">
        <v>0</v>
      </c>
      <c r="R422" s="2" t="inlineStr"/>
    </row>
    <row r="423" ht="15" customHeight="1">
      <c r="A423" t="inlineStr">
        <is>
          <t>A 40230-2025</t>
        </is>
      </c>
      <c r="B423" s="1" t="n">
        <v>45894.71101851852</v>
      </c>
      <c r="C423" s="1" t="n">
        <v>46088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31236-2022</t>
        </is>
      </c>
      <c r="B424" s="1" t="n">
        <v>44771</v>
      </c>
      <c r="C424" s="1" t="n">
        <v>46088</v>
      </c>
      <c r="D424" t="inlineStr">
        <is>
          <t>STOCKHOLMS LÄN</t>
        </is>
      </c>
      <c r="E424" t="inlineStr">
        <is>
          <t>NORRTÄLJE</t>
        </is>
      </c>
      <c r="G424" t="n">
        <v>1.7</v>
      </c>
      <c r="H424" t="n">
        <v>0</v>
      </c>
      <c r="I424" t="n">
        <v>0</v>
      </c>
      <c r="J424" t="n">
        <v>0</v>
      </c>
      <c r="K424" t="n">
        <v>0</v>
      </c>
      <c r="L424" t="n">
        <v>0</v>
      </c>
      <c r="M424" t="n">
        <v>0</v>
      </c>
      <c r="N424" t="n">
        <v>0</v>
      </c>
      <c r="O424" t="n">
        <v>0</v>
      </c>
      <c r="P424" t="n">
        <v>0</v>
      </c>
      <c r="Q424" t="n">
        <v>0</v>
      </c>
      <c r="R424" s="2" t="inlineStr"/>
    </row>
    <row r="425" ht="15" customHeight="1">
      <c r="A425" t="inlineStr">
        <is>
          <t>A 8315-2025</t>
        </is>
      </c>
      <c r="B425" s="1" t="n">
        <v>45708.61761574074</v>
      </c>
      <c r="C425" s="1" t="n">
        <v>46088</v>
      </c>
      <c r="D425" t="inlineStr">
        <is>
          <t>STOCKHOLMS LÄN</t>
        </is>
      </c>
      <c r="E425" t="inlineStr">
        <is>
          <t>NORRTÄLJE</t>
        </is>
      </c>
      <c r="G425" t="n">
        <v>3.9</v>
      </c>
      <c r="H425" t="n">
        <v>0</v>
      </c>
      <c r="I425" t="n">
        <v>0</v>
      </c>
      <c r="J425" t="n">
        <v>0</v>
      </c>
      <c r="K425" t="n">
        <v>0</v>
      </c>
      <c r="L425" t="n">
        <v>0</v>
      </c>
      <c r="M425" t="n">
        <v>0</v>
      </c>
      <c r="N425" t="n">
        <v>0</v>
      </c>
      <c r="O425" t="n">
        <v>0</v>
      </c>
      <c r="P425" t="n">
        <v>0</v>
      </c>
      <c r="Q425" t="n">
        <v>0</v>
      </c>
      <c r="R425" s="2" t="inlineStr"/>
    </row>
    <row r="426" ht="15" customHeight="1">
      <c r="A426" t="inlineStr">
        <is>
          <t>A 31281-2022</t>
        </is>
      </c>
      <c r="B426" s="1" t="n">
        <v>44771</v>
      </c>
      <c r="C426" s="1" t="n">
        <v>46088</v>
      </c>
      <c r="D426" t="inlineStr">
        <is>
          <t>STOCKHOLMS LÄN</t>
        </is>
      </c>
      <c r="E426" t="inlineStr">
        <is>
          <t>NORRTÄLJE</t>
        </is>
      </c>
      <c r="F426" t="inlineStr">
        <is>
          <t>Holmen skog AB</t>
        </is>
      </c>
      <c r="G426" t="n">
        <v>5.2</v>
      </c>
      <c r="H426" t="n">
        <v>0</v>
      </c>
      <c r="I426" t="n">
        <v>0</v>
      </c>
      <c r="J426" t="n">
        <v>0</v>
      </c>
      <c r="K426" t="n">
        <v>0</v>
      </c>
      <c r="L426" t="n">
        <v>0</v>
      </c>
      <c r="M426" t="n">
        <v>0</v>
      </c>
      <c r="N426" t="n">
        <v>0</v>
      </c>
      <c r="O426" t="n">
        <v>0</v>
      </c>
      <c r="P426" t="n">
        <v>0</v>
      </c>
      <c r="Q426" t="n">
        <v>0</v>
      </c>
      <c r="R426" s="2" t="inlineStr"/>
    </row>
    <row r="427" ht="15" customHeight="1">
      <c r="A427" t="inlineStr">
        <is>
          <t>A 8055-2026</t>
        </is>
      </c>
      <c r="B427" s="1" t="n">
        <v>46063.62002314815</v>
      </c>
      <c r="C427" s="1" t="n">
        <v>46088</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7729-2026</t>
        </is>
      </c>
      <c r="B428" s="1" t="n">
        <v>46062.51100694444</v>
      </c>
      <c r="C428" s="1" t="n">
        <v>46088</v>
      </c>
      <c r="D428" t="inlineStr">
        <is>
          <t>STOCKHOLMS LÄN</t>
        </is>
      </c>
      <c r="E428" t="inlineStr">
        <is>
          <t>NORRTÄLJE</t>
        </is>
      </c>
      <c r="G428" t="n">
        <v>6.6</v>
      </c>
      <c r="H428" t="n">
        <v>0</v>
      </c>
      <c r="I428" t="n">
        <v>0</v>
      </c>
      <c r="J428" t="n">
        <v>0</v>
      </c>
      <c r="K428" t="n">
        <v>0</v>
      </c>
      <c r="L428" t="n">
        <v>0</v>
      </c>
      <c r="M428" t="n">
        <v>0</v>
      </c>
      <c r="N428" t="n">
        <v>0</v>
      </c>
      <c r="O428" t="n">
        <v>0</v>
      </c>
      <c r="P428" t="n">
        <v>0</v>
      </c>
      <c r="Q428" t="n">
        <v>0</v>
      </c>
      <c r="R428" s="2" t="inlineStr"/>
    </row>
    <row r="429" ht="15" customHeight="1">
      <c r="A429" t="inlineStr">
        <is>
          <t>A 40217-2025</t>
        </is>
      </c>
      <c r="B429" s="1" t="n">
        <v>45894.68864583333</v>
      </c>
      <c r="C429" s="1" t="n">
        <v>46088</v>
      </c>
      <c r="D429" t="inlineStr">
        <is>
          <t>STOCKHOLMS LÄN</t>
        </is>
      </c>
      <c r="E429" t="inlineStr">
        <is>
          <t>NORRTÄLJE</t>
        </is>
      </c>
      <c r="G429" t="n">
        <v>0.8</v>
      </c>
      <c r="H429" t="n">
        <v>0</v>
      </c>
      <c r="I429" t="n">
        <v>0</v>
      </c>
      <c r="J429" t="n">
        <v>0</v>
      </c>
      <c r="K429" t="n">
        <v>0</v>
      </c>
      <c r="L429" t="n">
        <v>0</v>
      </c>
      <c r="M429" t="n">
        <v>0</v>
      </c>
      <c r="N429" t="n">
        <v>0</v>
      </c>
      <c r="O429" t="n">
        <v>0</v>
      </c>
      <c r="P429" t="n">
        <v>0</v>
      </c>
      <c r="Q429" t="n">
        <v>0</v>
      </c>
      <c r="R429" s="2" t="inlineStr"/>
    </row>
    <row r="430" ht="15" customHeight="1">
      <c r="A430" t="inlineStr">
        <is>
          <t>A 40097-2025</t>
        </is>
      </c>
      <c r="B430" s="1" t="n">
        <v>45894.48322916667</v>
      </c>
      <c r="C430" s="1" t="n">
        <v>46088</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40829-2025</t>
        </is>
      </c>
      <c r="B431" s="1" t="n">
        <v>45897.50802083333</v>
      </c>
      <c r="C431" s="1" t="n">
        <v>46088</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40837-2025</t>
        </is>
      </c>
      <c r="B432" s="1" t="n">
        <v>45897.51328703704</v>
      </c>
      <c r="C432" s="1" t="n">
        <v>46088</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40529-2025</t>
        </is>
      </c>
      <c r="B433" s="1" t="n">
        <v>45896.38466435186</v>
      </c>
      <c r="C433" s="1" t="n">
        <v>46088</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18665-2022</t>
        </is>
      </c>
      <c r="B434" s="1" t="n">
        <v>44687</v>
      </c>
      <c r="C434" s="1" t="n">
        <v>46088</v>
      </c>
      <c r="D434" t="inlineStr">
        <is>
          <t>STOCKHOLMS LÄN</t>
        </is>
      </c>
      <c r="E434" t="inlineStr">
        <is>
          <t>NORRTÄLJE</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40831-2025</t>
        </is>
      </c>
      <c r="B435" s="1" t="n">
        <v>45897.51077546296</v>
      </c>
      <c r="C435" s="1" t="n">
        <v>46088</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26051-2025</t>
        </is>
      </c>
      <c r="B436" s="1" t="n">
        <v>45804.74479166666</v>
      </c>
      <c r="C436" s="1" t="n">
        <v>46088</v>
      </c>
      <c r="D436" t="inlineStr">
        <is>
          <t>STOCKHOLMS LÄN</t>
        </is>
      </c>
      <c r="E436" t="inlineStr">
        <is>
          <t>NORRTÄLJE</t>
        </is>
      </c>
      <c r="G436" t="n">
        <v>3.2</v>
      </c>
      <c r="H436" t="n">
        <v>0</v>
      </c>
      <c r="I436" t="n">
        <v>0</v>
      </c>
      <c r="J436" t="n">
        <v>0</v>
      </c>
      <c r="K436" t="n">
        <v>0</v>
      </c>
      <c r="L436" t="n">
        <v>0</v>
      </c>
      <c r="M436" t="n">
        <v>0</v>
      </c>
      <c r="N436" t="n">
        <v>0</v>
      </c>
      <c r="O436" t="n">
        <v>0</v>
      </c>
      <c r="P436" t="n">
        <v>0</v>
      </c>
      <c r="Q436" t="n">
        <v>0</v>
      </c>
      <c r="R436" s="2" t="inlineStr"/>
    </row>
    <row r="437" ht="15" customHeight="1">
      <c r="A437" t="inlineStr">
        <is>
          <t>A 58302-2022</t>
        </is>
      </c>
      <c r="B437" s="1" t="n">
        <v>44901</v>
      </c>
      <c r="C437" s="1" t="n">
        <v>46088</v>
      </c>
      <c r="D437" t="inlineStr">
        <is>
          <t>STOCKHOLMS LÄN</t>
        </is>
      </c>
      <c r="E437" t="inlineStr">
        <is>
          <t>NORRTÄLJE</t>
        </is>
      </c>
      <c r="G437" t="n">
        <v>3.9</v>
      </c>
      <c r="H437" t="n">
        <v>0</v>
      </c>
      <c r="I437" t="n">
        <v>0</v>
      </c>
      <c r="J437" t="n">
        <v>0</v>
      </c>
      <c r="K437" t="n">
        <v>0</v>
      </c>
      <c r="L437" t="n">
        <v>0</v>
      </c>
      <c r="M437" t="n">
        <v>0</v>
      </c>
      <c r="N437" t="n">
        <v>0</v>
      </c>
      <c r="O437" t="n">
        <v>0</v>
      </c>
      <c r="P437" t="n">
        <v>0</v>
      </c>
      <c r="Q437" t="n">
        <v>0</v>
      </c>
      <c r="R437" s="2" t="inlineStr"/>
    </row>
    <row r="438" ht="15" customHeight="1">
      <c r="A438" t="inlineStr">
        <is>
          <t>A 41158-2025</t>
        </is>
      </c>
      <c r="B438" s="1" t="n">
        <v>45898.5315625</v>
      </c>
      <c r="C438" s="1" t="n">
        <v>46088</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15733-2025</t>
        </is>
      </c>
      <c r="B439" s="1" t="n">
        <v>45748</v>
      </c>
      <c r="C439" s="1" t="n">
        <v>46088</v>
      </c>
      <c r="D439" t="inlineStr">
        <is>
          <t>STOCKHOLMS LÄN</t>
        </is>
      </c>
      <c r="E439" t="inlineStr">
        <is>
          <t>NORRTÄLJE</t>
        </is>
      </c>
      <c r="G439" t="n">
        <v>13.3</v>
      </c>
      <c r="H439" t="n">
        <v>0</v>
      </c>
      <c r="I439" t="n">
        <v>0</v>
      </c>
      <c r="J439" t="n">
        <v>0</v>
      </c>
      <c r="K439" t="n">
        <v>0</v>
      </c>
      <c r="L439" t="n">
        <v>0</v>
      </c>
      <c r="M439" t="n">
        <v>0</v>
      </c>
      <c r="N439" t="n">
        <v>0</v>
      </c>
      <c r="O439" t="n">
        <v>0</v>
      </c>
      <c r="P439" t="n">
        <v>0</v>
      </c>
      <c r="Q439" t="n">
        <v>0</v>
      </c>
      <c r="R439" s="2" t="inlineStr"/>
    </row>
    <row r="440" ht="15" customHeight="1">
      <c r="A440" t="inlineStr">
        <is>
          <t>A 26708-2025</t>
        </is>
      </c>
      <c r="B440" s="1" t="n">
        <v>45810.45633101852</v>
      </c>
      <c r="C440" s="1" t="n">
        <v>46088</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38591-2023</t>
        </is>
      </c>
      <c r="B441" s="1" t="n">
        <v>45162</v>
      </c>
      <c r="C441" s="1" t="n">
        <v>46088</v>
      </c>
      <c r="D441" t="inlineStr">
        <is>
          <t>STOCKHOLMS LÄN</t>
        </is>
      </c>
      <c r="E441" t="inlineStr">
        <is>
          <t>NORRTÄLJE</t>
        </is>
      </c>
      <c r="F441" t="inlineStr">
        <is>
          <t>Övriga Aktiebolag</t>
        </is>
      </c>
      <c r="G441" t="n">
        <v>3.1</v>
      </c>
      <c r="H441" t="n">
        <v>0</v>
      </c>
      <c r="I441" t="n">
        <v>0</v>
      </c>
      <c r="J441" t="n">
        <v>0</v>
      </c>
      <c r="K441" t="n">
        <v>0</v>
      </c>
      <c r="L441" t="n">
        <v>0</v>
      </c>
      <c r="M441" t="n">
        <v>0</v>
      </c>
      <c r="N441" t="n">
        <v>0</v>
      </c>
      <c r="O441" t="n">
        <v>0</v>
      </c>
      <c r="P441" t="n">
        <v>0</v>
      </c>
      <c r="Q441" t="n">
        <v>0</v>
      </c>
      <c r="R441" s="2" t="inlineStr"/>
    </row>
    <row r="442" ht="15" customHeight="1">
      <c r="A442" t="inlineStr">
        <is>
          <t>A 19058-2024</t>
        </is>
      </c>
      <c r="B442" s="1" t="n">
        <v>45427.89121527778</v>
      </c>
      <c r="C442" s="1" t="n">
        <v>46088</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30338-2022</t>
        </is>
      </c>
      <c r="B443" s="1" t="n">
        <v>44760</v>
      </c>
      <c r="C443" s="1" t="n">
        <v>46088</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41053-2025</t>
        </is>
      </c>
      <c r="B444" s="1" t="n">
        <v>45898.40480324074</v>
      </c>
      <c r="C444" s="1" t="n">
        <v>46088</v>
      </c>
      <c r="D444" t="inlineStr">
        <is>
          <t>STOCKHOLMS LÄN</t>
        </is>
      </c>
      <c r="E444" t="inlineStr">
        <is>
          <t>NORRTÄLJE</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2888-2022</t>
        </is>
      </c>
      <c r="B445" s="1" t="n">
        <v>44581</v>
      </c>
      <c r="C445" s="1" t="n">
        <v>46088</v>
      </c>
      <c r="D445" t="inlineStr">
        <is>
          <t>STOCKHOLMS LÄN</t>
        </is>
      </c>
      <c r="E445" t="inlineStr">
        <is>
          <t>NORRTÄLJE</t>
        </is>
      </c>
      <c r="G445" t="n">
        <v>2.4</v>
      </c>
      <c r="H445" t="n">
        <v>0</v>
      </c>
      <c r="I445" t="n">
        <v>0</v>
      </c>
      <c r="J445" t="n">
        <v>0</v>
      </c>
      <c r="K445" t="n">
        <v>0</v>
      </c>
      <c r="L445" t="n">
        <v>0</v>
      </c>
      <c r="M445" t="n">
        <v>0</v>
      </c>
      <c r="N445" t="n">
        <v>0</v>
      </c>
      <c r="O445" t="n">
        <v>0</v>
      </c>
      <c r="P445" t="n">
        <v>0</v>
      </c>
      <c r="Q445" t="n">
        <v>0</v>
      </c>
      <c r="R445" s="2" t="inlineStr"/>
    </row>
    <row r="446" ht="15" customHeight="1">
      <c r="A446" t="inlineStr">
        <is>
          <t>A 41275-2025</t>
        </is>
      </c>
      <c r="B446" s="1" t="n">
        <v>45898.62625</v>
      </c>
      <c r="C446" s="1" t="n">
        <v>46088</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41272-2025</t>
        </is>
      </c>
      <c r="B447" s="1" t="n">
        <v>45898.62373842593</v>
      </c>
      <c r="C447" s="1" t="n">
        <v>46088</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52686-2024</t>
        </is>
      </c>
      <c r="B448" s="1" t="n">
        <v>45610.39271990741</v>
      </c>
      <c r="C448" s="1" t="n">
        <v>46088</v>
      </c>
      <c r="D448" t="inlineStr">
        <is>
          <t>STOCKHOLMS LÄN</t>
        </is>
      </c>
      <c r="E448" t="inlineStr">
        <is>
          <t>NORRTÄLJE</t>
        </is>
      </c>
      <c r="G448" t="n">
        <v>5.7</v>
      </c>
      <c r="H448" t="n">
        <v>0</v>
      </c>
      <c r="I448" t="n">
        <v>0</v>
      </c>
      <c r="J448" t="n">
        <v>0</v>
      </c>
      <c r="K448" t="n">
        <v>0</v>
      </c>
      <c r="L448" t="n">
        <v>0</v>
      </c>
      <c r="M448" t="n">
        <v>0</v>
      </c>
      <c r="N448" t="n">
        <v>0</v>
      </c>
      <c r="O448" t="n">
        <v>0</v>
      </c>
      <c r="P448" t="n">
        <v>0</v>
      </c>
      <c r="Q448" t="n">
        <v>0</v>
      </c>
      <c r="R448" s="2" t="inlineStr"/>
    </row>
    <row r="449" ht="15" customHeight="1">
      <c r="A449" t="inlineStr">
        <is>
          <t>A 26702-2025</t>
        </is>
      </c>
      <c r="B449" s="1" t="n">
        <v>45810.45236111111</v>
      </c>
      <c r="C449" s="1" t="n">
        <v>46088</v>
      </c>
      <c r="D449" t="inlineStr">
        <is>
          <t>STOCKHOLMS LÄN</t>
        </is>
      </c>
      <c r="E449" t="inlineStr">
        <is>
          <t>NORRTÄLJE</t>
        </is>
      </c>
      <c r="G449" t="n">
        <v>7.3</v>
      </c>
      <c r="H449" t="n">
        <v>0</v>
      </c>
      <c r="I449" t="n">
        <v>0</v>
      </c>
      <c r="J449" t="n">
        <v>0</v>
      </c>
      <c r="K449" t="n">
        <v>0</v>
      </c>
      <c r="L449" t="n">
        <v>0</v>
      </c>
      <c r="M449" t="n">
        <v>0</v>
      </c>
      <c r="N449" t="n">
        <v>0</v>
      </c>
      <c r="O449" t="n">
        <v>0</v>
      </c>
      <c r="P449" t="n">
        <v>0</v>
      </c>
      <c r="Q449" t="n">
        <v>0</v>
      </c>
      <c r="R449" s="2" t="inlineStr"/>
    </row>
    <row r="450" ht="15" customHeight="1">
      <c r="A450" t="inlineStr">
        <is>
          <t>A 20343-2024</t>
        </is>
      </c>
      <c r="B450" s="1" t="n">
        <v>45435.43466435185</v>
      </c>
      <c r="C450" s="1" t="n">
        <v>46088</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20345-2024</t>
        </is>
      </c>
      <c r="B451" s="1" t="n">
        <v>45435.43820601852</v>
      </c>
      <c r="C451" s="1" t="n">
        <v>46088</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9765-2024</t>
        </is>
      </c>
      <c r="B452" s="1" t="n">
        <v>45362.62811342593</v>
      </c>
      <c r="C452" s="1" t="n">
        <v>46088</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41301-2025</t>
        </is>
      </c>
      <c r="B453" s="1" t="n">
        <v>45898.68826388889</v>
      </c>
      <c r="C453" s="1" t="n">
        <v>46088</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23061-2025</t>
        </is>
      </c>
      <c r="B454" s="1" t="n">
        <v>45790.81410879629</v>
      </c>
      <c r="C454" s="1" t="n">
        <v>46088</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59875-2024</t>
        </is>
      </c>
      <c r="B455" s="1" t="n">
        <v>45640.58716435185</v>
      </c>
      <c r="C455" s="1" t="n">
        <v>46088</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27040-2025</t>
        </is>
      </c>
      <c r="B456" s="1" t="n">
        <v>45811.60451388889</v>
      </c>
      <c r="C456" s="1" t="n">
        <v>46088</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11-2024</t>
        </is>
      </c>
      <c r="B457" s="1" t="n">
        <v>45293</v>
      </c>
      <c r="C457" s="1" t="n">
        <v>46088</v>
      </c>
      <c r="D457" t="inlineStr">
        <is>
          <t>STOCKHOLMS LÄN</t>
        </is>
      </c>
      <c r="E457" t="inlineStr">
        <is>
          <t>NORRTÄLJE</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41174-2025</t>
        </is>
      </c>
      <c r="B458" s="1" t="n">
        <v>45898.54921296296</v>
      </c>
      <c r="C458" s="1" t="n">
        <v>46088</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14559-2024</t>
        </is>
      </c>
      <c r="B459" s="1" t="n">
        <v>45394.72869212963</v>
      </c>
      <c r="C459" s="1" t="n">
        <v>46088</v>
      </c>
      <c r="D459" t="inlineStr">
        <is>
          <t>STOCKHOLMS LÄN</t>
        </is>
      </c>
      <c r="E459" t="inlineStr">
        <is>
          <t>NORRTÄLJE</t>
        </is>
      </c>
      <c r="G459" t="n">
        <v>4.2</v>
      </c>
      <c r="H459" t="n">
        <v>0</v>
      </c>
      <c r="I459" t="n">
        <v>0</v>
      </c>
      <c r="J459" t="n">
        <v>0</v>
      </c>
      <c r="K459" t="n">
        <v>0</v>
      </c>
      <c r="L459" t="n">
        <v>0</v>
      </c>
      <c r="M459" t="n">
        <v>0</v>
      </c>
      <c r="N459" t="n">
        <v>0</v>
      </c>
      <c r="O459" t="n">
        <v>0</v>
      </c>
      <c r="P459" t="n">
        <v>0</v>
      </c>
      <c r="Q459" t="n">
        <v>0</v>
      </c>
      <c r="R459" s="2" t="inlineStr"/>
    </row>
    <row r="460" ht="15" customHeight="1">
      <c r="A460" t="inlineStr">
        <is>
          <t>A 26747-2025</t>
        </is>
      </c>
      <c r="B460" s="1" t="n">
        <v>45810.5333912037</v>
      </c>
      <c r="C460" s="1" t="n">
        <v>46088</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41030-2025</t>
        </is>
      </c>
      <c r="B461" s="1" t="n">
        <v>45898.37636574074</v>
      </c>
      <c r="C461" s="1" t="n">
        <v>46088</v>
      </c>
      <c r="D461" t="inlineStr">
        <is>
          <t>STOCKHOLMS LÄN</t>
        </is>
      </c>
      <c r="E461" t="inlineStr">
        <is>
          <t>NORRTÄLJE</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8489-2026</t>
        </is>
      </c>
      <c r="B462" s="1" t="n">
        <v>46065.48268518518</v>
      </c>
      <c r="C462" s="1" t="n">
        <v>46088</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8433-2022</t>
        </is>
      </c>
      <c r="B463" s="1" t="n">
        <v>44611</v>
      </c>
      <c r="C463" s="1" t="n">
        <v>46088</v>
      </c>
      <c r="D463" t="inlineStr">
        <is>
          <t>STOCKHOLMS LÄN</t>
        </is>
      </c>
      <c r="E463" t="inlineStr">
        <is>
          <t>NORRTÄLJE</t>
        </is>
      </c>
      <c r="G463" t="n">
        <v>0.9</v>
      </c>
      <c r="H463" t="n">
        <v>0</v>
      </c>
      <c r="I463" t="n">
        <v>0</v>
      </c>
      <c r="J463" t="n">
        <v>0</v>
      </c>
      <c r="K463" t="n">
        <v>0</v>
      </c>
      <c r="L463" t="n">
        <v>0</v>
      </c>
      <c r="M463" t="n">
        <v>0</v>
      </c>
      <c r="N463" t="n">
        <v>0</v>
      </c>
      <c r="O463" t="n">
        <v>0</v>
      </c>
      <c r="P463" t="n">
        <v>0</v>
      </c>
      <c r="Q463" t="n">
        <v>0</v>
      </c>
      <c r="R463" s="2" t="inlineStr"/>
    </row>
    <row r="464" ht="15" customHeight="1">
      <c r="A464" t="inlineStr">
        <is>
          <t>A 41036-2025</t>
        </is>
      </c>
      <c r="B464" s="1" t="n">
        <v>45898.38552083333</v>
      </c>
      <c r="C464" s="1" t="n">
        <v>46088</v>
      </c>
      <c r="D464" t="inlineStr">
        <is>
          <t>STOCKHOLMS LÄN</t>
        </is>
      </c>
      <c r="E464" t="inlineStr">
        <is>
          <t>NORRTÄLJE</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41106-2025</t>
        </is>
      </c>
      <c r="B465" s="1" t="n">
        <v>45898.45636574074</v>
      </c>
      <c r="C465" s="1" t="n">
        <v>46088</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41110-2025</t>
        </is>
      </c>
      <c r="B466" s="1" t="n">
        <v>45898.45976851852</v>
      </c>
      <c r="C466" s="1" t="n">
        <v>46088</v>
      </c>
      <c r="D466" t="inlineStr">
        <is>
          <t>STOCKHOLMS LÄN</t>
        </is>
      </c>
      <c r="E466" t="inlineStr">
        <is>
          <t>NORRTÄLJE</t>
        </is>
      </c>
      <c r="F466" t="inlineStr">
        <is>
          <t>Holmen skog AB</t>
        </is>
      </c>
      <c r="G466" t="n">
        <v>6.7</v>
      </c>
      <c r="H466" t="n">
        <v>0</v>
      </c>
      <c r="I466" t="n">
        <v>0</v>
      </c>
      <c r="J466" t="n">
        <v>0</v>
      </c>
      <c r="K466" t="n">
        <v>0</v>
      </c>
      <c r="L466" t="n">
        <v>0</v>
      </c>
      <c r="M466" t="n">
        <v>0</v>
      </c>
      <c r="N466" t="n">
        <v>0</v>
      </c>
      <c r="O466" t="n">
        <v>0</v>
      </c>
      <c r="P466" t="n">
        <v>0</v>
      </c>
      <c r="Q466" t="n">
        <v>0</v>
      </c>
      <c r="R466" s="2" t="inlineStr"/>
    </row>
    <row r="467" ht="15" customHeight="1">
      <c r="A467" t="inlineStr">
        <is>
          <t>A 41259-2025</t>
        </is>
      </c>
      <c r="B467" s="1" t="n">
        <v>45898.61054398148</v>
      </c>
      <c r="C467" s="1" t="n">
        <v>46088</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10511-2025</t>
        </is>
      </c>
      <c r="B468" s="1" t="n">
        <v>45721.40780092592</v>
      </c>
      <c r="C468" s="1" t="n">
        <v>46088</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25525-2022</t>
        </is>
      </c>
      <c r="B469" s="1" t="n">
        <v>44732</v>
      </c>
      <c r="C469" s="1" t="n">
        <v>46088</v>
      </c>
      <c r="D469" t="inlineStr">
        <is>
          <t>STOCKHOLMS LÄN</t>
        </is>
      </c>
      <c r="E469" t="inlineStr">
        <is>
          <t>NORRTÄLJE</t>
        </is>
      </c>
      <c r="G469" t="n">
        <v>2.2</v>
      </c>
      <c r="H469" t="n">
        <v>0</v>
      </c>
      <c r="I469" t="n">
        <v>0</v>
      </c>
      <c r="J469" t="n">
        <v>0</v>
      </c>
      <c r="K469" t="n">
        <v>0</v>
      </c>
      <c r="L469" t="n">
        <v>0</v>
      </c>
      <c r="M469" t="n">
        <v>0</v>
      </c>
      <c r="N469" t="n">
        <v>0</v>
      </c>
      <c r="O469" t="n">
        <v>0</v>
      </c>
      <c r="P469" t="n">
        <v>0</v>
      </c>
      <c r="Q469" t="n">
        <v>0</v>
      </c>
      <c r="R469" s="2" t="inlineStr"/>
    </row>
    <row r="470" ht="15" customHeight="1">
      <c r="A470" t="inlineStr">
        <is>
          <t>A 26675-2025</t>
        </is>
      </c>
      <c r="B470" s="1" t="n">
        <v>45810.42393518519</v>
      </c>
      <c r="C470" s="1" t="n">
        <v>46088</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12302-2025</t>
        </is>
      </c>
      <c r="B471" s="1" t="n">
        <v>45729.72851851852</v>
      </c>
      <c r="C471" s="1" t="n">
        <v>46088</v>
      </c>
      <c r="D471" t="inlineStr">
        <is>
          <t>STOCKHOLMS LÄN</t>
        </is>
      </c>
      <c r="E471" t="inlineStr">
        <is>
          <t>NORRTÄLJE</t>
        </is>
      </c>
      <c r="F471" t="inlineStr">
        <is>
          <t>Holmen skog AB</t>
        </is>
      </c>
      <c r="G471" t="n">
        <v>0.8</v>
      </c>
      <c r="H471" t="n">
        <v>0</v>
      </c>
      <c r="I471" t="n">
        <v>0</v>
      </c>
      <c r="J471" t="n">
        <v>0</v>
      </c>
      <c r="K471" t="n">
        <v>0</v>
      </c>
      <c r="L471" t="n">
        <v>0</v>
      </c>
      <c r="M471" t="n">
        <v>0</v>
      </c>
      <c r="N471" t="n">
        <v>0</v>
      </c>
      <c r="O471" t="n">
        <v>0</v>
      </c>
      <c r="P471" t="n">
        <v>0</v>
      </c>
      <c r="Q471" t="n">
        <v>0</v>
      </c>
      <c r="R471" s="2" t="inlineStr"/>
    </row>
    <row r="472" ht="15" customHeight="1">
      <c r="A472" t="inlineStr">
        <is>
          <t>A 19057-2024</t>
        </is>
      </c>
      <c r="B472" s="1" t="n">
        <v>45427.88731481481</v>
      </c>
      <c r="C472" s="1" t="n">
        <v>46088</v>
      </c>
      <c r="D472" t="inlineStr">
        <is>
          <t>STOCKHOLMS LÄN</t>
        </is>
      </c>
      <c r="E472" t="inlineStr">
        <is>
          <t>NORRTÄLJE</t>
        </is>
      </c>
      <c r="G472" t="n">
        <v>3</v>
      </c>
      <c r="H472" t="n">
        <v>0</v>
      </c>
      <c r="I472" t="n">
        <v>0</v>
      </c>
      <c r="J472" t="n">
        <v>0</v>
      </c>
      <c r="K472" t="n">
        <v>0</v>
      </c>
      <c r="L472" t="n">
        <v>0</v>
      </c>
      <c r="M472" t="n">
        <v>0</v>
      </c>
      <c r="N472" t="n">
        <v>0</v>
      </c>
      <c r="O472" t="n">
        <v>0</v>
      </c>
      <c r="P472" t="n">
        <v>0</v>
      </c>
      <c r="Q472" t="n">
        <v>0</v>
      </c>
      <c r="R472" s="2" t="inlineStr"/>
    </row>
    <row r="473" ht="15" customHeight="1">
      <c r="A473" t="inlineStr">
        <is>
          <t>A 38889-2024</t>
        </is>
      </c>
      <c r="B473" s="1" t="n">
        <v>45547</v>
      </c>
      <c r="C473" s="1" t="n">
        <v>46088</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45451-2024</t>
        </is>
      </c>
      <c r="B474" s="1" t="n">
        <v>45576</v>
      </c>
      <c r="C474" s="1" t="n">
        <v>46088</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27554-2025</t>
        </is>
      </c>
      <c r="B475" s="1" t="n">
        <v>45813.4709375</v>
      </c>
      <c r="C475" s="1" t="n">
        <v>46088</v>
      </c>
      <c r="D475" t="inlineStr">
        <is>
          <t>STOCKHOLMS LÄN</t>
        </is>
      </c>
      <c r="E475" t="inlineStr">
        <is>
          <t>NORRTÄLJE</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41966-2025</t>
        </is>
      </c>
      <c r="B476" s="1" t="n">
        <v>45903.47456018518</v>
      </c>
      <c r="C476" s="1" t="n">
        <v>46088</v>
      </c>
      <c r="D476" t="inlineStr">
        <is>
          <t>STOCKHOLMS LÄN</t>
        </is>
      </c>
      <c r="E476" t="inlineStr">
        <is>
          <t>NORRTÄLJE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42038-2025</t>
        </is>
      </c>
      <c r="B477" s="1" t="n">
        <v>45903.61431712963</v>
      </c>
      <c r="C477" s="1" t="n">
        <v>46088</v>
      </c>
      <c r="D477" t="inlineStr">
        <is>
          <t>STOCKHOLMS LÄN</t>
        </is>
      </c>
      <c r="E477" t="inlineStr">
        <is>
          <t>NORRTÄLJE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41964-2025</t>
        </is>
      </c>
      <c r="B478" s="1" t="n">
        <v>45903.47270833333</v>
      </c>
      <c r="C478" s="1" t="n">
        <v>46088</v>
      </c>
      <c r="D478" t="inlineStr">
        <is>
          <t>STOCKHOLMS LÄN</t>
        </is>
      </c>
      <c r="E478" t="inlineStr">
        <is>
          <t>NORRTÄLJE</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27700-2025</t>
        </is>
      </c>
      <c r="B479" s="1" t="n">
        <v>45813.6799537037</v>
      </c>
      <c r="C479" s="1" t="n">
        <v>46088</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27697-2025</t>
        </is>
      </c>
      <c r="B480" s="1" t="n">
        <v>45813.66961805556</v>
      </c>
      <c r="C480" s="1" t="n">
        <v>46088</v>
      </c>
      <c r="D480" t="inlineStr">
        <is>
          <t>STOCKHOLMS LÄN</t>
        </is>
      </c>
      <c r="E480" t="inlineStr">
        <is>
          <t>NORRTÄLJE</t>
        </is>
      </c>
      <c r="G480" t="n">
        <v>6.2</v>
      </c>
      <c r="H480" t="n">
        <v>0</v>
      </c>
      <c r="I480" t="n">
        <v>0</v>
      </c>
      <c r="J480" t="n">
        <v>0</v>
      </c>
      <c r="K480" t="n">
        <v>0</v>
      </c>
      <c r="L480" t="n">
        <v>0</v>
      </c>
      <c r="M480" t="n">
        <v>0</v>
      </c>
      <c r="N480" t="n">
        <v>0</v>
      </c>
      <c r="O480" t="n">
        <v>0</v>
      </c>
      <c r="P480" t="n">
        <v>0</v>
      </c>
      <c r="Q480" t="n">
        <v>0</v>
      </c>
      <c r="R480" s="2" t="inlineStr"/>
    </row>
    <row r="481" ht="15" customHeight="1">
      <c r="A481" t="inlineStr">
        <is>
          <t>A 27802-2025</t>
        </is>
      </c>
      <c r="B481" s="1" t="n">
        <v>45817.2565625</v>
      </c>
      <c r="C481" s="1" t="n">
        <v>46088</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27806-2025</t>
        </is>
      </c>
      <c r="B482" s="1" t="n">
        <v>45817.30329861111</v>
      </c>
      <c r="C482" s="1" t="n">
        <v>46088</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27808-2025</t>
        </is>
      </c>
      <c r="B483" s="1" t="n">
        <v>45817.31085648148</v>
      </c>
      <c r="C483" s="1" t="n">
        <v>46088</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27810-2025</t>
        </is>
      </c>
      <c r="B484" s="1" t="n">
        <v>45817.31708333334</v>
      </c>
      <c r="C484" s="1" t="n">
        <v>46088</v>
      </c>
      <c r="D484" t="inlineStr">
        <is>
          <t>STOCKHOLMS LÄN</t>
        </is>
      </c>
      <c r="E484" t="inlineStr">
        <is>
          <t>NORRTÄLJE</t>
        </is>
      </c>
      <c r="G484" t="n">
        <v>3.9</v>
      </c>
      <c r="H484" t="n">
        <v>0</v>
      </c>
      <c r="I484" t="n">
        <v>0</v>
      </c>
      <c r="J484" t="n">
        <v>0</v>
      </c>
      <c r="K484" t="n">
        <v>0</v>
      </c>
      <c r="L484" t="n">
        <v>0</v>
      </c>
      <c r="M484" t="n">
        <v>0</v>
      </c>
      <c r="N484" t="n">
        <v>0</v>
      </c>
      <c r="O484" t="n">
        <v>0</v>
      </c>
      <c r="P484" t="n">
        <v>0</v>
      </c>
      <c r="Q484" t="n">
        <v>0</v>
      </c>
      <c r="R484" s="2" t="inlineStr"/>
    </row>
    <row r="485" ht="15" customHeight="1">
      <c r="A485" t="inlineStr">
        <is>
          <t>A 27811-2025</t>
        </is>
      </c>
      <c r="B485" s="1" t="n">
        <v>45817.31986111111</v>
      </c>
      <c r="C485" s="1" t="n">
        <v>46088</v>
      </c>
      <c r="D485" t="inlineStr">
        <is>
          <t>STOCKHOLMS LÄN</t>
        </is>
      </c>
      <c r="E485" t="inlineStr">
        <is>
          <t>NORRTÄLJE</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27818-2025</t>
        </is>
      </c>
      <c r="B486" s="1" t="n">
        <v>45817.33503472222</v>
      </c>
      <c r="C486" s="1" t="n">
        <v>46088</v>
      </c>
      <c r="D486" t="inlineStr">
        <is>
          <t>STOCKHOLMS LÄN</t>
        </is>
      </c>
      <c r="E486" t="inlineStr">
        <is>
          <t>NORRTÄLJE</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30699-2025</t>
        </is>
      </c>
      <c r="B487" s="1" t="n">
        <v>45831.54618055555</v>
      </c>
      <c r="C487" s="1" t="n">
        <v>46088</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26644-2024</t>
        </is>
      </c>
      <c r="B488" s="1" t="n">
        <v>45469</v>
      </c>
      <c r="C488" s="1" t="n">
        <v>46088</v>
      </c>
      <c r="D488" t="inlineStr">
        <is>
          <t>STOCKHOLMS LÄN</t>
        </is>
      </c>
      <c r="E488" t="inlineStr">
        <is>
          <t>NORRTÄLJE</t>
        </is>
      </c>
      <c r="G488" t="n">
        <v>4.3</v>
      </c>
      <c r="H488" t="n">
        <v>0</v>
      </c>
      <c r="I488" t="n">
        <v>0</v>
      </c>
      <c r="J488" t="n">
        <v>0</v>
      </c>
      <c r="K488" t="n">
        <v>0</v>
      </c>
      <c r="L488" t="n">
        <v>0</v>
      </c>
      <c r="M488" t="n">
        <v>0</v>
      </c>
      <c r="N488" t="n">
        <v>0</v>
      </c>
      <c r="O488" t="n">
        <v>0</v>
      </c>
      <c r="P488" t="n">
        <v>0</v>
      </c>
      <c r="Q488" t="n">
        <v>0</v>
      </c>
      <c r="R488" s="2" t="inlineStr"/>
    </row>
    <row r="489" ht="15" customHeight="1">
      <c r="A489" t="inlineStr">
        <is>
          <t>A 27801-2025</t>
        </is>
      </c>
      <c r="B489" s="1" t="n">
        <v>45817.25471064815</v>
      </c>
      <c r="C489" s="1" t="n">
        <v>46088</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27803-2025</t>
        </is>
      </c>
      <c r="B490" s="1" t="n">
        <v>45817.291875</v>
      </c>
      <c r="C490" s="1" t="n">
        <v>46088</v>
      </c>
      <c r="D490" t="inlineStr">
        <is>
          <t>STOCKHOLMS LÄN</t>
        </is>
      </c>
      <c r="E490" t="inlineStr">
        <is>
          <t>NORRTÄLJE</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27813-2025</t>
        </is>
      </c>
      <c r="B491" s="1" t="n">
        <v>45817.32538194444</v>
      </c>
      <c r="C491" s="1" t="n">
        <v>46088</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2982-2023</t>
        </is>
      </c>
      <c r="B492" s="1" t="n">
        <v>44945.67409722223</v>
      </c>
      <c r="C492" s="1" t="n">
        <v>46088</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27821-2025</t>
        </is>
      </c>
      <c r="B493" s="1" t="n">
        <v>45817.34083333334</v>
      </c>
      <c r="C493" s="1" t="n">
        <v>46088</v>
      </c>
      <c r="D493" t="inlineStr">
        <is>
          <t>STOCKHOLMS LÄN</t>
        </is>
      </c>
      <c r="E493" t="inlineStr">
        <is>
          <t>NORRTÄLJE</t>
        </is>
      </c>
      <c r="G493" t="n">
        <v>3.2</v>
      </c>
      <c r="H493" t="n">
        <v>0</v>
      </c>
      <c r="I493" t="n">
        <v>0</v>
      </c>
      <c r="J493" t="n">
        <v>0</v>
      </c>
      <c r="K493" t="n">
        <v>0</v>
      </c>
      <c r="L493" t="n">
        <v>0</v>
      </c>
      <c r="M493" t="n">
        <v>0</v>
      </c>
      <c r="N493" t="n">
        <v>0</v>
      </c>
      <c r="O493" t="n">
        <v>0</v>
      </c>
      <c r="P493" t="n">
        <v>0</v>
      </c>
      <c r="Q493" t="n">
        <v>0</v>
      </c>
      <c r="R493" s="2" t="inlineStr"/>
    </row>
    <row r="494" ht="15" customHeight="1">
      <c r="A494" t="inlineStr">
        <is>
          <t>A 12535-2025</t>
        </is>
      </c>
      <c r="B494" s="1" t="n">
        <v>45730.69502314815</v>
      </c>
      <c r="C494" s="1" t="n">
        <v>46088</v>
      </c>
      <c r="D494" t="inlineStr">
        <is>
          <t>STOCKHOLMS LÄN</t>
        </is>
      </c>
      <c r="E494" t="inlineStr">
        <is>
          <t>NORRTÄLJE</t>
        </is>
      </c>
      <c r="G494" t="n">
        <v>7.1</v>
      </c>
      <c r="H494" t="n">
        <v>0</v>
      </c>
      <c r="I494" t="n">
        <v>0</v>
      </c>
      <c r="J494" t="n">
        <v>0</v>
      </c>
      <c r="K494" t="n">
        <v>0</v>
      </c>
      <c r="L494" t="n">
        <v>0</v>
      </c>
      <c r="M494" t="n">
        <v>0</v>
      </c>
      <c r="N494" t="n">
        <v>0</v>
      </c>
      <c r="O494" t="n">
        <v>0</v>
      </c>
      <c r="P494" t="n">
        <v>0</v>
      </c>
      <c r="Q494" t="n">
        <v>0</v>
      </c>
      <c r="R494" s="2" t="inlineStr"/>
    </row>
    <row r="495" ht="15" customHeight="1">
      <c r="A495" t="inlineStr">
        <is>
          <t>A 8410-2026</t>
        </is>
      </c>
      <c r="B495" s="1" t="n">
        <v>46065.34261574074</v>
      </c>
      <c r="C495" s="1" t="n">
        <v>46088</v>
      </c>
      <c r="D495" t="inlineStr">
        <is>
          <t>STOCKHOLMS LÄN</t>
        </is>
      </c>
      <c r="E495" t="inlineStr">
        <is>
          <t>NORRTÄLJE</t>
        </is>
      </c>
      <c r="G495" t="n">
        <v>3.9</v>
      </c>
      <c r="H495" t="n">
        <v>0</v>
      </c>
      <c r="I495" t="n">
        <v>0</v>
      </c>
      <c r="J495" t="n">
        <v>0</v>
      </c>
      <c r="K495" t="n">
        <v>0</v>
      </c>
      <c r="L495" t="n">
        <v>0</v>
      </c>
      <c r="M495" t="n">
        <v>0</v>
      </c>
      <c r="N495" t="n">
        <v>0</v>
      </c>
      <c r="O495" t="n">
        <v>0</v>
      </c>
      <c r="P495" t="n">
        <v>0</v>
      </c>
      <c r="Q495" t="n">
        <v>0</v>
      </c>
      <c r="R495" s="2" t="inlineStr"/>
    </row>
    <row r="496" ht="15" customHeight="1">
      <c r="A496" t="inlineStr">
        <is>
          <t>A 37136-2023</t>
        </is>
      </c>
      <c r="B496" s="1" t="n">
        <v>45155</v>
      </c>
      <c r="C496" s="1" t="n">
        <v>46088</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20011-2025</t>
        </is>
      </c>
      <c r="B497" s="1" t="n">
        <v>45772.29622685185</v>
      </c>
      <c r="C497" s="1" t="n">
        <v>46088</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42856-2025</t>
        </is>
      </c>
      <c r="B498" s="1" t="n">
        <v>45908</v>
      </c>
      <c r="C498" s="1" t="n">
        <v>46088</v>
      </c>
      <c r="D498" t="inlineStr">
        <is>
          <t>STOCKHOLMS LÄN</t>
        </is>
      </c>
      <c r="E498" t="inlineStr">
        <is>
          <t>NORRTÄLJE</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18787-2022</t>
        </is>
      </c>
      <c r="B499" s="1" t="n">
        <v>44687</v>
      </c>
      <c r="C499" s="1" t="n">
        <v>46088</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13718-2022</t>
        </is>
      </c>
      <c r="B500" s="1" t="n">
        <v>44649</v>
      </c>
      <c r="C500" s="1" t="n">
        <v>46088</v>
      </c>
      <c r="D500" t="inlineStr">
        <is>
          <t>STOCKHOLMS LÄN</t>
        </is>
      </c>
      <c r="E500" t="inlineStr">
        <is>
          <t>NORRTÄLJE</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25621-2022</t>
        </is>
      </c>
      <c r="B501" s="1" t="n">
        <v>44732</v>
      </c>
      <c r="C501" s="1" t="n">
        <v>46088</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15528-2025</t>
        </is>
      </c>
      <c r="B502" s="1" t="n">
        <v>45747.63471064815</v>
      </c>
      <c r="C502" s="1" t="n">
        <v>46088</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11901-2024</t>
        </is>
      </c>
      <c r="B503" s="1" t="n">
        <v>45376.55638888889</v>
      </c>
      <c r="C503" s="1" t="n">
        <v>46088</v>
      </c>
      <c r="D503" t="inlineStr">
        <is>
          <t>STOCKHOLMS LÄN</t>
        </is>
      </c>
      <c r="E503" t="inlineStr">
        <is>
          <t>NORRTÄLJE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36269-2022</t>
        </is>
      </c>
      <c r="B504" s="1" t="n">
        <v>44803</v>
      </c>
      <c r="C504" s="1" t="n">
        <v>46088</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36308-2022</t>
        </is>
      </c>
      <c r="B505" s="1" t="n">
        <v>44803</v>
      </c>
      <c r="C505" s="1" t="n">
        <v>46088</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6919-2025</t>
        </is>
      </c>
      <c r="B506" s="1" t="n">
        <v>45701.44372685185</v>
      </c>
      <c r="C506" s="1" t="n">
        <v>46088</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32100-2022</t>
        </is>
      </c>
      <c r="B507" s="1" t="n">
        <v>44778</v>
      </c>
      <c r="C507" s="1" t="n">
        <v>46088</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11332-2025</t>
        </is>
      </c>
      <c r="B508" s="1" t="n">
        <v>45726.48152777777</v>
      </c>
      <c r="C508" s="1" t="n">
        <v>46088</v>
      </c>
      <c r="D508" t="inlineStr">
        <is>
          <t>STOCKHOLMS LÄN</t>
        </is>
      </c>
      <c r="E508" t="inlineStr">
        <is>
          <t>NORRTÄLJE</t>
        </is>
      </c>
      <c r="G508" t="n">
        <v>4.6</v>
      </c>
      <c r="H508" t="n">
        <v>0</v>
      </c>
      <c r="I508" t="n">
        <v>0</v>
      </c>
      <c r="J508" t="n">
        <v>0</v>
      </c>
      <c r="K508" t="n">
        <v>0</v>
      </c>
      <c r="L508" t="n">
        <v>0</v>
      </c>
      <c r="M508" t="n">
        <v>0</v>
      </c>
      <c r="N508" t="n">
        <v>0</v>
      </c>
      <c r="O508" t="n">
        <v>0</v>
      </c>
      <c r="P508" t="n">
        <v>0</v>
      </c>
      <c r="Q508" t="n">
        <v>0</v>
      </c>
      <c r="R508" s="2" t="inlineStr"/>
    </row>
    <row r="509" ht="15" customHeight="1">
      <c r="A509" t="inlineStr">
        <is>
          <t>A 37444-2021</t>
        </is>
      </c>
      <c r="B509" s="1" t="n">
        <v>44398</v>
      </c>
      <c r="C509" s="1" t="n">
        <v>46088</v>
      </c>
      <c r="D509" t="inlineStr">
        <is>
          <t>STOCKHOLMS LÄN</t>
        </is>
      </c>
      <c r="E509" t="inlineStr">
        <is>
          <t>NORRTÄLJE</t>
        </is>
      </c>
      <c r="F509" t="inlineStr">
        <is>
          <t>Holmen skog AB</t>
        </is>
      </c>
      <c r="G509" t="n">
        <v>3.2</v>
      </c>
      <c r="H509" t="n">
        <v>0</v>
      </c>
      <c r="I509" t="n">
        <v>0</v>
      </c>
      <c r="J509" t="n">
        <v>0</v>
      </c>
      <c r="K509" t="n">
        <v>0</v>
      </c>
      <c r="L509" t="n">
        <v>0</v>
      </c>
      <c r="M509" t="n">
        <v>0</v>
      </c>
      <c r="N509" t="n">
        <v>0</v>
      </c>
      <c r="O509" t="n">
        <v>0</v>
      </c>
      <c r="P509" t="n">
        <v>0</v>
      </c>
      <c r="Q509" t="n">
        <v>0</v>
      </c>
      <c r="R509" s="2" t="inlineStr"/>
    </row>
    <row r="510" ht="15" customHeight="1">
      <c r="A510" t="inlineStr">
        <is>
          <t>A 30886-2022</t>
        </is>
      </c>
      <c r="B510" s="1" t="n">
        <v>44767.60601851852</v>
      </c>
      <c r="C510" s="1" t="n">
        <v>46088</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9654-2022</t>
        </is>
      </c>
      <c r="B511" s="1" t="n">
        <v>44617</v>
      </c>
      <c r="C511" s="1" t="n">
        <v>46088</v>
      </c>
      <c r="D511" t="inlineStr">
        <is>
          <t>STOCKHOLMS LÄN</t>
        </is>
      </c>
      <c r="E511" t="inlineStr">
        <is>
          <t>NORRTÄLJE</t>
        </is>
      </c>
      <c r="G511" t="n">
        <v>6.4</v>
      </c>
      <c r="H511" t="n">
        <v>0</v>
      </c>
      <c r="I511" t="n">
        <v>0</v>
      </c>
      <c r="J511" t="n">
        <v>0</v>
      </c>
      <c r="K511" t="n">
        <v>0</v>
      </c>
      <c r="L511" t="n">
        <v>0</v>
      </c>
      <c r="M511" t="n">
        <v>0</v>
      </c>
      <c r="N511" t="n">
        <v>0</v>
      </c>
      <c r="O511" t="n">
        <v>0</v>
      </c>
      <c r="P511" t="n">
        <v>0</v>
      </c>
      <c r="Q511" t="n">
        <v>0</v>
      </c>
      <c r="R511" s="2" t="inlineStr"/>
    </row>
    <row r="512" ht="15" customHeight="1">
      <c r="A512" t="inlineStr">
        <is>
          <t>A 44075-2023</t>
        </is>
      </c>
      <c r="B512" s="1" t="n">
        <v>45188.41637731482</v>
      </c>
      <c r="C512" s="1" t="n">
        <v>46088</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24835-2025</t>
        </is>
      </c>
      <c r="B513" s="1" t="n">
        <v>45799</v>
      </c>
      <c r="C513" s="1" t="n">
        <v>46088</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1453-2025</t>
        </is>
      </c>
      <c r="B514" s="1" t="n">
        <v>45670.3079050926</v>
      </c>
      <c r="C514" s="1" t="n">
        <v>46088</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5804-2025</t>
        </is>
      </c>
      <c r="B515" s="1" t="n">
        <v>45694.68207175926</v>
      </c>
      <c r="C515" s="1" t="n">
        <v>46088</v>
      </c>
      <c r="D515" t="inlineStr">
        <is>
          <t>STOCKHOLMS LÄN</t>
        </is>
      </c>
      <c r="E515" t="inlineStr">
        <is>
          <t>NORRTÄLJE</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43169-2025</t>
        </is>
      </c>
      <c r="B516" s="1" t="n">
        <v>45910</v>
      </c>
      <c r="C516" s="1" t="n">
        <v>46088</v>
      </c>
      <c r="D516" t="inlineStr">
        <is>
          <t>STOCKHOLMS LÄN</t>
        </is>
      </c>
      <c r="E516" t="inlineStr">
        <is>
          <t>NORRTÄLJE</t>
        </is>
      </c>
      <c r="G516" t="n">
        <v>6.9</v>
      </c>
      <c r="H516" t="n">
        <v>0</v>
      </c>
      <c r="I516" t="n">
        <v>0</v>
      </c>
      <c r="J516" t="n">
        <v>0</v>
      </c>
      <c r="K516" t="n">
        <v>0</v>
      </c>
      <c r="L516" t="n">
        <v>0</v>
      </c>
      <c r="M516" t="n">
        <v>0</v>
      </c>
      <c r="N516" t="n">
        <v>0</v>
      </c>
      <c r="O516" t="n">
        <v>0</v>
      </c>
      <c r="P516" t="n">
        <v>0</v>
      </c>
      <c r="Q516" t="n">
        <v>0</v>
      </c>
      <c r="R516" s="2" t="inlineStr"/>
    </row>
    <row r="517" ht="15" customHeight="1">
      <c r="A517" t="inlineStr">
        <is>
          <t>A 50907-2022</t>
        </is>
      </c>
      <c r="B517" s="1" t="n">
        <v>44867.62090277778</v>
      </c>
      <c r="C517" s="1" t="n">
        <v>46088</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29003-2023</t>
        </is>
      </c>
      <c r="B518" s="1" t="n">
        <v>45104</v>
      </c>
      <c r="C518" s="1" t="n">
        <v>46088</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8454-2026</t>
        </is>
      </c>
      <c r="B519" s="1" t="n">
        <v>46065.42506944444</v>
      </c>
      <c r="C519" s="1" t="n">
        <v>46088</v>
      </c>
      <c r="D519" t="inlineStr">
        <is>
          <t>STOCKHOLMS LÄN</t>
        </is>
      </c>
      <c r="E519" t="inlineStr">
        <is>
          <t>NORRTÄLJE</t>
        </is>
      </c>
      <c r="G519" t="n">
        <v>3.2</v>
      </c>
      <c r="H519" t="n">
        <v>0</v>
      </c>
      <c r="I519" t="n">
        <v>0</v>
      </c>
      <c r="J519" t="n">
        <v>0</v>
      </c>
      <c r="K519" t="n">
        <v>0</v>
      </c>
      <c r="L519" t="n">
        <v>0</v>
      </c>
      <c r="M519" t="n">
        <v>0</v>
      </c>
      <c r="N519" t="n">
        <v>0</v>
      </c>
      <c r="O519" t="n">
        <v>0</v>
      </c>
      <c r="P519" t="n">
        <v>0</v>
      </c>
      <c r="Q519" t="n">
        <v>0</v>
      </c>
      <c r="R519" s="2" t="inlineStr"/>
    </row>
    <row r="520" ht="15" customHeight="1">
      <c r="A520" t="inlineStr">
        <is>
          <t>A 33295-2023</t>
        </is>
      </c>
      <c r="B520" s="1" t="n">
        <v>45127.69371527778</v>
      </c>
      <c r="C520" s="1" t="n">
        <v>46088</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14127-2025</t>
        </is>
      </c>
      <c r="B521" s="1" t="n">
        <v>45740.47055555556</v>
      </c>
      <c r="C521" s="1" t="n">
        <v>46088</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16980-2023</t>
        </is>
      </c>
      <c r="B522" s="1" t="n">
        <v>45033</v>
      </c>
      <c r="C522" s="1" t="n">
        <v>46088</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30719-2025</t>
        </is>
      </c>
      <c r="B523" s="1" t="n">
        <v>45831</v>
      </c>
      <c r="C523" s="1" t="n">
        <v>46088</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43269-2025</t>
        </is>
      </c>
      <c r="B524" s="1" t="n">
        <v>45910.5819212963</v>
      </c>
      <c r="C524" s="1" t="n">
        <v>46088</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32595-2023</t>
        </is>
      </c>
      <c r="B525" s="1" t="n">
        <v>45121</v>
      </c>
      <c r="C525" s="1" t="n">
        <v>46088</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8465-2026</t>
        </is>
      </c>
      <c r="B526" s="1" t="n">
        <v>46065.44141203703</v>
      </c>
      <c r="C526" s="1" t="n">
        <v>46088</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37550-2022</t>
        </is>
      </c>
      <c r="B527" s="1" t="n">
        <v>44809</v>
      </c>
      <c r="C527" s="1" t="n">
        <v>46088</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43916-2025</t>
        </is>
      </c>
      <c r="B528" s="1" t="n">
        <v>45914.78884259259</v>
      </c>
      <c r="C528" s="1" t="n">
        <v>46088</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29250-2025</t>
        </is>
      </c>
      <c r="B529" s="1" t="n">
        <v>45824.37275462963</v>
      </c>
      <c r="C529" s="1" t="n">
        <v>46088</v>
      </c>
      <c r="D529" t="inlineStr">
        <is>
          <t>STOCKHOLMS LÄN</t>
        </is>
      </c>
      <c r="E529" t="inlineStr">
        <is>
          <t>NORRTÄLJE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197-2026</t>
        </is>
      </c>
      <c r="B530" s="1" t="n">
        <v>46026</v>
      </c>
      <c r="C530" s="1" t="n">
        <v>46088</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48161-2022</t>
        </is>
      </c>
      <c r="B531" s="1" t="n">
        <v>44858</v>
      </c>
      <c r="C531" s="1" t="n">
        <v>46088</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48798-2021</t>
        </is>
      </c>
      <c r="B532" s="1" t="n">
        <v>44452</v>
      </c>
      <c r="C532" s="1" t="n">
        <v>46088</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44354-2025</t>
        </is>
      </c>
      <c r="B533" s="1" t="n">
        <v>45916.44655092592</v>
      </c>
      <c r="C533" s="1" t="n">
        <v>46088</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124-2026</t>
        </is>
      </c>
      <c r="B534" s="1" t="n">
        <v>46024.58378472222</v>
      </c>
      <c r="C534" s="1" t="n">
        <v>46088</v>
      </c>
      <c r="D534" t="inlineStr">
        <is>
          <t>STOCKHOLMS LÄN</t>
        </is>
      </c>
      <c r="E534" t="inlineStr">
        <is>
          <t>NORRTÄLJE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12111-2021</t>
        </is>
      </c>
      <c r="B535" s="1" t="n">
        <v>44266</v>
      </c>
      <c r="C535" s="1" t="n">
        <v>46088</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54776-2023</t>
        </is>
      </c>
      <c r="B536" s="1" t="n">
        <v>45236.46369212963</v>
      </c>
      <c r="C536" s="1" t="n">
        <v>46088</v>
      </c>
      <c r="D536" t="inlineStr">
        <is>
          <t>STOCKHOLMS LÄN</t>
        </is>
      </c>
      <c r="E536" t="inlineStr">
        <is>
          <t>NORRTÄLJE</t>
        </is>
      </c>
      <c r="G536" t="n">
        <v>0.3</v>
      </c>
      <c r="H536" t="n">
        <v>0</v>
      </c>
      <c r="I536" t="n">
        <v>0</v>
      </c>
      <c r="J536" t="n">
        <v>0</v>
      </c>
      <c r="K536" t="n">
        <v>0</v>
      </c>
      <c r="L536" t="n">
        <v>0</v>
      </c>
      <c r="M536" t="n">
        <v>0</v>
      </c>
      <c r="N536" t="n">
        <v>0</v>
      </c>
      <c r="O536" t="n">
        <v>0</v>
      </c>
      <c r="P536" t="n">
        <v>0</v>
      </c>
      <c r="Q536" t="n">
        <v>0</v>
      </c>
      <c r="R536" s="2" t="inlineStr"/>
    </row>
    <row r="537" ht="15" customHeight="1">
      <c r="A537" t="inlineStr">
        <is>
          <t>A 57442-2021</t>
        </is>
      </c>
      <c r="B537" s="1" t="n">
        <v>44483</v>
      </c>
      <c r="C537" s="1" t="n">
        <v>46088</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44306-2025</t>
        </is>
      </c>
      <c r="B538" s="1" t="n">
        <v>45916.37736111111</v>
      </c>
      <c r="C538" s="1" t="n">
        <v>46088</v>
      </c>
      <c r="D538" t="inlineStr">
        <is>
          <t>STOCKHOLMS LÄN</t>
        </is>
      </c>
      <c r="E538" t="inlineStr">
        <is>
          <t>NORRTÄLJE</t>
        </is>
      </c>
      <c r="G538" t="n">
        <v>2.8</v>
      </c>
      <c r="H538" t="n">
        <v>0</v>
      </c>
      <c r="I538" t="n">
        <v>0</v>
      </c>
      <c r="J538" t="n">
        <v>0</v>
      </c>
      <c r="K538" t="n">
        <v>0</v>
      </c>
      <c r="L538" t="n">
        <v>0</v>
      </c>
      <c r="M538" t="n">
        <v>0</v>
      </c>
      <c r="N538" t="n">
        <v>0</v>
      </c>
      <c r="O538" t="n">
        <v>0</v>
      </c>
      <c r="P538" t="n">
        <v>0</v>
      </c>
      <c r="Q538" t="n">
        <v>0</v>
      </c>
      <c r="R538" s="2" t="inlineStr"/>
    </row>
    <row r="539" ht="15" customHeight="1">
      <c r="A539" t="inlineStr">
        <is>
          <t>A 44343-2025</t>
        </is>
      </c>
      <c r="B539" s="1" t="n">
        <v>45916.43378472222</v>
      </c>
      <c r="C539" s="1" t="n">
        <v>46088</v>
      </c>
      <c r="D539" t="inlineStr">
        <is>
          <t>STOCKHOLMS LÄN</t>
        </is>
      </c>
      <c r="E539" t="inlineStr">
        <is>
          <t>NORRTÄLJE</t>
        </is>
      </c>
      <c r="G539" t="n">
        <v>1.6</v>
      </c>
      <c r="H539" t="n">
        <v>0</v>
      </c>
      <c r="I539" t="n">
        <v>0</v>
      </c>
      <c r="J539" t="n">
        <v>0</v>
      </c>
      <c r="K539" t="n">
        <v>0</v>
      </c>
      <c r="L539" t="n">
        <v>0</v>
      </c>
      <c r="M539" t="n">
        <v>0</v>
      </c>
      <c r="N539" t="n">
        <v>0</v>
      </c>
      <c r="O539" t="n">
        <v>0</v>
      </c>
      <c r="P539" t="n">
        <v>0</v>
      </c>
      <c r="Q539" t="n">
        <v>0</v>
      </c>
      <c r="R539" s="2" t="inlineStr"/>
    </row>
    <row r="540" ht="15" customHeight="1">
      <c r="A540" t="inlineStr">
        <is>
          <t>A 44349-2025</t>
        </is>
      </c>
      <c r="B540" s="1" t="n">
        <v>45916.43929398148</v>
      </c>
      <c r="C540" s="1" t="n">
        <v>46088</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44311-2025</t>
        </is>
      </c>
      <c r="B541" s="1" t="n">
        <v>45916.38394675926</v>
      </c>
      <c r="C541" s="1" t="n">
        <v>46088</v>
      </c>
      <c r="D541" t="inlineStr">
        <is>
          <t>STOCKHOLMS LÄN</t>
        </is>
      </c>
      <c r="E541" t="inlineStr">
        <is>
          <t>NORRTÄLJE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44333-2025</t>
        </is>
      </c>
      <c r="B542" s="1" t="n">
        <v>45916.42293981482</v>
      </c>
      <c r="C542" s="1" t="n">
        <v>46088</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55952-2024</t>
        </is>
      </c>
      <c r="B543" s="1" t="n">
        <v>45623.62563657408</v>
      </c>
      <c r="C543" s="1" t="n">
        <v>46088</v>
      </c>
      <c r="D543" t="inlineStr">
        <is>
          <t>STOCKHOLMS LÄN</t>
        </is>
      </c>
      <c r="E543" t="inlineStr">
        <is>
          <t>NORRTÄLJE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8135-2025</t>
        </is>
      </c>
      <c r="B544" s="1" t="n">
        <v>45707.84997685185</v>
      </c>
      <c r="C544" s="1" t="n">
        <v>46088</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3383-2023</t>
        </is>
      </c>
      <c r="B545" s="1" t="n">
        <v>44949</v>
      </c>
      <c r="C545" s="1" t="n">
        <v>46088</v>
      </c>
      <c r="D545" t="inlineStr">
        <is>
          <t>STOCKHOLMS LÄN</t>
        </is>
      </c>
      <c r="E545" t="inlineStr">
        <is>
          <t>NORRTÄLJE</t>
        </is>
      </c>
      <c r="G545" t="n">
        <v>14.6</v>
      </c>
      <c r="H545" t="n">
        <v>0</v>
      </c>
      <c r="I545" t="n">
        <v>0</v>
      </c>
      <c r="J545" t="n">
        <v>0</v>
      </c>
      <c r="K545" t="n">
        <v>0</v>
      </c>
      <c r="L545" t="n">
        <v>0</v>
      </c>
      <c r="M545" t="n">
        <v>0</v>
      </c>
      <c r="N545" t="n">
        <v>0</v>
      </c>
      <c r="O545" t="n">
        <v>0</v>
      </c>
      <c r="P545" t="n">
        <v>0</v>
      </c>
      <c r="Q545" t="n">
        <v>0</v>
      </c>
      <c r="R545" s="2" t="inlineStr"/>
    </row>
    <row r="546" ht="15" customHeight="1">
      <c r="A546" t="inlineStr">
        <is>
          <t>A 13148-2021</t>
        </is>
      </c>
      <c r="B546" s="1" t="n">
        <v>44272</v>
      </c>
      <c r="C546" s="1" t="n">
        <v>46088</v>
      </c>
      <c r="D546" t="inlineStr">
        <is>
          <t>STOCKHOLMS LÄN</t>
        </is>
      </c>
      <c r="E546" t="inlineStr">
        <is>
          <t>NORRTÄLJE</t>
        </is>
      </c>
      <c r="G546" t="n">
        <v>12.4</v>
      </c>
      <c r="H546" t="n">
        <v>0</v>
      </c>
      <c r="I546" t="n">
        <v>0</v>
      </c>
      <c r="J546" t="n">
        <v>0</v>
      </c>
      <c r="K546" t="n">
        <v>0</v>
      </c>
      <c r="L546" t="n">
        <v>0</v>
      </c>
      <c r="M546" t="n">
        <v>0</v>
      </c>
      <c r="N546" t="n">
        <v>0</v>
      </c>
      <c r="O546" t="n">
        <v>0</v>
      </c>
      <c r="P546" t="n">
        <v>0</v>
      </c>
      <c r="Q546" t="n">
        <v>0</v>
      </c>
      <c r="R546" s="2" t="inlineStr"/>
    </row>
    <row r="547" ht="15" customHeight="1">
      <c r="A547" t="inlineStr">
        <is>
          <t>A 21732-2023</t>
        </is>
      </c>
      <c r="B547" s="1" t="n">
        <v>45063</v>
      </c>
      <c r="C547" s="1" t="n">
        <v>46088</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23307-2024</t>
        </is>
      </c>
      <c r="B548" s="1" t="n">
        <v>45453</v>
      </c>
      <c r="C548" s="1" t="n">
        <v>46088</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44937-2025</t>
        </is>
      </c>
      <c r="B549" s="1" t="n">
        <v>45918</v>
      </c>
      <c r="C549" s="1" t="n">
        <v>46088</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30639-2025</t>
        </is>
      </c>
      <c r="B550" s="1" t="n">
        <v>45831.4844212963</v>
      </c>
      <c r="C550" s="1" t="n">
        <v>46088</v>
      </c>
      <c r="D550" t="inlineStr">
        <is>
          <t>STOCKHOLMS LÄN</t>
        </is>
      </c>
      <c r="E550" t="inlineStr">
        <is>
          <t>NORRTÄLJE</t>
        </is>
      </c>
      <c r="G550" t="n">
        <v>2</v>
      </c>
      <c r="H550" t="n">
        <v>0</v>
      </c>
      <c r="I550" t="n">
        <v>0</v>
      </c>
      <c r="J550" t="n">
        <v>0</v>
      </c>
      <c r="K550" t="n">
        <v>0</v>
      </c>
      <c r="L550" t="n">
        <v>0</v>
      </c>
      <c r="M550" t="n">
        <v>0</v>
      </c>
      <c r="N550" t="n">
        <v>0</v>
      </c>
      <c r="O550" t="n">
        <v>0</v>
      </c>
      <c r="P550" t="n">
        <v>0</v>
      </c>
      <c r="Q550" t="n">
        <v>0</v>
      </c>
      <c r="R550" s="2" t="inlineStr"/>
    </row>
    <row r="551" ht="15" customHeight="1">
      <c r="A551" t="inlineStr">
        <is>
          <t>A 30668-2025</t>
        </is>
      </c>
      <c r="B551" s="1" t="n">
        <v>45831.51659722222</v>
      </c>
      <c r="C551" s="1" t="n">
        <v>46088</v>
      </c>
      <c r="D551" t="inlineStr">
        <is>
          <t>STOCKHOLMS LÄN</t>
        </is>
      </c>
      <c r="E551" t="inlineStr">
        <is>
          <t>NORRTÄLJE</t>
        </is>
      </c>
      <c r="G551" t="n">
        <v>4.9</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46088</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56428-2023</t>
        </is>
      </c>
      <c r="B553" s="1" t="n">
        <v>45243.45289351852</v>
      </c>
      <c r="C553" s="1" t="n">
        <v>46088</v>
      </c>
      <c r="D553" t="inlineStr">
        <is>
          <t>STOCKHOLMS LÄN</t>
        </is>
      </c>
      <c r="E553" t="inlineStr">
        <is>
          <t>NORRTÄLJE</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22359-2025</t>
        </is>
      </c>
      <c r="B554" s="1" t="n">
        <v>45786</v>
      </c>
      <c r="C554" s="1" t="n">
        <v>46088</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17556-2025</t>
        </is>
      </c>
      <c r="B555" s="1" t="n">
        <v>45757.62482638889</v>
      </c>
      <c r="C555" s="1" t="n">
        <v>46088</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31170-2025</t>
        </is>
      </c>
      <c r="B556" s="1" t="n">
        <v>45832.66385416667</v>
      </c>
      <c r="C556" s="1" t="n">
        <v>46088</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45697-2025</t>
        </is>
      </c>
      <c r="B557" s="1" t="n">
        <v>45923.39877314815</v>
      </c>
      <c r="C557" s="1" t="n">
        <v>46088</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42094-2023</t>
        </is>
      </c>
      <c r="B558" s="1" t="n">
        <v>45177.61498842593</v>
      </c>
      <c r="C558" s="1" t="n">
        <v>46088</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31880-2025</t>
        </is>
      </c>
      <c r="B559" s="1" t="n">
        <v>45834.65538194445</v>
      </c>
      <c r="C559" s="1" t="n">
        <v>46088</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9103-2026</t>
        </is>
      </c>
      <c r="B560" s="1" t="n">
        <v>46069.65039351852</v>
      </c>
      <c r="C560" s="1" t="n">
        <v>46088</v>
      </c>
      <c r="D560" t="inlineStr">
        <is>
          <t>STOCKHOLMS LÄN</t>
        </is>
      </c>
      <c r="E560" t="inlineStr">
        <is>
          <t>NORRTÄLJE</t>
        </is>
      </c>
      <c r="F560" t="inlineStr">
        <is>
          <t>Holmen skog AB</t>
        </is>
      </c>
      <c r="G560" t="n">
        <v>3.6</v>
      </c>
      <c r="H560" t="n">
        <v>0</v>
      </c>
      <c r="I560" t="n">
        <v>0</v>
      </c>
      <c r="J560" t="n">
        <v>0</v>
      </c>
      <c r="K560" t="n">
        <v>0</v>
      </c>
      <c r="L560" t="n">
        <v>0</v>
      </c>
      <c r="M560" t="n">
        <v>0</v>
      </c>
      <c r="N560" t="n">
        <v>0</v>
      </c>
      <c r="O560" t="n">
        <v>0</v>
      </c>
      <c r="P560" t="n">
        <v>0</v>
      </c>
      <c r="Q560" t="n">
        <v>0</v>
      </c>
      <c r="R560" s="2" t="inlineStr"/>
    </row>
    <row r="561" ht="15" customHeight="1">
      <c r="A561" t="inlineStr">
        <is>
          <t>A 32122-2025</t>
        </is>
      </c>
      <c r="B561" s="1" t="n">
        <v>45835.4928125</v>
      </c>
      <c r="C561" s="1" t="n">
        <v>46088</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31868-2025</t>
        </is>
      </c>
      <c r="B562" s="1" t="n">
        <v>45834.6447337963</v>
      </c>
      <c r="C562" s="1" t="n">
        <v>46088</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46415-2025</t>
        </is>
      </c>
      <c r="B563" s="1" t="n">
        <v>45925.58636574074</v>
      </c>
      <c r="C563" s="1" t="n">
        <v>46088</v>
      </c>
      <c r="D563" t="inlineStr">
        <is>
          <t>STOCKHOLMS LÄN</t>
        </is>
      </c>
      <c r="E563" t="inlineStr">
        <is>
          <t>NORRTÄLJE</t>
        </is>
      </c>
      <c r="G563" t="n">
        <v>3.8</v>
      </c>
      <c r="H563" t="n">
        <v>0</v>
      </c>
      <c r="I563" t="n">
        <v>0</v>
      </c>
      <c r="J563" t="n">
        <v>0</v>
      </c>
      <c r="K563" t="n">
        <v>0</v>
      </c>
      <c r="L563" t="n">
        <v>0</v>
      </c>
      <c r="M563" t="n">
        <v>0</v>
      </c>
      <c r="N563" t="n">
        <v>0</v>
      </c>
      <c r="O563" t="n">
        <v>0</v>
      </c>
      <c r="P563" t="n">
        <v>0</v>
      </c>
      <c r="Q563" t="n">
        <v>0</v>
      </c>
      <c r="R563" s="2" t="inlineStr"/>
    </row>
    <row r="564" ht="15" customHeight="1">
      <c r="A564" t="inlineStr">
        <is>
          <t>A 6413-2025</t>
        </is>
      </c>
      <c r="B564" s="1" t="n">
        <v>45699.46283564815</v>
      </c>
      <c r="C564" s="1" t="n">
        <v>46088</v>
      </c>
      <c r="D564" t="inlineStr">
        <is>
          <t>STOCKHOLMS LÄN</t>
        </is>
      </c>
      <c r="E564" t="inlineStr">
        <is>
          <t>NORRTÄLJE</t>
        </is>
      </c>
      <c r="G564" t="n">
        <v>3.6</v>
      </c>
      <c r="H564" t="n">
        <v>0</v>
      </c>
      <c r="I564" t="n">
        <v>0</v>
      </c>
      <c r="J564" t="n">
        <v>0</v>
      </c>
      <c r="K564" t="n">
        <v>0</v>
      </c>
      <c r="L564" t="n">
        <v>0</v>
      </c>
      <c r="M564" t="n">
        <v>0</v>
      </c>
      <c r="N564" t="n">
        <v>0</v>
      </c>
      <c r="O564" t="n">
        <v>0</v>
      </c>
      <c r="P564" t="n">
        <v>0</v>
      </c>
      <c r="Q564" t="n">
        <v>0</v>
      </c>
      <c r="R564" s="2" t="inlineStr"/>
    </row>
    <row r="565" ht="15" customHeight="1">
      <c r="A565" t="inlineStr">
        <is>
          <t>A 32016-2025</t>
        </is>
      </c>
      <c r="B565" s="1" t="n">
        <v>45835</v>
      </c>
      <c r="C565" s="1" t="n">
        <v>46088</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8962-2026</t>
        </is>
      </c>
      <c r="B566" s="1" t="n">
        <v>46069.41644675926</v>
      </c>
      <c r="C566" s="1" t="n">
        <v>46088</v>
      </c>
      <c r="D566" t="inlineStr">
        <is>
          <t>STOCKHOLMS LÄN</t>
        </is>
      </c>
      <c r="E566" t="inlineStr">
        <is>
          <t>NORRTÄLJE</t>
        </is>
      </c>
      <c r="F566" t="inlineStr">
        <is>
          <t>Holmen skog AB</t>
        </is>
      </c>
      <c r="G566" t="n">
        <v>4.1</v>
      </c>
      <c r="H566" t="n">
        <v>0</v>
      </c>
      <c r="I566" t="n">
        <v>0</v>
      </c>
      <c r="J566" t="n">
        <v>0</v>
      </c>
      <c r="K566" t="n">
        <v>0</v>
      </c>
      <c r="L566" t="n">
        <v>0</v>
      </c>
      <c r="M566" t="n">
        <v>0</v>
      </c>
      <c r="N566" t="n">
        <v>0</v>
      </c>
      <c r="O566" t="n">
        <v>0</v>
      </c>
      <c r="P566" t="n">
        <v>0</v>
      </c>
      <c r="Q566" t="n">
        <v>0</v>
      </c>
      <c r="R566" s="2" t="inlineStr"/>
    </row>
    <row r="567" ht="15" customHeight="1">
      <c r="A567" t="inlineStr">
        <is>
          <t>A 8989-2026</t>
        </is>
      </c>
      <c r="B567" s="1" t="n">
        <v>46069.45789351852</v>
      </c>
      <c r="C567" s="1" t="n">
        <v>46088</v>
      </c>
      <c r="D567" t="inlineStr">
        <is>
          <t>STOCKHOLMS LÄN</t>
        </is>
      </c>
      <c r="E567" t="inlineStr">
        <is>
          <t>NORRTÄLJE</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8370-2025</t>
        </is>
      </c>
      <c r="B568" s="1" t="n">
        <v>45708</v>
      </c>
      <c r="C568" s="1" t="n">
        <v>46088</v>
      </c>
      <c r="D568" t="inlineStr">
        <is>
          <t>STOCKHOLMS LÄN</t>
        </is>
      </c>
      <c r="E568" t="inlineStr">
        <is>
          <t>NORRTÄLJE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32283-2025</t>
        </is>
      </c>
      <c r="B569" s="1" t="n">
        <v>45835.68076388889</v>
      </c>
      <c r="C569" s="1" t="n">
        <v>46088</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3299-2022</t>
        </is>
      </c>
      <c r="B570" s="1" t="n">
        <v>44584.91001157407</v>
      </c>
      <c r="C570" s="1" t="n">
        <v>46088</v>
      </c>
      <c r="D570" t="inlineStr">
        <is>
          <t>STOCKHOLMS LÄN</t>
        </is>
      </c>
      <c r="E570" t="inlineStr">
        <is>
          <t>NORRTÄLJE</t>
        </is>
      </c>
      <c r="G570" t="n">
        <v>2.7</v>
      </c>
      <c r="H570" t="n">
        <v>0</v>
      </c>
      <c r="I570" t="n">
        <v>0</v>
      </c>
      <c r="J570" t="n">
        <v>0</v>
      </c>
      <c r="K570" t="n">
        <v>0</v>
      </c>
      <c r="L570" t="n">
        <v>0</v>
      </c>
      <c r="M570" t="n">
        <v>0</v>
      </c>
      <c r="N570" t="n">
        <v>0</v>
      </c>
      <c r="O570" t="n">
        <v>0</v>
      </c>
      <c r="P570" t="n">
        <v>0</v>
      </c>
      <c r="Q570" t="n">
        <v>0</v>
      </c>
      <c r="R570" s="2" t="inlineStr"/>
    </row>
    <row r="571" ht="15" customHeight="1">
      <c r="A571" t="inlineStr">
        <is>
          <t>A 31874-2025</t>
        </is>
      </c>
      <c r="B571" s="1" t="n">
        <v>45834</v>
      </c>
      <c r="C571" s="1" t="n">
        <v>46088</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32094-2025</t>
        </is>
      </c>
      <c r="B572" s="1" t="n">
        <v>45835.46034722222</v>
      </c>
      <c r="C572" s="1" t="n">
        <v>46088</v>
      </c>
      <c r="D572" t="inlineStr">
        <is>
          <t>STOCKHOLMS LÄN</t>
        </is>
      </c>
      <c r="E572" t="inlineStr">
        <is>
          <t>NORRTÄLJE</t>
        </is>
      </c>
      <c r="F572" t="inlineStr">
        <is>
          <t>Holmen skog AB</t>
        </is>
      </c>
      <c r="G572" t="n">
        <v>2.9</v>
      </c>
      <c r="H572" t="n">
        <v>0</v>
      </c>
      <c r="I572" t="n">
        <v>0</v>
      </c>
      <c r="J572" t="n">
        <v>0</v>
      </c>
      <c r="K572" t="n">
        <v>0</v>
      </c>
      <c r="L572" t="n">
        <v>0</v>
      </c>
      <c r="M572" t="n">
        <v>0</v>
      </c>
      <c r="N572" t="n">
        <v>0</v>
      </c>
      <c r="O572" t="n">
        <v>0</v>
      </c>
      <c r="P572" t="n">
        <v>0</v>
      </c>
      <c r="Q572" t="n">
        <v>0</v>
      </c>
      <c r="R572" s="2" t="inlineStr"/>
    </row>
    <row r="573" ht="15" customHeight="1">
      <c r="A573" t="inlineStr">
        <is>
          <t>A 12348-2025</t>
        </is>
      </c>
      <c r="B573" s="1" t="n">
        <v>45730.35026620371</v>
      </c>
      <c r="C573" s="1" t="n">
        <v>46088</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46900-2025</t>
        </is>
      </c>
      <c r="B574" s="1" t="n">
        <v>45929.38712962963</v>
      </c>
      <c r="C574" s="1" t="n">
        <v>46088</v>
      </c>
      <c r="D574" t="inlineStr">
        <is>
          <t>STOCKHOLMS LÄN</t>
        </is>
      </c>
      <c r="E574" t="inlineStr">
        <is>
          <t>NORRTÄLJE</t>
        </is>
      </c>
      <c r="F574" t="inlineStr">
        <is>
          <t>Holmen skog AB</t>
        </is>
      </c>
      <c r="G574" t="n">
        <v>6.2</v>
      </c>
      <c r="H574" t="n">
        <v>0</v>
      </c>
      <c r="I574" t="n">
        <v>0</v>
      </c>
      <c r="J574" t="n">
        <v>0</v>
      </c>
      <c r="K574" t="n">
        <v>0</v>
      </c>
      <c r="L574" t="n">
        <v>0</v>
      </c>
      <c r="M574" t="n">
        <v>0</v>
      </c>
      <c r="N574" t="n">
        <v>0</v>
      </c>
      <c r="O574" t="n">
        <v>0</v>
      </c>
      <c r="P574" t="n">
        <v>0</v>
      </c>
      <c r="Q574" t="n">
        <v>0</v>
      </c>
      <c r="R574" s="2" t="inlineStr"/>
    </row>
    <row r="575" ht="15" customHeight="1">
      <c r="A575" t="inlineStr">
        <is>
          <t>A 17545-2025</t>
        </is>
      </c>
      <c r="B575" s="1" t="n">
        <v>45757.60658564815</v>
      </c>
      <c r="C575" s="1" t="n">
        <v>46088</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32480-2025</t>
        </is>
      </c>
      <c r="B576" s="1" t="n">
        <v>45838.43261574074</v>
      </c>
      <c r="C576" s="1" t="n">
        <v>46088</v>
      </c>
      <c r="D576" t="inlineStr">
        <is>
          <t>STOCKHOLMS LÄN</t>
        </is>
      </c>
      <c r="E576" t="inlineStr">
        <is>
          <t>NORRTÄLJE</t>
        </is>
      </c>
      <c r="F576" t="inlineStr">
        <is>
          <t>Holmen skog AB</t>
        </is>
      </c>
      <c r="G576" t="n">
        <v>0.7</v>
      </c>
      <c r="H576" t="n">
        <v>0</v>
      </c>
      <c r="I576" t="n">
        <v>0</v>
      </c>
      <c r="J576" t="n">
        <v>0</v>
      </c>
      <c r="K576" t="n">
        <v>0</v>
      </c>
      <c r="L576" t="n">
        <v>0</v>
      </c>
      <c r="M576" t="n">
        <v>0</v>
      </c>
      <c r="N576" t="n">
        <v>0</v>
      </c>
      <c r="O576" t="n">
        <v>0</v>
      </c>
      <c r="P576" t="n">
        <v>0</v>
      </c>
      <c r="Q576" t="n">
        <v>0</v>
      </c>
      <c r="R576" s="2" t="inlineStr"/>
    </row>
    <row r="577" ht="15" customHeight="1">
      <c r="A577" t="inlineStr">
        <is>
          <t>A 32872-2025</t>
        </is>
      </c>
      <c r="B577" s="1" t="n">
        <v>45839</v>
      </c>
      <c r="C577" s="1" t="n">
        <v>46088</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25094-2023</t>
        </is>
      </c>
      <c r="B578" s="1" t="n">
        <v>45086.3629050926</v>
      </c>
      <c r="C578" s="1" t="n">
        <v>46088</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32903-2025</t>
        </is>
      </c>
      <c r="B579" s="1" t="n">
        <v>45839.62398148148</v>
      </c>
      <c r="C579" s="1" t="n">
        <v>46088</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36157-2024</t>
        </is>
      </c>
      <c r="B580" s="1" t="n">
        <v>45534.38240740741</v>
      </c>
      <c r="C580" s="1" t="n">
        <v>46088</v>
      </c>
      <c r="D580" t="inlineStr">
        <is>
          <t>STOCKHOLMS LÄN</t>
        </is>
      </c>
      <c r="E580" t="inlineStr">
        <is>
          <t>NORRTÄLJE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32395-2025</t>
        </is>
      </c>
      <c r="B581" s="1" t="n">
        <v>45837.93730324074</v>
      </c>
      <c r="C581" s="1" t="n">
        <v>46088</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32396-2025</t>
        </is>
      </c>
      <c r="B582" s="1" t="n">
        <v>45837</v>
      </c>
      <c r="C582" s="1" t="n">
        <v>46088</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32397-2025</t>
        </is>
      </c>
      <c r="B583" s="1" t="n">
        <v>45837.94081018519</v>
      </c>
      <c r="C583" s="1" t="n">
        <v>46088</v>
      </c>
      <c r="D583" t="inlineStr">
        <is>
          <t>STOCKHOLMS LÄN</t>
        </is>
      </c>
      <c r="E583" t="inlineStr">
        <is>
          <t>NORRTÄLJE</t>
        </is>
      </c>
      <c r="G583" t="n">
        <v>5.9</v>
      </c>
      <c r="H583" t="n">
        <v>0</v>
      </c>
      <c r="I583" t="n">
        <v>0</v>
      </c>
      <c r="J583" t="n">
        <v>0</v>
      </c>
      <c r="K583" t="n">
        <v>0</v>
      </c>
      <c r="L583" t="n">
        <v>0</v>
      </c>
      <c r="M583" t="n">
        <v>0</v>
      </c>
      <c r="N583" t="n">
        <v>0</v>
      </c>
      <c r="O583" t="n">
        <v>0</v>
      </c>
      <c r="P583" t="n">
        <v>0</v>
      </c>
      <c r="Q583" t="n">
        <v>0</v>
      </c>
      <c r="R583" s="2" t="inlineStr"/>
    </row>
    <row r="584" ht="15" customHeight="1">
      <c r="A584" t="inlineStr">
        <is>
          <t>A 47694-2023</t>
        </is>
      </c>
      <c r="B584" s="1" t="n">
        <v>45203.63303240741</v>
      </c>
      <c r="C584" s="1" t="n">
        <v>46088</v>
      </c>
      <c r="D584" t="inlineStr">
        <is>
          <t>STOCKHOLMS LÄN</t>
        </is>
      </c>
      <c r="E584" t="inlineStr">
        <is>
          <t>NORRTÄLJE</t>
        </is>
      </c>
      <c r="G584" t="n">
        <v>5.2</v>
      </c>
      <c r="H584" t="n">
        <v>0</v>
      </c>
      <c r="I584" t="n">
        <v>0</v>
      </c>
      <c r="J584" t="n">
        <v>0</v>
      </c>
      <c r="K584" t="n">
        <v>0</v>
      </c>
      <c r="L584" t="n">
        <v>0</v>
      </c>
      <c r="M584" t="n">
        <v>0</v>
      </c>
      <c r="N584" t="n">
        <v>0</v>
      </c>
      <c r="O584" t="n">
        <v>0</v>
      </c>
      <c r="P584" t="n">
        <v>0</v>
      </c>
      <c r="Q584" t="n">
        <v>0</v>
      </c>
      <c r="R584" s="2" t="inlineStr"/>
    </row>
    <row r="585" ht="15" customHeight="1">
      <c r="A585" t="inlineStr">
        <is>
          <t>A 35256-2025</t>
        </is>
      </c>
      <c r="B585" s="1" t="n">
        <v>45853</v>
      </c>
      <c r="C585" s="1" t="n">
        <v>46088</v>
      </c>
      <c r="D585" t="inlineStr">
        <is>
          <t>STOCKHOLMS LÄN</t>
        </is>
      </c>
      <c r="E585" t="inlineStr">
        <is>
          <t>NORRTÄLJE</t>
        </is>
      </c>
      <c r="G585" t="n">
        <v>6.4</v>
      </c>
      <c r="H585" t="n">
        <v>0</v>
      </c>
      <c r="I585" t="n">
        <v>0</v>
      </c>
      <c r="J585" t="n">
        <v>0</v>
      </c>
      <c r="K585" t="n">
        <v>0</v>
      </c>
      <c r="L585" t="n">
        <v>0</v>
      </c>
      <c r="M585" t="n">
        <v>0</v>
      </c>
      <c r="N585" t="n">
        <v>0</v>
      </c>
      <c r="O585" t="n">
        <v>0</v>
      </c>
      <c r="P585" t="n">
        <v>0</v>
      </c>
      <c r="Q585" t="n">
        <v>0</v>
      </c>
      <c r="R585" s="2" t="inlineStr"/>
    </row>
    <row r="586" ht="15" customHeight="1">
      <c r="A586" t="inlineStr">
        <is>
          <t>A 35532-2024</t>
        </is>
      </c>
      <c r="B586" s="1" t="n">
        <v>45531</v>
      </c>
      <c r="C586" s="1" t="n">
        <v>46088</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1654-2025</t>
        </is>
      </c>
      <c r="B587" s="1" t="n">
        <v>45670.65921296296</v>
      </c>
      <c r="C587" s="1" t="n">
        <v>46088</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62644-2023</t>
        </is>
      </c>
      <c r="B588" s="1" t="n">
        <v>45271</v>
      </c>
      <c r="C588" s="1" t="n">
        <v>46088</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11229-2022</t>
        </is>
      </c>
      <c r="B589" s="1" t="n">
        <v>44629</v>
      </c>
      <c r="C589" s="1" t="n">
        <v>46088</v>
      </c>
      <c r="D589" t="inlineStr">
        <is>
          <t>STOCKHOLMS LÄN</t>
        </is>
      </c>
      <c r="E589" t="inlineStr">
        <is>
          <t>NORRTÄLJE</t>
        </is>
      </c>
      <c r="F589" t="inlineStr">
        <is>
          <t>Övriga Aktiebolag</t>
        </is>
      </c>
      <c r="G589" t="n">
        <v>4.1</v>
      </c>
      <c r="H589" t="n">
        <v>0</v>
      </c>
      <c r="I589" t="n">
        <v>0</v>
      </c>
      <c r="J589" t="n">
        <v>0</v>
      </c>
      <c r="K589" t="n">
        <v>0</v>
      </c>
      <c r="L589" t="n">
        <v>0</v>
      </c>
      <c r="M589" t="n">
        <v>0</v>
      </c>
      <c r="N589" t="n">
        <v>0</v>
      </c>
      <c r="O589" t="n">
        <v>0</v>
      </c>
      <c r="P589" t="n">
        <v>0</v>
      </c>
      <c r="Q589" t="n">
        <v>0</v>
      </c>
      <c r="R589" s="2" t="inlineStr"/>
    </row>
    <row r="590" ht="15" customHeight="1">
      <c r="A590" t="inlineStr">
        <is>
          <t>A 33702-2025</t>
        </is>
      </c>
      <c r="B590" s="1" t="n">
        <v>45841.74596064815</v>
      </c>
      <c r="C590" s="1" t="n">
        <v>46088</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33211-2025</t>
        </is>
      </c>
      <c r="B591" s="1" t="n">
        <v>45840.62755787037</v>
      </c>
      <c r="C591" s="1" t="n">
        <v>46088</v>
      </c>
      <c r="D591" t="inlineStr">
        <is>
          <t>STOCKHOLMS LÄN</t>
        </is>
      </c>
      <c r="E591" t="inlineStr">
        <is>
          <t>NORRTÄLJE</t>
        </is>
      </c>
      <c r="G591" t="n">
        <v>5.1</v>
      </c>
      <c r="H591" t="n">
        <v>0</v>
      </c>
      <c r="I591" t="n">
        <v>0</v>
      </c>
      <c r="J591" t="n">
        <v>0</v>
      </c>
      <c r="K591" t="n">
        <v>0</v>
      </c>
      <c r="L591" t="n">
        <v>0</v>
      </c>
      <c r="M591" t="n">
        <v>0</v>
      </c>
      <c r="N591" t="n">
        <v>0</v>
      </c>
      <c r="O591" t="n">
        <v>0</v>
      </c>
      <c r="P591" t="n">
        <v>0</v>
      </c>
      <c r="Q591" t="n">
        <v>0</v>
      </c>
      <c r="R591" s="2" t="inlineStr"/>
    </row>
    <row r="592" ht="15" customHeight="1">
      <c r="A592" t="inlineStr">
        <is>
          <t>A 57353-2024</t>
        </is>
      </c>
      <c r="B592" s="1" t="n">
        <v>45629.65143518519</v>
      </c>
      <c r="C592" s="1" t="n">
        <v>46088</v>
      </c>
      <c r="D592" t="inlineStr">
        <is>
          <t>STOCKHOLMS LÄN</t>
        </is>
      </c>
      <c r="E592" t="inlineStr">
        <is>
          <t>NORRTÄLJE</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48587-2023</t>
        </is>
      </c>
      <c r="B593" s="1" t="n">
        <v>45208</v>
      </c>
      <c r="C593" s="1" t="n">
        <v>46088</v>
      </c>
      <c r="D593" t="inlineStr">
        <is>
          <t>STOCKHOLMS LÄN</t>
        </is>
      </c>
      <c r="E593" t="inlineStr">
        <is>
          <t>NORRTÄLJE</t>
        </is>
      </c>
      <c r="G593" t="n">
        <v>7</v>
      </c>
      <c r="H593" t="n">
        <v>0</v>
      </c>
      <c r="I593" t="n">
        <v>0</v>
      </c>
      <c r="J593" t="n">
        <v>0</v>
      </c>
      <c r="K593" t="n">
        <v>0</v>
      </c>
      <c r="L593" t="n">
        <v>0</v>
      </c>
      <c r="M593" t="n">
        <v>0</v>
      </c>
      <c r="N593" t="n">
        <v>0</v>
      </c>
      <c r="O593" t="n">
        <v>0</v>
      </c>
      <c r="P593" t="n">
        <v>0</v>
      </c>
      <c r="Q593" t="n">
        <v>0</v>
      </c>
      <c r="R593" s="2" t="inlineStr"/>
    </row>
    <row r="594" ht="15" customHeight="1">
      <c r="A594" t="inlineStr">
        <is>
          <t>A 33265-2025</t>
        </is>
      </c>
      <c r="B594" s="1" t="n">
        <v>45840.67829861111</v>
      </c>
      <c r="C594" s="1" t="n">
        <v>46088</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47498-2025</t>
        </is>
      </c>
      <c r="B595" s="1" t="n">
        <v>45930.8134375</v>
      </c>
      <c r="C595" s="1" t="n">
        <v>46088</v>
      </c>
      <c r="D595" t="inlineStr">
        <is>
          <t>STOCKHOLMS LÄN</t>
        </is>
      </c>
      <c r="E595" t="inlineStr">
        <is>
          <t>NORRTÄLJE</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47460-2025</t>
        </is>
      </c>
      <c r="B596" s="1" t="n">
        <v>45930.66012731481</v>
      </c>
      <c r="C596" s="1" t="n">
        <v>46088</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2549-2022</t>
        </is>
      </c>
      <c r="B597" s="1" t="n">
        <v>44580</v>
      </c>
      <c r="C597" s="1" t="n">
        <v>46088</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47496-2025</t>
        </is>
      </c>
      <c r="B598" s="1" t="n">
        <v>45930.79252314815</v>
      </c>
      <c r="C598" s="1" t="n">
        <v>46088</v>
      </c>
      <c r="D598" t="inlineStr">
        <is>
          <t>STOCKHOLMS LÄN</t>
        </is>
      </c>
      <c r="E598" t="inlineStr">
        <is>
          <t>NORRTÄLJE</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47497-2025</t>
        </is>
      </c>
      <c r="B599" s="1" t="n">
        <v>45930.80217592593</v>
      </c>
      <c r="C599" s="1" t="n">
        <v>46088</v>
      </c>
      <c r="D599" t="inlineStr">
        <is>
          <t>STOCKHOLMS LÄN</t>
        </is>
      </c>
      <c r="E599" t="inlineStr">
        <is>
          <t>NORRTÄLJE</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33552-2025</t>
        </is>
      </c>
      <c r="B600" s="1" t="n">
        <v>45841.5737962963</v>
      </c>
      <c r="C600" s="1" t="n">
        <v>46088</v>
      </c>
      <c r="D600" t="inlineStr">
        <is>
          <t>STOCKHOLMS LÄN</t>
        </is>
      </c>
      <c r="E600" t="inlineStr">
        <is>
          <t>NORRTÄLJE</t>
        </is>
      </c>
      <c r="G600" t="n">
        <v>8.9</v>
      </c>
      <c r="H600" t="n">
        <v>0</v>
      </c>
      <c r="I600" t="n">
        <v>0</v>
      </c>
      <c r="J600" t="n">
        <v>0</v>
      </c>
      <c r="K600" t="n">
        <v>0</v>
      </c>
      <c r="L600" t="n">
        <v>0</v>
      </c>
      <c r="M600" t="n">
        <v>0</v>
      </c>
      <c r="N600" t="n">
        <v>0</v>
      </c>
      <c r="O600" t="n">
        <v>0</v>
      </c>
      <c r="P600" t="n">
        <v>0</v>
      </c>
      <c r="Q600" t="n">
        <v>0</v>
      </c>
      <c r="R600" s="2" t="inlineStr"/>
    </row>
    <row r="601" ht="15" customHeight="1">
      <c r="A601" t="inlineStr">
        <is>
          <t>A 33336-2025</t>
        </is>
      </c>
      <c r="B601" s="1" t="n">
        <v>45841.35611111111</v>
      </c>
      <c r="C601" s="1" t="n">
        <v>46088</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4438-2023</t>
        </is>
      </c>
      <c r="B602" s="1" t="n">
        <v>44956</v>
      </c>
      <c r="C602" s="1" t="n">
        <v>46088</v>
      </c>
      <c r="D602" t="inlineStr">
        <is>
          <t>STOCKHOLMS LÄN</t>
        </is>
      </c>
      <c r="E602" t="inlineStr">
        <is>
          <t>NORRTÄLJE</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33824-2025</t>
        </is>
      </c>
      <c r="B603" s="1" t="n">
        <v>45842.46885416667</v>
      </c>
      <c r="C603" s="1" t="n">
        <v>46088</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47758-2023</t>
        </is>
      </c>
      <c r="B604" s="1" t="n">
        <v>45203.83891203703</v>
      </c>
      <c r="C604" s="1" t="n">
        <v>46088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48360-2025</t>
        </is>
      </c>
      <c r="B605" s="1" t="n">
        <v>45933.66253472222</v>
      </c>
      <c r="C605" s="1" t="n">
        <v>46088</v>
      </c>
      <c r="D605" t="inlineStr">
        <is>
          <t>STOCKHOLMS LÄN</t>
        </is>
      </c>
      <c r="E605" t="inlineStr">
        <is>
          <t>NORRTÄLJE</t>
        </is>
      </c>
      <c r="G605" t="n">
        <v>4.1</v>
      </c>
      <c r="H605" t="n">
        <v>0</v>
      </c>
      <c r="I605" t="n">
        <v>0</v>
      </c>
      <c r="J605" t="n">
        <v>0</v>
      </c>
      <c r="K605" t="n">
        <v>0</v>
      </c>
      <c r="L605" t="n">
        <v>0</v>
      </c>
      <c r="M605" t="n">
        <v>0</v>
      </c>
      <c r="N605" t="n">
        <v>0</v>
      </c>
      <c r="O605" t="n">
        <v>0</v>
      </c>
      <c r="P605" t="n">
        <v>0</v>
      </c>
      <c r="Q605" t="n">
        <v>0</v>
      </c>
      <c r="R605" s="2" t="inlineStr"/>
    </row>
    <row r="606" ht="15" customHeight="1">
      <c r="A606" t="inlineStr">
        <is>
          <t>A 34006-2025</t>
        </is>
      </c>
      <c r="B606" s="1" t="n">
        <v>45844.62609953704</v>
      </c>
      <c r="C606" s="1" t="n">
        <v>46088</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46088</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34139-2025</t>
        </is>
      </c>
      <c r="B608" s="1" t="n">
        <v>45845</v>
      </c>
      <c r="C608" s="1" t="n">
        <v>46088</v>
      </c>
      <c r="D608" t="inlineStr">
        <is>
          <t>STOCKHOLMS LÄN</t>
        </is>
      </c>
      <c r="E608" t="inlineStr">
        <is>
          <t>NORRTÄLJE</t>
        </is>
      </c>
      <c r="G608" t="n">
        <v>5.5</v>
      </c>
      <c r="H608" t="n">
        <v>0</v>
      </c>
      <c r="I608" t="n">
        <v>0</v>
      </c>
      <c r="J608" t="n">
        <v>0</v>
      </c>
      <c r="K608" t="n">
        <v>0</v>
      </c>
      <c r="L608" t="n">
        <v>0</v>
      </c>
      <c r="M608" t="n">
        <v>0</v>
      </c>
      <c r="N608" t="n">
        <v>0</v>
      </c>
      <c r="O608" t="n">
        <v>0</v>
      </c>
      <c r="P608" t="n">
        <v>0</v>
      </c>
      <c r="Q608" t="n">
        <v>0</v>
      </c>
      <c r="R608" s="2" t="inlineStr"/>
    </row>
    <row r="609" ht="15" customHeight="1">
      <c r="A609" t="inlineStr">
        <is>
          <t>A 34010-2025</t>
        </is>
      </c>
      <c r="B609" s="1" t="n">
        <v>45844.91234953704</v>
      </c>
      <c r="C609" s="1" t="n">
        <v>46088</v>
      </c>
      <c r="D609" t="inlineStr">
        <is>
          <t>STOCKHOLMS LÄN</t>
        </is>
      </c>
      <c r="E609" t="inlineStr">
        <is>
          <t>NORRTÄLJE</t>
        </is>
      </c>
      <c r="F609" t="inlineStr">
        <is>
          <t>Övriga Aktiebolag</t>
        </is>
      </c>
      <c r="G609" t="n">
        <v>1.1</v>
      </c>
      <c r="H609" t="n">
        <v>0</v>
      </c>
      <c r="I609" t="n">
        <v>0</v>
      </c>
      <c r="J609" t="n">
        <v>0</v>
      </c>
      <c r="K609" t="n">
        <v>0</v>
      </c>
      <c r="L609" t="n">
        <v>0</v>
      </c>
      <c r="M609" t="n">
        <v>0</v>
      </c>
      <c r="N609" t="n">
        <v>0</v>
      </c>
      <c r="O609" t="n">
        <v>0</v>
      </c>
      <c r="P609" t="n">
        <v>0</v>
      </c>
      <c r="Q609" t="n">
        <v>0</v>
      </c>
      <c r="R609" s="2" t="inlineStr"/>
    </row>
    <row r="610" ht="15" customHeight="1">
      <c r="A610" t="inlineStr">
        <is>
          <t>A 48364-2025</t>
        </is>
      </c>
      <c r="B610" s="1" t="n">
        <v>45933.66796296297</v>
      </c>
      <c r="C610" s="1" t="n">
        <v>46088</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51061-2023</t>
        </is>
      </c>
      <c r="B611" s="1" t="n">
        <v>45218.65849537037</v>
      </c>
      <c r="C611" s="1" t="n">
        <v>46088</v>
      </c>
      <c r="D611" t="inlineStr">
        <is>
          <t>STOCKHOLMS LÄN</t>
        </is>
      </c>
      <c r="E611" t="inlineStr">
        <is>
          <t>NORRTÄLJE</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36689-2023</t>
        </is>
      </c>
      <c r="B612" s="1" t="n">
        <v>45152</v>
      </c>
      <c r="C612" s="1" t="n">
        <v>46088</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46073-2024</t>
        </is>
      </c>
      <c r="B613" s="1" t="n">
        <v>45581</v>
      </c>
      <c r="C613" s="1" t="n">
        <v>46088</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22697-2022</t>
        </is>
      </c>
      <c r="B614" s="1" t="n">
        <v>44714.56040509259</v>
      </c>
      <c r="C614" s="1" t="n">
        <v>46088</v>
      </c>
      <c r="D614" t="inlineStr">
        <is>
          <t>STOCKHOLMS LÄN</t>
        </is>
      </c>
      <c r="E614" t="inlineStr">
        <is>
          <t>NORRTÄLJE</t>
        </is>
      </c>
      <c r="G614" t="n">
        <v>5.6</v>
      </c>
      <c r="H614" t="n">
        <v>0</v>
      </c>
      <c r="I614" t="n">
        <v>0</v>
      </c>
      <c r="J614" t="n">
        <v>0</v>
      </c>
      <c r="K614" t="n">
        <v>0</v>
      </c>
      <c r="L614" t="n">
        <v>0</v>
      </c>
      <c r="M614" t="n">
        <v>0</v>
      </c>
      <c r="N614" t="n">
        <v>0</v>
      </c>
      <c r="O614" t="n">
        <v>0</v>
      </c>
      <c r="P614" t="n">
        <v>0</v>
      </c>
      <c r="Q614" t="n">
        <v>0</v>
      </c>
      <c r="R614" s="2" t="inlineStr"/>
    </row>
    <row r="615" ht="15" customHeight="1">
      <c r="A615" t="inlineStr">
        <is>
          <t>A 45549-2022</t>
        </is>
      </c>
      <c r="B615" s="1" t="n">
        <v>44845.48064814815</v>
      </c>
      <c r="C615" s="1" t="n">
        <v>46088</v>
      </c>
      <c r="D615" t="inlineStr">
        <is>
          <t>STOCKHOLMS LÄN</t>
        </is>
      </c>
      <c r="E615" t="inlineStr">
        <is>
          <t>NORRTÄLJE</t>
        </is>
      </c>
      <c r="G615" t="n">
        <v>0.8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46088</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24727-2023</t>
        </is>
      </c>
      <c r="B617" s="1" t="n">
        <v>45084.57695601852</v>
      </c>
      <c r="C617" s="1" t="n">
        <v>46088</v>
      </c>
      <c r="D617" t="inlineStr">
        <is>
          <t>STOCKHOLMS LÄN</t>
        </is>
      </c>
      <c r="E617" t="inlineStr">
        <is>
          <t>NORRTÄLJE</t>
        </is>
      </c>
      <c r="F617" t="inlineStr">
        <is>
          <t>Holmen skog AB</t>
        </is>
      </c>
      <c r="G617" t="n">
        <v>2.2</v>
      </c>
      <c r="H617" t="n">
        <v>0</v>
      </c>
      <c r="I617" t="n">
        <v>0</v>
      </c>
      <c r="J617" t="n">
        <v>0</v>
      </c>
      <c r="K617" t="n">
        <v>0</v>
      </c>
      <c r="L617" t="n">
        <v>0</v>
      </c>
      <c r="M617" t="n">
        <v>0</v>
      </c>
      <c r="N617" t="n">
        <v>0</v>
      </c>
      <c r="O617" t="n">
        <v>0</v>
      </c>
      <c r="P617" t="n">
        <v>0</v>
      </c>
      <c r="Q617" t="n">
        <v>0</v>
      </c>
      <c r="R617" s="2" t="inlineStr"/>
    </row>
    <row r="618" ht="15" customHeight="1">
      <c r="A618" t="inlineStr">
        <is>
          <t>A 48174-2025</t>
        </is>
      </c>
      <c r="B618" s="1" t="n">
        <v>45933.44230324074</v>
      </c>
      <c r="C618" s="1" t="n">
        <v>46088</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48127-2025</t>
        </is>
      </c>
      <c r="B619" s="1" t="n">
        <v>45933.36621527778</v>
      </c>
      <c r="C619" s="1" t="n">
        <v>46088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48179-2025</t>
        </is>
      </c>
      <c r="B620" s="1" t="n">
        <v>45933.44907407407</v>
      </c>
      <c r="C620" s="1" t="n">
        <v>46088</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48722-2023</t>
        </is>
      </c>
      <c r="B621" s="1" t="n">
        <v>45208.70996527778</v>
      </c>
      <c r="C621" s="1" t="n">
        <v>46088</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35235-2024</t>
        </is>
      </c>
      <c r="B622" s="1" t="n">
        <v>45530</v>
      </c>
      <c r="C622" s="1" t="n">
        <v>46088</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1448-2023</t>
        </is>
      </c>
      <c r="B623" s="1" t="n">
        <v>44937</v>
      </c>
      <c r="C623" s="1" t="n">
        <v>46088</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48718-2025</t>
        </is>
      </c>
      <c r="B624" s="1" t="n">
        <v>45936</v>
      </c>
      <c r="C624" s="1" t="n">
        <v>46088</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48593-2025</t>
        </is>
      </c>
      <c r="B625" s="1" t="n">
        <v>45936.4627662037</v>
      </c>
      <c r="C625" s="1" t="n">
        <v>46088</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8736-2024</t>
        </is>
      </c>
      <c r="B626" s="1" t="n">
        <v>45356.4722800926</v>
      </c>
      <c r="C626" s="1" t="n">
        <v>46088</v>
      </c>
      <c r="D626" t="inlineStr">
        <is>
          <t>STOCKHOLMS LÄN</t>
        </is>
      </c>
      <c r="E626" t="inlineStr">
        <is>
          <t>NORRTÄLJE</t>
        </is>
      </c>
      <c r="G626" t="n">
        <v>8.9</v>
      </c>
      <c r="H626" t="n">
        <v>0</v>
      </c>
      <c r="I626" t="n">
        <v>0</v>
      </c>
      <c r="J626" t="n">
        <v>0</v>
      </c>
      <c r="K626" t="n">
        <v>0</v>
      </c>
      <c r="L626" t="n">
        <v>0</v>
      </c>
      <c r="M626" t="n">
        <v>0</v>
      </c>
      <c r="N626" t="n">
        <v>0</v>
      </c>
      <c r="O626" t="n">
        <v>0</v>
      </c>
      <c r="P626" t="n">
        <v>0</v>
      </c>
      <c r="Q626" t="n">
        <v>0</v>
      </c>
      <c r="R626" s="2" t="inlineStr"/>
    </row>
    <row r="627" ht="15" customHeight="1">
      <c r="A627" t="inlineStr">
        <is>
          <t>A 33149-2022</t>
        </is>
      </c>
      <c r="B627" s="1" t="n">
        <v>44785</v>
      </c>
      <c r="C627" s="1" t="n">
        <v>46088</v>
      </c>
      <c r="D627" t="inlineStr">
        <is>
          <t>STOCKHOLMS LÄN</t>
        </is>
      </c>
      <c r="E627" t="inlineStr">
        <is>
          <t>NORRTÄLJE</t>
        </is>
      </c>
      <c r="F627" t="inlineStr">
        <is>
          <t>Holmen skog AB</t>
        </is>
      </c>
      <c r="G627" t="n">
        <v>4.4</v>
      </c>
      <c r="H627" t="n">
        <v>0</v>
      </c>
      <c r="I627" t="n">
        <v>0</v>
      </c>
      <c r="J627" t="n">
        <v>0</v>
      </c>
      <c r="K627" t="n">
        <v>0</v>
      </c>
      <c r="L627" t="n">
        <v>0</v>
      </c>
      <c r="M627" t="n">
        <v>0</v>
      </c>
      <c r="N627" t="n">
        <v>0</v>
      </c>
      <c r="O627" t="n">
        <v>0</v>
      </c>
      <c r="P627" t="n">
        <v>0</v>
      </c>
      <c r="Q627" t="n">
        <v>0</v>
      </c>
      <c r="R627" s="2" t="inlineStr"/>
    </row>
    <row r="628" ht="15" customHeight="1">
      <c r="A628" t="inlineStr">
        <is>
          <t>A 48443-2025</t>
        </is>
      </c>
      <c r="B628" s="1" t="n">
        <v>45935.55326388889</v>
      </c>
      <c r="C628" s="1" t="n">
        <v>46088</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8985-2026</t>
        </is>
      </c>
      <c r="B629" s="1" t="n">
        <v>46069.45234953704</v>
      </c>
      <c r="C629" s="1" t="n">
        <v>46088</v>
      </c>
      <c r="D629" t="inlineStr">
        <is>
          <t>STOCKHOLMS LÄN</t>
        </is>
      </c>
      <c r="E629" t="inlineStr">
        <is>
          <t>NORRTÄLJE</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48780-2025</t>
        </is>
      </c>
      <c r="B630" s="1" t="n">
        <v>45937.30377314815</v>
      </c>
      <c r="C630" s="1" t="n">
        <v>46088</v>
      </c>
      <c r="D630" t="inlineStr">
        <is>
          <t>STOCKHOLMS LÄN</t>
        </is>
      </c>
      <c r="E630" t="inlineStr">
        <is>
          <t>NORRTÄLJE</t>
        </is>
      </c>
      <c r="G630" t="n">
        <v>7.7</v>
      </c>
      <c r="H630" t="n">
        <v>0</v>
      </c>
      <c r="I630" t="n">
        <v>0</v>
      </c>
      <c r="J630" t="n">
        <v>0</v>
      </c>
      <c r="K630" t="n">
        <v>0</v>
      </c>
      <c r="L630" t="n">
        <v>0</v>
      </c>
      <c r="M630" t="n">
        <v>0</v>
      </c>
      <c r="N630" t="n">
        <v>0</v>
      </c>
      <c r="O630" t="n">
        <v>0</v>
      </c>
      <c r="P630" t="n">
        <v>0</v>
      </c>
      <c r="Q630" t="n">
        <v>0</v>
      </c>
      <c r="R630" s="2" t="inlineStr"/>
    </row>
    <row r="631" ht="15" customHeight="1">
      <c r="A631" t="inlineStr">
        <is>
          <t>A 35110-2025</t>
        </is>
      </c>
      <c r="B631" s="1" t="n">
        <v>45852.58030092593</v>
      </c>
      <c r="C631" s="1" t="n">
        <v>46088</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35254-2025</t>
        </is>
      </c>
      <c r="B632" s="1" t="n">
        <v>45853</v>
      </c>
      <c r="C632" s="1" t="n">
        <v>46088</v>
      </c>
      <c r="D632" t="inlineStr">
        <is>
          <t>STOCKHOLMS LÄN</t>
        </is>
      </c>
      <c r="E632" t="inlineStr">
        <is>
          <t>NORRTÄLJE</t>
        </is>
      </c>
      <c r="G632" t="n">
        <v>6.5</v>
      </c>
      <c r="H632" t="n">
        <v>0</v>
      </c>
      <c r="I632" t="n">
        <v>0</v>
      </c>
      <c r="J632" t="n">
        <v>0</v>
      </c>
      <c r="K632" t="n">
        <v>0</v>
      </c>
      <c r="L632" t="n">
        <v>0</v>
      </c>
      <c r="M632" t="n">
        <v>0</v>
      </c>
      <c r="N632" t="n">
        <v>0</v>
      </c>
      <c r="O632" t="n">
        <v>0</v>
      </c>
      <c r="P632" t="n">
        <v>0</v>
      </c>
      <c r="Q632" t="n">
        <v>0</v>
      </c>
      <c r="R632" s="2" t="inlineStr"/>
    </row>
    <row r="633" ht="15" customHeight="1">
      <c r="A633" t="inlineStr">
        <is>
          <t>A 6537-2024</t>
        </is>
      </c>
      <c r="B633" s="1" t="n">
        <v>45341.39853009259</v>
      </c>
      <c r="C633" s="1" t="n">
        <v>46088</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40175-2024</t>
        </is>
      </c>
      <c r="B634" s="1" t="n">
        <v>45554.55707175926</v>
      </c>
      <c r="C634" s="1" t="n">
        <v>46088</v>
      </c>
      <c r="D634" t="inlineStr">
        <is>
          <t>STOCKHOLMS LÄN</t>
        </is>
      </c>
      <c r="E634" t="inlineStr">
        <is>
          <t>NORRTÄLJE</t>
        </is>
      </c>
      <c r="G634" t="n">
        <v>7.7</v>
      </c>
      <c r="H634" t="n">
        <v>0</v>
      </c>
      <c r="I634" t="n">
        <v>0</v>
      </c>
      <c r="J634" t="n">
        <v>0</v>
      </c>
      <c r="K634" t="n">
        <v>0</v>
      </c>
      <c r="L634" t="n">
        <v>0</v>
      </c>
      <c r="M634" t="n">
        <v>0</v>
      </c>
      <c r="N634" t="n">
        <v>0</v>
      </c>
      <c r="O634" t="n">
        <v>0</v>
      </c>
      <c r="P634" t="n">
        <v>0</v>
      </c>
      <c r="Q634" t="n">
        <v>0</v>
      </c>
      <c r="R634" s="2" t="inlineStr"/>
    </row>
    <row r="635" ht="15" customHeight="1">
      <c r="A635" t="inlineStr">
        <is>
          <t>A 35479-2025</t>
        </is>
      </c>
      <c r="B635" s="1" t="n">
        <v>45855.69387731481</v>
      </c>
      <c r="C635" s="1" t="n">
        <v>46088</v>
      </c>
      <c r="D635" t="inlineStr">
        <is>
          <t>STOCKHOLMS LÄN</t>
        </is>
      </c>
      <c r="E635" t="inlineStr">
        <is>
          <t>NORRTÄLJE</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46088</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54558-2024</t>
        </is>
      </c>
      <c r="B637" s="1" t="n">
        <v>45617.62358796296</v>
      </c>
      <c r="C637" s="1" t="n">
        <v>46088</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35451-2025</t>
        </is>
      </c>
      <c r="B638" s="1" t="n">
        <v>45855.57033564815</v>
      </c>
      <c r="C638" s="1" t="n">
        <v>46088</v>
      </c>
      <c r="D638" t="inlineStr">
        <is>
          <t>STOCKHOLMS LÄN</t>
        </is>
      </c>
      <c r="E638" t="inlineStr">
        <is>
          <t>NORRTÄLJE</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35478-2025</t>
        </is>
      </c>
      <c r="B639" s="1" t="n">
        <v>45855.68413194444</v>
      </c>
      <c r="C639" s="1" t="n">
        <v>46088</v>
      </c>
      <c r="D639" t="inlineStr">
        <is>
          <t>STOCKHOLMS LÄN</t>
        </is>
      </c>
      <c r="E639" t="inlineStr">
        <is>
          <t>NORRTÄLJE</t>
        </is>
      </c>
      <c r="F639" t="inlineStr">
        <is>
          <t>Holmen skog AB</t>
        </is>
      </c>
      <c r="G639" t="n">
        <v>2.7</v>
      </c>
      <c r="H639" t="n">
        <v>0</v>
      </c>
      <c r="I639" t="n">
        <v>0</v>
      </c>
      <c r="J639" t="n">
        <v>0</v>
      </c>
      <c r="K639" t="n">
        <v>0</v>
      </c>
      <c r="L639" t="n">
        <v>0</v>
      </c>
      <c r="M639" t="n">
        <v>0</v>
      </c>
      <c r="N639" t="n">
        <v>0</v>
      </c>
      <c r="O639" t="n">
        <v>0</v>
      </c>
      <c r="P639" t="n">
        <v>0</v>
      </c>
      <c r="Q639" t="n">
        <v>0</v>
      </c>
      <c r="R639" s="2" t="inlineStr"/>
    </row>
    <row r="640" ht="15" customHeight="1">
      <c r="A640" t="inlineStr">
        <is>
          <t>A 23056-2023</t>
        </is>
      </c>
      <c r="B640" s="1" t="n">
        <v>45075</v>
      </c>
      <c r="C640" s="1" t="n">
        <v>46088</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47431-2023</t>
        </is>
      </c>
      <c r="B641" s="1" t="n">
        <v>45202</v>
      </c>
      <c r="C641" s="1" t="n">
        <v>46088</v>
      </c>
      <c r="D641" t="inlineStr">
        <is>
          <t>STOCKHOLMS LÄN</t>
        </is>
      </c>
      <c r="E641" t="inlineStr">
        <is>
          <t>NORRTÄLJE</t>
        </is>
      </c>
      <c r="F641" t="inlineStr">
        <is>
          <t>Naturvårdsverket</t>
        </is>
      </c>
      <c r="G641" t="n">
        <v>1.2</v>
      </c>
      <c r="H641" t="n">
        <v>0</v>
      </c>
      <c r="I641" t="n">
        <v>0</v>
      </c>
      <c r="J641" t="n">
        <v>0</v>
      </c>
      <c r="K641" t="n">
        <v>0</v>
      </c>
      <c r="L641" t="n">
        <v>0</v>
      </c>
      <c r="M641" t="n">
        <v>0</v>
      </c>
      <c r="N641" t="n">
        <v>0</v>
      </c>
      <c r="O641" t="n">
        <v>0</v>
      </c>
      <c r="P641" t="n">
        <v>0</v>
      </c>
      <c r="Q641" t="n">
        <v>0</v>
      </c>
      <c r="R641" s="2" t="inlineStr"/>
    </row>
    <row r="642" ht="15" customHeight="1">
      <c r="A642" t="inlineStr">
        <is>
          <t>A 59499-2023</t>
        </is>
      </c>
      <c r="B642" s="1" t="n">
        <v>45254</v>
      </c>
      <c r="C642" s="1" t="n">
        <v>46088</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59468-2023</t>
        </is>
      </c>
      <c r="B643" s="1" t="n">
        <v>45254.41509259259</v>
      </c>
      <c r="C643" s="1" t="n">
        <v>46088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718-2026</t>
        </is>
      </c>
      <c r="B644" s="1" t="n">
        <v>46029.63174768518</v>
      </c>
      <c r="C644" s="1" t="n">
        <v>46088</v>
      </c>
      <c r="D644" t="inlineStr">
        <is>
          <t>STOCKHOLMS LÄN</t>
        </is>
      </c>
      <c r="E644" t="inlineStr">
        <is>
          <t>NORRTÄLJE</t>
        </is>
      </c>
      <c r="G644" t="n">
        <v>2.4</v>
      </c>
      <c r="H644" t="n">
        <v>0</v>
      </c>
      <c r="I644" t="n">
        <v>0</v>
      </c>
      <c r="J644" t="n">
        <v>0</v>
      </c>
      <c r="K644" t="n">
        <v>0</v>
      </c>
      <c r="L644" t="n">
        <v>0</v>
      </c>
      <c r="M644" t="n">
        <v>0</v>
      </c>
      <c r="N644" t="n">
        <v>0</v>
      </c>
      <c r="O644" t="n">
        <v>0</v>
      </c>
      <c r="P644" t="n">
        <v>0</v>
      </c>
      <c r="Q644" t="n">
        <v>0</v>
      </c>
      <c r="R644" s="2" t="inlineStr"/>
    </row>
    <row r="645" ht="15" customHeight="1">
      <c r="A645" t="inlineStr">
        <is>
          <t>A 12532-2025</t>
        </is>
      </c>
      <c r="B645" s="1" t="n">
        <v>45730.69143518519</v>
      </c>
      <c r="C645" s="1" t="n">
        <v>46088</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5732-2023</t>
        </is>
      </c>
      <c r="B646" s="1" t="n">
        <v>44962</v>
      </c>
      <c r="C646" s="1" t="n">
        <v>46088</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50097-2025</t>
        </is>
      </c>
      <c r="B647" s="1" t="n">
        <v>45943.50207175926</v>
      </c>
      <c r="C647" s="1" t="n">
        <v>46088</v>
      </c>
      <c r="D647" t="inlineStr">
        <is>
          <t>STOCKHOLMS LÄN</t>
        </is>
      </c>
      <c r="E647" t="inlineStr">
        <is>
          <t>NORRTÄLJE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10653-2022</t>
        </is>
      </c>
      <c r="B648" s="1" t="n">
        <v>44624.59434027778</v>
      </c>
      <c r="C648" s="1" t="n">
        <v>46088</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21729-2024</t>
        </is>
      </c>
      <c r="B649" s="1" t="n">
        <v>45442</v>
      </c>
      <c r="C649" s="1" t="n">
        <v>46088</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49836-2025</t>
        </is>
      </c>
      <c r="B650" s="1" t="n">
        <v>45940.46862268518</v>
      </c>
      <c r="C650" s="1" t="n">
        <v>46088</v>
      </c>
      <c r="D650" t="inlineStr">
        <is>
          <t>STOCKHOLMS LÄN</t>
        </is>
      </c>
      <c r="E650" t="inlineStr">
        <is>
          <t>NORRTÄLJE</t>
        </is>
      </c>
      <c r="G650" t="n">
        <v>3.5</v>
      </c>
      <c r="H650" t="n">
        <v>0</v>
      </c>
      <c r="I650" t="n">
        <v>0</v>
      </c>
      <c r="J650" t="n">
        <v>0</v>
      </c>
      <c r="K650" t="n">
        <v>0</v>
      </c>
      <c r="L650" t="n">
        <v>0</v>
      </c>
      <c r="M650" t="n">
        <v>0</v>
      </c>
      <c r="N650" t="n">
        <v>0</v>
      </c>
      <c r="O650" t="n">
        <v>0</v>
      </c>
      <c r="P650" t="n">
        <v>0</v>
      </c>
      <c r="Q650" t="n">
        <v>0</v>
      </c>
      <c r="R650" s="2" t="inlineStr"/>
    </row>
    <row r="651" ht="15" customHeight="1">
      <c r="A651" t="inlineStr">
        <is>
          <t>A 11854-2025</t>
        </is>
      </c>
      <c r="B651" s="1" t="n">
        <v>45728.38924768518</v>
      </c>
      <c r="C651" s="1" t="n">
        <v>46088</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14762-2024</t>
        </is>
      </c>
      <c r="B652" s="1" t="n">
        <v>45397</v>
      </c>
      <c r="C652" s="1" t="n">
        <v>46088</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34444-2024</t>
        </is>
      </c>
      <c r="B653" s="1" t="n">
        <v>45525</v>
      </c>
      <c r="C653" s="1" t="n">
        <v>46088</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20698-2025</t>
        </is>
      </c>
      <c r="B654" s="1" t="n">
        <v>45776.47122685185</v>
      </c>
      <c r="C654" s="1" t="n">
        <v>46088</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50327-2025</t>
        </is>
      </c>
      <c r="B655" s="1" t="n">
        <v>45944.46387731482</v>
      </c>
      <c r="C655" s="1" t="n">
        <v>46088</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50563-2025</t>
        </is>
      </c>
      <c r="B656" s="1" t="n">
        <v>45944</v>
      </c>
      <c r="C656" s="1" t="n">
        <v>46088</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59712-2024</t>
        </is>
      </c>
      <c r="B657" s="1" t="n">
        <v>45639.45166666667</v>
      </c>
      <c r="C657" s="1" t="n">
        <v>46088</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46088</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694-2026</t>
        </is>
      </c>
      <c r="B659" s="1" t="n">
        <v>46029.61375</v>
      </c>
      <c r="C659" s="1" t="n">
        <v>46088</v>
      </c>
      <c r="D659" t="inlineStr">
        <is>
          <t>STOCKHOLMS LÄN</t>
        </is>
      </c>
      <c r="E659" t="inlineStr">
        <is>
          <t>NORRTÄLJE</t>
        </is>
      </c>
      <c r="G659" t="n">
        <v>9.6</v>
      </c>
      <c r="H659" t="n">
        <v>0</v>
      </c>
      <c r="I659" t="n">
        <v>0</v>
      </c>
      <c r="J659" t="n">
        <v>0</v>
      </c>
      <c r="K659" t="n">
        <v>0</v>
      </c>
      <c r="L659" t="n">
        <v>0</v>
      </c>
      <c r="M659" t="n">
        <v>0</v>
      </c>
      <c r="N659" t="n">
        <v>0</v>
      </c>
      <c r="O659" t="n">
        <v>0</v>
      </c>
      <c r="P659" t="n">
        <v>0</v>
      </c>
      <c r="Q659" t="n">
        <v>0</v>
      </c>
      <c r="R659" s="2" t="inlineStr"/>
    </row>
    <row r="660" ht="15" customHeight="1">
      <c r="A660" t="inlineStr">
        <is>
          <t>A 51122-2025</t>
        </is>
      </c>
      <c r="B660" s="1" t="n">
        <v>45947.53693287037</v>
      </c>
      <c r="C660" s="1" t="n">
        <v>46088</v>
      </c>
      <c r="D660" t="inlineStr">
        <is>
          <t>STOCKHOLMS LÄN</t>
        </is>
      </c>
      <c r="E660" t="inlineStr">
        <is>
          <t>NORRTÄLJE</t>
        </is>
      </c>
      <c r="G660" t="n">
        <v>3.8</v>
      </c>
      <c r="H660" t="n">
        <v>0</v>
      </c>
      <c r="I660" t="n">
        <v>0</v>
      </c>
      <c r="J660" t="n">
        <v>0</v>
      </c>
      <c r="K660" t="n">
        <v>0</v>
      </c>
      <c r="L660" t="n">
        <v>0</v>
      </c>
      <c r="M660" t="n">
        <v>0</v>
      </c>
      <c r="N660" t="n">
        <v>0</v>
      </c>
      <c r="O660" t="n">
        <v>0</v>
      </c>
      <c r="P660" t="n">
        <v>0</v>
      </c>
      <c r="Q660" t="n">
        <v>0</v>
      </c>
      <c r="R660" s="2" t="inlineStr"/>
    </row>
    <row r="661" ht="15" customHeight="1">
      <c r="A661" t="inlineStr">
        <is>
          <t>A 35127-2023</t>
        </is>
      </c>
      <c r="B661" s="1" t="n">
        <v>45145.51</v>
      </c>
      <c r="C661" s="1" t="n">
        <v>46088</v>
      </c>
      <c r="D661" t="inlineStr">
        <is>
          <t>STOCKHOLMS LÄN</t>
        </is>
      </c>
      <c r="E661" t="inlineStr">
        <is>
          <t>NORRTÄLJE</t>
        </is>
      </c>
      <c r="G661" t="n">
        <v>4.7</v>
      </c>
      <c r="H661" t="n">
        <v>0</v>
      </c>
      <c r="I661" t="n">
        <v>0</v>
      </c>
      <c r="J661" t="n">
        <v>0</v>
      </c>
      <c r="K661" t="n">
        <v>0</v>
      </c>
      <c r="L661" t="n">
        <v>0</v>
      </c>
      <c r="M661" t="n">
        <v>0</v>
      </c>
      <c r="N661" t="n">
        <v>0</v>
      </c>
      <c r="O661" t="n">
        <v>0</v>
      </c>
      <c r="P661" t="n">
        <v>0</v>
      </c>
      <c r="Q661" t="n">
        <v>0</v>
      </c>
      <c r="R661" s="2" t="inlineStr"/>
    </row>
    <row r="662" ht="15" customHeight="1">
      <c r="A662" t="inlineStr">
        <is>
          <t>A 51233-2025</t>
        </is>
      </c>
      <c r="B662" s="1" t="n">
        <v>45947.68232638889</v>
      </c>
      <c r="C662" s="1" t="n">
        <v>46088</v>
      </c>
      <c r="D662" t="inlineStr">
        <is>
          <t>STOCKHOLMS LÄN</t>
        </is>
      </c>
      <c r="E662" t="inlineStr">
        <is>
          <t>NORRTÄLJE</t>
        </is>
      </c>
      <c r="F662" t="inlineStr">
        <is>
          <t>Naturvårdsverket</t>
        </is>
      </c>
      <c r="G662" t="n">
        <v>8.1</v>
      </c>
      <c r="H662" t="n">
        <v>0</v>
      </c>
      <c r="I662" t="n">
        <v>0</v>
      </c>
      <c r="J662" t="n">
        <v>0</v>
      </c>
      <c r="K662" t="n">
        <v>0</v>
      </c>
      <c r="L662" t="n">
        <v>0</v>
      </c>
      <c r="M662" t="n">
        <v>0</v>
      </c>
      <c r="N662" t="n">
        <v>0</v>
      </c>
      <c r="O662" t="n">
        <v>0</v>
      </c>
      <c r="P662" t="n">
        <v>0</v>
      </c>
      <c r="Q662" t="n">
        <v>0</v>
      </c>
      <c r="R662" s="2" t="inlineStr"/>
    </row>
    <row r="663" ht="15" customHeight="1">
      <c r="A663" t="inlineStr">
        <is>
          <t>A 51236-2025</t>
        </is>
      </c>
      <c r="B663" s="1" t="n">
        <v>45947.69078703703</v>
      </c>
      <c r="C663" s="1" t="n">
        <v>46088</v>
      </c>
      <c r="D663" t="inlineStr">
        <is>
          <t>STOCKHOLMS LÄN</t>
        </is>
      </c>
      <c r="E663" t="inlineStr">
        <is>
          <t>NORRTÄLJE</t>
        </is>
      </c>
      <c r="F663" t="inlineStr">
        <is>
          <t>Naturvårdsverket</t>
        </is>
      </c>
      <c r="G663" t="n">
        <v>6.3</v>
      </c>
      <c r="H663" t="n">
        <v>0</v>
      </c>
      <c r="I663" t="n">
        <v>0</v>
      </c>
      <c r="J663" t="n">
        <v>0</v>
      </c>
      <c r="K663" t="n">
        <v>0</v>
      </c>
      <c r="L663" t="n">
        <v>0</v>
      </c>
      <c r="M663" t="n">
        <v>0</v>
      </c>
      <c r="N663" t="n">
        <v>0</v>
      </c>
      <c r="O663" t="n">
        <v>0</v>
      </c>
      <c r="P663" t="n">
        <v>0</v>
      </c>
      <c r="Q663" t="n">
        <v>0</v>
      </c>
      <c r="R663" s="2" t="inlineStr"/>
    </row>
    <row r="664" ht="15" customHeight="1">
      <c r="A664" t="inlineStr">
        <is>
          <t>A 51241-2025</t>
        </is>
      </c>
      <c r="B664" s="1" t="n">
        <v>45947.71726851852</v>
      </c>
      <c r="C664" s="1" t="n">
        <v>46088</v>
      </c>
      <c r="D664" t="inlineStr">
        <is>
          <t>STOCKHOLMS LÄN</t>
        </is>
      </c>
      <c r="E664" t="inlineStr">
        <is>
          <t>NORRTÄLJE</t>
        </is>
      </c>
      <c r="F664" t="inlineStr">
        <is>
          <t>Naturvårdsverket</t>
        </is>
      </c>
      <c r="G664" t="n">
        <v>6.4</v>
      </c>
      <c r="H664" t="n">
        <v>0</v>
      </c>
      <c r="I664" t="n">
        <v>0</v>
      </c>
      <c r="J664" t="n">
        <v>0</v>
      </c>
      <c r="K664" t="n">
        <v>0</v>
      </c>
      <c r="L664" t="n">
        <v>0</v>
      </c>
      <c r="M664" t="n">
        <v>0</v>
      </c>
      <c r="N664" t="n">
        <v>0</v>
      </c>
      <c r="O664" t="n">
        <v>0</v>
      </c>
      <c r="P664" t="n">
        <v>0</v>
      </c>
      <c r="Q664" t="n">
        <v>0</v>
      </c>
      <c r="R664" s="2" t="inlineStr"/>
    </row>
    <row r="665" ht="15" customHeight="1">
      <c r="A665" t="inlineStr">
        <is>
          <t>A 22232-2024</t>
        </is>
      </c>
      <c r="B665" s="1" t="n">
        <v>45446.4287962963</v>
      </c>
      <c r="C665" s="1" t="n">
        <v>46088</v>
      </c>
      <c r="D665" t="inlineStr">
        <is>
          <t>STOCKHOLMS LÄN</t>
        </is>
      </c>
      <c r="E665" t="inlineStr">
        <is>
          <t>NORRTÄLJE</t>
        </is>
      </c>
      <c r="G665" t="n">
        <v>12.8</v>
      </c>
      <c r="H665" t="n">
        <v>0</v>
      </c>
      <c r="I665" t="n">
        <v>0</v>
      </c>
      <c r="J665" t="n">
        <v>0</v>
      </c>
      <c r="K665" t="n">
        <v>0</v>
      </c>
      <c r="L665" t="n">
        <v>0</v>
      </c>
      <c r="M665" t="n">
        <v>0</v>
      </c>
      <c r="N665" t="n">
        <v>0</v>
      </c>
      <c r="O665" t="n">
        <v>0</v>
      </c>
      <c r="P665" t="n">
        <v>0</v>
      </c>
      <c r="Q665" t="n">
        <v>0</v>
      </c>
      <c r="R665" s="2" t="inlineStr"/>
    </row>
    <row r="666" ht="15" customHeight="1">
      <c r="A666" t="inlineStr">
        <is>
          <t>A 51240-2025</t>
        </is>
      </c>
      <c r="B666" s="1" t="n">
        <v>45947.70420138889</v>
      </c>
      <c r="C666" s="1" t="n">
        <v>46088</v>
      </c>
      <c r="D666" t="inlineStr">
        <is>
          <t>STOCKHOLMS LÄN</t>
        </is>
      </c>
      <c r="E666" t="inlineStr">
        <is>
          <t>NORRTÄLJE</t>
        </is>
      </c>
      <c r="F666" t="inlineStr">
        <is>
          <t>Naturvårdsverket</t>
        </is>
      </c>
      <c r="G666" t="n">
        <v>3</v>
      </c>
      <c r="H666" t="n">
        <v>0</v>
      </c>
      <c r="I666" t="n">
        <v>0</v>
      </c>
      <c r="J666" t="n">
        <v>0</v>
      </c>
      <c r="K666" t="n">
        <v>0</v>
      </c>
      <c r="L666" t="n">
        <v>0</v>
      </c>
      <c r="M666" t="n">
        <v>0</v>
      </c>
      <c r="N666" t="n">
        <v>0</v>
      </c>
      <c r="O666" t="n">
        <v>0</v>
      </c>
      <c r="P666" t="n">
        <v>0</v>
      </c>
      <c r="Q666" t="n">
        <v>0</v>
      </c>
      <c r="R666" s="2" t="inlineStr"/>
    </row>
    <row r="667" ht="15" customHeight="1">
      <c r="A667" t="inlineStr">
        <is>
          <t>A 36396-2025</t>
        </is>
      </c>
      <c r="B667" s="1" t="n">
        <v>45868.62267361111</v>
      </c>
      <c r="C667" s="1" t="n">
        <v>46088</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51121-2025</t>
        </is>
      </c>
      <c r="B668" s="1" t="n">
        <v>45947.53293981482</v>
      </c>
      <c r="C668" s="1" t="n">
        <v>46088</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45255-2022</t>
        </is>
      </c>
      <c r="B669" s="1" t="n">
        <v>44840</v>
      </c>
      <c r="C669" s="1" t="n">
        <v>46088</v>
      </c>
      <c r="D669" t="inlineStr">
        <is>
          <t>STOCKHOLMS LÄN</t>
        </is>
      </c>
      <c r="E669" t="inlineStr">
        <is>
          <t>NORRTÄLJE</t>
        </is>
      </c>
      <c r="G669" t="n">
        <v>4.1</v>
      </c>
      <c r="H669" t="n">
        <v>0</v>
      </c>
      <c r="I669" t="n">
        <v>0</v>
      </c>
      <c r="J669" t="n">
        <v>0</v>
      </c>
      <c r="K669" t="n">
        <v>0</v>
      </c>
      <c r="L669" t="n">
        <v>0</v>
      </c>
      <c r="M669" t="n">
        <v>0</v>
      </c>
      <c r="N669" t="n">
        <v>0</v>
      </c>
      <c r="O669" t="n">
        <v>0</v>
      </c>
      <c r="P669" t="n">
        <v>0</v>
      </c>
      <c r="Q669" t="n">
        <v>0</v>
      </c>
      <c r="R669" s="2" t="inlineStr"/>
    </row>
    <row r="670" ht="15" customHeight="1">
      <c r="A670" t="inlineStr">
        <is>
          <t>A 59477-2025</t>
        </is>
      </c>
      <c r="B670" s="1" t="n">
        <v>45989.58679398148</v>
      </c>
      <c r="C670" s="1" t="n">
        <v>46088</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59893-2022</t>
        </is>
      </c>
      <c r="B671" s="1" t="n">
        <v>44908.77368055555</v>
      </c>
      <c r="C671" s="1" t="n">
        <v>46088</v>
      </c>
      <c r="D671" t="inlineStr">
        <is>
          <t>STOCKHOLMS LÄN</t>
        </is>
      </c>
      <c r="E671" t="inlineStr">
        <is>
          <t>NORRTÄLJE</t>
        </is>
      </c>
      <c r="G671" t="n">
        <v>3</v>
      </c>
      <c r="H671" t="n">
        <v>0</v>
      </c>
      <c r="I671" t="n">
        <v>0</v>
      </c>
      <c r="J671" t="n">
        <v>0</v>
      </c>
      <c r="K671" t="n">
        <v>0</v>
      </c>
      <c r="L671" t="n">
        <v>0</v>
      </c>
      <c r="M671" t="n">
        <v>0</v>
      </c>
      <c r="N671" t="n">
        <v>0</v>
      </c>
      <c r="O671" t="n">
        <v>0</v>
      </c>
      <c r="P671" t="n">
        <v>0</v>
      </c>
      <c r="Q671" t="n">
        <v>0</v>
      </c>
      <c r="R671" s="2" t="inlineStr"/>
    </row>
    <row r="672" ht="15" customHeight="1">
      <c r="A672" t="inlineStr">
        <is>
          <t>A 39905-2023</t>
        </is>
      </c>
      <c r="B672" s="1" t="n">
        <v>45168.44489583333</v>
      </c>
      <c r="C672" s="1" t="n">
        <v>46088</v>
      </c>
      <c r="D672" t="inlineStr">
        <is>
          <t>STOCKHOLMS LÄN</t>
        </is>
      </c>
      <c r="E672" t="inlineStr">
        <is>
          <t>NORRTÄLJE</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51532-2025</t>
        </is>
      </c>
      <c r="B673" s="1" t="n">
        <v>45950.68297453703</v>
      </c>
      <c r="C673" s="1" t="n">
        <v>46088</v>
      </c>
      <c r="D673" t="inlineStr">
        <is>
          <t>STOCKHOLMS LÄN</t>
        </is>
      </c>
      <c r="E673" t="inlineStr">
        <is>
          <t>NORRTÄLJE</t>
        </is>
      </c>
      <c r="F673" t="inlineStr">
        <is>
          <t>Naturvårdsverket</t>
        </is>
      </c>
      <c r="G673" t="n">
        <v>17.3</v>
      </c>
      <c r="H673" t="n">
        <v>0</v>
      </c>
      <c r="I673" t="n">
        <v>0</v>
      </c>
      <c r="J673" t="n">
        <v>0</v>
      </c>
      <c r="K673" t="n">
        <v>0</v>
      </c>
      <c r="L673" t="n">
        <v>0</v>
      </c>
      <c r="M673" t="n">
        <v>0</v>
      </c>
      <c r="N673" t="n">
        <v>0</v>
      </c>
      <c r="O673" t="n">
        <v>0</v>
      </c>
      <c r="P673" t="n">
        <v>0</v>
      </c>
      <c r="Q673" t="n">
        <v>0</v>
      </c>
      <c r="R673" s="2" t="inlineStr"/>
    </row>
    <row r="674" ht="15" customHeight="1">
      <c r="A674" t="inlineStr">
        <is>
          <t>A 5645-2023</t>
        </is>
      </c>
      <c r="B674" s="1" t="n">
        <v>44960.60469907407</v>
      </c>
      <c r="C674" s="1" t="n">
        <v>46088</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68361-2021</t>
        </is>
      </c>
      <c r="B675" s="1" t="n">
        <v>44528.91494212963</v>
      </c>
      <c r="C675" s="1" t="n">
        <v>46088</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51789-2025</t>
        </is>
      </c>
      <c r="B676" s="1" t="n">
        <v>45951.68046296296</v>
      </c>
      <c r="C676" s="1" t="n">
        <v>46088</v>
      </c>
      <c r="D676" t="inlineStr">
        <is>
          <t>STOCKHOLMS LÄN</t>
        </is>
      </c>
      <c r="E676" t="inlineStr">
        <is>
          <t>NORRTÄLJE</t>
        </is>
      </c>
      <c r="F676" t="inlineStr">
        <is>
          <t>Naturvårdsverket</t>
        </is>
      </c>
      <c r="G676" t="n">
        <v>8.9</v>
      </c>
      <c r="H676" t="n">
        <v>0</v>
      </c>
      <c r="I676" t="n">
        <v>0</v>
      </c>
      <c r="J676" t="n">
        <v>0</v>
      </c>
      <c r="K676" t="n">
        <v>0</v>
      </c>
      <c r="L676" t="n">
        <v>0</v>
      </c>
      <c r="M676" t="n">
        <v>0</v>
      </c>
      <c r="N676" t="n">
        <v>0</v>
      </c>
      <c r="O676" t="n">
        <v>0</v>
      </c>
      <c r="P676" t="n">
        <v>0</v>
      </c>
      <c r="Q676" t="n">
        <v>0</v>
      </c>
      <c r="R676" s="2" t="inlineStr"/>
    </row>
    <row r="677" ht="15" customHeight="1">
      <c r="A677" t="inlineStr">
        <is>
          <t>A 60529-2023</t>
        </is>
      </c>
      <c r="B677" s="1" t="n">
        <v>45259</v>
      </c>
      <c r="C677" s="1" t="n">
        <v>46088</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19706-2023</t>
        </is>
      </c>
      <c r="B678" s="1" t="n">
        <v>45051.455</v>
      </c>
      <c r="C678" s="1" t="n">
        <v>46088</v>
      </c>
      <c r="D678" t="inlineStr">
        <is>
          <t>STOCKHOLMS LÄN</t>
        </is>
      </c>
      <c r="E678" t="inlineStr">
        <is>
          <t>NORRTÄLJE</t>
        </is>
      </c>
      <c r="G678" t="n">
        <v>0.2</v>
      </c>
      <c r="H678" t="n">
        <v>0</v>
      </c>
      <c r="I678" t="n">
        <v>0</v>
      </c>
      <c r="J678" t="n">
        <v>0</v>
      </c>
      <c r="K678" t="n">
        <v>0</v>
      </c>
      <c r="L678" t="n">
        <v>0</v>
      </c>
      <c r="M678" t="n">
        <v>0</v>
      </c>
      <c r="N678" t="n">
        <v>0</v>
      </c>
      <c r="O678" t="n">
        <v>0</v>
      </c>
      <c r="P678" t="n">
        <v>0</v>
      </c>
      <c r="Q678" t="n">
        <v>0</v>
      </c>
      <c r="R678" s="2" t="inlineStr"/>
    </row>
    <row r="679" ht="15" customHeight="1">
      <c r="A679" t="inlineStr">
        <is>
          <t>A 18539-2021</t>
        </is>
      </c>
      <c r="B679" s="1" t="n">
        <v>44306</v>
      </c>
      <c r="C679" s="1" t="n">
        <v>46088</v>
      </c>
      <c r="D679" t="inlineStr">
        <is>
          <t>STOCKHOLMS LÄN</t>
        </is>
      </c>
      <c r="E679" t="inlineStr">
        <is>
          <t>NORRTÄLJE</t>
        </is>
      </c>
      <c r="F679" t="inlineStr">
        <is>
          <t>Holmen skog AB</t>
        </is>
      </c>
      <c r="G679" t="n">
        <v>5.5</v>
      </c>
      <c r="H679" t="n">
        <v>0</v>
      </c>
      <c r="I679" t="n">
        <v>0</v>
      </c>
      <c r="J679" t="n">
        <v>0</v>
      </c>
      <c r="K679" t="n">
        <v>0</v>
      </c>
      <c r="L679" t="n">
        <v>0</v>
      </c>
      <c r="M679" t="n">
        <v>0</v>
      </c>
      <c r="N679" t="n">
        <v>0</v>
      </c>
      <c r="O679" t="n">
        <v>0</v>
      </c>
      <c r="P679" t="n">
        <v>0</v>
      </c>
      <c r="Q679" t="n">
        <v>0</v>
      </c>
      <c r="R679" s="2" t="inlineStr"/>
    </row>
    <row r="680" ht="15" customHeight="1">
      <c r="A680" t="inlineStr">
        <is>
          <t>A 17612-2022</t>
        </is>
      </c>
      <c r="B680" s="1" t="n">
        <v>44680</v>
      </c>
      <c r="C680" s="1" t="n">
        <v>46088</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51960-2025</t>
        </is>
      </c>
      <c r="B681" s="1" t="n">
        <v>45952.54755787037</v>
      </c>
      <c r="C681" s="1" t="n">
        <v>46088</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16835-2022</t>
        </is>
      </c>
      <c r="B682" s="1" t="n">
        <v>44673</v>
      </c>
      <c r="C682" s="1" t="n">
        <v>46088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62765-2022</t>
        </is>
      </c>
      <c r="B683" s="1" t="n">
        <v>44637</v>
      </c>
      <c r="C683" s="1" t="n">
        <v>46088</v>
      </c>
      <c r="D683" t="inlineStr">
        <is>
          <t>STOCKHOLMS LÄN</t>
        </is>
      </c>
      <c r="E683" t="inlineStr">
        <is>
          <t>NORRTÄLJE</t>
        </is>
      </c>
      <c r="G683" t="n">
        <v>2.7</v>
      </c>
      <c r="H683" t="n">
        <v>0</v>
      </c>
      <c r="I683" t="n">
        <v>0</v>
      </c>
      <c r="J683" t="n">
        <v>0</v>
      </c>
      <c r="K683" t="n">
        <v>0</v>
      </c>
      <c r="L683" t="n">
        <v>0</v>
      </c>
      <c r="M683" t="n">
        <v>0</v>
      </c>
      <c r="N683" t="n">
        <v>0</v>
      </c>
      <c r="O683" t="n">
        <v>0</v>
      </c>
      <c r="P683" t="n">
        <v>0</v>
      </c>
      <c r="Q683" t="n">
        <v>0</v>
      </c>
      <c r="R683" s="2" t="inlineStr"/>
    </row>
    <row r="684" ht="15" customHeight="1">
      <c r="A684" t="inlineStr">
        <is>
          <t>A 58404-2023</t>
        </is>
      </c>
      <c r="B684" s="1" t="n">
        <v>45245</v>
      </c>
      <c r="C684" s="1" t="n">
        <v>46088</v>
      </c>
      <c r="D684" t="inlineStr">
        <is>
          <t>STOCKHOLMS LÄN</t>
        </is>
      </c>
      <c r="E684" t="inlineStr">
        <is>
          <t>NORRTÄLJE</t>
        </is>
      </c>
      <c r="G684" t="n">
        <v>53.5</v>
      </c>
      <c r="H684" t="n">
        <v>0</v>
      </c>
      <c r="I684" t="n">
        <v>0</v>
      </c>
      <c r="J684" t="n">
        <v>0</v>
      </c>
      <c r="K684" t="n">
        <v>0</v>
      </c>
      <c r="L684" t="n">
        <v>0</v>
      </c>
      <c r="M684" t="n">
        <v>0</v>
      </c>
      <c r="N684" t="n">
        <v>0</v>
      </c>
      <c r="O684" t="n">
        <v>0</v>
      </c>
      <c r="P684" t="n">
        <v>0</v>
      </c>
      <c r="Q684" t="n">
        <v>0</v>
      </c>
      <c r="R684" s="2" t="inlineStr"/>
    </row>
    <row r="685" ht="15" customHeight="1">
      <c r="A685" t="inlineStr">
        <is>
          <t>A 37261-2025</t>
        </is>
      </c>
      <c r="B685" s="1" t="n">
        <v>45876.45253472222</v>
      </c>
      <c r="C685" s="1" t="n">
        <v>46088</v>
      </c>
      <c r="D685" t="inlineStr">
        <is>
          <t>STOCKHOLMS LÄN</t>
        </is>
      </c>
      <c r="E685" t="inlineStr">
        <is>
          <t>NORRTÄLJE</t>
        </is>
      </c>
      <c r="F685" t="inlineStr">
        <is>
          <t>Kommuner</t>
        </is>
      </c>
      <c r="G685" t="n">
        <v>2.2</v>
      </c>
      <c r="H685" t="n">
        <v>0</v>
      </c>
      <c r="I685" t="n">
        <v>0</v>
      </c>
      <c r="J685" t="n">
        <v>0</v>
      </c>
      <c r="K685" t="n">
        <v>0</v>
      </c>
      <c r="L685" t="n">
        <v>0</v>
      </c>
      <c r="M685" t="n">
        <v>0</v>
      </c>
      <c r="N685" t="n">
        <v>0</v>
      </c>
      <c r="O685" t="n">
        <v>0</v>
      </c>
      <c r="P685" t="n">
        <v>0</v>
      </c>
      <c r="Q685" t="n">
        <v>0</v>
      </c>
      <c r="R685" s="2" t="inlineStr"/>
    </row>
    <row r="686" ht="15" customHeight="1">
      <c r="A686" t="inlineStr">
        <is>
          <t>A 8586-2023</t>
        </is>
      </c>
      <c r="B686" s="1" t="n">
        <v>44977</v>
      </c>
      <c r="C686" s="1" t="n">
        <v>46088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51941-2025</t>
        </is>
      </c>
      <c r="B687" s="1" t="n">
        <v>45952.52261574074</v>
      </c>
      <c r="C687" s="1" t="n">
        <v>46088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52061-2025</t>
        </is>
      </c>
      <c r="B688" s="1" t="n">
        <v>45952.63679398148</v>
      </c>
      <c r="C688" s="1" t="n">
        <v>46088</v>
      </c>
      <c r="D688" t="inlineStr">
        <is>
          <t>STOCKHOLMS LÄN</t>
        </is>
      </c>
      <c r="E688" t="inlineStr">
        <is>
          <t>NORRTÄLJE</t>
        </is>
      </c>
      <c r="G688" t="n">
        <v>9.5</v>
      </c>
      <c r="H688" t="n">
        <v>0</v>
      </c>
      <c r="I688" t="n">
        <v>0</v>
      </c>
      <c r="J688" t="n">
        <v>0</v>
      </c>
      <c r="K688" t="n">
        <v>0</v>
      </c>
      <c r="L688" t="n">
        <v>0</v>
      </c>
      <c r="M688" t="n">
        <v>0</v>
      </c>
      <c r="N688" t="n">
        <v>0</v>
      </c>
      <c r="O688" t="n">
        <v>0</v>
      </c>
      <c r="P688" t="n">
        <v>0</v>
      </c>
      <c r="Q688" t="n">
        <v>0</v>
      </c>
      <c r="R688" s="2" t="inlineStr"/>
    </row>
    <row r="689" ht="15" customHeight="1">
      <c r="A689" t="inlineStr">
        <is>
          <t>A 51945-2025</t>
        </is>
      </c>
      <c r="B689" s="1" t="n">
        <v>45952.52679398148</v>
      </c>
      <c r="C689" s="1" t="n">
        <v>46088</v>
      </c>
      <c r="D689" t="inlineStr">
        <is>
          <t>STOCKHOLMS LÄN</t>
        </is>
      </c>
      <c r="E689" t="inlineStr">
        <is>
          <t>NORRTÄLJE</t>
        </is>
      </c>
      <c r="G689" t="n">
        <v>7</v>
      </c>
      <c r="H689" t="n">
        <v>0</v>
      </c>
      <c r="I689" t="n">
        <v>0</v>
      </c>
      <c r="J689" t="n">
        <v>0</v>
      </c>
      <c r="K689" t="n">
        <v>0</v>
      </c>
      <c r="L689" t="n">
        <v>0</v>
      </c>
      <c r="M689" t="n">
        <v>0</v>
      </c>
      <c r="N689" t="n">
        <v>0</v>
      </c>
      <c r="O689" t="n">
        <v>0</v>
      </c>
      <c r="P689" t="n">
        <v>0</v>
      </c>
      <c r="Q689" t="n">
        <v>0</v>
      </c>
      <c r="R689" s="2" t="inlineStr"/>
    </row>
    <row r="690" ht="15" customHeight="1">
      <c r="A690" t="inlineStr">
        <is>
          <t>A 16202-2022</t>
        </is>
      </c>
      <c r="B690" s="1" t="n">
        <v>44670</v>
      </c>
      <c r="C690" s="1" t="n">
        <v>46088</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55018-2024</t>
        </is>
      </c>
      <c r="B691" s="1" t="n">
        <v>45621.35712962963</v>
      </c>
      <c r="C691" s="1" t="n">
        <v>46088</v>
      </c>
      <c r="D691" t="inlineStr">
        <is>
          <t>STOCKHOLMS LÄN</t>
        </is>
      </c>
      <c r="E691" t="inlineStr">
        <is>
          <t>NORRTÄLJE</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52251-2025</t>
        </is>
      </c>
      <c r="B692" s="1" t="n">
        <v>45953.49185185185</v>
      </c>
      <c r="C692" s="1" t="n">
        <v>46088</v>
      </c>
      <c r="D692" t="inlineStr">
        <is>
          <t>STOCKHOLMS LÄN</t>
        </is>
      </c>
      <c r="E692" t="inlineStr">
        <is>
          <t>NORRTÄLJE</t>
        </is>
      </c>
      <c r="G692" t="n">
        <v>6.2</v>
      </c>
      <c r="H692" t="n">
        <v>0</v>
      </c>
      <c r="I692" t="n">
        <v>0</v>
      </c>
      <c r="J692" t="n">
        <v>0</v>
      </c>
      <c r="K692" t="n">
        <v>0</v>
      </c>
      <c r="L692" t="n">
        <v>0</v>
      </c>
      <c r="M692" t="n">
        <v>0</v>
      </c>
      <c r="N692" t="n">
        <v>0</v>
      </c>
      <c r="O692" t="n">
        <v>0</v>
      </c>
      <c r="P692" t="n">
        <v>0</v>
      </c>
      <c r="Q692" t="n">
        <v>0</v>
      </c>
      <c r="R692" s="2" t="inlineStr"/>
    </row>
    <row r="693" ht="15" customHeight="1">
      <c r="A693" t="inlineStr">
        <is>
          <t>A 52254-2025</t>
        </is>
      </c>
      <c r="B693" s="1" t="n">
        <v>45953.49519675926</v>
      </c>
      <c r="C693" s="1" t="n">
        <v>46088</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52773-2025</t>
        </is>
      </c>
      <c r="B694" s="1" t="n">
        <v>45957.41457175926</v>
      </c>
      <c r="C694" s="1" t="n">
        <v>46088</v>
      </c>
      <c r="D694" t="inlineStr">
        <is>
          <t>STOCKHOLMS LÄN</t>
        </is>
      </c>
      <c r="E694" t="inlineStr">
        <is>
          <t>NORRTÄLJE</t>
        </is>
      </c>
      <c r="F694" t="inlineStr">
        <is>
          <t>Sveaskog</t>
        </is>
      </c>
      <c r="G694" t="n">
        <v>10.5</v>
      </c>
      <c r="H694" t="n">
        <v>0</v>
      </c>
      <c r="I694" t="n">
        <v>0</v>
      </c>
      <c r="J694" t="n">
        <v>0</v>
      </c>
      <c r="K694" t="n">
        <v>0</v>
      </c>
      <c r="L694" t="n">
        <v>0</v>
      </c>
      <c r="M694" t="n">
        <v>0</v>
      </c>
      <c r="N694" t="n">
        <v>0</v>
      </c>
      <c r="O694" t="n">
        <v>0</v>
      </c>
      <c r="P694" t="n">
        <v>0</v>
      </c>
      <c r="Q694" t="n">
        <v>0</v>
      </c>
      <c r="R694" s="2" t="inlineStr"/>
    </row>
    <row r="695" ht="15" customHeight="1">
      <c r="A695" t="inlineStr">
        <is>
          <t>A 37628-2025</t>
        </is>
      </c>
      <c r="B695" s="1" t="n">
        <v>45880.46189814815</v>
      </c>
      <c r="C695" s="1" t="n">
        <v>46088</v>
      </c>
      <c r="D695" t="inlineStr">
        <is>
          <t>STOCKHOLMS LÄN</t>
        </is>
      </c>
      <c r="E695" t="inlineStr">
        <is>
          <t>NORRTÄLJE</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29369-2024</t>
        </is>
      </c>
      <c r="B696" s="1" t="n">
        <v>45483.57244212963</v>
      </c>
      <c r="C696" s="1" t="n">
        <v>46088</v>
      </c>
      <c r="D696" t="inlineStr">
        <is>
          <t>STOCKHOLMS LÄN</t>
        </is>
      </c>
      <c r="E696" t="inlineStr">
        <is>
          <t>NORRTÄLJE</t>
        </is>
      </c>
      <c r="G696" t="n">
        <v>15.9</v>
      </c>
      <c r="H696" t="n">
        <v>0</v>
      </c>
      <c r="I696" t="n">
        <v>0</v>
      </c>
      <c r="J696" t="n">
        <v>0</v>
      </c>
      <c r="K696" t="n">
        <v>0</v>
      </c>
      <c r="L696" t="n">
        <v>0</v>
      </c>
      <c r="M696" t="n">
        <v>0</v>
      </c>
      <c r="N696" t="n">
        <v>0</v>
      </c>
      <c r="O696" t="n">
        <v>0</v>
      </c>
      <c r="P696" t="n">
        <v>0</v>
      </c>
      <c r="Q696" t="n">
        <v>0</v>
      </c>
      <c r="R696" s="2" t="inlineStr"/>
    </row>
    <row r="697" ht="15" customHeight="1">
      <c r="A697" t="inlineStr">
        <is>
          <t>A 50136-2023</t>
        </is>
      </c>
      <c r="B697" s="1" t="n">
        <v>45215</v>
      </c>
      <c r="C697" s="1" t="n">
        <v>46088</v>
      </c>
      <c r="D697" t="inlineStr">
        <is>
          <t>STOCKHOLMS LÄN</t>
        </is>
      </c>
      <c r="E697" t="inlineStr">
        <is>
          <t>NORRTÄLJE</t>
        </is>
      </c>
      <c r="G697" t="n">
        <v>5.2</v>
      </c>
      <c r="H697" t="n">
        <v>0</v>
      </c>
      <c r="I697" t="n">
        <v>0</v>
      </c>
      <c r="J697" t="n">
        <v>0</v>
      </c>
      <c r="K697" t="n">
        <v>0</v>
      </c>
      <c r="L697" t="n">
        <v>0</v>
      </c>
      <c r="M697" t="n">
        <v>0</v>
      </c>
      <c r="N697" t="n">
        <v>0</v>
      </c>
      <c r="O697" t="n">
        <v>0</v>
      </c>
      <c r="P697" t="n">
        <v>0</v>
      </c>
      <c r="Q697" t="n">
        <v>0</v>
      </c>
      <c r="R697" s="2" t="inlineStr"/>
    </row>
    <row r="698" ht="15" customHeight="1">
      <c r="A698" t="inlineStr">
        <is>
          <t>A 52777-2025</t>
        </is>
      </c>
      <c r="B698" s="1" t="n">
        <v>45957.41832175926</v>
      </c>
      <c r="C698" s="1" t="n">
        <v>46088</v>
      </c>
      <c r="D698" t="inlineStr">
        <is>
          <t>STOCKHOLMS LÄN</t>
        </is>
      </c>
      <c r="E698" t="inlineStr">
        <is>
          <t>NORRTÄLJE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25656-2023</t>
        </is>
      </c>
      <c r="B699" s="1" t="n">
        <v>45089</v>
      </c>
      <c r="C699" s="1" t="n">
        <v>46088</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37632-2025</t>
        </is>
      </c>
      <c r="B700" s="1" t="n">
        <v>45880.46524305556</v>
      </c>
      <c r="C700" s="1" t="n">
        <v>46088</v>
      </c>
      <c r="D700" t="inlineStr">
        <is>
          <t>STOCKHOLMS LÄN</t>
        </is>
      </c>
      <c r="E700" t="inlineStr">
        <is>
          <t>NORRTÄLJE</t>
        </is>
      </c>
      <c r="F700" t="inlineStr">
        <is>
          <t>Sveaskog</t>
        </is>
      </c>
      <c r="G700" t="n">
        <v>6.4</v>
      </c>
      <c r="H700" t="n">
        <v>0</v>
      </c>
      <c r="I700" t="n">
        <v>0</v>
      </c>
      <c r="J700" t="n">
        <v>0</v>
      </c>
      <c r="K700" t="n">
        <v>0</v>
      </c>
      <c r="L700" t="n">
        <v>0</v>
      </c>
      <c r="M700" t="n">
        <v>0</v>
      </c>
      <c r="N700" t="n">
        <v>0</v>
      </c>
      <c r="O700" t="n">
        <v>0</v>
      </c>
      <c r="P700" t="n">
        <v>0</v>
      </c>
      <c r="Q700" t="n">
        <v>0</v>
      </c>
      <c r="R700" s="2" t="inlineStr"/>
    </row>
    <row r="701" ht="15" customHeight="1">
      <c r="A701" t="inlineStr">
        <is>
          <t>A 6003-2025</t>
        </is>
      </c>
      <c r="B701" s="1" t="n">
        <v>45695.57881944445</v>
      </c>
      <c r="C701" s="1" t="n">
        <v>46088</v>
      </c>
      <c r="D701" t="inlineStr">
        <is>
          <t>STOCKHOLMS LÄN</t>
        </is>
      </c>
      <c r="E701" t="inlineStr">
        <is>
          <t>NORRTÄLJE</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29841-2024</t>
        </is>
      </c>
      <c r="B702" s="1" t="n">
        <v>45485.60261574074</v>
      </c>
      <c r="C702" s="1" t="n">
        <v>46088</v>
      </c>
      <c r="D702" t="inlineStr">
        <is>
          <t>STOCKHOLMS LÄN</t>
        </is>
      </c>
      <c r="E702" t="inlineStr">
        <is>
          <t>NORRTÄLJE</t>
        </is>
      </c>
      <c r="G702" t="n">
        <v>15.9</v>
      </c>
      <c r="H702" t="n">
        <v>0</v>
      </c>
      <c r="I702" t="n">
        <v>0</v>
      </c>
      <c r="J702" t="n">
        <v>0</v>
      </c>
      <c r="K702" t="n">
        <v>0</v>
      </c>
      <c r="L702" t="n">
        <v>0</v>
      </c>
      <c r="M702" t="n">
        <v>0</v>
      </c>
      <c r="N702" t="n">
        <v>0</v>
      </c>
      <c r="O702" t="n">
        <v>0</v>
      </c>
      <c r="P702" t="n">
        <v>0</v>
      </c>
      <c r="Q702" t="n">
        <v>0</v>
      </c>
      <c r="R702" s="2" t="inlineStr"/>
    </row>
    <row r="703" ht="15" customHeight="1">
      <c r="A703" t="inlineStr">
        <is>
          <t>A 52526-2025</t>
        </is>
      </c>
      <c r="B703" s="1" t="n">
        <v>45954.53061342592</v>
      </c>
      <c r="C703" s="1" t="n">
        <v>46088</v>
      </c>
      <c r="D703" t="inlineStr">
        <is>
          <t>STOCKHOLMS LÄN</t>
        </is>
      </c>
      <c r="E703" t="inlineStr">
        <is>
          <t>NORRTÄLJE</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53000-2025</t>
        </is>
      </c>
      <c r="B704" s="1" t="n">
        <v>45957.74357638889</v>
      </c>
      <c r="C704" s="1" t="n">
        <v>46088</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20692-2025</t>
        </is>
      </c>
      <c r="B705" s="1" t="n">
        <v>45776.46369212963</v>
      </c>
      <c r="C705" s="1" t="n">
        <v>46088</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37630-2025</t>
        </is>
      </c>
      <c r="B706" s="1" t="n">
        <v>45880.46372685185</v>
      </c>
      <c r="C706" s="1" t="n">
        <v>46088</v>
      </c>
      <c r="D706" t="inlineStr">
        <is>
          <t>STOCKHOLMS LÄN</t>
        </is>
      </c>
      <c r="E706" t="inlineStr">
        <is>
          <t>NORRTÄLJE</t>
        </is>
      </c>
      <c r="F706" t="inlineStr">
        <is>
          <t>Sveaskog</t>
        </is>
      </c>
      <c r="G706" t="n">
        <v>12.9</v>
      </c>
      <c r="H706" t="n">
        <v>0</v>
      </c>
      <c r="I706" t="n">
        <v>0</v>
      </c>
      <c r="J706" t="n">
        <v>0</v>
      </c>
      <c r="K706" t="n">
        <v>0</v>
      </c>
      <c r="L706" t="n">
        <v>0</v>
      </c>
      <c r="M706" t="n">
        <v>0</v>
      </c>
      <c r="N706" t="n">
        <v>0</v>
      </c>
      <c r="O706" t="n">
        <v>0</v>
      </c>
      <c r="P706" t="n">
        <v>0</v>
      </c>
      <c r="Q706" t="n">
        <v>0</v>
      </c>
      <c r="R706" s="2" t="inlineStr"/>
    </row>
    <row r="707" ht="15" customHeight="1">
      <c r="A707" t="inlineStr">
        <is>
          <t>A 11902-2024</t>
        </is>
      </c>
      <c r="B707" s="1" t="n">
        <v>45376.55704861111</v>
      </c>
      <c r="C707" s="1" t="n">
        <v>46088</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52703-2025</t>
        </is>
      </c>
      <c r="B708" s="1" t="n">
        <v>45956.88643518519</v>
      </c>
      <c r="C708" s="1" t="n">
        <v>46088</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52729-2025</t>
        </is>
      </c>
      <c r="B709" s="1" t="n">
        <v>45957.3636574074</v>
      </c>
      <c r="C709" s="1" t="n">
        <v>46088</v>
      </c>
      <c r="D709" t="inlineStr">
        <is>
          <t>STOCKHOLMS LÄN</t>
        </is>
      </c>
      <c r="E709" t="inlineStr">
        <is>
          <t>NORRTÄLJE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52734-2025</t>
        </is>
      </c>
      <c r="B710" s="1" t="n">
        <v>45957.3710300926</v>
      </c>
      <c r="C710" s="1" t="n">
        <v>46088</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38049-2023</t>
        </is>
      </c>
      <c r="B711" s="1" t="n">
        <v>45159</v>
      </c>
      <c r="C711" s="1" t="n">
        <v>46088</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59535-2024</t>
        </is>
      </c>
      <c r="B712" s="1" t="n">
        <v>45638.59979166667</v>
      </c>
      <c r="C712" s="1" t="n">
        <v>46088</v>
      </c>
      <c r="D712" t="inlineStr">
        <is>
          <t>STOCKHOLMS LÄN</t>
        </is>
      </c>
      <c r="E712" t="inlineStr">
        <is>
          <t>NORRTÄLJE</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693-2026</t>
        </is>
      </c>
      <c r="B713" s="1" t="n">
        <v>46029.6133449074</v>
      </c>
      <c r="C713" s="1" t="n">
        <v>46088</v>
      </c>
      <c r="D713" t="inlineStr">
        <is>
          <t>STOCKHOLMS LÄN</t>
        </is>
      </c>
      <c r="E713" t="inlineStr">
        <is>
          <t>NORRTÄLJE</t>
        </is>
      </c>
      <c r="G713" t="n">
        <v>9.6</v>
      </c>
      <c r="H713" t="n">
        <v>0</v>
      </c>
      <c r="I713" t="n">
        <v>0</v>
      </c>
      <c r="J713" t="n">
        <v>0</v>
      </c>
      <c r="K713" t="n">
        <v>0</v>
      </c>
      <c r="L713" t="n">
        <v>0</v>
      </c>
      <c r="M713" t="n">
        <v>0</v>
      </c>
      <c r="N713" t="n">
        <v>0</v>
      </c>
      <c r="O713" t="n">
        <v>0</v>
      </c>
      <c r="P713" t="n">
        <v>0</v>
      </c>
      <c r="Q713" t="n">
        <v>0</v>
      </c>
      <c r="R713" s="2" t="inlineStr"/>
    </row>
    <row r="714" ht="15" customHeight="1">
      <c r="A714" t="inlineStr">
        <is>
          <t>A 46071-2024</t>
        </is>
      </c>
      <c r="B714" s="1" t="n">
        <v>45581</v>
      </c>
      <c r="C714" s="1" t="n">
        <v>46088</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52776-2025</t>
        </is>
      </c>
      <c r="B715" s="1" t="n">
        <v>45957.41724537037</v>
      </c>
      <c r="C715" s="1" t="n">
        <v>46088</v>
      </c>
      <c r="D715" t="inlineStr">
        <is>
          <t>STOCKHOLMS LÄN</t>
        </is>
      </c>
      <c r="E715" t="inlineStr">
        <is>
          <t>NORRTÄLJE</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13137-2024</t>
        </is>
      </c>
      <c r="B716" s="1" t="n">
        <v>45386.34175925926</v>
      </c>
      <c r="C716" s="1" t="n">
        <v>46088</v>
      </c>
      <c r="D716" t="inlineStr">
        <is>
          <t>STOCKHOLMS LÄN</t>
        </is>
      </c>
      <c r="E716" t="inlineStr">
        <is>
          <t>NORRTÄLJE</t>
        </is>
      </c>
      <c r="G716" t="n">
        <v>5</v>
      </c>
      <c r="H716" t="n">
        <v>0</v>
      </c>
      <c r="I716" t="n">
        <v>0</v>
      </c>
      <c r="J716" t="n">
        <v>0</v>
      </c>
      <c r="K716" t="n">
        <v>0</v>
      </c>
      <c r="L716" t="n">
        <v>0</v>
      </c>
      <c r="M716" t="n">
        <v>0</v>
      </c>
      <c r="N716" t="n">
        <v>0</v>
      </c>
      <c r="O716" t="n">
        <v>0</v>
      </c>
      <c r="P716" t="n">
        <v>0</v>
      </c>
      <c r="Q716" t="n">
        <v>0</v>
      </c>
      <c r="R716" s="2" t="inlineStr"/>
    </row>
    <row r="717" ht="15" customHeight="1">
      <c r="A717" t="inlineStr">
        <is>
          <t>A 475-2026</t>
        </is>
      </c>
      <c r="B717" s="1" t="n">
        <v>46029.39351851852</v>
      </c>
      <c r="C717" s="1" t="n">
        <v>46088</v>
      </c>
      <c r="D717" t="inlineStr">
        <is>
          <t>STOCKHOLMS LÄN</t>
        </is>
      </c>
      <c r="E717" t="inlineStr">
        <is>
          <t>NORRTÄLJE</t>
        </is>
      </c>
      <c r="G717" t="n">
        <v>4.6</v>
      </c>
      <c r="H717" t="n">
        <v>0</v>
      </c>
      <c r="I717" t="n">
        <v>0</v>
      </c>
      <c r="J717" t="n">
        <v>0</v>
      </c>
      <c r="K717" t="n">
        <v>0</v>
      </c>
      <c r="L717" t="n">
        <v>0</v>
      </c>
      <c r="M717" t="n">
        <v>0</v>
      </c>
      <c r="N717" t="n">
        <v>0</v>
      </c>
      <c r="O717" t="n">
        <v>0</v>
      </c>
      <c r="P717" t="n">
        <v>0</v>
      </c>
      <c r="Q717" t="n">
        <v>0</v>
      </c>
      <c r="R717" s="2" t="inlineStr"/>
    </row>
    <row r="718" ht="15" customHeight="1">
      <c r="A718" t="inlineStr">
        <is>
          <t>A 52529-2025</t>
        </is>
      </c>
      <c r="B718" s="1" t="n">
        <v>45954.53229166667</v>
      </c>
      <c r="C718" s="1" t="n">
        <v>46088</v>
      </c>
      <c r="D718" t="inlineStr">
        <is>
          <t>STOCKHOLMS LÄN</t>
        </is>
      </c>
      <c r="E718" t="inlineStr">
        <is>
          <t>NORRTÄLJE</t>
        </is>
      </c>
      <c r="F718" t="inlineStr">
        <is>
          <t>Sveaskog</t>
        </is>
      </c>
      <c r="G718" t="n">
        <v>7.8</v>
      </c>
      <c r="H718" t="n">
        <v>0</v>
      </c>
      <c r="I718" t="n">
        <v>0</v>
      </c>
      <c r="J718" t="n">
        <v>0</v>
      </c>
      <c r="K718" t="n">
        <v>0</v>
      </c>
      <c r="L718" t="n">
        <v>0</v>
      </c>
      <c r="M718" t="n">
        <v>0</v>
      </c>
      <c r="N718" t="n">
        <v>0</v>
      </c>
      <c r="O718" t="n">
        <v>0</v>
      </c>
      <c r="P718" t="n">
        <v>0</v>
      </c>
      <c r="Q718" t="n">
        <v>0</v>
      </c>
      <c r="R718" s="2" t="inlineStr"/>
    </row>
    <row r="719" ht="15" customHeight="1">
      <c r="A719" t="inlineStr">
        <is>
          <t>A 52704-2025</t>
        </is>
      </c>
      <c r="B719" s="1" t="n">
        <v>45956.89097222222</v>
      </c>
      <c r="C719" s="1" t="n">
        <v>46088</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4183-2025</t>
        </is>
      </c>
      <c r="B720" s="1" t="n">
        <v>45685.44592592592</v>
      </c>
      <c r="C720" s="1" t="n">
        <v>46088</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52553-2025</t>
        </is>
      </c>
      <c r="B721" s="1" t="n">
        <v>45954.5624537037</v>
      </c>
      <c r="C721" s="1" t="n">
        <v>46088</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24350-2025</t>
        </is>
      </c>
      <c r="B722" s="1" t="n">
        <v>45797.58350694444</v>
      </c>
      <c r="C722" s="1" t="n">
        <v>46088</v>
      </c>
      <c r="D722" t="inlineStr">
        <is>
          <t>STOCKHOLMS LÄN</t>
        </is>
      </c>
      <c r="E722" t="inlineStr">
        <is>
          <t>NORRTÄLJE</t>
        </is>
      </c>
      <c r="G722" t="n">
        <v>4.5</v>
      </c>
      <c r="H722" t="n">
        <v>0</v>
      </c>
      <c r="I722" t="n">
        <v>0</v>
      </c>
      <c r="J722" t="n">
        <v>0</v>
      </c>
      <c r="K722" t="n">
        <v>0</v>
      </c>
      <c r="L722" t="n">
        <v>0</v>
      </c>
      <c r="M722" t="n">
        <v>0</v>
      </c>
      <c r="N722" t="n">
        <v>0</v>
      </c>
      <c r="O722" t="n">
        <v>0</v>
      </c>
      <c r="P722" t="n">
        <v>0</v>
      </c>
      <c r="Q722" t="n">
        <v>0</v>
      </c>
      <c r="R722" s="2" t="inlineStr"/>
    </row>
    <row r="723" ht="15" customHeight="1">
      <c r="A723" t="inlineStr">
        <is>
          <t>A 26703-2025</t>
        </is>
      </c>
      <c r="B723" s="1" t="n">
        <v>45810.45263888889</v>
      </c>
      <c r="C723" s="1" t="n">
        <v>46088</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9480-2025</t>
        </is>
      </c>
      <c r="B724" s="1" t="n">
        <v>45715</v>
      </c>
      <c r="C724" s="1" t="n">
        <v>46088</v>
      </c>
      <c r="D724" t="inlineStr">
        <is>
          <t>STOCKHOLMS LÄN</t>
        </is>
      </c>
      <c r="E724" t="inlineStr">
        <is>
          <t>NORRTÄLJE</t>
        </is>
      </c>
      <c r="F724" t="inlineStr">
        <is>
          <t>Övriga Aktiebolag</t>
        </is>
      </c>
      <c r="G724" t="n">
        <v>3.9</v>
      </c>
      <c r="H724" t="n">
        <v>0</v>
      </c>
      <c r="I724" t="n">
        <v>0</v>
      </c>
      <c r="J724" t="n">
        <v>0</v>
      </c>
      <c r="K724" t="n">
        <v>0</v>
      </c>
      <c r="L724" t="n">
        <v>0</v>
      </c>
      <c r="M724" t="n">
        <v>0</v>
      </c>
      <c r="N724" t="n">
        <v>0</v>
      </c>
      <c r="O724" t="n">
        <v>0</v>
      </c>
      <c r="P724" t="n">
        <v>0</v>
      </c>
      <c r="Q724" t="n">
        <v>0</v>
      </c>
      <c r="R724" s="2" t="inlineStr"/>
    </row>
    <row r="725" ht="15" customHeight="1">
      <c r="A725" t="inlineStr">
        <is>
          <t>A 717-2026</t>
        </is>
      </c>
      <c r="B725" s="1" t="n">
        <v>46029.63028935185</v>
      </c>
      <c r="C725" s="1" t="n">
        <v>46088</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38153-2025</t>
        </is>
      </c>
      <c r="B726" s="1" t="n">
        <v>45882.59722222222</v>
      </c>
      <c r="C726" s="1" t="n">
        <v>46088</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53299-2025</t>
        </is>
      </c>
      <c r="B727" s="1" t="n">
        <v>45959.31901620371</v>
      </c>
      <c r="C727" s="1" t="n">
        <v>46088</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53087-2025</t>
        </is>
      </c>
      <c r="B728" s="1" t="n">
        <v>45958.41065972222</v>
      </c>
      <c r="C728" s="1" t="n">
        <v>46088</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53115-2025</t>
        </is>
      </c>
      <c r="B729" s="1" t="n">
        <v>45958.44614583333</v>
      </c>
      <c r="C729" s="1" t="n">
        <v>46088</v>
      </c>
      <c r="D729" t="inlineStr">
        <is>
          <t>STOCKHOLMS LÄN</t>
        </is>
      </c>
      <c r="E729" t="inlineStr">
        <is>
          <t>NORRTÄLJE</t>
        </is>
      </c>
      <c r="F729" t="inlineStr">
        <is>
          <t>Kyrkan</t>
        </is>
      </c>
      <c r="G729" t="n">
        <v>2.5</v>
      </c>
      <c r="H729" t="n">
        <v>0</v>
      </c>
      <c r="I729" t="n">
        <v>0</v>
      </c>
      <c r="J729" t="n">
        <v>0</v>
      </c>
      <c r="K729" t="n">
        <v>0</v>
      </c>
      <c r="L729" t="n">
        <v>0</v>
      </c>
      <c r="M729" t="n">
        <v>0</v>
      </c>
      <c r="N729" t="n">
        <v>0</v>
      </c>
      <c r="O729" t="n">
        <v>0</v>
      </c>
      <c r="P729" t="n">
        <v>0</v>
      </c>
      <c r="Q729" t="n">
        <v>0</v>
      </c>
      <c r="R729" s="2" t="inlineStr"/>
    </row>
    <row r="730" ht="15" customHeight="1">
      <c r="A730" t="inlineStr">
        <is>
          <t>A 22816-2021</t>
        </is>
      </c>
      <c r="B730" s="1" t="n">
        <v>44325</v>
      </c>
      <c r="C730" s="1" t="n">
        <v>46088</v>
      </c>
      <c r="D730" t="inlineStr">
        <is>
          <t>STOCKHOLMS LÄN</t>
        </is>
      </c>
      <c r="E730" t="inlineStr">
        <is>
          <t>NORRTÄLJE</t>
        </is>
      </c>
      <c r="G730" t="n">
        <v>4.5</v>
      </c>
      <c r="H730" t="n">
        <v>0</v>
      </c>
      <c r="I730" t="n">
        <v>0</v>
      </c>
      <c r="J730" t="n">
        <v>0</v>
      </c>
      <c r="K730" t="n">
        <v>0</v>
      </c>
      <c r="L730" t="n">
        <v>0</v>
      </c>
      <c r="M730" t="n">
        <v>0</v>
      </c>
      <c r="N730" t="n">
        <v>0</v>
      </c>
      <c r="O730" t="n">
        <v>0</v>
      </c>
      <c r="P730" t="n">
        <v>0</v>
      </c>
      <c r="Q730" t="n">
        <v>0</v>
      </c>
      <c r="R730" s="2" t="inlineStr"/>
    </row>
    <row r="731" ht="15" customHeight="1">
      <c r="A731" t="inlineStr">
        <is>
          <t>A 53629-2025</t>
        </is>
      </c>
      <c r="B731" s="1" t="n">
        <v>45960.49570601852</v>
      </c>
      <c r="C731" s="1" t="n">
        <v>46088</v>
      </c>
      <c r="D731" t="inlineStr">
        <is>
          <t>STOCKHOLMS LÄN</t>
        </is>
      </c>
      <c r="E731" t="inlineStr">
        <is>
          <t>NORRTÄLJE</t>
        </is>
      </c>
      <c r="F731" t="inlineStr">
        <is>
          <t>Naturvårdsverket</t>
        </is>
      </c>
      <c r="G731" t="n">
        <v>7.9</v>
      </c>
      <c r="H731" t="n">
        <v>0</v>
      </c>
      <c r="I731" t="n">
        <v>0</v>
      </c>
      <c r="J731" t="n">
        <v>0</v>
      </c>
      <c r="K731" t="n">
        <v>0</v>
      </c>
      <c r="L731" t="n">
        <v>0</v>
      </c>
      <c r="M731" t="n">
        <v>0</v>
      </c>
      <c r="N731" t="n">
        <v>0</v>
      </c>
      <c r="O731" t="n">
        <v>0</v>
      </c>
      <c r="P731" t="n">
        <v>0</v>
      </c>
      <c r="Q731" t="n">
        <v>0</v>
      </c>
      <c r="R731" s="2" t="inlineStr"/>
    </row>
    <row r="732" ht="15" customHeight="1">
      <c r="A732" t="inlineStr">
        <is>
          <t>A 24522-2023</t>
        </is>
      </c>
      <c r="B732" s="1" t="n">
        <v>45082.69179398148</v>
      </c>
      <c r="C732" s="1" t="n">
        <v>46088</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25625-2023</t>
        </is>
      </c>
      <c r="B733" s="1" t="n">
        <v>45089</v>
      </c>
      <c r="C733" s="1" t="n">
        <v>46088</v>
      </c>
      <c r="D733" t="inlineStr">
        <is>
          <t>STOCKHOLMS LÄN</t>
        </is>
      </c>
      <c r="E733" t="inlineStr">
        <is>
          <t>NORRTÄLJE</t>
        </is>
      </c>
      <c r="G733" t="n">
        <v>5.5</v>
      </c>
      <c r="H733" t="n">
        <v>0</v>
      </c>
      <c r="I733" t="n">
        <v>0</v>
      </c>
      <c r="J733" t="n">
        <v>0</v>
      </c>
      <c r="K733" t="n">
        <v>0</v>
      </c>
      <c r="L733" t="n">
        <v>0</v>
      </c>
      <c r="M733" t="n">
        <v>0</v>
      </c>
      <c r="N733" t="n">
        <v>0</v>
      </c>
      <c r="O733" t="n">
        <v>0</v>
      </c>
      <c r="P733" t="n">
        <v>0</v>
      </c>
      <c r="Q733" t="n">
        <v>0</v>
      </c>
      <c r="R733" s="2" t="inlineStr"/>
    </row>
    <row r="734" ht="15" customHeight="1">
      <c r="A734" t="inlineStr">
        <is>
          <t>A 812-2026</t>
        </is>
      </c>
      <c r="B734" s="1" t="n">
        <v>46030.33358796296</v>
      </c>
      <c r="C734" s="1" t="n">
        <v>46088</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53747-2025</t>
        </is>
      </c>
      <c r="B735" s="1" t="n">
        <v>45960.65415509259</v>
      </c>
      <c r="C735" s="1" t="n">
        <v>46088</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39610-2025</t>
        </is>
      </c>
      <c r="B736" s="1" t="n">
        <v>45890</v>
      </c>
      <c r="C736" s="1" t="n">
        <v>46088</v>
      </c>
      <c r="D736" t="inlineStr">
        <is>
          <t>STOCKHOLMS LÄN</t>
        </is>
      </c>
      <c r="E736" t="inlineStr">
        <is>
          <t>NORRTÄLJE</t>
        </is>
      </c>
      <c r="G736" t="n">
        <v>28.6</v>
      </c>
      <c r="H736" t="n">
        <v>0</v>
      </c>
      <c r="I736" t="n">
        <v>0</v>
      </c>
      <c r="J736" t="n">
        <v>0</v>
      </c>
      <c r="K736" t="n">
        <v>0</v>
      </c>
      <c r="L736" t="n">
        <v>0</v>
      </c>
      <c r="M736" t="n">
        <v>0</v>
      </c>
      <c r="N736" t="n">
        <v>0</v>
      </c>
      <c r="O736" t="n">
        <v>0</v>
      </c>
      <c r="P736" t="n">
        <v>0</v>
      </c>
      <c r="Q736" t="n">
        <v>0</v>
      </c>
      <c r="R736" s="2" t="inlineStr"/>
    </row>
    <row r="737" ht="15" customHeight="1">
      <c r="A737" t="inlineStr">
        <is>
          <t>A 37147-2023</t>
        </is>
      </c>
      <c r="B737" s="1" t="n">
        <v>45155</v>
      </c>
      <c r="C737" s="1" t="n">
        <v>46088</v>
      </c>
      <c r="D737" t="inlineStr">
        <is>
          <t>STOCKHOLMS LÄN</t>
        </is>
      </c>
      <c r="E737" t="inlineStr">
        <is>
          <t>NORRTÄLJE</t>
        </is>
      </c>
      <c r="G737" t="n">
        <v>8</v>
      </c>
      <c r="H737" t="n">
        <v>0</v>
      </c>
      <c r="I737" t="n">
        <v>0</v>
      </c>
      <c r="J737" t="n">
        <v>0</v>
      </c>
      <c r="K737" t="n">
        <v>0</v>
      </c>
      <c r="L737" t="n">
        <v>0</v>
      </c>
      <c r="M737" t="n">
        <v>0</v>
      </c>
      <c r="N737" t="n">
        <v>0</v>
      </c>
      <c r="O737" t="n">
        <v>0</v>
      </c>
      <c r="P737" t="n">
        <v>0</v>
      </c>
      <c r="Q737" t="n">
        <v>0</v>
      </c>
      <c r="R737" s="2" t="inlineStr"/>
    </row>
    <row r="738" ht="15" customHeight="1">
      <c r="A738" t="inlineStr">
        <is>
          <t>A 7186-2024</t>
        </is>
      </c>
      <c r="B738" s="1" t="n">
        <v>45344</v>
      </c>
      <c r="C738" s="1" t="n">
        <v>46088</v>
      </c>
      <c r="D738" t="inlineStr">
        <is>
          <t>STOCKHOLMS LÄN</t>
        </is>
      </c>
      <c r="E738" t="inlineStr">
        <is>
          <t>NORRTÄLJE</t>
        </is>
      </c>
      <c r="G738" t="n">
        <v>4.9</v>
      </c>
      <c r="H738" t="n">
        <v>0</v>
      </c>
      <c r="I738" t="n">
        <v>0</v>
      </c>
      <c r="J738" t="n">
        <v>0</v>
      </c>
      <c r="K738" t="n">
        <v>0</v>
      </c>
      <c r="L738" t="n">
        <v>0</v>
      </c>
      <c r="M738" t="n">
        <v>0</v>
      </c>
      <c r="N738" t="n">
        <v>0</v>
      </c>
      <c r="O738" t="n">
        <v>0</v>
      </c>
      <c r="P738" t="n">
        <v>0</v>
      </c>
      <c r="Q738" t="n">
        <v>0</v>
      </c>
      <c r="R738" s="2" t="inlineStr"/>
    </row>
    <row r="739" ht="15" customHeight="1">
      <c r="A739" t="inlineStr">
        <is>
          <t>A 57602-2024</t>
        </is>
      </c>
      <c r="B739" s="1" t="n">
        <v>45630.52866898148</v>
      </c>
      <c r="C739" s="1" t="n">
        <v>46088</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64600-2021</t>
        </is>
      </c>
      <c r="B740" s="1" t="n">
        <v>44511.70518518519</v>
      </c>
      <c r="C740" s="1" t="n">
        <v>46088</v>
      </c>
      <c r="D740" t="inlineStr">
        <is>
          <t>STOCKHOLMS LÄN</t>
        </is>
      </c>
      <c r="E740" t="inlineStr">
        <is>
          <t>NORRTÄLJE</t>
        </is>
      </c>
      <c r="G740" t="n">
        <v>6.2</v>
      </c>
      <c r="H740" t="n">
        <v>0</v>
      </c>
      <c r="I740" t="n">
        <v>0</v>
      </c>
      <c r="J740" t="n">
        <v>0</v>
      </c>
      <c r="K740" t="n">
        <v>0</v>
      </c>
      <c r="L740" t="n">
        <v>0</v>
      </c>
      <c r="M740" t="n">
        <v>0</v>
      </c>
      <c r="N740" t="n">
        <v>0</v>
      </c>
      <c r="O740" t="n">
        <v>0</v>
      </c>
      <c r="P740" t="n">
        <v>0</v>
      </c>
      <c r="Q740" t="n">
        <v>0</v>
      </c>
      <c r="R740" s="2" t="inlineStr"/>
    </row>
    <row r="741" ht="15" customHeight="1">
      <c r="A741" t="inlineStr">
        <is>
          <t>A 50602-2021</t>
        </is>
      </c>
      <c r="B741" s="1" t="n">
        <v>44459</v>
      </c>
      <c r="C741" s="1" t="n">
        <v>46088</v>
      </c>
      <c r="D741" t="inlineStr">
        <is>
          <t>STOCKHOLMS LÄN</t>
        </is>
      </c>
      <c r="E741" t="inlineStr">
        <is>
          <t>NORRTÄLJE</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26365-2024</t>
        </is>
      </c>
      <c r="B742" s="1" t="n">
        <v>45469</v>
      </c>
      <c r="C742" s="1" t="n">
        <v>46088</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67921-2021</t>
        </is>
      </c>
      <c r="B743" s="1" t="n">
        <v>44525</v>
      </c>
      <c r="C743" s="1" t="n">
        <v>46088</v>
      </c>
      <c r="D743" t="inlineStr">
        <is>
          <t>STOCKHOLMS LÄN</t>
        </is>
      </c>
      <c r="E743" t="inlineStr">
        <is>
          <t>NORRTÄLJE</t>
        </is>
      </c>
      <c r="G743" t="n">
        <v>6.3</v>
      </c>
      <c r="H743" t="n">
        <v>0</v>
      </c>
      <c r="I743" t="n">
        <v>0</v>
      </c>
      <c r="J743" t="n">
        <v>0</v>
      </c>
      <c r="K743" t="n">
        <v>0</v>
      </c>
      <c r="L743" t="n">
        <v>0</v>
      </c>
      <c r="M743" t="n">
        <v>0</v>
      </c>
      <c r="N743" t="n">
        <v>0</v>
      </c>
      <c r="O743" t="n">
        <v>0</v>
      </c>
      <c r="P743" t="n">
        <v>0</v>
      </c>
      <c r="Q743" t="n">
        <v>0</v>
      </c>
      <c r="R743" s="2" t="inlineStr"/>
    </row>
    <row r="744" ht="15" customHeight="1">
      <c r="A744" t="inlineStr">
        <is>
          <t>A 26640-2023</t>
        </is>
      </c>
      <c r="B744" s="1" t="n">
        <v>45092</v>
      </c>
      <c r="C744" s="1" t="n">
        <v>46088</v>
      </c>
      <c r="D744" t="inlineStr">
        <is>
          <t>STOCKHOLMS LÄN</t>
        </is>
      </c>
      <c r="E744" t="inlineStr">
        <is>
          <t>NORRTÄLJE</t>
        </is>
      </c>
      <c r="G744" t="n">
        <v>5.7</v>
      </c>
      <c r="H744" t="n">
        <v>0</v>
      </c>
      <c r="I744" t="n">
        <v>0</v>
      </c>
      <c r="J744" t="n">
        <v>0</v>
      </c>
      <c r="K744" t="n">
        <v>0</v>
      </c>
      <c r="L744" t="n">
        <v>0</v>
      </c>
      <c r="M744" t="n">
        <v>0</v>
      </c>
      <c r="N744" t="n">
        <v>0</v>
      </c>
      <c r="O744" t="n">
        <v>0</v>
      </c>
      <c r="P744" t="n">
        <v>0</v>
      </c>
      <c r="Q744" t="n">
        <v>0</v>
      </c>
      <c r="R744" s="2" t="inlineStr"/>
    </row>
    <row r="745" ht="15" customHeight="1">
      <c r="A745" t="inlineStr">
        <is>
          <t>A 31827-2023</t>
        </is>
      </c>
      <c r="B745" s="1" t="n">
        <v>45118</v>
      </c>
      <c r="C745" s="1" t="n">
        <v>46088</v>
      </c>
      <c r="D745" t="inlineStr">
        <is>
          <t>STOCKHOLMS LÄN</t>
        </is>
      </c>
      <c r="E745" t="inlineStr">
        <is>
          <t>NORRTÄLJE</t>
        </is>
      </c>
      <c r="F745" t="inlineStr">
        <is>
          <t>Kyrkan</t>
        </is>
      </c>
      <c r="G745" t="n">
        <v>4.9</v>
      </c>
      <c r="H745" t="n">
        <v>0</v>
      </c>
      <c r="I745" t="n">
        <v>0</v>
      </c>
      <c r="J745" t="n">
        <v>0</v>
      </c>
      <c r="K745" t="n">
        <v>0</v>
      </c>
      <c r="L745" t="n">
        <v>0</v>
      </c>
      <c r="M745" t="n">
        <v>0</v>
      </c>
      <c r="N745" t="n">
        <v>0</v>
      </c>
      <c r="O745" t="n">
        <v>0</v>
      </c>
      <c r="P745" t="n">
        <v>0</v>
      </c>
      <c r="Q745" t="n">
        <v>0</v>
      </c>
      <c r="R745" s="2" t="inlineStr"/>
    </row>
    <row r="746" ht="15" customHeight="1">
      <c r="A746" t="inlineStr">
        <is>
          <t>A 58993-2022</t>
        </is>
      </c>
      <c r="B746" s="1" t="n">
        <v>44903</v>
      </c>
      <c r="C746" s="1" t="n">
        <v>46088</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28900-2022</t>
        </is>
      </c>
      <c r="B747" s="1" t="n">
        <v>44749.55258101852</v>
      </c>
      <c r="C747" s="1" t="n">
        <v>46088</v>
      </c>
      <c r="D747" t="inlineStr">
        <is>
          <t>STOCKHOLMS LÄN</t>
        </is>
      </c>
      <c r="E747" t="inlineStr">
        <is>
          <t>NORRTÄLJE</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17574-2025</t>
        </is>
      </c>
      <c r="B748" s="1" t="n">
        <v>45757.65178240741</v>
      </c>
      <c r="C748" s="1" t="n">
        <v>46088</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65499-2021</t>
        </is>
      </c>
      <c r="B749" s="1" t="n">
        <v>44516</v>
      </c>
      <c r="C749" s="1" t="n">
        <v>46088</v>
      </c>
      <c r="D749" t="inlineStr">
        <is>
          <t>STOCKHOLMS LÄN</t>
        </is>
      </c>
      <c r="E749" t="inlineStr">
        <is>
          <t>NORRTÄLJE</t>
        </is>
      </c>
      <c r="F749" t="inlineStr">
        <is>
          <t>Kommuner</t>
        </is>
      </c>
      <c r="G749" t="n">
        <v>5.2</v>
      </c>
      <c r="H749" t="n">
        <v>0</v>
      </c>
      <c r="I749" t="n">
        <v>0</v>
      </c>
      <c r="J749" t="n">
        <v>0</v>
      </c>
      <c r="K749" t="n">
        <v>0</v>
      </c>
      <c r="L749" t="n">
        <v>0</v>
      </c>
      <c r="M749" t="n">
        <v>0</v>
      </c>
      <c r="N749" t="n">
        <v>0</v>
      </c>
      <c r="O749" t="n">
        <v>0</v>
      </c>
      <c r="P749" t="n">
        <v>0</v>
      </c>
      <c r="Q749" t="n">
        <v>0</v>
      </c>
      <c r="R749" s="2" t="inlineStr"/>
    </row>
    <row r="750" ht="15" customHeight="1">
      <c r="A750" t="inlineStr">
        <is>
          <t>A 58297-2023</t>
        </is>
      </c>
      <c r="B750" s="1" t="n">
        <v>45245</v>
      </c>
      <c r="C750" s="1" t="n">
        <v>46088</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20304-2023</t>
        </is>
      </c>
      <c r="B751" s="1" t="n">
        <v>45056</v>
      </c>
      <c r="C751" s="1" t="n">
        <v>46088</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12299-2025</t>
        </is>
      </c>
      <c r="B752" s="1" t="n">
        <v>45729.71065972222</v>
      </c>
      <c r="C752" s="1" t="n">
        <v>46088</v>
      </c>
      <c r="D752" t="inlineStr">
        <is>
          <t>STOCKHOLMS LÄN</t>
        </is>
      </c>
      <c r="E752" t="inlineStr">
        <is>
          <t>NORRTÄLJE</t>
        </is>
      </c>
      <c r="F752" t="inlineStr">
        <is>
          <t>Holmen skog AB</t>
        </is>
      </c>
      <c r="G752" t="n">
        <v>6.9</v>
      </c>
      <c r="H752" t="n">
        <v>0</v>
      </c>
      <c r="I752" t="n">
        <v>0</v>
      </c>
      <c r="J752" t="n">
        <v>0</v>
      </c>
      <c r="K752" t="n">
        <v>0</v>
      </c>
      <c r="L752" t="n">
        <v>0</v>
      </c>
      <c r="M752" t="n">
        <v>0</v>
      </c>
      <c r="N752" t="n">
        <v>0</v>
      </c>
      <c r="O752" t="n">
        <v>0</v>
      </c>
      <c r="P752" t="n">
        <v>0</v>
      </c>
      <c r="Q752" t="n">
        <v>0</v>
      </c>
      <c r="R752" s="2" t="inlineStr"/>
    </row>
    <row r="753" ht="15" customHeight="1">
      <c r="A753" t="inlineStr">
        <is>
          <t>A 22157-2023</t>
        </is>
      </c>
      <c r="B753" s="1" t="n">
        <v>45069</v>
      </c>
      <c r="C753" s="1" t="n">
        <v>46088</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c r="U753">
        <f>HYPERLINK("https://klasma.github.io/Logging_0188/knärot/A 22157-2023 karta knärot.png", "A 22157-2023")</f>
        <v/>
      </c>
      <c r="V753">
        <f>HYPERLINK("https://klasma.github.io/Logging_0188/klagomål/A 22157-2023 FSC-klagomål.docx", "A 22157-2023")</f>
        <v/>
      </c>
      <c r="W753">
        <f>HYPERLINK("https://klasma.github.io/Logging_0188/klagomålsmail/A 22157-2023 FSC-klagomål mail.docx", "A 22157-2023")</f>
        <v/>
      </c>
      <c r="X753">
        <f>HYPERLINK("https://klasma.github.io/Logging_0188/tillsyn/A 22157-2023 tillsynsbegäran.docx", "A 22157-2023")</f>
        <v/>
      </c>
      <c r="Y753">
        <f>HYPERLINK("https://klasma.github.io/Logging_0188/tillsynsmail/A 22157-2023 tillsynsbegäran mail.docx", "A 22157-2023")</f>
        <v/>
      </c>
    </row>
    <row r="754" ht="15" customHeight="1">
      <c r="A754" t="inlineStr">
        <is>
          <t>A 11929-2024</t>
        </is>
      </c>
      <c r="B754" s="1" t="n">
        <v>45376.64532407407</v>
      </c>
      <c r="C754" s="1" t="n">
        <v>46088</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54907-2025</t>
        </is>
      </c>
      <c r="B755" s="1" t="n">
        <v>45967.37137731481</v>
      </c>
      <c r="C755" s="1" t="n">
        <v>46088</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9720-2026</t>
        </is>
      </c>
      <c r="B756" s="1" t="n">
        <v>46072.45061342593</v>
      </c>
      <c r="C756" s="1" t="n">
        <v>46088</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46088</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10399-2026</t>
        </is>
      </c>
      <c r="B758" s="1" t="n">
        <v>46077</v>
      </c>
      <c r="C758" s="1" t="n">
        <v>46088</v>
      </c>
      <c r="D758" t="inlineStr">
        <is>
          <t>STOCKHOLMS LÄN</t>
        </is>
      </c>
      <c r="E758" t="inlineStr">
        <is>
          <t>NORRTÄLJE</t>
        </is>
      </c>
      <c r="F758" t="inlineStr">
        <is>
          <t>Övriga Aktiebolag</t>
        </is>
      </c>
      <c r="G758" t="n">
        <v>0.2</v>
      </c>
      <c r="H758" t="n">
        <v>0</v>
      </c>
      <c r="I758" t="n">
        <v>0</v>
      </c>
      <c r="J758" t="n">
        <v>0</v>
      </c>
      <c r="K758" t="n">
        <v>0</v>
      </c>
      <c r="L758" t="n">
        <v>0</v>
      </c>
      <c r="M758" t="n">
        <v>0</v>
      </c>
      <c r="N758" t="n">
        <v>0</v>
      </c>
      <c r="O758" t="n">
        <v>0</v>
      </c>
      <c r="P758" t="n">
        <v>0</v>
      </c>
      <c r="Q758" t="n">
        <v>0</v>
      </c>
      <c r="R758" s="2" t="inlineStr"/>
    </row>
    <row r="759" ht="15" customHeight="1">
      <c r="A759" t="inlineStr">
        <is>
          <t>A 8296-2023</t>
        </is>
      </c>
      <c r="B759" s="1" t="n">
        <v>44974</v>
      </c>
      <c r="C759" s="1" t="n">
        <v>46088</v>
      </c>
      <c r="D759" t="inlineStr">
        <is>
          <t>STOCKHOLMS LÄN</t>
        </is>
      </c>
      <c r="E759" t="inlineStr">
        <is>
          <t>NORRTÄLJE</t>
        </is>
      </c>
      <c r="G759" t="n">
        <v>3.8</v>
      </c>
      <c r="H759" t="n">
        <v>0</v>
      </c>
      <c r="I759" t="n">
        <v>0</v>
      </c>
      <c r="J759" t="n">
        <v>0</v>
      </c>
      <c r="K759" t="n">
        <v>0</v>
      </c>
      <c r="L759" t="n">
        <v>0</v>
      </c>
      <c r="M759" t="n">
        <v>0</v>
      </c>
      <c r="N759" t="n">
        <v>0</v>
      </c>
      <c r="O759" t="n">
        <v>0</v>
      </c>
      <c r="P759" t="n">
        <v>0</v>
      </c>
      <c r="Q759" t="n">
        <v>0</v>
      </c>
      <c r="R759" s="2" t="inlineStr"/>
    </row>
    <row r="760" ht="15" customHeight="1">
      <c r="A760" t="inlineStr">
        <is>
          <t>A 24575-2024</t>
        </is>
      </c>
      <c r="B760" s="1" t="n">
        <v>45460.45523148148</v>
      </c>
      <c r="C760" s="1" t="n">
        <v>46088</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64899-2023</t>
        </is>
      </c>
      <c r="B761" s="1" t="n">
        <v>45282</v>
      </c>
      <c r="C761" s="1" t="n">
        <v>46088</v>
      </c>
      <c r="D761" t="inlineStr">
        <is>
          <t>STOCKHOLMS LÄN</t>
        </is>
      </c>
      <c r="E761" t="inlineStr">
        <is>
          <t>NORRTÄLJE</t>
        </is>
      </c>
      <c r="G761" t="n">
        <v>6.3</v>
      </c>
      <c r="H761" t="n">
        <v>0</v>
      </c>
      <c r="I761" t="n">
        <v>0</v>
      </c>
      <c r="J761" t="n">
        <v>0</v>
      </c>
      <c r="K761" t="n">
        <v>0</v>
      </c>
      <c r="L761" t="n">
        <v>0</v>
      </c>
      <c r="M761" t="n">
        <v>0</v>
      </c>
      <c r="N761" t="n">
        <v>0</v>
      </c>
      <c r="O761" t="n">
        <v>0</v>
      </c>
      <c r="P761" t="n">
        <v>0</v>
      </c>
      <c r="Q761" t="n">
        <v>0</v>
      </c>
      <c r="R761" s="2" t="inlineStr"/>
    </row>
    <row r="762" ht="15" customHeight="1">
      <c r="A762" t="inlineStr">
        <is>
          <t>A 52593-2024</t>
        </is>
      </c>
      <c r="B762" s="1" t="n">
        <v>45609.70778935185</v>
      </c>
      <c r="C762" s="1" t="n">
        <v>46088</v>
      </c>
      <c r="D762" t="inlineStr">
        <is>
          <t>STOCKHOLMS LÄN</t>
        </is>
      </c>
      <c r="E762" t="inlineStr">
        <is>
          <t>NORRTÄLJE</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52617-2024</t>
        </is>
      </c>
      <c r="B763" s="1" t="n">
        <v>45609.85146990741</v>
      </c>
      <c r="C763" s="1" t="n">
        <v>46088</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55599-2025</t>
        </is>
      </c>
      <c r="B764" s="1" t="n">
        <v>45971.76810185185</v>
      </c>
      <c r="C764" s="1" t="n">
        <v>46088</v>
      </c>
      <c r="D764" t="inlineStr">
        <is>
          <t>STOCKHOLMS LÄN</t>
        </is>
      </c>
      <c r="E764" t="inlineStr">
        <is>
          <t>NORRTÄLJE</t>
        </is>
      </c>
      <c r="F764" t="inlineStr">
        <is>
          <t>Holmen skog AB</t>
        </is>
      </c>
      <c r="G764" t="n">
        <v>6.4</v>
      </c>
      <c r="H764" t="n">
        <v>0</v>
      </c>
      <c r="I764" t="n">
        <v>0</v>
      </c>
      <c r="J764" t="n">
        <v>0</v>
      </c>
      <c r="K764" t="n">
        <v>0</v>
      </c>
      <c r="L764" t="n">
        <v>0</v>
      </c>
      <c r="M764" t="n">
        <v>0</v>
      </c>
      <c r="N764" t="n">
        <v>0</v>
      </c>
      <c r="O764" t="n">
        <v>0</v>
      </c>
      <c r="P764" t="n">
        <v>0</v>
      </c>
      <c r="Q764" t="n">
        <v>0</v>
      </c>
      <c r="R764" s="2" t="inlineStr"/>
    </row>
    <row r="765" ht="15" customHeight="1">
      <c r="A765" t="inlineStr">
        <is>
          <t>A 56114-2025</t>
        </is>
      </c>
      <c r="B765" s="1" t="n">
        <v>45973.74474537037</v>
      </c>
      <c r="C765" s="1" t="n">
        <v>46088</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1755-2026</t>
        </is>
      </c>
      <c r="B766" s="1" t="n">
        <v>46034.66230324074</v>
      </c>
      <c r="C766" s="1" t="n">
        <v>46088</v>
      </c>
      <c r="D766" t="inlineStr">
        <is>
          <t>STOCKHOLMS LÄN</t>
        </is>
      </c>
      <c r="E766" t="inlineStr">
        <is>
          <t>NORRTÄLJE</t>
        </is>
      </c>
      <c r="F766" t="inlineStr">
        <is>
          <t>Holmen skog AB</t>
        </is>
      </c>
      <c r="G766" t="n">
        <v>3.5</v>
      </c>
      <c r="H766" t="n">
        <v>0</v>
      </c>
      <c r="I766" t="n">
        <v>0</v>
      </c>
      <c r="J766" t="n">
        <v>0</v>
      </c>
      <c r="K766" t="n">
        <v>0</v>
      </c>
      <c r="L766" t="n">
        <v>0</v>
      </c>
      <c r="M766" t="n">
        <v>0</v>
      </c>
      <c r="N766" t="n">
        <v>0</v>
      </c>
      <c r="O766" t="n">
        <v>0</v>
      </c>
      <c r="P766" t="n">
        <v>0</v>
      </c>
      <c r="Q766" t="n">
        <v>0</v>
      </c>
      <c r="R766" s="2" t="inlineStr"/>
    </row>
    <row r="767" ht="15" customHeight="1">
      <c r="A767" t="inlineStr">
        <is>
          <t>A 22816-2021</t>
        </is>
      </c>
      <c r="B767" s="1" t="n">
        <v>44325</v>
      </c>
      <c r="C767" s="1" t="n">
        <v>46088</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46088</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46088</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11062-2024</t>
        </is>
      </c>
      <c r="B770" s="1" t="n">
        <v>45370</v>
      </c>
      <c r="C770" s="1" t="n">
        <v>46088</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1789-2026</t>
        </is>
      </c>
      <c r="B771" s="1" t="n">
        <v>46034</v>
      </c>
      <c r="C771" s="1" t="n">
        <v>46088</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33569-2023</t>
        </is>
      </c>
      <c r="B772" s="1" t="n">
        <v>45131.666875</v>
      </c>
      <c r="C772" s="1" t="n">
        <v>46088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15905-2023</t>
        </is>
      </c>
      <c r="B773" s="1" t="n">
        <v>45022</v>
      </c>
      <c r="C773" s="1" t="n">
        <v>46088</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15956-2023</t>
        </is>
      </c>
      <c r="B774" s="1" t="n">
        <v>45022.61003472222</v>
      </c>
      <c r="C774" s="1" t="n">
        <v>46088</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10429-2026</t>
        </is>
      </c>
      <c r="B775" s="1" t="n">
        <v>46077.3822337963</v>
      </c>
      <c r="C775" s="1" t="n">
        <v>46088</v>
      </c>
      <c r="D775" t="inlineStr">
        <is>
          <t>STOCKHOLMS LÄN</t>
        </is>
      </c>
      <c r="E775" t="inlineStr">
        <is>
          <t>NORRTÄLJE</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56207-2025</t>
        </is>
      </c>
      <c r="B776" s="1" t="n">
        <v>45974.47329861111</v>
      </c>
      <c r="C776" s="1" t="n">
        <v>46088</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10444-2026</t>
        </is>
      </c>
      <c r="B777" s="1" t="n">
        <v>46077.42230324074</v>
      </c>
      <c r="C777" s="1" t="n">
        <v>46088</v>
      </c>
      <c r="D777" t="inlineStr">
        <is>
          <t>STOCKHOLMS LÄN</t>
        </is>
      </c>
      <c r="E777" t="inlineStr">
        <is>
          <t>NORRTÄLJE</t>
        </is>
      </c>
      <c r="F777" t="inlineStr">
        <is>
          <t>Holmen skog AB</t>
        </is>
      </c>
      <c r="G777" t="n">
        <v>4.9</v>
      </c>
      <c r="H777" t="n">
        <v>0</v>
      </c>
      <c r="I777" t="n">
        <v>0</v>
      </c>
      <c r="J777" t="n">
        <v>0</v>
      </c>
      <c r="K777" t="n">
        <v>0</v>
      </c>
      <c r="L777" t="n">
        <v>0</v>
      </c>
      <c r="M777" t="n">
        <v>0</v>
      </c>
      <c r="N777" t="n">
        <v>0</v>
      </c>
      <c r="O777" t="n">
        <v>0</v>
      </c>
      <c r="P777" t="n">
        <v>0</v>
      </c>
      <c r="Q777" t="n">
        <v>0</v>
      </c>
      <c r="R777" s="2" t="inlineStr"/>
    </row>
    <row r="778" ht="15" customHeight="1">
      <c r="A778" t="inlineStr">
        <is>
          <t>A 47626-2022</t>
        </is>
      </c>
      <c r="B778" s="1" t="n">
        <v>44854</v>
      </c>
      <c r="C778" s="1" t="n">
        <v>46088</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62206-2022</t>
        </is>
      </c>
      <c r="B779" s="1" t="n">
        <v>44922</v>
      </c>
      <c r="C779" s="1" t="n">
        <v>46088</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10586-2026</t>
        </is>
      </c>
      <c r="B780" s="1" t="n">
        <v>46077.68192129629</v>
      </c>
      <c r="C780" s="1" t="n">
        <v>46088</v>
      </c>
      <c r="D780" t="inlineStr">
        <is>
          <t>STOCKHOLMS LÄN</t>
        </is>
      </c>
      <c r="E780" t="inlineStr">
        <is>
          <t>NORRTÄLJE</t>
        </is>
      </c>
      <c r="F780" t="inlineStr">
        <is>
          <t>Holmen skog AB</t>
        </is>
      </c>
      <c r="G780" t="n">
        <v>3.3</v>
      </c>
      <c r="H780" t="n">
        <v>0</v>
      </c>
      <c r="I780" t="n">
        <v>0</v>
      </c>
      <c r="J780" t="n">
        <v>0</v>
      </c>
      <c r="K780" t="n">
        <v>0</v>
      </c>
      <c r="L780" t="n">
        <v>0</v>
      </c>
      <c r="M780" t="n">
        <v>0</v>
      </c>
      <c r="N780" t="n">
        <v>0</v>
      </c>
      <c r="O780" t="n">
        <v>0</v>
      </c>
      <c r="P780" t="n">
        <v>0</v>
      </c>
      <c r="Q780" t="n">
        <v>0</v>
      </c>
      <c r="R780" s="2" t="inlineStr"/>
    </row>
    <row r="781" ht="15" customHeight="1">
      <c r="A781" t="inlineStr">
        <is>
          <t>A 10553-2026</t>
        </is>
      </c>
      <c r="B781" s="1" t="n">
        <v>46077.62944444444</v>
      </c>
      <c r="C781" s="1" t="n">
        <v>46088</v>
      </c>
      <c r="D781" t="inlineStr">
        <is>
          <t>STOCKHOLMS LÄN</t>
        </is>
      </c>
      <c r="E781" t="inlineStr">
        <is>
          <t>NORRTÄLJE</t>
        </is>
      </c>
      <c r="G781" t="n">
        <v>4.9</v>
      </c>
      <c r="H781" t="n">
        <v>0</v>
      </c>
      <c r="I781" t="n">
        <v>0</v>
      </c>
      <c r="J781" t="n">
        <v>0</v>
      </c>
      <c r="K781" t="n">
        <v>0</v>
      </c>
      <c r="L781" t="n">
        <v>0</v>
      </c>
      <c r="M781" t="n">
        <v>0</v>
      </c>
      <c r="N781" t="n">
        <v>0</v>
      </c>
      <c r="O781" t="n">
        <v>0</v>
      </c>
      <c r="P781" t="n">
        <v>0</v>
      </c>
      <c r="Q781" t="n">
        <v>0</v>
      </c>
      <c r="R781" s="2" t="inlineStr"/>
    </row>
    <row r="782" ht="15" customHeight="1">
      <c r="A782" t="inlineStr">
        <is>
          <t>A 20618-2022</t>
        </is>
      </c>
      <c r="B782" s="1" t="n">
        <v>44700.50659722222</v>
      </c>
      <c r="C782" s="1" t="n">
        <v>46088</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40192-2023</t>
        </is>
      </c>
      <c r="B783" s="1" t="n">
        <v>45169</v>
      </c>
      <c r="C783" s="1" t="n">
        <v>46088</v>
      </c>
      <c r="D783" t="inlineStr">
        <is>
          <t>STOCKHOLMS LÄN</t>
        </is>
      </c>
      <c r="E783" t="inlineStr">
        <is>
          <t>NORRTÄLJE</t>
        </is>
      </c>
      <c r="F783" t="inlineStr">
        <is>
          <t>Kyrkan</t>
        </is>
      </c>
      <c r="G783" t="n">
        <v>0.7</v>
      </c>
      <c r="H783" t="n">
        <v>0</v>
      </c>
      <c r="I783" t="n">
        <v>0</v>
      </c>
      <c r="J783" t="n">
        <v>0</v>
      </c>
      <c r="K783" t="n">
        <v>0</v>
      </c>
      <c r="L783" t="n">
        <v>0</v>
      </c>
      <c r="M783" t="n">
        <v>0</v>
      </c>
      <c r="N783" t="n">
        <v>0</v>
      </c>
      <c r="O783" t="n">
        <v>0</v>
      </c>
      <c r="P783" t="n">
        <v>0</v>
      </c>
      <c r="Q783" t="n">
        <v>0</v>
      </c>
      <c r="R783" s="2" t="inlineStr"/>
    </row>
    <row r="784" ht="15" customHeight="1">
      <c r="A784" t="inlineStr">
        <is>
          <t>A 11900-2022</t>
        </is>
      </c>
      <c r="B784" s="1" t="n">
        <v>44635</v>
      </c>
      <c r="C784" s="1" t="n">
        <v>46088</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10973-2025</t>
        </is>
      </c>
      <c r="B785" s="1" t="n">
        <v>45723</v>
      </c>
      <c r="C785" s="1" t="n">
        <v>46088</v>
      </c>
      <c r="D785" t="inlineStr">
        <is>
          <t>STOCKHOLMS LÄN</t>
        </is>
      </c>
      <c r="E785" t="inlineStr">
        <is>
          <t>NORRTÄLJE</t>
        </is>
      </c>
      <c r="F785" t="inlineStr">
        <is>
          <t>Övriga Aktiebolag</t>
        </is>
      </c>
      <c r="G785" t="n">
        <v>2.7</v>
      </c>
      <c r="H785" t="n">
        <v>0</v>
      </c>
      <c r="I785" t="n">
        <v>0</v>
      </c>
      <c r="J785" t="n">
        <v>0</v>
      </c>
      <c r="K785" t="n">
        <v>0</v>
      </c>
      <c r="L785" t="n">
        <v>0</v>
      </c>
      <c r="M785" t="n">
        <v>0</v>
      </c>
      <c r="N785" t="n">
        <v>0</v>
      </c>
      <c r="O785" t="n">
        <v>0</v>
      </c>
      <c r="P785" t="n">
        <v>0</v>
      </c>
      <c r="Q785" t="n">
        <v>0</v>
      </c>
      <c r="R785" s="2" t="inlineStr"/>
    </row>
    <row r="786" ht="15" customHeight="1">
      <c r="A786" t="inlineStr">
        <is>
          <t>A 27885-2022</t>
        </is>
      </c>
      <c r="B786" s="1" t="n">
        <v>44743.67418981482</v>
      </c>
      <c r="C786" s="1" t="n">
        <v>46088</v>
      </c>
      <c r="D786" t="inlineStr">
        <is>
          <t>STOCKHOLMS LÄN</t>
        </is>
      </c>
      <c r="E786" t="inlineStr">
        <is>
          <t>NORRTÄLJE</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2088-2026</t>
        </is>
      </c>
      <c r="B787" s="1" t="n">
        <v>46036.35909722222</v>
      </c>
      <c r="C787" s="1" t="n">
        <v>46088</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7582-2026</t>
        </is>
      </c>
      <c r="B788" s="1" t="n">
        <v>46061</v>
      </c>
      <c r="C788" s="1" t="n">
        <v>46088</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58403-2025</t>
        </is>
      </c>
      <c r="B789" s="1" t="n">
        <v>45985.56777777777</v>
      </c>
      <c r="C789" s="1" t="n">
        <v>46088</v>
      </c>
      <c r="D789" t="inlineStr">
        <is>
          <t>STOCKHOLMS LÄN</t>
        </is>
      </c>
      <c r="E789" t="inlineStr">
        <is>
          <t>NORRTÄLJE</t>
        </is>
      </c>
      <c r="F789" t="inlineStr">
        <is>
          <t>Naturvårdsverket</t>
        </is>
      </c>
      <c r="G789" t="n">
        <v>13.5</v>
      </c>
      <c r="H789" t="n">
        <v>0</v>
      </c>
      <c r="I789" t="n">
        <v>0</v>
      </c>
      <c r="J789" t="n">
        <v>0</v>
      </c>
      <c r="K789" t="n">
        <v>0</v>
      </c>
      <c r="L789" t="n">
        <v>0</v>
      </c>
      <c r="M789" t="n">
        <v>0</v>
      </c>
      <c r="N789" t="n">
        <v>0</v>
      </c>
      <c r="O789" t="n">
        <v>0</v>
      </c>
      <c r="P789" t="n">
        <v>0</v>
      </c>
      <c r="Q789" t="n">
        <v>0</v>
      </c>
      <c r="R789" s="2" t="inlineStr"/>
    </row>
    <row r="790" ht="15" customHeight="1">
      <c r="A790" t="inlineStr">
        <is>
          <t>A 60224-2023</t>
        </is>
      </c>
      <c r="B790" s="1" t="n">
        <v>45257</v>
      </c>
      <c r="C790" s="1" t="n">
        <v>46088</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58142-2025</t>
        </is>
      </c>
      <c r="B791" s="1" t="n">
        <v>45982.63791666667</v>
      </c>
      <c r="C791" s="1" t="n">
        <v>46088</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5158-2024</t>
        </is>
      </c>
      <c r="B792" s="1" t="n">
        <v>45330.50098379629</v>
      </c>
      <c r="C792" s="1" t="n">
        <v>46088</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57953-2025</t>
        </is>
      </c>
      <c r="B793" s="1" t="n">
        <v>45982.35016203704</v>
      </c>
      <c r="C793" s="1" t="n">
        <v>46088</v>
      </c>
      <c r="D793" t="inlineStr">
        <is>
          <t>STOCKHOLMS LÄN</t>
        </is>
      </c>
      <c r="E793" t="inlineStr">
        <is>
          <t>NORRTÄLJE</t>
        </is>
      </c>
      <c r="F793" t="inlineStr">
        <is>
          <t>Sveaskog</t>
        </is>
      </c>
      <c r="G793" t="n">
        <v>3</v>
      </c>
      <c r="H793" t="n">
        <v>0</v>
      </c>
      <c r="I793" t="n">
        <v>0</v>
      </c>
      <c r="J793" t="n">
        <v>0</v>
      </c>
      <c r="K793" t="n">
        <v>0</v>
      </c>
      <c r="L793" t="n">
        <v>0</v>
      </c>
      <c r="M793" t="n">
        <v>0</v>
      </c>
      <c r="N793" t="n">
        <v>0</v>
      </c>
      <c r="O793" t="n">
        <v>0</v>
      </c>
      <c r="P793" t="n">
        <v>0</v>
      </c>
      <c r="Q793" t="n">
        <v>0</v>
      </c>
      <c r="R793" s="2" t="inlineStr"/>
    </row>
    <row r="794" ht="15" customHeight="1">
      <c r="A794" t="inlineStr">
        <is>
          <t>A 9130-2025</t>
        </is>
      </c>
      <c r="B794" s="1" t="n">
        <v>45713.92623842593</v>
      </c>
      <c r="C794" s="1" t="n">
        <v>46088</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58939-2025</t>
        </is>
      </c>
      <c r="B795" s="1" t="n">
        <v>45987.5681712963</v>
      </c>
      <c r="C795" s="1" t="n">
        <v>46088</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17551-2025</t>
        </is>
      </c>
      <c r="B796" s="1" t="n">
        <v>45757.61421296297</v>
      </c>
      <c r="C796" s="1" t="n">
        <v>46088</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55010-2024</t>
        </is>
      </c>
      <c r="B797" s="1" t="n">
        <v>45621.34425925926</v>
      </c>
      <c r="C797" s="1" t="n">
        <v>46088</v>
      </c>
      <c r="D797" t="inlineStr">
        <is>
          <t>STOCKHOLMS LÄN</t>
        </is>
      </c>
      <c r="E797" t="inlineStr">
        <is>
          <t>NORRTÄLJE</t>
        </is>
      </c>
      <c r="F797" t="inlineStr">
        <is>
          <t>Sveaskog</t>
        </is>
      </c>
      <c r="G797" t="n">
        <v>5.7</v>
      </c>
      <c r="H797" t="n">
        <v>0</v>
      </c>
      <c r="I797" t="n">
        <v>0</v>
      </c>
      <c r="J797" t="n">
        <v>0</v>
      </c>
      <c r="K797" t="n">
        <v>0</v>
      </c>
      <c r="L797" t="n">
        <v>0</v>
      </c>
      <c r="M797" t="n">
        <v>0</v>
      </c>
      <c r="N797" t="n">
        <v>0</v>
      </c>
      <c r="O797" t="n">
        <v>0</v>
      </c>
      <c r="P797" t="n">
        <v>0</v>
      </c>
      <c r="Q797" t="n">
        <v>0</v>
      </c>
      <c r="R797" s="2" t="inlineStr"/>
    </row>
    <row r="798" ht="15" customHeight="1">
      <c r="A798" t="inlineStr">
        <is>
          <t>A 31105-2022</t>
        </is>
      </c>
      <c r="B798" s="1" t="n">
        <v>44769.66039351852</v>
      </c>
      <c r="C798" s="1" t="n">
        <v>46088</v>
      </c>
      <c r="D798" t="inlineStr">
        <is>
          <t>STOCKHOLMS LÄN</t>
        </is>
      </c>
      <c r="E798" t="inlineStr">
        <is>
          <t>NORRTÄLJE</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6701-2026</t>
        </is>
      </c>
      <c r="B799" s="1" t="n">
        <v>46056</v>
      </c>
      <c r="C799" s="1" t="n">
        <v>46088</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30620-2022</t>
        </is>
      </c>
      <c r="B800" s="1" t="n">
        <v>44763.40914351852</v>
      </c>
      <c r="C800" s="1" t="n">
        <v>46088</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50113-2024</t>
        </is>
      </c>
      <c r="B801" s="1" t="n">
        <v>45600.411875</v>
      </c>
      <c r="C801" s="1" t="n">
        <v>46088</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2116-2026</t>
        </is>
      </c>
      <c r="B802" s="1" t="n">
        <v>46036.38108796296</v>
      </c>
      <c r="C802" s="1" t="n">
        <v>46088</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28365-2022</t>
        </is>
      </c>
      <c r="B803" s="1" t="n">
        <v>44747</v>
      </c>
      <c r="C803" s="1" t="n">
        <v>46088</v>
      </c>
      <c r="D803" t="inlineStr">
        <is>
          <t>STOCKHOLMS LÄN</t>
        </is>
      </c>
      <c r="E803" t="inlineStr">
        <is>
          <t>NORRTÄLJE</t>
        </is>
      </c>
      <c r="G803" t="n">
        <v>5.1</v>
      </c>
      <c r="H803" t="n">
        <v>0</v>
      </c>
      <c r="I803" t="n">
        <v>0</v>
      </c>
      <c r="J803" t="n">
        <v>0</v>
      </c>
      <c r="K803" t="n">
        <v>0</v>
      </c>
      <c r="L803" t="n">
        <v>0</v>
      </c>
      <c r="M803" t="n">
        <v>0</v>
      </c>
      <c r="N803" t="n">
        <v>0</v>
      </c>
      <c r="O803" t="n">
        <v>0</v>
      </c>
      <c r="P803" t="n">
        <v>0</v>
      </c>
      <c r="Q803" t="n">
        <v>0</v>
      </c>
      <c r="R803" s="2" t="inlineStr"/>
    </row>
    <row r="804" ht="15" customHeight="1">
      <c r="A804" t="inlineStr">
        <is>
          <t>A 42955-2022</t>
        </is>
      </c>
      <c r="B804" s="1" t="n">
        <v>44833.40876157407</v>
      </c>
      <c r="C804" s="1" t="n">
        <v>46088</v>
      </c>
      <c r="D804" t="inlineStr">
        <is>
          <t>STOCKHOLMS LÄN</t>
        </is>
      </c>
      <c r="E804" t="inlineStr">
        <is>
          <t>NORRTÄLJE</t>
        </is>
      </c>
      <c r="G804" t="n">
        <v>13.1</v>
      </c>
      <c r="H804" t="n">
        <v>0</v>
      </c>
      <c r="I804" t="n">
        <v>0</v>
      </c>
      <c r="J804" t="n">
        <v>0</v>
      </c>
      <c r="K804" t="n">
        <v>0</v>
      </c>
      <c r="L804" t="n">
        <v>0</v>
      </c>
      <c r="M804" t="n">
        <v>0</v>
      </c>
      <c r="N804" t="n">
        <v>0</v>
      </c>
      <c r="O804" t="n">
        <v>0</v>
      </c>
      <c r="P804" t="n">
        <v>0</v>
      </c>
      <c r="Q804" t="n">
        <v>0</v>
      </c>
      <c r="R804" s="2" t="inlineStr"/>
    </row>
    <row r="805" ht="15" customHeight="1">
      <c r="A805" t="inlineStr">
        <is>
          <t>A 1283-2025</t>
        </is>
      </c>
      <c r="B805" s="1" t="n">
        <v>45667.49878472222</v>
      </c>
      <c r="C805" s="1" t="n">
        <v>46088</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6828-2026</t>
        </is>
      </c>
      <c r="B806" s="1" t="n">
        <v>46057</v>
      </c>
      <c r="C806" s="1" t="n">
        <v>46088</v>
      </c>
      <c r="D806" t="inlineStr">
        <is>
          <t>STOCKHOLMS LÄN</t>
        </is>
      </c>
      <c r="E806" t="inlineStr">
        <is>
          <t>NORRTÄLJE</t>
        </is>
      </c>
      <c r="F806" t="inlineStr">
        <is>
          <t>Holmen skog AB</t>
        </is>
      </c>
      <c r="G806" t="n">
        <v>2.8</v>
      </c>
      <c r="H806" t="n">
        <v>0</v>
      </c>
      <c r="I806" t="n">
        <v>0</v>
      </c>
      <c r="J806" t="n">
        <v>0</v>
      </c>
      <c r="K806" t="n">
        <v>0</v>
      </c>
      <c r="L806" t="n">
        <v>0</v>
      </c>
      <c r="M806" t="n">
        <v>0</v>
      </c>
      <c r="N806" t="n">
        <v>0</v>
      </c>
      <c r="O806" t="n">
        <v>0</v>
      </c>
      <c r="P806" t="n">
        <v>0</v>
      </c>
      <c r="Q806" t="n">
        <v>0</v>
      </c>
      <c r="R806" s="2" t="inlineStr"/>
    </row>
    <row r="807" ht="15" customHeight="1">
      <c r="A807" t="inlineStr">
        <is>
          <t>A 7532-2026</t>
        </is>
      </c>
      <c r="B807" s="1" t="n">
        <v>46059</v>
      </c>
      <c r="C807" s="1" t="n">
        <v>46088</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10646-2026</t>
        </is>
      </c>
      <c r="B808" s="1" t="n">
        <v>46078.34157407407</v>
      </c>
      <c r="C808" s="1" t="n">
        <v>46088</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59041-2025</t>
        </is>
      </c>
      <c r="B809" s="1" t="n">
        <v>45988</v>
      </c>
      <c r="C809" s="1" t="n">
        <v>46088</v>
      </c>
      <c r="D809" t="inlineStr">
        <is>
          <t>STOCKHOLMS LÄN</t>
        </is>
      </c>
      <c r="E809" t="inlineStr">
        <is>
          <t>NORRTÄLJE</t>
        </is>
      </c>
      <c r="G809" t="n">
        <v>6.6</v>
      </c>
      <c r="H809" t="n">
        <v>0</v>
      </c>
      <c r="I809" t="n">
        <v>0</v>
      </c>
      <c r="J809" t="n">
        <v>0</v>
      </c>
      <c r="K809" t="n">
        <v>0</v>
      </c>
      <c r="L809" t="n">
        <v>0</v>
      </c>
      <c r="M809" t="n">
        <v>0</v>
      </c>
      <c r="N809" t="n">
        <v>0</v>
      </c>
      <c r="O809" t="n">
        <v>0</v>
      </c>
      <c r="P809" t="n">
        <v>0</v>
      </c>
      <c r="Q809" t="n">
        <v>0</v>
      </c>
      <c r="R809" s="2" t="inlineStr"/>
    </row>
    <row r="810" ht="15" customHeight="1">
      <c r="A810" t="inlineStr">
        <is>
          <t>A 59914-2025</t>
        </is>
      </c>
      <c r="B810" s="1" t="n">
        <v>45993.37056712963</v>
      </c>
      <c r="C810" s="1" t="n">
        <v>46088</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59672-2025</t>
        </is>
      </c>
      <c r="B811" s="1" t="n">
        <v>45992.45884259259</v>
      </c>
      <c r="C811" s="1" t="n">
        <v>46088</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57788-2025</t>
        </is>
      </c>
      <c r="B812" s="1" t="n">
        <v>45981.5778125</v>
      </c>
      <c r="C812" s="1" t="n">
        <v>46088</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59907-2025</t>
        </is>
      </c>
      <c r="B813" s="1" t="n">
        <v>45993.35350694445</v>
      </c>
      <c r="C813" s="1" t="n">
        <v>46088</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13767-2025</t>
        </is>
      </c>
      <c r="B814" s="1" t="n">
        <v>45737.43347222222</v>
      </c>
      <c r="C814" s="1" t="n">
        <v>46088</v>
      </c>
      <c r="D814" t="inlineStr">
        <is>
          <t>STOCKHOLMS LÄN</t>
        </is>
      </c>
      <c r="E814" t="inlineStr">
        <is>
          <t>NORRTÄLJE</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20013-2025</t>
        </is>
      </c>
      <c r="B815" s="1" t="n">
        <v>45772.30436342592</v>
      </c>
      <c r="C815" s="1" t="n">
        <v>46088</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53362-2023</t>
        </is>
      </c>
      <c r="B816" s="1" t="n">
        <v>45223</v>
      </c>
      <c r="C816" s="1" t="n">
        <v>46088</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15422-2024</t>
        </is>
      </c>
      <c r="B817" s="1" t="n">
        <v>45401.3653125</v>
      </c>
      <c r="C817" s="1" t="n">
        <v>46088</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59924-2025</t>
        </is>
      </c>
      <c r="B818" s="1" t="n">
        <v>45993.38928240741</v>
      </c>
      <c r="C818" s="1" t="n">
        <v>46088</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30508-2023</t>
        </is>
      </c>
      <c r="B819" s="1" t="n">
        <v>45111</v>
      </c>
      <c r="C819" s="1" t="n">
        <v>46088</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60253-2025</t>
        </is>
      </c>
      <c r="B820" s="1" t="n">
        <v>45994.59827546297</v>
      </c>
      <c r="C820" s="1" t="n">
        <v>46088</v>
      </c>
      <c r="D820" t="inlineStr">
        <is>
          <t>STOCKHOLMS LÄN</t>
        </is>
      </c>
      <c r="E820" t="inlineStr">
        <is>
          <t>NORRTÄLJE</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16008-2025</t>
        </is>
      </c>
      <c r="B821" s="1" t="n">
        <v>45749</v>
      </c>
      <c r="C821" s="1" t="n">
        <v>46088</v>
      </c>
      <c r="D821" t="inlineStr">
        <is>
          <t>STOCKHOLMS LÄN</t>
        </is>
      </c>
      <c r="E821" t="inlineStr">
        <is>
          <t>NORRTÄLJE</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21158-2022</t>
        </is>
      </c>
      <c r="B822" s="1" t="n">
        <v>44704</v>
      </c>
      <c r="C822" s="1" t="n">
        <v>46088</v>
      </c>
      <c r="D822" t="inlineStr">
        <is>
          <t>STOCKHOLMS LÄN</t>
        </is>
      </c>
      <c r="E822" t="inlineStr">
        <is>
          <t>NORRTÄLJE</t>
        </is>
      </c>
      <c r="G822" t="n">
        <v>17.8</v>
      </c>
      <c r="H822" t="n">
        <v>0</v>
      </c>
      <c r="I822" t="n">
        <v>0</v>
      </c>
      <c r="J822" t="n">
        <v>0</v>
      </c>
      <c r="K822" t="n">
        <v>0</v>
      </c>
      <c r="L822" t="n">
        <v>0</v>
      </c>
      <c r="M822" t="n">
        <v>0</v>
      </c>
      <c r="N822" t="n">
        <v>0</v>
      </c>
      <c r="O822" t="n">
        <v>0</v>
      </c>
      <c r="P822" t="n">
        <v>0</v>
      </c>
      <c r="Q822" t="n">
        <v>0</v>
      </c>
      <c r="R822" s="2" t="inlineStr"/>
    </row>
    <row r="823" ht="15" customHeight="1">
      <c r="A823" t="inlineStr">
        <is>
          <t>A 60214-2025</t>
        </is>
      </c>
      <c r="B823" s="1" t="n">
        <v>45994.53761574074</v>
      </c>
      <c r="C823" s="1" t="n">
        <v>46088</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60223-2025</t>
        </is>
      </c>
      <c r="B824" s="1" t="n">
        <v>45994.54497685185</v>
      </c>
      <c r="C824" s="1" t="n">
        <v>46088</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32101-2022</t>
        </is>
      </c>
      <c r="B825" s="1" t="n">
        <v>44778.69210648148</v>
      </c>
      <c r="C825" s="1" t="n">
        <v>46088</v>
      </c>
      <c r="D825" t="inlineStr">
        <is>
          <t>STOCKHOLMS LÄN</t>
        </is>
      </c>
      <c r="E825" t="inlineStr">
        <is>
          <t>NORRTÄLJE</t>
        </is>
      </c>
      <c r="G825" t="n">
        <v>4.4</v>
      </c>
      <c r="H825" t="n">
        <v>0</v>
      </c>
      <c r="I825" t="n">
        <v>0</v>
      </c>
      <c r="J825" t="n">
        <v>0</v>
      </c>
      <c r="K825" t="n">
        <v>0</v>
      </c>
      <c r="L825" t="n">
        <v>0</v>
      </c>
      <c r="M825" t="n">
        <v>0</v>
      </c>
      <c r="N825" t="n">
        <v>0</v>
      </c>
      <c r="O825" t="n">
        <v>0</v>
      </c>
      <c r="P825" t="n">
        <v>0</v>
      </c>
      <c r="Q825" t="n">
        <v>0</v>
      </c>
      <c r="R825" s="2" t="inlineStr"/>
    </row>
    <row r="826" ht="15" customHeight="1">
      <c r="A826" t="inlineStr">
        <is>
          <t>A 23150-2024</t>
        </is>
      </c>
      <c r="B826" s="1" t="n">
        <v>45450.64643518518</v>
      </c>
      <c r="C826" s="1" t="n">
        <v>46088</v>
      </c>
      <c r="D826" t="inlineStr">
        <is>
          <t>STOCKHOLMS LÄN</t>
        </is>
      </c>
      <c r="E826" t="inlineStr">
        <is>
          <t>NORRTÄLJE</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24933-2023</t>
        </is>
      </c>
      <c r="B827" s="1" t="n">
        <v>45085.5309375</v>
      </c>
      <c r="C827" s="1" t="n">
        <v>46088</v>
      </c>
      <c r="D827" t="inlineStr">
        <is>
          <t>STOCKHOLMS LÄN</t>
        </is>
      </c>
      <c r="E827" t="inlineStr">
        <is>
          <t>NORRTÄLJE</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60745-2025</t>
        </is>
      </c>
      <c r="B828" s="1" t="n">
        <v>45999.37753472223</v>
      </c>
      <c r="C828" s="1" t="n">
        <v>46088</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60649-2025</t>
        </is>
      </c>
      <c r="B829" s="1" t="n">
        <v>45996.4560300926</v>
      </c>
      <c r="C829" s="1" t="n">
        <v>46088</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60948-2025</t>
        </is>
      </c>
      <c r="B830" s="1" t="n">
        <v>45999.650625</v>
      </c>
      <c r="C830" s="1" t="n">
        <v>46088</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56631-2024</t>
        </is>
      </c>
      <c r="B831" s="1" t="n">
        <v>45625</v>
      </c>
      <c r="C831" s="1" t="n">
        <v>46088</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652-2025</t>
        </is>
      </c>
      <c r="B832" s="1" t="n">
        <v>45664</v>
      </c>
      <c r="C832" s="1" t="n">
        <v>46088</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60928-2025</t>
        </is>
      </c>
      <c r="B833" s="1" t="n">
        <v>45999.633125</v>
      </c>
      <c r="C833" s="1" t="n">
        <v>46088</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61160-2025</t>
        </is>
      </c>
      <c r="B834" s="1" t="n">
        <v>46000.55262731481</v>
      </c>
      <c r="C834" s="1" t="n">
        <v>46088</v>
      </c>
      <c r="D834" t="inlineStr">
        <is>
          <t>STOCKHOLMS LÄN</t>
        </is>
      </c>
      <c r="E834" t="inlineStr">
        <is>
          <t>NORRTÄLJE</t>
        </is>
      </c>
      <c r="G834" t="n">
        <v>5.3</v>
      </c>
      <c r="H834" t="n">
        <v>0</v>
      </c>
      <c r="I834" t="n">
        <v>0</v>
      </c>
      <c r="J834" t="n">
        <v>0</v>
      </c>
      <c r="K834" t="n">
        <v>0</v>
      </c>
      <c r="L834" t="n">
        <v>0</v>
      </c>
      <c r="M834" t="n">
        <v>0</v>
      </c>
      <c r="N834" t="n">
        <v>0</v>
      </c>
      <c r="O834" t="n">
        <v>0</v>
      </c>
      <c r="P834" t="n">
        <v>0</v>
      </c>
      <c r="Q834" t="n">
        <v>0</v>
      </c>
      <c r="R834" s="2" t="inlineStr"/>
    </row>
    <row r="835" ht="15" customHeight="1">
      <c r="A835" t="inlineStr">
        <is>
          <t>A 61419-2025</t>
        </is>
      </c>
      <c r="B835" s="1" t="n">
        <v>46001.54137731482</v>
      </c>
      <c r="C835" s="1" t="n">
        <v>46088</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61430-2025</t>
        </is>
      </c>
      <c r="B836" s="1" t="n">
        <v>46001.55583333333</v>
      </c>
      <c r="C836" s="1" t="n">
        <v>46088</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5389-2025</t>
        </is>
      </c>
      <c r="B837" s="1" t="n">
        <v>45692</v>
      </c>
      <c r="C837" s="1" t="n">
        <v>46088</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13051-2021</t>
        </is>
      </c>
      <c r="B838" s="1" t="n">
        <v>44272</v>
      </c>
      <c r="C838" s="1" t="n">
        <v>46088</v>
      </c>
      <c r="D838" t="inlineStr">
        <is>
          <t>STOCKHOLMS LÄN</t>
        </is>
      </c>
      <c r="E838" t="inlineStr">
        <is>
          <t>NORRTÄLJE</t>
        </is>
      </c>
      <c r="G838" t="n">
        <v>9.1</v>
      </c>
      <c r="H838" t="n">
        <v>0</v>
      </c>
      <c r="I838" t="n">
        <v>0</v>
      </c>
      <c r="J838" t="n">
        <v>0</v>
      </c>
      <c r="K838" t="n">
        <v>0</v>
      </c>
      <c r="L838" t="n">
        <v>0</v>
      </c>
      <c r="M838" t="n">
        <v>0</v>
      </c>
      <c r="N838" t="n">
        <v>0</v>
      </c>
      <c r="O838" t="n">
        <v>0</v>
      </c>
      <c r="P838" t="n">
        <v>0</v>
      </c>
      <c r="Q838" t="n">
        <v>0</v>
      </c>
      <c r="R838" s="2" t="inlineStr"/>
    </row>
    <row r="839" ht="15" customHeight="1">
      <c r="A839" t="inlineStr">
        <is>
          <t>A 61452-2025</t>
        </is>
      </c>
      <c r="B839" s="1" t="n">
        <v>46001.58043981482</v>
      </c>
      <c r="C839" s="1" t="n">
        <v>46088</v>
      </c>
      <c r="D839" t="inlineStr">
        <is>
          <t>STOCKHOLMS LÄN</t>
        </is>
      </c>
      <c r="E839" t="inlineStr">
        <is>
          <t>NORRTÄLJE</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61289-2025</t>
        </is>
      </c>
      <c r="B840" s="1" t="n">
        <v>46000.73659722223</v>
      </c>
      <c r="C840" s="1" t="n">
        <v>46088</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61769-2025</t>
        </is>
      </c>
      <c r="B841" s="1" t="n">
        <v>46002.64556712963</v>
      </c>
      <c r="C841" s="1" t="n">
        <v>46088</v>
      </c>
      <c r="D841" t="inlineStr">
        <is>
          <t>STOCKHOLMS LÄN</t>
        </is>
      </c>
      <c r="E841" t="inlineStr">
        <is>
          <t>NORRTÄLJE</t>
        </is>
      </c>
      <c r="G841" t="n">
        <v>2.9</v>
      </c>
      <c r="H841" t="n">
        <v>0</v>
      </c>
      <c r="I841" t="n">
        <v>0</v>
      </c>
      <c r="J841" t="n">
        <v>0</v>
      </c>
      <c r="K841" t="n">
        <v>0</v>
      </c>
      <c r="L841" t="n">
        <v>0</v>
      </c>
      <c r="M841" t="n">
        <v>0</v>
      </c>
      <c r="N841" t="n">
        <v>0</v>
      </c>
      <c r="O841" t="n">
        <v>0</v>
      </c>
      <c r="P841" t="n">
        <v>0</v>
      </c>
      <c r="Q841" t="n">
        <v>0</v>
      </c>
      <c r="R841" s="2" t="inlineStr"/>
    </row>
    <row r="842" ht="15" customHeight="1">
      <c r="A842" t="inlineStr">
        <is>
          <t>A 11499-2023</t>
        </is>
      </c>
      <c r="B842" s="1" t="n">
        <v>44993.66707175926</v>
      </c>
      <c r="C842" s="1" t="n">
        <v>46088</v>
      </c>
      <c r="D842" t="inlineStr">
        <is>
          <t>STOCKHOLMS LÄN</t>
        </is>
      </c>
      <c r="E842" t="inlineStr">
        <is>
          <t>NORRTÄLJE</t>
        </is>
      </c>
      <c r="F842" t="inlineStr">
        <is>
          <t>Holmen skog AB</t>
        </is>
      </c>
      <c r="G842" t="n">
        <v>2.8</v>
      </c>
      <c r="H842" t="n">
        <v>0</v>
      </c>
      <c r="I842" t="n">
        <v>0</v>
      </c>
      <c r="J842" t="n">
        <v>0</v>
      </c>
      <c r="K842" t="n">
        <v>0</v>
      </c>
      <c r="L842" t="n">
        <v>0</v>
      </c>
      <c r="M842" t="n">
        <v>0</v>
      </c>
      <c r="N842" t="n">
        <v>0</v>
      </c>
      <c r="O842" t="n">
        <v>0</v>
      </c>
      <c r="P842" t="n">
        <v>0</v>
      </c>
      <c r="Q842" t="n">
        <v>0</v>
      </c>
      <c r="R842" s="2" t="inlineStr"/>
    </row>
    <row r="843" ht="15" customHeight="1">
      <c r="A843" t="inlineStr">
        <is>
          <t>A 576-2023</t>
        </is>
      </c>
      <c r="B843" s="1" t="n">
        <v>44925</v>
      </c>
      <c r="C843" s="1" t="n">
        <v>46088</v>
      </c>
      <c r="D843" t="inlineStr">
        <is>
          <t>STOCKHOLMS LÄN</t>
        </is>
      </c>
      <c r="E843" t="inlineStr">
        <is>
          <t>NORRTÄLJE</t>
        </is>
      </c>
      <c r="G843" t="n">
        <v>7.2</v>
      </c>
      <c r="H843" t="n">
        <v>0</v>
      </c>
      <c r="I843" t="n">
        <v>0</v>
      </c>
      <c r="J843" t="n">
        <v>0</v>
      </c>
      <c r="K843" t="n">
        <v>0</v>
      </c>
      <c r="L843" t="n">
        <v>0</v>
      </c>
      <c r="M843" t="n">
        <v>0</v>
      </c>
      <c r="N843" t="n">
        <v>0</v>
      </c>
      <c r="O843" t="n">
        <v>0</v>
      </c>
      <c r="P843" t="n">
        <v>0</v>
      </c>
      <c r="Q843" t="n">
        <v>0</v>
      </c>
      <c r="R843" s="2" t="inlineStr"/>
    </row>
    <row r="844" ht="15" customHeight="1">
      <c r="A844" t="inlineStr">
        <is>
          <t>A 10678-2025</t>
        </is>
      </c>
      <c r="B844" s="1" t="n">
        <v>45721.89123842592</v>
      </c>
      <c r="C844" s="1" t="n">
        <v>46088</v>
      </c>
      <c r="D844" t="inlineStr">
        <is>
          <t>STOCKHOLMS LÄN</t>
        </is>
      </c>
      <c r="E844" t="inlineStr">
        <is>
          <t>NORRTÄLJE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31936-2022</t>
        </is>
      </c>
      <c r="B845" s="1" t="n">
        <v>44777</v>
      </c>
      <c r="C845" s="1" t="n">
        <v>46088</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3549-2026</t>
        </is>
      </c>
      <c r="B846" s="1" t="n">
        <v>46042</v>
      </c>
      <c r="C846" s="1" t="n">
        <v>46088</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61764-2025</t>
        </is>
      </c>
      <c r="B847" s="1" t="n">
        <v>46002.62763888889</v>
      </c>
      <c r="C847" s="1" t="n">
        <v>46088</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59873-2024</t>
        </is>
      </c>
      <c r="B848" s="1" t="n">
        <v>45640.57305555556</v>
      </c>
      <c r="C848" s="1" t="n">
        <v>46088</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35916-2024</t>
        </is>
      </c>
      <c r="B849" s="1" t="n">
        <v>45533</v>
      </c>
      <c r="C849" s="1" t="n">
        <v>46088</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10098-2022</t>
        </is>
      </c>
      <c r="B850" s="1" t="n">
        <v>44621</v>
      </c>
      <c r="C850" s="1" t="n">
        <v>46088</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5227-2026</t>
        </is>
      </c>
      <c r="B851" s="1" t="n">
        <v>46049.80460648148</v>
      </c>
      <c r="C851" s="1" t="n">
        <v>46088</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5241-2026</t>
        </is>
      </c>
      <c r="B852" s="1" t="n">
        <v>46049.86471064815</v>
      </c>
      <c r="C852" s="1" t="n">
        <v>46088</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63161-2023</t>
        </is>
      </c>
      <c r="B853" s="1" t="n">
        <v>45273</v>
      </c>
      <c r="C853" s="1" t="n">
        <v>46088</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5224-2026</t>
        </is>
      </c>
      <c r="B854" s="1" t="n">
        <v>46049.79521990741</v>
      </c>
      <c r="C854" s="1" t="n">
        <v>46088</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4886-2026</t>
        </is>
      </c>
      <c r="B855" s="1" t="n">
        <v>46048.66328703704</v>
      </c>
      <c r="C855" s="1" t="n">
        <v>46088</v>
      </c>
      <c r="D855" t="inlineStr">
        <is>
          <t>STOCKHOLMS LÄN</t>
        </is>
      </c>
      <c r="E855" t="inlineStr">
        <is>
          <t>NORRTÄLJE</t>
        </is>
      </c>
      <c r="G855" t="n">
        <v>2</v>
      </c>
      <c r="H855" t="n">
        <v>0</v>
      </c>
      <c r="I855" t="n">
        <v>0</v>
      </c>
      <c r="J855" t="n">
        <v>0</v>
      </c>
      <c r="K855" t="n">
        <v>0</v>
      </c>
      <c r="L855" t="n">
        <v>0</v>
      </c>
      <c r="M855" t="n">
        <v>0</v>
      </c>
      <c r="N855" t="n">
        <v>0</v>
      </c>
      <c r="O855" t="n">
        <v>0</v>
      </c>
      <c r="P855" t="n">
        <v>0</v>
      </c>
      <c r="Q855" t="n">
        <v>0</v>
      </c>
      <c r="R855" s="2" t="inlineStr"/>
    </row>
    <row r="856" ht="15" customHeight="1">
      <c r="A856" t="inlineStr">
        <is>
          <t>A 5226-2026</t>
        </is>
      </c>
      <c r="B856" s="1" t="n">
        <v>46049.79961805556</v>
      </c>
      <c r="C856" s="1" t="n">
        <v>46088</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7796-2025</t>
        </is>
      </c>
      <c r="B857" s="1" t="n">
        <v>45706.60130787037</v>
      </c>
      <c r="C857" s="1" t="n">
        <v>46088</v>
      </c>
      <c r="D857" t="inlineStr">
        <is>
          <t>STOCKHOLMS LÄN</t>
        </is>
      </c>
      <c r="E857" t="inlineStr">
        <is>
          <t>NORRTÄLJE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15552-2021</t>
        </is>
      </c>
      <c r="B858" s="1" t="n">
        <v>44285</v>
      </c>
      <c r="C858" s="1" t="n">
        <v>46088</v>
      </c>
      <c r="D858" t="inlineStr">
        <is>
          <t>STOCKHOLMS LÄN</t>
        </is>
      </c>
      <c r="E858" t="inlineStr">
        <is>
          <t>NORRTÄLJE</t>
        </is>
      </c>
      <c r="G858" t="n">
        <v>10</v>
      </c>
      <c r="H858" t="n">
        <v>0</v>
      </c>
      <c r="I858" t="n">
        <v>0</v>
      </c>
      <c r="J858" t="n">
        <v>0</v>
      </c>
      <c r="K858" t="n">
        <v>0</v>
      </c>
      <c r="L858" t="n">
        <v>0</v>
      </c>
      <c r="M858" t="n">
        <v>0</v>
      </c>
      <c r="N858" t="n">
        <v>0</v>
      </c>
      <c r="O858" t="n">
        <v>0</v>
      </c>
      <c r="P858" t="n">
        <v>0</v>
      </c>
      <c r="Q858" t="n">
        <v>0</v>
      </c>
      <c r="R858" s="2" t="inlineStr"/>
    </row>
    <row r="859" ht="15" customHeight="1">
      <c r="A859" t="inlineStr">
        <is>
          <t>A 33279-2025</t>
        </is>
      </c>
      <c r="B859" s="1" t="n">
        <v>45840</v>
      </c>
      <c r="C859" s="1" t="n">
        <v>46088</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58040-2024</t>
        </is>
      </c>
      <c r="B860" s="1" t="n">
        <v>45631.73952546297</v>
      </c>
      <c r="C860" s="1" t="n">
        <v>46088</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58041-2024</t>
        </is>
      </c>
      <c r="B861" s="1" t="n">
        <v>45631.74673611111</v>
      </c>
      <c r="C861" s="1" t="n">
        <v>46088</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53499-2025</t>
        </is>
      </c>
      <c r="B862" s="1" t="n">
        <v>45960</v>
      </c>
      <c r="C862" s="1" t="n">
        <v>46088</v>
      </c>
      <c r="D862" t="inlineStr">
        <is>
          <t>STOCKHOLMS LÄN</t>
        </is>
      </c>
      <c r="E862" t="inlineStr">
        <is>
          <t>NORRTÄLJE</t>
        </is>
      </c>
      <c r="G862" t="n">
        <v>23.8</v>
      </c>
      <c r="H862" t="n">
        <v>0</v>
      </c>
      <c r="I862" t="n">
        <v>0</v>
      </c>
      <c r="J862" t="n">
        <v>0</v>
      </c>
      <c r="K862" t="n">
        <v>0</v>
      </c>
      <c r="L862" t="n">
        <v>0</v>
      </c>
      <c r="M862" t="n">
        <v>0</v>
      </c>
      <c r="N862" t="n">
        <v>0</v>
      </c>
      <c r="O862" t="n">
        <v>0</v>
      </c>
      <c r="P862" t="n">
        <v>0</v>
      </c>
      <c r="Q862" t="n">
        <v>0</v>
      </c>
      <c r="R862" s="2" t="inlineStr"/>
    </row>
    <row r="863" ht="15" customHeight="1">
      <c r="A863" t="inlineStr">
        <is>
          <t>A 30268-2024</t>
        </is>
      </c>
      <c r="B863" s="1" t="n">
        <v>45490.60572916667</v>
      </c>
      <c r="C863" s="1" t="n">
        <v>46088</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12407-2025</t>
        </is>
      </c>
      <c r="B864" s="1" t="n">
        <v>45730.42851851852</v>
      </c>
      <c r="C864" s="1" t="n">
        <v>46088</v>
      </c>
      <c r="D864" t="inlineStr">
        <is>
          <t>STOCKHOLMS LÄN</t>
        </is>
      </c>
      <c r="E864" t="inlineStr">
        <is>
          <t>NORRTÄLJE</t>
        </is>
      </c>
      <c r="F864" t="inlineStr">
        <is>
          <t>Holmen skog AB</t>
        </is>
      </c>
      <c r="G864" t="n">
        <v>2.6</v>
      </c>
      <c r="H864" t="n">
        <v>0</v>
      </c>
      <c r="I864" t="n">
        <v>0</v>
      </c>
      <c r="J864" t="n">
        <v>0</v>
      </c>
      <c r="K864" t="n">
        <v>0</v>
      </c>
      <c r="L864" t="n">
        <v>0</v>
      </c>
      <c r="M864" t="n">
        <v>0</v>
      </c>
      <c r="N864" t="n">
        <v>0</v>
      </c>
      <c r="O864" t="n">
        <v>0</v>
      </c>
      <c r="P864" t="n">
        <v>0</v>
      </c>
      <c r="Q864" t="n">
        <v>0</v>
      </c>
      <c r="R864" s="2" t="inlineStr"/>
    </row>
    <row r="865" ht="15" customHeight="1">
      <c r="A865" t="inlineStr">
        <is>
          <t>A 19025-2025</t>
        </is>
      </c>
      <c r="B865" s="1" t="n">
        <v>45764.6359837963</v>
      </c>
      <c r="C865" s="1" t="n">
        <v>46088</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54276-2021</t>
        </is>
      </c>
      <c r="B866" s="1" t="n">
        <v>44470</v>
      </c>
      <c r="C866" s="1" t="n">
        <v>46088</v>
      </c>
      <c r="D866" t="inlineStr">
        <is>
          <t>STOCKHOLMS LÄN</t>
        </is>
      </c>
      <c r="E866" t="inlineStr">
        <is>
          <t>NORRTÄLJE</t>
        </is>
      </c>
      <c r="G866" t="n">
        <v>7.3</v>
      </c>
      <c r="H866" t="n">
        <v>0</v>
      </c>
      <c r="I866" t="n">
        <v>0</v>
      </c>
      <c r="J866" t="n">
        <v>0</v>
      </c>
      <c r="K866" t="n">
        <v>0</v>
      </c>
      <c r="L866" t="n">
        <v>0</v>
      </c>
      <c r="M866" t="n">
        <v>0</v>
      </c>
      <c r="N866" t="n">
        <v>0</v>
      </c>
      <c r="O866" t="n">
        <v>0</v>
      </c>
      <c r="P866" t="n">
        <v>0</v>
      </c>
      <c r="Q866" t="n">
        <v>0</v>
      </c>
      <c r="R866" s="2" t="inlineStr"/>
    </row>
    <row r="867" ht="15" customHeight="1">
      <c r="A867" t="inlineStr">
        <is>
          <t>A 4316-2023</t>
        </is>
      </c>
      <c r="B867" s="1" t="n">
        <v>44953.67443287037</v>
      </c>
      <c r="C867" s="1" t="n">
        <v>46088</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41587-2023</t>
        </is>
      </c>
      <c r="B868" s="1" t="n">
        <v>45175</v>
      </c>
      <c r="C868" s="1" t="n">
        <v>46088</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11648-2026</t>
        </is>
      </c>
      <c r="B869" s="1" t="n">
        <v>46084.51575231482</v>
      </c>
      <c r="C869" s="1" t="n">
        <v>46088</v>
      </c>
      <c r="D869" t="inlineStr">
        <is>
          <t>STOCKHOLMS LÄN</t>
        </is>
      </c>
      <c r="E869" t="inlineStr">
        <is>
          <t>NORRTÄLJE</t>
        </is>
      </c>
      <c r="G869" t="n">
        <v>4.1</v>
      </c>
      <c r="H869" t="n">
        <v>0</v>
      </c>
      <c r="I869" t="n">
        <v>0</v>
      </c>
      <c r="J869" t="n">
        <v>0</v>
      </c>
      <c r="K869" t="n">
        <v>0</v>
      </c>
      <c r="L869" t="n">
        <v>0</v>
      </c>
      <c r="M869" t="n">
        <v>0</v>
      </c>
      <c r="N869" t="n">
        <v>0</v>
      </c>
      <c r="O869" t="n">
        <v>0</v>
      </c>
      <c r="P869" t="n">
        <v>0</v>
      </c>
      <c r="Q869" t="n">
        <v>0</v>
      </c>
      <c r="R869" s="2" t="inlineStr"/>
    </row>
    <row r="870" ht="15" customHeight="1">
      <c r="A870" t="inlineStr">
        <is>
          <t>A 17304-2024</t>
        </is>
      </c>
      <c r="B870" s="1" t="n">
        <v>45414</v>
      </c>
      <c r="C870" s="1" t="n">
        <v>46088</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46088</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62708-2025</t>
        </is>
      </c>
      <c r="B872" s="1" t="n">
        <v>46008.50986111111</v>
      </c>
      <c r="C872" s="1" t="n">
        <v>46088</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34478-2025</t>
        </is>
      </c>
      <c r="B873" s="1" t="n">
        <v>45847</v>
      </c>
      <c r="C873" s="1" t="n">
        <v>46088</v>
      </c>
      <c r="D873" t="inlineStr">
        <is>
          <t>STOCKHOLMS LÄN</t>
        </is>
      </c>
      <c r="E873" t="inlineStr">
        <is>
          <t>NORRTÄLJE</t>
        </is>
      </c>
      <c r="F873" t="inlineStr">
        <is>
          <t>Övriga Aktiebolag</t>
        </is>
      </c>
      <c r="G873" t="n">
        <v>10.8</v>
      </c>
      <c r="H873" t="n">
        <v>0</v>
      </c>
      <c r="I873" t="n">
        <v>0</v>
      </c>
      <c r="J873" t="n">
        <v>0</v>
      </c>
      <c r="K873" t="n">
        <v>0</v>
      </c>
      <c r="L873" t="n">
        <v>0</v>
      </c>
      <c r="M873" t="n">
        <v>0</v>
      </c>
      <c r="N873" t="n">
        <v>0</v>
      </c>
      <c r="O873" t="n">
        <v>0</v>
      </c>
      <c r="P873" t="n">
        <v>0</v>
      </c>
      <c r="Q873" t="n">
        <v>0</v>
      </c>
      <c r="R873" s="2" t="inlineStr"/>
    </row>
    <row r="874" ht="15" customHeight="1">
      <c r="A874" t="inlineStr">
        <is>
          <t>A 26668-2024</t>
        </is>
      </c>
      <c r="B874" s="1" t="n">
        <v>45469</v>
      </c>
      <c r="C874" s="1" t="n">
        <v>46088</v>
      </c>
      <c r="D874" t="inlineStr">
        <is>
          <t>STOCKHOLMS LÄN</t>
        </is>
      </c>
      <c r="E874" t="inlineStr">
        <is>
          <t>NORRTÄLJE</t>
        </is>
      </c>
      <c r="G874" t="n">
        <v>4.8</v>
      </c>
      <c r="H874" t="n">
        <v>0</v>
      </c>
      <c r="I874" t="n">
        <v>0</v>
      </c>
      <c r="J874" t="n">
        <v>0</v>
      </c>
      <c r="K874" t="n">
        <v>0</v>
      </c>
      <c r="L874" t="n">
        <v>0</v>
      </c>
      <c r="M874" t="n">
        <v>0</v>
      </c>
      <c r="N874" t="n">
        <v>0</v>
      </c>
      <c r="O874" t="n">
        <v>0</v>
      </c>
      <c r="P874" t="n">
        <v>0</v>
      </c>
      <c r="Q874" t="n">
        <v>0</v>
      </c>
      <c r="R874" s="2" t="inlineStr"/>
    </row>
    <row r="875" ht="15" customHeight="1">
      <c r="A875" t="inlineStr">
        <is>
          <t>A 62681-2025</t>
        </is>
      </c>
      <c r="B875" s="1" t="n">
        <v>46008.45534722223</v>
      </c>
      <c r="C875" s="1" t="n">
        <v>46088</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62922-2025</t>
        </is>
      </c>
      <c r="B876" s="1" t="n">
        <v>46009.38064814815</v>
      </c>
      <c r="C876" s="1" t="n">
        <v>46088</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31926-2022</t>
        </is>
      </c>
      <c r="B877" s="1" t="n">
        <v>44777</v>
      </c>
      <c r="C877" s="1" t="n">
        <v>46088</v>
      </c>
      <c r="D877" t="inlineStr">
        <is>
          <t>STOCKHOLMS LÄN</t>
        </is>
      </c>
      <c r="E877" t="inlineStr">
        <is>
          <t>NORRTÄLJE</t>
        </is>
      </c>
      <c r="G877" t="n">
        <v>5.2</v>
      </c>
      <c r="H877" t="n">
        <v>0</v>
      </c>
      <c r="I877" t="n">
        <v>0</v>
      </c>
      <c r="J877" t="n">
        <v>0</v>
      </c>
      <c r="K877" t="n">
        <v>0</v>
      </c>
      <c r="L877" t="n">
        <v>0</v>
      </c>
      <c r="M877" t="n">
        <v>0</v>
      </c>
      <c r="N877" t="n">
        <v>0</v>
      </c>
      <c r="O877" t="n">
        <v>0</v>
      </c>
      <c r="P877" t="n">
        <v>0</v>
      </c>
      <c r="Q877" t="n">
        <v>0</v>
      </c>
      <c r="R877" s="2" t="inlineStr"/>
    </row>
    <row r="878" ht="15" customHeight="1">
      <c r="A878" t="inlineStr">
        <is>
          <t>A 4227-2026</t>
        </is>
      </c>
      <c r="B878" s="1" t="n">
        <v>46044</v>
      </c>
      <c r="C878" s="1" t="n">
        <v>46088</v>
      </c>
      <c r="D878" t="inlineStr">
        <is>
          <t>STOCKHOLMS LÄN</t>
        </is>
      </c>
      <c r="E878" t="inlineStr">
        <is>
          <t>NORRTÄLJE</t>
        </is>
      </c>
      <c r="G878" t="n">
        <v>3.6</v>
      </c>
      <c r="H878" t="n">
        <v>0</v>
      </c>
      <c r="I878" t="n">
        <v>0</v>
      </c>
      <c r="J878" t="n">
        <v>0</v>
      </c>
      <c r="K878" t="n">
        <v>0</v>
      </c>
      <c r="L878" t="n">
        <v>0</v>
      </c>
      <c r="M878" t="n">
        <v>0</v>
      </c>
      <c r="N878" t="n">
        <v>0</v>
      </c>
      <c r="O878" t="n">
        <v>0</v>
      </c>
      <c r="P878" t="n">
        <v>0</v>
      </c>
      <c r="Q878" t="n">
        <v>0</v>
      </c>
      <c r="R878" s="2" t="inlineStr"/>
    </row>
    <row r="879" ht="15" customHeight="1">
      <c r="A879" t="inlineStr">
        <is>
          <t>A 62689-2025</t>
        </is>
      </c>
      <c r="B879" s="1" t="n">
        <v>46008.47171296296</v>
      </c>
      <c r="C879" s="1" t="n">
        <v>46088</v>
      </c>
      <c r="D879" t="inlineStr">
        <is>
          <t>STOCKHOLMS LÄN</t>
        </is>
      </c>
      <c r="E879" t="inlineStr">
        <is>
          <t>NORRTÄLJE</t>
        </is>
      </c>
      <c r="F879" t="inlineStr">
        <is>
          <t>Kyrkan</t>
        </is>
      </c>
      <c r="G879" t="n">
        <v>0.7</v>
      </c>
      <c r="H879" t="n">
        <v>0</v>
      </c>
      <c r="I879" t="n">
        <v>0</v>
      </c>
      <c r="J879" t="n">
        <v>0</v>
      </c>
      <c r="K879" t="n">
        <v>0</v>
      </c>
      <c r="L879" t="n">
        <v>0</v>
      </c>
      <c r="M879" t="n">
        <v>0</v>
      </c>
      <c r="N879" t="n">
        <v>0</v>
      </c>
      <c r="O879" t="n">
        <v>0</v>
      </c>
      <c r="P879" t="n">
        <v>0</v>
      </c>
      <c r="Q879" t="n">
        <v>0</v>
      </c>
      <c r="R879" s="2" t="inlineStr"/>
    </row>
    <row r="880" ht="15" customHeight="1">
      <c r="A880" t="inlineStr">
        <is>
          <t>A 21480-2022</t>
        </is>
      </c>
      <c r="B880" s="1" t="n">
        <v>44704</v>
      </c>
      <c r="C880" s="1" t="n">
        <v>46088</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11041-2025</t>
        </is>
      </c>
      <c r="B881" s="1" t="n">
        <v>45723</v>
      </c>
      <c r="C881" s="1" t="n">
        <v>46088</v>
      </c>
      <c r="D881" t="inlineStr">
        <is>
          <t>STOCKHOLMS LÄN</t>
        </is>
      </c>
      <c r="E881" t="inlineStr">
        <is>
          <t>NORRTÄLJE</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24024-2024</t>
        </is>
      </c>
      <c r="B882" s="1" t="n">
        <v>45456</v>
      </c>
      <c r="C882" s="1" t="n">
        <v>46088</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28809-2023</t>
        </is>
      </c>
      <c r="B883" s="1" t="n">
        <v>45104</v>
      </c>
      <c r="C883" s="1" t="n">
        <v>46088</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28813-2023</t>
        </is>
      </c>
      <c r="B884" s="1" t="n">
        <v>45104</v>
      </c>
      <c r="C884" s="1" t="n">
        <v>46088</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40656-2022</t>
        </is>
      </c>
      <c r="B885" s="1" t="n">
        <v>44824.36069444445</v>
      </c>
      <c r="C885" s="1" t="n">
        <v>46088</v>
      </c>
      <c r="D885" t="inlineStr">
        <is>
          <t>STOCKHOLMS LÄN</t>
        </is>
      </c>
      <c r="E885" t="inlineStr">
        <is>
          <t>NORRTÄLJE</t>
        </is>
      </c>
      <c r="G885" t="n">
        <v>2.7</v>
      </c>
      <c r="H885" t="n">
        <v>0</v>
      </c>
      <c r="I885" t="n">
        <v>0</v>
      </c>
      <c r="J885" t="n">
        <v>0</v>
      </c>
      <c r="K885" t="n">
        <v>0</v>
      </c>
      <c r="L885" t="n">
        <v>0</v>
      </c>
      <c r="M885" t="n">
        <v>0</v>
      </c>
      <c r="N885" t="n">
        <v>0</v>
      </c>
      <c r="O885" t="n">
        <v>0</v>
      </c>
      <c r="P885" t="n">
        <v>0</v>
      </c>
      <c r="Q885" t="n">
        <v>0</v>
      </c>
      <c r="R885" s="2" t="inlineStr"/>
    </row>
    <row r="886" ht="15" customHeight="1">
      <c r="A886" t="inlineStr">
        <is>
          <t>A 12234-2026</t>
        </is>
      </c>
      <c r="B886" s="1" t="n">
        <v>46087.4091087963</v>
      </c>
      <c r="C886" s="1" t="n">
        <v>46088</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60694-2024</t>
        </is>
      </c>
      <c r="B887" s="1" t="n">
        <v>45644.47878472223</v>
      </c>
      <c r="C887" s="1" t="n">
        <v>46088</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5934-2026</t>
        </is>
      </c>
      <c r="B888" s="1" t="n">
        <v>46052.47082175926</v>
      </c>
      <c r="C888" s="1" t="n">
        <v>46088</v>
      </c>
      <c r="D888" t="inlineStr">
        <is>
          <t>STOCKHOLMS LÄN</t>
        </is>
      </c>
      <c r="E888" t="inlineStr">
        <is>
          <t>NORRTÄLJE</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19450-2025</t>
        </is>
      </c>
      <c r="B889" s="1" t="n">
        <v>45770</v>
      </c>
      <c r="C889" s="1" t="n">
        <v>46088</v>
      </c>
      <c r="D889" t="inlineStr">
        <is>
          <t>STOCKHOLMS LÄN</t>
        </is>
      </c>
      <c r="E889" t="inlineStr">
        <is>
          <t>NORRTÄLJE</t>
        </is>
      </c>
      <c r="G889" t="n">
        <v>5.3</v>
      </c>
      <c r="H889" t="n">
        <v>0</v>
      </c>
      <c r="I889" t="n">
        <v>0</v>
      </c>
      <c r="J889" t="n">
        <v>0</v>
      </c>
      <c r="K889" t="n">
        <v>0</v>
      </c>
      <c r="L889" t="n">
        <v>0</v>
      </c>
      <c r="M889" t="n">
        <v>0</v>
      </c>
      <c r="N889" t="n">
        <v>0</v>
      </c>
      <c r="O889" t="n">
        <v>0</v>
      </c>
      <c r="P889" t="n">
        <v>0</v>
      </c>
      <c r="Q889" t="n">
        <v>0</v>
      </c>
      <c r="R889" s="2" t="inlineStr"/>
    </row>
    <row r="890" ht="15" customHeight="1">
      <c r="A890" t="inlineStr">
        <is>
          <t>A 4549-2026</t>
        </is>
      </c>
      <c r="B890" s="1" t="n">
        <v>46047</v>
      </c>
      <c r="C890" s="1" t="n">
        <v>46088</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4230-2026</t>
        </is>
      </c>
      <c r="B891" s="1" t="n">
        <v>46044.89366898148</v>
      </c>
      <c r="C891" s="1" t="n">
        <v>46088</v>
      </c>
      <c r="D891" t="inlineStr">
        <is>
          <t>STOCKHOLMS LÄN</t>
        </is>
      </c>
      <c r="E891" t="inlineStr">
        <is>
          <t>NORRTÄLJE</t>
        </is>
      </c>
      <c r="G891" t="n">
        <v>10.8</v>
      </c>
      <c r="H891" t="n">
        <v>0</v>
      </c>
      <c r="I891" t="n">
        <v>0</v>
      </c>
      <c r="J891" t="n">
        <v>0</v>
      </c>
      <c r="K891" t="n">
        <v>0</v>
      </c>
      <c r="L891" t="n">
        <v>0</v>
      </c>
      <c r="M891" t="n">
        <v>0</v>
      </c>
      <c r="N891" t="n">
        <v>0</v>
      </c>
      <c r="O891" t="n">
        <v>0</v>
      </c>
      <c r="P891" t="n">
        <v>0</v>
      </c>
      <c r="Q891" t="n">
        <v>0</v>
      </c>
      <c r="R891" s="2" t="inlineStr"/>
    </row>
    <row r="892" ht="15" customHeight="1">
      <c r="A892" t="inlineStr">
        <is>
          <t>A 4231-2026</t>
        </is>
      </c>
      <c r="B892" s="1" t="n">
        <v>46044</v>
      </c>
      <c r="C892" s="1" t="n">
        <v>46088</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4232-2026</t>
        </is>
      </c>
      <c r="B893" s="1" t="n">
        <v>46044.89594907407</v>
      </c>
      <c r="C893" s="1" t="n">
        <v>46088</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6724-2026</t>
        </is>
      </c>
      <c r="B894" s="1" t="n">
        <v>46056.67717592593</v>
      </c>
      <c r="C894" s="1" t="n">
        <v>46088</v>
      </c>
      <c r="D894" t="inlineStr">
        <is>
          <t>STOCKHOLMS LÄN</t>
        </is>
      </c>
      <c r="E894" t="inlineStr">
        <is>
          <t>NORRTÄLJE</t>
        </is>
      </c>
      <c r="F894" t="inlineStr">
        <is>
          <t>Holmen skog AB</t>
        </is>
      </c>
      <c r="G894" t="n">
        <v>16.2</v>
      </c>
      <c r="H894" t="n">
        <v>0</v>
      </c>
      <c r="I894" t="n">
        <v>0</v>
      </c>
      <c r="J894" t="n">
        <v>0</v>
      </c>
      <c r="K894" t="n">
        <v>0</v>
      </c>
      <c r="L894" t="n">
        <v>0</v>
      </c>
      <c r="M894" t="n">
        <v>0</v>
      </c>
      <c r="N894" t="n">
        <v>0</v>
      </c>
      <c r="O894" t="n">
        <v>0</v>
      </c>
      <c r="P894" t="n">
        <v>0</v>
      </c>
      <c r="Q894" t="n">
        <v>0</v>
      </c>
      <c r="R894" s="2" t="inlineStr"/>
    </row>
    <row r="895" ht="15" customHeight="1">
      <c r="A895" t="inlineStr">
        <is>
          <t>A 6838-2026</t>
        </is>
      </c>
      <c r="B895" s="1" t="n">
        <v>46057.41151620371</v>
      </c>
      <c r="C895" s="1" t="n">
        <v>46088</v>
      </c>
      <c r="D895" t="inlineStr">
        <is>
          <t>STOCKHOLMS LÄN</t>
        </is>
      </c>
      <c r="E895" t="inlineStr">
        <is>
          <t>NORRTÄLJE</t>
        </is>
      </c>
      <c r="F895" t="inlineStr">
        <is>
          <t>Holmen skog AB</t>
        </is>
      </c>
      <c r="G895" t="n">
        <v>1.7</v>
      </c>
      <c r="H895" t="n">
        <v>0</v>
      </c>
      <c r="I895" t="n">
        <v>0</v>
      </c>
      <c r="J895" t="n">
        <v>0</v>
      </c>
      <c r="K895" t="n">
        <v>0</v>
      </c>
      <c r="L895" t="n">
        <v>0</v>
      </c>
      <c r="M895" t="n">
        <v>0</v>
      </c>
      <c r="N895" t="n">
        <v>0</v>
      </c>
      <c r="O895" t="n">
        <v>0</v>
      </c>
      <c r="P895" t="n">
        <v>0</v>
      </c>
      <c r="Q895" t="n">
        <v>0</v>
      </c>
      <c r="R895" s="2" t="inlineStr"/>
    </row>
    <row r="896" ht="15" customHeight="1">
      <c r="A896" t="inlineStr">
        <is>
          <t>A 6532-2026</t>
        </is>
      </c>
      <c r="B896" s="1" t="n">
        <v>46056.41300925926</v>
      </c>
      <c r="C896" s="1" t="n">
        <v>46088</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3933-2026</t>
        </is>
      </c>
      <c r="B897" s="1" t="n">
        <v>46043.79916666666</v>
      </c>
      <c r="C897" s="1" t="n">
        <v>46088</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33353-2023</t>
        </is>
      </c>
      <c r="B898" s="1" t="n">
        <v>45128</v>
      </c>
      <c r="C898" s="1" t="n">
        <v>46088</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6874-2026</t>
        </is>
      </c>
      <c r="B899" s="1" t="n">
        <v>46057.45295138889</v>
      </c>
      <c r="C899" s="1" t="n">
        <v>46088</v>
      </c>
      <c r="D899" t="inlineStr">
        <is>
          <t>STOCKHOLMS LÄN</t>
        </is>
      </c>
      <c r="E899" t="inlineStr">
        <is>
          <t>NORRTÄLJE</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4235-2026</t>
        </is>
      </c>
      <c r="B900" s="1" t="n">
        <v>46044</v>
      </c>
      <c r="C900" s="1" t="n">
        <v>46088</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3966-2024</t>
        </is>
      </c>
      <c r="B901" s="1" t="n">
        <v>45322</v>
      </c>
      <c r="C901" s="1" t="n">
        <v>46088</v>
      </c>
      <c r="D901" t="inlineStr">
        <is>
          <t>STOCKHOLMS LÄN</t>
        </is>
      </c>
      <c r="E901" t="inlineStr">
        <is>
          <t>NORRTÄLJE</t>
        </is>
      </c>
      <c r="G901" t="n">
        <v>5.3</v>
      </c>
      <c r="H901" t="n">
        <v>0</v>
      </c>
      <c r="I901" t="n">
        <v>0</v>
      </c>
      <c r="J901" t="n">
        <v>0</v>
      </c>
      <c r="K901" t="n">
        <v>0</v>
      </c>
      <c r="L901" t="n">
        <v>0</v>
      </c>
      <c r="M901" t="n">
        <v>0</v>
      </c>
      <c r="N901" t="n">
        <v>0</v>
      </c>
      <c r="O901" t="n">
        <v>0</v>
      </c>
      <c r="P901" t="n">
        <v>0</v>
      </c>
      <c r="Q901" t="n">
        <v>0</v>
      </c>
      <c r="R901" s="2" t="inlineStr"/>
    </row>
    <row r="902" ht="15" customHeight="1">
      <c r="A902" t="inlineStr">
        <is>
          <t>A 23262-2023</t>
        </is>
      </c>
      <c r="B902" s="1" t="n">
        <v>45075.90270833333</v>
      </c>
      <c r="C902" s="1" t="n">
        <v>46088</v>
      </c>
      <c r="D902" t="inlineStr">
        <is>
          <t>STOCKHOLMS LÄN</t>
        </is>
      </c>
      <c r="E902" t="inlineStr">
        <is>
          <t>NORRTÄLJE</t>
        </is>
      </c>
      <c r="F902" t="inlineStr">
        <is>
          <t>Kommuner</t>
        </is>
      </c>
      <c r="G902" t="n">
        <v>1.9</v>
      </c>
      <c r="H902" t="n">
        <v>0</v>
      </c>
      <c r="I902" t="n">
        <v>0</v>
      </c>
      <c r="J902" t="n">
        <v>0</v>
      </c>
      <c r="K902" t="n">
        <v>0</v>
      </c>
      <c r="L902" t="n">
        <v>0</v>
      </c>
      <c r="M902" t="n">
        <v>0</v>
      </c>
      <c r="N902" t="n">
        <v>0</v>
      </c>
      <c r="O902" t="n">
        <v>0</v>
      </c>
      <c r="P902" t="n">
        <v>0</v>
      </c>
      <c r="Q902" t="n">
        <v>0</v>
      </c>
      <c r="R902" s="2" t="inlineStr"/>
    </row>
    <row r="903" ht="15" customHeight="1">
      <c r="A903" t="inlineStr">
        <is>
          <t>A 23268-2023</t>
        </is>
      </c>
      <c r="B903" s="1" t="n">
        <v>45075.91042824074</v>
      </c>
      <c r="C903" s="1" t="n">
        <v>46088</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23270-2023</t>
        </is>
      </c>
      <c r="B904" s="1" t="n">
        <v>45075.91265046296</v>
      </c>
      <c r="C904" s="1" t="n">
        <v>46088</v>
      </c>
      <c r="D904" t="inlineStr">
        <is>
          <t>STOCKHOLMS LÄN</t>
        </is>
      </c>
      <c r="E904" t="inlineStr">
        <is>
          <t>NORRTÄLJE</t>
        </is>
      </c>
      <c r="G904" t="n">
        <v>12.3</v>
      </c>
      <c r="H904" t="n">
        <v>0</v>
      </c>
      <c r="I904" t="n">
        <v>0</v>
      </c>
      <c r="J904" t="n">
        <v>0</v>
      </c>
      <c r="K904" t="n">
        <v>0</v>
      </c>
      <c r="L904" t="n">
        <v>0</v>
      </c>
      <c r="M904" t="n">
        <v>0</v>
      </c>
      <c r="N904" t="n">
        <v>0</v>
      </c>
      <c r="O904" t="n">
        <v>0</v>
      </c>
      <c r="P904" t="n">
        <v>0</v>
      </c>
      <c r="Q904" t="n">
        <v>0</v>
      </c>
      <c r="R904" s="2" t="inlineStr"/>
    </row>
    <row r="905" ht="15" customHeight="1">
      <c r="A905" t="inlineStr">
        <is>
          <t>A 23274-2023</t>
        </is>
      </c>
      <c r="B905" s="1" t="n">
        <v>45075.92153935185</v>
      </c>
      <c r="C905" s="1" t="n">
        <v>46088</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17843-2024</t>
        </is>
      </c>
      <c r="B906" s="1" t="n">
        <v>45418</v>
      </c>
      <c r="C906" s="1" t="n">
        <v>46088</v>
      </c>
      <c r="D906" t="inlineStr">
        <is>
          <t>STOCKHOLMS LÄN</t>
        </is>
      </c>
      <c r="E906" t="inlineStr">
        <is>
          <t>NORRTÄLJE</t>
        </is>
      </c>
      <c r="G906" t="n">
        <v>5.4</v>
      </c>
      <c r="H906" t="n">
        <v>0</v>
      </c>
      <c r="I906" t="n">
        <v>0</v>
      </c>
      <c r="J906" t="n">
        <v>0</v>
      </c>
      <c r="K906" t="n">
        <v>0</v>
      </c>
      <c r="L906" t="n">
        <v>0</v>
      </c>
      <c r="M906" t="n">
        <v>0</v>
      </c>
      <c r="N906" t="n">
        <v>0</v>
      </c>
      <c r="O906" t="n">
        <v>0</v>
      </c>
      <c r="P906" t="n">
        <v>0</v>
      </c>
      <c r="Q906" t="n">
        <v>0</v>
      </c>
      <c r="R906" s="2" t="inlineStr"/>
    </row>
    <row r="907" ht="15" customHeight="1">
      <c r="A907" t="inlineStr">
        <is>
          <t>A 26636-2023</t>
        </is>
      </c>
      <c r="B907" s="1" t="n">
        <v>45092</v>
      </c>
      <c r="C907" s="1" t="n">
        <v>46088</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26637-2023</t>
        </is>
      </c>
      <c r="B908" s="1" t="n">
        <v>45092</v>
      </c>
      <c r="C908" s="1" t="n">
        <v>46088</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72704-2021</t>
        </is>
      </c>
      <c r="B909" s="1" t="n">
        <v>44546</v>
      </c>
      <c r="C909" s="1" t="n">
        <v>46088</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52743-2024</t>
        </is>
      </c>
      <c r="B910" s="1" t="n">
        <v>45610.47414351852</v>
      </c>
      <c r="C910" s="1" t="n">
        <v>46088</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16852-2024</t>
        </is>
      </c>
      <c r="B911" s="1" t="n">
        <v>45411.54768518519</v>
      </c>
      <c r="C911" s="1" t="n">
        <v>46088</v>
      </c>
      <c r="D911" t="inlineStr">
        <is>
          <t>STOCKHOLMS LÄN</t>
        </is>
      </c>
      <c r="E911" t="inlineStr">
        <is>
          <t>NORRTÄLJE</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55755-2023</t>
        </is>
      </c>
      <c r="B912" s="1" t="n">
        <v>45239</v>
      </c>
      <c r="C912" s="1" t="n">
        <v>46088</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17348-2024</t>
        </is>
      </c>
      <c r="B913" s="1" t="n">
        <v>45414.58650462963</v>
      </c>
      <c r="C913" s="1" t="n">
        <v>46088</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13089-2022</t>
        </is>
      </c>
      <c r="B914" s="1" t="n">
        <v>44643</v>
      </c>
      <c r="C914" s="1" t="n">
        <v>46088</v>
      </c>
      <c r="D914" t="inlineStr">
        <is>
          <t>STOCKHOLMS LÄN</t>
        </is>
      </c>
      <c r="E914" t="inlineStr">
        <is>
          <t>NORRTÄLJE</t>
        </is>
      </c>
      <c r="G914" t="n">
        <v>4.5</v>
      </c>
      <c r="H914" t="n">
        <v>0</v>
      </c>
      <c r="I914" t="n">
        <v>0</v>
      </c>
      <c r="J914" t="n">
        <v>0</v>
      </c>
      <c r="K914" t="n">
        <v>0</v>
      </c>
      <c r="L914" t="n">
        <v>0</v>
      </c>
      <c r="M914" t="n">
        <v>0</v>
      </c>
      <c r="N914" t="n">
        <v>0</v>
      </c>
      <c r="O914" t="n">
        <v>0</v>
      </c>
      <c r="P914" t="n">
        <v>0</v>
      </c>
      <c r="Q914" t="n">
        <v>0</v>
      </c>
      <c r="R914" s="2" t="inlineStr"/>
    </row>
    <row r="915" ht="15" customHeight="1">
      <c r="A915" t="inlineStr">
        <is>
          <t>A 48145-2024</t>
        </is>
      </c>
      <c r="B915" s="1" t="n">
        <v>45589.6756712963</v>
      </c>
      <c r="C915" s="1" t="n">
        <v>46088</v>
      </c>
      <c r="D915" t="inlineStr">
        <is>
          <t>STOCKHOLMS LÄN</t>
        </is>
      </c>
      <c r="E915" t="inlineStr">
        <is>
          <t>NORRTÄLJE</t>
        </is>
      </c>
      <c r="G915" t="n">
        <v>3.4</v>
      </c>
      <c r="H915" t="n">
        <v>0</v>
      </c>
      <c r="I915" t="n">
        <v>0</v>
      </c>
      <c r="J915" t="n">
        <v>0</v>
      </c>
      <c r="K915" t="n">
        <v>0</v>
      </c>
      <c r="L915" t="n">
        <v>0</v>
      </c>
      <c r="M915" t="n">
        <v>0</v>
      </c>
      <c r="N915" t="n">
        <v>0</v>
      </c>
      <c r="O915" t="n">
        <v>0</v>
      </c>
      <c r="P915" t="n">
        <v>0</v>
      </c>
      <c r="Q915" t="n">
        <v>0</v>
      </c>
      <c r="R915" s="2" t="inlineStr"/>
    </row>
    <row r="916" ht="15" customHeight="1">
      <c r="A916" t="inlineStr">
        <is>
          <t>A 23998-2024</t>
        </is>
      </c>
      <c r="B916" s="1" t="n">
        <v>45456</v>
      </c>
      <c r="C916" s="1" t="n">
        <v>46088</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15447-2023</t>
        </is>
      </c>
      <c r="B917" s="1" t="n">
        <v>45020</v>
      </c>
      <c r="C917" s="1" t="n">
        <v>46088</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54358-2022</t>
        </is>
      </c>
      <c r="B918" s="1" t="n">
        <v>44882</v>
      </c>
      <c r="C918" s="1" t="n">
        <v>46088</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23263-2023</t>
        </is>
      </c>
      <c r="B919" s="1" t="n">
        <v>45075</v>
      </c>
      <c r="C919" s="1" t="n">
        <v>46088</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23264-2023</t>
        </is>
      </c>
      <c r="B920" s="1" t="n">
        <v>45075</v>
      </c>
      <c r="C920" s="1" t="n">
        <v>46088</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23267-2023</t>
        </is>
      </c>
      <c r="B921" s="1" t="n">
        <v>45075.90934027778</v>
      </c>
      <c r="C921" s="1" t="n">
        <v>46088</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46088</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19911-2025</t>
        </is>
      </c>
      <c r="B923" s="1" t="n">
        <v>45771</v>
      </c>
      <c r="C923" s="1" t="n">
        <v>46088</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5831-2022</t>
        </is>
      </c>
      <c r="B924" s="1" t="n">
        <v>44596</v>
      </c>
      <c r="C924" s="1" t="n">
        <v>46088</v>
      </c>
      <c r="D924" t="inlineStr">
        <is>
          <t>STOCKHOLMS LÄN</t>
        </is>
      </c>
      <c r="E924" t="inlineStr">
        <is>
          <t>NORRTÄLJE</t>
        </is>
      </c>
      <c r="G924" t="n">
        <v>4.8</v>
      </c>
      <c r="H924" t="n">
        <v>0</v>
      </c>
      <c r="I924" t="n">
        <v>0</v>
      </c>
      <c r="J924" t="n">
        <v>0</v>
      </c>
      <c r="K924" t="n">
        <v>0</v>
      </c>
      <c r="L924" t="n">
        <v>0</v>
      </c>
      <c r="M924" t="n">
        <v>0</v>
      </c>
      <c r="N924" t="n">
        <v>0</v>
      </c>
      <c r="O924" t="n">
        <v>0</v>
      </c>
      <c r="P924" t="n">
        <v>0</v>
      </c>
      <c r="Q924" t="n">
        <v>0</v>
      </c>
      <c r="R924" s="2" t="inlineStr"/>
    </row>
    <row r="925" ht="15" customHeight="1">
      <c r="A925" t="inlineStr">
        <is>
          <t>A 5867-2022</t>
        </is>
      </c>
      <c r="B925" s="1" t="n">
        <v>44596.66335648148</v>
      </c>
      <c r="C925" s="1" t="n">
        <v>46088</v>
      </c>
      <c r="D925" t="inlineStr">
        <is>
          <t>STOCKHOLMS LÄN</t>
        </is>
      </c>
      <c r="E925" t="inlineStr">
        <is>
          <t>NORRTÄLJE</t>
        </is>
      </c>
      <c r="F925" t="inlineStr">
        <is>
          <t>Naturvårdsverket</t>
        </is>
      </c>
      <c r="G925" t="n">
        <v>1.6</v>
      </c>
      <c r="H925" t="n">
        <v>0</v>
      </c>
      <c r="I925" t="n">
        <v>0</v>
      </c>
      <c r="J925" t="n">
        <v>0</v>
      </c>
      <c r="K925" t="n">
        <v>0</v>
      </c>
      <c r="L925" t="n">
        <v>0</v>
      </c>
      <c r="M925" t="n">
        <v>0</v>
      </c>
      <c r="N925" t="n">
        <v>0</v>
      </c>
      <c r="O925" t="n">
        <v>0</v>
      </c>
      <c r="P925" t="n">
        <v>0</v>
      </c>
      <c r="Q925" t="n">
        <v>0</v>
      </c>
      <c r="R925" s="2" t="inlineStr"/>
    </row>
    <row r="926" ht="15" customHeight="1">
      <c r="A926" t="inlineStr">
        <is>
          <t>A 20244-2025</t>
        </is>
      </c>
      <c r="B926" s="1" t="n">
        <v>45772.71221064815</v>
      </c>
      <c r="C926" s="1" t="n">
        <v>46088</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48633-2023</t>
        </is>
      </c>
      <c r="B927" s="1" t="n">
        <v>45208.58004629629</v>
      </c>
      <c r="C927" s="1" t="n">
        <v>46088</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39669-2024</t>
        </is>
      </c>
      <c r="B928" s="1" t="n">
        <v>45552.52827546297</v>
      </c>
      <c r="C928" s="1" t="n">
        <v>46088</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43170-2023</t>
        </is>
      </c>
      <c r="B929" s="1" t="n">
        <v>45183</v>
      </c>
      <c r="C929" s="1" t="n">
        <v>46088</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9-2024</t>
        </is>
      </c>
      <c r="B930" s="1" t="n">
        <v>45293</v>
      </c>
      <c r="C930" s="1" t="n">
        <v>46088</v>
      </c>
      <c r="D930" t="inlineStr">
        <is>
          <t>STOCKHOLMS LÄN</t>
        </is>
      </c>
      <c r="E930" t="inlineStr">
        <is>
          <t>NORRTÄLJE</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22832-2021</t>
        </is>
      </c>
      <c r="B931" s="1" t="n">
        <v>44325</v>
      </c>
      <c r="C931" s="1" t="n">
        <v>46088</v>
      </c>
      <c r="D931" t="inlineStr">
        <is>
          <t>STOCKHOLMS LÄN</t>
        </is>
      </c>
      <c r="E931" t="inlineStr">
        <is>
          <t>NORRTÄLJE</t>
        </is>
      </c>
      <c r="G931" t="n">
        <v>6.8</v>
      </c>
      <c r="H931" t="n">
        <v>0</v>
      </c>
      <c r="I931" t="n">
        <v>0</v>
      </c>
      <c r="J931" t="n">
        <v>0</v>
      </c>
      <c r="K931" t="n">
        <v>0</v>
      </c>
      <c r="L931" t="n">
        <v>0</v>
      </c>
      <c r="M931" t="n">
        <v>0</v>
      </c>
      <c r="N931" t="n">
        <v>0</v>
      </c>
      <c r="O931" t="n">
        <v>0</v>
      </c>
      <c r="P931" t="n">
        <v>0</v>
      </c>
      <c r="Q931" t="n">
        <v>0</v>
      </c>
      <c r="R931" s="2" t="inlineStr"/>
    </row>
    <row r="932" ht="15" customHeight="1">
      <c r="A932" t="inlineStr">
        <is>
          <t>A 16913-2025</t>
        </is>
      </c>
      <c r="B932" s="1" t="n">
        <v>45755.36583333334</v>
      </c>
      <c r="C932" s="1" t="n">
        <v>46088</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4035-2023</t>
        </is>
      </c>
      <c r="B933" s="1" t="n">
        <v>44952.57989583333</v>
      </c>
      <c r="C933" s="1" t="n">
        <v>46088</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46088</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53600-2022</t>
        </is>
      </c>
      <c r="B935" s="1" t="n">
        <v>44879.70518518519</v>
      </c>
      <c r="C935" s="1" t="n">
        <v>46088</v>
      </c>
      <c r="D935" t="inlineStr">
        <is>
          <t>STOCKHOLMS LÄN</t>
        </is>
      </c>
      <c r="E935" t="inlineStr">
        <is>
          <t>NORRTÄLJE</t>
        </is>
      </c>
      <c r="G935" t="n">
        <v>4.3</v>
      </c>
      <c r="H935" t="n">
        <v>0</v>
      </c>
      <c r="I935" t="n">
        <v>0</v>
      </c>
      <c r="J935" t="n">
        <v>0</v>
      </c>
      <c r="K935" t="n">
        <v>0</v>
      </c>
      <c r="L935" t="n">
        <v>0</v>
      </c>
      <c r="M935" t="n">
        <v>0</v>
      </c>
      <c r="N935" t="n">
        <v>0</v>
      </c>
      <c r="O935" t="n">
        <v>0</v>
      </c>
      <c r="P935" t="n">
        <v>0</v>
      </c>
      <c r="Q935" t="n">
        <v>0</v>
      </c>
      <c r="R935" s="2" t="inlineStr"/>
    </row>
    <row r="936" ht="15" customHeight="1">
      <c r="A936" t="inlineStr">
        <is>
          <t>A 7697-2025</t>
        </is>
      </c>
      <c r="B936" s="1" t="n">
        <v>45706.40086805556</v>
      </c>
      <c r="C936" s="1" t="n">
        <v>46088</v>
      </c>
      <c r="D936" t="inlineStr">
        <is>
          <t>STOCKHOLMS LÄN</t>
        </is>
      </c>
      <c r="E936" t="inlineStr">
        <is>
          <t>NORRTÄLJE</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30221-2024</t>
        </is>
      </c>
      <c r="B937" s="1" t="n">
        <v>45490.45342592592</v>
      </c>
      <c r="C937" s="1" t="n">
        <v>46088</v>
      </c>
      <c r="D937" t="inlineStr">
        <is>
          <t>STOCKHOLMS LÄN</t>
        </is>
      </c>
      <c r="E937" t="inlineStr">
        <is>
          <t>NORRTÄLJE</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13-2024</t>
        </is>
      </c>
      <c r="B938" s="1" t="n">
        <v>45293.37263888889</v>
      </c>
      <c r="C938" s="1" t="n">
        <v>46088</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19-2024</t>
        </is>
      </c>
      <c r="B939" s="1" t="n">
        <v>45293</v>
      </c>
      <c r="C939" s="1" t="n">
        <v>46088</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31559-2022</t>
        </is>
      </c>
      <c r="B940" s="1" t="n">
        <v>44775</v>
      </c>
      <c r="C940" s="1" t="n">
        <v>46088</v>
      </c>
      <c r="D940" t="inlineStr">
        <is>
          <t>STOCKHOLMS LÄN</t>
        </is>
      </c>
      <c r="E940" t="inlineStr">
        <is>
          <t>NORRTÄLJE</t>
        </is>
      </c>
      <c r="G940" t="n">
        <v>5.6</v>
      </c>
      <c r="H940" t="n">
        <v>0</v>
      </c>
      <c r="I940" t="n">
        <v>0</v>
      </c>
      <c r="J940" t="n">
        <v>0</v>
      </c>
      <c r="K940" t="n">
        <v>0</v>
      </c>
      <c r="L940" t="n">
        <v>0</v>
      </c>
      <c r="M940" t="n">
        <v>0</v>
      </c>
      <c r="N940" t="n">
        <v>0</v>
      </c>
      <c r="O940" t="n">
        <v>0</v>
      </c>
      <c r="P940" t="n">
        <v>0</v>
      </c>
      <c r="Q940" t="n">
        <v>0</v>
      </c>
      <c r="R940" s="2" t="inlineStr"/>
    </row>
    <row r="941" ht="15" customHeight="1">
      <c r="A941" t="inlineStr">
        <is>
          <t>A 8419-2025</t>
        </is>
      </c>
      <c r="B941" s="1" t="n">
        <v>45709.40231481481</v>
      </c>
      <c r="C941" s="1" t="n">
        <v>46088</v>
      </c>
      <c r="D941" t="inlineStr">
        <is>
          <t>STOCKHOLMS LÄN</t>
        </is>
      </c>
      <c r="E941" t="inlineStr">
        <is>
          <t>NORRTÄLJE</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35161-2022</t>
        </is>
      </c>
      <c r="B942" s="1" t="n">
        <v>44797</v>
      </c>
      <c r="C942" s="1" t="n">
        <v>46088</v>
      </c>
      <c r="D942" t="inlineStr">
        <is>
          <t>STOCKHOLMS LÄN</t>
        </is>
      </c>
      <c r="E942" t="inlineStr">
        <is>
          <t>NORRTÄLJE</t>
        </is>
      </c>
      <c r="G942" t="n">
        <v>6</v>
      </c>
      <c r="H942" t="n">
        <v>0</v>
      </c>
      <c r="I942" t="n">
        <v>0</v>
      </c>
      <c r="J942" t="n">
        <v>0</v>
      </c>
      <c r="K942" t="n">
        <v>0</v>
      </c>
      <c r="L942" t="n">
        <v>0</v>
      </c>
      <c r="M942" t="n">
        <v>0</v>
      </c>
      <c r="N942" t="n">
        <v>0</v>
      </c>
      <c r="O942" t="n">
        <v>0</v>
      </c>
      <c r="P942" t="n">
        <v>0</v>
      </c>
      <c r="Q942" t="n">
        <v>0</v>
      </c>
      <c r="R942" s="2" t="inlineStr"/>
    </row>
    <row r="943" ht="15" customHeight="1">
      <c r="A943" t="inlineStr">
        <is>
          <t>A 58989-2021</t>
        </is>
      </c>
      <c r="B943" s="1" t="n">
        <v>44490.02482638889</v>
      </c>
      <c r="C943" s="1" t="n">
        <v>46088</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46988-2024</t>
        </is>
      </c>
      <c r="B944" s="1" t="n">
        <v>45586</v>
      </c>
      <c r="C944" s="1" t="n">
        <v>46088</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21529-2021</t>
        </is>
      </c>
      <c r="B945" s="1" t="n">
        <v>44321</v>
      </c>
      <c r="C945" s="1" t="n">
        <v>46088</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13701-2022</t>
        </is>
      </c>
      <c r="B946" s="1" t="n">
        <v>44648</v>
      </c>
      <c r="C946" s="1" t="n">
        <v>46088</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14132-2025</t>
        </is>
      </c>
      <c r="B947" s="1" t="n">
        <v>45740.47550925926</v>
      </c>
      <c r="C947" s="1" t="n">
        <v>46088</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14133-2025</t>
        </is>
      </c>
      <c r="B948" s="1" t="n">
        <v>45740.47724537037</v>
      </c>
      <c r="C948" s="1" t="n">
        <v>46088</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8792-2025</t>
        </is>
      </c>
      <c r="B949" s="1" t="n">
        <v>45712</v>
      </c>
      <c r="C949" s="1" t="n">
        <v>46088</v>
      </c>
      <c r="D949" t="inlineStr">
        <is>
          <t>STOCKHOLMS LÄN</t>
        </is>
      </c>
      <c r="E949" t="inlineStr">
        <is>
          <t>NORRTÄLJE</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24887-2023</t>
        </is>
      </c>
      <c r="B950" s="1" t="n">
        <v>45085</v>
      </c>
      <c r="C950" s="1" t="n">
        <v>46088</v>
      </c>
      <c r="D950" t="inlineStr">
        <is>
          <t>STOCKHOLMS LÄN</t>
        </is>
      </c>
      <c r="E950" t="inlineStr">
        <is>
          <t>NORRTÄLJE</t>
        </is>
      </c>
      <c r="G950" t="n">
        <v>13.9</v>
      </c>
      <c r="H950" t="n">
        <v>0</v>
      </c>
      <c r="I950" t="n">
        <v>0</v>
      </c>
      <c r="J950" t="n">
        <v>0</v>
      </c>
      <c r="K950" t="n">
        <v>0</v>
      </c>
      <c r="L950" t="n">
        <v>0</v>
      </c>
      <c r="M950" t="n">
        <v>0</v>
      </c>
      <c r="N950" t="n">
        <v>0</v>
      </c>
      <c r="O950" t="n">
        <v>0</v>
      </c>
      <c r="P950" t="n">
        <v>0</v>
      </c>
      <c r="Q950" t="n">
        <v>0</v>
      </c>
      <c r="R950" s="2" t="inlineStr"/>
    </row>
    <row r="951" ht="15" customHeight="1">
      <c r="A951" t="inlineStr">
        <is>
          <t>A 38612-2022</t>
        </is>
      </c>
      <c r="B951" s="1" t="n">
        <v>44813</v>
      </c>
      <c r="C951" s="1" t="n">
        <v>46088</v>
      </c>
      <c r="D951" t="inlineStr">
        <is>
          <t>STOCKHOLMS LÄN</t>
        </is>
      </c>
      <c r="E951" t="inlineStr">
        <is>
          <t>NORRTÄLJE</t>
        </is>
      </c>
      <c r="G951" t="n">
        <v>1.7</v>
      </c>
      <c r="H951" t="n">
        <v>0</v>
      </c>
      <c r="I951" t="n">
        <v>0</v>
      </c>
      <c r="J951" t="n">
        <v>0</v>
      </c>
      <c r="K951" t="n">
        <v>0</v>
      </c>
      <c r="L951" t="n">
        <v>0</v>
      </c>
      <c r="M951" t="n">
        <v>0</v>
      </c>
      <c r="N951" t="n">
        <v>0</v>
      </c>
      <c r="O951" t="n">
        <v>0</v>
      </c>
      <c r="P951" t="n">
        <v>0</v>
      </c>
      <c r="Q951" t="n">
        <v>0</v>
      </c>
      <c r="R951" s="2" t="inlineStr"/>
    </row>
    <row r="952" ht="15" customHeight="1">
      <c r="A952" t="inlineStr">
        <is>
          <t>A 4326-2023</t>
        </is>
      </c>
      <c r="B952" s="1" t="n">
        <v>44953.70481481482</v>
      </c>
      <c r="C952" s="1" t="n">
        <v>46088</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54504-2024</t>
        </is>
      </c>
      <c r="B953" s="1" t="n">
        <v>45617.58453703704</v>
      </c>
      <c r="C953" s="1" t="n">
        <v>46088</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21745-2023</t>
        </is>
      </c>
      <c r="B954" s="1" t="n">
        <v>45065.55917824074</v>
      </c>
      <c r="C954" s="1" t="n">
        <v>46088</v>
      </c>
      <c r="D954" t="inlineStr">
        <is>
          <t>STOCKHOLMS LÄN</t>
        </is>
      </c>
      <c r="E954" t="inlineStr">
        <is>
          <t>NORRTÄLJE</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21894-2023</t>
        </is>
      </c>
      <c r="B955" s="1" t="n">
        <v>45068.51783564815</v>
      </c>
      <c r="C955" s="1" t="n">
        <v>46088</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13276-2022</t>
        </is>
      </c>
      <c r="B956" s="1" t="n">
        <v>44644</v>
      </c>
      <c r="C956" s="1" t="n">
        <v>46088</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28182-2022</t>
        </is>
      </c>
      <c r="B957" s="1" t="n">
        <v>44746.58530092592</v>
      </c>
      <c r="C957" s="1" t="n">
        <v>46088</v>
      </c>
      <c r="D957" t="inlineStr">
        <is>
          <t>STOCKHOLMS LÄN</t>
        </is>
      </c>
      <c r="E957" t="inlineStr">
        <is>
          <t>NORRTÄLJE</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34461-2023</t>
        </is>
      </c>
      <c r="B958" s="1" t="n">
        <v>45139</v>
      </c>
      <c r="C958" s="1" t="n">
        <v>46088</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51046-2023</t>
        </is>
      </c>
      <c r="B959" s="1" t="n">
        <v>45218</v>
      </c>
      <c r="C959" s="1" t="n">
        <v>46088</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17382-2024</t>
        </is>
      </c>
      <c r="B960" s="1" t="n">
        <v>45414.65855324074</v>
      </c>
      <c r="C960" s="1" t="n">
        <v>46088</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6070-2022</t>
        </is>
      </c>
      <c r="B961" s="1" t="n">
        <v>44599.58428240741</v>
      </c>
      <c r="C961" s="1" t="n">
        <v>46088</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17039-2024</t>
        </is>
      </c>
      <c r="B962" s="1" t="n">
        <v>45412.4104050926</v>
      </c>
      <c r="C962" s="1" t="n">
        <v>46088</v>
      </c>
      <c r="D962" t="inlineStr">
        <is>
          <t>STOCKHOLMS LÄN</t>
        </is>
      </c>
      <c r="E962" t="inlineStr">
        <is>
          <t>NORRTÄLJE</t>
        </is>
      </c>
      <c r="G962" t="n">
        <v>5.9</v>
      </c>
      <c r="H962" t="n">
        <v>0</v>
      </c>
      <c r="I962" t="n">
        <v>0</v>
      </c>
      <c r="J962" t="n">
        <v>0</v>
      </c>
      <c r="K962" t="n">
        <v>0</v>
      </c>
      <c r="L962" t="n">
        <v>0</v>
      </c>
      <c r="M962" t="n">
        <v>0</v>
      </c>
      <c r="N962" t="n">
        <v>0</v>
      </c>
      <c r="O962" t="n">
        <v>0</v>
      </c>
      <c r="P962" t="n">
        <v>0</v>
      </c>
      <c r="Q962" t="n">
        <v>0</v>
      </c>
      <c r="R962" s="2" t="inlineStr"/>
    </row>
    <row r="963" ht="15" customHeight="1">
      <c r="A963" t="inlineStr">
        <is>
          <t>A 48180-2023</t>
        </is>
      </c>
      <c r="B963" s="1" t="n">
        <v>45205</v>
      </c>
      <c r="C963" s="1" t="n">
        <v>46088</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35695-2023</t>
        </is>
      </c>
      <c r="B964" s="1" t="n">
        <v>45147.65407407407</v>
      </c>
      <c r="C964" s="1" t="n">
        <v>46088</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45173-2023</t>
        </is>
      </c>
      <c r="B965" s="1" t="n">
        <v>45191</v>
      </c>
      <c r="C965" s="1" t="n">
        <v>46088</v>
      </c>
      <c r="D965" t="inlineStr">
        <is>
          <t>STOCKHOLMS LÄN</t>
        </is>
      </c>
      <c r="E965" t="inlineStr">
        <is>
          <t>NORRTÄLJE</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24705-2023</t>
        </is>
      </c>
      <c r="B966" s="1" t="n">
        <v>45084.54459490741</v>
      </c>
      <c r="C966" s="1" t="n">
        <v>46088</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21696-2024</t>
        </is>
      </c>
      <c r="B967" s="1" t="n">
        <v>45442.45686342593</v>
      </c>
      <c r="C967" s="1" t="n">
        <v>46088</v>
      </c>
      <c r="D967" t="inlineStr">
        <is>
          <t>STOCKHOLMS LÄN</t>
        </is>
      </c>
      <c r="E967" t="inlineStr">
        <is>
          <t>NORRTÄLJE</t>
        </is>
      </c>
      <c r="G967" t="n">
        <v>2.9</v>
      </c>
      <c r="H967" t="n">
        <v>0</v>
      </c>
      <c r="I967" t="n">
        <v>0</v>
      </c>
      <c r="J967" t="n">
        <v>0</v>
      </c>
      <c r="K967" t="n">
        <v>0</v>
      </c>
      <c r="L967" t="n">
        <v>0</v>
      </c>
      <c r="M967" t="n">
        <v>0</v>
      </c>
      <c r="N967" t="n">
        <v>0</v>
      </c>
      <c r="O967" t="n">
        <v>0</v>
      </c>
      <c r="P967" t="n">
        <v>0</v>
      </c>
      <c r="Q967" t="n">
        <v>0</v>
      </c>
      <c r="R967" s="2" t="inlineStr"/>
    </row>
    <row r="968" ht="15" customHeight="1">
      <c r="A968" t="inlineStr">
        <is>
          <t>A 67990-2021</t>
        </is>
      </c>
      <c r="B968" s="1" t="n">
        <v>44525</v>
      </c>
      <c r="C968" s="1" t="n">
        <v>46088</v>
      </c>
      <c r="D968" t="inlineStr">
        <is>
          <t>STOCKHOLMS LÄN</t>
        </is>
      </c>
      <c r="E968" t="inlineStr">
        <is>
          <t>NORRTÄLJE</t>
        </is>
      </c>
      <c r="F968" t="inlineStr">
        <is>
          <t>Sveaskog</t>
        </is>
      </c>
      <c r="G968" t="n">
        <v>7.8</v>
      </c>
      <c r="H968" t="n">
        <v>0</v>
      </c>
      <c r="I968" t="n">
        <v>0</v>
      </c>
      <c r="J968" t="n">
        <v>0</v>
      </c>
      <c r="K968" t="n">
        <v>0</v>
      </c>
      <c r="L968" t="n">
        <v>0</v>
      </c>
      <c r="M968" t="n">
        <v>0</v>
      </c>
      <c r="N968" t="n">
        <v>0</v>
      </c>
      <c r="O968" t="n">
        <v>0</v>
      </c>
      <c r="P968" t="n">
        <v>0</v>
      </c>
      <c r="Q968" t="n">
        <v>0</v>
      </c>
      <c r="R968" s="2" t="inlineStr"/>
    </row>
    <row r="969" ht="15" customHeight="1">
      <c r="A969" t="inlineStr">
        <is>
          <t>A 71552-2021</t>
        </is>
      </c>
      <c r="B969" s="1" t="n">
        <v>44540</v>
      </c>
      <c r="C969" s="1" t="n">
        <v>46088</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73992-2021</t>
        </is>
      </c>
      <c r="B970" s="1" t="n">
        <v>44556</v>
      </c>
      <c r="C970" s="1" t="n">
        <v>46088</v>
      </c>
      <c r="D970" t="inlineStr">
        <is>
          <t>STOCKHOLMS LÄN</t>
        </is>
      </c>
      <c r="E970" t="inlineStr">
        <is>
          <t>NORRTÄLJE</t>
        </is>
      </c>
      <c r="G970" t="n">
        <v>12.5</v>
      </c>
      <c r="H970" t="n">
        <v>0</v>
      </c>
      <c r="I970" t="n">
        <v>0</v>
      </c>
      <c r="J970" t="n">
        <v>0</v>
      </c>
      <c r="K970" t="n">
        <v>0</v>
      </c>
      <c r="L970" t="n">
        <v>0</v>
      </c>
      <c r="M970" t="n">
        <v>0</v>
      </c>
      <c r="N970" t="n">
        <v>0</v>
      </c>
      <c r="O970" t="n">
        <v>0</v>
      </c>
      <c r="P970" t="n">
        <v>0</v>
      </c>
      <c r="Q970" t="n">
        <v>0</v>
      </c>
      <c r="R970" s="2" t="inlineStr"/>
    </row>
    <row r="971" ht="15" customHeight="1">
      <c r="A971" t="inlineStr">
        <is>
          <t>A 26113-2024</t>
        </is>
      </c>
      <c r="B971" s="1" t="n">
        <v>45468.45541666666</v>
      </c>
      <c r="C971" s="1" t="n">
        <v>46088</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26116-2024</t>
        </is>
      </c>
      <c r="B972" s="1" t="n">
        <v>45468.45747685185</v>
      </c>
      <c r="C972" s="1" t="n">
        <v>46088</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15978-2024</t>
        </is>
      </c>
      <c r="B973" s="1" t="n">
        <v>45405.57927083333</v>
      </c>
      <c r="C973" s="1" t="n">
        <v>46088</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11333-2025</t>
        </is>
      </c>
      <c r="B974" s="1" t="n">
        <v>45726.48377314815</v>
      </c>
      <c r="C974" s="1" t="n">
        <v>46088</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34391-2023</t>
        </is>
      </c>
      <c r="B975" s="1" t="n">
        <v>45139.51457175926</v>
      </c>
      <c r="C975" s="1" t="n">
        <v>46088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67921-2021</t>
        </is>
      </c>
      <c r="B976" s="1" t="n">
        <v>44525</v>
      </c>
      <c r="C976" s="1" t="n">
        <v>46088</v>
      </c>
      <c r="D976" t="inlineStr">
        <is>
          <t>STOCKHOLMS LÄN</t>
        </is>
      </c>
      <c r="E976" t="inlineStr">
        <is>
          <t>NORRTÄLJE</t>
        </is>
      </c>
      <c r="G976" t="n">
        <v>6.3</v>
      </c>
      <c r="H976" t="n">
        <v>0</v>
      </c>
      <c r="I976" t="n">
        <v>0</v>
      </c>
      <c r="J976" t="n">
        <v>0</v>
      </c>
      <c r="K976" t="n">
        <v>0</v>
      </c>
      <c r="L976" t="n">
        <v>0</v>
      </c>
      <c r="M976" t="n">
        <v>0</v>
      </c>
      <c r="N976" t="n">
        <v>0</v>
      </c>
      <c r="O976" t="n">
        <v>0</v>
      </c>
      <c r="P976" t="n">
        <v>0</v>
      </c>
      <c r="Q976" t="n">
        <v>0</v>
      </c>
      <c r="R976" s="2" t="inlineStr"/>
    </row>
    <row r="977" ht="15" customHeight="1">
      <c r="A977" t="inlineStr">
        <is>
          <t>A 25681-2024</t>
        </is>
      </c>
      <c r="B977" s="1" t="n">
        <v>45463.80486111111</v>
      </c>
      <c r="C977" s="1" t="n">
        <v>46088</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58853-2024</t>
        </is>
      </c>
      <c r="B978" s="1" t="n">
        <v>45636.38974537037</v>
      </c>
      <c r="C978" s="1" t="n">
        <v>46088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35438-2023</t>
        </is>
      </c>
      <c r="B979" s="1" t="n">
        <v>45146</v>
      </c>
      <c r="C979" s="1" t="n">
        <v>46088</v>
      </c>
      <c r="D979" t="inlineStr">
        <is>
          <t>STOCKHOLMS LÄN</t>
        </is>
      </c>
      <c r="E979" t="inlineStr">
        <is>
          <t>NORRTÄLJE</t>
        </is>
      </c>
      <c r="F979" t="inlineStr">
        <is>
          <t>Kommuner</t>
        </is>
      </c>
      <c r="G979" t="n">
        <v>1.9</v>
      </c>
      <c r="H979" t="n">
        <v>0</v>
      </c>
      <c r="I979" t="n">
        <v>0</v>
      </c>
      <c r="J979" t="n">
        <v>0</v>
      </c>
      <c r="K979" t="n">
        <v>0</v>
      </c>
      <c r="L979" t="n">
        <v>0</v>
      </c>
      <c r="M979" t="n">
        <v>0</v>
      </c>
      <c r="N979" t="n">
        <v>0</v>
      </c>
      <c r="O979" t="n">
        <v>0</v>
      </c>
      <c r="P979" t="n">
        <v>0</v>
      </c>
      <c r="Q979" t="n">
        <v>0</v>
      </c>
      <c r="R979" s="2" t="inlineStr"/>
    </row>
    <row r="980" ht="15" customHeight="1">
      <c r="A980" t="inlineStr">
        <is>
          <t>A 20291-2022</t>
        </is>
      </c>
      <c r="B980" s="1" t="n">
        <v>44698</v>
      </c>
      <c r="C980" s="1" t="n">
        <v>46088</v>
      </c>
      <c r="D980" t="inlineStr">
        <is>
          <t>STOCKHOLMS LÄN</t>
        </is>
      </c>
      <c r="E980" t="inlineStr">
        <is>
          <t>NORRTÄLJE</t>
        </is>
      </c>
      <c r="F980" t="inlineStr">
        <is>
          <t>Naturvårdsverket</t>
        </is>
      </c>
      <c r="G980" t="n">
        <v>2</v>
      </c>
      <c r="H980" t="n">
        <v>0</v>
      </c>
      <c r="I980" t="n">
        <v>0</v>
      </c>
      <c r="J980" t="n">
        <v>0</v>
      </c>
      <c r="K980" t="n">
        <v>0</v>
      </c>
      <c r="L980" t="n">
        <v>0</v>
      </c>
      <c r="M980" t="n">
        <v>0</v>
      </c>
      <c r="N980" t="n">
        <v>0</v>
      </c>
      <c r="O980" t="n">
        <v>0</v>
      </c>
      <c r="P980" t="n">
        <v>0</v>
      </c>
      <c r="Q980" t="n">
        <v>0</v>
      </c>
      <c r="R980" s="2" t="inlineStr"/>
    </row>
    <row r="981" ht="15" customHeight="1">
      <c r="A981" t="inlineStr">
        <is>
          <t>A 26115-2024</t>
        </is>
      </c>
      <c r="B981" s="1" t="n">
        <v>45468.45628472222</v>
      </c>
      <c r="C981" s="1" t="n">
        <v>46088</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19118-2022</t>
        </is>
      </c>
      <c r="B982" s="1" t="n">
        <v>44691.5652662037</v>
      </c>
      <c r="C982" s="1" t="n">
        <v>46088</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8739-2024</t>
        </is>
      </c>
      <c r="B983" s="1" t="n">
        <v>45356.47784722222</v>
      </c>
      <c r="C983" s="1" t="n">
        <v>46088</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38759-2022</t>
        </is>
      </c>
      <c r="B984" s="1" t="n">
        <v>44816</v>
      </c>
      <c r="C984" s="1" t="n">
        <v>46088</v>
      </c>
      <c r="D984" t="inlineStr">
        <is>
          <t>STOCKHOLMS LÄN</t>
        </is>
      </c>
      <c r="E984" t="inlineStr">
        <is>
          <t>NORRTÄLJE</t>
        </is>
      </c>
      <c r="G984" t="n">
        <v>2.8</v>
      </c>
      <c r="H984" t="n">
        <v>0</v>
      </c>
      <c r="I984" t="n">
        <v>0</v>
      </c>
      <c r="J984" t="n">
        <v>0</v>
      </c>
      <c r="K984" t="n">
        <v>0</v>
      </c>
      <c r="L984" t="n">
        <v>0</v>
      </c>
      <c r="M984" t="n">
        <v>0</v>
      </c>
      <c r="N984" t="n">
        <v>0</v>
      </c>
      <c r="O984" t="n">
        <v>0</v>
      </c>
      <c r="P984" t="n">
        <v>0</v>
      </c>
      <c r="Q984" t="n">
        <v>0</v>
      </c>
      <c r="R984" s="2" t="inlineStr"/>
    </row>
    <row r="985" ht="15" customHeight="1">
      <c r="A985" t="inlineStr">
        <is>
          <t>A 32857-2021</t>
        </is>
      </c>
      <c r="B985" s="1" t="n">
        <v>44375</v>
      </c>
      <c r="C985" s="1" t="n">
        <v>46088</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29714-2023</t>
        </is>
      </c>
      <c r="B986" s="1" t="n">
        <v>45107.42538194444</v>
      </c>
      <c r="C986" s="1" t="n">
        <v>46088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23271-2023</t>
        </is>
      </c>
      <c r="B987" s="1" t="n">
        <v>45075.91362268518</v>
      </c>
      <c r="C987" s="1" t="n">
        <v>46088</v>
      </c>
      <c r="D987" t="inlineStr">
        <is>
          <t>STOCKHOLMS LÄN</t>
        </is>
      </c>
      <c r="E987" t="inlineStr">
        <is>
          <t>NORRTÄLJE</t>
        </is>
      </c>
      <c r="G987" t="n">
        <v>5.1</v>
      </c>
      <c r="H987" t="n">
        <v>0</v>
      </c>
      <c r="I987" t="n">
        <v>0</v>
      </c>
      <c r="J987" t="n">
        <v>0</v>
      </c>
      <c r="K987" t="n">
        <v>0</v>
      </c>
      <c r="L987" t="n">
        <v>0</v>
      </c>
      <c r="M987" t="n">
        <v>0</v>
      </c>
      <c r="N987" t="n">
        <v>0</v>
      </c>
      <c r="O987" t="n">
        <v>0</v>
      </c>
      <c r="P987" t="n">
        <v>0</v>
      </c>
      <c r="Q987" t="n">
        <v>0</v>
      </c>
      <c r="R987" s="2" t="inlineStr"/>
    </row>
    <row r="988" ht="15" customHeight="1">
      <c r="A988" t="inlineStr">
        <is>
          <t>A 23273-2023</t>
        </is>
      </c>
      <c r="B988" s="1" t="n">
        <v>45075.91971064815</v>
      </c>
      <c r="C988" s="1" t="n">
        <v>46088</v>
      </c>
      <c r="D988" t="inlineStr">
        <is>
          <t>STOCKHOLMS LÄN</t>
        </is>
      </c>
      <c r="E988" t="inlineStr">
        <is>
          <t>NORRTÄLJE</t>
        </is>
      </c>
      <c r="G988" t="n">
        <v>7.5</v>
      </c>
      <c r="H988" t="n">
        <v>0</v>
      </c>
      <c r="I988" t="n">
        <v>0</v>
      </c>
      <c r="J988" t="n">
        <v>0</v>
      </c>
      <c r="K988" t="n">
        <v>0</v>
      </c>
      <c r="L988" t="n">
        <v>0</v>
      </c>
      <c r="M988" t="n">
        <v>0</v>
      </c>
      <c r="N988" t="n">
        <v>0</v>
      </c>
      <c r="O988" t="n">
        <v>0</v>
      </c>
      <c r="P988" t="n">
        <v>0</v>
      </c>
      <c r="Q988" t="n">
        <v>0</v>
      </c>
      <c r="R988" s="2" t="inlineStr"/>
    </row>
    <row r="989" ht="15" customHeight="1">
      <c r="A989" t="inlineStr">
        <is>
          <t>A 7603-2025</t>
        </is>
      </c>
      <c r="B989" s="1" t="n">
        <v>45705.66126157407</v>
      </c>
      <c r="C989" s="1" t="n">
        <v>46088</v>
      </c>
      <c r="D989" t="inlineStr">
        <is>
          <t>STOCKHOLMS LÄN</t>
        </is>
      </c>
      <c r="E989" t="inlineStr">
        <is>
          <t>NORRTÄLJE</t>
        </is>
      </c>
      <c r="F989" t="inlineStr">
        <is>
          <t>Holmen skog AB</t>
        </is>
      </c>
      <c r="G989" t="n">
        <v>2.4</v>
      </c>
      <c r="H989" t="n">
        <v>0</v>
      </c>
      <c r="I989" t="n">
        <v>0</v>
      </c>
      <c r="J989" t="n">
        <v>0</v>
      </c>
      <c r="K989" t="n">
        <v>0</v>
      </c>
      <c r="L989" t="n">
        <v>0</v>
      </c>
      <c r="M989" t="n">
        <v>0</v>
      </c>
      <c r="N989" t="n">
        <v>0</v>
      </c>
      <c r="O989" t="n">
        <v>0</v>
      </c>
      <c r="P989" t="n">
        <v>0</v>
      </c>
      <c r="Q989" t="n">
        <v>0</v>
      </c>
      <c r="R989" s="2" t="inlineStr"/>
    </row>
    <row r="990" ht="15" customHeight="1">
      <c r="A990" t="inlineStr">
        <is>
          <t>A 30802-2022</t>
        </is>
      </c>
      <c r="B990" s="1" t="n">
        <v>44764</v>
      </c>
      <c r="C990" s="1" t="n">
        <v>46088</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55369-2023</t>
        </is>
      </c>
      <c r="B991" s="1" t="n">
        <v>45238</v>
      </c>
      <c r="C991" s="1" t="n">
        <v>46088</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61113-2023</t>
        </is>
      </c>
      <c r="B992" s="1" t="n">
        <v>45261</v>
      </c>
      <c r="C992" s="1" t="n">
        <v>46088</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3283-2025</t>
        </is>
      </c>
      <c r="B993" s="1" t="n">
        <v>45679</v>
      </c>
      <c r="C993" s="1" t="n">
        <v>46088</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34295-2024</t>
        </is>
      </c>
      <c r="B994" s="1" t="n">
        <v>45524</v>
      </c>
      <c r="C994" s="1" t="n">
        <v>46088</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58311-2023</t>
        </is>
      </c>
      <c r="B995" s="1" t="n">
        <v>45245</v>
      </c>
      <c r="C995" s="1" t="n">
        <v>46088</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23692-2024</t>
        </is>
      </c>
      <c r="B996" s="1" t="n">
        <v>45454.65774305556</v>
      </c>
      <c r="C996" s="1" t="n">
        <v>46088</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20473-2021</t>
        </is>
      </c>
      <c r="B997" s="1" t="n">
        <v>44315</v>
      </c>
      <c r="C997" s="1" t="n">
        <v>46088</v>
      </c>
      <c r="D997" t="inlineStr">
        <is>
          <t>STOCKHOLMS LÄN</t>
        </is>
      </c>
      <c r="E997" t="inlineStr">
        <is>
          <t>NORRTÄLJE</t>
        </is>
      </c>
      <c r="F997" t="inlineStr">
        <is>
          <t>Övriga Aktiebolag</t>
        </is>
      </c>
      <c r="G997" t="n">
        <v>3.6</v>
      </c>
      <c r="H997" t="n">
        <v>0</v>
      </c>
      <c r="I997" t="n">
        <v>0</v>
      </c>
      <c r="J997" t="n">
        <v>0</v>
      </c>
      <c r="K997" t="n">
        <v>0</v>
      </c>
      <c r="L997" t="n">
        <v>0</v>
      </c>
      <c r="M997" t="n">
        <v>0</v>
      </c>
      <c r="N997" t="n">
        <v>0</v>
      </c>
      <c r="O997" t="n">
        <v>0</v>
      </c>
      <c r="P997" t="n">
        <v>0</v>
      </c>
      <c r="Q997" t="n">
        <v>0</v>
      </c>
      <c r="R997" s="2" t="inlineStr"/>
    </row>
    <row r="998" ht="15" customHeight="1">
      <c r="A998" t="inlineStr">
        <is>
          <t>A 54273-2021</t>
        </is>
      </c>
      <c r="B998" s="1" t="n">
        <v>44470.72987268519</v>
      </c>
      <c r="C998" s="1" t="n">
        <v>46088</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7806-2025</t>
        </is>
      </c>
      <c r="B999" s="1" t="n">
        <v>45706.61178240741</v>
      </c>
      <c r="C999" s="1" t="n">
        <v>46088</v>
      </c>
      <c r="D999" t="inlineStr">
        <is>
          <t>STOCKHOLMS LÄN</t>
        </is>
      </c>
      <c r="E999" t="inlineStr">
        <is>
          <t>NORRTÄLJE</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53792-2023</t>
        </is>
      </c>
      <c r="B1000" s="1" t="n">
        <v>45231.34144675926</v>
      </c>
      <c r="C1000" s="1" t="n">
        <v>46088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21329-2022</t>
        </is>
      </c>
      <c r="B1001" s="1" t="n">
        <v>44705.60626157407</v>
      </c>
      <c r="C1001" s="1" t="n">
        <v>46088</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50569-2022</t>
        </is>
      </c>
      <c r="B1002" s="1" t="n">
        <v>44866.63775462963</v>
      </c>
      <c r="C1002" s="1" t="n">
        <v>46088</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24501-2023</t>
        </is>
      </c>
      <c r="B1003" s="1" t="n">
        <v>45082</v>
      </c>
      <c r="C1003" s="1" t="n">
        <v>46088</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24520-2023</t>
        </is>
      </c>
      <c r="B1004" s="1" t="n">
        <v>45082.68922453704</v>
      </c>
      <c r="C1004" s="1" t="n">
        <v>46088</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60654-2023</t>
        </is>
      </c>
      <c r="B1005" s="1" t="n">
        <v>45260.43225694444</v>
      </c>
      <c r="C1005" s="1" t="n">
        <v>46088</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60656-2023</t>
        </is>
      </c>
      <c r="B1006" s="1" t="n">
        <v>45260.4333449074</v>
      </c>
      <c r="C1006" s="1" t="n">
        <v>46088</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54496-2024</t>
        </is>
      </c>
      <c r="B1007" s="1" t="n">
        <v>45617.57439814815</v>
      </c>
      <c r="C1007" s="1" t="n">
        <v>46088</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21386-2023</t>
        </is>
      </c>
      <c r="B1008" s="1" t="n">
        <v>45063.35880787037</v>
      </c>
      <c r="C1008" s="1" t="n">
        <v>46088</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10642-2025</t>
        </is>
      </c>
      <c r="B1009" s="1" t="n">
        <v>45721.65858796296</v>
      </c>
      <c r="C1009" s="1" t="n">
        <v>46088</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20144-2023</t>
        </is>
      </c>
      <c r="B1010" s="1" t="n">
        <v>45055.43509259259</v>
      </c>
      <c r="C1010" s="1" t="n">
        <v>46088</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53312-2024</t>
        </is>
      </c>
      <c r="B1011" s="1" t="n">
        <v>45614.39627314815</v>
      </c>
      <c r="C1011" s="1" t="n">
        <v>46088</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39202-2024</t>
        </is>
      </c>
      <c r="B1012" s="1" t="n">
        <v>45548.72306712963</v>
      </c>
      <c r="C1012" s="1" t="n">
        <v>46088</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22756-2022</t>
        </is>
      </c>
      <c r="B1013" s="1" t="n">
        <v>44714.92253472222</v>
      </c>
      <c r="C1013" s="1" t="n">
        <v>46088</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4581-2025</t>
        </is>
      </c>
      <c r="B1014" s="1" t="n">
        <v>45687</v>
      </c>
      <c r="C1014" s="1" t="n">
        <v>46088</v>
      </c>
      <c r="D1014" t="inlineStr">
        <is>
          <t>STOCKHOLMS LÄN</t>
        </is>
      </c>
      <c r="E1014" t="inlineStr">
        <is>
          <t>NORRTÄLJE</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60765-2023</t>
        </is>
      </c>
      <c r="B1015" s="1" t="n">
        <v>45260</v>
      </c>
      <c r="C1015" s="1" t="n">
        <v>46088</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23801-2022</t>
        </is>
      </c>
      <c r="B1016" s="1" t="n">
        <v>44722</v>
      </c>
      <c r="C1016" s="1" t="n">
        <v>46088</v>
      </c>
      <c r="D1016" t="inlineStr">
        <is>
          <t>STOCKHOLMS LÄN</t>
        </is>
      </c>
      <c r="E1016" t="inlineStr">
        <is>
          <t>NORRTÄLJE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59276-2023</t>
        </is>
      </c>
      <c r="B1017" s="1" t="n">
        <v>45253.55641203704</v>
      </c>
      <c r="C1017" s="1" t="n">
        <v>46088</v>
      </c>
      <c r="D1017" t="inlineStr">
        <is>
          <t>STOCKHOLMS LÄN</t>
        </is>
      </c>
      <c r="E1017" t="inlineStr">
        <is>
          <t>NORRTÄLJE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46914-2022</t>
        </is>
      </c>
      <c r="B1018" s="1" t="n">
        <v>44851</v>
      </c>
      <c r="C1018" s="1" t="n">
        <v>46088</v>
      </c>
      <c r="D1018" t="inlineStr">
        <is>
          <t>STOCKHOLMS LÄN</t>
        </is>
      </c>
      <c r="E1018" t="inlineStr">
        <is>
          <t>NORRTÄLJE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18541-2023</t>
        </is>
      </c>
      <c r="B1019" s="1" t="n">
        <v>45042.74291666667</v>
      </c>
      <c r="C1019" s="1" t="n">
        <v>46088</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3509-2022</t>
        </is>
      </c>
      <c r="B1020" s="1" t="n">
        <v>44585</v>
      </c>
      <c r="C1020" s="1" t="n">
        <v>46088</v>
      </c>
      <c r="D1020" t="inlineStr">
        <is>
          <t>STOCKHOLMS LÄN</t>
        </is>
      </c>
      <c r="E1020" t="inlineStr">
        <is>
          <t>NORRTÄLJE</t>
        </is>
      </c>
      <c r="F1020" t="inlineStr">
        <is>
          <t>Kommuner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26407-2024</t>
        </is>
      </c>
      <c r="B1021" s="1" t="n">
        <v>45469</v>
      </c>
      <c r="C1021" s="1" t="n">
        <v>46088</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12890-2024</t>
        </is>
      </c>
      <c r="B1022" s="1" t="n">
        <v>45385.36243055556</v>
      </c>
      <c r="C1022" s="1" t="n">
        <v>46088</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47419-2023</t>
        </is>
      </c>
      <c r="B1023" s="1" t="n">
        <v>45202.65660879629</v>
      </c>
      <c r="C1023" s="1" t="n">
        <v>46088</v>
      </c>
      <c r="D1023" t="inlineStr">
        <is>
          <t>STOCKHOLMS LÄN</t>
        </is>
      </c>
      <c r="E1023" t="inlineStr">
        <is>
          <t>NORRTÄLJE</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23070-2023</t>
        </is>
      </c>
      <c r="B1024" s="1" t="n">
        <v>45075</v>
      </c>
      <c r="C1024" s="1" t="n">
        <v>46088</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27824-2022</t>
        </is>
      </c>
      <c r="B1025" s="1" t="n">
        <v>44743.59331018518</v>
      </c>
      <c r="C1025" s="1" t="n">
        <v>46088</v>
      </c>
      <c r="D1025" t="inlineStr">
        <is>
          <t>STOCKHOLMS LÄN</t>
        </is>
      </c>
      <c r="E1025" t="inlineStr">
        <is>
          <t>NORRTÄLJE</t>
        </is>
      </c>
      <c r="F1025" t="inlineStr">
        <is>
          <t>Kommuner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25619-2022</t>
        </is>
      </c>
      <c r="B1026" s="1" t="n">
        <v>44732</v>
      </c>
      <c r="C1026" s="1" t="n">
        <v>46088</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36246-2021</t>
        </is>
      </c>
      <c r="B1027" s="1" t="n">
        <v>44390</v>
      </c>
      <c r="C1027" s="1" t="n">
        <v>46088</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19952-2023</t>
        </is>
      </c>
      <c r="B1028" s="1" t="n">
        <v>45054.54091435186</v>
      </c>
      <c r="C1028" s="1" t="n">
        <v>46088</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19994-2023</t>
        </is>
      </c>
      <c r="B1029" s="1" t="n">
        <v>45054</v>
      </c>
      <c r="C1029" s="1" t="n">
        <v>46088</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14130-2025</t>
        </is>
      </c>
      <c r="B1030" s="1" t="n">
        <v>45740.47288194444</v>
      </c>
      <c r="C1030" s="1" t="n">
        <v>46088</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46088</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30283-2022</t>
        </is>
      </c>
      <c r="B1032" s="1" t="n">
        <v>44760</v>
      </c>
      <c r="C1032" s="1" t="n">
        <v>46088</v>
      </c>
      <c r="D1032" t="inlineStr">
        <is>
          <t>STOCKHOLMS LÄN</t>
        </is>
      </c>
      <c r="E1032" t="inlineStr">
        <is>
          <t>NORRTÄLJE</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30290-2022</t>
        </is>
      </c>
      <c r="B1033" s="1" t="n">
        <v>44760</v>
      </c>
      <c r="C1033" s="1" t="n">
        <v>46088</v>
      </c>
      <c r="D1033" t="inlineStr">
        <is>
          <t>STOCKHOLMS LÄN</t>
        </is>
      </c>
      <c r="E1033" t="inlineStr">
        <is>
          <t>NORRTÄLJE</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29684-2021</t>
        </is>
      </c>
      <c r="B1034" s="1" t="n">
        <v>44362.37172453704</v>
      </c>
      <c r="C1034" s="1" t="n">
        <v>46088</v>
      </c>
      <c r="D1034" t="inlineStr">
        <is>
          <t>STOCKHOLMS LÄN</t>
        </is>
      </c>
      <c r="E1034" t="inlineStr">
        <is>
          <t>NORRTÄLJE</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60884-2024</t>
        </is>
      </c>
      <c r="B1035" s="1" t="n">
        <v>45644.90815972222</v>
      </c>
      <c r="C1035" s="1" t="n">
        <v>46088</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38610-2022</t>
        </is>
      </c>
      <c r="B1036" s="1" t="n">
        <v>44813.59915509259</v>
      </c>
      <c r="C1036" s="1" t="n">
        <v>46088</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10090-2022</t>
        </is>
      </c>
      <c r="B1037" s="1" t="n">
        <v>44621</v>
      </c>
      <c r="C1037" s="1" t="n">
        <v>46088</v>
      </c>
      <c r="D1037" t="inlineStr">
        <is>
          <t>STOCKHOLMS LÄN</t>
        </is>
      </c>
      <c r="E1037" t="inlineStr">
        <is>
          <t>NORRTÄLJE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14724-2022</t>
        </is>
      </c>
      <c r="B1038" s="1" t="n">
        <v>44656</v>
      </c>
      <c r="C1038" s="1" t="n">
        <v>46088</v>
      </c>
      <c r="D1038" t="inlineStr">
        <is>
          <t>STOCKHOLMS LÄN</t>
        </is>
      </c>
      <c r="E1038" t="inlineStr">
        <is>
          <t>NORRTÄLJE</t>
        </is>
      </c>
      <c r="F1038" t="inlineStr">
        <is>
          <t>Sveaskog</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18846-2022</t>
        </is>
      </c>
      <c r="B1039" s="1" t="n">
        <v>44690</v>
      </c>
      <c r="C1039" s="1" t="n">
        <v>46088</v>
      </c>
      <c r="D1039" t="inlineStr">
        <is>
          <t>STOCKHOLMS LÄN</t>
        </is>
      </c>
      <c r="E1039" t="inlineStr">
        <is>
          <t>NORRTÄLJE</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43300-2023</t>
        </is>
      </c>
      <c r="B1040" s="1" t="n">
        <v>45183</v>
      </c>
      <c r="C1040" s="1" t="n">
        <v>46088</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25654-2023</t>
        </is>
      </c>
      <c r="B1041" s="1" t="n">
        <v>45089</v>
      </c>
      <c r="C1041" s="1" t="n">
        <v>46088</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23125-2022</t>
        </is>
      </c>
      <c r="B1042" s="1" t="n">
        <v>44719</v>
      </c>
      <c r="C1042" s="1" t="n">
        <v>46088</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20121-2022</t>
        </is>
      </c>
      <c r="B1043" s="1" t="n">
        <v>44698</v>
      </c>
      <c r="C1043" s="1" t="n">
        <v>46088</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33385-2024</t>
        </is>
      </c>
      <c r="B1044" s="1" t="n">
        <v>45519</v>
      </c>
      <c r="C1044" s="1" t="n">
        <v>46088</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41172-2023</t>
        </is>
      </c>
      <c r="B1045" s="1" t="n">
        <v>45170</v>
      </c>
      <c r="C1045" s="1" t="n">
        <v>46088</v>
      </c>
      <c r="D1045" t="inlineStr">
        <is>
          <t>STOCKHOLMS LÄN</t>
        </is>
      </c>
      <c r="E1045" t="inlineStr">
        <is>
          <t>NORRTÄLJE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73307-2021</t>
        </is>
      </c>
      <c r="B1046" s="1" t="n">
        <v>44549</v>
      </c>
      <c r="C1046" s="1" t="n">
        <v>46088</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50534-2024</t>
        </is>
      </c>
      <c r="B1047" s="1" t="n">
        <v>45601.56726851852</v>
      </c>
      <c r="C1047" s="1" t="n">
        <v>46088</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11988-2021</t>
        </is>
      </c>
      <c r="B1048" s="1" t="n">
        <v>44266</v>
      </c>
      <c r="C1048" s="1" t="n">
        <v>46088</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12132-2021</t>
        </is>
      </c>
      <c r="B1049" s="1" t="n">
        <v>44266</v>
      </c>
      <c r="C1049" s="1" t="n">
        <v>46088</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65499-2021</t>
        </is>
      </c>
      <c r="B1050" s="1" t="n">
        <v>44516</v>
      </c>
      <c r="C1050" s="1" t="n">
        <v>46088</v>
      </c>
      <c r="D1050" t="inlineStr">
        <is>
          <t>STOCKHOLMS LÄN</t>
        </is>
      </c>
      <c r="E1050" t="inlineStr">
        <is>
          <t>NORRTÄLJE</t>
        </is>
      </c>
      <c r="F1050" t="inlineStr">
        <is>
          <t>Kommuner</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65511-2021</t>
        </is>
      </c>
      <c r="B1051" s="1" t="n">
        <v>44516.40674768519</v>
      </c>
      <c r="C1051" s="1" t="n">
        <v>46088</v>
      </c>
      <c r="D1051" t="inlineStr">
        <is>
          <t>STOCKHOLMS LÄN</t>
        </is>
      </c>
      <c r="E1051" t="inlineStr">
        <is>
          <t>NORRTÄLJE</t>
        </is>
      </c>
      <c r="F1051" t="inlineStr">
        <is>
          <t>Kommuner</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22833-2024</t>
        </is>
      </c>
      <c r="B1052" s="1" t="n">
        <v>45448.56746527777</v>
      </c>
      <c r="C1052" s="1" t="n">
        <v>46088</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32514-2022</t>
        </is>
      </c>
      <c r="B1053" s="1" t="n">
        <v>44782</v>
      </c>
      <c r="C1053" s="1" t="n">
        <v>46088</v>
      </c>
      <c r="D1053" t="inlineStr">
        <is>
          <t>STOCKHOLMS LÄN</t>
        </is>
      </c>
      <c r="E1053" t="inlineStr">
        <is>
          <t>NORRTÄLJE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29362-2022</t>
        </is>
      </c>
      <c r="B1054" s="1" t="n">
        <v>44753</v>
      </c>
      <c r="C1054" s="1" t="n">
        <v>46088</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58492-2022</t>
        </is>
      </c>
      <c r="B1055" s="1" t="n">
        <v>44902</v>
      </c>
      <c r="C1055" s="1" t="n">
        <v>46088</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51315-2021</t>
        </is>
      </c>
      <c r="B1056" s="1" t="n">
        <v>44461</v>
      </c>
      <c r="C1056" s="1" t="n">
        <v>46088</v>
      </c>
      <c r="D1056" t="inlineStr">
        <is>
          <t>STOCKHOLMS LÄN</t>
        </is>
      </c>
      <c r="E1056" t="inlineStr">
        <is>
          <t>NORRTÄLJE</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14873-2025</t>
        </is>
      </c>
      <c r="B1057" s="1" t="n">
        <v>45743.44953703704</v>
      </c>
      <c r="C1057" s="1" t="n">
        <v>46088</v>
      </c>
      <c r="D1057" t="inlineStr">
        <is>
          <t>STOCKHOLMS LÄN</t>
        </is>
      </c>
      <c r="E1057" t="inlineStr">
        <is>
          <t>NORRTÄLJE</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34773-2022</t>
        </is>
      </c>
      <c r="B1058" s="1" t="n">
        <v>44795</v>
      </c>
      <c r="C1058" s="1" t="n">
        <v>46088</v>
      </c>
      <c r="D1058" t="inlineStr">
        <is>
          <t>STOCKHOLMS LÄN</t>
        </is>
      </c>
      <c r="E1058" t="inlineStr">
        <is>
          <t>NORRTÄLJE</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46088</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4484-2025</t>
        </is>
      </c>
      <c r="B1060" s="1" t="n">
        <v>45686.65545138889</v>
      </c>
      <c r="C1060" s="1" t="n">
        <v>46088</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33878-2024</t>
        </is>
      </c>
      <c r="B1061" s="1" t="n">
        <v>45522.44414351852</v>
      </c>
      <c r="C1061" s="1" t="n">
        <v>46088</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9246-2024</t>
        </is>
      </c>
      <c r="B1062" s="1" t="n">
        <v>45357</v>
      </c>
      <c r="C1062" s="1" t="n">
        <v>46088</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35698-2023</t>
        </is>
      </c>
      <c r="B1063" s="1" t="n">
        <v>45147</v>
      </c>
      <c r="C1063" s="1" t="n">
        <v>46088</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62398-2022</t>
        </is>
      </c>
      <c r="B1064" s="1" t="n">
        <v>44923.90159722222</v>
      </c>
      <c r="C1064" s="1" t="n">
        <v>46088</v>
      </c>
      <c r="D1064" t="inlineStr">
        <is>
          <t>STOCKHOLMS LÄN</t>
        </is>
      </c>
      <c r="E1064" t="inlineStr">
        <is>
          <t>NORRTÄLJE</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49700-2023</t>
        </is>
      </c>
      <c r="B1065" s="1" t="n">
        <v>45212</v>
      </c>
      <c r="C1065" s="1" t="n">
        <v>46088</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32071-2023</t>
        </is>
      </c>
      <c r="B1066" s="1" t="n">
        <v>45119.57728009259</v>
      </c>
      <c r="C1066" s="1" t="n">
        <v>46088</v>
      </c>
      <c r="D1066" t="inlineStr">
        <is>
          <t>STOCKHOLMS LÄN</t>
        </is>
      </c>
      <c r="E1066" t="inlineStr">
        <is>
          <t>NORRTÄLJE</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1425-2025</t>
        </is>
      </c>
      <c r="B1067" s="1" t="n">
        <v>45668.67446759259</v>
      </c>
      <c r="C1067" s="1" t="n">
        <v>46088</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17775-2022</t>
        </is>
      </c>
      <c r="B1068" s="1" t="n">
        <v>44682.78430555556</v>
      </c>
      <c r="C1068" s="1" t="n">
        <v>46088</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38720-2022</t>
        </is>
      </c>
      <c r="B1069" s="1" t="n">
        <v>44815.74539351852</v>
      </c>
      <c r="C1069" s="1" t="n">
        <v>46088</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10215-2023</t>
        </is>
      </c>
      <c r="B1070" s="1" t="n">
        <v>44986.5887962963</v>
      </c>
      <c r="C1070" s="1" t="n">
        <v>46088</v>
      </c>
      <c r="D1070" t="inlineStr">
        <is>
          <t>STOCKHOLMS LÄN</t>
        </is>
      </c>
      <c r="E1070" t="inlineStr">
        <is>
          <t>NORRTÄLJE</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25609-2023</t>
        </is>
      </c>
      <c r="B1071" s="1" t="n">
        <v>45089</v>
      </c>
      <c r="C1071" s="1" t="n">
        <v>46088</v>
      </c>
      <c r="D1071" t="inlineStr">
        <is>
          <t>STOCKHOLMS LÄN</t>
        </is>
      </c>
      <c r="E1071" t="inlineStr">
        <is>
          <t>NORRTÄLJE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20014-2025</t>
        </is>
      </c>
      <c r="B1072" s="1" t="n">
        <v>45772.3078125</v>
      </c>
      <c r="C1072" s="1" t="n">
        <v>46088</v>
      </c>
      <c r="D1072" t="inlineStr">
        <is>
          <t>STOCKHOLMS LÄN</t>
        </is>
      </c>
      <c r="E1072" t="inlineStr">
        <is>
          <t>NORRTÄLJE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20136-2025</t>
        </is>
      </c>
      <c r="B1073" s="1" t="n">
        <v>45772.51127314815</v>
      </c>
      <c r="C1073" s="1" t="n">
        <v>46088</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2287-2024</t>
        </is>
      </c>
      <c r="B1074" s="1" t="n">
        <v>45310</v>
      </c>
      <c r="C1074" s="1" t="n">
        <v>46088</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13785-2024</t>
        </is>
      </c>
      <c r="B1075" s="1" t="n">
        <v>45391.3395949074</v>
      </c>
      <c r="C1075" s="1" t="n">
        <v>46088</v>
      </c>
      <c r="D1075" t="inlineStr">
        <is>
          <t>STOCKHOLMS LÄN</t>
        </is>
      </c>
      <c r="E1075" t="inlineStr">
        <is>
          <t>NORRTÄLJE</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50469-2022</t>
        </is>
      </c>
      <c r="B1076" s="1" t="n">
        <v>44866.49827546296</v>
      </c>
      <c r="C1076" s="1" t="n">
        <v>46088</v>
      </c>
      <c r="D1076" t="inlineStr">
        <is>
          <t>STOCKHOLMS LÄN</t>
        </is>
      </c>
      <c r="E1076" t="inlineStr">
        <is>
          <t>NORRTÄLJE</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51116-2022</t>
        </is>
      </c>
      <c r="B1077" s="1" t="n">
        <v>44868.45741898148</v>
      </c>
      <c r="C1077" s="1" t="n">
        <v>46088</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60217-2021</t>
        </is>
      </c>
      <c r="B1078" s="1" t="n">
        <v>44495.5893287037</v>
      </c>
      <c r="C1078" s="1" t="n">
        <v>46088</v>
      </c>
      <c r="D1078" t="inlineStr">
        <is>
          <t>STOCKHOLMS LÄN</t>
        </is>
      </c>
      <c r="E1078" t="inlineStr">
        <is>
          <t>NORRTÄLJE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46088</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38985-2022</t>
        </is>
      </c>
      <c r="B1080" s="1" t="n">
        <v>44816</v>
      </c>
      <c r="C1080" s="1" t="n">
        <v>46088</v>
      </c>
      <c r="D1080" t="inlineStr">
        <is>
          <t>STOCKHOLMS LÄN</t>
        </is>
      </c>
      <c r="E1080" t="inlineStr">
        <is>
          <t>NORRTÄLJE</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5665-2025</t>
        </is>
      </c>
      <c r="B1081" s="1" t="n">
        <v>45693</v>
      </c>
      <c r="C1081" s="1" t="n">
        <v>46088</v>
      </c>
      <c r="D1081" t="inlineStr">
        <is>
          <t>STOCKHOLMS LÄN</t>
        </is>
      </c>
      <c r="E1081" t="inlineStr">
        <is>
          <t>NORRTÄLJE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3426-2025</t>
        </is>
      </c>
      <c r="B1082" s="1" t="n">
        <v>45680.42665509259</v>
      </c>
      <c r="C1082" s="1" t="n">
        <v>46088</v>
      </c>
      <c r="D1082" t="inlineStr">
        <is>
          <t>STOCKHOLMS LÄN</t>
        </is>
      </c>
      <c r="E1082" t="inlineStr">
        <is>
          <t>NORRTÄLJE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58530-2024</t>
        </is>
      </c>
      <c r="B1083" s="1" t="n">
        <v>45635.44788194444</v>
      </c>
      <c r="C1083" s="1" t="n">
        <v>46088</v>
      </c>
      <c r="D1083" t="inlineStr">
        <is>
          <t>STOCKHOLMS LÄN</t>
        </is>
      </c>
      <c r="E1083" t="inlineStr">
        <is>
          <t>NORRTÄLJE</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22421-2021</t>
        </is>
      </c>
      <c r="B1084" s="1" t="n">
        <v>44326</v>
      </c>
      <c r="C1084" s="1" t="n">
        <v>46088</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40761-2024</t>
        </is>
      </c>
      <c r="B1085" s="1" t="n">
        <v>45558.46283564815</v>
      </c>
      <c r="C1085" s="1" t="n">
        <v>46088</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44956.65920138889</v>
      </c>
      <c r="C1086" s="1" t="n">
        <v>46088</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4593-2023</t>
        </is>
      </c>
      <c r="B1087" s="1" t="n">
        <v>44956</v>
      </c>
      <c r="C1087" s="1" t="n">
        <v>46088</v>
      </c>
      <c r="D1087" t="inlineStr">
        <is>
          <t>STOCKHOLMS LÄN</t>
        </is>
      </c>
      <c r="E1087" t="inlineStr">
        <is>
          <t>NORRTÄLJE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13171-2025</t>
        </is>
      </c>
      <c r="B1088" s="1" t="n">
        <v>45735.36594907408</v>
      </c>
      <c r="C1088" s="1" t="n">
        <v>46088</v>
      </c>
      <c r="D1088" t="inlineStr">
        <is>
          <t>STOCKHOLMS LÄN</t>
        </is>
      </c>
      <c r="E1088" t="inlineStr">
        <is>
          <t>NORRTÄLJE</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51978-2023</t>
        </is>
      </c>
      <c r="B1089" s="1" t="n">
        <v>45223</v>
      </c>
      <c r="C1089" s="1" t="n">
        <v>46088</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18092-2022</t>
        </is>
      </c>
      <c r="B1090" s="1" t="n">
        <v>44684</v>
      </c>
      <c r="C1090" s="1" t="n">
        <v>46088</v>
      </c>
      <c r="D1090" t="inlineStr">
        <is>
          <t>STOCKHOLMS LÄN</t>
        </is>
      </c>
      <c r="E1090" t="inlineStr">
        <is>
          <t>NORRTÄLJE</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59310-2023</t>
        </is>
      </c>
      <c r="B1091" s="1" t="n">
        <v>45253.61146990741</v>
      </c>
      <c r="C1091" s="1" t="n">
        <v>46088</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9329-2023</t>
        </is>
      </c>
      <c r="B1092" s="1" t="n">
        <v>44980</v>
      </c>
      <c r="C1092" s="1" t="n">
        <v>46088</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59878-2024</t>
        </is>
      </c>
      <c r="B1093" s="1" t="n">
        <v>45640.60240740741</v>
      </c>
      <c r="C1093" s="1" t="n">
        <v>46088</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41335-2023</t>
        </is>
      </c>
      <c r="B1094" s="1" t="n">
        <v>45174.68702546296</v>
      </c>
      <c r="C1094" s="1" t="n">
        <v>46088</v>
      </c>
      <c r="D1094" t="inlineStr">
        <is>
          <t>STOCKHOLMS LÄN</t>
        </is>
      </c>
      <c r="E1094" t="inlineStr">
        <is>
          <t>NORRTÄLJE</t>
        </is>
      </c>
      <c r="F1094" t="inlineStr">
        <is>
          <t>Holmen skog AB</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33040-2021</t>
        </is>
      </c>
      <c r="B1095" s="1" t="n">
        <v>44376.50728009259</v>
      </c>
      <c r="C1095" s="1" t="n">
        <v>46088</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33053-2021</t>
        </is>
      </c>
      <c r="B1096" s="1" t="n">
        <v>44376</v>
      </c>
      <c r="C1096" s="1" t="n">
        <v>46088</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43150-2023</t>
        </is>
      </c>
      <c r="B1097" s="1" t="n">
        <v>45183</v>
      </c>
      <c r="C1097" s="1" t="n">
        <v>46088</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54259-2023</t>
        </is>
      </c>
      <c r="B1098" s="1" t="n">
        <v>45232</v>
      </c>
      <c r="C1098" s="1" t="n">
        <v>46088</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60822-2023</t>
        </is>
      </c>
      <c r="B1099" s="1" t="n">
        <v>45259</v>
      </c>
      <c r="C1099" s="1" t="n">
        <v>46088</v>
      </c>
      <c r="D1099" t="inlineStr">
        <is>
          <t>STOCKHOLMS LÄN</t>
        </is>
      </c>
      <c r="E1099" t="inlineStr">
        <is>
          <t>NORRTÄLJE</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12031-2021</t>
        </is>
      </c>
      <c r="B1100" s="1" t="n">
        <v>44266</v>
      </c>
      <c r="C1100" s="1" t="n">
        <v>46088</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27381-2024</t>
        </is>
      </c>
      <c r="B1101" s="1" t="n">
        <v>45473.94501157408</v>
      </c>
      <c r="C1101" s="1" t="n">
        <v>46088</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23265-2023</t>
        </is>
      </c>
      <c r="B1102" s="1" t="n">
        <v>45075.90703703704</v>
      </c>
      <c r="C1102" s="1" t="n">
        <v>46088</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26117-2024</t>
        </is>
      </c>
      <c r="B1103" s="1" t="n">
        <v>45468.45877314815</v>
      </c>
      <c r="C1103" s="1" t="n">
        <v>46088</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20336-2024</t>
        </is>
      </c>
      <c r="B1104" s="1" t="n">
        <v>45435.43123842592</v>
      </c>
      <c r="C1104" s="1" t="n">
        <v>46088</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1847-2023</t>
        </is>
      </c>
      <c r="B1105" s="1" t="n">
        <v>44938</v>
      </c>
      <c r="C1105" s="1" t="n">
        <v>46088</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59721-2024</t>
        </is>
      </c>
      <c r="B1106" s="1" t="n">
        <v>45639.47385416667</v>
      </c>
      <c r="C1106" s="1" t="n">
        <v>46088</v>
      </c>
      <c r="D1106" t="inlineStr">
        <is>
          <t>STOCKHOLMS LÄN</t>
        </is>
      </c>
      <c r="E1106" t="inlineStr">
        <is>
          <t>NORRTÄLJE</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37010-2022</t>
        </is>
      </c>
      <c r="B1107" s="1" t="n">
        <v>44806.41576388889</v>
      </c>
      <c r="C1107" s="1" t="n">
        <v>46088</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951-2023</t>
        </is>
      </c>
      <c r="B1108" s="1" t="n">
        <v>44934</v>
      </c>
      <c r="C1108" s="1" t="n">
        <v>46088</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5423-2023</t>
        </is>
      </c>
      <c r="B1109" s="1" t="n">
        <v>44959.74533564815</v>
      </c>
      <c r="C1109" s="1" t="n">
        <v>46088</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50182-2024</t>
        </is>
      </c>
      <c r="B1110" s="1" t="n">
        <v>45600.47275462963</v>
      </c>
      <c r="C1110" s="1" t="n">
        <v>46088</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12629-2024</t>
        </is>
      </c>
      <c r="B1111" s="1" t="n">
        <v>45383</v>
      </c>
      <c r="C1111" s="1" t="n">
        <v>46088</v>
      </c>
      <c r="D1111" t="inlineStr">
        <is>
          <t>STOCKHOLMS LÄN</t>
        </is>
      </c>
      <c r="E1111" t="inlineStr">
        <is>
          <t>NORRTÄLJE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35708-2022</t>
        </is>
      </c>
      <c r="B1112" s="1" t="n">
        <v>44799.65013888889</v>
      </c>
      <c r="C1112" s="1" t="n">
        <v>46088</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45220-2024</t>
        </is>
      </c>
      <c r="B1113" s="1" t="n">
        <v>45575</v>
      </c>
      <c r="C1113" s="1" t="n">
        <v>46088</v>
      </c>
      <c r="D1113" t="inlineStr">
        <is>
          <t>STOCKHOLMS LÄN</t>
        </is>
      </c>
      <c r="E1113" t="inlineStr">
        <is>
          <t>NORRTÄLJE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21731-2023</t>
        </is>
      </c>
      <c r="B1114" s="1" t="n">
        <v>45063</v>
      </c>
      <c r="C1114" s="1" t="n">
        <v>46088</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23266-2023</t>
        </is>
      </c>
      <c r="B1115" s="1" t="n">
        <v>45075.90817129629</v>
      </c>
      <c r="C1115" s="1" t="n">
        <v>46088</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47521-2024</t>
        </is>
      </c>
      <c r="B1116" s="1" t="n">
        <v>45587.62565972222</v>
      </c>
      <c r="C1116" s="1" t="n">
        <v>46088</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58260-2023</t>
        </is>
      </c>
      <c r="B1117" s="1" t="n">
        <v>45245</v>
      </c>
      <c r="C1117" s="1" t="n">
        <v>46088</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58261-2023</t>
        </is>
      </c>
      <c r="B1118" s="1" t="n">
        <v>45245</v>
      </c>
      <c r="C1118" s="1" t="n">
        <v>46088</v>
      </c>
      <c r="D1118" t="inlineStr">
        <is>
          <t>STOCKHOLMS LÄN</t>
        </is>
      </c>
      <c r="E1118" t="inlineStr">
        <is>
          <t>NORRTÄLJE</t>
        </is>
      </c>
      <c r="G1118" t="n">
        <v>53.5</v>
      </c>
      <c r="H1118" t="n">
        <v>0</v>
      </c>
      <c r="I1118" t="n">
        <v>0</v>
      </c>
      <c r="J1118" t="n">
        <v>0</v>
      </c>
      <c r="K1118" t="n">
        <v>0</v>
      </c>
      <c r="L1118" t="n">
        <v>0</v>
      </c>
      <c r="M1118" t="n">
        <v>0</v>
      </c>
      <c r="N1118" t="n">
        <v>0</v>
      </c>
      <c r="O1118" t="n">
        <v>0</v>
      </c>
      <c r="P1118" t="n">
        <v>0</v>
      </c>
      <c r="Q1118" t="n">
        <v>0</v>
      </c>
      <c r="R1118" s="2" t="inlineStr"/>
    </row>
    <row r="1119" ht="15" customHeight="1">
      <c r="A1119" t="inlineStr">
        <is>
          <t>A 29266-2022</t>
        </is>
      </c>
      <c r="B1119" s="1" t="n">
        <v>44750.66068287037</v>
      </c>
      <c r="C1119" s="1" t="n">
        <v>46088</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29278-2022</t>
        </is>
      </c>
      <c r="B1120" s="1" t="n">
        <v>44750</v>
      </c>
      <c r="C1120" s="1" t="n">
        <v>46088</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37273-2024</t>
        </is>
      </c>
      <c r="B1121" s="1" t="n">
        <v>45540</v>
      </c>
      <c r="C1121" s="1" t="n">
        <v>46088</v>
      </c>
      <c r="D1121" t="inlineStr">
        <is>
          <t>STOCKHOLMS LÄN</t>
        </is>
      </c>
      <c r="E1121" t="inlineStr">
        <is>
          <t>NORRTÄLJE</t>
        </is>
      </c>
      <c r="F1121" t="inlineStr">
        <is>
          <t>Sveaskog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12908-2025</t>
        </is>
      </c>
      <c r="B1122" s="1" t="n">
        <v>45733.82105324074</v>
      </c>
      <c r="C1122" s="1" t="n">
        <v>46088</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23060-2023</t>
        </is>
      </c>
      <c r="B1123" s="1" t="n">
        <v>45075</v>
      </c>
      <c r="C1123" s="1" t="n">
        <v>46088</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32103-2022</t>
        </is>
      </c>
      <c r="B1124" s="1" t="n">
        <v>44778</v>
      </c>
      <c r="C1124" s="1" t="n">
        <v>46088</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6401-2024</t>
        </is>
      </c>
      <c r="B1125" s="1" t="n">
        <v>45338</v>
      </c>
      <c r="C1125" s="1" t="n">
        <v>46088</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59504-2023</t>
        </is>
      </c>
      <c r="B1126" s="1" t="n">
        <v>45254</v>
      </c>
      <c r="C1126" s="1" t="n">
        <v>46088</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52321-2024</t>
        </is>
      </c>
      <c r="B1127" s="1" t="n">
        <v>45608</v>
      </c>
      <c r="C1127" s="1" t="n">
        <v>46088</v>
      </c>
      <c r="D1127" t="inlineStr">
        <is>
          <t>STOCKHOLMS LÄN</t>
        </is>
      </c>
      <c r="E1127" t="inlineStr">
        <is>
          <t>NORRTÄLJE</t>
        </is>
      </c>
      <c r="G1127" t="n">
        <v>18.1</v>
      </c>
      <c r="H1127" t="n">
        <v>0</v>
      </c>
      <c r="I1127" t="n">
        <v>0</v>
      </c>
      <c r="J1127" t="n">
        <v>0</v>
      </c>
      <c r="K1127" t="n">
        <v>0</v>
      </c>
      <c r="L1127" t="n">
        <v>0</v>
      </c>
      <c r="M1127" t="n">
        <v>0</v>
      </c>
      <c r="N1127" t="n">
        <v>0</v>
      </c>
      <c r="O1127" t="n">
        <v>0</v>
      </c>
      <c r="P1127" t="n">
        <v>0</v>
      </c>
      <c r="Q1127" t="n">
        <v>0</v>
      </c>
      <c r="R1127" s="2" t="inlineStr"/>
    </row>
    <row r="1128" ht="15" customHeight="1">
      <c r="A1128" t="inlineStr">
        <is>
          <t>A 48151-2024</t>
        </is>
      </c>
      <c r="B1128" s="1" t="n">
        <v>45589.68289351852</v>
      </c>
      <c r="C1128" s="1" t="n">
        <v>46088</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20370-2025</t>
        </is>
      </c>
      <c r="B1129" s="1" t="n">
        <v>45775.41451388889</v>
      </c>
      <c r="C1129" s="1" t="n">
        <v>46088</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19580-2022</t>
        </is>
      </c>
      <c r="B1130" s="1" t="n">
        <v>44693</v>
      </c>
      <c r="C1130" s="1" t="n">
        <v>46088</v>
      </c>
      <c r="D1130" t="inlineStr">
        <is>
          <t>STOCKHOLMS LÄN</t>
        </is>
      </c>
      <c r="E1130" t="inlineStr">
        <is>
          <t>NORRTÄLJE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30731-2023</t>
        </is>
      </c>
      <c r="B1131" s="1" t="n">
        <v>45112</v>
      </c>
      <c r="C1131" s="1" t="n">
        <v>46088</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4580-2025</t>
        </is>
      </c>
      <c r="B1132" s="1" t="n">
        <v>45687.5038425926</v>
      </c>
      <c r="C1132" s="1" t="n">
        <v>46088</v>
      </c>
      <c r="D1132" t="inlineStr">
        <is>
          <t>STOCKHOLMS LÄN</t>
        </is>
      </c>
      <c r="E1132" t="inlineStr">
        <is>
          <t>NORRTÄLJE</t>
        </is>
      </c>
      <c r="F1132" t="inlineStr">
        <is>
          <t>Holmen skog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31057-2022</t>
        </is>
      </c>
      <c r="B1133" s="1" t="n">
        <v>44769</v>
      </c>
      <c r="C1133" s="1" t="n">
        <v>46088</v>
      </c>
      <c r="D1133" t="inlineStr">
        <is>
          <t>STOCKHOLMS LÄN</t>
        </is>
      </c>
      <c r="E1133" t="inlineStr">
        <is>
          <t>NORRTÄLJE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31140-2023</t>
        </is>
      </c>
      <c r="B1134" s="1" t="n">
        <v>45113</v>
      </c>
      <c r="C1134" s="1" t="n">
        <v>46088</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31149-2023</t>
        </is>
      </c>
      <c r="B1135" s="1" t="n">
        <v>45113</v>
      </c>
      <c r="C1135" s="1" t="n">
        <v>46088</v>
      </c>
      <c r="D1135" t="inlineStr">
        <is>
          <t>STOCKHOLMS LÄN</t>
        </is>
      </c>
      <c r="E1135" t="inlineStr">
        <is>
          <t>NORRTÄLJE</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4658-2024</t>
        </is>
      </c>
      <c r="B1136" s="1" t="n">
        <v>45328.46336805556</v>
      </c>
      <c r="C1136" s="1" t="n">
        <v>46088</v>
      </c>
      <c r="D1136" t="inlineStr">
        <is>
          <t>STOCKHOLMS LÄN</t>
        </is>
      </c>
      <c r="E1136" t="inlineStr">
        <is>
          <t>NORRTÄLJE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19131-2025</t>
        </is>
      </c>
      <c r="B1137" s="1" t="n">
        <v>45769</v>
      </c>
      <c r="C1137" s="1" t="n">
        <v>46088</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7571-2024</t>
        </is>
      </c>
      <c r="B1138" s="1" t="n">
        <v>45348.46300925926</v>
      </c>
      <c r="C1138" s="1" t="n">
        <v>46088</v>
      </c>
      <c r="D1138" t="inlineStr">
        <is>
          <t>STOCKHOLMS LÄN</t>
        </is>
      </c>
      <c r="E1138" t="inlineStr">
        <is>
          <t>NORRTÄLJE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11849-2025</t>
        </is>
      </c>
      <c r="B1139" s="1" t="n">
        <v>45728.38409722222</v>
      </c>
      <c r="C1139" s="1" t="n">
        <v>46088</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40425-2021</t>
        </is>
      </c>
      <c r="B1140" s="1" t="n">
        <v>44419</v>
      </c>
      <c r="C1140" s="1" t="n">
        <v>46088</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58990-2021</t>
        </is>
      </c>
      <c r="B1141" s="1" t="n">
        <v>44490.03621527777</v>
      </c>
      <c r="C1141" s="1" t="n">
        <v>46088</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20790-2025</t>
        </is>
      </c>
      <c r="B1142" s="1" t="n">
        <v>45776.62563657408</v>
      </c>
      <c r="C1142" s="1" t="n">
        <v>46088</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20699-2025</t>
        </is>
      </c>
      <c r="B1143" s="1" t="n">
        <v>45776.47346064815</v>
      </c>
      <c r="C1143" s="1" t="n">
        <v>46088</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3152-2024</t>
        </is>
      </c>
      <c r="B1144" s="1" t="n">
        <v>45316.60306712963</v>
      </c>
      <c r="C1144" s="1" t="n">
        <v>46088</v>
      </c>
      <c r="D1144" t="inlineStr">
        <is>
          <t>STOCKHOLMS LÄN</t>
        </is>
      </c>
      <c r="E1144" t="inlineStr">
        <is>
          <t>NORRTÄLJE</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59326-2023</t>
        </is>
      </c>
      <c r="B1145" s="1" t="n">
        <v>45253.63089120371</v>
      </c>
      <c r="C1145" s="1" t="n">
        <v>46088</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44836-2023</t>
        </is>
      </c>
      <c r="B1146" s="1" t="n">
        <v>45190.55609953704</v>
      </c>
      <c r="C1146" s="1" t="n">
        <v>46088</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20779-2025</t>
        </is>
      </c>
      <c r="B1147" s="1" t="n">
        <v>45776.59871527777</v>
      </c>
      <c r="C1147" s="1" t="n">
        <v>46088</v>
      </c>
      <c r="D1147" t="inlineStr">
        <is>
          <t>STOCKHOLMS LÄN</t>
        </is>
      </c>
      <c r="E1147" t="inlineStr">
        <is>
          <t>NORRTÄLJE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21771-2025</t>
        </is>
      </c>
      <c r="B1148" s="1" t="n">
        <v>45783</v>
      </c>
      <c r="C1148" s="1" t="n">
        <v>46088</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21778-2025</t>
        </is>
      </c>
      <c r="B1149" s="1" t="n">
        <v>45783.66429398148</v>
      </c>
      <c r="C1149" s="1" t="n">
        <v>46088</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22202-2025</t>
        </is>
      </c>
      <c r="B1150" s="1" t="n">
        <v>45785.65300925926</v>
      </c>
      <c r="C1150" s="1" t="n">
        <v>46088</v>
      </c>
      <c r="D1150" t="inlineStr">
        <is>
          <t>STOCKHOLMS LÄN</t>
        </is>
      </c>
      <c r="E1150" t="inlineStr">
        <is>
          <t>NORRTÄLJE</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16620-2024</t>
        </is>
      </c>
      <c r="B1151" s="1" t="n">
        <v>45408.57707175926</v>
      </c>
      <c r="C1151" s="1" t="n">
        <v>46088</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22416-2025</t>
        </is>
      </c>
      <c r="B1152" s="1" t="n">
        <v>45786.55645833333</v>
      </c>
      <c r="C1152" s="1" t="n">
        <v>46088</v>
      </c>
      <c r="D1152" t="inlineStr">
        <is>
          <t>STOCKHOLMS LÄN</t>
        </is>
      </c>
      <c r="E1152" t="inlineStr">
        <is>
          <t>NORRTÄLJE</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58785-2024</t>
        </is>
      </c>
      <c r="B1153" s="1" t="n">
        <v>45635.88849537037</v>
      </c>
      <c r="C1153" s="1" t="n">
        <v>46088</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2182-2022</t>
        </is>
      </c>
      <c r="B1154" s="1" t="n">
        <v>44578</v>
      </c>
      <c r="C1154" s="1" t="n">
        <v>46088</v>
      </c>
      <c r="D1154" t="inlineStr">
        <is>
          <t>STOCKHOLMS LÄN</t>
        </is>
      </c>
      <c r="E1154" t="inlineStr">
        <is>
          <t>NORRTÄLJE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13268-2025</t>
        </is>
      </c>
      <c r="B1155" s="1" t="n">
        <v>45735</v>
      </c>
      <c r="C1155" s="1" t="n">
        <v>46088</v>
      </c>
      <c r="D1155" t="inlineStr">
        <is>
          <t>STOCKHOLMS LÄN</t>
        </is>
      </c>
      <c r="E1155" t="inlineStr">
        <is>
          <t>NORRTÄLJE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8414-2025</t>
        </is>
      </c>
      <c r="B1156" s="1" t="n">
        <v>45709.39361111111</v>
      </c>
      <c r="C1156" s="1" t="n">
        <v>46088</v>
      </c>
      <c r="D1156" t="inlineStr">
        <is>
          <t>STOCKHOLMS LÄN</t>
        </is>
      </c>
      <c r="E1156" t="inlineStr">
        <is>
          <t>NORRTÄLJE</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36625-2024</t>
        </is>
      </c>
      <c r="B1157" s="1" t="n">
        <v>45537</v>
      </c>
      <c r="C1157" s="1" t="n">
        <v>46088</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44891-2023</t>
        </is>
      </c>
      <c r="B1158" s="1" t="n">
        <v>45187</v>
      </c>
      <c r="C1158" s="1" t="n">
        <v>46088</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12902-2024</t>
        </is>
      </c>
      <c r="B1159" s="1" t="n">
        <v>45385.38146990741</v>
      </c>
      <c r="C1159" s="1" t="n">
        <v>46088</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46088</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46088</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39237-2024</t>
        </is>
      </c>
      <c r="B1162" s="1" t="n">
        <v>45549</v>
      </c>
      <c r="C1162" s="1" t="n">
        <v>46088</v>
      </c>
      <c r="D1162" t="inlineStr">
        <is>
          <t>STOCKHOLMS LÄN</t>
        </is>
      </c>
      <c r="E1162" t="inlineStr">
        <is>
          <t>NORRTÄLJE</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45746-2024</t>
        </is>
      </c>
      <c r="B1163" s="1" t="n">
        <v>45579</v>
      </c>
      <c r="C1163" s="1" t="n">
        <v>46088</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c r="A1164" t="inlineStr">
        <is>
          <t>A 8400-2024</t>
        </is>
      </c>
      <c r="B1164" s="1" t="n">
        <v>45352.74090277778</v>
      </c>
      <c r="C1164" s="1" t="n">
        <v>46088</v>
      </c>
      <c r="D1164" t="inlineStr">
        <is>
          <t>STOCKHOLMS LÄN</t>
        </is>
      </c>
      <c r="E1164" t="inlineStr">
        <is>
          <t>NORRTÄLJE</t>
        </is>
      </c>
      <c r="G1164" t="n">
        <v>4.7</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2026-03-07T11:24:55Z</dcterms:created>
  <dcterms:modified xmlns:dcterms="http://purl.org/dc/terms/" xmlns:xsi="http://www.w3.org/2001/XMLSchema-instance" xsi:type="dcterms:W3CDTF">2026-03-07T11:24:56Z</dcterms:modified>
</cp:coreProperties>
</file>