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45475</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45475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45475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45475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45475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45475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45475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45475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45475</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45475</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45475</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45475</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45475</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45475</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45475</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45475</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45475</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45475</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45475</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45475</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45475</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45475</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45475</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45475</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45475</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45475</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45475</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45475</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45475</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45475</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45475</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45475</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45475</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45475</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45475</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45475</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45475</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45475</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45475</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45475</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45475</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45475</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45475</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45475</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45475</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45475</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45475</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45475</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45475</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45475</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25507-2019</t>
        </is>
      </c>
      <c r="B52" s="1" t="n">
        <v>43606</v>
      </c>
      <c r="C52" s="1" t="n">
        <v>45475</v>
      </c>
      <c r="D52" t="inlineStr">
        <is>
          <t>STOCKHOLMS LÄN</t>
        </is>
      </c>
      <c r="E52" t="inlineStr">
        <is>
          <t>NORRTÄLJE</t>
        </is>
      </c>
      <c r="G52" t="n">
        <v>3.1</v>
      </c>
      <c r="H52" t="n">
        <v>1</v>
      </c>
      <c r="I52" t="n">
        <v>2</v>
      </c>
      <c r="J52" t="n">
        <v>0</v>
      </c>
      <c r="K52" t="n">
        <v>0</v>
      </c>
      <c r="L52" t="n">
        <v>1</v>
      </c>
      <c r="M52" t="n">
        <v>0</v>
      </c>
      <c r="N52" t="n">
        <v>0</v>
      </c>
      <c r="O52" t="n">
        <v>1</v>
      </c>
      <c r="P52" t="n">
        <v>1</v>
      </c>
      <c r="Q52" t="n">
        <v>4</v>
      </c>
      <c r="R52" s="2" t="inlineStr">
        <is>
          <t>Ask
Tibast
Vårärt
Blåsippa</t>
        </is>
      </c>
      <c r="S52">
        <f>HYPERLINK("https://klasma.github.io/Logging_0188/artfynd/A 25507-2019 artfynd.xlsx", "A 25507-2019")</f>
        <v/>
      </c>
      <c r="T52">
        <f>HYPERLINK("https://klasma.github.io/Logging_0188/kartor/A 25507-2019 karta.png", "A 25507-2019")</f>
        <v/>
      </c>
      <c r="V52">
        <f>HYPERLINK("https://klasma.github.io/Logging_0188/klagomål/A 25507-2019 FSC-klagomål.docx", "A 25507-2019")</f>
        <v/>
      </c>
      <c r="W52">
        <f>HYPERLINK("https://klasma.github.io/Logging_0188/klagomålsmail/A 25507-2019 FSC-klagomål mail.docx", "A 25507-2019")</f>
        <v/>
      </c>
      <c r="X52">
        <f>HYPERLINK("https://klasma.github.io/Logging_0188/tillsyn/A 25507-2019 tillsynsbegäran.docx", "A 25507-2019")</f>
        <v/>
      </c>
      <c r="Y52">
        <f>HYPERLINK("https://klasma.github.io/Logging_0188/tillsynsmail/A 25507-2019 tillsynsbegäran mail.docx", "A 25507-2019")</f>
        <v/>
      </c>
    </row>
    <row r="53" ht="15" customHeight="1">
      <c r="A53" t="inlineStr">
        <is>
          <t>A 28408-2019</t>
        </is>
      </c>
      <c r="B53" s="1" t="n">
        <v>43626</v>
      </c>
      <c r="C53" s="1" t="n">
        <v>45475</v>
      </c>
      <c r="D53" t="inlineStr">
        <is>
          <t>STOCKHOLMS LÄN</t>
        </is>
      </c>
      <c r="E53" t="inlineStr">
        <is>
          <t>NORRTÄLJE</t>
        </is>
      </c>
      <c r="G53" t="n">
        <v>1.1</v>
      </c>
      <c r="H53" t="n">
        <v>2</v>
      </c>
      <c r="I53" t="n">
        <v>2</v>
      </c>
      <c r="J53" t="n">
        <v>1</v>
      </c>
      <c r="K53" t="n">
        <v>1</v>
      </c>
      <c r="L53" t="n">
        <v>0</v>
      </c>
      <c r="M53" t="n">
        <v>0</v>
      </c>
      <c r="N53" t="n">
        <v>0</v>
      </c>
      <c r="O53" t="n">
        <v>2</v>
      </c>
      <c r="P53" t="n">
        <v>1</v>
      </c>
      <c r="Q53" t="n">
        <v>4</v>
      </c>
      <c r="R53" s="2" t="inlineStr">
        <is>
          <t>Knärot
Granticka
Grönpyrola
Nästrot</t>
        </is>
      </c>
      <c r="S53">
        <f>HYPERLINK("https://klasma.github.io/Logging_0188/artfynd/A 28408-2019 artfynd.xlsx", "A 28408-2019")</f>
        <v/>
      </c>
      <c r="T53">
        <f>HYPERLINK("https://klasma.github.io/Logging_0188/kartor/A 28408-2019 karta.png", "A 28408-2019")</f>
        <v/>
      </c>
      <c r="U53">
        <f>HYPERLINK("https://klasma.github.io/Logging_0188/knärot/A 28408-2019 karta knärot.png", "A 28408-2019")</f>
        <v/>
      </c>
      <c r="V53">
        <f>HYPERLINK("https://klasma.github.io/Logging_0188/klagomål/A 28408-2019 FSC-klagomål.docx", "A 28408-2019")</f>
        <v/>
      </c>
      <c r="W53">
        <f>HYPERLINK("https://klasma.github.io/Logging_0188/klagomålsmail/A 28408-2019 FSC-klagomål mail.docx", "A 28408-2019")</f>
        <v/>
      </c>
      <c r="X53">
        <f>HYPERLINK("https://klasma.github.io/Logging_0188/tillsyn/A 28408-2019 tillsynsbegäran.docx", "A 28408-2019")</f>
        <v/>
      </c>
      <c r="Y53">
        <f>HYPERLINK("https://klasma.github.io/Logging_0188/tillsynsmail/A 28408-2019 tillsynsbegäran mail.docx", "A 28408-2019")</f>
        <v/>
      </c>
    </row>
    <row r="54" ht="15" customHeight="1">
      <c r="A54" t="inlineStr">
        <is>
          <t>A 5732-2020</t>
        </is>
      </c>
      <c r="B54" s="1" t="n">
        <v>43863</v>
      </c>
      <c r="C54" s="1" t="n">
        <v>45475</v>
      </c>
      <c r="D54" t="inlineStr">
        <is>
          <t>STOCKHOLMS LÄN</t>
        </is>
      </c>
      <c r="E54" t="inlineStr">
        <is>
          <t>NORRTÄLJE</t>
        </is>
      </c>
      <c r="G54" t="n">
        <v>1.8</v>
      </c>
      <c r="H54" t="n">
        <v>0</v>
      </c>
      <c r="I54" t="n">
        <v>2</v>
      </c>
      <c r="J54" t="n">
        <v>2</v>
      </c>
      <c r="K54" t="n">
        <v>0</v>
      </c>
      <c r="L54" t="n">
        <v>0</v>
      </c>
      <c r="M54" t="n">
        <v>0</v>
      </c>
      <c r="N54" t="n">
        <v>0</v>
      </c>
      <c r="O54" t="n">
        <v>2</v>
      </c>
      <c r="P54" t="n">
        <v>0</v>
      </c>
      <c r="Q54" t="n">
        <v>4</v>
      </c>
      <c r="R54" s="2" t="inlineStr">
        <is>
          <t>Svart taggsvamp
Äggspindling
Kryddspindling
Strimspindling</t>
        </is>
      </c>
      <c r="S54">
        <f>HYPERLINK("https://klasma.github.io/Logging_0188/artfynd/A 5732-2020 artfynd.xlsx", "A 5732-2020")</f>
        <v/>
      </c>
      <c r="T54">
        <f>HYPERLINK("https://klasma.github.io/Logging_0188/kartor/A 5732-2020 karta.png", "A 5732-2020")</f>
        <v/>
      </c>
      <c r="V54">
        <f>HYPERLINK("https://klasma.github.io/Logging_0188/klagomål/A 5732-2020 FSC-klagomål.docx", "A 5732-2020")</f>
        <v/>
      </c>
      <c r="W54">
        <f>HYPERLINK("https://klasma.github.io/Logging_0188/klagomålsmail/A 5732-2020 FSC-klagomål mail.docx", "A 5732-2020")</f>
        <v/>
      </c>
      <c r="X54">
        <f>HYPERLINK("https://klasma.github.io/Logging_0188/tillsyn/A 5732-2020 tillsynsbegäran.docx", "A 5732-2020")</f>
        <v/>
      </c>
      <c r="Y54">
        <f>HYPERLINK("https://klasma.github.io/Logging_0188/tillsynsmail/A 5732-2020 tillsynsbegäran mail.docx", "A 5732-2020")</f>
        <v/>
      </c>
    </row>
    <row r="55" ht="15" customHeight="1">
      <c r="A55" t="inlineStr">
        <is>
          <t>A 24052-2021</t>
        </is>
      </c>
      <c r="B55" s="1" t="n">
        <v>44336</v>
      </c>
      <c r="C55" s="1" t="n">
        <v>45475</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72305-2021</t>
        </is>
      </c>
      <c r="B56" s="1" t="n">
        <v>44545</v>
      </c>
      <c r="C56" s="1" t="n">
        <v>45475</v>
      </c>
      <c r="D56" t="inlineStr">
        <is>
          <t>STOCKHOLMS LÄN</t>
        </is>
      </c>
      <c r="E56" t="inlineStr">
        <is>
          <t>NORRTÄLJE</t>
        </is>
      </c>
      <c r="G56" t="n">
        <v>1.5</v>
      </c>
      <c r="H56" t="n">
        <v>1</v>
      </c>
      <c r="I56" t="n">
        <v>3</v>
      </c>
      <c r="J56" t="n">
        <v>0</v>
      </c>
      <c r="K56" t="n">
        <v>0</v>
      </c>
      <c r="L56" t="n">
        <v>0</v>
      </c>
      <c r="M56" t="n">
        <v>0</v>
      </c>
      <c r="N56" t="n">
        <v>0</v>
      </c>
      <c r="O56" t="n">
        <v>0</v>
      </c>
      <c r="P56" t="n">
        <v>0</v>
      </c>
      <c r="Q56" t="n">
        <v>4</v>
      </c>
      <c r="R56" s="2" t="inlineStr">
        <is>
          <t>Svart trolldruva
Sårläka
Vårärt
Blåsippa</t>
        </is>
      </c>
      <c r="S56">
        <f>HYPERLINK("https://klasma.github.io/Logging_0188/artfynd/A 72305-2021 artfynd.xlsx", "A 72305-2021")</f>
        <v/>
      </c>
      <c r="T56">
        <f>HYPERLINK("https://klasma.github.io/Logging_0188/kartor/A 72305-2021 karta.png", "A 72305-2021")</f>
        <v/>
      </c>
      <c r="V56">
        <f>HYPERLINK("https://klasma.github.io/Logging_0188/klagomål/A 72305-2021 FSC-klagomål.docx", "A 72305-2021")</f>
        <v/>
      </c>
      <c r="W56">
        <f>HYPERLINK("https://klasma.github.io/Logging_0188/klagomålsmail/A 72305-2021 FSC-klagomål mail.docx", "A 72305-2021")</f>
        <v/>
      </c>
      <c r="X56">
        <f>HYPERLINK("https://klasma.github.io/Logging_0188/tillsyn/A 72305-2021 tillsynsbegäran.docx", "A 72305-2021")</f>
        <v/>
      </c>
      <c r="Y56">
        <f>HYPERLINK("https://klasma.github.io/Logging_0188/tillsynsmail/A 72305-2021 tillsynsbegäran mail.docx", "A 72305-2021")</f>
        <v/>
      </c>
    </row>
    <row r="57" ht="15" customHeight="1">
      <c r="A57" t="inlineStr">
        <is>
          <t>A 56785-2023</t>
        </is>
      </c>
      <c r="B57" s="1" t="n">
        <v>45244</v>
      </c>
      <c r="C57" s="1" t="n">
        <v>45475</v>
      </c>
      <c r="D57" t="inlineStr">
        <is>
          <t>STOCKHOLMS LÄN</t>
        </is>
      </c>
      <c r="E57" t="inlineStr">
        <is>
          <t>NORRTÄLJE</t>
        </is>
      </c>
      <c r="G57" t="n">
        <v>7.7</v>
      </c>
      <c r="H57" t="n">
        <v>0</v>
      </c>
      <c r="I57" t="n">
        <v>1</v>
      </c>
      <c r="J57" t="n">
        <v>3</v>
      </c>
      <c r="K57" t="n">
        <v>0</v>
      </c>
      <c r="L57" t="n">
        <v>0</v>
      </c>
      <c r="M57" t="n">
        <v>0</v>
      </c>
      <c r="N57" t="n">
        <v>0</v>
      </c>
      <c r="O57" t="n">
        <v>3</v>
      </c>
      <c r="P57" t="n">
        <v>0</v>
      </c>
      <c r="Q57" t="n">
        <v>4</v>
      </c>
      <c r="R57" s="2" t="inlineStr">
        <is>
          <t>Plattad lövvedborre
Skeppsvarvsfluga
Triplax rufipes
Dorcatoma chrysomelina</t>
        </is>
      </c>
      <c r="S57">
        <f>HYPERLINK("https://klasma.github.io/Logging_0188/artfynd/A 56785-2023 artfynd.xlsx", "A 56785-2023")</f>
        <v/>
      </c>
      <c r="T57">
        <f>HYPERLINK("https://klasma.github.io/Logging_0188/kartor/A 56785-2023 karta.png", "A 56785-2023")</f>
        <v/>
      </c>
      <c r="V57">
        <f>HYPERLINK("https://klasma.github.io/Logging_0188/klagomål/A 56785-2023 FSC-klagomål.docx", "A 56785-2023")</f>
        <v/>
      </c>
      <c r="W57">
        <f>HYPERLINK("https://klasma.github.io/Logging_0188/klagomålsmail/A 56785-2023 FSC-klagomål mail.docx", "A 56785-2023")</f>
        <v/>
      </c>
      <c r="X57">
        <f>HYPERLINK("https://klasma.github.io/Logging_0188/tillsyn/A 56785-2023 tillsynsbegäran.docx", "A 56785-2023")</f>
        <v/>
      </c>
      <c r="Y57">
        <f>HYPERLINK("https://klasma.github.io/Logging_0188/tillsynsmail/A 56785-2023 tillsynsbegäran mail.docx", "A 56785-2023")</f>
        <v/>
      </c>
    </row>
    <row r="58" ht="15" customHeight="1">
      <c r="A58" t="inlineStr">
        <is>
          <t>A 24218-2024</t>
        </is>
      </c>
      <c r="B58" s="1" t="n">
        <v>45457</v>
      </c>
      <c r="C58" s="1" t="n">
        <v>45475</v>
      </c>
      <c r="D58" t="inlineStr">
        <is>
          <t>STOCKHOLMS LÄN</t>
        </is>
      </c>
      <c r="E58" t="inlineStr">
        <is>
          <t>NORRTÄLJE</t>
        </is>
      </c>
      <c r="G58" t="n">
        <v>3.4</v>
      </c>
      <c r="H58" t="n">
        <v>0</v>
      </c>
      <c r="I58" t="n">
        <v>4</v>
      </c>
      <c r="J58" t="n">
        <v>0</v>
      </c>
      <c r="K58" t="n">
        <v>0</v>
      </c>
      <c r="L58" t="n">
        <v>0</v>
      </c>
      <c r="M58" t="n">
        <v>0</v>
      </c>
      <c r="N58" t="n">
        <v>0</v>
      </c>
      <c r="O58" t="n">
        <v>0</v>
      </c>
      <c r="P58" t="n">
        <v>0</v>
      </c>
      <c r="Q58" t="n">
        <v>4</v>
      </c>
      <c r="R58" s="2" t="inlineStr">
        <is>
          <t>Fjällig taggsvamp s.str.
Olivspindling
Rökmusseron
Tjockfotad fingersvamp</t>
        </is>
      </c>
      <c r="S58">
        <f>HYPERLINK("https://klasma.github.io/Logging_0188/artfynd/A 24218-2024 artfynd.xlsx", "A 24218-2024")</f>
        <v/>
      </c>
      <c r="T58">
        <f>HYPERLINK("https://klasma.github.io/Logging_0188/kartor/A 24218-2024 karta.png", "A 24218-2024")</f>
        <v/>
      </c>
      <c r="V58">
        <f>HYPERLINK("https://klasma.github.io/Logging_0188/klagomål/A 24218-2024 FSC-klagomål.docx", "A 24218-2024")</f>
        <v/>
      </c>
      <c r="W58">
        <f>HYPERLINK("https://klasma.github.io/Logging_0188/klagomålsmail/A 24218-2024 FSC-klagomål mail.docx", "A 24218-2024")</f>
        <v/>
      </c>
      <c r="X58">
        <f>HYPERLINK("https://klasma.github.io/Logging_0188/tillsyn/A 24218-2024 tillsynsbegäran.docx", "A 24218-2024")</f>
        <v/>
      </c>
      <c r="Y58">
        <f>HYPERLINK("https://klasma.github.io/Logging_0188/tillsynsmail/A 24218-2024 tillsynsbegäran mail.docx", "A 24218-2024")</f>
        <v/>
      </c>
    </row>
    <row r="59" ht="15" customHeight="1">
      <c r="A59" t="inlineStr">
        <is>
          <t>A 19617-2019</t>
        </is>
      </c>
      <c r="B59" s="1" t="n">
        <v>43566</v>
      </c>
      <c r="C59" s="1" t="n">
        <v>45475</v>
      </c>
      <c r="D59" t="inlineStr">
        <is>
          <t>STOCKHOLMS LÄN</t>
        </is>
      </c>
      <c r="E59" t="inlineStr">
        <is>
          <t>NORRTÄLJE</t>
        </is>
      </c>
      <c r="G59" t="n">
        <v>16.1</v>
      </c>
      <c r="H59" t="n">
        <v>2</v>
      </c>
      <c r="I59" t="n">
        <v>1</v>
      </c>
      <c r="J59" t="n">
        <v>1</v>
      </c>
      <c r="K59" t="n">
        <v>0</v>
      </c>
      <c r="L59" t="n">
        <v>0</v>
      </c>
      <c r="M59" t="n">
        <v>0</v>
      </c>
      <c r="N59" t="n">
        <v>0</v>
      </c>
      <c r="O59" t="n">
        <v>1</v>
      </c>
      <c r="P59" t="n">
        <v>0</v>
      </c>
      <c r="Q59" t="n">
        <v>3</v>
      </c>
      <c r="R59" s="2" t="inlineStr">
        <is>
          <t>Havsörn
Myskbock
Blåsippa</t>
        </is>
      </c>
      <c r="S59">
        <f>HYPERLINK("https://klasma.github.io/Logging_0188/artfynd/A 19617-2019 artfynd.xlsx", "A 19617-2019")</f>
        <v/>
      </c>
      <c r="T59">
        <f>HYPERLINK("https://klasma.github.io/Logging_0188/kartor/A 19617-2019 karta.png", "A 19617-2019")</f>
        <v/>
      </c>
      <c r="V59">
        <f>HYPERLINK("https://klasma.github.io/Logging_0188/klagomål/A 19617-2019 FSC-klagomål.docx", "A 19617-2019")</f>
        <v/>
      </c>
      <c r="W59">
        <f>HYPERLINK("https://klasma.github.io/Logging_0188/klagomålsmail/A 19617-2019 FSC-klagomål mail.docx", "A 19617-2019")</f>
        <v/>
      </c>
      <c r="X59">
        <f>HYPERLINK("https://klasma.github.io/Logging_0188/tillsyn/A 19617-2019 tillsynsbegäran.docx", "A 19617-2019")</f>
        <v/>
      </c>
      <c r="Y59">
        <f>HYPERLINK("https://klasma.github.io/Logging_0188/tillsynsmail/A 19617-2019 tillsynsbegäran mail.docx", "A 19617-2019")</f>
        <v/>
      </c>
      <c r="Z59">
        <f>HYPERLINK("https://klasma.github.io/Logging_0188/fåglar/A 19617-2019 prioriterade fågelarter.docx", "A 19617-2019")</f>
        <v/>
      </c>
    </row>
    <row r="60" ht="15" customHeight="1">
      <c r="A60" t="inlineStr">
        <is>
          <t>A 14560-2021</t>
        </is>
      </c>
      <c r="B60" s="1" t="n">
        <v>44279</v>
      </c>
      <c r="C60" s="1" t="n">
        <v>45475</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17673-2021</t>
        </is>
      </c>
      <c r="B61" s="1" t="n">
        <v>44300</v>
      </c>
      <c r="C61" s="1" t="n">
        <v>45475</v>
      </c>
      <c r="D61" t="inlineStr">
        <is>
          <t>STOCKHOLMS LÄN</t>
        </is>
      </c>
      <c r="E61" t="inlineStr">
        <is>
          <t>NORRTÄLJE</t>
        </is>
      </c>
      <c r="G61" t="n">
        <v>10.4</v>
      </c>
      <c r="H61" t="n">
        <v>3</v>
      </c>
      <c r="I61" t="n">
        <v>0</v>
      </c>
      <c r="J61" t="n">
        <v>2</v>
      </c>
      <c r="K61" t="n">
        <v>0</v>
      </c>
      <c r="L61" t="n">
        <v>0</v>
      </c>
      <c r="M61" t="n">
        <v>0</v>
      </c>
      <c r="N61" t="n">
        <v>0</v>
      </c>
      <c r="O61" t="n">
        <v>2</v>
      </c>
      <c r="P61" t="n">
        <v>0</v>
      </c>
      <c r="Q61" t="n">
        <v>3</v>
      </c>
      <c r="R61" s="2" t="inlineStr">
        <is>
          <t>Grönsångare
Havsörn
Blåsippa</t>
        </is>
      </c>
      <c r="S61">
        <f>HYPERLINK("https://klasma.github.io/Logging_0188/artfynd/A 17673-2021 artfynd.xlsx", "A 17673-2021")</f>
        <v/>
      </c>
      <c r="T61">
        <f>HYPERLINK("https://klasma.github.io/Logging_0188/kartor/A 17673-2021 karta.png", "A 17673-2021")</f>
        <v/>
      </c>
      <c r="V61">
        <f>HYPERLINK("https://klasma.github.io/Logging_0188/klagomål/A 17673-2021 FSC-klagomål.docx", "A 17673-2021")</f>
        <v/>
      </c>
      <c r="W61">
        <f>HYPERLINK("https://klasma.github.io/Logging_0188/klagomålsmail/A 17673-2021 FSC-klagomål mail.docx", "A 17673-2021")</f>
        <v/>
      </c>
      <c r="X61">
        <f>HYPERLINK("https://klasma.github.io/Logging_0188/tillsyn/A 17673-2021 tillsynsbegäran.docx", "A 17673-2021")</f>
        <v/>
      </c>
      <c r="Y61">
        <f>HYPERLINK("https://klasma.github.io/Logging_0188/tillsynsmail/A 17673-2021 tillsynsbegäran mail.docx", "A 17673-2021")</f>
        <v/>
      </c>
      <c r="Z61">
        <f>HYPERLINK("https://klasma.github.io/Logging_0188/fåglar/A 17673-2021 prioriterade fågelarter.docx", "A 17673-2021")</f>
        <v/>
      </c>
    </row>
    <row r="62" ht="15" customHeight="1">
      <c r="A62" t="inlineStr">
        <is>
          <t>A 65629-2021</t>
        </is>
      </c>
      <c r="B62" s="1" t="n">
        <v>44516</v>
      </c>
      <c r="C62" s="1" t="n">
        <v>45475</v>
      </c>
      <c r="D62" t="inlineStr">
        <is>
          <t>STOCKHOLMS LÄN</t>
        </is>
      </c>
      <c r="E62" t="inlineStr">
        <is>
          <t>NORRTÄLJE</t>
        </is>
      </c>
      <c r="G62" t="n">
        <v>3</v>
      </c>
      <c r="H62" t="n">
        <v>0</v>
      </c>
      <c r="I62" t="n">
        <v>1</v>
      </c>
      <c r="J62" t="n">
        <v>2</v>
      </c>
      <c r="K62" t="n">
        <v>0</v>
      </c>
      <c r="L62" t="n">
        <v>0</v>
      </c>
      <c r="M62" t="n">
        <v>0</v>
      </c>
      <c r="N62" t="n">
        <v>0</v>
      </c>
      <c r="O62" t="n">
        <v>2</v>
      </c>
      <c r="P62" t="n">
        <v>0</v>
      </c>
      <c r="Q62" t="n">
        <v>3</v>
      </c>
      <c r="R62" s="2" t="inlineStr">
        <is>
          <t>Granticka
Ullticka
Granbarkgnagare</t>
        </is>
      </c>
      <c r="S62">
        <f>HYPERLINK("https://klasma.github.io/Logging_0188/artfynd/A 65629-2021 artfynd.xlsx", "A 65629-2021")</f>
        <v/>
      </c>
      <c r="T62">
        <f>HYPERLINK("https://klasma.github.io/Logging_0188/kartor/A 65629-2021 karta.png", "A 65629-2021")</f>
        <v/>
      </c>
      <c r="V62">
        <f>HYPERLINK("https://klasma.github.io/Logging_0188/klagomål/A 65629-2021 FSC-klagomål.docx", "A 65629-2021")</f>
        <v/>
      </c>
      <c r="W62">
        <f>HYPERLINK("https://klasma.github.io/Logging_0188/klagomålsmail/A 65629-2021 FSC-klagomål mail.docx", "A 65629-2021")</f>
        <v/>
      </c>
      <c r="X62">
        <f>HYPERLINK("https://klasma.github.io/Logging_0188/tillsyn/A 65629-2021 tillsynsbegäran.docx", "A 65629-2021")</f>
        <v/>
      </c>
      <c r="Y62">
        <f>HYPERLINK("https://klasma.github.io/Logging_0188/tillsynsmail/A 65629-2021 tillsynsbegäran mail.docx", "A 65629-2021")</f>
        <v/>
      </c>
    </row>
    <row r="63" ht="15" customHeight="1">
      <c r="A63" t="inlineStr">
        <is>
          <t>A 12215-2022</t>
        </is>
      </c>
      <c r="B63" s="1" t="n">
        <v>44637</v>
      </c>
      <c r="C63" s="1" t="n">
        <v>45475</v>
      </c>
      <c r="D63" t="inlineStr">
        <is>
          <t>STOCKHOLMS LÄN</t>
        </is>
      </c>
      <c r="E63" t="inlineStr">
        <is>
          <t>NORRTÄLJE</t>
        </is>
      </c>
      <c r="G63" t="n">
        <v>3.1</v>
      </c>
      <c r="H63" t="n">
        <v>3</v>
      </c>
      <c r="I63" t="n">
        <v>3</v>
      </c>
      <c r="J63" t="n">
        <v>0</v>
      </c>
      <c r="K63" t="n">
        <v>0</v>
      </c>
      <c r="L63" t="n">
        <v>0</v>
      </c>
      <c r="M63" t="n">
        <v>0</v>
      </c>
      <c r="N63" t="n">
        <v>0</v>
      </c>
      <c r="O63" t="n">
        <v>0</v>
      </c>
      <c r="P63" t="n">
        <v>0</v>
      </c>
      <c r="Q63" t="n">
        <v>3</v>
      </c>
      <c r="R63" s="2" t="inlineStr">
        <is>
          <t>Guckusko
Skogsknipprot
Tvåblad</t>
        </is>
      </c>
      <c r="S63">
        <f>HYPERLINK("https://klasma.github.io/Logging_0188/artfynd/A 12215-2022 artfynd.xlsx", "A 12215-2022")</f>
        <v/>
      </c>
      <c r="T63">
        <f>HYPERLINK("https://klasma.github.io/Logging_0188/kartor/A 12215-2022 karta.png", "A 12215-2022")</f>
        <v/>
      </c>
      <c r="V63">
        <f>HYPERLINK("https://klasma.github.io/Logging_0188/klagomål/A 12215-2022 FSC-klagomål.docx", "A 12215-2022")</f>
        <v/>
      </c>
      <c r="W63">
        <f>HYPERLINK("https://klasma.github.io/Logging_0188/klagomålsmail/A 12215-2022 FSC-klagomål mail.docx", "A 12215-2022")</f>
        <v/>
      </c>
      <c r="X63">
        <f>HYPERLINK("https://klasma.github.io/Logging_0188/tillsyn/A 12215-2022 tillsynsbegäran.docx", "A 12215-2022")</f>
        <v/>
      </c>
      <c r="Y63">
        <f>HYPERLINK("https://klasma.github.io/Logging_0188/tillsynsmail/A 12215-2022 tillsynsbegäran mail.docx", "A 12215-2022")</f>
        <v/>
      </c>
    </row>
    <row r="64" ht="15" customHeight="1">
      <c r="A64" t="inlineStr">
        <is>
          <t>A 20185-2022</t>
        </is>
      </c>
      <c r="B64" s="1" t="n">
        <v>44698</v>
      </c>
      <c r="C64" s="1" t="n">
        <v>45475</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28836-2022</t>
        </is>
      </c>
      <c r="B65" s="1" t="n">
        <v>44749</v>
      </c>
      <c r="C65" s="1" t="n">
        <v>45475</v>
      </c>
      <c r="D65" t="inlineStr">
        <is>
          <t>STOCKHOLMS LÄN</t>
        </is>
      </c>
      <c r="E65" t="inlineStr">
        <is>
          <t>NORRTÄLJE</t>
        </is>
      </c>
      <c r="G65" t="n">
        <v>25</v>
      </c>
      <c r="H65" t="n">
        <v>2</v>
      </c>
      <c r="I65" t="n">
        <v>0</v>
      </c>
      <c r="J65" t="n">
        <v>2</v>
      </c>
      <c r="K65" t="n">
        <v>0</v>
      </c>
      <c r="L65" t="n">
        <v>0</v>
      </c>
      <c r="M65" t="n">
        <v>0</v>
      </c>
      <c r="N65" t="n">
        <v>0</v>
      </c>
      <c r="O65" t="n">
        <v>2</v>
      </c>
      <c r="P65" t="n">
        <v>0</v>
      </c>
      <c r="Q65" t="n">
        <v>3</v>
      </c>
      <c r="R65" s="2" t="inlineStr">
        <is>
          <t>Backklöver
Svartvit flugsnappare
Skogsödla</t>
        </is>
      </c>
      <c r="S65">
        <f>HYPERLINK("https://klasma.github.io/Logging_0188/artfynd/A 28836-2022 artfynd.xlsx", "A 28836-2022")</f>
        <v/>
      </c>
      <c r="T65">
        <f>HYPERLINK("https://klasma.github.io/Logging_0188/kartor/A 28836-2022 karta.png", "A 28836-2022")</f>
        <v/>
      </c>
      <c r="V65">
        <f>HYPERLINK("https://klasma.github.io/Logging_0188/klagomål/A 28836-2022 FSC-klagomål.docx", "A 28836-2022")</f>
        <v/>
      </c>
      <c r="W65">
        <f>HYPERLINK("https://klasma.github.io/Logging_0188/klagomålsmail/A 28836-2022 FSC-klagomål mail.docx", "A 28836-2022")</f>
        <v/>
      </c>
      <c r="X65">
        <f>HYPERLINK("https://klasma.github.io/Logging_0188/tillsyn/A 28836-2022 tillsynsbegäran.docx", "A 28836-2022")</f>
        <v/>
      </c>
      <c r="Y65">
        <f>HYPERLINK("https://klasma.github.io/Logging_0188/tillsynsmail/A 28836-2022 tillsynsbegäran mail.docx", "A 28836-2022")</f>
        <v/>
      </c>
      <c r="Z65">
        <f>HYPERLINK("https://klasma.github.io/Logging_0188/fåglar/A 28836-2022 prioriterade fågelarter.docx", "A 28836-2022")</f>
        <v/>
      </c>
    </row>
    <row r="66" ht="15" customHeight="1">
      <c r="A66" t="inlineStr">
        <is>
          <t>A 45113-2022</t>
        </is>
      </c>
      <c r="B66" s="1" t="n">
        <v>44843</v>
      </c>
      <c r="C66" s="1" t="n">
        <v>45475</v>
      </c>
      <c r="D66" t="inlineStr">
        <is>
          <t>STOCKHOLMS LÄN</t>
        </is>
      </c>
      <c r="E66" t="inlineStr">
        <is>
          <t>NORRTÄLJE</t>
        </is>
      </c>
      <c r="G66" t="n">
        <v>1.7</v>
      </c>
      <c r="H66" t="n">
        <v>0</v>
      </c>
      <c r="I66" t="n">
        <v>1</v>
      </c>
      <c r="J66" t="n">
        <v>1</v>
      </c>
      <c r="K66" t="n">
        <v>1</v>
      </c>
      <c r="L66" t="n">
        <v>0</v>
      </c>
      <c r="M66" t="n">
        <v>0</v>
      </c>
      <c r="N66" t="n">
        <v>0</v>
      </c>
      <c r="O66" t="n">
        <v>2</v>
      </c>
      <c r="P66" t="n">
        <v>1</v>
      </c>
      <c r="Q66" t="n">
        <v>3</v>
      </c>
      <c r="R66" s="2" t="inlineStr">
        <is>
          <t>Violett fingersvamp
Kandelabersvamp
Slät lönnlav</t>
        </is>
      </c>
      <c r="S66">
        <f>HYPERLINK("https://klasma.github.io/Logging_0188/artfynd/A 45113-2022 artfynd.xlsx", "A 45113-2022")</f>
        <v/>
      </c>
      <c r="T66">
        <f>HYPERLINK("https://klasma.github.io/Logging_0188/kartor/A 45113-2022 karta.png", "A 45113-2022")</f>
        <v/>
      </c>
      <c r="V66">
        <f>HYPERLINK("https://klasma.github.io/Logging_0188/klagomål/A 45113-2022 FSC-klagomål.docx", "A 45113-2022")</f>
        <v/>
      </c>
      <c r="W66">
        <f>HYPERLINK("https://klasma.github.io/Logging_0188/klagomålsmail/A 45113-2022 FSC-klagomål mail.docx", "A 45113-2022")</f>
        <v/>
      </c>
      <c r="X66">
        <f>HYPERLINK("https://klasma.github.io/Logging_0188/tillsyn/A 45113-2022 tillsynsbegäran.docx", "A 45113-2022")</f>
        <v/>
      </c>
      <c r="Y66">
        <f>HYPERLINK("https://klasma.github.io/Logging_0188/tillsynsmail/A 45113-2022 tillsynsbegäran mail.docx", "A 45113-2022")</f>
        <v/>
      </c>
    </row>
    <row r="67" ht="15" customHeight="1">
      <c r="A67" t="inlineStr">
        <is>
          <t>A 50618-2022</t>
        </is>
      </c>
      <c r="B67" s="1" t="n">
        <v>44866</v>
      </c>
      <c r="C67" s="1" t="n">
        <v>45475</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2851-2023</t>
        </is>
      </c>
      <c r="B68" s="1" t="n">
        <v>44945</v>
      </c>
      <c r="C68" s="1" t="n">
        <v>45475</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17916-2023</t>
        </is>
      </c>
      <c r="B69" s="1" t="n">
        <v>45040</v>
      </c>
      <c r="C69" s="1" t="n">
        <v>45475</v>
      </c>
      <c r="D69" t="inlineStr">
        <is>
          <t>STOCKHOLMS LÄN</t>
        </is>
      </c>
      <c r="E69" t="inlineStr">
        <is>
          <t>NORRTÄLJE</t>
        </is>
      </c>
      <c r="G69" t="n">
        <v>9.1</v>
      </c>
      <c r="H69" t="n">
        <v>1</v>
      </c>
      <c r="I69" t="n">
        <v>2</v>
      </c>
      <c r="J69" t="n">
        <v>0</v>
      </c>
      <c r="K69" t="n">
        <v>0</v>
      </c>
      <c r="L69" t="n">
        <v>0</v>
      </c>
      <c r="M69" t="n">
        <v>0</v>
      </c>
      <c r="N69" t="n">
        <v>0</v>
      </c>
      <c r="O69" t="n">
        <v>0</v>
      </c>
      <c r="P69" t="n">
        <v>0</v>
      </c>
      <c r="Q69" t="n">
        <v>3</v>
      </c>
      <c r="R69" s="2" t="inlineStr">
        <is>
          <t>Skarp dropptaggsvamp
Sårläka
Blåsippa</t>
        </is>
      </c>
      <c r="S69">
        <f>HYPERLINK("https://klasma.github.io/Logging_0188/artfynd/A 17916-2023 artfynd.xlsx", "A 17916-2023")</f>
        <v/>
      </c>
      <c r="T69">
        <f>HYPERLINK("https://klasma.github.io/Logging_0188/kartor/A 17916-2023 karta.png", "A 17916-2023")</f>
        <v/>
      </c>
      <c r="V69">
        <f>HYPERLINK("https://klasma.github.io/Logging_0188/klagomål/A 17916-2023 FSC-klagomål.docx", "A 17916-2023")</f>
        <v/>
      </c>
      <c r="W69">
        <f>HYPERLINK("https://klasma.github.io/Logging_0188/klagomålsmail/A 17916-2023 FSC-klagomål mail.docx", "A 17916-2023")</f>
        <v/>
      </c>
      <c r="X69">
        <f>HYPERLINK("https://klasma.github.io/Logging_0188/tillsyn/A 17916-2023 tillsynsbegäran.docx", "A 17916-2023")</f>
        <v/>
      </c>
      <c r="Y69">
        <f>HYPERLINK("https://klasma.github.io/Logging_0188/tillsynsmail/A 17916-2023 tillsynsbegäran mail.docx", "A 17916-2023")</f>
        <v/>
      </c>
    </row>
    <row r="70" ht="15" customHeight="1">
      <c r="A70" t="inlineStr">
        <is>
          <t>A 36662-2023</t>
        </is>
      </c>
      <c r="B70" s="1" t="n">
        <v>45153</v>
      </c>
      <c r="C70" s="1" t="n">
        <v>45475</v>
      </c>
      <c r="D70" t="inlineStr">
        <is>
          <t>STOCKHOLMS LÄN</t>
        </is>
      </c>
      <c r="E70" t="inlineStr">
        <is>
          <t>NORRTÄLJE</t>
        </is>
      </c>
      <c r="G70" t="n">
        <v>3.1</v>
      </c>
      <c r="H70" t="n">
        <v>1</v>
      </c>
      <c r="I70" t="n">
        <v>2</v>
      </c>
      <c r="J70" t="n">
        <v>1</v>
      </c>
      <c r="K70" t="n">
        <v>0</v>
      </c>
      <c r="L70" t="n">
        <v>0</v>
      </c>
      <c r="M70" t="n">
        <v>0</v>
      </c>
      <c r="N70" t="n">
        <v>0</v>
      </c>
      <c r="O70" t="n">
        <v>1</v>
      </c>
      <c r="P70" t="n">
        <v>0</v>
      </c>
      <c r="Q70" t="n">
        <v>3</v>
      </c>
      <c r="R70" s="2" t="inlineStr">
        <is>
          <t>Svartvit taggsvamp
Skogsknipprot
Svavelriska</t>
        </is>
      </c>
      <c r="S70">
        <f>HYPERLINK("https://klasma.github.io/Logging_0188/artfynd/A 36662-2023 artfynd.xlsx", "A 36662-2023")</f>
        <v/>
      </c>
      <c r="T70">
        <f>HYPERLINK("https://klasma.github.io/Logging_0188/kartor/A 36662-2023 karta.png", "A 36662-2023")</f>
        <v/>
      </c>
      <c r="V70">
        <f>HYPERLINK("https://klasma.github.io/Logging_0188/klagomål/A 36662-2023 FSC-klagomål.docx", "A 36662-2023")</f>
        <v/>
      </c>
      <c r="W70">
        <f>HYPERLINK("https://klasma.github.io/Logging_0188/klagomålsmail/A 36662-2023 FSC-klagomål mail.docx", "A 36662-2023")</f>
        <v/>
      </c>
      <c r="X70">
        <f>HYPERLINK("https://klasma.github.io/Logging_0188/tillsyn/A 36662-2023 tillsynsbegäran.docx", "A 36662-2023")</f>
        <v/>
      </c>
      <c r="Y70">
        <f>HYPERLINK("https://klasma.github.io/Logging_0188/tillsynsmail/A 36662-2023 tillsynsbegäran mail.docx", "A 36662-2023")</f>
        <v/>
      </c>
    </row>
    <row r="71" ht="15" customHeight="1">
      <c r="A71" t="inlineStr">
        <is>
          <t>A 43304-2023</t>
        </is>
      </c>
      <c r="B71" s="1" t="n">
        <v>45183</v>
      </c>
      <c r="C71" s="1" t="n">
        <v>45475</v>
      </c>
      <c r="D71" t="inlineStr">
        <is>
          <t>STOCKHOLMS LÄN</t>
        </is>
      </c>
      <c r="E71" t="inlineStr">
        <is>
          <t>NORRTÄLJE</t>
        </is>
      </c>
      <c r="G71" t="n">
        <v>1.5</v>
      </c>
      <c r="H71" t="n">
        <v>0</v>
      </c>
      <c r="I71" t="n">
        <v>0</v>
      </c>
      <c r="J71" t="n">
        <v>2</v>
      </c>
      <c r="K71" t="n">
        <v>1</v>
      </c>
      <c r="L71" t="n">
        <v>0</v>
      </c>
      <c r="M71" t="n">
        <v>0</v>
      </c>
      <c r="N71" t="n">
        <v>0</v>
      </c>
      <c r="O71" t="n">
        <v>3</v>
      </c>
      <c r="P71" t="n">
        <v>1</v>
      </c>
      <c r="Q71" t="n">
        <v>3</v>
      </c>
      <c r="R71" s="2" t="inlineStr">
        <is>
          <t>Spricktaggsvamp
Kungsspindling
Persiljespindling</t>
        </is>
      </c>
      <c r="S71">
        <f>HYPERLINK("https://klasma.github.io/Logging_0188/artfynd/A 43304-2023 artfynd.xlsx", "A 43304-2023")</f>
        <v/>
      </c>
      <c r="T71">
        <f>HYPERLINK("https://klasma.github.io/Logging_0188/kartor/A 43304-2023 karta.png", "A 43304-2023")</f>
        <v/>
      </c>
      <c r="V71">
        <f>HYPERLINK("https://klasma.github.io/Logging_0188/klagomål/A 43304-2023 FSC-klagomål.docx", "A 43304-2023")</f>
        <v/>
      </c>
      <c r="W71">
        <f>HYPERLINK("https://klasma.github.io/Logging_0188/klagomålsmail/A 43304-2023 FSC-klagomål mail.docx", "A 43304-2023")</f>
        <v/>
      </c>
      <c r="X71">
        <f>HYPERLINK("https://klasma.github.io/Logging_0188/tillsyn/A 43304-2023 tillsynsbegäran.docx", "A 43304-2023")</f>
        <v/>
      </c>
      <c r="Y71">
        <f>HYPERLINK("https://klasma.github.io/Logging_0188/tillsynsmail/A 43304-2023 tillsynsbegäran mail.docx", "A 43304-2023")</f>
        <v/>
      </c>
    </row>
    <row r="72" ht="15" customHeight="1">
      <c r="A72" t="inlineStr">
        <is>
          <t>A 52011-2023</t>
        </is>
      </c>
      <c r="B72" s="1" t="n">
        <v>45223</v>
      </c>
      <c r="C72" s="1" t="n">
        <v>45475</v>
      </c>
      <c r="D72" t="inlineStr">
        <is>
          <t>STOCKHOLMS LÄN</t>
        </is>
      </c>
      <c r="E72" t="inlineStr">
        <is>
          <t>NORRTÄLJE</t>
        </is>
      </c>
      <c r="F72" t="inlineStr">
        <is>
          <t>Övriga Aktiebolag</t>
        </is>
      </c>
      <c r="G72" t="n">
        <v>16.6</v>
      </c>
      <c r="H72" t="n">
        <v>0</v>
      </c>
      <c r="I72" t="n">
        <v>2</v>
      </c>
      <c r="J72" t="n">
        <v>1</v>
      </c>
      <c r="K72" t="n">
        <v>0</v>
      </c>
      <c r="L72" t="n">
        <v>0</v>
      </c>
      <c r="M72" t="n">
        <v>0</v>
      </c>
      <c r="N72" t="n">
        <v>0</v>
      </c>
      <c r="O72" t="n">
        <v>1</v>
      </c>
      <c r="P72" t="n">
        <v>0</v>
      </c>
      <c r="Q72" t="n">
        <v>3</v>
      </c>
      <c r="R72" s="2" t="inlineStr">
        <is>
          <t>Vedtrappmossa
Mörk husmossa
Skogshakmossa</t>
        </is>
      </c>
      <c r="S72">
        <f>HYPERLINK("https://klasma.github.io/Logging_0188/artfynd/A 52011-2023 artfynd.xlsx", "A 52011-2023")</f>
        <v/>
      </c>
      <c r="T72">
        <f>HYPERLINK("https://klasma.github.io/Logging_0188/kartor/A 52011-2023 karta.png", "A 52011-2023")</f>
        <v/>
      </c>
      <c r="V72">
        <f>HYPERLINK("https://klasma.github.io/Logging_0188/klagomål/A 52011-2023 FSC-klagomål.docx", "A 52011-2023")</f>
        <v/>
      </c>
      <c r="W72">
        <f>HYPERLINK("https://klasma.github.io/Logging_0188/klagomålsmail/A 52011-2023 FSC-klagomål mail.docx", "A 52011-2023")</f>
        <v/>
      </c>
      <c r="X72">
        <f>HYPERLINK("https://klasma.github.io/Logging_0188/tillsyn/A 52011-2023 tillsynsbegäran.docx", "A 52011-2023")</f>
        <v/>
      </c>
      <c r="Y72">
        <f>HYPERLINK("https://klasma.github.io/Logging_0188/tillsynsmail/A 52011-2023 tillsynsbegäran mail.docx", "A 52011-2023")</f>
        <v/>
      </c>
    </row>
    <row r="73" ht="15" customHeight="1">
      <c r="A73" t="inlineStr">
        <is>
          <t>A 23830-2019</t>
        </is>
      </c>
      <c r="B73" s="1" t="n">
        <v>43595</v>
      </c>
      <c r="C73" s="1" t="n">
        <v>45475</v>
      </c>
      <c r="D73" t="inlineStr">
        <is>
          <t>STOCKHOLMS LÄN</t>
        </is>
      </c>
      <c r="E73" t="inlineStr">
        <is>
          <t>NORRTÄLJE</t>
        </is>
      </c>
      <c r="G73" t="n">
        <v>3</v>
      </c>
      <c r="H73" t="n">
        <v>2</v>
      </c>
      <c r="I73" t="n">
        <v>1</v>
      </c>
      <c r="J73" t="n">
        <v>0</v>
      </c>
      <c r="K73" t="n">
        <v>0</v>
      </c>
      <c r="L73" t="n">
        <v>0</v>
      </c>
      <c r="M73" t="n">
        <v>0</v>
      </c>
      <c r="N73" t="n">
        <v>0</v>
      </c>
      <c r="O73" t="n">
        <v>0</v>
      </c>
      <c r="P73" t="n">
        <v>0</v>
      </c>
      <c r="Q73" t="n">
        <v>2</v>
      </c>
      <c r="R73" s="2" t="inlineStr">
        <is>
          <t>Guckusko
Grönvit nattviol</t>
        </is>
      </c>
      <c r="S73">
        <f>HYPERLINK("https://klasma.github.io/Logging_0188/artfynd/A 23830-2019 artfynd.xlsx", "A 23830-2019")</f>
        <v/>
      </c>
      <c r="T73">
        <f>HYPERLINK("https://klasma.github.io/Logging_0188/kartor/A 23830-2019 karta.png", "A 23830-2019")</f>
        <v/>
      </c>
      <c r="V73">
        <f>HYPERLINK("https://klasma.github.io/Logging_0188/klagomål/A 23830-2019 FSC-klagomål.docx", "A 23830-2019")</f>
        <v/>
      </c>
      <c r="W73">
        <f>HYPERLINK("https://klasma.github.io/Logging_0188/klagomålsmail/A 23830-2019 FSC-klagomål mail.docx", "A 23830-2019")</f>
        <v/>
      </c>
      <c r="X73">
        <f>HYPERLINK("https://klasma.github.io/Logging_0188/tillsyn/A 23830-2019 tillsynsbegäran.docx", "A 23830-2019")</f>
        <v/>
      </c>
      <c r="Y73">
        <f>HYPERLINK("https://klasma.github.io/Logging_0188/tillsynsmail/A 23830-2019 tillsynsbegäran mail.docx", "A 23830-2019")</f>
        <v/>
      </c>
    </row>
    <row r="74" ht="15" customHeight="1">
      <c r="A74" t="inlineStr">
        <is>
          <t>A 47875-2019</t>
        </is>
      </c>
      <c r="B74" s="1" t="n">
        <v>43725</v>
      </c>
      <c r="C74" s="1" t="n">
        <v>45475</v>
      </c>
      <c r="D74" t="inlineStr">
        <is>
          <t>STOCKHOLMS LÄN</t>
        </is>
      </c>
      <c r="E74" t="inlineStr">
        <is>
          <t>NORRTÄLJE</t>
        </is>
      </c>
      <c r="G74" t="n">
        <v>10.9</v>
      </c>
      <c r="H74" t="n">
        <v>1</v>
      </c>
      <c r="I74" t="n">
        <v>0</v>
      </c>
      <c r="J74" t="n">
        <v>1</v>
      </c>
      <c r="K74" t="n">
        <v>0</v>
      </c>
      <c r="L74" t="n">
        <v>0</v>
      </c>
      <c r="M74" t="n">
        <v>0</v>
      </c>
      <c r="N74" t="n">
        <v>0</v>
      </c>
      <c r="O74" t="n">
        <v>1</v>
      </c>
      <c r="P74" t="n">
        <v>0</v>
      </c>
      <c r="Q74" t="n">
        <v>2</v>
      </c>
      <c r="R74" s="2" t="inlineStr">
        <is>
          <t>Vippärt
Mattlummer</t>
        </is>
      </c>
      <c r="S74">
        <f>HYPERLINK("https://klasma.github.io/Logging_0188/artfynd/A 47875-2019 artfynd.xlsx", "A 47875-2019")</f>
        <v/>
      </c>
      <c r="T74">
        <f>HYPERLINK("https://klasma.github.io/Logging_0188/kartor/A 47875-2019 karta.png", "A 47875-2019")</f>
        <v/>
      </c>
      <c r="V74">
        <f>HYPERLINK("https://klasma.github.io/Logging_0188/klagomål/A 47875-2019 FSC-klagomål.docx", "A 47875-2019")</f>
        <v/>
      </c>
      <c r="W74">
        <f>HYPERLINK("https://klasma.github.io/Logging_0188/klagomålsmail/A 47875-2019 FSC-klagomål mail.docx", "A 47875-2019")</f>
        <v/>
      </c>
      <c r="X74">
        <f>HYPERLINK("https://klasma.github.io/Logging_0188/tillsyn/A 47875-2019 tillsynsbegäran.docx", "A 47875-2019")</f>
        <v/>
      </c>
      <c r="Y74">
        <f>HYPERLINK("https://klasma.github.io/Logging_0188/tillsynsmail/A 47875-2019 tillsynsbegäran mail.docx", "A 47875-2019")</f>
        <v/>
      </c>
    </row>
    <row r="75" ht="15" customHeight="1">
      <c r="A75" t="inlineStr">
        <is>
          <t>A 6272-2020</t>
        </is>
      </c>
      <c r="B75" s="1" t="n">
        <v>43866</v>
      </c>
      <c r="C75" s="1" t="n">
        <v>45475</v>
      </c>
      <c r="D75" t="inlineStr">
        <is>
          <t>STOCKHOLMS LÄN</t>
        </is>
      </c>
      <c r="E75" t="inlineStr">
        <is>
          <t>NORRTÄLJE</t>
        </is>
      </c>
      <c r="F75" t="inlineStr">
        <is>
          <t>Övriga statliga verk och myndigheter</t>
        </is>
      </c>
      <c r="G75" t="n">
        <v>1.9</v>
      </c>
      <c r="H75" t="n">
        <v>1</v>
      </c>
      <c r="I75" t="n">
        <v>1</v>
      </c>
      <c r="J75" t="n">
        <v>1</v>
      </c>
      <c r="K75" t="n">
        <v>0</v>
      </c>
      <c r="L75" t="n">
        <v>0</v>
      </c>
      <c r="M75" t="n">
        <v>0</v>
      </c>
      <c r="N75" t="n">
        <v>0</v>
      </c>
      <c r="O75" t="n">
        <v>1</v>
      </c>
      <c r="P75" t="n">
        <v>0</v>
      </c>
      <c r="Q75" t="n">
        <v>2</v>
      </c>
      <c r="R75" s="2" t="inlineStr">
        <is>
          <t>Silversmygare
Nästrot</t>
        </is>
      </c>
      <c r="S75">
        <f>HYPERLINK("https://klasma.github.io/Logging_0188/artfynd/A 6272-2020 artfynd.xlsx", "A 6272-2020")</f>
        <v/>
      </c>
      <c r="T75">
        <f>HYPERLINK("https://klasma.github.io/Logging_0188/kartor/A 6272-2020 karta.png", "A 6272-2020")</f>
        <v/>
      </c>
      <c r="V75">
        <f>HYPERLINK("https://klasma.github.io/Logging_0188/klagomål/A 6272-2020 FSC-klagomål.docx", "A 6272-2020")</f>
        <v/>
      </c>
      <c r="W75">
        <f>HYPERLINK("https://klasma.github.io/Logging_0188/klagomålsmail/A 6272-2020 FSC-klagomål mail.docx", "A 6272-2020")</f>
        <v/>
      </c>
      <c r="X75">
        <f>HYPERLINK("https://klasma.github.io/Logging_0188/tillsyn/A 6272-2020 tillsynsbegäran.docx", "A 6272-2020")</f>
        <v/>
      </c>
      <c r="Y75">
        <f>HYPERLINK("https://klasma.github.io/Logging_0188/tillsynsmail/A 6272-2020 tillsynsbegäran mail.docx", "A 6272-2020")</f>
        <v/>
      </c>
    </row>
    <row r="76" ht="15" customHeight="1">
      <c r="A76" t="inlineStr">
        <is>
          <t>A 19565-2020</t>
        </is>
      </c>
      <c r="B76" s="1" t="n">
        <v>43936</v>
      </c>
      <c r="C76" s="1" t="n">
        <v>45475</v>
      </c>
      <c r="D76" t="inlineStr">
        <is>
          <t>STOCKHOLMS LÄN</t>
        </is>
      </c>
      <c r="E76" t="inlineStr">
        <is>
          <t>NORRTÄLJE</t>
        </is>
      </c>
      <c r="G76" t="n">
        <v>2.4</v>
      </c>
      <c r="H76" t="n">
        <v>0</v>
      </c>
      <c r="I76" t="n">
        <v>2</v>
      </c>
      <c r="J76" t="n">
        <v>0</v>
      </c>
      <c r="K76" t="n">
        <v>0</v>
      </c>
      <c r="L76" t="n">
        <v>0</v>
      </c>
      <c r="M76" t="n">
        <v>0</v>
      </c>
      <c r="N76" t="n">
        <v>0</v>
      </c>
      <c r="O76" t="n">
        <v>0</v>
      </c>
      <c r="P76" t="n">
        <v>0</v>
      </c>
      <c r="Q76" t="n">
        <v>2</v>
      </c>
      <c r="R76" s="2" t="inlineStr">
        <is>
          <t>Mörk husmossa
Rödgul trumpetsvamp</t>
        </is>
      </c>
      <c r="S76">
        <f>HYPERLINK("https://klasma.github.io/Logging_0188/artfynd/A 19565-2020 artfynd.xlsx", "A 19565-2020")</f>
        <v/>
      </c>
      <c r="T76">
        <f>HYPERLINK("https://klasma.github.io/Logging_0188/kartor/A 19565-2020 karta.png", "A 19565-2020")</f>
        <v/>
      </c>
      <c r="V76">
        <f>HYPERLINK("https://klasma.github.io/Logging_0188/klagomål/A 19565-2020 FSC-klagomål.docx", "A 19565-2020")</f>
        <v/>
      </c>
      <c r="W76">
        <f>HYPERLINK("https://klasma.github.io/Logging_0188/klagomålsmail/A 19565-2020 FSC-klagomål mail.docx", "A 19565-2020")</f>
        <v/>
      </c>
      <c r="X76">
        <f>HYPERLINK("https://klasma.github.io/Logging_0188/tillsyn/A 19565-2020 tillsynsbegäran.docx", "A 19565-2020")</f>
        <v/>
      </c>
      <c r="Y76">
        <f>HYPERLINK("https://klasma.github.io/Logging_0188/tillsynsmail/A 19565-2020 tillsynsbegäran mail.docx", "A 19565-2020")</f>
        <v/>
      </c>
    </row>
    <row r="77" ht="15" customHeight="1">
      <c r="A77" t="inlineStr">
        <is>
          <t>A 31803-2021</t>
        </is>
      </c>
      <c r="B77" s="1" t="n">
        <v>44370</v>
      </c>
      <c r="C77" s="1" t="n">
        <v>45475</v>
      </c>
      <c r="D77" t="inlineStr">
        <is>
          <t>STOCKHOLMS LÄN</t>
        </is>
      </c>
      <c r="E77" t="inlineStr">
        <is>
          <t>NORRTÄLJE</t>
        </is>
      </c>
      <c r="G77" t="n">
        <v>4.6</v>
      </c>
      <c r="H77" t="n">
        <v>0</v>
      </c>
      <c r="I77" t="n">
        <v>1</v>
      </c>
      <c r="J77" t="n">
        <v>1</v>
      </c>
      <c r="K77" t="n">
        <v>0</v>
      </c>
      <c r="L77" t="n">
        <v>0</v>
      </c>
      <c r="M77" t="n">
        <v>0</v>
      </c>
      <c r="N77" t="n">
        <v>0</v>
      </c>
      <c r="O77" t="n">
        <v>1</v>
      </c>
      <c r="P77" t="n">
        <v>0</v>
      </c>
      <c r="Q77" t="n">
        <v>2</v>
      </c>
      <c r="R77" s="2" t="inlineStr">
        <is>
          <t>Slåtterfibbla
Vårärt</t>
        </is>
      </c>
      <c r="S77">
        <f>HYPERLINK("https://klasma.github.io/Logging_0188/artfynd/A 31803-2021 artfynd.xlsx", "A 31803-2021")</f>
        <v/>
      </c>
      <c r="T77">
        <f>HYPERLINK("https://klasma.github.io/Logging_0188/kartor/A 31803-2021 karta.png", "A 31803-2021")</f>
        <v/>
      </c>
      <c r="V77">
        <f>HYPERLINK("https://klasma.github.io/Logging_0188/klagomål/A 31803-2021 FSC-klagomål.docx", "A 31803-2021")</f>
        <v/>
      </c>
      <c r="W77">
        <f>HYPERLINK("https://klasma.github.io/Logging_0188/klagomålsmail/A 31803-2021 FSC-klagomål mail.docx", "A 31803-2021")</f>
        <v/>
      </c>
      <c r="X77">
        <f>HYPERLINK("https://klasma.github.io/Logging_0188/tillsyn/A 31803-2021 tillsynsbegäran.docx", "A 31803-2021")</f>
        <v/>
      </c>
      <c r="Y77">
        <f>HYPERLINK("https://klasma.github.io/Logging_0188/tillsynsmail/A 31803-2021 tillsynsbegäran mail.docx", "A 31803-2021")</f>
        <v/>
      </c>
    </row>
    <row r="78" ht="15" customHeight="1">
      <c r="A78" t="inlineStr">
        <is>
          <t>A 40072-2021</t>
        </is>
      </c>
      <c r="B78" s="1" t="n">
        <v>44418</v>
      </c>
      <c r="C78" s="1" t="n">
        <v>45475</v>
      </c>
      <c r="D78" t="inlineStr">
        <is>
          <t>STOCKHOLMS LÄN</t>
        </is>
      </c>
      <c r="E78" t="inlineStr">
        <is>
          <t>NORRTÄLJE</t>
        </is>
      </c>
      <c r="G78" t="n">
        <v>1.1</v>
      </c>
      <c r="H78" t="n">
        <v>2</v>
      </c>
      <c r="I78" t="n">
        <v>0</v>
      </c>
      <c r="J78" t="n">
        <v>2</v>
      </c>
      <c r="K78" t="n">
        <v>0</v>
      </c>
      <c r="L78" t="n">
        <v>0</v>
      </c>
      <c r="M78" t="n">
        <v>0</v>
      </c>
      <c r="N78" t="n">
        <v>0</v>
      </c>
      <c r="O78" t="n">
        <v>2</v>
      </c>
      <c r="P78" t="n">
        <v>0</v>
      </c>
      <c r="Q78" t="n">
        <v>2</v>
      </c>
      <c r="R78" s="2" t="inlineStr">
        <is>
          <t>Rördrom
Slaguggla</t>
        </is>
      </c>
      <c r="S78">
        <f>HYPERLINK("https://klasma.github.io/Logging_0188/artfynd/A 40072-2021 artfynd.xlsx", "A 40072-2021")</f>
        <v/>
      </c>
      <c r="T78">
        <f>HYPERLINK("https://klasma.github.io/Logging_0188/kartor/A 40072-2021 karta.png", "A 40072-2021")</f>
        <v/>
      </c>
      <c r="V78">
        <f>HYPERLINK("https://klasma.github.io/Logging_0188/klagomål/A 40072-2021 FSC-klagomål.docx", "A 40072-2021")</f>
        <v/>
      </c>
      <c r="W78">
        <f>HYPERLINK("https://klasma.github.io/Logging_0188/klagomålsmail/A 40072-2021 FSC-klagomål mail.docx", "A 40072-2021")</f>
        <v/>
      </c>
      <c r="X78">
        <f>HYPERLINK("https://klasma.github.io/Logging_0188/tillsyn/A 40072-2021 tillsynsbegäran.docx", "A 40072-2021")</f>
        <v/>
      </c>
      <c r="Y78">
        <f>HYPERLINK("https://klasma.github.io/Logging_0188/tillsynsmail/A 40072-2021 tillsynsbegäran mail.docx", "A 40072-2021")</f>
        <v/>
      </c>
      <c r="Z78">
        <f>HYPERLINK("https://klasma.github.io/Logging_0188/fåglar/A 40072-2021 prioriterade fågelarter.docx", "A 40072-2021")</f>
        <v/>
      </c>
    </row>
    <row r="79" ht="15" customHeight="1">
      <c r="A79" t="inlineStr">
        <is>
          <t>A 58676-2021</t>
        </is>
      </c>
      <c r="B79" s="1" t="n">
        <v>44489</v>
      </c>
      <c r="C79" s="1" t="n">
        <v>45475</v>
      </c>
      <c r="D79" t="inlineStr">
        <is>
          <t>STOCKHOLMS LÄN</t>
        </is>
      </c>
      <c r="E79" t="inlineStr">
        <is>
          <t>NORRTÄLJE</t>
        </is>
      </c>
      <c r="G79" t="n">
        <v>0.6</v>
      </c>
      <c r="H79" t="n">
        <v>2</v>
      </c>
      <c r="I79" t="n">
        <v>0</v>
      </c>
      <c r="J79" t="n">
        <v>0</v>
      </c>
      <c r="K79" t="n">
        <v>0</v>
      </c>
      <c r="L79" t="n">
        <v>0</v>
      </c>
      <c r="M79" t="n">
        <v>0</v>
      </c>
      <c r="N79" t="n">
        <v>0</v>
      </c>
      <c r="O79" t="n">
        <v>0</v>
      </c>
      <c r="P79" t="n">
        <v>0</v>
      </c>
      <c r="Q79" t="n">
        <v>2</v>
      </c>
      <c r="R79" s="2" t="inlineStr">
        <is>
          <t>Nattviol
Blåsippa</t>
        </is>
      </c>
      <c r="S79">
        <f>HYPERLINK("https://klasma.github.io/Logging_0188/artfynd/A 58676-2021 artfynd.xlsx", "A 58676-2021")</f>
        <v/>
      </c>
      <c r="T79">
        <f>HYPERLINK("https://klasma.github.io/Logging_0188/kartor/A 58676-2021 karta.png", "A 58676-2021")</f>
        <v/>
      </c>
      <c r="V79">
        <f>HYPERLINK("https://klasma.github.io/Logging_0188/klagomål/A 58676-2021 FSC-klagomål.docx", "A 58676-2021")</f>
        <v/>
      </c>
      <c r="W79">
        <f>HYPERLINK("https://klasma.github.io/Logging_0188/klagomålsmail/A 58676-2021 FSC-klagomål mail.docx", "A 58676-2021")</f>
        <v/>
      </c>
      <c r="X79">
        <f>HYPERLINK("https://klasma.github.io/Logging_0188/tillsyn/A 58676-2021 tillsynsbegäran.docx", "A 58676-2021")</f>
        <v/>
      </c>
      <c r="Y79">
        <f>HYPERLINK("https://klasma.github.io/Logging_0188/tillsynsmail/A 58676-2021 tillsynsbegäran mail.docx", "A 58676-2021")</f>
        <v/>
      </c>
    </row>
    <row r="80" ht="15" customHeight="1">
      <c r="A80" t="inlineStr">
        <is>
          <t>A 16260-2022</t>
        </is>
      </c>
      <c r="B80" s="1" t="n">
        <v>44670</v>
      </c>
      <c r="C80" s="1" t="n">
        <v>45475</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19862-2022</t>
        </is>
      </c>
      <c r="B81" s="1" t="n">
        <v>44696</v>
      </c>
      <c r="C81" s="1" t="n">
        <v>45475</v>
      </c>
      <c r="D81" t="inlineStr">
        <is>
          <t>STOCKHOLMS LÄN</t>
        </is>
      </c>
      <c r="E81" t="inlineStr">
        <is>
          <t>NORRTÄLJE</t>
        </is>
      </c>
      <c r="G81" t="n">
        <v>6</v>
      </c>
      <c r="H81" t="n">
        <v>1</v>
      </c>
      <c r="I81" t="n">
        <v>0</v>
      </c>
      <c r="J81" t="n">
        <v>1</v>
      </c>
      <c r="K81" t="n">
        <v>0</v>
      </c>
      <c r="L81" t="n">
        <v>0</v>
      </c>
      <c r="M81" t="n">
        <v>0</v>
      </c>
      <c r="N81" t="n">
        <v>0</v>
      </c>
      <c r="O81" t="n">
        <v>1</v>
      </c>
      <c r="P81" t="n">
        <v>0</v>
      </c>
      <c r="Q81" t="n">
        <v>2</v>
      </c>
      <c r="R81" s="2" t="inlineStr">
        <is>
          <t>Granticka
Blåsippa</t>
        </is>
      </c>
      <c r="S81">
        <f>HYPERLINK("https://klasma.github.io/Logging_0188/artfynd/A 19862-2022 artfynd.xlsx", "A 19862-2022")</f>
        <v/>
      </c>
      <c r="T81">
        <f>HYPERLINK("https://klasma.github.io/Logging_0188/kartor/A 19862-2022 karta.png", "A 19862-2022")</f>
        <v/>
      </c>
      <c r="V81">
        <f>HYPERLINK("https://klasma.github.io/Logging_0188/klagomål/A 19862-2022 FSC-klagomål.docx", "A 19862-2022")</f>
        <v/>
      </c>
      <c r="W81">
        <f>HYPERLINK("https://klasma.github.io/Logging_0188/klagomålsmail/A 19862-2022 FSC-klagomål mail.docx", "A 19862-2022")</f>
        <v/>
      </c>
      <c r="X81">
        <f>HYPERLINK("https://klasma.github.io/Logging_0188/tillsyn/A 19862-2022 tillsynsbegäran.docx", "A 19862-2022")</f>
        <v/>
      </c>
      <c r="Y81">
        <f>HYPERLINK("https://klasma.github.io/Logging_0188/tillsynsmail/A 19862-2022 tillsynsbegäran mail.docx", "A 19862-2022")</f>
        <v/>
      </c>
    </row>
    <row r="82" ht="15" customHeight="1">
      <c r="A82" t="inlineStr">
        <is>
          <t>A 27742-2022</t>
        </is>
      </c>
      <c r="B82" s="1" t="n">
        <v>44743</v>
      </c>
      <c r="C82" s="1" t="n">
        <v>45475</v>
      </c>
      <c r="D82" t="inlineStr">
        <is>
          <t>STOCKHOLMS LÄN</t>
        </is>
      </c>
      <c r="E82" t="inlineStr">
        <is>
          <t>NORRTÄLJE</t>
        </is>
      </c>
      <c r="G82" t="n">
        <v>3.9</v>
      </c>
      <c r="H82" t="n">
        <v>1</v>
      </c>
      <c r="I82" t="n">
        <v>1</v>
      </c>
      <c r="J82" t="n">
        <v>0</v>
      </c>
      <c r="K82" t="n">
        <v>0</v>
      </c>
      <c r="L82" t="n">
        <v>0</v>
      </c>
      <c r="M82" t="n">
        <v>0</v>
      </c>
      <c r="N82" t="n">
        <v>0</v>
      </c>
      <c r="O82" t="n">
        <v>0</v>
      </c>
      <c r="P82" t="n">
        <v>0</v>
      </c>
      <c r="Q82" t="n">
        <v>2</v>
      </c>
      <c r="R82" s="2" t="inlineStr">
        <is>
          <t>Svavelriska
Blåsippa</t>
        </is>
      </c>
      <c r="S82">
        <f>HYPERLINK("https://klasma.github.io/Logging_0188/artfynd/A 27742-2022 artfynd.xlsx", "A 27742-2022")</f>
        <v/>
      </c>
      <c r="T82">
        <f>HYPERLINK("https://klasma.github.io/Logging_0188/kartor/A 27742-2022 karta.png", "A 27742-2022")</f>
        <v/>
      </c>
      <c r="V82">
        <f>HYPERLINK("https://klasma.github.io/Logging_0188/klagomål/A 27742-2022 FSC-klagomål.docx", "A 27742-2022")</f>
        <v/>
      </c>
      <c r="W82">
        <f>HYPERLINK("https://klasma.github.io/Logging_0188/klagomålsmail/A 27742-2022 FSC-klagomål mail.docx", "A 27742-2022")</f>
        <v/>
      </c>
      <c r="X82">
        <f>HYPERLINK("https://klasma.github.io/Logging_0188/tillsyn/A 27742-2022 tillsynsbegäran.docx", "A 27742-2022")</f>
        <v/>
      </c>
      <c r="Y82">
        <f>HYPERLINK("https://klasma.github.io/Logging_0188/tillsynsmail/A 27742-2022 tillsynsbegäran mail.docx", "A 27742-2022")</f>
        <v/>
      </c>
    </row>
    <row r="83" ht="15" customHeight="1">
      <c r="A83" t="inlineStr">
        <is>
          <t>A 38597-2022</t>
        </is>
      </c>
      <c r="B83" s="1" t="n">
        <v>44813</v>
      </c>
      <c r="C83" s="1" t="n">
        <v>45475</v>
      </c>
      <c r="D83" t="inlineStr">
        <is>
          <t>STOCKHOLMS LÄN</t>
        </is>
      </c>
      <c r="E83" t="inlineStr">
        <is>
          <t>NORRTÄLJE</t>
        </is>
      </c>
      <c r="G83" t="n">
        <v>13.2</v>
      </c>
      <c r="H83" t="n">
        <v>1</v>
      </c>
      <c r="I83" t="n">
        <v>1</v>
      </c>
      <c r="J83" t="n">
        <v>0</v>
      </c>
      <c r="K83" t="n">
        <v>0</v>
      </c>
      <c r="L83" t="n">
        <v>1</v>
      </c>
      <c r="M83" t="n">
        <v>0</v>
      </c>
      <c r="N83" t="n">
        <v>0</v>
      </c>
      <c r="O83" t="n">
        <v>1</v>
      </c>
      <c r="P83" t="n">
        <v>1</v>
      </c>
      <c r="Q83" t="n">
        <v>2</v>
      </c>
      <c r="R83" s="2" t="inlineStr">
        <is>
          <t>Asknätfjäril
Scharlakansvårskål agg.</t>
        </is>
      </c>
      <c r="S83">
        <f>HYPERLINK("https://klasma.github.io/Logging_0188/artfynd/A 38597-2022 artfynd.xlsx", "A 38597-2022")</f>
        <v/>
      </c>
      <c r="T83">
        <f>HYPERLINK("https://klasma.github.io/Logging_0188/kartor/A 38597-2022 karta.png", "A 38597-2022")</f>
        <v/>
      </c>
      <c r="V83">
        <f>HYPERLINK("https://klasma.github.io/Logging_0188/klagomål/A 38597-2022 FSC-klagomål.docx", "A 38597-2022")</f>
        <v/>
      </c>
      <c r="W83">
        <f>HYPERLINK("https://klasma.github.io/Logging_0188/klagomålsmail/A 38597-2022 FSC-klagomål mail.docx", "A 38597-2022")</f>
        <v/>
      </c>
      <c r="X83">
        <f>HYPERLINK("https://klasma.github.io/Logging_0188/tillsyn/A 38597-2022 tillsynsbegäran.docx", "A 38597-2022")</f>
        <v/>
      </c>
      <c r="Y83">
        <f>HYPERLINK("https://klasma.github.io/Logging_0188/tillsynsmail/A 38597-2022 tillsynsbegäran mail.docx", "A 38597-2022")</f>
        <v/>
      </c>
    </row>
    <row r="84" ht="15" customHeight="1">
      <c r="A84" t="inlineStr">
        <is>
          <t>A 52124-2022</t>
        </is>
      </c>
      <c r="B84" s="1" t="n">
        <v>44868</v>
      </c>
      <c r="C84" s="1" t="n">
        <v>45475</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45475</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7341-2023</t>
        </is>
      </c>
      <c r="B86" s="1" t="n">
        <v>44971</v>
      </c>
      <c r="C86" s="1" t="n">
        <v>45475</v>
      </c>
      <c r="D86" t="inlineStr">
        <is>
          <t>STOCKHOLMS LÄN</t>
        </is>
      </c>
      <c r="E86" t="inlineStr">
        <is>
          <t>NORRTÄLJE</t>
        </is>
      </c>
      <c r="F86" t="inlineStr">
        <is>
          <t>Holmen skog AB</t>
        </is>
      </c>
      <c r="G86" t="n">
        <v>10.7</v>
      </c>
      <c r="H86" t="n">
        <v>0</v>
      </c>
      <c r="I86" t="n">
        <v>0</v>
      </c>
      <c r="J86" t="n">
        <v>2</v>
      </c>
      <c r="K86" t="n">
        <v>0</v>
      </c>
      <c r="L86" t="n">
        <v>0</v>
      </c>
      <c r="M86" t="n">
        <v>0</v>
      </c>
      <c r="N86" t="n">
        <v>0</v>
      </c>
      <c r="O86" t="n">
        <v>2</v>
      </c>
      <c r="P86" t="n">
        <v>0</v>
      </c>
      <c r="Q86" t="n">
        <v>2</v>
      </c>
      <c r="R86" s="2" t="inlineStr">
        <is>
          <t>Mindre bastardsvärmare
Smalsprötad bastardsvärmare</t>
        </is>
      </c>
      <c r="S86">
        <f>HYPERLINK("https://klasma.github.io/Logging_0188/artfynd/A 7341-2023 artfynd.xlsx", "A 7341-2023")</f>
        <v/>
      </c>
      <c r="T86">
        <f>HYPERLINK("https://klasma.github.io/Logging_0188/kartor/A 7341-2023 karta.png", "A 7341-2023")</f>
        <v/>
      </c>
      <c r="V86">
        <f>HYPERLINK("https://klasma.github.io/Logging_0188/klagomål/A 7341-2023 FSC-klagomål.docx", "A 7341-2023")</f>
        <v/>
      </c>
      <c r="W86">
        <f>HYPERLINK("https://klasma.github.io/Logging_0188/klagomålsmail/A 7341-2023 FSC-klagomål mail.docx", "A 7341-2023")</f>
        <v/>
      </c>
      <c r="X86">
        <f>HYPERLINK("https://klasma.github.io/Logging_0188/tillsyn/A 7341-2023 tillsynsbegäran.docx", "A 7341-2023")</f>
        <v/>
      </c>
      <c r="Y86">
        <f>HYPERLINK("https://klasma.github.io/Logging_0188/tillsynsmail/A 7341-2023 tillsynsbegäran mail.docx", "A 7341-2023")</f>
        <v/>
      </c>
    </row>
    <row r="87" ht="15" customHeight="1">
      <c r="A87" t="inlineStr">
        <is>
          <t>A 10136-2023</t>
        </is>
      </c>
      <c r="B87" s="1" t="n">
        <v>44986</v>
      </c>
      <c r="C87" s="1" t="n">
        <v>45475</v>
      </c>
      <c r="D87" t="inlineStr">
        <is>
          <t>STOCKHOLMS LÄN</t>
        </is>
      </c>
      <c r="E87" t="inlineStr">
        <is>
          <t>NORRTÄLJE</t>
        </is>
      </c>
      <c r="F87" t="inlineStr">
        <is>
          <t>Övriga statliga verk och myndigheter</t>
        </is>
      </c>
      <c r="G87" t="n">
        <v>3.6</v>
      </c>
      <c r="H87" t="n">
        <v>0</v>
      </c>
      <c r="I87" t="n">
        <v>0</v>
      </c>
      <c r="J87" t="n">
        <v>1</v>
      </c>
      <c r="K87" t="n">
        <v>1</v>
      </c>
      <c r="L87" t="n">
        <v>0</v>
      </c>
      <c r="M87" t="n">
        <v>0</v>
      </c>
      <c r="N87" t="n">
        <v>0</v>
      </c>
      <c r="O87" t="n">
        <v>2</v>
      </c>
      <c r="P87" t="n">
        <v>1</v>
      </c>
      <c r="Q87" t="n">
        <v>2</v>
      </c>
      <c r="R87" s="2" t="inlineStr">
        <is>
          <t>Svartfjällig musseron
Persiljespindling</t>
        </is>
      </c>
      <c r="S87">
        <f>HYPERLINK("https://klasma.github.io/Logging_0188/artfynd/A 10136-2023 artfynd.xlsx", "A 10136-2023")</f>
        <v/>
      </c>
      <c r="T87">
        <f>HYPERLINK("https://klasma.github.io/Logging_0188/kartor/A 10136-2023 karta.png", "A 10136-2023")</f>
        <v/>
      </c>
      <c r="V87">
        <f>HYPERLINK("https://klasma.github.io/Logging_0188/klagomål/A 10136-2023 FSC-klagomål.docx", "A 10136-2023")</f>
        <v/>
      </c>
      <c r="W87">
        <f>HYPERLINK("https://klasma.github.io/Logging_0188/klagomålsmail/A 10136-2023 FSC-klagomål mail.docx", "A 10136-2023")</f>
        <v/>
      </c>
      <c r="X87">
        <f>HYPERLINK("https://klasma.github.io/Logging_0188/tillsyn/A 10136-2023 tillsynsbegäran.docx", "A 10136-2023")</f>
        <v/>
      </c>
      <c r="Y87">
        <f>HYPERLINK("https://klasma.github.io/Logging_0188/tillsynsmail/A 10136-2023 tillsynsbegäran mail.docx", "A 10136-2023")</f>
        <v/>
      </c>
    </row>
    <row r="88" ht="15" customHeight="1">
      <c r="A88" t="inlineStr">
        <is>
          <t>A 21748-2023</t>
        </is>
      </c>
      <c r="B88" s="1" t="n">
        <v>45065</v>
      </c>
      <c r="C88" s="1" t="n">
        <v>45475</v>
      </c>
      <c r="D88" t="inlineStr">
        <is>
          <t>STOCKHOLMS LÄN</t>
        </is>
      </c>
      <c r="E88" t="inlineStr">
        <is>
          <t>NORRTÄLJE</t>
        </is>
      </c>
      <c r="F88" t="inlineStr">
        <is>
          <t>Holmen skog AB</t>
        </is>
      </c>
      <c r="G88" t="n">
        <v>2.4</v>
      </c>
      <c r="H88" t="n">
        <v>0</v>
      </c>
      <c r="I88" t="n">
        <v>2</v>
      </c>
      <c r="J88" t="n">
        <v>0</v>
      </c>
      <c r="K88" t="n">
        <v>0</v>
      </c>
      <c r="L88" t="n">
        <v>0</v>
      </c>
      <c r="M88" t="n">
        <v>0</v>
      </c>
      <c r="N88" t="n">
        <v>0</v>
      </c>
      <c r="O88" t="n">
        <v>0</v>
      </c>
      <c r="P88" t="n">
        <v>0</v>
      </c>
      <c r="Q88" t="n">
        <v>2</v>
      </c>
      <c r="R88" s="2" t="inlineStr">
        <is>
          <t>Aspvedgnagare
Tibast</t>
        </is>
      </c>
      <c r="S88">
        <f>HYPERLINK("https://klasma.github.io/Logging_0188/artfynd/A 21748-2023 artfynd.xlsx", "A 21748-2023")</f>
        <v/>
      </c>
      <c r="T88">
        <f>HYPERLINK("https://klasma.github.io/Logging_0188/kartor/A 21748-2023 karta.png", "A 21748-2023")</f>
        <v/>
      </c>
      <c r="V88">
        <f>HYPERLINK("https://klasma.github.io/Logging_0188/klagomål/A 21748-2023 FSC-klagomål.docx", "A 21748-2023")</f>
        <v/>
      </c>
      <c r="W88">
        <f>HYPERLINK("https://klasma.github.io/Logging_0188/klagomålsmail/A 21748-2023 FSC-klagomål mail.docx", "A 21748-2023")</f>
        <v/>
      </c>
      <c r="X88">
        <f>HYPERLINK("https://klasma.github.io/Logging_0188/tillsyn/A 21748-2023 tillsynsbegäran.docx", "A 21748-2023")</f>
        <v/>
      </c>
      <c r="Y88">
        <f>HYPERLINK("https://klasma.github.io/Logging_0188/tillsynsmail/A 21748-2023 tillsynsbegäran mail.docx", "A 21748-2023")</f>
        <v/>
      </c>
    </row>
    <row r="89" ht="15" customHeight="1">
      <c r="A89" t="inlineStr">
        <is>
          <t>A 23861-2023</t>
        </is>
      </c>
      <c r="B89" s="1" t="n">
        <v>45078</v>
      </c>
      <c r="C89" s="1" t="n">
        <v>45475</v>
      </c>
      <c r="D89" t="inlineStr">
        <is>
          <t>STOCKHOLMS LÄN</t>
        </is>
      </c>
      <c r="E89" t="inlineStr">
        <is>
          <t>NORRTÄLJE</t>
        </is>
      </c>
      <c r="G89" t="n">
        <v>3.3</v>
      </c>
      <c r="H89" t="n">
        <v>1</v>
      </c>
      <c r="I89" t="n">
        <v>1</v>
      </c>
      <c r="J89" t="n">
        <v>0</v>
      </c>
      <c r="K89" t="n">
        <v>0</v>
      </c>
      <c r="L89" t="n">
        <v>0</v>
      </c>
      <c r="M89" t="n">
        <v>0</v>
      </c>
      <c r="N89" t="n">
        <v>0</v>
      </c>
      <c r="O89" t="n">
        <v>0</v>
      </c>
      <c r="P89" t="n">
        <v>0</v>
      </c>
      <c r="Q89" t="n">
        <v>2</v>
      </c>
      <c r="R89" s="2" t="inlineStr">
        <is>
          <t>Tibast
Blåsippa</t>
        </is>
      </c>
      <c r="S89">
        <f>HYPERLINK("https://klasma.github.io/Logging_0188/artfynd/A 23861-2023 artfynd.xlsx", "A 23861-2023")</f>
        <v/>
      </c>
      <c r="T89">
        <f>HYPERLINK("https://klasma.github.io/Logging_0188/kartor/A 23861-2023 karta.png", "A 23861-2023")</f>
        <v/>
      </c>
      <c r="V89">
        <f>HYPERLINK("https://klasma.github.io/Logging_0188/klagomål/A 23861-2023 FSC-klagomål.docx", "A 23861-2023")</f>
        <v/>
      </c>
      <c r="W89">
        <f>HYPERLINK("https://klasma.github.io/Logging_0188/klagomålsmail/A 23861-2023 FSC-klagomål mail.docx", "A 23861-2023")</f>
        <v/>
      </c>
      <c r="X89">
        <f>HYPERLINK("https://klasma.github.io/Logging_0188/tillsyn/A 23861-2023 tillsynsbegäran.docx", "A 23861-2023")</f>
        <v/>
      </c>
      <c r="Y89">
        <f>HYPERLINK("https://klasma.github.io/Logging_0188/tillsynsmail/A 23861-2023 tillsynsbegäran mail.docx", "A 23861-2023")</f>
        <v/>
      </c>
    </row>
    <row r="90" ht="15" customHeight="1">
      <c r="A90" t="inlineStr">
        <is>
          <t>A 33287-2023</t>
        </is>
      </c>
      <c r="B90" s="1" t="n">
        <v>45127</v>
      </c>
      <c r="C90" s="1" t="n">
        <v>45475</v>
      </c>
      <c r="D90" t="inlineStr">
        <is>
          <t>STOCKHOLMS LÄN</t>
        </is>
      </c>
      <c r="E90" t="inlineStr">
        <is>
          <t>NORRTÄLJE</t>
        </is>
      </c>
      <c r="F90" t="inlineStr">
        <is>
          <t>Holmen skog AB</t>
        </is>
      </c>
      <c r="G90" t="n">
        <v>3.3</v>
      </c>
      <c r="H90" t="n">
        <v>0</v>
      </c>
      <c r="I90" t="n">
        <v>0</v>
      </c>
      <c r="J90" t="n">
        <v>2</v>
      </c>
      <c r="K90" t="n">
        <v>0</v>
      </c>
      <c r="L90" t="n">
        <v>0</v>
      </c>
      <c r="M90" t="n">
        <v>0</v>
      </c>
      <c r="N90" t="n">
        <v>0</v>
      </c>
      <c r="O90" t="n">
        <v>2</v>
      </c>
      <c r="P90" t="n">
        <v>0</v>
      </c>
      <c r="Q90" t="n">
        <v>2</v>
      </c>
      <c r="R90" s="2" t="inlineStr">
        <is>
          <t>Smalsprötad bastardsvärmare
Violettkantad guldvinge</t>
        </is>
      </c>
      <c r="S90">
        <f>HYPERLINK("https://klasma.github.io/Logging_0188/artfynd/A 33287-2023 artfynd.xlsx", "A 33287-2023")</f>
        <v/>
      </c>
      <c r="T90">
        <f>HYPERLINK("https://klasma.github.io/Logging_0188/kartor/A 33287-2023 karta.png", "A 33287-2023")</f>
        <v/>
      </c>
      <c r="V90">
        <f>HYPERLINK("https://klasma.github.io/Logging_0188/klagomål/A 33287-2023 FSC-klagomål.docx", "A 33287-2023")</f>
        <v/>
      </c>
      <c r="W90">
        <f>HYPERLINK("https://klasma.github.io/Logging_0188/klagomålsmail/A 33287-2023 FSC-klagomål mail.docx", "A 33287-2023")</f>
        <v/>
      </c>
      <c r="X90">
        <f>HYPERLINK("https://klasma.github.io/Logging_0188/tillsyn/A 33287-2023 tillsynsbegäran.docx", "A 33287-2023")</f>
        <v/>
      </c>
      <c r="Y90">
        <f>HYPERLINK("https://klasma.github.io/Logging_0188/tillsynsmail/A 33287-2023 tillsynsbegäran mail.docx", "A 33287-2023")</f>
        <v/>
      </c>
    </row>
    <row r="91" ht="15" customHeight="1">
      <c r="A91" t="inlineStr">
        <is>
          <t>A 51220-2023</t>
        </is>
      </c>
      <c r="B91" s="1" t="n">
        <v>45219</v>
      </c>
      <c r="C91" s="1" t="n">
        <v>45475</v>
      </c>
      <c r="D91" t="inlineStr">
        <is>
          <t>STOCKHOLMS LÄN</t>
        </is>
      </c>
      <c r="E91" t="inlineStr">
        <is>
          <t>NORRTÄLJE</t>
        </is>
      </c>
      <c r="G91" t="n">
        <v>7.7</v>
      </c>
      <c r="H91" t="n">
        <v>1</v>
      </c>
      <c r="I91" t="n">
        <v>0</v>
      </c>
      <c r="J91" t="n">
        <v>1</v>
      </c>
      <c r="K91" t="n">
        <v>0</v>
      </c>
      <c r="L91" t="n">
        <v>0</v>
      </c>
      <c r="M91" t="n">
        <v>0</v>
      </c>
      <c r="N91" t="n">
        <v>0</v>
      </c>
      <c r="O91" t="n">
        <v>1</v>
      </c>
      <c r="P91" t="n">
        <v>0</v>
      </c>
      <c r="Q91" t="n">
        <v>2</v>
      </c>
      <c r="R91" s="2" t="inlineStr">
        <is>
          <t>Ullticka
Blåsippa</t>
        </is>
      </c>
      <c r="S91">
        <f>HYPERLINK("https://klasma.github.io/Logging_0188/artfynd/A 51220-2023 artfynd.xlsx", "A 51220-2023")</f>
        <v/>
      </c>
      <c r="T91">
        <f>HYPERLINK("https://klasma.github.io/Logging_0188/kartor/A 51220-2023 karta.png", "A 51220-2023")</f>
        <v/>
      </c>
      <c r="V91">
        <f>HYPERLINK("https://klasma.github.io/Logging_0188/klagomål/A 51220-2023 FSC-klagomål.docx", "A 51220-2023")</f>
        <v/>
      </c>
      <c r="W91">
        <f>HYPERLINK("https://klasma.github.io/Logging_0188/klagomålsmail/A 51220-2023 FSC-klagomål mail.docx", "A 51220-2023")</f>
        <v/>
      </c>
      <c r="X91">
        <f>HYPERLINK("https://klasma.github.io/Logging_0188/tillsyn/A 51220-2023 tillsynsbegäran.docx", "A 51220-2023")</f>
        <v/>
      </c>
      <c r="Y91">
        <f>HYPERLINK("https://klasma.github.io/Logging_0188/tillsynsmail/A 51220-2023 tillsynsbegäran mail.docx", "A 51220-2023")</f>
        <v/>
      </c>
    </row>
    <row r="92" ht="15" customHeight="1">
      <c r="A92" t="inlineStr">
        <is>
          <t>A 52825-2023</t>
        </is>
      </c>
      <c r="B92" s="1" t="n">
        <v>45226</v>
      </c>
      <c r="C92" s="1" t="n">
        <v>45475</v>
      </c>
      <c r="D92" t="inlineStr">
        <is>
          <t>STOCKHOLMS LÄN</t>
        </is>
      </c>
      <c r="E92" t="inlineStr">
        <is>
          <t>NORRTÄLJE</t>
        </is>
      </c>
      <c r="G92" t="n">
        <v>1</v>
      </c>
      <c r="H92" t="n">
        <v>0</v>
      </c>
      <c r="I92" t="n">
        <v>2</v>
      </c>
      <c r="J92" t="n">
        <v>0</v>
      </c>
      <c r="K92" t="n">
        <v>0</v>
      </c>
      <c r="L92" t="n">
        <v>0</v>
      </c>
      <c r="M92" t="n">
        <v>0</v>
      </c>
      <c r="N92" t="n">
        <v>0</v>
      </c>
      <c r="O92" t="n">
        <v>0</v>
      </c>
      <c r="P92" t="n">
        <v>0</v>
      </c>
      <c r="Q92" t="n">
        <v>2</v>
      </c>
      <c r="R92" s="2" t="inlineStr">
        <is>
          <t>Fjällig taggsvamp s.str.
Strimspindling</t>
        </is>
      </c>
      <c r="S92">
        <f>HYPERLINK("https://klasma.github.io/Logging_0188/artfynd/A 52825-2023 artfynd.xlsx", "A 52825-2023")</f>
        <v/>
      </c>
      <c r="T92">
        <f>HYPERLINK("https://klasma.github.io/Logging_0188/kartor/A 52825-2023 karta.png", "A 52825-2023")</f>
        <v/>
      </c>
      <c r="V92">
        <f>HYPERLINK("https://klasma.github.io/Logging_0188/klagomål/A 52825-2023 FSC-klagomål.docx", "A 52825-2023")</f>
        <v/>
      </c>
      <c r="W92">
        <f>HYPERLINK("https://klasma.github.io/Logging_0188/klagomålsmail/A 52825-2023 FSC-klagomål mail.docx", "A 52825-2023")</f>
        <v/>
      </c>
      <c r="X92">
        <f>HYPERLINK("https://klasma.github.io/Logging_0188/tillsyn/A 52825-2023 tillsynsbegäran.docx", "A 52825-2023")</f>
        <v/>
      </c>
      <c r="Y92">
        <f>HYPERLINK("https://klasma.github.io/Logging_0188/tillsynsmail/A 52825-2023 tillsynsbegäran mail.docx", "A 52825-2023")</f>
        <v/>
      </c>
    </row>
    <row r="93" ht="15" customHeight="1">
      <c r="A93" t="inlineStr">
        <is>
          <t>A 4909-2024</t>
        </is>
      </c>
      <c r="B93" s="1" t="n">
        <v>45329</v>
      </c>
      <c r="C93" s="1" t="n">
        <v>45475</v>
      </c>
      <c r="D93" t="inlineStr">
        <is>
          <t>STOCKHOLMS LÄN</t>
        </is>
      </c>
      <c r="E93" t="inlineStr">
        <is>
          <t>NORRTÄLJE</t>
        </is>
      </c>
      <c r="G93" t="n">
        <v>4.1</v>
      </c>
      <c r="H93" t="n">
        <v>0</v>
      </c>
      <c r="I93" t="n">
        <v>2</v>
      </c>
      <c r="J93" t="n">
        <v>0</v>
      </c>
      <c r="K93" t="n">
        <v>0</v>
      </c>
      <c r="L93" t="n">
        <v>0</v>
      </c>
      <c r="M93" t="n">
        <v>0</v>
      </c>
      <c r="N93" t="n">
        <v>0</v>
      </c>
      <c r="O93" t="n">
        <v>0</v>
      </c>
      <c r="P93" t="n">
        <v>0</v>
      </c>
      <c r="Q93" t="n">
        <v>2</v>
      </c>
      <c r="R93" s="2" t="inlineStr">
        <is>
          <t>Fjällig taggsvamp s.str.
Rödgul trumpetsvamp</t>
        </is>
      </c>
      <c r="S93">
        <f>HYPERLINK("https://klasma.github.io/Logging_0188/artfynd/A 4909-2024 artfynd.xlsx", "A 4909-2024")</f>
        <v/>
      </c>
      <c r="T93">
        <f>HYPERLINK("https://klasma.github.io/Logging_0188/kartor/A 4909-2024 karta.png", "A 4909-2024")</f>
        <v/>
      </c>
      <c r="V93">
        <f>HYPERLINK("https://klasma.github.io/Logging_0188/klagomål/A 4909-2024 FSC-klagomål.docx", "A 4909-2024")</f>
        <v/>
      </c>
      <c r="W93">
        <f>HYPERLINK("https://klasma.github.io/Logging_0188/klagomålsmail/A 4909-2024 FSC-klagomål mail.docx", "A 4909-2024")</f>
        <v/>
      </c>
      <c r="X93">
        <f>HYPERLINK("https://klasma.github.io/Logging_0188/tillsyn/A 4909-2024 tillsynsbegäran.docx", "A 4909-2024")</f>
        <v/>
      </c>
      <c r="Y93">
        <f>HYPERLINK("https://klasma.github.io/Logging_0188/tillsynsmail/A 4909-2024 tillsynsbegäran mail.docx", "A 4909-2024")</f>
        <v/>
      </c>
    </row>
    <row r="94" ht="15" customHeight="1">
      <c r="A94" t="inlineStr">
        <is>
          <t>A 11995-2024</t>
        </is>
      </c>
      <c r="B94" s="1" t="n">
        <v>45377</v>
      </c>
      <c r="C94" s="1" t="n">
        <v>45475</v>
      </c>
      <c r="D94" t="inlineStr">
        <is>
          <t>STOCKHOLMS LÄN</t>
        </is>
      </c>
      <c r="E94" t="inlineStr">
        <is>
          <t>NORRTÄLJE</t>
        </is>
      </c>
      <c r="G94" t="n">
        <v>4.7</v>
      </c>
      <c r="H94" t="n">
        <v>0</v>
      </c>
      <c r="I94" t="n">
        <v>1</v>
      </c>
      <c r="J94" t="n">
        <v>1</v>
      </c>
      <c r="K94" t="n">
        <v>0</v>
      </c>
      <c r="L94" t="n">
        <v>0</v>
      </c>
      <c r="M94" t="n">
        <v>0</v>
      </c>
      <c r="N94" t="n">
        <v>0</v>
      </c>
      <c r="O94" t="n">
        <v>1</v>
      </c>
      <c r="P94" t="n">
        <v>0</v>
      </c>
      <c r="Q94" t="n">
        <v>2</v>
      </c>
      <c r="R94" s="2" t="inlineStr">
        <is>
          <t>Tallticka
Svavelriska</t>
        </is>
      </c>
      <c r="S94">
        <f>HYPERLINK("https://klasma.github.io/Logging_0188/artfynd/A 11995-2024 artfynd.xlsx", "A 11995-2024")</f>
        <v/>
      </c>
      <c r="T94">
        <f>HYPERLINK("https://klasma.github.io/Logging_0188/kartor/A 11995-2024 karta.png", "A 11995-2024")</f>
        <v/>
      </c>
      <c r="V94">
        <f>HYPERLINK("https://klasma.github.io/Logging_0188/klagomål/A 11995-2024 FSC-klagomål.docx", "A 11995-2024")</f>
        <v/>
      </c>
      <c r="W94">
        <f>HYPERLINK("https://klasma.github.io/Logging_0188/klagomålsmail/A 11995-2024 FSC-klagomål mail.docx", "A 11995-2024")</f>
        <v/>
      </c>
      <c r="X94">
        <f>HYPERLINK("https://klasma.github.io/Logging_0188/tillsyn/A 11995-2024 tillsynsbegäran.docx", "A 11995-2024")</f>
        <v/>
      </c>
      <c r="Y94">
        <f>HYPERLINK("https://klasma.github.io/Logging_0188/tillsynsmail/A 11995-2024 tillsynsbegäran mail.docx", "A 11995-2024")</f>
        <v/>
      </c>
    </row>
    <row r="95" ht="15" customHeight="1">
      <c r="A95" t="inlineStr">
        <is>
          <t>A 13150-2024</t>
        </is>
      </c>
      <c r="B95" s="1" t="n">
        <v>45386</v>
      </c>
      <c r="C95" s="1" t="n">
        <v>45475</v>
      </c>
      <c r="D95" t="inlineStr">
        <is>
          <t>STOCKHOLMS LÄN</t>
        </is>
      </c>
      <c r="E95" t="inlineStr">
        <is>
          <t>NORRTÄLJE</t>
        </is>
      </c>
      <c r="G95" t="n">
        <v>7.4</v>
      </c>
      <c r="H95" t="n">
        <v>0</v>
      </c>
      <c r="I95" t="n">
        <v>1</v>
      </c>
      <c r="J95" t="n">
        <v>1</v>
      </c>
      <c r="K95" t="n">
        <v>0</v>
      </c>
      <c r="L95" t="n">
        <v>0</v>
      </c>
      <c r="M95" t="n">
        <v>0</v>
      </c>
      <c r="N95" t="n">
        <v>0</v>
      </c>
      <c r="O95" t="n">
        <v>1</v>
      </c>
      <c r="P95" t="n">
        <v>0</v>
      </c>
      <c r="Q95" t="n">
        <v>2</v>
      </c>
      <c r="R95" s="2" t="inlineStr">
        <is>
          <t>Orange taggsvamp
Mönjevaxskivling</t>
        </is>
      </c>
      <c r="S95">
        <f>HYPERLINK("https://klasma.github.io/Logging_0188/artfynd/A 13150-2024 artfynd.xlsx", "A 13150-2024")</f>
        <v/>
      </c>
      <c r="T95">
        <f>HYPERLINK("https://klasma.github.io/Logging_0188/kartor/A 13150-2024 karta.png", "A 13150-2024")</f>
        <v/>
      </c>
      <c r="V95">
        <f>HYPERLINK("https://klasma.github.io/Logging_0188/klagomål/A 13150-2024 FSC-klagomål.docx", "A 13150-2024")</f>
        <v/>
      </c>
      <c r="W95">
        <f>HYPERLINK("https://klasma.github.io/Logging_0188/klagomålsmail/A 13150-2024 FSC-klagomål mail.docx", "A 13150-2024")</f>
        <v/>
      </c>
      <c r="X95">
        <f>HYPERLINK("https://klasma.github.io/Logging_0188/tillsyn/A 13150-2024 tillsynsbegäran.docx", "A 13150-2024")</f>
        <v/>
      </c>
      <c r="Y95">
        <f>HYPERLINK("https://klasma.github.io/Logging_0188/tillsynsmail/A 13150-2024 tillsynsbegäran mail.docx", "A 13150-2024")</f>
        <v/>
      </c>
    </row>
    <row r="96" ht="15" customHeight="1">
      <c r="A96" t="inlineStr">
        <is>
          <t>A 24025-2024</t>
        </is>
      </c>
      <c r="B96" s="1" t="n">
        <v>45456</v>
      </c>
      <c r="C96" s="1" t="n">
        <v>45475</v>
      </c>
      <c r="D96" t="inlineStr">
        <is>
          <t>STOCKHOLMS LÄN</t>
        </is>
      </c>
      <c r="E96" t="inlineStr">
        <is>
          <t>NORRTÄLJE</t>
        </is>
      </c>
      <c r="G96" t="n">
        <v>6</v>
      </c>
      <c r="H96" t="n">
        <v>0</v>
      </c>
      <c r="I96" t="n">
        <v>2</v>
      </c>
      <c r="J96" t="n">
        <v>0</v>
      </c>
      <c r="K96" t="n">
        <v>0</v>
      </c>
      <c r="L96" t="n">
        <v>0</v>
      </c>
      <c r="M96" t="n">
        <v>0</v>
      </c>
      <c r="N96" t="n">
        <v>0</v>
      </c>
      <c r="O96" t="n">
        <v>0</v>
      </c>
      <c r="P96" t="n">
        <v>0</v>
      </c>
      <c r="Q96" t="n">
        <v>2</v>
      </c>
      <c r="R96" s="2" t="inlineStr">
        <is>
          <t>Guldlockmossa
Platt fjädermossa</t>
        </is>
      </c>
      <c r="S96">
        <f>HYPERLINK("https://klasma.github.io/Logging_0188/artfynd/A 24025-2024 artfynd.xlsx", "A 24025-2024")</f>
        <v/>
      </c>
      <c r="T96">
        <f>HYPERLINK("https://klasma.github.io/Logging_0188/kartor/A 24025-2024 karta.png", "A 24025-2024")</f>
        <v/>
      </c>
      <c r="V96">
        <f>HYPERLINK("https://klasma.github.io/Logging_0188/klagomål/A 24025-2024 FSC-klagomål.docx", "A 24025-2024")</f>
        <v/>
      </c>
      <c r="W96">
        <f>HYPERLINK("https://klasma.github.io/Logging_0188/klagomålsmail/A 24025-2024 FSC-klagomål mail.docx", "A 24025-2024")</f>
        <v/>
      </c>
      <c r="X96">
        <f>HYPERLINK("https://klasma.github.io/Logging_0188/tillsyn/A 24025-2024 tillsynsbegäran.docx", "A 24025-2024")</f>
        <v/>
      </c>
      <c r="Y96">
        <f>HYPERLINK("https://klasma.github.io/Logging_0188/tillsynsmail/A 24025-2024 tillsynsbegäran mail.docx", "A 24025-2024")</f>
        <v/>
      </c>
    </row>
    <row r="97" ht="15" customHeight="1">
      <c r="A97" t="inlineStr">
        <is>
          <t>A 20740-2019</t>
        </is>
      </c>
      <c r="B97" s="1" t="n">
        <v>43573</v>
      </c>
      <c r="C97" s="1" t="n">
        <v>45475</v>
      </c>
      <c r="D97" t="inlineStr">
        <is>
          <t>STOCKHOLMS LÄN</t>
        </is>
      </c>
      <c r="E97" t="inlineStr">
        <is>
          <t>NORRTÄLJE</t>
        </is>
      </c>
      <c r="G97" t="n">
        <v>1.6</v>
      </c>
      <c r="H97" t="n">
        <v>0</v>
      </c>
      <c r="I97" t="n">
        <v>0</v>
      </c>
      <c r="J97" t="n">
        <v>1</v>
      </c>
      <c r="K97" t="n">
        <v>0</v>
      </c>
      <c r="L97" t="n">
        <v>0</v>
      </c>
      <c r="M97" t="n">
        <v>0</v>
      </c>
      <c r="N97" t="n">
        <v>0</v>
      </c>
      <c r="O97" t="n">
        <v>1</v>
      </c>
      <c r="P97" t="n">
        <v>0</v>
      </c>
      <c r="Q97" t="n">
        <v>1</v>
      </c>
      <c r="R97" s="2" t="inlineStr">
        <is>
          <t>Slåtterfibbla</t>
        </is>
      </c>
      <c r="S97">
        <f>HYPERLINK("https://klasma.github.io/Logging_0188/artfynd/A 20740-2019 artfynd.xlsx", "A 20740-2019")</f>
        <v/>
      </c>
      <c r="T97">
        <f>HYPERLINK("https://klasma.github.io/Logging_0188/kartor/A 20740-2019 karta.png", "A 20740-2019")</f>
        <v/>
      </c>
      <c r="V97">
        <f>HYPERLINK("https://klasma.github.io/Logging_0188/klagomål/A 20740-2019 FSC-klagomål.docx", "A 20740-2019")</f>
        <v/>
      </c>
      <c r="W97">
        <f>HYPERLINK("https://klasma.github.io/Logging_0188/klagomålsmail/A 20740-2019 FSC-klagomål mail.docx", "A 20740-2019")</f>
        <v/>
      </c>
      <c r="X97">
        <f>HYPERLINK("https://klasma.github.io/Logging_0188/tillsyn/A 20740-2019 tillsynsbegäran.docx", "A 20740-2019")</f>
        <v/>
      </c>
      <c r="Y97">
        <f>HYPERLINK("https://klasma.github.io/Logging_0188/tillsynsmail/A 20740-2019 tillsynsbegäran mail.docx", "A 20740-2019")</f>
        <v/>
      </c>
    </row>
    <row r="98" ht="15" customHeight="1">
      <c r="A98" t="inlineStr">
        <is>
          <t>A 26275-2019</t>
        </is>
      </c>
      <c r="B98" s="1" t="n">
        <v>43611</v>
      </c>
      <c r="C98" s="1" t="n">
        <v>45475</v>
      </c>
      <c r="D98" t="inlineStr">
        <is>
          <t>STOCKHOLMS LÄN</t>
        </is>
      </c>
      <c r="E98" t="inlineStr">
        <is>
          <t>NORRTÄLJE</t>
        </is>
      </c>
      <c r="G98" t="n">
        <v>0.5</v>
      </c>
      <c r="H98" t="n">
        <v>0</v>
      </c>
      <c r="I98" t="n">
        <v>1</v>
      </c>
      <c r="J98" t="n">
        <v>0</v>
      </c>
      <c r="K98" t="n">
        <v>0</v>
      </c>
      <c r="L98" t="n">
        <v>0</v>
      </c>
      <c r="M98" t="n">
        <v>0</v>
      </c>
      <c r="N98" t="n">
        <v>0</v>
      </c>
      <c r="O98" t="n">
        <v>0</v>
      </c>
      <c r="P98" t="n">
        <v>0</v>
      </c>
      <c r="Q98" t="n">
        <v>1</v>
      </c>
      <c r="R98" s="2" t="inlineStr">
        <is>
          <t>Blåmossa</t>
        </is>
      </c>
      <c r="S98">
        <f>HYPERLINK("https://klasma.github.io/Logging_0188/artfynd/A 26275-2019 artfynd.xlsx", "A 26275-2019")</f>
        <v/>
      </c>
      <c r="T98">
        <f>HYPERLINK("https://klasma.github.io/Logging_0188/kartor/A 26275-2019 karta.png", "A 26275-2019")</f>
        <v/>
      </c>
      <c r="V98">
        <f>HYPERLINK("https://klasma.github.io/Logging_0188/klagomål/A 26275-2019 FSC-klagomål.docx", "A 26275-2019")</f>
        <v/>
      </c>
      <c r="W98">
        <f>HYPERLINK("https://klasma.github.io/Logging_0188/klagomålsmail/A 26275-2019 FSC-klagomål mail.docx", "A 26275-2019")</f>
        <v/>
      </c>
      <c r="X98">
        <f>HYPERLINK("https://klasma.github.io/Logging_0188/tillsyn/A 26275-2019 tillsynsbegäran.docx", "A 26275-2019")</f>
        <v/>
      </c>
      <c r="Y98">
        <f>HYPERLINK("https://klasma.github.io/Logging_0188/tillsynsmail/A 26275-2019 tillsynsbegäran mail.docx", "A 26275-2019")</f>
        <v/>
      </c>
    </row>
    <row r="99" ht="15" customHeight="1">
      <c r="A99" t="inlineStr">
        <is>
          <t>A 30011-2019</t>
        </is>
      </c>
      <c r="B99" s="1" t="n">
        <v>43633</v>
      </c>
      <c r="C99" s="1" t="n">
        <v>45475</v>
      </c>
      <c r="D99" t="inlineStr">
        <is>
          <t>STOCKHOLMS LÄN</t>
        </is>
      </c>
      <c r="E99" t="inlineStr">
        <is>
          <t>NORRTÄLJE</t>
        </is>
      </c>
      <c r="G99" t="n">
        <v>2.6</v>
      </c>
      <c r="H99" t="n">
        <v>0</v>
      </c>
      <c r="I99" t="n">
        <v>1</v>
      </c>
      <c r="J99" t="n">
        <v>0</v>
      </c>
      <c r="K99" t="n">
        <v>0</v>
      </c>
      <c r="L99" t="n">
        <v>0</v>
      </c>
      <c r="M99" t="n">
        <v>0</v>
      </c>
      <c r="N99" t="n">
        <v>0</v>
      </c>
      <c r="O99" t="n">
        <v>0</v>
      </c>
      <c r="P99" t="n">
        <v>0</v>
      </c>
      <c r="Q99" t="n">
        <v>1</v>
      </c>
      <c r="R99" s="2" t="inlineStr">
        <is>
          <t>Tibast</t>
        </is>
      </c>
      <c r="S99">
        <f>HYPERLINK("https://klasma.github.io/Logging_0188/artfynd/A 30011-2019 artfynd.xlsx", "A 30011-2019")</f>
        <v/>
      </c>
      <c r="T99">
        <f>HYPERLINK("https://klasma.github.io/Logging_0188/kartor/A 30011-2019 karta.png", "A 30011-2019")</f>
        <v/>
      </c>
      <c r="V99">
        <f>HYPERLINK("https://klasma.github.io/Logging_0188/klagomål/A 30011-2019 FSC-klagomål.docx", "A 30011-2019")</f>
        <v/>
      </c>
      <c r="W99">
        <f>HYPERLINK("https://klasma.github.io/Logging_0188/klagomålsmail/A 30011-2019 FSC-klagomål mail.docx", "A 30011-2019")</f>
        <v/>
      </c>
      <c r="X99">
        <f>HYPERLINK("https://klasma.github.io/Logging_0188/tillsyn/A 30011-2019 tillsynsbegäran.docx", "A 30011-2019")</f>
        <v/>
      </c>
      <c r="Y99">
        <f>HYPERLINK("https://klasma.github.io/Logging_0188/tillsynsmail/A 30011-2019 tillsynsbegäran mail.docx", "A 30011-2019")</f>
        <v/>
      </c>
    </row>
    <row r="100" ht="15" customHeight="1">
      <c r="A100" t="inlineStr">
        <is>
          <t>A 38137-2019</t>
        </is>
      </c>
      <c r="B100" s="1" t="n">
        <v>43684</v>
      </c>
      <c r="C100" s="1" t="n">
        <v>45475</v>
      </c>
      <c r="D100" t="inlineStr">
        <is>
          <t>STOCKHOLMS LÄN</t>
        </is>
      </c>
      <c r="E100" t="inlineStr">
        <is>
          <t>NORRTÄLJE</t>
        </is>
      </c>
      <c r="G100" t="n">
        <v>12.9</v>
      </c>
      <c r="H100" t="n">
        <v>0</v>
      </c>
      <c r="I100" t="n">
        <v>0</v>
      </c>
      <c r="J100" t="n">
        <v>1</v>
      </c>
      <c r="K100" t="n">
        <v>0</v>
      </c>
      <c r="L100" t="n">
        <v>0</v>
      </c>
      <c r="M100" t="n">
        <v>0</v>
      </c>
      <c r="N100" t="n">
        <v>0</v>
      </c>
      <c r="O100" t="n">
        <v>1</v>
      </c>
      <c r="P100" t="n">
        <v>0</v>
      </c>
      <c r="Q100" t="n">
        <v>1</v>
      </c>
      <c r="R100" s="2" t="inlineStr">
        <is>
          <t>Rutskinn</t>
        </is>
      </c>
      <c r="S100">
        <f>HYPERLINK("https://klasma.github.io/Logging_0188/artfynd/A 38137-2019 artfynd.xlsx", "A 38137-2019")</f>
        <v/>
      </c>
      <c r="T100">
        <f>HYPERLINK("https://klasma.github.io/Logging_0188/kartor/A 38137-2019 karta.png", "A 38137-2019")</f>
        <v/>
      </c>
      <c r="V100">
        <f>HYPERLINK("https://klasma.github.io/Logging_0188/klagomål/A 38137-2019 FSC-klagomål.docx", "A 38137-2019")</f>
        <v/>
      </c>
      <c r="W100">
        <f>HYPERLINK("https://klasma.github.io/Logging_0188/klagomålsmail/A 38137-2019 FSC-klagomål mail.docx", "A 38137-2019")</f>
        <v/>
      </c>
      <c r="X100">
        <f>HYPERLINK("https://klasma.github.io/Logging_0188/tillsyn/A 38137-2019 tillsynsbegäran.docx", "A 38137-2019")</f>
        <v/>
      </c>
      <c r="Y100">
        <f>HYPERLINK("https://klasma.github.io/Logging_0188/tillsynsmail/A 38137-2019 tillsynsbegäran mail.docx", "A 38137-2019")</f>
        <v/>
      </c>
    </row>
    <row r="101" ht="15" customHeight="1">
      <c r="A101" t="inlineStr">
        <is>
          <t>A 64849-2019</t>
        </is>
      </c>
      <c r="B101" s="1" t="n">
        <v>43801</v>
      </c>
      <c r="C101" s="1" t="n">
        <v>45475</v>
      </c>
      <c r="D101" t="inlineStr">
        <is>
          <t>STOCKHOLMS LÄN</t>
        </is>
      </c>
      <c r="E101" t="inlineStr">
        <is>
          <t>NORRTÄLJE</t>
        </is>
      </c>
      <c r="G101" t="n">
        <v>1.6</v>
      </c>
      <c r="H101" t="n">
        <v>0</v>
      </c>
      <c r="I101" t="n">
        <v>0</v>
      </c>
      <c r="J101" t="n">
        <v>1</v>
      </c>
      <c r="K101" t="n">
        <v>0</v>
      </c>
      <c r="L101" t="n">
        <v>0</v>
      </c>
      <c r="M101" t="n">
        <v>0</v>
      </c>
      <c r="N101" t="n">
        <v>0</v>
      </c>
      <c r="O101" t="n">
        <v>1</v>
      </c>
      <c r="P101" t="n">
        <v>0</v>
      </c>
      <c r="Q101" t="n">
        <v>1</v>
      </c>
      <c r="R101" s="2" t="inlineStr">
        <is>
          <t>Skogsklocka</t>
        </is>
      </c>
      <c r="S101">
        <f>HYPERLINK("https://klasma.github.io/Logging_0188/artfynd/A 64849-2019 artfynd.xlsx", "A 64849-2019")</f>
        <v/>
      </c>
      <c r="T101">
        <f>HYPERLINK("https://klasma.github.io/Logging_0188/kartor/A 64849-2019 karta.png", "A 64849-2019")</f>
        <v/>
      </c>
      <c r="V101">
        <f>HYPERLINK("https://klasma.github.io/Logging_0188/klagomål/A 64849-2019 FSC-klagomål.docx", "A 64849-2019")</f>
        <v/>
      </c>
      <c r="W101">
        <f>HYPERLINK("https://klasma.github.io/Logging_0188/klagomålsmail/A 64849-2019 FSC-klagomål mail.docx", "A 64849-2019")</f>
        <v/>
      </c>
      <c r="X101">
        <f>HYPERLINK("https://klasma.github.io/Logging_0188/tillsyn/A 64849-2019 tillsynsbegäran.docx", "A 64849-2019")</f>
        <v/>
      </c>
      <c r="Y101">
        <f>HYPERLINK("https://klasma.github.io/Logging_0188/tillsynsmail/A 64849-2019 tillsynsbegäran mail.docx", "A 64849-2019")</f>
        <v/>
      </c>
    </row>
    <row r="102" ht="15" customHeight="1">
      <c r="A102" t="inlineStr">
        <is>
          <t>A 2796-2020</t>
        </is>
      </c>
      <c r="B102" s="1" t="n">
        <v>43850</v>
      </c>
      <c r="C102" s="1" t="n">
        <v>45475</v>
      </c>
      <c r="D102" t="inlineStr">
        <is>
          <t>STOCKHOLMS LÄN</t>
        </is>
      </c>
      <c r="E102" t="inlineStr">
        <is>
          <t>NORRTÄLJE</t>
        </is>
      </c>
      <c r="G102" t="n">
        <v>5.6</v>
      </c>
      <c r="H102" t="n">
        <v>1</v>
      </c>
      <c r="I102" t="n">
        <v>1</v>
      </c>
      <c r="J102" t="n">
        <v>0</v>
      </c>
      <c r="K102" t="n">
        <v>0</v>
      </c>
      <c r="L102" t="n">
        <v>0</v>
      </c>
      <c r="M102" t="n">
        <v>0</v>
      </c>
      <c r="N102" t="n">
        <v>0</v>
      </c>
      <c r="O102" t="n">
        <v>0</v>
      </c>
      <c r="P102" t="n">
        <v>0</v>
      </c>
      <c r="Q102" t="n">
        <v>1</v>
      </c>
      <c r="R102" s="2" t="inlineStr">
        <is>
          <t>Spindelblomster</t>
        </is>
      </c>
      <c r="S102">
        <f>HYPERLINK("https://klasma.github.io/Logging_0188/artfynd/A 2796-2020 artfynd.xlsx", "A 2796-2020")</f>
        <v/>
      </c>
      <c r="T102">
        <f>HYPERLINK("https://klasma.github.io/Logging_0188/kartor/A 2796-2020 karta.png", "A 2796-2020")</f>
        <v/>
      </c>
      <c r="V102">
        <f>HYPERLINK("https://klasma.github.io/Logging_0188/klagomål/A 2796-2020 FSC-klagomål.docx", "A 2796-2020")</f>
        <v/>
      </c>
      <c r="W102">
        <f>HYPERLINK("https://klasma.github.io/Logging_0188/klagomålsmail/A 2796-2020 FSC-klagomål mail.docx", "A 2796-2020")</f>
        <v/>
      </c>
      <c r="X102">
        <f>HYPERLINK("https://klasma.github.io/Logging_0188/tillsyn/A 2796-2020 tillsynsbegäran.docx", "A 2796-2020")</f>
        <v/>
      </c>
      <c r="Y102">
        <f>HYPERLINK("https://klasma.github.io/Logging_0188/tillsynsmail/A 2796-2020 tillsynsbegäran mail.docx", "A 2796-2020")</f>
        <v/>
      </c>
    </row>
    <row r="103" ht="15" customHeight="1">
      <c r="A103" t="inlineStr">
        <is>
          <t>A 9051-2020</t>
        </is>
      </c>
      <c r="B103" s="1" t="n">
        <v>43879</v>
      </c>
      <c r="C103" s="1" t="n">
        <v>45475</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9051-2020 artfynd.xlsx", "A 9051-2020")</f>
        <v/>
      </c>
      <c r="T103">
        <f>HYPERLINK("https://klasma.github.io/Logging_0188/kartor/A 9051-2020 karta.png", "A 9051-2020")</f>
        <v/>
      </c>
      <c r="V103">
        <f>HYPERLINK("https://klasma.github.io/Logging_0188/klagomål/A 9051-2020 FSC-klagomål.docx", "A 9051-2020")</f>
        <v/>
      </c>
      <c r="W103">
        <f>HYPERLINK("https://klasma.github.io/Logging_0188/klagomålsmail/A 9051-2020 FSC-klagomål mail.docx", "A 9051-2020")</f>
        <v/>
      </c>
      <c r="X103">
        <f>HYPERLINK("https://klasma.github.io/Logging_0188/tillsyn/A 9051-2020 tillsynsbegäran.docx", "A 9051-2020")</f>
        <v/>
      </c>
      <c r="Y103">
        <f>HYPERLINK("https://klasma.github.io/Logging_0188/tillsynsmail/A 9051-2020 tillsynsbegäran mail.docx", "A 9051-2020")</f>
        <v/>
      </c>
    </row>
    <row r="104" ht="15" customHeight="1">
      <c r="A104" t="inlineStr">
        <is>
          <t>A 12843-2020</t>
        </is>
      </c>
      <c r="B104" s="1" t="n">
        <v>43899</v>
      </c>
      <c r="C104" s="1" t="n">
        <v>45475</v>
      </c>
      <c r="D104" t="inlineStr">
        <is>
          <t>STOCKHOLMS LÄN</t>
        </is>
      </c>
      <c r="E104" t="inlineStr">
        <is>
          <t>NORRTÄLJE</t>
        </is>
      </c>
      <c r="G104" t="n">
        <v>7.5</v>
      </c>
      <c r="H104" t="n">
        <v>1</v>
      </c>
      <c r="I104" t="n">
        <v>0</v>
      </c>
      <c r="J104" t="n">
        <v>1</v>
      </c>
      <c r="K104" t="n">
        <v>0</v>
      </c>
      <c r="L104" t="n">
        <v>0</v>
      </c>
      <c r="M104" t="n">
        <v>0</v>
      </c>
      <c r="N104" t="n">
        <v>0</v>
      </c>
      <c r="O104" t="n">
        <v>1</v>
      </c>
      <c r="P104" t="n">
        <v>0</v>
      </c>
      <c r="Q104" t="n">
        <v>1</v>
      </c>
      <c r="R104" s="2" t="inlineStr">
        <is>
          <t>Talltita</t>
        </is>
      </c>
      <c r="S104">
        <f>HYPERLINK("https://klasma.github.io/Logging_0188/artfynd/A 12843-2020 artfynd.xlsx", "A 12843-2020")</f>
        <v/>
      </c>
      <c r="T104">
        <f>HYPERLINK("https://klasma.github.io/Logging_0188/kartor/A 12843-2020 karta.png", "A 12843-2020")</f>
        <v/>
      </c>
      <c r="V104">
        <f>HYPERLINK("https://klasma.github.io/Logging_0188/klagomål/A 12843-2020 FSC-klagomål.docx", "A 12843-2020")</f>
        <v/>
      </c>
      <c r="W104">
        <f>HYPERLINK("https://klasma.github.io/Logging_0188/klagomålsmail/A 12843-2020 FSC-klagomål mail.docx", "A 12843-2020")</f>
        <v/>
      </c>
      <c r="X104">
        <f>HYPERLINK("https://klasma.github.io/Logging_0188/tillsyn/A 12843-2020 tillsynsbegäran.docx", "A 12843-2020")</f>
        <v/>
      </c>
      <c r="Y104">
        <f>HYPERLINK("https://klasma.github.io/Logging_0188/tillsynsmail/A 12843-2020 tillsynsbegäran mail.docx", "A 12843-2020")</f>
        <v/>
      </c>
      <c r="Z104">
        <f>HYPERLINK("https://klasma.github.io/Logging_0188/fåglar/A 12843-2020 prioriterade fågelarter.docx", "A 12843-2020")</f>
        <v/>
      </c>
    </row>
    <row r="105" ht="15" customHeight="1">
      <c r="A105" t="inlineStr">
        <is>
          <t>A 28380-2020</t>
        </is>
      </c>
      <c r="B105" s="1" t="n">
        <v>43998</v>
      </c>
      <c r="C105" s="1" t="n">
        <v>45475</v>
      </c>
      <c r="D105" t="inlineStr">
        <is>
          <t>STOCKHOLMS LÄN</t>
        </is>
      </c>
      <c r="E105" t="inlineStr">
        <is>
          <t>NORRTÄLJE</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28380-2020 artfynd.xlsx", "A 28380-2020")</f>
        <v/>
      </c>
      <c r="T105">
        <f>HYPERLINK("https://klasma.github.io/Logging_0188/kartor/A 28380-2020 karta.png", "A 28380-2020")</f>
        <v/>
      </c>
      <c r="V105">
        <f>HYPERLINK("https://klasma.github.io/Logging_0188/klagomål/A 28380-2020 FSC-klagomål.docx", "A 28380-2020")</f>
        <v/>
      </c>
      <c r="W105">
        <f>HYPERLINK("https://klasma.github.io/Logging_0188/klagomålsmail/A 28380-2020 FSC-klagomål mail.docx", "A 28380-2020")</f>
        <v/>
      </c>
      <c r="X105">
        <f>HYPERLINK("https://klasma.github.io/Logging_0188/tillsyn/A 28380-2020 tillsynsbegäran.docx", "A 28380-2020")</f>
        <v/>
      </c>
      <c r="Y105">
        <f>HYPERLINK("https://klasma.github.io/Logging_0188/tillsynsmail/A 28380-2020 tillsynsbegäran mail.docx", "A 28380-2020")</f>
        <v/>
      </c>
    </row>
    <row r="106" ht="15" customHeight="1">
      <c r="A106" t="inlineStr">
        <is>
          <t>A 48288-2020</t>
        </is>
      </c>
      <c r="B106" s="1" t="n">
        <v>44102</v>
      </c>
      <c r="C106" s="1" t="n">
        <v>45475</v>
      </c>
      <c r="D106" t="inlineStr">
        <is>
          <t>STOCKHOLMS LÄN</t>
        </is>
      </c>
      <c r="E106" t="inlineStr">
        <is>
          <t>NORRTÄLJE</t>
        </is>
      </c>
      <c r="F106" t="inlineStr">
        <is>
          <t>Holmen skog AB</t>
        </is>
      </c>
      <c r="G106" t="n">
        <v>2.9</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48288-2020 artfynd.xlsx", "A 48288-2020")</f>
        <v/>
      </c>
      <c r="T106">
        <f>HYPERLINK("https://klasma.github.io/Logging_0188/kartor/A 48288-2020 karta.png", "A 48288-2020")</f>
        <v/>
      </c>
      <c r="V106">
        <f>HYPERLINK("https://klasma.github.io/Logging_0188/klagomål/A 48288-2020 FSC-klagomål.docx", "A 48288-2020")</f>
        <v/>
      </c>
      <c r="W106">
        <f>HYPERLINK("https://klasma.github.io/Logging_0188/klagomålsmail/A 48288-2020 FSC-klagomål mail.docx", "A 48288-2020")</f>
        <v/>
      </c>
      <c r="X106">
        <f>HYPERLINK("https://klasma.github.io/Logging_0188/tillsyn/A 48288-2020 tillsynsbegäran.docx", "A 48288-2020")</f>
        <v/>
      </c>
      <c r="Y106">
        <f>HYPERLINK("https://klasma.github.io/Logging_0188/tillsynsmail/A 48288-2020 tillsynsbegäran mail.docx", "A 48288-2020")</f>
        <v/>
      </c>
    </row>
    <row r="107" ht="15" customHeight="1">
      <c r="A107" t="inlineStr">
        <is>
          <t>A 62846-2020</t>
        </is>
      </c>
      <c r="B107" s="1" t="n">
        <v>44161</v>
      </c>
      <c r="C107" s="1" t="n">
        <v>45475</v>
      </c>
      <c r="D107" t="inlineStr">
        <is>
          <t>STOCKHOLMS LÄN</t>
        </is>
      </c>
      <c r="E107" t="inlineStr">
        <is>
          <t>NORRTÄLJE</t>
        </is>
      </c>
      <c r="G107" t="n">
        <v>1.4</v>
      </c>
      <c r="H107" t="n">
        <v>1</v>
      </c>
      <c r="I107" t="n">
        <v>0</v>
      </c>
      <c r="J107" t="n">
        <v>0</v>
      </c>
      <c r="K107" t="n">
        <v>0</v>
      </c>
      <c r="L107" t="n">
        <v>0</v>
      </c>
      <c r="M107" t="n">
        <v>0</v>
      </c>
      <c r="N107" t="n">
        <v>0</v>
      </c>
      <c r="O107" t="n">
        <v>0</v>
      </c>
      <c r="P107" t="n">
        <v>0</v>
      </c>
      <c r="Q107" t="n">
        <v>1</v>
      </c>
      <c r="R107" s="2" t="inlineStr">
        <is>
          <t>Fläcknycklar</t>
        </is>
      </c>
      <c r="S107">
        <f>HYPERLINK("https://klasma.github.io/Logging_0188/artfynd/A 62846-2020 artfynd.xlsx", "A 62846-2020")</f>
        <v/>
      </c>
      <c r="T107">
        <f>HYPERLINK("https://klasma.github.io/Logging_0188/kartor/A 62846-2020 karta.png", "A 62846-2020")</f>
        <v/>
      </c>
      <c r="V107">
        <f>HYPERLINK("https://klasma.github.io/Logging_0188/klagomål/A 62846-2020 FSC-klagomål.docx", "A 62846-2020")</f>
        <v/>
      </c>
      <c r="W107">
        <f>HYPERLINK("https://klasma.github.io/Logging_0188/klagomålsmail/A 62846-2020 FSC-klagomål mail.docx", "A 62846-2020")</f>
        <v/>
      </c>
      <c r="X107">
        <f>HYPERLINK("https://klasma.github.io/Logging_0188/tillsyn/A 62846-2020 tillsynsbegäran.docx", "A 62846-2020")</f>
        <v/>
      </c>
      <c r="Y107">
        <f>HYPERLINK("https://klasma.github.io/Logging_0188/tillsynsmail/A 62846-2020 tillsynsbegäran mail.docx", "A 62846-2020")</f>
        <v/>
      </c>
    </row>
    <row r="108" ht="15" customHeight="1">
      <c r="A108" t="inlineStr">
        <is>
          <t>A 1162-2021</t>
        </is>
      </c>
      <c r="B108" s="1" t="n">
        <v>44207</v>
      </c>
      <c r="C108" s="1" t="n">
        <v>45475</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33302-2021</t>
        </is>
      </c>
      <c r="B109" s="1" t="n">
        <v>44377</v>
      </c>
      <c r="C109" s="1" t="n">
        <v>45475</v>
      </c>
      <c r="D109" t="inlineStr">
        <is>
          <t>STOCKHOLMS LÄN</t>
        </is>
      </c>
      <c r="E109" t="inlineStr">
        <is>
          <t>NORRTÄLJE</t>
        </is>
      </c>
      <c r="G109" t="n">
        <v>12.5</v>
      </c>
      <c r="H109" t="n">
        <v>1</v>
      </c>
      <c r="I109" t="n">
        <v>0</v>
      </c>
      <c r="J109" t="n">
        <v>1</v>
      </c>
      <c r="K109" t="n">
        <v>0</v>
      </c>
      <c r="L109" t="n">
        <v>0</v>
      </c>
      <c r="M109" t="n">
        <v>0</v>
      </c>
      <c r="N109" t="n">
        <v>0</v>
      </c>
      <c r="O109" t="n">
        <v>1</v>
      </c>
      <c r="P109" t="n">
        <v>0</v>
      </c>
      <c r="Q109" t="n">
        <v>1</v>
      </c>
      <c r="R109" s="2" t="inlineStr">
        <is>
          <t>Spillkråka</t>
        </is>
      </c>
      <c r="S109">
        <f>HYPERLINK("https://klasma.github.io/Logging_0188/artfynd/A 33302-2021 artfynd.xlsx", "A 33302-2021")</f>
        <v/>
      </c>
      <c r="T109">
        <f>HYPERLINK("https://klasma.github.io/Logging_0188/kartor/A 33302-2021 karta.png", "A 33302-2021")</f>
        <v/>
      </c>
      <c r="V109">
        <f>HYPERLINK("https://klasma.github.io/Logging_0188/klagomål/A 33302-2021 FSC-klagomål.docx", "A 33302-2021")</f>
        <v/>
      </c>
      <c r="W109">
        <f>HYPERLINK("https://klasma.github.io/Logging_0188/klagomålsmail/A 33302-2021 FSC-klagomål mail.docx", "A 33302-2021")</f>
        <v/>
      </c>
      <c r="X109">
        <f>HYPERLINK("https://klasma.github.io/Logging_0188/tillsyn/A 33302-2021 tillsynsbegäran.docx", "A 33302-2021")</f>
        <v/>
      </c>
      <c r="Y109">
        <f>HYPERLINK("https://klasma.github.io/Logging_0188/tillsynsmail/A 33302-2021 tillsynsbegäran mail.docx", "A 33302-2021")</f>
        <v/>
      </c>
      <c r="Z109">
        <f>HYPERLINK("https://klasma.github.io/Logging_0188/fåglar/A 33302-2021 prioriterade fågelarter.docx", "A 33302-2021")</f>
        <v/>
      </c>
    </row>
    <row r="110" ht="15" customHeight="1">
      <c r="A110" t="inlineStr">
        <is>
          <t>A 58888-2021</t>
        </is>
      </c>
      <c r="B110" s="1" t="n">
        <v>44489</v>
      </c>
      <c r="C110" s="1" t="n">
        <v>45475</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68692-2021</t>
        </is>
      </c>
      <c r="B111" s="1" t="n">
        <v>44529</v>
      </c>
      <c r="C111" s="1" t="n">
        <v>45475</v>
      </c>
      <c r="D111" t="inlineStr">
        <is>
          <t>STOCKHOLMS LÄN</t>
        </is>
      </c>
      <c r="E111" t="inlineStr">
        <is>
          <t>NORRTÄLJE</t>
        </is>
      </c>
      <c r="F111" t="inlineStr">
        <is>
          <t>Holmen skog AB</t>
        </is>
      </c>
      <c r="G111" t="n">
        <v>0.7</v>
      </c>
      <c r="H111" t="n">
        <v>1</v>
      </c>
      <c r="I111" t="n">
        <v>0</v>
      </c>
      <c r="J111" t="n">
        <v>0</v>
      </c>
      <c r="K111" t="n">
        <v>0</v>
      </c>
      <c r="L111" t="n">
        <v>1</v>
      </c>
      <c r="M111" t="n">
        <v>0</v>
      </c>
      <c r="N111" t="n">
        <v>0</v>
      </c>
      <c r="O111" t="n">
        <v>1</v>
      </c>
      <c r="P111" t="n">
        <v>1</v>
      </c>
      <c r="Q111" t="n">
        <v>1</v>
      </c>
      <c r="R111" s="2" t="inlineStr">
        <is>
          <t>Asknätfjäril</t>
        </is>
      </c>
      <c r="S111">
        <f>HYPERLINK("https://klasma.github.io/Logging_0188/artfynd/A 68692-2021 artfynd.xlsx", "A 68692-2021")</f>
        <v/>
      </c>
      <c r="T111">
        <f>HYPERLINK("https://klasma.github.io/Logging_0188/kartor/A 68692-2021 karta.png", "A 68692-2021")</f>
        <v/>
      </c>
      <c r="V111">
        <f>HYPERLINK("https://klasma.github.io/Logging_0188/klagomål/A 68692-2021 FSC-klagomål.docx", "A 68692-2021")</f>
        <v/>
      </c>
      <c r="W111">
        <f>HYPERLINK("https://klasma.github.io/Logging_0188/klagomålsmail/A 68692-2021 FSC-klagomål mail.docx", "A 68692-2021")</f>
        <v/>
      </c>
      <c r="X111">
        <f>HYPERLINK("https://klasma.github.io/Logging_0188/tillsyn/A 68692-2021 tillsynsbegäran.docx", "A 68692-2021")</f>
        <v/>
      </c>
      <c r="Y111">
        <f>HYPERLINK("https://klasma.github.io/Logging_0188/tillsynsmail/A 68692-2021 tillsynsbegäran mail.docx", "A 68692-2021")</f>
        <v/>
      </c>
    </row>
    <row r="112" ht="15" customHeight="1">
      <c r="A112" t="inlineStr">
        <is>
          <t>A 188-2022</t>
        </is>
      </c>
      <c r="B112" s="1" t="n">
        <v>44564</v>
      </c>
      <c r="C112" s="1" t="n">
        <v>45475</v>
      </c>
      <c r="D112" t="inlineStr">
        <is>
          <t>STOCKHOLMS LÄN</t>
        </is>
      </c>
      <c r="E112" t="inlineStr">
        <is>
          <t>NORRTÄLJE</t>
        </is>
      </c>
      <c r="G112" t="n">
        <v>4.1</v>
      </c>
      <c r="H112" t="n">
        <v>0</v>
      </c>
      <c r="I112" t="n">
        <v>1</v>
      </c>
      <c r="J112" t="n">
        <v>0</v>
      </c>
      <c r="K112" t="n">
        <v>0</v>
      </c>
      <c r="L112" t="n">
        <v>0</v>
      </c>
      <c r="M112" t="n">
        <v>0</v>
      </c>
      <c r="N112" t="n">
        <v>0</v>
      </c>
      <c r="O112" t="n">
        <v>0</v>
      </c>
      <c r="P112" t="n">
        <v>0</v>
      </c>
      <c r="Q112" t="n">
        <v>1</v>
      </c>
      <c r="R112" s="2" t="inlineStr">
        <is>
          <t>Svart trolldruva</t>
        </is>
      </c>
      <c r="S112">
        <f>HYPERLINK("https://klasma.github.io/Logging_0188/artfynd/A 188-2022 artfynd.xlsx", "A 188-2022")</f>
        <v/>
      </c>
      <c r="T112">
        <f>HYPERLINK("https://klasma.github.io/Logging_0188/kartor/A 188-2022 karta.png", "A 188-2022")</f>
        <v/>
      </c>
      <c r="V112">
        <f>HYPERLINK("https://klasma.github.io/Logging_0188/klagomål/A 188-2022 FSC-klagomål.docx", "A 188-2022")</f>
        <v/>
      </c>
      <c r="W112">
        <f>HYPERLINK("https://klasma.github.io/Logging_0188/klagomålsmail/A 188-2022 FSC-klagomål mail.docx", "A 188-2022")</f>
        <v/>
      </c>
      <c r="X112">
        <f>HYPERLINK("https://klasma.github.io/Logging_0188/tillsyn/A 188-2022 tillsynsbegäran.docx", "A 188-2022")</f>
        <v/>
      </c>
      <c r="Y112">
        <f>HYPERLINK("https://klasma.github.io/Logging_0188/tillsynsmail/A 188-2022 tillsynsbegäran mail.docx", "A 188-2022")</f>
        <v/>
      </c>
    </row>
    <row r="113" ht="15" customHeight="1">
      <c r="A113" t="inlineStr">
        <is>
          <t>A 1547-2022</t>
        </is>
      </c>
      <c r="B113" s="1" t="n">
        <v>44573</v>
      </c>
      <c r="C113" s="1" t="n">
        <v>45475</v>
      </c>
      <c r="D113" t="inlineStr">
        <is>
          <t>STOCKHOLMS LÄN</t>
        </is>
      </c>
      <c r="E113" t="inlineStr">
        <is>
          <t>NORRTÄLJE</t>
        </is>
      </c>
      <c r="G113" t="n">
        <v>1.8</v>
      </c>
      <c r="H113" t="n">
        <v>1</v>
      </c>
      <c r="I113" t="n">
        <v>0</v>
      </c>
      <c r="J113" t="n">
        <v>0</v>
      </c>
      <c r="K113" t="n">
        <v>1</v>
      </c>
      <c r="L113" t="n">
        <v>0</v>
      </c>
      <c r="M113" t="n">
        <v>0</v>
      </c>
      <c r="N113" t="n">
        <v>0</v>
      </c>
      <c r="O113" t="n">
        <v>1</v>
      </c>
      <c r="P113" t="n">
        <v>1</v>
      </c>
      <c r="Q113" t="n">
        <v>1</v>
      </c>
      <c r="R113" s="2" t="inlineStr">
        <is>
          <t>Hällebräcka</t>
        </is>
      </c>
      <c r="S113">
        <f>HYPERLINK("https://klasma.github.io/Logging_0188/artfynd/A 1547-2022 artfynd.xlsx", "A 1547-2022")</f>
        <v/>
      </c>
      <c r="T113">
        <f>HYPERLINK("https://klasma.github.io/Logging_0188/kartor/A 1547-2022 karta.png", "A 1547-2022")</f>
        <v/>
      </c>
      <c r="V113">
        <f>HYPERLINK("https://klasma.github.io/Logging_0188/klagomål/A 1547-2022 FSC-klagomål.docx", "A 1547-2022")</f>
        <v/>
      </c>
      <c r="W113">
        <f>HYPERLINK("https://klasma.github.io/Logging_0188/klagomålsmail/A 1547-2022 FSC-klagomål mail.docx", "A 1547-2022")</f>
        <v/>
      </c>
      <c r="X113">
        <f>HYPERLINK("https://klasma.github.io/Logging_0188/tillsyn/A 1547-2022 tillsynsbegäran.docx", "A 1547-2022")</f>
        <v/>
      </c>
      <c r="Y113">
        <f>HYPERLINK("https://klasma.github.io/Logging_0188/tillsynsmail/A 1547-2022 tillsynsbegäran mail.docx", "A 1547-2022")</f>
        <v/>
      </c>
    </row>
    <row r="114" ht="15" customHeight="1">
      <c r="A114" t="inlineStr">
        <is>
          <t>A 7172-2022</t>
        </is>
      </c>
      <c r="B114" s="1" t="n">
        <v>44604</v>
      </c>
      <c r="C114" s="1" t="n">
        <v>45475</v>
      </c>
      <c r="D114" t="inlineStr">
        <is>
          <t>STOCKHOLMS LÄN</t>
        </is>
      </c>
      <c r="E114" t="inlineStr">
        <is>
          <t>NORRTÄLJE</t>
        </is>
      </c>
      <c r="G114" t="n">
        <v>4.8</v>
      </c>
      <c r="H114" t="n">
        <v>0</v>
      </c>
      <c r="I114" t="n">
        <v>1</v>
      </c>
      <c r="J114" t="n">
        <v>0</v>
      </c>
      <c r="K114" t="n">
        <v>0</v>
      </c>
      <c r="L114" t="n">
        <v>0</v>
      </c>
      <c r="M114" t="n">
        <v>0</v>
      </c>
      <c r="N114" t="n">
        <v>0</v>
      </c>
      <c r="O114" t="n">
        <v>0</v>
      </c>
      <c r="P114" t="n">
        <v>0</v>
      </c>
      <c r="Q114" t="n">
        <v>1</v>
      </c>
      <c r="R114" s="2" t="inlineStr">
        <is>
          <t>Trådticka</t>
        </is>
      </c>
      <c r="S114">
        <f>HYPERLINK("https://klasma.github.io/Logging_0188/artfynd/A 7172-2022 artfynd.xlsx", "A 7172-2022")</f>
        <v/>
      </c>
      <c r="T114">
        <f>HYPERLINK("https://klasma.github.io/Logging_0188/kartor/A 7172-2022 karta.png", "A 7172-2022")</f>
        <v/>
      </c>
      <c r="U114">
        <f>HYPERLINK("https://klasma.github.io/Logging_0188/knärot/A 7172-2022 karta knärot.png", "A 7172-2022")</f>
        <v/>
      </c>
      <c r="V114">
        <f>HYPERLINK("https://klasma.github.io/Logging_0188/klagomål/A 7172-2022 FSC-klagomål.docx", "A 7172-2022")</f>
        <v/>
      </c>
      <c r="W114">
        <f>HYPERLINK("https://klasma.github.io/Logging_0188/klagomålsmail/A 7172-2022 FSC-klagomål mail.docx", "A 7172-2022")</f>
        <v/>
      </c>
      <c r="X114">
        <f>HYPERLINK("https://klasma.github.io/Logging_0188/tillsyn/A 7172-2022 tillsynsbegäran.docx", "A 7172-2022")</f>
        <v/>
      </c>
      <c r="Y114">
        <f>HYPERLINK("https://klasma.github.io/Logging_0188/tillsynsmail/A 7172-2022 tillsynsbegäran mail.docx", "A 7172-2022")</f>
        <v/>
      </c>
    </row>
    <row r="115" ht="15" customHeight="1">
      <c r="A115" t="inlineStr">
        <is>
          <t>A 9955-2022</t>
        </is>
      </c>
      <c r="B115" s="1" t="n">
        <v>44620</v>
      </c>
      <c r="C115" s="1" t="n">
        <v>45475</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10712-2022</t>
        </is>
      </c>
      <c r="B116" s="1" t="n">
        <v>44626</v>
      </c>
      <c r="C116" s="1" t="n">
        <v>45475</v>
      </c>
      <c r="D116" t="inlineStr">
        <is>
          <t>STOCKHOLMS LÄN</t>
        </is>
      </c>
      <c r="E116" t="inlineStr">
        <is>
          <t>NORRTÄLJE</t>
        </is>
      </c>
      <c r="G116" t="n">
        <v>4.5</v>
      </c>
      <c r="H116" t="n">
        <v>1</v>
      </c>
      <c r="I116" t="n">
        <v>0</v>
      </c>
      <c r="J116" t="n">
        <v>0</v>
      </c>
      <c r="K116" t="n">
        <v>0</v>
      </c>
      <c r="L116" t="n">
        <v>0</v>
      </c>
      <c r="M116" t="n">
        <v>0</v>
      </c>
      <c r="N116" t="n">
        <v>0</v>
      </c>
      <c r="O116" t="n">
        <v>0</v>
      </c>
      <c r="P116" t="n">
        <v>0</v>
      </c>
      <c r="Q116" t="n">
        <v>1</v>
      </c>
      <c r="R116" s="2" t="inlineStr">
        <is>
          <t>Åkergroda</t>
        </is>
      </c>
      <c r="S116">
        <f>HYPERLINK("https://klasma.github.io/Logging_0188/artfynd/A 10712-2022 artfynd.xlsx", "A 10712-2022")</f>
        <v/>
      </c>
      <c r="T116">
        <f>HYPERLINK("https://klasma.github.io/Logging_0188/kartor/A 10712-2022 karta.png", "A 10712-2022")</f>
        <v/>
      </c>
      <c r="V116">
        <f>HYPERLINK("https://klasma.github.io/Logging_0188/klagomål/A 10712-2022 FSC-klagomål.docx", "A 10712-2022")</f>
        <v/>
      </c>
      <c r="W116">
        <f>HYPERLINK("https://klasma.github.io/Logging_0188/klagomålsmail/A 10712-2022 FSC-klagomål mail.docx", "A 10712-2022")</f>
        <v/>
      </c>
      <c r="X116">
        <f>HYPERLINK("https://klasma.github.io/Logging_0188/tillsyn/A 10712-2022 tillsynsbegäran.docx", "A 10712-2022")</f>
        <v/>
      </c>
      <c r="Y116">
        <f>HYPERLINK("https://klasma.github.io/Logging_0188/tillsynsmail/A 10712-2022 tillsynsbegäran mail.docx", "A 10712-2022")</f>
        <v/>
      </c>
    </row>
    <row r="117" ht="15" customHeight="1">
      <c r="A117" t="inlineStr">
        <is>
          <t>A 14720-2022</t>
        </is>
      </c>
      <c r="B117" s="1" t="n">
        <v>44656</v>
      </c>
      <c r="C117" s="1" t="n">
        <v>45475</v>
      </c>
      <c r="D117" t="inlineStr">
        <is>
          <t>STOCKHOLMS LÄN</t>
        </is>
      </c>
      <c r="E117" t="inlineStr">
        <is>
          <t>NORRTÄLJE</t>
        </is>
      </c>
      <c r="F117" t="inlineStr">
        <is>
          <t>Sveaskog</t>
        </is>
      </c>
      <c r="G117" t="n">
        <v>5.1</v>
      </c>
      <c r="H117" t="n">
        <v>0</v>
      </c>
      <c r="I117" t="n">
        <v>0</v>
      </c>
      <c r="J117" t="n">
        <v>1</v>
      </c>
      <c r="K117" t="n">
        <v>0</v>
      </c>
      <c r="L117" t="n">
        <v>0</v>
      </c>
      <c r="M117" t="n">
        <v>0</v>
      </c>
      <c r="N117" t="n">
        <v>0</v>
      </c>
      <c r="O117" t="n">
        <v>1</v>
      </c>
      <c r="P117" t="n">
        <v>0</v>
      </c>
      <c r="Q117" t="n">
        <v>1</v>
      </c>
      <c r="R117" s="2" t="inlineStr">
        <is>
          <t>Loppstarr</t>
        </is>
      </c>
      <c r="S117">
        <f>HYPERLINK("https://klasma.github.io/Logging_0188/artfynd/A 14720-2022 artfynd.xlsx", "A 14720-2022")</f>
        <v/>
      </c>
      <c r="T117">
        <f>HYPERLINK("https://klasma.github.io/Logging_0188/kartor/A 14720-2022 karta.png", "A 14720-2022")</f>
        <v/>
      </c>
      <c r="V117">
        <f>HYPERLINK("https://klasma.github.io/Logging_0188/klagomål/A 14720-2022 FSC-klagomål.docx", "A 14720-2022")</f>
        <v/>
      </c>
      <c r="W117">
        <f>HYPERLINK("https://klasma.github.io/Logging_0188/klagomålsmail/A 14720-2022 FSC-klagomål mail.docx", "A 14720-2022")</f>
        <v/>
      </c>
      <c r="X117">
        <f>HYPERLINK("https://klasma.github.io/Logging_0188/tillsyn/A 14720-2022 tillsynsbegäran.docx", "A 14720-2022")</f>
        <v/>
      </c>
      <c r="Y117">
        <f>HYPERLINK("https://klasma.github.io/Logging_0188/tillsynsmail/A 14720-2022 tillsynsbegäran mail.docx", "A 14720-2022")</f>
        <v/>
      </c>
    </row>
    <row r="118" ht="15" customHeight="1">
      <c r="A118" t="inlineStr">
        <is>
          <t>A 16539-2022</t>
        </is>
      </c>
      <c r="B118" s="1" t="n">
        <v>44672</v>
      </c>
      <c r="C118" s="1" t="n">
        <v>45475</v>
      </c>
      <c r="D118" t="inlineStr">
        <is>
          <t>STOCKHOLMS LÄN</t>
        </is>
      </c>
      <c r="E118" t="inlineStr">
        <is>
          <t>NORRTÄLJE</t>
        </is>
      </c>
      <c r="G118" t="n">
        <v>8.6</v>
      </c>
      <c r="H118" t="n">
        <v>1</v>
      </c>
      <c r="I118" t="n">
        <v>1</v>
      </c>
      <c r="J118" t="n">
        <v>0</v>
      </c>
      <c r="K118" t="n">
        <v>0</v>
      </c>
      <c r="L118" t="n">
        <v>0</v>
      </c>
      <c r="M118" t="n">
        <v>0</v>
      </c>
      <c r="N118" t="n">
        <v>0</v>
      </c>
      <c r="O118" t="n">
        <v>0</v>
      </c>
      <c r="P118" t="n">
        <v>0</v>
      </c>
      <c r="Q118" t="n">
        <v>1</v>
      </c>
      <c r="R118" s="2" t="inlineStr">
        <is>
          <t>Nästrot</t>
        </is>
      </c>
      <c r="S118">
        <f>HYPERLINK("https://klasma.github.io/Logging_0188/artfynd/A 16539-2022 artfynd.xlsx", "A 16539-2022")</f>
        <v/>
      </c>
      <c r="T118">
        <f>HYPERLINK("https://klasma.github.io/Logging_0188/kartor/A 16539-2022 karta.png", "A 16539-2022")</f>
        <v/>
      </c>
      <c r="V118">
        <f>HYPERLINK("https://klasma.github.io/Logging_0188/klagomål/A 16539-2022 FSC-klagomål.docx", "A 16539-2022")</f>
        <v/>
      </c>
      <c r="W118">
        <f>HYPERLINK("https://klasma.github.io/Logging_0188/klagomålsmail/A 16539-2022 FSC-klagomål mail.docx", "A 16539-2022")</f>
        <v/>
      </c>
      <c r="X118">
        <f>HYPERLINK("https://klasma.github.io/Logging_0188/tillsyn/A 16539-2022 tillsynsbegäran.docx", "A 16539-2022")</f>
        <v/>
      </c>
      <c r="Y118">
        <f>HYPERLINK("https://klasma.github.io/Logging_0188/tillsynsmail/A 16539-2022 tillsynsbegäran mail.docx", "A 16539-2022")</f>
        <v/>
      </c>
    </row>
    <row r="119" ht="15" customHeight="1">
      <c r="A119" t="inlineStr">
        <is>
          <t>A 19829-2022</t>
        </is>
      </c>
      <c r="B119" s="1" t="n">
        <v>44695</v>
      </c>
      <c r="C119" s="1" t="n">
        <v>45475</v>
      </c>
      <c r="D119" t="inlineStr">
        <is>
          <t>STOCKHOLMS LÄN</t>
        </is>
      </c>
      <c r="E119" t="inlineStr">
        <is>
          <t>NORRTÄLJE</t>
        </is>
      </c>
      <c r="G119" t="n">
        <v>2</v>
      </c>
      <c r="H119" t="n">
        <v>1</v>
      </c>
      <c r="I119" t="n">
        <v>1</v>
      </c>
      <c r="J119" t="n">
        <v>0</v>
      </c>
      <c r="K119" t="n">
        <v>0</v>
      </c>
      <c r="L119" t="n">
        <v>0</v>
      </c>
      <c r="M119" t="n">
        <v>0</v>
      </c>
      <c r="N119" t="n">
        <v>0</v>
      </c>
      <c r="O119" t="n">
        <v>0</v>
      </c>
      <c r="P119" t="n">
        <v>0</v>
      </c>
      <c r="Q119" t="n">
        <v>1</v>
      </c>
      <c r="R119" s="2" t="inlineStr">
        <is>
          <t>Guckusko</t>
        </is>
      </c>
      <c r="S119">
        <f>HYPERLINK("https://klasma.github.io/Logging_0188/artfynd/A 19829-2022 artfynd.xlsx", "A 19829-2022")</f>
        <v/>
      </c>
      <c r="T119">
        <f>HYPERLINK("https://klasma.github.io/Logging_0188/kartor/A 19829-2022 karta.png", "A 19829-2022")</f>
        <v/>
      </c>
      <c r="V119">
        <f>HYPERLINK("https://klasma.github.io/Logging_0188/klagomål/A 19829-2022 FSC-klagomål.docx", "A 19829-2022")</f>
        <v/>
      </c>
      <c r="W119">
        <f>HYPERLINK("https://klasma.github.io/Logging_0188/klagomålsmail/A 19829-2022 FSC-klagomål mail.docx", "A 19829-2022")</f>
        <v/>
      </c>
      <c r="X119">
        <f>HYPERLINK("https://klasma.github.io/Logging_0188/tillsyn/A 19829-2022 tillsynsbegäran.docx", "A 19829-2022")</f>
        <v/>
      </c>
      <c r="Y119">
        <f>HYPERLINK("https://klasma.github.io/Logging_0188/tillsynsmail/A 19829-2022 tillsynsbegäran mail.docx", "A 19829-2022")</f>
        <v/>
      </c>
    </row>
    <row r="120" ht="15" customHeight="1">
      <c r="A120" t="inlineStr">
        <is>
          <t>A 21150-2022</t>
        </is>
      </c>
      <c r="B120" s="1" t="n">
        <v>44704</v>
      </c>
      <c r="C120" s="1" t="n">
        <v>45475</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30693-2022</t>
        </is>
      </c>
      <c r="B121" s="1" t="n">
        <v>44763</v>
      </c>
      <c r="C121" s="1" t="n">
        <v>45475</v>
      </c>
      <c r="D121" t="inlineStr">
        <is>
          <t>STOCKHOLMS LÄN</t>
        </is>
      </c>
      <c r="E121" t="inlineStr">
        <is>
          <t>NORRTÄLJE</t>
        </is>
      </c>
      <c r="F121" t="inlineStr">
        <is>
          <t>Sveaskog</t>
        </is>
      </c>
      <c r="G121" t="n">
        <v>3.4</v>
      </c>
      <c r="H121" t="n">
        <v>1</v>
      </c>
      <c r="I121" t="n">
        <v>0</v>
      </c>
      <c r="J121" t="n">
        <v>1</v>
      </c>
      <c r="K121" t="n">
        <v>0</v>
      </c>
      <c r="L121" t="n">
        <v>0</v>
      </c>
      <c r="M121" t="n">
        <v>0</v>
      </c>
      <c r="N121" t="n">
        <v>0</v>
      </c>
      <c r="O121" t="n">
        <v>1</v>
      </c>
      <c r="P121" t="n">
        <v>0</v>
      </c>
      <c r="Q121" t="n">
        <v>1</v>
      </c>
      <c r="R121" s="2" t="inlineStr">
        <is>
          <t>Gulsparv</t>
        </is>
      </c>
      <c r="S121">
        <f>HYPERLINK("https://klasma.github.io/Logging_0188/artfynd/A 30693-2022 artfynd.xlsx", "A 30693-2022")</f>
        <v/>
      </c>
      <c r="T121">
        <f>HYPERLINK("https://klasma.github.io/Logging_0188/kartor/A 30693-2022 karta.png", "A 30693-2022")</f>
        <v/>
      </c>
      <c r="V121">
        <f>HYPERLINK("https://klasma.github.io/Logging_0188/klagomål/A 30693-2022 FSC-klagomål.docx", "A 30693-2022")</f>
        <v/>
      </c>
      <c r="W121">
        <f>HYPERLINK("https://klasma.github.io/Logging_0188/klagomålsmail/A 30693-2022 FSC-klagomål mail.docx", "A 30693-2022")</f>
        <v/>
      </c>
      <c r="X121">
        <f>HYPERLINK("https://klasma.github.io/Logging_0188/tillsyn/A 30693-2022 tillsynsbegäran.docx", "A 30693-2022")</f>
        <v/>
      </c>
      <c r="Y121">
        <f>HYPERLINK("https://klasma.github.io/Logging_0188/tillsynsmail/A 30693-2022 tillsynsbegäran mail.docx", "A 30693-2022")</f>
        <v/>
      </c>
      <c r="Z121">
        <f>HYPERLINK("https://klasma.github.io/Logging_0188/fåglar/A 30693-2022 prioriterade fågelarter.docx", "A 30693-2022")</f>
        <v/>
      </c>
    </row>
    <row r="122" ht="15" customHeight="1">
      <c r="A122" t="inlineStr">
        <is>
          <t>A 31194-2022</t>
        </is>
      </c>
      <c r="B122" s="1" t="n">
        <v>44770</v>
      </c>
      <c r="C122" s="1" t="n">
        <v>45475</v>
      </c>
      <c r="D122" t="inlineStr">
        <is>
          <t>STOCKHOLMS LÄN</t>
        </is>
      </c>
      <c r="E122" t="inlineStr">
        <is>
          <t>NORRTÄLJE</t>
        </is>
      </c>
      <c r="G122" t="n">
        <v>2.7</v>
      </c>
      <c r="H122" t="n">
        <v>1</v>
      </c>
      <c r="I122" t="n">
        <v>0</v>
      </c>
      <c r="J122" t="n">
        <v>0</v>
      </c>
      <c r="K122" t="n">
        <v>0</v>
      </c>
      <c r="L122" t="n">
        <v>1</v>
      </c>
      <c r="M122" t="n">
        <v>0</v>
      </c>
      <c r="N122" t="n">
        <v>0</v>
      </c>
      <c r="O122" t="n">
        <v>1</v>
      </c>
      <c r="P122" t="n">
        <v>1</v>
      </c>
      <c r="Q122" t="n">
        <v>1</v>
      </c>
      <c r="R122" s="2" t="inlineStr">
        <is>
          <t>Asknätfjäril</t>
        </is>
      </c>
      <c r="S122">
        <f>HYPERLINK("https://klasma.github.io/Logging_0188/artfynd/A 31194-2022 artfynd.xlsx", "A 31194-2022")</f>
        <v/>
      </c>
      <c r="T122">
        <f>HYPERLINK("https://klasma.github.io/Logging_0188/kartor/A 31194-2022 karta.png", "A 31194-2022")</f>
        <v/>
      </c>
      <c r="V122">
        <f>HYPERLINK("https://klasma.github.io/Logging_0188/klagomål/A 31194-2022 FSC-klagomål.docx", "A 31194-2022")</f>
        <v/>
      </c>
      <c r="W122">
        <f>HYPERLINK("https://klasma.github.io/Logging_0188/klagomålsmail/A 31194-2022 FSC-klagomål mail.docx", "A 31194-2022")</f>
        <v/>
      </c>
      <c r="X122">
        <f>HYPERLINK("https://klasma.github.io/Logging_0188/tillsyn/A 31194-2022 tillsynsbegäran.docx", "A 31194-2022")</f>
        <v/>
      </c>
      <c r="Y122">
        <f>HYPERLINK("https://klasma.github.io/Logging_0188/tillsynsmail/A 31194-2022 tillsynsbegäran mail.docx", "A 31194-2022")</f>
        <v/>
      </c>
    </row>
    <row r="123" ht="15" customHeight="1">
      <c r="A123" t="inlineStr">
        <is>
          <t>A 33477-2022</t>
        </is>
      </c>
      <c r="B123" s="1" t="n">
        <v>44788</v>
      </c>
      <c r="C123" s="1" t="n">
        <v>45475</v>
      </c>
      <c r="D123" t="inlineStr">
        <is>
          <t>STOCKHOLMS LÄN</t>
        </is>
      </c>
      <c r="E123" t="inlineStr">
        <is>
          <t>NORRTÄLJE</t>
        </is>
      </c>
      <c r="G123" t="n">
        <v>5.7</v>
      </c>
      <c r="H123" t="n">
        <v>1</v>
      </c>
      <c r="I123" t="n">
        <v>1</v>
      </c>
      <c r="J123" t="n">
        <v>0</v>
      </c>
      <c r="K123" t="n">
        <v>0</v>
      </c>
      <c r="L123" t="n">
        <v>0</v>
      </c>
      <c r="M123" t="n">
        <v>0</v>
      </c>
      <c r="N123" t="n">
        <v>0</v>
      </c>
      <c r="O123" t="n">
        <v>0</v>
      </c>
      <c r="P123" t="n">
        <v>0</v>
      </c>
      <c r="Q123" t="n">
        <v>1</v>
      </c>
      <c r="R123" s="2" t="inlineStr">
        <is>
          <t>Nästrot</t>
        </is>
      </c>
      <c r="S123">
        <f>HYPERLINK("https://klasma.github.io/Logging_0188/artfynd/A 33477-2022 artfynd.xlsx", "A 33477-2022")</f>
        <v/>
      </c>
      <c r="T123">
        <f>HYPERLINK("https://klasma.github.io/Logging_0188/kartor/A 33477-2022 karta.png", "A 33477-2022")</f>
        <v/>
      </c>
      <c r="V123">
        <f>HYPERLINK("https://klasma.github.io/Logging_0188/klagomål/A 33477-2022 FSC-klagomål.docx", "A 33477-2022")</f>
        <v/>
      </c>
      <c r="W123">
        <f>HYPERLINK("https://klasma.github.io/Logging_0188/klagomålsmail/A 33477-2022 FSC-klagomål mail.docx", "A 33477-2022")</f>
        <v/>
      </c>
      <c r="X123">
        <f>HYPERLINK("https://klasma.github.io/Logging_0188/tillsyn/A 33477-2022 tillsynsbegäran.docx", "A 33477-2022")</f>
        <v/>
      </c>
      <c r="Y123">
        <f>HYPERLINK("https://klasma.github.io/Logging_0188/tillsynsmail/A 33477-2022 tillsynsbegäran mail.docx", "A 33477-2022")</f>
        <v/>
      </c>
    </row>
    <row r="124" ht="15" customHeight="1">
      <c r="A124" t="inlineStr">
        <is>
          <t>A 37522-2022</t>
        </is>
      </c>
      <c r="B124" s="1" t="n">
        <v>44809</v>
      </c>
      <c r="C124" s="1" t="n">
        <v>45475</v>
      </c>
      <c r="D124" t="inlineStr">
        <is>
          <t>STOCKHOLMS LÄN</t>
        </is>
      </c>
      <c r="E124" t="inlineStr">
        <is>
          <t>NORRTÄLJE</t>
        </is>
      </c>
      <c r="G124" t="n">
        <v>2.4</v>
      </c>
      <c r="H124" t="n">
        <v>1</v>
      </c>
      <c r="I124" t="n">
        <v>0</v>
      </c>
      <c r="J124" t="n">
        <v>0</v>
      </c>
      <c r="K124" t="n">
        <v>0</v>
      </c>
      <c r="L124" t="n">
        <v>0</v>
      </c>
      <c r="M124" t="n">
        <v>0</v>
      </c>
      <c r="N124" t="n">
        <v>0</v>
      </c>
      <c r="O124" t="n">
        <v>0</v>
      </c>
      <c r="P124" t="n">
        <v>0</v>
      </c>
      <c r="Q124" t="n">
        <v>1</v>
      </c>
      <c r="R124" s="2" t="inlineStr">
        <is>
          <t>Blåsippa</t>
        </is>
      </c>
      <c r="S124">
        <f>HYPERLINK("https://klasma.github.io/Logging_0188/artfynd/A 37522-2022 artfynd.xlsx", "A 37522-2022")</f>
        <v/>
      </c>
      <c r="T124">
        <f>HYPERLINK("https://klasma.github.io/Logging_0188/kartor/A 37522-2022 karta.png", "A 37522-2022")</f>
        <v/>
      </c>
      <c r="V124">
        <f>HYPERLINK("https://klasma.github.io/Logging_0188/klagomål/A 37522-2022 FSC-klagomål.docx", "A 37522-2022")</f>
        <v/>
      </c>
      <c r="W124">
        <f>HYPERLINK("https://klasma.github.io/Logging_0188/klagomålsmail/A 37522-2022 FSC-klagomål mail.docx", "A 37522-2022")</f>
        <v/>
      </c>
      <c r="X124">
        <f>HYPERLINK("https://klasma.github.io/Logging_0188/tillsyn/A 37522-2022 tillsynsbegäran.docx", "A 37522-2022")</f>
        <v/>
      </c>
      <c r="Y124">
        <f>HYPERLINK("https://klasma.github.io/Logging_0188/tillsynsmail/A 37522-2022 tillsynsbegäran mail.docx", "A 37522-2022")</f>
        <v/>
      </c>
    </row>
    <row r="125" ht="15" customHeight="1">
      <c r="A125" t="inlineStr">
        <is>
          <t>A 40672-2022</t>
        </is>
      </c>
      <c r="B125" s="1" t="n">
        <v>44824</v>
      </c>
      <c r="C125" s="1" t="n">
        <v>45475</v>
      </c>
      <c r="D125" t="inlineStr">
        <is>
          <t>STOCKHOLMS LÄN</t>
        </is>
      </c>
      <c r="E125" t="inlineStr">
        <is>
          <t>NORRTÄLJE</t>
        </is>
      </c>
      <c r="F125" t="inlineStr">
        <is>
          <t>Övriga Aktiebolag</t>
        </is>
      </c>
      <c r="G125" t="n">
        <v>1.3</v>
      </c>
      <c r="H125" t="n">
        <v>0</v>
      </c>
      <c r="I125" t="n">
        <v>0</v>
      </c>
      <c r="J125" t="n">
        <v>1</v>
      </c>
      <c r="K125" t="n">
        <v>0</v>
      </c>
      <c r="L125" t="n">
        <v>0</v>
      </c>
      <c r="M125" t="n">
        <v>0</v>
      </c>
      <c r="N125" t="n">
        <v>0</v>
      </c>
      <c r="O125" t="n">
        <v>1</v>
      </c>
      <c r="P125" t="n">
        <v>0</v>
      </c>
      <c r="Q125" t="n">
        <v>1</v>
      </c>
      <c r="R125" s="2" t="inlineStr">
        <is>
          <t>Månlåsbräken</t>
        </is>
      </c>
      <c r="S125">
        <f>HYPERLINK("https://klasma.github.io/Logging_0188/artfynd/A 40672-2022 artfynd.xlsx", "A 40672-2022")</f>
        <v/>
      </c>
      <c r="T125">
        <f>HYPERLINK("https://klasma.github.io/Logging_0188/kartor/A 40672-2022 karta.png", "A 40672-2022")</f>
        <v/>
      </c>
      <c r="V125">
        <f>HYPERLINK("https://klasma.github.io/Logging_0188/klagomål/A 40672-2022 FSC-klagomål.docx", "A 40672-2022")</f>
        <v/>
      </c>
      <c r="W125">
        <f>HYPERLINK("https://klasma.github.io/Logging_0188/klagomålsmail/A 40672-2022 FSC-klagomål mail.docx", "A 40672-2022")</f>
        <v/>
      </c>
      <c r="X125">
        <f>HYPERLINK("https://klasma.github.io/Logging_0188/tillsyn/A 40672-2022 tillsynsbegäran.docx", "A 40672-2022")</f>
        <v/>
      </c>
      <c r="Y125">
        <f>HYPERLINK("https://klasma.github.io/Logging_0188/tillsynsmail/A 40672-2022 tillsynsbegäran mail.docx", "A 40672-2022")</f>
        <v/>
      </c>
    </row>
    <row r="126" ht="15" customHeight="1">
      <c r="A126" t="inlineStr">
        <is>
          <t>A 44709-2022</t>
        </is>
      </c>
      <c r="B126" s="1" t="n">
        <v>44839</v>
      </c>
      <c r="C126" s="1" t="n">
        <v>45475</v>
      </c>
      <c r="D126" t="inlineStr">
        <is>
          <t>STOCKHOLMS LÄN</t>
        </is>
      </c>
      <c r="E126" t="inlineStr">
        <is>
          <t>NORRTÄLJE</t>
        </is>
      </c>
      <c r="G126" t="n">
        <v>16.3</v>
      </c>
      <c r="H126" t="n">
        <v>0</v>
      </c>
      <c r="I126" t="n">
        <v>0</v>
      </c>
      <c r="J126" t="n">
        <v>1</v>
      </c>
      <c r="K126" t="n">
        <v>0</v>
      </c>
      <c r="L126" t="n">
        <v>0</v>
      </c>
      <c r="M126" t="n">
        <v>0</v>
      </c>
      <c r="N126" t="n">
        <v>0</v>
      </c>
      <c r="O126" t="n">
        <v>1</v>
      </c>
      <c r="P126" t="n">
        <v>0</v>
      </c>
      <c r="Q126" t="n">
        <v>1</v>
      </c>
      <c r="R126" s="2" t="inlineStr">
        <is>
          <t>Asppraktbagge</t>
        </is>
      </c>
      <c r="S126">
        <f>HYPERLINK("https://klasma.github.io/Logging_0188/artfynd/A 44709-2022 artfynd.xlsx", "A 44709-2022")</f>
        <v/>
      </c>
      <c r="T126">
        <f>HYPERLINK("https://klasma.github.io/Logging_0188/kartor/A 44709-2022 karta.png", "A 44709-2022")</f>
        <v/>
      </c>
      <c r="V126">
        <f>HYPERLINK("https://klasma.github.io/Logging_0188/klagomål/A 44709-2022 FSC-klagomål.docx", "A 44709-2022")</f>
        <v/>
      </c>
      <c r="W126">
        <f>HYPERLINK("https://klasma.github.io/Logging_0188/klagomålsmail/A 44709-2022 FSC-klagomål mail.docx", "A 44709-2022")</f>
        <v/>
      </c>
      <c r="X126">
        <f>HYPERLINK("https://klasma.github.io/Logging_0188/tillsyn/A 44709-2022 tillsynsbegäran.docx", "A 44709-2022")</f>
        <v/>
      </c>
      <c r="Y126">
        <f>HYPERLINK("https://klasma.github.io/Logging_0188/tillsynsmail/A 44709-2022 tillsynsbegäran mail.docx", "A 44709-2022")</f>
        <v/>
      </c>
    </row>
    <row r="127" ht="15" customHeight="1">
      <c r="A127" t="inlineStr">
        <is>
          <t>A 47898-2022</t>
        </is>
      </c>
      <c r="B127" s="1" t="n">
        <v>44855</v>
      </c>
      <c r="C127" s="1" t="n">
        <v>45475</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50854-2022</t>
        </is>
      </c>
      <c r="B128" s="1" t="n">
        <v>44863</v>
      </c>
      <c r="C128" s="1" t="n">
        <v>45475</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52130-2022</t>
        </is>
      </c>
      <c r="B129" s="1" t="n">
        <v>44868</v>
      </c>
      <c r="C129" s="1" t="n">
        <v>45475</v>
      </c>
      <c r="D129" t="inlineStr">
        <is>
          <t>STOCKHOLMS LÄN</t>
        </is>
      </c>
      <c r="E129" t="inlineStr">
        <is>
          <t>NORRTÄLJE</t>
        </is>
      </c>
      <c r="G129" t="n">
        <v>3.7</v>
      </c>
      <c r="H129" t="n">
        <v>0</v>
      </c>
      <c r="I129" t="n">
        <v>0</v>
      </c>
      <c r="J129" t="n">
        <v>1</v>
      </c>
      <c r="K129" t="n">
        <v>0</v>
      </c>
      <c r="L129" t="n">
        <v>0</v>
      </c>
      <c r="M129" t="n">
        <v>0</v>
      </c>
      <c r="N129" t="n">
        <v>0</v>
      </c>
      <c r="O129" t="n">
        <v>1</v>
      </c>
      <c r="P129" t="n">
        <v>0</v>
      </c>
      <c r="Q129" t="n">
        <v>1</v>
      </c>
      <c r="R129" s="2" t="inlineStr">
        <is>
          <t>Flattoppad klubbsvamp</t>
        </is>
      </c>
      <c r="S129">
        <f>HYPERLINK("https://klasma.github.io/Logging_0188/artfynd/A 52130-2022 artfynd.xlsx", "A 52130-2022")</f>
        <v/>
      </c>
      <c r="T129">
        <f>HYPERLINK("https://klasma.github.io/Logging_0188/kartor/A 52130-2022 karta.png", "A 52130-2022")</f>
        <v/>
      </c>
      <c r="V129">
        <f>HYPERLINK("https://klasma.github.io/Logging_0188/klagomål/A 52130-2022 FSC-klagomål.docx", "A 52130-2022")</f>
        <v/>
      </c>
      <c r="W129">
        <f>HYPERLINK("https://klasma.github.io/Logging_0188/klagomålsmail/A 52130-2022 FSC-klagomål mail.docx", "A 52130-2022")</f>
        <v/>
      </c>
      <c r="X129">
        <f>HYPERLINK("https://klasma.github.io/Logging_0188/tillsyn/A 52130-2022 tillsynsbegäran.docx", "A 52130-2022")</f>
        <v/>
      </c>
      <c r="Y129">
        <f>HYPERLINK("https://klasma.github.io/Logging_0188/tillsynsmail/A 52130-2022 tillsynsbegäran mail.docx", "A 52130-2022")</f>
        <v/>
      </c>
    </row>
    <row r="130" ht="15" customHeight="1">
      <c r="A130" t="inlineStr">
        <is>
          <t>A 61011-2022</t>
        </is>
      </c>
      <c r="B130" s="1" t="n">
        <v>44914</v>
      </c>
      <c r="C130" s="1" t="n">
        <v>45475</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61011-2022 artfynd.xlsx", "A 61011-2022")</f>
        <v/>
      </c>
      <c r="T130">
        <f>HYPERLINK("https://klasma.github.io/Logging_0188/kartor/A 61011-2022 karta.png", "A 61011-2022")</f>
        <v/>
      </c>
      <c r="V130">
        <f>HYPERLINK("https://klasma.github.io/Logging_0188/klagomål/A 61011-2022 FSC-klagomål.docx", "A 61011-2022")</f>
        <v/>
      </c>
      <c r="W130">
        <f>HYPERLINK("https://klasma.github.io/Logging_0188/klagomålsmail/A 61011-2022 FSC-klagomål mail.docx", "A 61011-2022")</f>
        <v/>
      </c>
      <c r="X130">
        <f>HYPERLINK("https://klasma.github.io/Logging_0188/tillsyn/A 61011-2022 tillsynsbegäran.docx", "A 61011-2022")</f>
        <v/>
      </c>
      <c r="Y130">
        <f>HYPERLINK("https://klasma.github.io/Logging_0188/tillsynsmail/A 61011-2022 tillsynsbegäran mail.docx", "A 61011-2022")</f>
        <v/>
      </c>
    </row>
    <row r="131" ht="15" customHeight="1">
      <c r="A131" t="inlineStr">
        <is>
          <t>A 4595-2023</t>
        </is>
      </c>
      <c r="B131" s="1" t="n">
        <v>44956</v>
      </c>
      <c r="C131" s="1" t="n">
        <v>45475</v>
      </c>
      <c r="D131" t="inlineStr">
        <is>
          <t>STOCKHOLMS LÄN</t>
        </is>
      </c>
      <c r="E131" t="inlineStr">
        <is>
          <t>NORRTÄLJE</t>
        </is>
      </c>
      <c r="G131" t="n">
        <v>0.6</v>
      </c>
      <c r="H131" t="n">
        <v>1</v>
      </c>
      <c r="I131" t="n">
        <v>0</v>
      </c>
      <c r="J131" t="n">
        <v>0</v>
      </c>
      <c r="K131" t="n">
        <v>0</v>
      </c>
      <c r="L131" t="n">
        <v>0</v>
      </c>
      <c r="M131" t="n">
        <v>0</v>
      </c>
      <c r="N131" t="n">
        <v>0</v>
      </c>
      <c r="O131" t="n">
        <v>0</v>
      </c>
      <c r="P131" t="n">
        <v>0</v>
      </c>
      <c r="Q131" t="n">
        <v>1</v>
      </c>
      <c r="R131" s="2" t="inlineStr">
        <is>
          <t>Blåsippa</t>
        </is>
      </c>
      <c r="S131">
        <f>HYPERLINK("https://klasma.github.io/Logging_0188/artfynd/A 4595-2023 artfynd.xlsx", "A 4595-2023")</f>
        <v/>
      </c>
      <c r="T131">
        <f>HYPERLINK("https://klasma.github.io/Logging_0188/kartor/A 4595-2023 karta.png", "A 4595-2023")</f>
        <v/>
      </c>
      <c r="V131">
        <f>HYPERLINK("https://klasma.github.io/Logging_0188/klagomål/A 4595-2023 FSC-klagomål.docx", "A 4595-2023")</f>
        <v/>
      </c>
      <c r="W131">
        <f>HYPERLINK("https://klasma.github.io/Logging_0188/klagomålsmail/A 4595-2023 FSC-klagomål mail.docx", "A 4595-2023")</f>
        <v/>
      </c>
      <c r="X131">
        <f>HYPERLINK("https://klasma.github.io/Logging_0188/tillsyn/A 4595-2023 tillsynsbegäran.docx", "A 4595-2023")</f>
        <v/>
      </c>
      <c r="Y131">
        <f>HYPERLINK("https://klasma.github.io/Logging_0188/tillsynsmail/A 4595-2023 tillsynsbegäran mail.docx", "A 4595-2023")</f>
        <v/>
      </c>
    </row>
    <row r="132" ht="15" customHeight="1">
      <c r="A132" t="inlineStr">
        <is>
          <t>A 6381-2023</t>
        </is>
      </c>
      <c r="B132" s="1" t="n">
        <v>44965</v>
      </c>
      <c r="C132" s="1" t="n">
        <v>45475</v>
      </c>
      <c r="D132" t="inlineStr">
        <is>
          <t>STOCKHOLMS LÄN</t>
        </is>
      </c>
      <c r="E132" t="inlineStr">
        <is>
          <t>NORRTÄLJE</t>
        </is>
      </c>
      <c r="G132" t="n">
        <v>3.5</v>
      </c>
      <c r="H132" t="n">
        <v>1</v>
      </c>
      <c r="I132" t="n">
        <v>1</v>
      </c>
      <c r="J132" t="n">
        <v>0</v>
      </c>
      <c r="K132" t="n">
        <v>0</v>
      </c>
      <c r="L132" t="n">
        <v>0</v>
      </c>
      <c r="M132" t="n">
        <v>0</v>
      </c>
      <c r="N132" t="n">
        <v>0</v>
      </c>
      <c r="O132" t="n">
        <v>0</v>
      </c>
      <c r="P132" t="n">
        <v>0</v>
      </c>
      <c r="Q132" t="n">
        <v>1</v>
      </c>
      <c r="R132" s="2" t="inlineStr">
        <is>
          <t>Guckusko</t>
        </is>
      </c>
      <c r="S132">
        <f>HYPERLINK("https://klasma.github.io/Logging_0188/artfynd/A 6381-2023 artfynd.xlsx", "A 6381-2023")</f>
        <v/>
      </c>
      <c r="T132">
        <f>HYPERLINK("https://klasma.github.io/Logging_0188/kartor/A 6381-2023 karta.png", "A 6381-2023")</f>
        <v/>
      </c>
      <c r="V132">
        <f>HYPERLINK("https://klasma.github.io/Logging_0188/klagomål/A 6381-2023 FSC-klagomål.docx", "A 6381-2023")</f>
        <v/>
      </c>
      <c r="W132">
        <f>HYPERLINK("https://klasma.github.io/Logging_0188/klagomålsmail/A 6381-2023 FSC-klagomål mail.docx", "A 6381-2023")</f>
        <v/>
      </c>
      <c r="X132">
        <f>HYPERLINK("https://klasma.github.io/Logging_0188/tillsyn/A 6381-2023 tillsynsbegäran.docx", "A 6381-2023")</f>
        <v/>
      </c>
      <c r="Y132">
        <f>HYPERLINK("https://klasma.github.io/Logging_0188/tillsynsmail/A 6381-2023 tillsynsbegäran mail.docx", "A 6381-2023")</f>
        <v/>
      </c>
    </row>
    <row r="133" ht="15" customHeight="1">
      <c r="A133" t="inlineStr">
        <is>
          <t>A 9214-2023</t>
        </is>
      </c>
      <c r="B133" s="1" t="n">
        <v>44980</v>
      </c>
      <c r="C133" s="1" t="n">
        <v>45475</v>
      </c>
      <c r="D133" t="inlineStr">
        <is>
          <t>STOCKHOLMS LÄN</t>
        </is>
      </c>
      <c r="E133" t="inlineStr">
        <is>
          <t>NORRTÄLJE</t>
        </is>
      </c>
      <c r="G133" t="n">
        <v>10.6</v>
      </c>
      <c r="H133" t="n">
        <v>1</v>
      </c>
      <c r="I133" t="n">
        <v>1</v>
      </c>
      <c r="J133" t="n">
        <v>0</v>
      </c>
      <c r="K133" t="n">
        <v>0</v>
      </c>
      <c r="L133" t="n">
        <v>0</v>
      </c>
      <c r="M133" t="n">
        <v>0</v>
      </c>
      <c r="N133" t="n">
        <v>0</v>
      </c>
      <c r="O133" t="n">
        <v>0</v>
      </c>
      <c r="P133" t="n">
        <v>0</v>
      </c>
      <c r="Q133" t="n">
        <v>1</v>
      </c>
      <c r="R133" s="2" t="inlineStr">
        <is>
          <t>Guckusko</t>
        </is>
      </c>
      <c r="S133">
        <f>HYPERLINK("https://klasma.github.io/Logging_0188/artfynd/A 9214-2023 artfynd.xlsx", "A 9214-2023")</f>
        <v/>
      </c>
      <c r="T133">
        <f>HYPERLINK("https://klasma.github.io/Logging_0188/kartor/A 9214-2023 karta.png", "A 9214-2023")</f>
        <v/>
      </c>
      <c r="V133">
        <f>HYPERLINK("https://klasma.github.io/Logging_0188/klagomål/A 9214-2023 FSC-klagomål.docx", "A 9214-2023")</f>
        <v/>
      </c>
      <c r="W133">
        <f>HYPERLINK("https://klasma.github.io/Logging_0188/klagomålsmail/A 9214-2023 FSC-klagomål mail.docx", "A 9214-2023")</f>
        <v/>
      </c>
      <c r="X133">
        <f>HYPERLINK("https://klasma.github.io/Logging_0188/tillsyn/A 9214-2023 tillsynsbegäran.docx", "A 9214-2023")</f>
        <v/>
      </c>
      <c r="Y133">
        <f>HYPERLINK("https://klasma.github.io/Logging_0188/tillsynsmail/A 9214-2023 tillsynsbegäran mail.docx", "A 9214-2023")</f>
        <v/>
      </c>
    </row>
    <row r="134" ht="15" customHeight="1">
      <c r="A134" t="inlineStr">
        <is>
          <t>A 9271-2023</t>
        </is>
      </c>
      <c r="B134" s="1" t="n">
        <v>44980</v>
      </c>
      <c r="C134" s="1" t="n">
        <v>45475</v>
      </c>
      <c r="D134" t="inlineStr">
        <is>
          <t>STOCKHOLMS LÄN</t>
        </is>
      </c>
      <c r="E134" t="inlineStr">
        <is>
          <t>NORRTÄLJE</t>
        </is>
      </c>
      <c r="G134" t="n">
        <v>5.3</v>
      </c>
      <c r="H134" t="n">
        <v>1</v>
      </c>
      <c r="I134" t="n">
        <v>0</v>
      </c>
      <c r="J134" t="n">
        <v>0</v>
      </c>
      <c r="K134" t="n">
        <v>1</v>
      </c>
      <c r="L134" t="n">
        <v>0</v>
      </c>
      <c r="M134" t="n">
        <v>0</v>
      </c>
      <c r="N134" t="n">
        <v>0</v>
      </c>
      <c r="O134" t="n">
        <v>1</v>
      </c>
      <c r="P134" t="n">
        <v>1</v>
      </c>
      <c r="Q134" t="n">
        <v>1</v>
      </c>
      <c r="R134" s="2" t="inlineStr">
        <is>
          <t>Hällebräcka</t>
        </is>
      </c>
      <c r="S134">
        <f>HYPERLINK("https://klasma.github.io/Logging_0188/artfynd/A 9271-2023 artfynd.xlsx", "A 9271-2023")</f>
        <v/>
      </c>
      <c r="T134">
        <f>HYPERLINK("https://klasma.github.io/Logging_0188/kartor/A 9271-2023 karta.png", "A 9271-2023")</f>
        <v/>
      </c>
      <c r="V134">
        <f>HYPERLINK("https://klasma.github.io/Logging_0188/klagomål/A 9271-2023 FSC-klagomål.docx", "A 9271-2023")</f>
        <v/>
      </c>
      <c r="W134">
        <f>HYPERLINK("https://klasma.github.io/Logging_0188/klagomålsmail/A 9271-2023 FSC-klagomål mail.docx", "A 9271-2023")</f>
        <v/>
      </c>
      <c r="X134">
        <f>HYPERLINK("https://klasma.github.io/Logging_0188/tillsyn/A 9271-2023 tillsynsbegäran.docx", "A 9271-2023")</f>
        <v/>
      </c>
      <c r="Y134">
        <f>HYPERLINK("https://klasma.github.io/Logging_0188/tillsynsmail/A 9271-2023 tillsynsbegäran mail.docx", "A 9271-2023")</f>
        <v/>
      </c>
    </row>
    <row r="135" ht="15" customHeight="1">
      <c r="A135" t="inlineStr">
        <is>
          <t>A 9522-2023</t>
        </is>
      </c>
      <c r="B135" s="1" t="n">
        <v>44981</v>
      </c>
      <c r="C135" s="1" t="n">
        <v>45475</v>
      </c>
      <c r="D135" t="inlineStr">
        <is>
          <t>STOCKHOLMS LÄN</t>
        </is>
      </c>
      <c r="E135" t="inlineStr">
        <is>
          <t>NORRTÄLJE</t>
        </is>
      </c>
      <c r="F135" t="inlineStr">
        <is>
          <t>Holmen skog AB</t>
        </is>
      </c>
      <c r="G135" t="n">
        <v>7.5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9522-2023 artfynd.xlsx", "A 9522-2023")</f>
        <v/>
      </c>
      <c r="T135">
        <f>HYPERLINK("https://klasma.github.io/Logging_0188/kartor/A 9522-2023 karta.png", "A 9522-2023")</f>
        <v/>
      </c>
      <c r="V135">
        <f>HYPERLINK("https://klasma.github.io/Logging_0188/klagomål/A 9522-2023 FSC-klagomål.docx", "A 9522-2023")</f>
        <v/>
      </c>
      <c r="W135">
        <f>HYPERLINK("https://klasma.github.io/Logging_0188/klagomålsmail/A 9522-2023 FSC-klagomål mail.docx", "A 9522-2023")</f>
        <v/>
      </c>
      <c r="X135">
        <f>HYPERLINK("https://klasma.github.io/Logging_0188/tillsyn/A 9522-2023 tillsynsbegäran.docx", "A 9522-2023")</f>
        <v/>
      </c>
      <c r="Y135">
        <f>HYPERLINK("https://klasma.github.io/Logging_0188/tillsynsmail/A 9522-2023 tillsynsbegäran mail.docx", "A 9522-2023")</f>
        <v/>
      </c>
    </row>
    <row r="136" ht="15" customHeight="1">
      <c r="A136" t="inlineStr">
        <is>
          <t>A 10019-2023</t>
        </is>
      </c>
      <c r="B136" s="1" t="n">
        <v>44985</v>
      </c>
      <c r="C136" s="1" t="n">
        <v>45475</v>
      </c>
      <c r="D136" t="inlineStr">
        <is>
          <t>STOCKHOLMS LÄN</t>
        </is>
      </c>
      <c r="E136" t="inlineStr">
        <is>
          <t>NORRTÄLJE</t>
        </is>
      </c>
      <c r="G136" t="n">
        <v>8.4</v>
      </c>
      <c r="H136" t="n">
        <v>0</v>
      </c>
      <c r="I136" t="n">
        <v>1</v>
      </c>
      <c r="J136" t="n">
        <v>0</v>
      </c>
      <c r="K136" t="n">
        <v>0</v>
      </c>
      <c r="L136" t="n">
        <v>0</v>
      </c>
      <c r="M136" t="n">
        <v>0</v>
      </c>
      <c r="N136" t="n">
        <v>0</v>
      </c>
      <c r="O136" t="n">
        <v>0</v>
      </c>
      <c r="P136" t="n">
        <v>0</v>
      </c>
      <c r="Q136" t="n">
        <v>1</v>
      </c>
      <c r="R136" s="2" t="inlineStr">
        <is>
          <t>Underviol</t>
        </is>
      </c>
      <c r="S136">
        <f>HYPERLINK("https://klasma.github.io/Logging_0188/artfynd/A 10019-2023 artfynd.xlsx", "A 10019-2023")</f>
        <v/>
      </c>
      <c r="T136">
        <f>HYPERLINK("https://klasma.github.io/Logging_0188/kartor/A 10019-2023 karta.png", "A 10019-2023")</f>
        <v/>
      </c>
      <c r="V136">
        <f>HYPERLINK("https://klasma.github.io/Logging_0188/klagomål/A 10019-2023 FSC-klagomål.docx", "A 10019-2023")</f>
        <v/>
      </c>
      <c r="W136">
        <f>HYPERLINK("https://klasma.github.io/Logging_0188/klagomålsmail/A 10019-2023 FSC-klagomål mail.docx", "A 10019-2023")</f>
        <v/>
      </c>
      <c r="X136">
        <f>HYPERLINK("https://klasma.github.io/Logging_0188/tillsyn/A 10019-2023 tillsynsbegäran.docx", "A 10019-2023")</f>
        <v/>
      </c>
      <c r="Y136">
        <f>HYPERLINK("https://klasma.github.io/Logging_0188/tillsynsmail/A 10019-2023 tillsynsbegäran mail.docx", "A 10019-2023")</f>
        <v/>
      </c>
    </row>
    <row r="137" ht="15" customHeight="1">
      <c r="A137" t="inlineStr">
        <is>
          <t>A 11429-2023</t>
        </is>
      </c>
      <c r="B137" s="1" t="n">
        <v>44993</v>
      </c>
      <c r="C137" s="1" t="n">
        <v>45475</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12442-2023</t>
        </is>
      </c>
      <c r="B138" s="1" t="n">
        <v>44999</v>
      </c>
      <c r="C138" s="1" t="n">
        <v>45475</v>
      </c>
      <c r="D138" t="inlineStr">
        <is>
          <t>STOCKHOLMS LÄN</t>
        </is>
      </c>
      <c r="E138" t="inlineStr">
        <is>
          <t>NORRTÄLJE</t>
        </is>
      </c>
      <c r="G138" t="n">
        <v>1.9</v>
      </c>
      <c r="H138" t="n">
        <v>1</v>
      </c>
      <c r="I138" t="n">
        <v>0</v>
      </c>
      <c r="J138" t="n">
        <v>0</v>
      </c>
      <c r="K138" t="n">
        <v>0</v>
      </c>
      <c r="L138" t="n">
        <v>0</v>
      </c>
      <c r="M138" t="n">
        <v>0</v>
      </c>
      <c r="N138" t="n">
        <v>0</v>
      </c>
      <c r="O138" t="n">
        <v>0</v>
      </c>
      <c r="P138" t="n">
        <v>0</v>
      </c>
      <c r="Q138" t="n">
        <v>1</v>
      </c>
      <c r="R138" s="2" t="inlineStr">
        <is>
          <t>Gullviva</t>
        </is>
      </c>
      <c r="S138">
        <f>HYPERLINK("https://klasma.github.io/Logging_0188/artfynd/A 12442-2023 artfynd.xlsx", "A 12442-2023")</f>
        <v/>
      </c>
      <c r="T138">
        <f>HYPERLINK("https://klasma.github.io/Logging_0188/kartor/A 12442-2023 karta.png", "A 12442-2023")</f>
        <v/>
      </c>
      <c r="V138">
        <f>HYPERLINK("https://klasma.github.io/Logging_0188/klagomål/A 12442-2023 FSC-klagomål.docx", "A 12442-2023")</f>
        <v/>
      </c>
      <c r="W138">
        <f>HYPERLINK("https://klasma.github.io/Logging_0188/klagomålsmail/A 12442-2023 FSC-klagomål mail.docx", "A 12442-2023")</f>
        <v/>
      </c>
      <c r="X138">
        <f>HYPERLINK("https://klasma.github.io/Logging_0188/tillsyn/A 12442-2023 tillsynsbegäran.docx", "A 12442-2023")</f>
        <v/>
      </c>
      <c r="Y138">
        <f>HYPERLINK("https://klasma.github.io/Logging_0188/tillsynsmail/A 12442-2023 tillsynsbegäran mail.docx", "A 12442-2023")</f>
        <v/>
      </c>
    </row>
    <row r="139" ht="15" customHeight="1">
      <c r="A139" t="inlineStr">
        <is>
          <t>A 15644-2023</t>
        </is>
      </c>
      <c r="B139" s="1" t="n">
        <v>45021</v>
      </c>
      <c r="C139" s="1" t="n">
        <v>45475</v>
      </c>
      <c r="D139" t="inlineStr">
        <is>
          <t>STOCKHOLMS LÄN</t>
        </is>
      </c>
      <c r="E139" t="inlineStr">
        <is>
          <t>NORRTÄLJE</t>
        </is>
      </c>
      <c r="F139" t="inlineStr">
        <is>
          <t>Holmen skog AB</t>
        </is>
      </c>
      <c r="G139" t="n">
        <v>13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15644-2023 artfynd.xlsx", "A 15644-2023")</f>
        <v/>
      </c>
      <c r="T139">
        <f>HYPERLINK("https://klasma.github.io/Logging_0188/kartor/A 15644-2023 karta.png", "A 15644-2023")</f>
        <v/>
      </c>
      <c r="V139">
        <f>HYPERLINK("https://klasma.github.io/Logging_0188/klagomål/A 15644-2023 FSC-klagomål.docx", "A 15644-2023")</f>
        <v/>
      </c>
      <c r="W139">
        <f>HYPERLINK("https://klasma.github.io/Logging_0188/klagomålsmail/A 15644-2023 FSC-klagomål mail.docx", "A 15644-2023")</f>
        <v/>
      </c>
      <c r="X139">
        <f>HYPERLINK("https://klasma.github.io/Logging_0188/tillsyn/A 15644-2023 tillsynsbegäran.docx", "A 15644-2023")</f>
        <v/>
      </c>
      <c r="Y139">
        <f>HYPERLINK("https://klasma.github.io/Logging_0188/tillsynsmail/A 15644-2023 tillsynsbegäran mail.docx", "A 15644-2023")</f>
        <v/>
      </c>
    </row>
    <row r="140" ht="15" customHeight="1">
      <c r="A140" t="inlineStr">
        <is>
          <t>A 18216-2023</t>
        </is>
      </c>
      <c r="B140" s="1" t="n">
        <v>45041</v>
      </c>
      <c r="C140" s="1" t="n">
        <v>45475</v>
      </c>
      <c r="D140" t="inlineStr">
        <is>
          <t>STOCKHOLMS LÄN</t>
        </is>
      </c>
      <c r="E140" t="inlineStr">
        <is>
          <t>NORRTÄLJE</t>
        </is>
      </c>
      <c r="F140" t="inlineStr">
        <is>
          <t>Holmen skog AB</t>
        </is>
      </c>
      <c r="G140" t="n">
        <v>1.9</v>
      </c>
      <c r="H140" t="n">
        <v>0</v>
      </c>
      <c r="I140" t="n">
        <v>1</v>
      </c>
      <c r="J140" t="n">
        <v>0</v>
      </c>
      <c r="K140" t="n">
        <v>0</v>
      </c>
      <c r="L140" t="n">
        <v>0</v>
      </c>
      <c r="M140" t="n">
        <v>0</v>
      </c>
      <c r="N140" t="n">
        <v>0</v>
      </c>
      <c r="O140" t="n">
        <v>0</v>
      </c>
      <c r="P140" t="n">
        <v>0</v>
      </c>
      <c r="Q140" t="n">
        <v>1</v>
      </c>
      <c r="R140" s="2" t="inlineStr">
        <is>
          <t>Vårärt</t>
        </is>
      </c>
      <c r="S140">
        <f>HYPERLINK("https://klasma.github.io/Logging_0188/artfynd/A 18216-2023 artfynd.xlsx", "A 18216-2023")</f>
        <v/>
      </c>
      <c r="T140">
        <f>HYPERLINK("https://klasma.github.io/Logging_0188/kartor/A 18216-2023 karta.png", "A 18216-2023")</f>
        <v/>
      </c>
      <c r="V140">
        <f>HYPERLINK("https://klasma.github.io/Logging_0188/klagomål/A 18216-2023 FSC-klagomål.docx", "A 18216-2023")</f>
        <v/>
      </c>
      <c r="W140">
        <f>HYPERLINK("https://klasma.github.io/Logging_0188/klagomålsmail/A 18216-2023 FSC-klagomål mail.docx", "A 18216-2023")</f>
        <v/>
      </c>
      <c r="X140">
        <f>HYPERLINK("https://klasma.github.io/Logging_0188/tillsyn/A 18216-2023 tillsynsbegäran.docx", "A 18216-2023")</f>
        <v/>
      </c>
      <c r="Y140">
        <f>HYPERLINK("https://klasma.github.io/Logging_0188/tillsynsmail/A 18216-2023 tillsynsbegäran mail.docx", "A 18216-2023")</f>
        <v/>
      </c>
    </row>
    <row r="141" ht="15" customHeight="1">
      <c r="A141" t="inlineStr">
        <is>
          <t>A 21431-2023</t>
        </is>
      </c>
      <c r="B141" s="1" t="n">
        <v>45063</v>
      </c>
      <c r="C141" s="1" t="n">
        <v>45475</v>
      </c>
      <c r="D141" t="inlineStr">
        <is>
          <t>STOCKHOLMS LÄN</t>
        </is>
      </c>
      <c r="E141" t="inlineStr">
        <is>
          <t>NORRTÄLJE</t>
        </is>
      </c>
      <c r="F141" t="inlineStr">
        <is>
          <t>Holmen skog AB</t>
        </is>
      </c>
      <c r="G141" t="n">
        <v>4</v>
      </c>
      <c r="H141" t="n">
        <v>1</v>
      </c>
      <c r="I141" t="n">
        <v>1</v>
      </c>
      <c r="J141" t="n">
        <v>0</v>
      </c>
      <c r="K141" t="n">
        <v>0</v>
      </c>
      <c r="L141" t="n">
        <v>0</v>
      </c>
      <c r="M141" t="n">
        <v>0</v>
      </c>
      <c r="N141" t="n">
        <v>0</v>
      </c>
      <c r="O141" t="n">
        <v>0</v>
      </c>
      <c r="P141" t="n">
        <v>0</v>
      </c>
      <c r="Q141" t="n">
        <v>1</v>
      </c>
      <c r="R141" s="2" t="inlineStr">
        <is>
          <t>Nästrot</t>
        </is>
      </c>
      <c r="S141">
        <f>HYPERLINK("https://klasma.github.io/Logging_0188/artfynd/A 21431-2023 artfynd.xlsx", "A 21431-2023")</f>
        <v/>
      </c>
      <c r="T141">
        <f>HYPERLINK("https://klasma.github.io/Logging_0188/kartor/A 21431-2023 karta.png", "A 21431-2023")</f>
        <v/>
      </c>
      <c r="V141">
        <f>HYPERLINK("https://klasma.github.io/Logging_0188/klagomål/A 21431-2023 FSC-klagomål.docx", "A 21431-2023")</f>
        <v/>
      </c>
      <c r="W141">
        <f>HYPERLINK("https://klasma.github.io/Logging_0188/klagomålsmail/A 21431-2023 FSC-klagomål mail.docx", "A 21431-2023")</f>
        <v/>
      </c>
      <c r="X141">
        <f>HYPERLINK("https://klasma.github.io/Logging_0188/tillsyn/A 21431-2023 tillsynsbegäran.docx", "A 21431-2023")</f>
        <v/>
      </c>
      <c r="Y141">
        <f>HYPERLINK("https://klasma.github.io/Logging_0188/tillsynsmail/A 21431-2023 tillsynsbegäran mail.docx", "A 21431-2023")</f>
        <v/>
      </c>
    </row>
    <row r="142" ht="15" customHeight="1">
      <c r="A142" t="inlineStr">
        <is>
          <t>A 21744-2023</t>
        </is>
      </c>
      <c r="B142" s="1" t="n">
        <v>45065</v>
      </c>
      <c r="C142" s="1" t="n">
        <v>45475</v>
      </c>
      <c r="D142" t="inlineStr">
        <is>
          <t>STOCKHOLMS LÄN</t>
        </is>
      </c>
      <c r="E142" t="inlineStr">
        <is>
          <t>NORRTÄLJE</t>
        </is>
      </c>
      <c r="F142" t="inlineStr">
        <is>
          <t>Holmen skog AB</t>
        </is>
      </c>
      <c r="G142" t="n">
        <v>4.2</v>
      </c>
      <c r="H142" t="n">
        <v>0</v>
      </c>
      <c r="I142" t="n">
        <v>1</v>
      </c>
      <c r="J142" t="n">
        <v>0</v>
      </c>
      <c r="K142" t="n">
        <v>0</v>
      </c>
      <c r="L142" t="n">
        <v>0</v>
      </c>
      <c r="M142" t="n">
        <v>0</v>
      </c>
      <c r="N142" t="n">
        <v>0</v>
      </c>
      <c r="O142" t="n">
        <v>0</v>
      </c>
      <c r="P142" t="n">
        <v>0</v>
      </c>
      <c r="Q142" t="n">
        <v>1</v>
      </c>
      <c r="R142" s="2" t="inlineStr">
        <is>
          <t>Korallblylav</t>
        </is>
      </c>
      <c r="S142">
        <f>HYPERLINK("https://klasma.github.io/Logging_0188/artfynd/A 21744-2023 artfynd.xlsx", "A 21744-2023")</f>
        <v/>
      </c>
      <c r="T142">
        <f>HYPERLINK("https://klasma.github.io/Logging_0188/kartor/A 21744-2023 karta.png", "A 21744-2023")</f>
        <v/>
      </c>
      <c r="V142">
        <f>HYPERLINK("https://klasma.github.io/Logging_0188/klagomål/A 21744-2023 FSC-klagomål.docx", "A 21744-2023")</f>
        <v/>
      </c>
      <c r="W142">
        <f>HYPERLINK("https://klasma.github.io/Logging_0188/klagomålsmail/A 21744-2023 FSC-klagomål mail.docx", "A 21744-2023")</f>
        <v/>
      </c>
      <c r="X142">
        <f>HYPERLINK("https://klasma.github.io/Logging_0188/tillsyn/A 21744-2023 tillsynsbegäran.docx", "A 21744-2023")</f>
        <v/>
      </c>
      <c r="Y142">
        <f>HYPERLINK("https://klasma.github.io/Logging_0188/tillsynsmail/A 21744-2023 tillsynsbegäran mail.docx", "A 21744-2023")</f>
        <v/>
      </c>
    </row>
    <row r="143" ht="15" customHeight="1">
      <c r="A143" t="inlineStr">
        <is>
          <t>A 24535-2023</t>
        </is>
      </c>
      <c r="B143" s="1" t="n">
        <v>45082</v>
      </c>
      <c r="C143" s="1" t="n">
        <v>45475</v>
      </c>
      <c r="D143" t="inlineStr">
        <is>
          <t>STOCKHOLMS LÄN</t>
        </is>
      </c>
      <c r="E143" t="inlineStr">
        <is>
          <t>NORRTÄLJE</t>
        </is>
      </c>
      <c r="F143" t="inlineStr">
        <is>
          <t>Kommuner</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HYPERLINK("https://klasma.github.io/Logging_0188/artfynd/A 24535-2023 artfynd.xlsx", "A 24535-2023")</f>
        <v/>
      </c>
      <c r="T143">
        <f>HYPERLINK("https://klasma.github.io/Logging_0188/kartor/A 24535-2023 karta.png", "A 24535-2023")</f>
        <v/>
      </c>
      <c r="V143">
        <f>HYPERLINK("https://klasma.github.io/Logging_0188/klagomål/A 24535-2023 FSC-klagomål.docx", "A 24535-2023")</f>
        <v/>
      </c>
      <c r="W143">
        <f>HYPERLINK("https://klasma.github.io/Logging_0188/klagomålsmail/A 24535-2023 FSC-klagomål mail.docx", "A 24535-2023")</f>
        <v/>
      </c>
      <c r="X143">
        <f>HYPERLINK("https://klasma.github.io/Logging_0188/tillsyn/A 24535-2023 tillsynsbegäran.docx", "A 24535-2023")</f>
        <v/>
      </c>
      <c r="Y143">
        <f>HYPERLINK("https://klasma.github.io/Logging_0188/tillsynsmail/A 24535-2023 tillsynsbegäran mail.docx", "A 24535-2023")</f>
        <v/>
      </c>
    </row>
    <row r="144" ht="15" customHeight="1">
      <c r="A144" t="inlineStr">
        <is>
          <t>A 26635-2023</t>
        </is>
      </c>
      <c r="B144" s="1" t="n">
        <v>45092</v>
      </c>
      <c r="C144" s="1" t="n">
        <v>45475</v>
      </c>
      <c r="D144" t="inlineStr">
        <is>
          <t>STOCKHOLMS LÄN</t>
        </is>
      </c>
      <c r="E144" t="inlineStr">
        <is>
          <t>NORRTÄLJE</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HYPERLINK("https://klasma.github.io/Logging_0188/artfynd/A 26635-2023 artfynd.xlsx", "A 26635-2023")</f>
        <v/>
      </c>
      <c r="T144">
        <f>HYPERLINK("https://klasma.github.io/Logging_0188/kartor/A 26635-2023 karta.png", "A 26635-2023")</f>
        <v/>
      </c>
      <c r="V144">
        <f>HYPERLINK("https://klasma.github.io/Logging_0188/klagomål/A 26635-2023 FSC-klagomål.docx", "A 26635-2023")</f>
        <v/>
      </c>
      <c r="W144">
        <f>HYPERLINK("https://klasma.github.io/Logging_0188/klagomålsmail/A 26635-2023 FSC-klagomål mail.docx", "A 26635-2023")</f>
        <v/>
      </c>
      <c r="X144">
        <f>HYPERLINK("https://klasma.github.io/Logging_0188/tillsyn/A 26635-2023 tillsynsbegäran.docx", "A 26635-2023")</f>
        <v/>
      </c>
      <c r="Y144">
        <f>HYPERLINK("https://klasma.github.io/Logging_0188/tillsynsmail/A 26635-2023 tillsynsbegäran mail.docx", "A 26635-2023")</f>
        <v/>
      </c>
    </row>
    <row r="145" ht="15" customHeight="1">
      <c r="A145" t="inlineStr">
        <is>
          <t>A 35649-2023</t>
        </is>
      </c>
      <c r="B145" s="1" t="n">
        <v>45146</v>
      </c>
      <c r="C145" s="1" t="n">
        <v>45475</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39255-2023</t>
        </is>
      </c>
      <c r="B146" s="1" t="n">
        <v>45166</v>
      </c>
      <c r="C146" s="1" t="n">
        <v>45475</v>
      </c>
      <c r="D146" t="inlineStr">
        <is>
          <t>STOCKHOLMS LÄN</t>
        </is>
      </c>
      <c r="E146" t="inlineStr">
        <is>
          <t>NORRTÄLJE</t>
        </is>
      </c>
      <c r="G146" t="n">
        <v>14.2</v>
      </c>
      <c r="H146" t="n">
        <v>1</v>
      </c>
      <c r="I146" t="n">
        <v>0</v>
      </c>
      <c r="J146" t="n">
        <v>0</v>
      </c>
      <c r="K146" t="n">
        <v>0</v>
      </c>
      <c r="L146" t="n">
        <v>0</v>
      </c>
      <c r="M146" t="n">
        <v>0</v>
      </c>
      <c r="N146" t="n">
        <v>0</v>
      </c>
      <c r="O146" t="n">
        <v>0</v>
      </c>
      <c r="P146" t="n">
        <v>0</v>
      </c>
      <c r="Q146" t="n">
        <v>1</v>
      </c>
      <c r="R146" s="2" t="inlineStr">
        <is>
          <t>Lopplummer</t>
        </is>
      </c>
      <c r="S146">
        <f>HYPERLINK("https://klasma.github.io/Logging_0188/artfynd/A 39255-2023 artfynd.xlsx", "A 39255-2023")</f>
        <v/>
      </c>
      <c r="T146">
        <f>HYPERLINK("https://klasma.github.io/Logging_0188/kartor/A 39255-2023 karta.png", "A 39255-2023")</f>
        <v/>
      </c>
      <c r="V146">
        <f>HYPERLINK("https://klasma.github.io/Logging_0188/klagomål/A 39255-2023 FSC-klagomål.docx", "A 39255-2023")</f>
        <v/>
      </c>
      <c r="W146">
        <f>HYPERLINK("https://klasma.github.io/Logging_0188/klagomålsmail/A 39255-2023 FSC-klagomål mail.docx", "A 39255-2023")</f>
        <v/>
      </c>
      <c r="X146">
        <f>HYPERLINK("https://klasma.github.io/Logging_0188/tillsyn/A 39255-2023 tillsynsbegäran.docx", "A 39255-2023")</f>
        <v/>
      </c>
      <c r="Y146">
        <f>HYPERLINK("https://klasma.github.io/Logging_0188/tillsynsmail/A 39255-2023 tillsynsbegäran mail.docx", "A 39255-2023")</f>
        <v/>
      </c>
    </row>
    <row r="147" ht="15" customHeight="1">
      <c r="A147" t="inlineStr">
        <is>
          <t>A 43178-2023</t>
        </is>
      </c>
      <c r="B147" s="1" t="n">
        <v>45183</v>
      </c>
      <c r="C147" s="1" t="n">
        <v>45475</v>
      </c>
      <c r="D147" t="inlineStr">
        <is>
          <t>STOCKHOLMS LÄN</t>
        </is>
      </c>
      <c r="E147" t="inlineStr">
        <is>
          <t>NORRTÄLJE</t>
        </is>
      </c>
      <c r="F147" t="inlineStr">
        <is>
          <t>Kyrkan</t>
        </is>
      </c>
      <c r="G147" t="n">
        <v>1.5</v>
      </c>
      <c r="H147" t="n">
        <v>0</v>
      </c>
      <c r="I147" t="n">
        <v>0</v>
      </c>
      <c r="J147" t="n">
        <v>1</v>
      </c>
      <c r="K147" t="n">
        <v>0</v>
      </c>
      <c r="L147" t="n">
        <v>0</v>
      </c>
      <c r="M147" t="n">
        <v>0</v>
      </c>
      <c r="N147" t="n">
        <v>0</v>
      </c>
      <c r="O147" t="n">
        <v>1</v>
      </c>
      <c r="P147" t="n">
        <v>0</v>
      </c>
      <c r="Q147" t="n">
        <v>1</v>
      </c>
      <c r="R147" s="2" t="inlineStr">
        <is>
          <t>Mindre bastardsvärmare</t>
        </is>
      </c>
      <c r="S147">
        <f>HYPERLINK("https://klasma.github.io/Logging_0188/artfynd/A 43178-2023 artfynd.xlsx", "A 43178-2023")</f>
        <v/>
      </c>
      <c r="T147">
        <f>HYPERLINK("https://klasma.github.io/Logging_0188/kartor/A 43178-2023 karta.png", "A 43178-2023")</f>
        <v/>
      </c>
      <c r="V147">
        <f>HYPERLINK("https://klasma.github.io/Logging_0188/klagomål/A 43178-2023 FSC-klagomål.docx", "A 43178-2023")</f>
        <v/>
      </c>
      <c r="W147">
        <f>HYPERLINK("https://klasma.github.io/Logging_0188/klagomålsmail/A 43178-2023 FSC-klagomål mail.docx", "A 43178-2023")</f>
        <v/>
      </c>
      <c r="X147">
        <f>HYPERLINK("https://klasma.github.io/Logging_0188/tillsyn/A 43178-2023 tillsynsbegäran.docx", "A 43178-2023")</f>
        <v/>
      </c>
      <c r="Y147">
        <f>HYPERLINK("https://klasma.github.io/Logging_0188/tillsynsmail/A 43178-2023 tillsynsbegäran mail.docx", "A 43178-2023")</f>
        <v/>
      </c>
    </row>
    <row r="148" ht="15" customHeight="1">
      <c r="A148" t="inlineStr">
        <is>
          <t>A 43171-2023</t>
        </is>
      </c>
      <c r="B148" s="1" t="n">
        <v>45183</v>
      </c>
      <c r="C148" s="1" t="n">
        <v>45475</v>
      </c>
      <c r="D148" t="inlineStr">
        <is>
          <t>STOCKHOLMS LÄN</t>
        </is>
      </c>
      <c r="E148" t="inlineStr">
        <is>
          <t>NORRTÄLJE</t>
        </is>
      </c>
      <c r="F148" t="inlineStr">
        <is>
          <t>Kyrkan</t>
        </is>
      </c>
      <c r="G148" t="n">
        <v>1.3</v>
      </c>
      <c r="H148" t="n">
        <v>0</v>
      </c>
      <c r="I148" t="n">
        <v>0</v>
      </c>
      <c r="J148" t="n">
        <v>0</v>
      </c>
      <c r="K148" t="n">
        <v>0</v>
      </c>
      <c r="L148" t="n">
        <v>1</v>
      </c>
      <c r="M148" t="n">
        <v>0</v>
      </c>
      <c r="N148" t="n">
        <v>0</v>
      </c>
      <c r="O148" t="n">
        <v>1</v>
      </c>
      <c r="P148" t="n">
        <v>1</v>
      </c>
      <c r="Q148" t="n">
        <v>1</v>
      </c>
      <c r="R148" s="2" t="inlineStr">
        <is>
          <t>Ryl</t>
        </is>
      </c>
      <c r="S148">
        <f>HYPERLINK("https://klasma.github.io/Logging_0188/artfynd/A 43171-2023 artfynd.xlsx", "A 43171-2023")</f>
        <v/>
      </c>
      <c r="T148">
        <f>HYPERLINK("https://klasma.github.io/Logging_0188/kartor/A 43171-2023 karta.png", "A 43171-2023")</f>
        <v/>
      </c>
      <c r="U148">
        <f>HYPERLINK("https://klasma.github.io/Logging_0188/knärot/A 43171-2023 karta knärot.png", "A 43171-2023")</f>
        <v/>
      </c>
      <c r="V148">
        <f>HYPERLINK("https://klasma.github.io/Logging_0188/klagomål/A 43171-2023 FSC-klagomål.docx", "A 43171-2023")</f>
        <v/>
      </c>
      <c r="W148">
        <f>HYPERLINK("https://klasma.github.io/Logging_0188/klagomålsmail/A 43171-2023 FSC-klagomål mail.docx", "A 43171-2023")</f>
        <v/>
      </c>
      <c r="X148">
        <f>HYPERLINK("https://klasma.github.io/Logging_0188/tillsyn/A 43171-2023 tillsynsbegäran.docx", "A 43171-2023")</f>
        <v/>
      </c>
      <c r="Y148">
        <f>HYPERLINK("https://klasma.github.io/Logging_0188/tillsynsmail/A 43171-2023 tillsynsbegäran mail.docx", "A 43171-2023")</f>
        <v/>
      </c>
    </row>
    <row r="149" ht="15" customHeight="1">
      <c r="A149" t="inlineStr">
        <is>
          <t>A 43350-2023</t>
        </is>
      </c>
      <c r="B149" s="1" t="n">
        <v>45183</v>
      </c>
      <c r="C149" s="1" t="n">
        <v>45475</v>
      </c>
      <c r="D149" t="inlineStr">
        <is>
          <t>STOCKHOLMS LÄN</t>
        </is>
      </c>
      <c r="E149" t="inlineStr">
        <is>
          <t>NORRTÄLJE</t>
        </is>
      </c>
      <c r="F149" t="inlineStr">
        <is>
          <t>Holmen skog AB</t>
        </is>
      </c>
      <c r="G149" t="n">
        <v>4.2</v>
      </c>
      <c r="H149" t="n">
        <v>1</v>
      </c>
      <c r="I149" t="n">
        <v>0</v>
      </c>
      <c r="J149" t="n">
        <v>0</v>
      </c>
      <c r="K149" t="n">
        <v>0</v>
      </c>
      <c r="L149" t="n">
        <v>0</v>
      </c>
      <c r="M149" t="n">
        <v>0</v>
      </c>
      <c r="N149" t="n">
        <v>0</v>
      </c>
      <c r="O149" t="n">
        <v>0</v>
      </c>
      <c r="P149" t="n">
        <v>0</v>
      </c>
      <c r="Q149" t="n">
        <v>1</v>
      </c>
      <c r="R149" s="2" t="inlineStr">
        <is>
          <t>Revlummer</t>
        </is>
      </c>
      <c r="S149">
        <f>HYPERLINK("https://klasma.github.io/Logging_0188/artfynd/A 43350-2023 artfynd.xlsx", "A 43350-2023")</f>
        <v/>
      </c>
      <c r="T149">
        <f>HYPERLINK("https://klasma.github.io/Logging_0188/kartor/A 43350-2023 karta.png", "A 43350-2023")</f>
        <v/>
      </c>
      <c r="V149">
        <f>HYPERLINK("https://klasma.github.io/Logging_0188/klagomål/A 43350-2023 FSC-klagomål.docx", "A 43350-2023")</f>
        <v/>
      </c>
      <c r="W149">
        <f>HYPERLINK("https://klasma.github.io/Logging_0188/klagomålsmail/A 43350-2023 FSC-klagomål mail.docx", "A 43350-2023")</f>
        <v/>
      </c>
      <c r="X149">
        <f>HYPERLINK("https://klasma.github.io/Logging_0188/tillsyn/A 43350-2023 tillsynsbegäran.docx", "A 43350-2023")</f>
        <v/>
      </c>
      <c r="Y149">
        <f>HYPERLINK("https://klasma.github.io/Logging_0188/tillsynsmail/A 43350-2023 tillsynsbegäran mail.docx", "A 43350-2023")</f>
        <v/>
      </c>
    </row>
    <row r="150" ht="15" customHeight="1">
      <c r="A150" t="inlineStr">
        <is>
          <t>A 43354-2023</t>
        </is>
      </c>
      <c r="B150" s="1" t="n">
        <v>45183</v>
      </c>
      <c r="C150" s="1" t="n">
        <v>45475</v>
      </c>
      <c r="D150" t="inlineStr">
        <is>
          <t>STOCKHOLMS LÄN</t>
        </is>
      </c>
      <c r="E150" t="inlineStr">
        <is>
          <t>NORRTÄLJE</t>
        </is>
      </c>
      <c r="F150" t="inlineStr">
        <is>
          <t>Holmen skog AB</t>
        </is>
      </c>
      <c r="G150" t="n">
        <v>9.9</v>
      </c>
      <c r="H150" t="n">
        <v>0</v>
      </c>
      <c r="I150" t="n">
        <v>1</v>
      </c>
      <c r="J150" t="n">
        <v>0</v>
      </c>
      <c r="K150" t="n">
        <v>0</v>
      </c>
      <c r="L150" t="n">
        <v>0</v>
      </c>
      <c r="M150" t="n">
        <v>0</v>
      </c>
      <c r="N150" t="n">
        <v>0</v>
      </c>
      <c r="O150" t="n">
        <v>0</v>
      </c>
      <c r="P150" t="n">
        <v>0</v>
      </c>
      <c r="Q150" t="n">
        <v>1</v>
      </c>
      <c r="R150" s="2" t="inlineStr">
        <is>
          <t>Tibast</t>
        </is>
      </c>
      <c r="S150">
        <f>HYPERLINK("https://klasma.github.io/Logging_0188/artfynd/A 43354-2023 artfynd.xlsx", "A 43354-2023")</f>
        <v/>
      </c>
      <c r="T150">
        <f>HYPERLINK("https://klasma.github.io/Logging_0188/kartor/A 43354-2023 karta.png", "A 43354-2023")</f>
        <v/>
      </c>
      <c r="V150">
        <f>HYPERLINK("https://klasma.github.io/Logging_0188/klagomål/A 43354-2023 FSC-klagomål.docx", "A 43354-2023")</f>
        <v/>
      </c>
      <c r="W150">
        <f>HYPERLINK("https://klasma.github.io/Logging_0188/klagomålsmail/A 43354-2023 FSC-klagomål mail.docx", "A 43354-2023")</f>
        <v/>
      </c>
      <c r="X150">
        <f>HYPERLINK("https://klasma.github.io/Logging_0188/tillsyn/A 43354-2023 tillsynsbegäran.docx", "A 43354-2023")</f>
        <v/>
      </c>
      <c r="Y150">
        <f>HYPERLINK("https://klasma.github.io/Logging_0188/tillsynsmail/A 43354-2023 tillsynsbegäran mail.docx", "A 43354-2023")</f>
        <v/>
      </c>
    </row>
    <row r="151" ht="15" customHeight="1">
      <c r="A151" t="inlineStr">
        <is>
          <t>A 45172-2023</t>
        </is>
      </c>
      <c r="B151" s="1" t="n">
        <v>45191</v>
      </c>
      <c r="C151" s="1" t="n">
        <v>45475</v>
      </c>
      <c r="D151" t="inlineStr">
        <is>
          <t>STOCKHOLMS LÄN</t>
        </is>
      </c>
      <c r="E151" t="inlineStr">
        <is>
          <t>NORRTÄLJE</t>
        </is>
      </c>
      <c r="F151" t="inlineStr">
        <is>
          <t>Sveaskog</t>
        </is>
      </c>
      <c r="G151" t="n">
        <v>3.8</v>
      </c>
      <c r="H151" t="n">
        <v>1</v>
      </c>
      <c r="I151" t="n">
        <v>0</v>
      </c>
      <c r="J151" t="n">
        <v>1</v>
      </c>
      <c r="K151" t="n">
        <v>0</v>
      </c>
      <c r="L151" t="n">
        <v>0</v>
      </c>
      <c r="M151" t="n">
        <v>0</v>
      </c>
      <c r="N151" t="n">
        <v>0</v>
      </c>
      <c r="O151" t="n">
        <v>1</v>
      </c>
      <c r="P151" t="n">
        <v>0</v>
      </c>
      <c r="Q151" t="n">
        <v>1</v>
      </c>
      <c r="R151" s="2" t="inlineStr">
        <is>
          <t>Slaguggla</t>
        </is>
      </c>
      <c r="S151">
        <f>HYPERLINK("https://klasma.github.io/Logging_0188/artfynd/A 45172-2023 artfynd.xlsx", "A 45172-2023")</f>
        <v/>
      </c>
      <c r="T151">
        <f>HYPERLINK("https://klasma.github.io/Logging_0188/kartor/A 45172-2023 karta.png", "A 45172-2023")</f>
        <v/>
      </c>
      <c r="V151">
        <f>HYPERLINK("https://klasma.github.io/Logging_0188/klagomål/A 45172-2023 FSC-klagomål.docx", "A 45172-2023")</f>
        <v/>
      </c>
      <c r="W151">
        <f>HYPERLINK("https://klasma.github.io/Logging_0188/klagomålsmail/A 45172-2023 FSC-klagomål mail.docx", "A 45172-2023")</f>
        <v/>
      </c>
      <c r="X151">
        <f>HYPERLINK("https://klasma.github.io/Logging_0188/tillsyn/A 45172-2023 tillsynsbegäran.docx", "A 45172-2023")</f>
        <v/>
      </c>
      <c r="Y151">
        <f>HYPERLINK("https://klasma.github.io/Logging_0188/tillsynsmail/A 45172-2023 tillsynsbegäran mail.docx", "A 45172-2023")</f>
        <v/>
      </c>
      <c r="Z151">
        <f>HYPERLINK("https://klasma.github.io/Logging_0188/fåglar/A 45172-2023 prioriterade fågelarter.docx", "A 45172-2023")</f>
        <v/>
      </c>
    </row>
    <row r="152" ht="15" customHeight="1">
      <c r="A152" t="inlineStr">
        <is>
          <t>A 48131-2023</t>
        </is>
      </c>
      <c r="B152" s="1" t="n">
        <v>45205</v>
      </c>
      <c r="C152" s="1" t="n">
        <v>45475</v>
      </c>
      <c r="D152" t="inlineStr">
        <is>
          <t>STOCKHOLMS LÄN</t>
        </is>
      </c>
      <c r="E152" t="inlineStr">
        <is>
          <t>NORRTÄLJE</t>
        </is>
      </c>
      <c r="G152" t="n">
        <v>2.3</v>
      </c>
      <c r="H152" t="n">
        <v>0</v>
      </c>
      <c r="I152" t="n">
        <v>0</v>
      </c>
      <c r="J152" t="n">
        <v>1</v>
      </c>
      <c r="K152" t="n">
        <v>0</v>
      </c>
      <c r="L152" t="n">
        <v>0</v>
      </c>
      <c r="M152" t="n">
        <v>0</v>
      </c>
      <c r="N152" t="n">
        <v>0</v>
      </c>
      <c r="O152" t="n">
        <v>1</v>
      </c>
      <c r="P152" t="n">
        <v>0</v>
      </c>
      <c r="Q152" t="n">
        <v>1</v>
      </c>
      <c r="R152" s="2" t="inlineStr">
        <is>
          <t>Slåtterfibbla</t>
        </is>
      </c>
      <c r="S152">
        <f>HYPERLINK("https://klasma.github.io/Logging_0188/artfynd/A 48131-2023 artfynd.xlsx", "A 48131-2023")</f>
        <v/>
      </c>
      <c r="T152">
        <f>HYPERLINK("https://klasma.github.io/Logging_0188/kartor/A 48131-2023 karta.png", "A 48131-2023")</f>
        <v/>
      </c>
      <c r="V152">
        <f>HYPERLINK("https://klasma.github.io/Logging_0188/klagomål/A 48131-2023 FSC-klagomål.docx", "A 48131-2023")</f>
        <v/>
      </c>
      <c r="W152">
        <f>HYPERLINK("https://klasma.github.io/Logging_0188/klagomålsmail/A 48131-2023 FSC-klagomål mail.docx", "A 48131-2023")</f>
        <v/>
      </c>
      <c r="X152">
        <f>HYPERLINK("https://klasma.github.io/Logging_0188/tillsyn/A 48131-2023 tillsynsbegäran.docx", "A 48131-2023")</f>
        <v/>
      </c>
      <c r="Y152">
        <f>HYPERLINK("https://klasma.github.io/Logging_0188/tillsynsmail/A 48131-2023 tillsynsbegäran mail.docx", "A 48131-2023")</f>
        <v/>
      </c>
    </row>
    <row r="153" ht="15" customHeight="1">
      <c r="A153" t="inlineStr">
        <is>
          <t>A 51695-2023</t>
        </is>
      </c>
      <c r="B153" s="1" t="n">
        <v>45222</v>
      </c>
      <c r="C153" s="1" t="n">
        <v>45475</v>
      </c>
      <c r="D153" t="inlineStr">
        <is>
          <t>STOCKHOLMS LÄN</t>
        </is>
      </c>
      <c r="E153" t="inlineStr">
        <is>
          <t>NORRTÄLJE</t>
        </is>
      </c>
      <c r="G153" t="n">
        <v>4.9</v>
      </c>
      <c r="H153" t="n">
        <v>0</v>
      </c>
      <c r="I153" t="n">
        <v>1</v>
      </c>
      <c r="J153" t="n">
        <v>0</v>
      </c>
      <c r="K153" t="n">
        <v>0</v>
      </c>
      <c r="L153" t="n">
        <v>0</v>
      </c>
      <c r="M153" t="n">
        <v>0</v>
      </c>
      <c r="N153" t="n">
        <v>0</v>
      </c>
      <c r="O153" t="n">
        <v>0</v>
      </c>
      <c r="P153" t="n">
        <v>0</v>
      </c>
      <c r="Q153" t="n">
        <v>1</v>
      </c>
      <c r="R153" s="2" t="inlineStr">
        <is>
          <t>Fjällig taggsvamp s.str.</t>
        </is>
      </c>
      <c r="S153">
        <f>HYPERLINK("https://klasma.github.io/Logging_0188/artfynd/A 51695-2023 artfynd.xlsx", "A 51695-2023")</f>
        <v/>
      </c>
      <c r="T153">
        <f>HYPERLINK("https://klasma.github.io/Logging_0188/kartor/A 51695-2023 karta.png", "A 51695-2023")</f>
        <v/>
      </c>
      <c r="V153">
        <f>HYPERLINK("https://klasma.github.io/Logging_0188/klagomål/A 51695-2023 FSC-klagomål.docx", "A 51695-2023")</f>
        <v/>
      </c>
      <c r="W153">
        <f>HYPERLINK("https://klasma.github.io/Logging_0188/klagomålsmail/A 51695-2023 FSC-klagomål mail.docx", "A 51695-2023")</f>
        <v/>
      </c>
      <c r="X153">
        <f>HYPERLINK("https://klasma.github.io/Logging_0188/tillsyn/A 51695-2023 tillsynsbegäran.docx", "A 51695-2023")</f>
        <v/>
      </c>
      <c r="Y153">
        <f>HYPERLINK("https://klasma.github.io/Logging_0188/tillsynsmail/A 51695-2023 tillsynsbegäran mail.docx", "A 51695-2023")</f>
        <v/>
      </c>
    </row>
    <row r="154" ht="15" customHeight="1">
      <c r="A154" t="inlineStr">
        <is>
          <t>A 51909-2023</t>
        </is>
      </c>
      <c r="B154" s="1" t="n">
        <v>45223</v>
      </c>
      <c r="C154" s="1" t="n">
        <v>45475</v>
      </c>
      <c r="D154" t="inlineStr">
        <is>
          <t>STOCKHOLMS LÄN</t>
        </is>
      </c>
      <c r="E154" t="inlineStr">
        <is>
          <t>NORRTÄLJE</t>
        </is>
      </c>
      <c r="G154" t="n">
        <v>8.1</v>
      </c>
      <c r="H154" t="n">
        <v>1</v>
      </c>
      <c r="I154" t="n">
        <v>1</v>
      </c>
      <c r="J154" t="n">
        <v>0</v>
      </c>
      <c r="K154" t="n">
        <v>0</v>
      </c>
      <c r="L154" t="n">
        <v>0</v>
      </c>
      <c r="M154" t="n">
        <v>0</v>
      </c>
      <c r="N154" t="n">
        <v>0</v>
      </c>
      <c r="O154" t="n">
        <v>0</v>
      </c>
      <c r="P154" t="n">
        <v>0</v>
      </c>
      <c r="Q154" t="n">
        <v>1</v>
      </c>
      <c r="R154" s="2" t="inlineStr">
        <is>
          <t>Skogsknipprot</t>
        </is>
      </c>
      <c r="S154">
        <f>HYPERLINK("https://klasma.github.io/Logging_0188/artfynd/A 51909-2023 artfynd.xlsx", "A 51909-2023")</f>
        <v/>
      </c>
      <c r="T154">
        <f>HYPERLINK("https://klasma.github.io/Logging_0188/kartor/A 51909-2023 karta.png", "A 51909-2023")</f>
        <v/>
      </c>
      <c r="V154">
        <f>HYPERLINK("https://klasma.github.io/Logging_0188/klagomål/A 51909-2023 FSC-klagomål.docx", "A 51909-2023")</f>
        <v/>
      </c>
      <c r="W154">
        <f>HYPERLINK("https://klasma.github.io/Logging_0188/klagomålsmail/A 51909-2023 FSC-klagomål mail.docx", "A 51909-2023")</f>
        <v/>
      </c>
      <c r="X154">
        <f>HYPERLINK("https://klasma.github.io/Logging_0188/tillsyn/A 51909-2023 tillsynsbegäran.docx", "A 51909-2023")</f>
        <v/>
      </c>
      <c r="Y154">
        <f>HYPERLINK("https://klasma.github.io/Logging_0188/tillsynsmail/A 51909-2023 tillsynsbegäran mail.docx", "A 51909-2023")</f>
        <v/>
      </c>
    </row>
    <row r="155" ht="15" customHeight="1">
      <c r="A155" t="inlineStr">
        <is>
          <t>A 52508-2023</t>
        </is>
      </c>
      <c r="B155" s="1" t="n">
        <v>45225</v>
      </c>
      <c r="C155" s="1" t="n">
        <v>45475</v>
      </c>
      <c r="D155" t="inlineStr">
        <is>
          <t>STOCKHOLMS LÄN</t>
        </is>
      </c>
      <c r="E155" t="inlineStr">
        <is>
          <t>NORRTÄLJE</t>
        </is>
      </c>
      <c r="G155" t="n">
        <v>19.7</v>
      </c>
      <c r="H155" t="n">
        <v>1</v>
      </c>
      <c r="I155" t="n">
        <v>0</v>
      </c>
      <c r="J155" t="n">
        <v>0</v>
      </c>
      <c r="K155" t="n">
        <v>1</v>
      </c>
      <c r="L155" t="n">
        <v>0</v>
      </c>
      <c r="M155" t="n">
        <v>0</v>
      </c>
      <c r="N155" t="n">
        <v>0</v>
      </c>
      <c r="O155" t="n">
        <v>1</v>
      </c>
      <c r="P155" t="n">
        <v>1</v>
      </c>
      <c r="Q155" t="n">
        <v>1</v>
      </c>
      <c r="R155" s="2" t="inlineStr">
        <is>
          <t>Svärta</t>
        </is>
      </c>
      <c r="S155">
        <f>HYPERLINK("https://klasma.github.io/Logging_0188/artfynd/A 52508-2023 artfynd.xlsx", "A 52508-2023")</f>
        <v/>
      </c>
      <c r="T155">
        <f>HYPERLINK("https://klasma.github.io/Logging_0188/kartor/A 52508-2023 karta.png", "A 52508-2023")</f>
        <v/>
      </c>
      <c r="V155">
        <f>HYPERLINK("https://klasma.github.io/Logging_0188/klagomål/A 52508-2023 FSC-klagomål.docx", "A 52508-2023")</f>
        <v/>
      </c>
      <c r="W155">
        <f>HYPERLINK("https://klasma.github.io/Logging_0188/klagomålsmail/A 52508-2023 FSC-klagomål mail.docx", "A 52508-2023")</f>
        <v/>
      </c>
      <c r="X155">
        <f>HYPERLINK("https://klasma.github.io/Logging_0188/tillsyn/A 52508-2023 tillsynsbegäran.docx", "A 52508-2023")</f>
        <v/>
      </c>
      <c r="Y155">
        <f>HYPERLINK("https://klasma.github.io/Logging_0188/tillsynsmail/A 52508-2023 tillsynsbegäran mail.docx", "A 52508-2023")</f>
        <v/>
      </c>
    </row>
    <row r="156" ht="15" customHeight="1">
      <c r="A156" t="inlineStr">
        <is>
          <t>A 55767-2023</t>
        </is>
      </c>
      <c r="B156" s="1" t="n">
        <v>45239</v>
      </c>
      <c r="C156" s="1" t="n">
        <v>45475</v>
      </c>
      <c r="D156" t="inlineStr">
        <is>
          <t>STOCKHOLMS LÄN</t>
        </is>
      </c>
      <c r="E156" t="inlineStr">
        <is>
          <t>NORRTÄLJE</t>
        </is>
      </c>
      <c r="G156" t="n">
        <v>3.7</v>
      </c>
      <c r="H156" t="n">
        <v>0</v>
      </c>
      <c r="I156" t="n">
        <v>1</v>
      </c>
      <c r="J156" t="n">
        <v>0</v>
      </c>
      <c r="K156" t="n">
        <v>0</v>
      </c>
      <c r="L156" t="n">
        <v>0</v>
      </c>
      <c r="M156" t="n">
        <v>0</v>
      </c>
      <c r="N156" t="n">
        <v>0</v>
      </c>
      <c r="O156" t="n">
        <v>0</v>
      </c>
      <c r="P156" t="n">
        <v>0</v>
      </c>
      <c r="Q156" t="n">
        <v>1</v>
      </c>
      <c r="R156" s="2" t="inlineStr">
        <is>
          <t>Ögonpyrola</t>
        </is>
      </c>
      <c r="S156">
        <f>HYPERLINK("https://klasma.github.io/Logging_0188/artfynd/A 55767-2023 artfynd.xlsx", "A 55767-2023")</f>
        <v/>
      </c>
      <c r="T156">
        <f>HYPERLINK("https://klasma.github.io/Logging_0188/kartor/A 55767-2023 karta.png", "A 55767-2023")</f>
        <v/>
      </c>
      <c r="V156">
        <f>HYPERLINK("https://klasma.github.io/Logging_0188/klagomål/A 55767-2023 FSC-klagomål.docx", "A 55767-2023")</f>
        <v/>
      </c>
      <c r="W156">
        <f>HYPERLINK("https://klasma.github.io/Logging_0188/klagomålsmail/A 55767-2023 FSC-klagomål mail.docx", "A 55767-2023")</f>
        <v/>
      </c>
      <c r="X156">
        <f>HYPERLINK("https://klasma.github.io/Logging_0188/tillsyn/A 55767-2023 tillsynsbegäran.docx", "A 55767-2023")</f>
        <v/>
      </c>
      <c r="Y156">
        <f>HYPERLINK("https://klasma.github.io/Logging_0188/tillsynsmail/A 55767-2023 tillsynsbegäran mail.docx", "A 55767-2023")</f>
        <v/>
      </c>
    </row>
    <row r="157" ht="15" customHeight="1">
      <c r="A157" t="inlineStr">
        <is>
          <t>A 59580-2023</t>
        </is>
      </c>
      <c r="B157" s="1" t="n">
        <v>45254</v>
      </c>
      <c r="C157" s="1" t="n">
        <v>45475</v>
      </c>
      <c r="D157" t="inlineStr">
        <is>
          <t>STOCKHOLMS LÄN</t>
        </is>
      </c>
      <c r="E157" t="inlineStr">
        <is>
          <t>NORRTÄLJE</t>
        </is>
      </c>
      <c r="G157" t="n">
        <v>3.2</v>
      </c>
      <c r="H157" t="n">
        <v>0</v>
      </c>
      <c r="I157" t="n">
        <v>1</v>
      </c>
      <c r="J157" t="n">
        <v>0</v>
      </c>
      <c r="K157" t="n">
        <v>0</v>
      </c>
      <c r="L157" t="n">
        <v>0</v>
      </c>
      <c r="M157" t="n">
        <v>0</v>
      </c>
      <c r="N157" t="n">
        <v>0</v>
      </c>
      <c r="O157" t="n">
        <v>0</v>
      </c>
      <c r="P157" t="n">
        <v>0</v>
      </c>
      <c r="Q157" t="n">
        <v>1</v>
      </c>
      <c r="R157" s="2" t="inlineStr">
        <is>
          <t>Trådticka</t>
        </is>
      </c>
      <c r="S157">
        <f>HYPERLINK("https://klasma.github.io/Logging_0188/artfynd/A 59580-2023 artfynd.xlsx", "A 59580-2023")</f>
        <v/>
      </c>
      <c r="T157">
        <f>HYPERLINK("https://klasma.github.io/Logging_0188/kartor/A 59580-2023 karta.png", "A 59580-2023")</f>
        <v/>
      </c>
      <c r="V157">
        <f>HYPERLINK("https://klasma.github.io/Logging_0188/klagomål/A 59580-2023 FSC-klagomål.docx", "A 59580-2023")</f>
        <v/>
      </c>
      <c r="W157">
        <f>HYPERLINK("https://klasma.github.io/Logging_0188/klagomålsmail/A 59580-2023 FSC-klagomål mail.docx", "A 59580-2023")</f>
        <v/>
      </c>
      <c r="X157">
        <f>HYPERLINK("https://klasma.github.io/Logging_0188/tillsyn/A 59580-2023 tillsynsbegäran.docx", "A 59580-2023")</f>
        <v/>
      </c>
      <c r="Y157">
        <f>HYPERLINK("https://klasma.github.io/Logging_0188/tillsynsmail/A 59580-2023 tillsynsbegäran mail.docx", "A 59580-2023")</f>
        <v/>
      </c>
    </row>
    <row r="158" ht="15" customHeight="1">
      <c r="A158" t="inlineStr">
        <is>
          <t>A 63851-2023</t>
        </is>
      </c>
      <c r="B158" s="1" t="n">
        <v>45278</v>
      </c>
      <c r="C158" s="1" t="n">
        <v>45475</v>
      </c>
      <c r="D158" t="inlineStr">
        <is>
          <t>STOCKHOLMS LÄN</t>
        </is>
      </c>
      <c r="E158" t="inlineStr">
        <is>
          <t>NORRTÄLJE</t>
        </is>
      </c>
      <c r="G158" t="n">
        <v>5.6</v>
      </c>
      <c r="H158" t="n">
        <v>1</v>
      </c>
      <c r="I158" t="n">
        <v>0</v>
      </c>
      <c r="J158" t="n">
        <v>0</v>
      </c>
      <c r="K158" t="n">
        <v>0</v>
      </c>
      <c r="L158" t="n">
        <v>0</v>
      </c>
      <c r="M158" t="n">
        <v>0</v>
      </c>
      <c r="N158" t="n">
        <v>0</v>
      </c>
      <c r="O158" t="n">
        <v>0</v>
      </c>
      <c r="P158" t="n">
        <v>0</v>
      </c>
      <c r="Q158" t="n">
        <v>1</v>
      </c>
      <c r="R158" s="2" t="inlineStr">
        <is>
          <t>Tjäder</t>
        </is>
      </c>
      <c r="S158">
        <f>HYPERLINK("https://klasma.github.io/Logging_0188/artfynd/A 63851-2023 artfynd.xlsx", "A 63851-2023")</f>
        <v/>
      </c>
      <c r="T158">
        <f>HYPERLINK("https://klasma.github.io/Logging_0188/kartor/A 63851-2023 karta.png", "A 63851-2023")</f>
        <v/>
      </c>
      <c r="V158">
        <f>HYPERLINK("https://klasma.github.io/Logging_0188/klagomål/A 63851-2023 FSC-klagomål.docx", "A 63851-2023")</f>
        <v/>
      </c>
      <c r="W158">
        <f>HYPERLINK("https://klasma.github.io/Logging_0188/klagomålsmail/A 63851-2023 FSC-klagomål mail.docx", "A 63851-2023")</f>
        <v/>
      </c>
      <c r="X158">
        <f>HYPERLINK("https://klasma.github.io/Logging_0188/tillsyn/A 63851-2023 tillsynsbegäran.docx", "A 63851-2023")</f>
        <v/>
      </c>
      <c r="Y158">
        <f>HYPERLINK("https://klasma.github.io/Logging_0188/tillsynsmail/A 63851-2023 tillsynsbegäran mail.docx", "A 63851-2023")</f>
        <v/>
      </c>
      <c r="Z158">
        <f>HYPERLINK("https://klasma.github.io/Logging_0188/fåglar/A 63851-2023 prioriterade fågelarter.docx", "A 63851-2023")</f>
        <v/>
      </c>
    </row>
    <row r="159" ht="15" customHeight="1">
      <c r="A159" t="inlineStr">
        <is>
          <t>A 64456-2023</t>
        </is>
      </c>
      <c r="B159" s="1" t="n">
        <v>45280</v>
      </c>
      <c r="C159" s="1" t="n">
        <v>45475</v>
      </c>
      <c r="D159" t="inlineStr">
        <is>
          <t>STOCKHOLMS LÄN</t>
        </is>
      </c>
      <c r="E159" t="inlineStr">
        <is>
          <t>NORRTÄLJE</t>
        </is>
      </c>
      <c r="G159" t="n">
        <v>2.5</v>
      </c>
      <c r="H159" t="n">
        <v>0</v>
      </c>
      <c r="I159" t="n">
        <v>1</v>
      </c>
      <c r="J159" t="n">
        <v>0</v>
      </c>
      <c r="K159" t="n">
        <v>0</v>
      </c>
      <c r="L159" t="n">
        <v>0</v>
      </c>
      <c r="M159" t="n">
        <v>0</v>
      </c>
      <c r="N159" t="n">
        <v>0</v>
      </c>
      <c r="O159" t="n">
        <v>0</v>
      </c>
      <c r="P159" t="n">
        <v>0</v>
      </c>
      <c r="Q159" t="n">
        <v>1</v>
      </c>
      <c r="R159" s="2" t="inlineStr">
        <is>
          <t>Rödgul trumpetsvamp</t>
        </is>
      </c>
      <c r="S159">
        <f>HYPERLINK("https://klasma.github.io/Logging_0188/artfynd/A 64456-2023 artfynd.xlsx", "A 64456-2023")</f>
        <v/>
      </c>
      <c r="T159">
        <f>HYPERLINK("https://klasma.github.io/Logging_0188/kartor/A 64456-2023 karta.png", "A 64456-2023")</f>
        <v/>
      </c>
      <c r="V159">
        <f>HYPERLINK("https://klasma.github.io/Logging_0188/klagomål/A 64456-2023 FSC-klagomål.docx", "A 64456-2023")</f>
        <v/>
      </c>
      <c r="W159">
        <f>HYPERLINK("https://klasma.github.io/Logging_0188/klagomålsmail/A 64456-2023 FSC-klagomål mail.docx", "A 64456-2023")</f>
        <v/>
      </c>
      <c r="X159">
        <f>HYPERLINK("https://klasma.github.io/Logging_0188/tillsyn/A 64456-2023 tillsynsbegäran.docx", "A 64456-2023")</f>
        <v/>
      </c>
      <c r="Y159">
        <f>HYPERLINK("https://klasma.github.io/Logging_0188/tillsynsmail/A 64456-2023 tillsynsbegäran mail.docx", "A 64456-2023")</f>
        <v/>
      </c>
    </row>
    <row r="160" ht="15" customHeight="1">
      <c r="A160" t="inlineStr">
        <is>
          <t>A 6950-2024</t>
        </is>
      </c>
      <c r="B160" s="1" t="n">
        <v>45343</v>
      </c>
      <c r="C160" s="1" t="n">
        <v>45475</v>
      </c>
      <c r="D160" t="inlineStr">
        <is>
          <t>STOCKHOLMS LÄN</t>
        </is>
      </c>
      <c r="E160" t="inlineStr">
        <is>
          <t>NORRTÄLJE</t>
        </is>
      </c>
      <c r="G160" t="n">
        <v>26.8</v>
      </c>
      <c r="H160" t="n">
        <v>1</v>
      </c>
      <c r="I160" t="n">
        <v>0</v>
      </c>
      <c r="J160" t="n">
        <v>0</v>
      </c>
      <c r="K160" t="n">
        <v>0</v>
      </c>
      <c r="L160" t="n">
        <v>0</v>
      </c>
      <c r="M160" t="n">
        <v>0</v>
      </c>
      <c r="N160" t="n">
        <v>0</v>
      </c>
      <c r="O160" t="n">
        <v>0</v>
      </c>
      <c r="P160" t="n">
        <v>0</v>
      </c>
      <c r="Q160" t="n">
        <v>1</v>
      </c>
      <c r="R160" s="2" t="inlineStr">
        <is>
          <t>Blåsippa</t>
        </is>
      </c>
      <c r="S160">
        <f>HYPERLINK("https://klasma.github.io/Logging_0188/artfynd/A 6950-2024 artfynd.xlsx", "A 6950-2024")</f>
        <v/>
      </c>
      <c r="T160">
        <f>HYPERLINK("https://klasma.github.io/Logging_0188/kartor/A 6950-2024 karta.png", "A 6950-2024")</f>
        <v/>
      </c>
      <c r="V160">
        <f>HYPERLINK("https://klasma.github.io/Logging_0188/klagomål/A 6950-2024 FSC-klagomål.docx", "A 6950-2024")</f>
        <v/>
      </c>
      <c r="W160">
        <f>HYPERLINK("https://klasma.github.io/Logging_0188/klagomålsmail/A 6950-2024 FSC-klagomål mail.docx", "A 6950-2024")</f>
        <v/>
      </c>
      <c r="X160">
        <f>HYPERLINK("https://klasma.github.io/Logging_0188/tillsyn/A 6950-2024 tillsynsbegäran.docx", "A 6950-2024")</f>
        <v/>
      </c>
      <c r="Y160">
        <f>HYPERLINK("https://klasma.github.io/Logging_0188/tillsynsmail/A 6950-2024 tillsynsbegäran mail.docx", "A 6950-2024")</f>
        <v/>
      </c>
    </row>
    <row r="161" ht="15" customHeight="1">
      <c r="A161" t="inlineStr">
        <is>
          <t>A 20468-2024</t>
        </is>
      </c>
      <c r="B161" s="1" t="n">
        <v>45435</v>
      </c>
      <c r="C161" s="1" t="n">
        <v>45475</v>
      </c>
      <c r="D161" t="inlineStr">
        <is>
          <t>STOCKHOLMS LÄN</t>
        </is>
      </c>
      <c r="E161" t="inlineStr">
        <is>
          <t>NORRTÄLJE</t>
        </is>
      </c>
      <c r="G161" t="n">
        <v>2.2</v>
      </c>
      <c r="H161" t="n">
        <v>0</v>
      </c>
      <c r="I161" t="n">
        <v>0</v>
      </c>
      <c r="J161" t="n">
        <v>0</v>
      </c>
      <c r="K161" t="n">
        <v>0</v>
      </c>
      <c r="L161" t="n">
        <v>1</v>
      </c>
      <c r="M161" t="n">
        <v>0</v>
      </c>
      <c r="N161" t="n">
        <v>0</v>
      </c>
      <c r="O161" t="n">
        <v>1</v>
      </c>
      <c r="P161" t="n">
        <v>1</v>
      </c>
      <c r="Q161" t="n">
        <v>1</v>
      </c>
      <c r="R161" s="2" t="inlineStr">
        <is>
          <t>Fältgentiana</t>
        </is>
      </c>
      <c r="S161">
        <f>HYPERLINK("https://klasma.github.io/Logging_0188/artfynd/A 20468-2024 artfynd.xlsx", "A 20468-2024")</f>
        <v/>
      </c>
      <c r="T161">
        <f>HYPERLINK("https://klasma.github.io/Logging_0188/kartor/A 20468-2024 karta.png", "A 20468-2024")</f>
        <v/>
      </c>
      <c r="V161">
        <f>HYPERLINK("https://klasma.github.io/Logging_0188/klagomål/A 20468-2024 FSC-klagomål.docx", "A 20468-2024")</f>
        <v/>
      </c>
      <c r="W161">
        <f>HYPERLINK("https://klasma.github.io/Logging_0188/klagomålsmail/A 20468-2024 FSC-klagomål mail.docx", "A 20468-2024")</f>
        <v/>
      </c>
      <c r="X161">
        <f>HYPERLINK("https://klasma.github.io/Logging_0188/tillsyn/A 20468-2024 tillsynsbegäran.docx", "A 20468-2024")</f>
        <v/>
      </c>
      <c r="Y161">
        <f>HYPERLINK("https://klasma.github.io/Logging_0188/tillsynsmail/A 20468-2024 tillsynsbegäran mail.docx", "A 20468-2024")</f>
        <v/>
      </c>
    </row>
    <row r="162" ht="15" customHeight="1">
      <c r="A162" t="inlineStr">
        <is>
          <t>A 23146-2024</t>
        </is>
      </c>
      <c r="B162" s="1" t="n">
        <v>45450</v>
      </c>
      <c r="C162" s="1" t="n">
        <v>45475</v>
      </c>
      <c r="D162" t="inlineStr">
        <is>
          <t>STOCKHOLMS LÄN</t>
        </is>
      </c>
      <c r="E162" t="inlineStr">
        <is>
          <t>NORRTÄLJE</t>
        </is>
      </c>
      <c r="F162" t="inlineStr">
        <is>
          <t>Kommuner</t>
        </is>
      </c>
      <c r="G162" t="n">
        <v>6</v>
      </c>
      <c r="H162" t="n">
        <v>0</v>
      </c>
      <c r="I162" t="n">
        <v>0</v>
      </c>
      <c r="J162" t="n">
        <v>1</v>
      </c>
      <c r="K162" t="n">
        <v>0</v>
      </c>
      <c r="L162" t="n">
        <v>0</v>
      </c>
      <c r="M162" t="n">
        <v>0</v>
      </c>
      <c r="N162" t="n">
        <v>0</v>
      </c>
      <c r="O162" t="n">
        <v>1</v>
      </c>
      <c r="P162" t="n">
        <v>0</v>
      </c>
      <c r="Q162" t="n">
        <v>1</v>
      </c>
      <c r="R162" s="2" t="inlineStr">
        <is>
          <t>Motaggsvamp</t>
        </is>
      </c>
      <c r="S162">
        <f>HYPERLINK("https://klasma.github.io/Logging_0188/artfynd/A 23146-2024 artfynd.xlsx", "A 23146-2024")</f>
        <v/>
      </c>
      <c r="T162">
        <f>HYPERLINK("https://klasma.github.io/Logging_0188/kartor/A 23146-2024 karta.png", "A 23146-2024")</f>
        <v/>
      </c>
      <c r="V162">
        <f>HYPERLINK("https://klasma.github.io/Logging_0188/klagomål/A 23146-2024 FSC-klagomål.docx", "A 23146-2024")</f>
        <v/>
      </c>
      <c r="W162">
        <f>HYPERLINK("https://klasma.github.io/Logging_0188/klagomålsmail/A 23146-2024 FSC-klagomål mail.docx", "A 23146-2024")</f>
        <v/>
      </c>
      <c r="X162">
        <f>HYPERLINK("https://klasma.github.io/Logging_0188/tillsyn/A 23146-2024 tillsynsbegäran.docx", "A 23146-2024")</f>
        <v/>
      </c>
      <c r="Y162">
        <f>HYPERLINK("https://klasma.github.io/Logging_0188/tillsynsmail/A 23146-2024 tillsynsbegäran mail.docx", "A 23146-2024")</f>
        <v/>
      </c>
    </row>
    <row r="163" ht="15" customHeight="1">
      <c r="A163" t="inlineStr">
        <is>
          <t>A 24528-2024</t>
        </is>
      </c>
      <c r="B163" s="1" t="n">
        <v>45460</v>
      </c>
      <c r="C163" s="1" t="n">
        <v>45475</v>
      </c>
      <c r="D163" t="inlineStr">
        <is>
          <t>STOCKHOLMS LÄN</t>
        </is>
      </c>
      <c r="E163" t="inlineStr">
        <is>
          <t>NORRTÄLJE</t>
        </is>
      </c>
      <c r="G163" t="n">
        <v>1.4</v>
      </c>
      <c r="H163" t="n">
        <v>1</v>
      </c>
      <c r="I163" t="n">
        <v>0</v>
      </c>
      <c r="J163" t="n">
        <v>0</v>
      </c>
      <c r="K163" t="n">
        <v>1</v>
      </c>
      <c r="L163" t="n">
        <v>0</v>
      </c>
      <c r="M163" t="n">
        <v>0</v>
      </c>
      <c r="N163" t="n">
        <v>0</v>
      </c>
      <c r="O163" t="n">
        <v>1</v>
      </c>
      <c r="P163" t="n">
        <v>1</v>
      </c>
      <c r="Q163" t="n">
        <v>1</v>
      </c>
      <c r="R163" s="2" t="inlineStr">
        <is>
          <t>Hällebräcka</t>
        </is>
      </c>
      <c r="S163">
        <f>HYPERLINK("https://klasma.github.io/Logging_0188/artfynd/A 24528-2024 artfynd.xlsx", "A 24528-2024")</f>
        <v/>
      </c>
      <c r="T163">
        <f>HYPERLINK("https://klasma.github.io/Logging_0188/kartor/A 24528-2024 karta.png", "A 24528-2024")</f>
        <v/>
      </c>
      <c r="V163">
        <f>HYPERLINK("https://klasma.github.io/Logging_0188/klagomål/A 24528-2024 FSC-klagomål.docx", "A 24528-2024")</f>
        <v/>
      </c>
      <c r="W163">
        <f>HYPERLINK("https://klasma.github.io/Logging_0188/klagomålsmail/A 24528-2024 FSC-klagomål mail.docx", "A 24528-2024")</f>
        <v/>
      </c>
      <c r="X163">
        <f>HYPERLINK("https://klasma.github.io/Logging_0188/tillsyn/A 24528-2024 tillsynsbegäran.docx", "A 24528-2024")</f>
        <v/>
      </c>
      <c r="Y163">
        <f>HYPERLINK("https://klasma.github.io/Logging_0188/tillsynsmail/A 24528-2024 tillsynsbegäran mail.docx", "A 24528-2024")</f>
        <v/>
      </c>
    </row>
    <row r="164" ht="15" customHeight="1">
      <c r="A164" t="inlineStr">
        <is>
          <t>A 24577-2024</t>
        </is>
      </c>
      <c r="B164" s="1" t="n">
        <v>45460</v>
      </c>
      <c r="C164" s="1" t="n">
        <v>45475</v>
      </c>
      <c r="D164" t="inlineStr">
        <is>
          <t>STOCKHOLMS LÄN</t>
        </is>
      </c>
      <c r="E164" t="inlineStr">
        <is>
          <t>NORRTÄLJE</t>
        </is>
      </c>
      <c r="G164" t="n">
        <v>3.8</v>
      </c>
      <c r="H164" t="n">
        <v>0</v>
      </c>
      <c r="I164" t="n">
        <v>1</v>
      </c>
      <c r="J164" t="n">
        <v>0</v>
      </c>
      <c r="K164" t="n">
        <v>0</v>
      </c>
      <c r="L164" t="n">
        <v>0</v>
      </c>
      <c r="M164" t="n">
        <v>0</v>
      </c>
      <c r="N164" t="n">
        <v>0</v>
      </c>
      <c r="O164" t="n">
        <v>0</v>
      </c>
      <c r="P164" t="n">
        <v>0</v>
      </c>
      <c r="Q164" t="n">
        <v>1</v>
      </c>
      <c r="R164" s="2" t="inlineStr">
        <is>
          <t>Rostfläck</t>
        </is>
      </c>
      <c r="S164">
        <f>HYPERLINK("https://klasma.github.io/Logging_0188/artfynd/A 24577-2024 artfynd.xlsx", "A 24577-2024")</f>
        <v/>
      </c>
      <c r="T164">
        <f>HYPERLINK("https://klasma.github.io/Logging_0188/kartor/A 24577-2024 karta.png", "A 24577-2024")</f>
        <v/>
      </c>
      <c r="V164">
        <f>HYPERLINK("https://klasma.github.io/Logging_0188/klagomål/A 24577-2024 FSC-klagomål.docx", "A 24577-2024")</f>
        <v/>
      </c>
      <c r="W164">
        <f>HYPERLINK("https://klasma.github.io/Logging_0188/klagomålsmail/A 24577-2024 FSC-klagomål mail.docx", "A 24577-2024")</f>
        <v/>
      </c>
      <c r="X164">
        <f>HYPERLINK("https://klasma.github.io/Logging_0188/tillsyn/A 24577-2024 tillsynsbegäran.docx", "A 24577-2024")</f>
        <v/>
      </c>
      <c r="Y164">
        <f>HYPERLINK("https://klasma.github.io/Logging_0188/tillsynsmail/A 24577-2024 tillsynsbegäran mail.docx", "A 24577-2024")</f>
        <v/>
      </c>
    </row>
    <row r="165" ht="15" customHeight="1">
      <c r="A165" t="inlineStr">
        <is>
          <t>A 26120-2024</t>
        </is>
      </c>
      <c r="B165" s="1" t="n">
        <v>45468</v>
      </c>
      <c r="C165" s="1" t="n">
        <v>45475</v>
      </c>
      <c r="D165" t="inlineStr">
        <is>
          <t>STOCKHOLMS LÄN</t>
        </is>
      </c>
      <c r="E165" t="inlineStr">
        <is>
          <t>NORRTÄLJE</t>
        </is>
      </c>
      <c r="G165" t="n">
        <v>1.8</v>
      </c>
      <c r="H165" t="n">
        <v>0</v>
      </c>
      <c r="I165" t="n">
        <v>0</v>
      </c>
      <c r="J165" t="n">
        <v>1</v>
      </c>
      <c r="K165" t="n">
        <v>0</v>
      </c>
      <c r="L165" t="n">
        <v>0</v>
      </c>
      <c r="M165" t="n">
        <v>0</v>
      </c>
      <c r="N165" t="n">
        <v>0</v>
      </c>
      <c r="O165" t="n">
        <v>1</v>
      </c>
      <c r="P165" t="n">
        <v>0</v>
      </c>
      <c r="Q165" t="n">
        <v>1</v>
      </c>
      <c r="R165" s="2" t="inlineStr">
        <is>
          <t>Majviva</t>
        </is>
      </c>
      <c r="S165">
        <f>HYPERLINK("https://klasma.github.io/Logging_0188/artfynd/A 26120-2024 artfynd.xlsx", "A 26120-2024")</f>
        <v/>
      </c>
      <c r="T165">
        <f>HYPERLINK("https://klasma.github.io/Logging_0188/kartor/A 26120-2024 karta.png", "A 26120-2024")</f>
        <v/>
      </c>
      <c r="V165">
        <f>HYPERLINK("https://klasma.github.io/Logging_0188/klagomål/A 26120-2024 FSC-klagomål.docx", "A 26120-2024")</f>
        <v/>
      </c>
      <c r="W165">
        <f>HYPERLINK("https://klasma.github.io/Logging_0188/klagomålsmail/A 26120-2024 FSC-klagomål mail.docx", "A 26120-2024")</f>
        <v/>
      </c>
      <c r="X165">
        <f>HYPERLINK("https://klasma.github.io/Logging_0188/tillsyn/A 26120-2024 tillsynsbegäran.docx", "A 26120-2024")</f>
        <v/>
      </c>
      <c r="Y165">
        <f>HYPERLINK("https://klasma.github.io/Logging_0188/tillsynsmail/A 26120-2024 tillsynsbegäran mail.docx", "A 26120-2024")</f>
        <v/>
      </c>
    </row>
    <row r="166" ht="15" customHeight="1">
      <c r="A166" t="inlineStr">
        <is>
          <t>A 27538-2024</t>
        </is>
      </c>
      <c r="B166" s="1" t="n">
        <v>45474</v>
      </c>
      <c r="C166" s="1" t="n">
        <v>45475</v>
      </c>
      <c r="D166" t="inlineStr">
        <is>
          <t>STOCKHOLMS LÄN</t>
        </is>
      </c>
      <c r="E166" t="inlineStr">
        <is>
          <t>NORRTÄLJE</t>
        </is>
      </c>
      <c r="G166" t="n">
        <v>1.5</v>
      </c>
      <c r="H166" t="n">
        <v>1</v>
      </c>
      <c r="I166" t="n">
        <v>1</v>
      </c>
      <c r="J166" t="n">
        <v>0</v>
      </c>
      <c r="K166" t="n">
        <v>0</v>
      </c>
      <c r="L166" t="n">
        <v>0</v>
      </c>
      <c r="M166" t="n">
        <v>0</v>
      </c>
      <c r="N166" t="n">
        <v>0</v>
      </c>
      <c r="O166" t="n">
        <v>0</v>
      </c>
      <c r="P166" t="n">
        <v>0</v>
      </c>
      <c r="Q166" t="n">
        <v>1</v>
      </c>
      <c r="R166" s="2" t="inlineStr">
        <is>
          <t>Skogsknipprot</t>
        </is>
      </c>
      <c r="S166">
        <f>HYPERLINK("https://klasma.github.io/Logging_0188/artfynd/A 27538-2024 artfynd.xlsx", "A 27538-2024")</f>
        <v/>
      </c>
      <c r="T166">
        <f>HYPERLINK("https://klasma.github.io/Logging_0188/kartor/A 27538-2024 karta.png", "A 27538-2024")</f>
        <v/>
      </c>
      <c r="V166">
        <f>HYPERLINK("https://klasma.github.io/Logging_0188/klagomål/A 27538-2024 FSC-klagomål.docx", "A 27538-2024")</f>
        <v/>
      </c>
      <c r="W166">
        <f>HYPERLINK("https://klasma.github.io/Logging_0188/klagomålsmail/A 27538-2024 FSC-klagomål mail.docx", "A 27538-2024")</f>
        <v/>
      </c>
      <c r="X166">
        <f>HYPERLINK("https://klasma.github.io/Logging_0188/tillsyn/A 27538-2024 tillsynsbegäran.docx", "A 27538-2024")</f>
        <v/>
      </c>
      <c r="Y166">
        <f>HYPERLINK("https://klasma.github.io/Logging_0188/tillsynsmail/A 27538-2024 tillsynsbegäran mail.docx", "A 27538-2024")</f>
        <v/>
      </c>
    </row>
    <row r="167" ht="15" customHeight="1">
      <c r="A167" t="inlineStr">
        <is>
          <t>A 17752-2019</t>
        </is>
      </c>
      <c r="B167" s="1" t="n">
        <v>43556</v>
      </c>
      <c r="C167" s="1" t="n">
        <v>45475</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17795-2019</t>
        </is>
      </c>
      <c r="B168" s="1" t="n">
        <v>43556</v>
      </c>
      <c r="C168" s="1" t="n">
        <v>45475</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17757-2019</t>
        </is>
      </c>
      <c r="B169" s="1" t="n">
        <v>43556</v>
      </c>
      <c r="C169" s="1" t="n">
        <v>45475</v>
      </c>
      <c r="D169" t="inlineStr">
        <is>
          <t>STOCKHOLMS LÄN</t>
        </is>
      </c>
      <c r="E169" t="inlineStr">
        <is>
          <t>NORRTÄLJE</t>
        </is>
      </c>
      <c r="G169" t="n">
        <v>2.5</v>
      </c>
      <c r="H169" t="n">
        <v>0</v>
      </c>
      <c r="I169" t="n">
        <v>0</v>
      </c>
      <c r="J169" t="n">
        <v>0</v>
      </c>
      <c r="K169" t="n">
        <v>0</v>
      </c>
      <c r="L169" t="n">
        <v>0</v>
      </c>
      <c r="M169" t="n">
        <v>0</v>
      </c>
      <c r="N169" t="n">
        <v>0</v>
      </c>
      <c r="O169" t="n">
        <v>0</v>
      </c>
      <c r="P169" t="n">
        <v>0</v>
      </c>
      <c r="Q169" t="n">
        <v>0</v>
      </c>
      <c r="R169" s="2" t="inlineStr"/>
    </row>
    <row r="170" ht="15" customHeight="1">
      <c r="A170" t="inlineStr">
        <is>
          <t>A 17963-2019</t>
        </is>
      </c>
      <c r="B170" s="1" t="n">
        <v>43557</v>
      </c>
      <c r="C170" s="1" t="n">
        <v>45475</v>
      </c>
      <c r="D170" t="inlineStr">
        <is>
          <t>STOCKHOLMS LÄN</t>
        </is>
      </c>
      <c r="E170" t="inlineStr">
        <is>
          <t>NORRTÄLJE</t>
        </is>
      </c>
      <c r="G170" t="n">
        <v>0.9</v>
      </c>
      <c r="H170" t="n">
        <v>0</v>
      </c>
      <c r="I170" t="n">
        <v>0</v>
      </c>
      <c r="J170" t="n">
        <v>0</v>
      </c>
      <c r="K170" t="n">
        <v>0</v>
      </c>
      <c r="L170" t="n">
        <v>0</v>
      </c>
      <c r="M170" t="n">
        <v>0</v>
      </c>
      <c r="N170" t="n">
        <v>0</v>
      </c>
      <c r="O170" t="n">
        <v>0</v>
      </c>
      <c r="P170" t="n">
        <v>0</v>
      </c>
      <c r="Q170" t="n">
        <v>0</v>
      </c>
      <c r="R170" s="2" t="inlineStr"/>
    </row>
    <row r="171" ht="15" customHeight="1">
      <c r="A171" t="inlineStr">
        <is>
          <t>A 18378-2019</t>
        </is>
      </c>
      <c r="B171" s="1" t="n">
        <v>43559</v>
      </c>
      <c r="C171" s="1" t="n">
        <v>45475</v>
      </c>
      <c r="D171" t="inlineStr">
        <is>
          <t>STOCKHOLMS LÄN</t>
        </is>
      </c>
      <c r="E171" t="inlineStr">
        <is>
          <t>NORRTÄLJE</t>
        </is>
      </c>
      <c r="G171" t="n">
        <v>5.8</v>
      </c>
      <c r="H171" t="n">
        <v>0</v>
      </c>
      <c r="I171" t="n">
        <v>0</v>
      </c>
      <c r="J171" t="n">
        <v>0</v>
      </c>
      <c r="K171" t="n">
        <v>0</v>
      </c>
      <c r="L171" t="n">
        <v>0</v>
      </c>
      <c r="M171" t="n">
        <v>0</v>
      </c>
      <c r="N171" t="n">
        <v>0</v>
      </c>
      <c r="O171" t="n">
        <v>0</v>
      </c>
      <c r="P171" t="n">
        <v>0</v>
      </c>
      <c r="Q171" t="n">
        <v>0</v>
      </c>
      <c r="R171" s="2" t="inlineStr"/>
    </row>
    <row r="172" ht="15" customHeight="1">
      <c r="A172" t="inlineStr">
        <is>
          <t>A 18664-2019</t>
        </is>
      </c>
      <c r="B172" s="1" t="n">
        <v>43560</v>
      </c>
      <c r="C172" s="1" t="n">
        <v>45475</v>
      </c>
      <c r="D172" t="inlineStr">
        <is>
          <t>STOCKHOLMS LÄN</t>
        </is>
      </c>
      <c r="E172" t="inlineStr">
        <is>
          <t>NORRTÄLJE</t>
        </is>
      </c>
      <c r="G172" t="n">
        <v>0.6</v>
      </c>
      <c r="H172" t="n">
        <v>0</v>
      </c>
      <c r="I172" t="n">
        <v>0</v>
      </c>
      <c r="J172" t="n">
        <v>0</v>
      </c>
      <c r="K172" t="n">
        <v>0</v>
      </c>
      <c r="L172" t="n">
        <v>0</v>
      </c>
      <c r="M172" t="n">
        <v>0</v>
      </c>
      <c r="N172" t="n">
        <v>0</v>
      </c>
      <c r="O172" t="n">
        <v>0</v>
      </c>
      <c r="P172" t="n">
        <v>0</v>
      </c>
      <c r="Q172" t="n">
        <v>0</v>
      </c>
      <c r="R172" s="2" t="inlineStr"/>
    </row>
    <row r="173" ht="15" customHeight="1">
      <c r="A173" t="inlineStr">
        <is>
          <t>A 18767-2019</t>
        </is>
      </c>
      <c r="B173" s="1" t="n">
        <v>43560</v>
      </c>
      <c r="C173" s="1" t="n">
        <v>45475</v>
      </c>
      <c r="D173" t="inlineStr">
        <is>
          <t>STOCKHOLMS LÄN</t>
        </is>
      </c>
      <c r="E173" t="inlineStr">
        <is>
          <t>NORRTÄLJE</t>
        </is>
      </c>
      <c r="G173" t="n">
        <v>4</v>
      </c>
      <c r="H173" t="n">
        <v>0</v>
      </c>
      <c r="I173" t="n">
        <v>0</v>
      </c>
      <c r="J173" t="n">
        <v>0</v>
      </c>
      <c r="K173" t="n">
        <v>0</v>
      </c>
      <c r="L173" t="n">
        <v>0</v>
      </c>
      <c r="M173" t="n">
        <v>0</v>
      </c>
      <c r="N173" t="n">
        <v>0</v>
      </c>
      <c r="O173" t="n">
        <v>0</v>
      </c>
      <c r="P173" t="n">
        <v>0</v>
      </c>
      <c r="Q173" t="n">
        <v>0</v>
      </c>
      <c r="R173" s="2" t="inlineStr"/>
    </row>
    <row r="174" ht="15" customHeight="1">
      <c r="A174" t="inlineStr">
        <is>
          <t>A 18820-2019</t>
        </is>
      </c>
      <c r="B174" s="1" t="n">
        <v>43563</v>
      </c>
      <c r="C174" s="1" t="n">
        <v>45475</v>
      </c>
      <c r="D174" t="inlineStr">
        <is>
          <t>STOCKHOLMS LÄN</t>
        </is>
      </c>
      <c r="E174" t="inlineStr">
        <is>
          <t>NORRTÄLJE</t>
        </is>
      </c>
      <c r="G174" t="n">
        <v>3</v>
      </c>
      <c r="H174" t="n">
        <v>0</v>
      </c>
      <c r="I174" t="n">
        <v>0</v>
      </c>
      <c r="J174" t="n">
        <v>0</v>
      </c>
      <c r="K174" t="n">
        <v>0</v>
      </c>
      <c r="L174" t="n">
        <v>0</v>
      </c>
      <c r="M174" t="n">
        <v>0</v>
      </c>
      <c r="N174" t="n">
        <v>0</v>
      </c>
      <c r="O174" t="n">
        <v>0</v>
      </c>
      <c r="P174" t="n">
        <v>0</v>
      </c>
      <c r="Q174" t="n">
        <v>0</v>
      </c>
      <c r="R174" s="2" t="inlineStr"/>
    </row>
    <row r="175" ht="15" customHeight="1">
      <c r="A175" t="inlineStr">
        <is>
          <t>A 18890-2019</t>
        </is>
      </c>
      <c r="B175" s="1" t="n">
        <v>43563</v>
      </c>
      <c r="C175" s="1" t="n">
        <v>45475</v>
      </c>
      <c r="D175" t="inlineStr">
        <is>
          <t>STOCKHOLMS LÄN</t>
        </is>
      </c>
      <c r="E175" t="inlineStr">
        <is>
          <t>NORRTÄLJE</t>
        </is>
      </c>
      <c r="G175" t="n">
        <v>4.7</v>
      </c>
      <c r="H175" t="n">
        <v>0</v>
      </c>
      <c r="I175" t="n">
        <v>0</v>
      </c>
      <c r="J175" t="n">
        <v>0</v>
      </c>
      <c r="K175" t="n">
        <v>0</v>
      </c>
      <c r="L175" t="n">
        <v>0</v>
      </c>
      <c r="M175" t="n">
        <v>0</v>
      </c>
      <c r="N175" t="n">
        <v>0</v>
      </c>
      <c r="O175" t="n">
        <v>0</v>
      </c>
      <c r="P175" t="n">
        <v>0</v>
      </c>
      <c r="Q175" t="n">
        <v>0</v>
      </c>
      <c r="R175" s="2" t="inlineStr"/>
    </row>
    <row r="176" ht="15" customHeight="1">
      <c r="A176" t="inlineStr">
        <is>
          <t>A 18909-2019</t>
        </is>
      </c>
      <c r="B176" s="1" t="n">
        <v>43563</v>
      </c>
      <c r="C176" s="1" t="n">
        <v>45475</v>
      </c>
      <c r="D176" t="inlineStr">
        <is>
          <t>STOCKHOLMS LÄN</t>
        </is>
      </c>
      <c r="E176" t="inlineStr">
        <is>
          <t>NORRTÄLJE</t>
        </is>
      </c>
      <c r="G176" t="n">
        <v>2.9</v>
      </c>
      <c r="H176" t="n">
        <v>0</v>
      </c>
      <c r="I176" t="n">
        <v>0</v>
      </c>
      <c r="J176" t="n">
        <v>0</v>
      </c>
      <c r="K176" t="n">
        <v>0</v>
      </c>
      <c r="L176" t="n">
        <v>0</v>
      </c>
      <c r="M176" t="n">
        <v>0</v>
      </c>
      <c r="N176" t="n">
        <v>0</v>
      </c>
      <c r="O176" t="n">
        <v>0</v>
      </c>
      <c r="P176" t="n">
        <v>0</v>
      </c>
      <c r="Q176" t="n">
        <v>0</v>
      </c>
      <c r="R176" s="2" t="inlineStr"/>
    </row>
    <row r="177" ht="15" customHeight="1">
      <c r="A177" t="inlineStr">
        <is>
          <t>A 19026-2019</t>
        </is>
      </c>
      <c r="B177" s="1" t="n">
        <v>43563</v>
      </c>
      <c r="C177" s="1" t="n">
        <v>45475</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19014-2019</t>
        </is>
      </c>
      <c r="B178" s="1" t="n">
        <v>43563</v>
      </c>
      <c r="C178" s="1" t="n">
        <v>45475</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19247-2019</t>
        </is>
      </c>
      <c r="B179" s="1" t="n">
        <v>43564</v>
      </c>
      <c r="C179" s="1" t="n">
        <v>45475</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19255-2019</t>
        </is>
      </c>
      <c r="B180" s="1" t="n">
        <v>43564</v>
      </c>
      <c r="C180" s="1" t="n">
        <v>45475</v>
      </c>
      <c r="D180" t="inlineStr">
        <is>
          <t>STOCKHOLMS LÄN</t>
        </is>
      </c>
      <c r="E180" t="inlineStr">
        <is>
          <t>NORRTÄLJE</t>
        </is>
      </c>
      <c r="G180" t="n">
        <v>2.6</v>
      </c>
      <c r="H180" t="n">
        <v>0</v>
      </c>
      <c r="I180" t="n">
        <v>0</v>
      </c>
      <c r="J180" t="n">
        <v>0</v>
      </c>
      <c r="K180" t="n">
        <v>0</v>
      </c>
      <c r="L180" t="n">
        <v>0</v>
      </c>
      <c r="M180" t="n">
        <v>0</v>
      </c>
      <c r="N180" t="n">
        <v>0</v>
      </c>
      <c r="O180" t="n">
        <v>0</v>
      </c>
      <c r="P180" t="n">
        <v>0</v>
      </c>
      <c r="Q180" t="n">
        <v>0</v>
      </c>
      <c r="R180" s="2" t="inlineStr"/>
    </row>
    <row r="181" ht="15" customHeight="1">
      <c r="A181" t="inlineStr">
        <is>
          <t>A 19302-2019</t>
        </is>
      </c>
      <c r="B181" s="1" t="n">
        <v>43565</v>
      </c>
      <c r="C181" s="1" t="n">
        <v>45475</v>
      </c>
      <c r="D181" t="inlineStr">
        <is>
          <t>STOCKHOLMS LÄN</t>
        </is>
      </c>
      <c r="E181" t="inlineStr">
        <is>
          <t>NORRTÄLJE</t>
        </is>
      </c>
      <c r="F181" t="inlineStr">
        <is>
          <t>Kommuner</t>
        </is>
      </c>
      <c r="G181" t="n">
        <v>4.2</v>
      </c>
      <c r="H181" t="n">
        <v>0</v>
      </c>
      <c r="I181" t="n">
        <v>0</v>
      </c>
      <c r="J181" t="n">
        <v>0</v>
      </c>
      <c r="K181" t="n">
        <v>0</v>
      </c>
      <c r="L181" t="n">
        <v>0</v>
      </c>
      <c r="M181" t="n">
        <v>0</v>
      </c>
      <c r="N181" t="n">
        <v>0</v>
      </c>
      <c r="O181" t="n">
        <v>0</v>
      </c>
      <c r="P181" t="n">
        <v>0</v>
      </c>
      <c r="Q181" t="n">
        <v>0</v>
      </c>
      <c r="R181" s="2" t="inlineStr"/>
    </row>
    <row r="182" ht="15" customHeight="1">
      <c r="A182" t="inlineStr">
        <is>
          <t>A 19301-2019</t>
        </is>
      </c>
      <c r="B182" s="1" t="n">
        <v>43565</v>
      </c>
      <c r="C182" s="1" t="n">
        <v>45475</v>
      </c>
      <c r="D182" t="inlineStr">
        <is>
          <t>STOCKHOLMS LÄN</t>
        </is>
      </c>
      <c r="E182" t="inlineStr">
        <is>
          <t>NORRTÄLJE</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19297-2019</t>
        </is>
      </c>
      <c r="B183" s="1" t="n">
        <v>43565</v>
      </c>
      <c r="C183" s="1" t="n">
        <v>45475</v>
      </c>
      <c r="D183" t="inlineStr">
        <is>
          <t>STOCKHOLMS LÄN</t>
        </is>
      </c>
      <c r="E183" t="inlineStr">
        <is>
          <t>NORRTÄLJE</t>
        </is>
      </c>
      <c r="F183" t="inlineStr">
        <is>
          <t>Kommuner</t>
        </is>
      </c>
      <c r="G183" t="n">
        <v>1.2</v>
      </c>
      <c r="H183" t="n">
        <v>0</v>
      </c>
      <c r="I183" t="n">
        <v>0</v>
      </c>
      <c r="J183" t="n">
        <v>0</v>
      </c>
      <c r="K183" t="n">
        <v>0</v>
      </c>
      <c r="L183" t="n">
        <v>0</v>
      </c>
      <c r="M183" t="n">
        <v>0</v>
      </c>
      <c r="N183" t="n">
        <v>0</v>
      </c>
      <c r="O183" t="n">
        <v>0</v>
      </c>
      <c r="P183" t="n">
        <v>0</v>
      </c>
      <c r="Q183" t="n">
        <v>0</v>
      </c>
      <c r="R183" s="2" t="inlineStr"/>
    </row>
    <row r="184" ht="15" customHeight="1">
      <c r="A184" t="inlineStr">
        <is>
          <t>A 19537-2019</t>
        </is>
      </c>
      <c r="B184" s="1" t="n">
        <v>43565</v>
      </c>
      <c r="C184" s="1" t="n">
        <v>45475</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19539-2019</t>
        </is>
      </c>
      <c r="B185" s="1" t="n">
        <v>43565</v>
      </c>
      <c r="C185" s="1" t="n">
        <v>45475</v>
      </c>
      <c r="D185" t="inlineStr">
        <is>
          <t>STOCKHOLMS LÄN</t>
        </is>
      </c>
      <c r="E185" t="inlineStr">
        <is>
          <t>NORRTÄLJE</t>
        </is>
      </c>
      <c r="G185" t="n">
        <v>2.4</v>
      </c>
      <c r="H185" t="n">
        <v>0</v>
      </c>
      <c r="I185" t="n">
        <v>0</v>
      </c>
      <c r="J185" t="n">
        <v>0</v>
      </c>
      <c r="K185" t="n">
        <v>0</v>
      </c>
      <c r="L185" t="n">
        <v>0</v>
      </c>
      <c r="M185" t="n">
        <v>0</v>
      </c>
      <c r="N185" t="n">
        <v>0</v>
      </c>
      <c r="O185" t="n">
        <v>0</v>
      </c>
      <c r="P185" t="n">
        <v>0</v>
      </c>
      <c r="Q185" t="n">
        <v>0</v>
      </c>
      <c r="R185" s="2" t="inlineStr"/>
    </row>
    <row r="186" ht="15" customHeight="1">
      <c r="A186" t="inlineStr">
        <is>
          <t>A 19540-2019</t>
        </is>
      </c>
      <c r="B186" s="1" t="n">
        <v>43565</v>
      </c>
      <c r="C186" s="1" t="n">
        <v>45475</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19638-2019</t>
        </is>
      </c>
      <c r="B187" s="1" t="n">
        <v>43566</v>
      </c>
      <c r="C187" s="1" t="n">
        <v>45475</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19593-2019</t>
        </is>
      </c>
      <c r="B188" s="1" t="n">
        <v>43566</v>
      </c>
      <c r="C188" s="1" t="n">
        <v>45475</v>
      </c>
      <c r="D188" t="inlineStr">
        <is>
          <t>STOCKHOLMS LÄN</t>
        </is>
      </c>
      <c r="E188" t="inlineStr">
        <is>
          <t>NORRTÄLJE</t>
        </is>
      </c>
      <c r="G188" t="n">
        <v>0.6</v>
      </c>
      <c r="H188" t="n">
        <v>0</v>
      </c>
      <c r="I188" t="n">
        <v>0</v>
      </c>
      <c r="J188" t="n">
        <v>0</v>
      </c>
      <c r="K188" t="n">
        <v>0</v>
      </c>
      <c r="L188" t="n">
        <v>0</v>
      </c>
      <c r="M188" t="n">
        <v>0</v>
      </c>
      <c r="N188" t="n">
        <v>0</v>
      </c>
      <c r="O188" t="n">
        <v>0</v>
      </c>
      <c r="P188" t="n">
        <v>0</v>
      </c>
      <c r="Q188" t="n">
        <v>0</v>
      </c>
      <c r="R188" s="2" t="inlineStr"/>
    </row>
    <row r="189" ht="15" customHeight="1">
      <c r="A189" t="inlineStr">
        <is>
          <t>A 19872-2019</t>
        </is>
      </c>
      <c r="B189" s="1" t="n">
        <v>43567</v>
      </c>
      <c r="C189" s="1" t="n">
        <v>45475</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19811-2019</t>
        </is>
      </c>
      <c r="B190" s="1" t="n">
        <v>43567</v>
      </c>
      <c r="C190" s="1" t="n">
        <v>45475</v>
      </c>
      <c r="D190" t="inlineStr">
        <is>
          <t>STOCKHOLMS LÄN</t>
        </is>
      </c>
      <c r="E190" t="inlineStr">
        <is>
          <t>NORRTÄLJE</t>
        </is>
      </c>
      <c r="F190" t="inlineStr">
        <is>
          <t>Kommuner</t>
        </is>
      </c>
      <c r="G190" t="n">
        <v>1.6</v>
      </c>
      <c r="H190" t="n">
        <v>0</v>
      </c>
      <c r="I190" t="n">
        <v>0</v>
      </c>
      <c r="J190" t="n">
        <v>0</v>
      </c>
      <c r="K190" t="n">
        <v>0</v>
      </c>
      <c r="L190" t="n">
        <v>0</v>
      </c>
      <c r="M190" t="n">
        <v>0</v>
      </c>
      <c r="N190" t="n">
        <v>0</v>
      </c>
      <c r="O190" t="n">
        <v>0</v>
      </c>
      <c r="P190" t="n">
        <v>0</v>
      </c>
      <c r="Q190" t="n">
        <v>0</v>
      </c>
      <c r="R190" s="2" t="inlineStr"/>
    </row>
    <row r="191" ht="15" customHeight="1">
      <c r="A191" t="inlineStr">
        <is>
          <t>A 19812-2019</t>
        </is>
      </c>
      <c r="B191" s="1" t="n">
        <v>43567</v>
      </c>
      <c r="C191" s="1" t="n">
        <v>45475</v>
      </c>
      <c r="D191" t="inlineStr">
        <is>
          <t>STOCKHOLMS LÄN</t>
        </is>
      </c>
      <c r="E191" t="inlineStr">
        <is>
          <t>NORRTÄLJE</t>
        </is>
      </c>
      <c r="F191" t="inlineStr">
        <is>
          <t>Kommuner</t>
        </is>
      </c>
      <c r="G191" t="n">
        <v>1.5</v>
      </c>
      <c r="H191" t="n">
        <v>0</v>
      </c>
      <c r="I191" t="n">
        <v>0</v>
      </c>
      <c r="J191" t="n">
        <v>0</v>
      </c>
      <c r="K191" t="n">
        <v>0</v>
      </c>
      <c r="L191" t="n">
        <v>0</v>
      </c>
      <c r="M191" t="n">
        <v>0</v>
      </c>
      <c r="N191" t="n">
        <v>0</v>
      </c>
      <c r="O191" t="n">
        <v>0</v>
      </c>
      <c r="P191" t="n">
        <v>0</v>
      </c>
      <c r="Q191" t="n">
        <v>0</v>
      </c>
      <c r="R191" s="2" t="inlineStr"/>
    </row>
    <row r="192" ht="15" customHeight="1">
      <c r="A192" t="inlineStr">
        <is>
          <t>A 19931-2019</t>
        </is>
      </c>
      <c r="B192" s="1" t="n">
        <v>43568</v>
      </c>
      <c r="C192" s="1" t="n">
        <v>45475</v>
      </c>
      <c r="D192" t="inlineStr">
        <is>
          <t>STOCKHOLMS LÄN</t>
        </is>
      </c>
      <c r="E192" t="inlineStr">
        <is>
          <t>NORRTÄLJE</t>
        </is>
      </c>
      <c r="G192" t="n">
        <v>4.2</v>
      </c>
      <c r="H192" t="n">
        <v>0</v>
      </c>
      <c r="I192" t="n">
        <v>0</v>
      </c>
      <c r="J192" t="n">
        <v>0</v>
      </c>
      <c r="K192" t="n">
        <v>0</v>
      </c>
      <c r="L192" t="n">
        <v>0</v>
      </c>
      <c r="M192" t="n">
        <v>0</v>
      </c>
      <c r="N192" t="n">
        <v>0</v>
      </c>
      <c r="O192" t="n">
        <v>0</v>
      </c>
      <c r="P192" t="n">
        <v>0</v>
      </c>
      <c r="Q192" t="n">
        <v>0</v>
      </c>
      <c r="R192" s="2" t="inlineStr"/>
    </row>
    <row r="193" ht="15" customHeight="1">
      <c r="A193" t="inlineStr">
        <is>
          <t>A 20033-2019</t>
        </is>
      </c>
      <c r="B193" s="1" t="n">
        <v>43570</v>
      </c>
      <c r="C193" s="1" t="n">
        <v>45475</v>
      </c>
      <c r="D193" t="inlineStr">
        <is>
          <t>STOCKHOLMS LÄN</t>
        </is>
      </c>
      <c r="E193" t="inlineStr">
        <is>
          <t>NORRTÄLJE</t>
        </is>
      </c>
      <c r="G193" t="n">
        <v>1.3</v>
      </c>
      <c r="H193" t="n">
        <v>0</v>
      </c>
      <c r="I193" t="n">
        <v>0</v>
      </c>
      <c r="J193" t="n">
        <v>0</v>
      </c>
      <c r="K193" t="n">
        <v>0</v>
      </c>
      <c r="L193" t="n">
        <v>0</v>
      </c>
      <c r="M193" t="n">
        <v>0</v>
      </c>
      <c r="N193" t="n">
        <v>0</v>
      </c>
      <c r="O193" t="n">
        <v>0</v>
      </c>
      <c r="P193" t="n">
        <v>0</v>
      </c>
      <c r="Q193" t="n">
        <v>0</v>
      </c>
      <c r="R193" s="2" t="inlineStr"/>
    </row>
    <row r="194" ht="15" customHeight="1">
      <c r="A194" t="inlineStr">
        <is>
          <t>A 20020-2019</t>
        </is>
      </c>
      <c r="B194" s="1" t="n">
        <v>43570</v>
      </c>
      <c r="C194" s="1" t="n">
        <v>45475</v>
      </c>
      <c r="D194" t="inlineStr">
        <is>
          <t>STOCKHOLMS LÄN</t>
        </is>
      </c>
      <c r="E194" t="inlineStr">
        <is>
          <t>NORRTÄLJE</t>
        </is>
      </c>
      <c r="G194" t="n">
        <v>0.9</v>
      </c>
      <c r="H194" t="n">
        <v>0</v>
      </c>
      <c r="I194" t="n">
        <v>0</v>
      </c>
      <c r="J194" t="n">
        <v>0</v>
      </c>
      <c r="K194" t="n">
        <v>0</v>
      </c>
      <c r="L194" t="n">
        <v>0</v>
      </c>
      <c r="M194" t="n">
        <v>0</v>
      </c>
      <c r="N194" t="n">
        <v>0</v>
      </c>
      <c r="O194" t="n">
        <v>0</v>
      </c>
      <c r="P194" t="n">
        <v>0</v>
      </c>
      <c r="Q194" t="n">
        <v>0</v>
      </c>
      <c r="R194" s="2" t="inlineStr"/>
    </row>
    <row r="195" ht="15" customHeight="1">
      <c r="A195" t="inlineStr">
        <is>
          <t>A 20051-2019</t>
        </is>
      </c>
      <c r="B195" s="1" t="n">
        <v>43570</v>
      </c>
      <c r="C195" s="1" t="n">
        <v>45475</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20137-2019</t>
        </is>
      </c>
      <c r="B196" s="1" t="n">
        <v>43570</v>
      </c>
      <c r="C196" s="1" t="n">
        <v>45475</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20007-2019</t>
        </is>
      </c>
      <c r="B197" s="1" t="n">
        <v>43570</v>
      </c>
      <c r="C197" s="1" t="n">
        <v>45475</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20052-2019</t>
        </is>
      </c>
      <c r="B198" s="1" t="n">
        <v>43570</v>
      </c>
      <c r="C198" s="1" t="n">
        <v>45475</v>
      </c>
      <c r="D198" t="inlineStr">
        <is>
          <t>STOCKHOLMS LÄN</t>
        </is>
      </c>
      <c r="E198" t="inlineStr">
        <is>
          <t>NORRTÄLJE</t>
        </is>
      </c>
      <c r="G198" t="n">
        <v>0.5</v>
      </c>
      <c r="H198" t="n">
        <v>0</v>
      </c>
      <c r="I198" t="n">
        <v>0</v>
      </c>
      <c r="J198" t="n">
        <v>0</v>
      </c>
      <c r="K198" t="n">
        <v>0</v>
      </c>
      <c r="L198" t="n">
        <v>0</v>
      </c>
      <c r="M198" t="n">
        <v>0</v>
      </c>
      <c r="N198" t="n">
        <v>0</v>
      </c>
      <c r="O198" t="n">
        <v>0</v>
      </c>
      <c r="P198" t="n">
        <v>0</v>
      </c>
      <c r="Q198" t="n">
        <v>0</v>
      </c>
      <c r="R198" s="2" t="inlineStr"/>
    </row>
    <row r="199" ht="15" customHeight="1">
      <c r="A199" t="inlineStr">
        <is>
          <t>A 20159-2019</t>
        </is>
      </c>
      <c r="B199" s="1" t="n">
        <v>43570</v>
      </c>
      <c r="C199" s="1" t="n">
        <v>45475</v>
      </c>
      <c r="D199" t="inlineStr">
        <is>
          <t>STOCKHOLMS LÄN</t>
        </is>
      </c>
      <c r="E199" t="inlineStr">
        <is>
          <t>NORRTÄLJE</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20181-2019</t>
        </is>
      </c>
      <c r="B200" s="1" t="n">
        <v>43570</v>
      </c>
      <c r="C200" s="1" t="n">
        <v>45475</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20184-2019</t>
        </is>
      </c>
      <c r="B201" s="1" t="n">
        <v>43570</v>
      </c>
      <c r="C201" s="1" t="n">
        <v>45475</v>
      </c>
      <c r="D201" t="inlineStr">
        <is>
          <t>STOCKHOLMS LÄN</t>
        </is>
      </c>
      <c r="E201" t="inlineStr">
        <is>
          <t>NORRTÄLJE</t>
        </is>
      </c>
      <c r="G201" t="n">
        <v>2.8</v>
      </c>
      <c r="H201" t="n">
        <v>0</v>
      </c>
      <c r="I201" t="n">
        <v>0</v>
      </c>
      <c r="J201" t="n">
        <v>0</v>
      </c>
      <c r="K201" t="n">
        <v>0</v>
      </c>
      <c r="L201" t="n">
        <v>0</v>
      </c>
      <c r="M201" t="n">
        <v>0</v>
      </c>
      <c r="N201" t="n">
        <v>0</v>
      </c>
      <c r="O201" t="n">
        <v>0</v>
      </c>
      <c r="P201" t="n">
        <v>0</v>
      </c>
      <c r="Q201" t="n">
        <v>0</v>
      </c>
      <c r="R201" s="2" t="inlineStr"/>
    </row>
    <row r="202" ht="15" customHeight="1">
      <c r="A202" t="inlineStr">
        <is>
          <t>A 20193-2019</t>
        </is>
      </c>
      <c r="B202" s="1" t="n">
        <v>43570</v>
      </c>
      <c r="C202" s="1" t="n">
        <v>45475</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20090-2019</t>
        </is>
      </c>
      <c r="B203" s="1" t="n">
        <v>43570</v>
      </c>
      <c r="C203" s="1" t="n">
        <v>45475</v>
      </c>
      <c r="D203" t="inlineStr">
        <is>
          <t>STOCKHOLMS LÄN</t>
        </is>
      </c>
      <c r="E203" t="inlineStr">
        <is>
          <t>NORRTÄLJE</t>
        </is>
      </c>
      <c r="F203" t="inlineStr">
        <is>
          <t>Kommuner</t>
        </is>
      </c>
      <c r="G203" t="n">
        <v>1.3</v>
      </c>
      <c r="H203" t="n">
        <v>0</v>
      </c>
      <c r="I203" t="n">
        <v>0</v>
      </c>
      <c r="J203" t="n">
        <v>0</v>
      </c>
      <c r="K203" t="n">
        <v>0</v>
      </c>
      <c r="L203" t="n">
        <v>0</v>
      </c>
      <c r="M203" t="n">
        <v>0</v>
      </c>
      <c r="N203" t="n">
        <v>0</v>
      </c>
      <c r="O203" t="n">
        <v>0</v>
      </c>
      <c r="P203" t="n">
        <v>0</v>
      </c>
      <c r="Q203" t="n">
        <v>0</v>
      </c>
      <c r="R203" s="2" t="inlineStr"/>
    </row>
    <row r="204" ht="15" customHeight="1">
      <c r="A204" t="inlineStr">
        <is>
          <t>A 20165-2019</t>
        </is>
      </c>
      <c r="B204" s="1" t="n">
        <v>43570</v>
      </c>
      <c r="C204" s="1" t="n">
        <v>45475</v>
      </c>
      <c r="D204" t="inlineStr">
        <is>
          <t>STOCKHOLMS LÄN</t>
        </is>
      </c>
      <c r="E204" t="inlineStr">
        <is>
          <t>NORRTÄLJE</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20023-2019</t>
        </is>
      </c>
      <c r="B205" s="1" t="n">
        <v>43570</v>
      </c>
      <c r="C205" s="1" t="n">
        <v>45475</v>
      </c>
      <c r="D205" t="inlineStr">
        <is>
          <t>STOCKHOLMS LÄN</t>
        </is>
      </c>
      <c r="E205" t="inlineStr">
        <is>
          <t>NORRTÄLJE</t>
        </is>
      </c>
      <c r="G205" t="n">
        <v>5.1</v>
      </c>
      <c r="H205" t="n">
        <v>0</v>
      </c>
      <c r="I205" t="n">
        <v>0</v>
      </c>
      <c r="J205" t="n">
        <v>0</v>
      </c>
      <c r="K205" t="n">
        <v>0</v>
      </c>
      <c r="L205" t="n">
        <v>0</v>
      </c>
      <c r="M205" t="n">
        <v>0</v>
      </c>
      <c r="N205" t="n">
        <v>0</v>
      </c>
      <c r="O205" t="n">
        <v>0</v>
      </c>
      <c r="P205" t="n">
        <v>0</v>
      </c>
      <c r="Q205" t="n">
        <v>0</v>
      </c>
      <c r="R205" s="2" t="inlineStr"/>
    </row>
    <row r="206" ht="15" customHeight="1">
      <c r="A206" t="inlineStr">
        <is>
          <t>A 20531-2019</t>
        </is>
      </c>
      <c r="B206" s="1" t="n">
        <v>43572</v>
      </c>
      <c r="C206" s="1" t="n">
        <v>45475</v>
      </c>
      <c r="D206" t="inlineStr">
        <is>
          <t>STOCKHOLMS LÄN</t>
        </is>
      </c>
      <c r="E206" t="inlineStr">
        <is>
          <t>NORRTÄLJE</t>
        </is>
      </c>
      <c r="G206" t="n">
        <v>2</v>
      </c>
      <c r="H206" t="n">
        <v>0</v>
      </c>
      <c r="I206" t="n">
        <v>0</v>
      </c>
      <c r="J206" t="n">
        <v>0</v>
      </c>
      <c r="K206" t="n">
        <v>0</v>
      </c>
      <c r="L206" t="n">
        <v>0</v>
      </c>
      <c r="M206" t="n">
        <v>0</v>
      </c>
      <c r="N206" t="n">
        <v>0</v>
      </c>
      <c r="O206" t="n">
        <v>0</v>
      </c>
      <c r="P206" t="n">
        <v>0</v>
      </c>
      <c r="Q206" t="n">
        <v>0</v>
      </c>
      <c r="R206" s="2" t="inlineStr"/>
    </row>
    <row r="207" ht="15" customHeight="1">
      <c r="A207" t="inlineStr">
        <is>
          <t>A 20743-2019</t>
        </is>
      </c>
      <c r="B207" s="1" t="n">
        <v>43573</v>
      </c>
      <c r="C207" s="1" t="n">
        <v>45475</v>
      </c>
      <c r="D207" t="inlineStr">
        <is>
          <t>STOCKHOLMS LÄN</t>
        </is>
      </c>
      <c r="E207" t="inlineStr">
        <is>
          <t>NORRTÄLJE</t>
        </is>
      </c>
      <c r="G207" t="n">
        <v>2.2</v>
      </c>
      <c r="H207" t="n">
        <v>0</v>
      </c>
      <c r="I207" t="n">
        <v>0</v>
      </c>
      <c r="J207" t="n">
        <v>0</v>
      </c>
      <c r="K207" t="n">
        <v>0</v>
      </c>
      <c r="L207" t="n">
        <v>0</v>
      </c>
      <c r="M207" t="n">
        <v>0</v>
      </c>
      <c r="N207" t="n">
        <v>0</v>
      </c>
      <c r="O207" t="n">
        <v>0</v>
      </c>
      <c r="P207" t="n">
        <v>0</v>
      </c>
      <c r="Q207" t="n">
        <v>0</v>
      </c>
      <c r="R207" s="2" t="inlineStr"/>
    </row>
    <row r="208" ht="15" customHeight="1">
      <c r="A208" t="inlineStr">
        <is>
          <t>A 20809-2019</t>
        </is>
      </c>
      <c r="B208" s="1" t="n">
        <v>43573</v>
      </c>
      <c r="C208" s="1" t="n">
        <v>45475</v>
      </c>
      <c r="D208" t="inlineStr">
        <is>
          <t>STOCKHOLMS LÄN</t>
        </is>
      </c>
      <c r="E208" t="inlineStr">
        <is>
          <t>NORRTÄLJE</t>
        </is>
      </c>
      <c r="F208" t="inlineStr">
        <is>
          <t>Kommuner</t>
        </is>
      </c>
      <c r="G208" t="n">
        <v>2.2</v>
      </c>
      <c r="H208" t="n">
        <v>0</v>
      </c>
      <c r="I208" t="n">
        <v>0</v>
      </c>
      <c r="J208" t="n">
        <v>0</v>
      </c>
      <c r="K208" t="n">
        <v>0</v>
      </c>
      <c r="L208" t="n">
        <v>0</v>
      </c>
      <c r="M208" t="n">
        <v>0</v>
      </c>
      <c r="N208" t="n">
        <v>0</v>
      </c>
      <c r="O208" t="n">
        <v>0</v>
      </c>
      <c r="P208" t="n">
        <v>0</v>
      </c>
      <c r="Q208" t="n">
        <v>0</v>
      </c>
      <c r="R208" s="2" t="inlineStr"/>
    </row>
    <row r="209" ht="15" customHeight="1">
      <c r="A209" t="inlineStr">
        <is>
          <t>A 20925-2019</t>
        </is>
      </c>
      <c r="B209" s="1" t="n">
        <v>43578</v>
      </c>
      <c r="C209" s="1" t="n">
        <v>45475</v>
      </c>
      <c r="D209" t="inlineStr">
        <is>
          <t>STOCKHOLMS LÄN</t>
        </is>
      </c>
      <c r="E209" t="inlineStr">
        <is>
          <t>NORRTÄLJE</t>
        </is>
      </c>
      <c r="G209" t="n">
        <v>5</v>
      </c>
      <c r="H209" t="n">
        <v>0</v>
      </c>
      <c r="I209" t="n">
        <v>0</v>
      </c>
      <c r="J209" t="n">
        <v>0</v>
      </c>
      <c r="K209" t="n">
        <v>0</v>
      </c>
      <c r="L209" t="n">
        <v>0</v>
      </c>
      <c r="M209" t="n">
        <v>0</v>
      </c>
      <c r="N209" t="n">
        <v>0</v>
      </c>
      <c r="O209" t="n">
        <v>0</v>
      </c>
      <c r="P209" t="n">
        <v>0</v>
      </c>
      <c r="Q209" t="n">
        <v>0</v>
      </c>
      <c r="R209" s="2" t="inlineStr"/>
    </row>
    <row r="210" ht="15" customHeight="1">
      <c r="A210" t="inlineStr">
        <is>
          <t>A 21062-2019</t>
        </is>
      </c>
      <c r="B210" s="1" t="n">
        <v>43578</v>
      </c>
      <c r="C210" s="1" t="n">
        <v>45475</v>
      </c>
      <c r="D210" t="inlineStr">
        <is>
          <t>STOCKHOLMS LÄN</t>
        </is>
      </c>
      <c r="E210" t="inlineStr">
        <is>
          <t>NORRTÄLJE</t>
        </is>
      </c>
      <c r="G210" t="n">
        <v>2.7</v>
      </c>
      <c r="H210" t="n">
        <v>0</v>
      </c>
      <c r="I210" t="n">
        <v>0</v>
      </c>
      <c r="J210" t="n">
        <v>0</v>
      </c>
      <c r="K210" t="n">
        <v>0</v>
      </c>
      <c r="L210" t="n">
        <v>0</v>
      </c>
      <c r="M210" t="n">
        <v>0</v>
      </c>
      <c r="N210" t="n">
        <v>0</v>
      </c>
      <c r="O210" t="n">
        <v>0</v>
      </c>
      <c r="P210" t="n">
        <v>0</v>
      </c>
      <c r="Q210" t="n">
        <v>0</v>
      </c>
      <c r="R210" s="2" t="inlineStr"/>
    </row>
    <row r="211" ht="15" customHeight="1">
      <c r="A211" t="inlineStr">
        <is>
          <t>A 21441-2019</t>
        </is>
      </c>
      <c r="B211" s="1" t="n">
        <v>43580</v>
      </c>
      <c r="C211" s="1" t="n">
        <v>45475</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21521-2019</t>
        </is>
      </c>
      <c r="B212" s="1" t="n">
        <v>43580</v>
      </c>
      <c r="C212" s="1" t="n">
        <v>45475</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21508-2019</t>
        </is>
      </c>
      <c r="B213" s="1" t="n">
        <v>43580</v>
      </c>
      <c r="C213" s="1" t="n">
        <v>45475</v>
      </c>
      <c r="D213" t="inlineStr">
        <is>
          <t>STOCKHOLMS LÄN</t>
        </is>
      </c>
      <c r="E213" t="inlineStr">
        <is>
          <t>NORRTÄLJE</t>
        </is>
      </c>
      <c r="G213" t="n">
        <v>1.2</v>
      </c>
      <c r="H213" t="n">
        <v>0</v>
      </c>
      <c r="I213" t="n">
        <v>0</v>
      </c>
      <c r="J213" t="n">
        <v>0</v>
      </c>
      <c r="K213" t="n">
        <v>0</v>
      </c>
      <c r="L213" t="n">
        <v>0</v>
      </c>
      <c r="M213" t="n">
        <v>0</v>
      </c>
      <c r="N213" t="n">
        <v>0</v>
      </c>
      <c r="O213" t="n">
        <v>0</v>
      </c>
      <c r="P213" t="n">
        <v>0</v>
      </c>
      <c r="Q213" t="n">
        <v>0</v>
      </c>
      <c r="R213" s="2" t="inlineStr"/>
    </row>
    <row r="214" ht="15" customHeight="1">
      <c r="A214" t="inlineStr">
        <is>
          <t>A 21457-2019</t>
        </is>
      </c>
      <c r="B214" s="1" t="n">
        <v>43580</v>
      </c>
      <c r="C214" s="1" t="n">
        <v>45475</v>
      </c>
      <c r="D214" t="inlineStr">
        <is>
          <t>STOCKHOLMS LÄN</t>
        </is>
      </c>
      <c r="E214" t="inlineStr">
        <is>
          <t>NORRTÄLJE</t>
        </is>
      </c>
      <c r="G214" t="n">
        <v>2.6</v>
      </c>
      <c r="H214" t="n">
        <v>0</v>
      </c>
      <c r="I214" t="n">
        <v>0</v>
      </c>
      <c r="J214" t="n">
        <v>0</v>
      </c>
      <c r="K214" t="n">
        <v>0</v>
      </c>
      <c r="L214" t="n">
        <v>0</v>
      </c>
      <c r="M214" t="n">
        <v>0</v>
      </c>
      <c r="N214" t="n">
        <v>0</v>
      </c>
      <c r="O214" t="n">
        <v>0</v>
      </c>
      <c r="P214" t="n">
        <v>0</v>
      </c>
      <c r="Q214" t="n">
        <v>0</v>
      </c>
      <c r="R214" s="2" t="inlineStr"/>
    </row>
    <row r="215" ht="15" customHeight="1">
      <c r="A215" t="inlineStr">
        <is>
          <t>A 21501-2019</t>
        </is>
      </c>
      <c r="B215" s="1" t="n">
        <v>43580</v>
      </c>
      <c r="C215" s="1" t="n">
        <v>45475</v>
      </c>
      <c r="D215" t="inlineStr">
        <is>
          <t>STOCKHOLMS LÄN</t>
        </is>
      </c>
      <c r="E215" t="inlineStr">
        <is>
          <t>NORRTÄLJE</t>
        </is>
      </c>
      <c r="G215" t="n">
        <v>3.6</v>
      </c>
      <c r="H215" t="n">
        <v>0</v>
      </c>
      <c r="I215" t="n">
        <v>0</v>
      </c>
      <c r="J215" t="n">
        <v>0</v>
      </c>
      <c r="K215" t="n">
        <v>0</v>
      </c>
      <c r="L215" t="n">
        <v>0</v>
      </c>
      <c r="M215" t="n">
        <v>0</v>
      </c>
      <c r="N215" t="n">
        <v>0</v>
      </c>
      <c r="O215" t="n">
        <v>0</v>
      </c>
      <c r="P215" t="n">
        <v>0</v>
      </c>
      <c r="Q215" t="n">
        <v>0</v>
      </c>
      <c r="R215" s="2" t="inlineStr"/>
    </row>
    <row r="216" ht="15" customHeight="1">
      <c r="A216" t="inlineStr">
        <is>
          <t>A 21616-2019</t>
        </is>
      </c>
      <c r="B216" s="1" t="n">
        <v>43581</v>
      </c>
      <c r="C216" s="1" t="n">
        <v>45475</v>
      </c>
      <c r="D216" t="inlineStr">
        <is>
          <t>STOCKHOLMS LÄN</t>
        </is>
      </c>
      <c r="E216" t="inlineStr">
        <is>
          <t>NORRTÄLJE</t>
        </is>
      </c>
      <c r="G216" t="n">
        <v>5.3</v>
      </c>
      <c r="H216" t="n">
        <v>0</v>
      </c>
      <c r="I216" t="n">
        <v>0</v>
      </c>
      <c r="J216" t="n">
        <v>0</v>
      </c>
      <c r="K216" t="n">
        <v>0</v>
      </c>
      <c r="L216" t="n">
        <v>0</v>
      </c>
      <c r="M216" t="n">
        <v>0</v>
      </c>
      <c r="N216" t="n">
        <v>0</v>
      </c>
      <c r="O216" t="n">
        <v>0</v>
      </c>
      <c r="P216" t="n">
        <v>0</v>
      </c>
      <c r="Q216" t="n">
        <v>0</v>
      </c>
      <c r="R216" s="2" t="inlineStr"/>
    </row>
    <row r="217" ht="15" customHeight="1">
      <c r="A217" t="inlineStr">
        <is>
          <t>A 21662-2019</t>
        </is>
      </c>
      <c r="B217" s="1" t="n">
        <v>43581</v>
      </c>
      <c r="C217" s="1" t="n">
        <v>45475</v>
      </c>
      <c r="D217" t="inlineStr">
        <is>
          <t>STOCKHOLMS LÄN</t>
        </is>
      </c>
      <c r="E217" t="inlineStr">
        <is>
          <t>NORRTÄLJE</t>
        </is>
      </c>
      <c r="G217" t="n">
        <v>1.5</v>
      </c>
      <c r="H217" t="n">
        <v>0</v>
      </c>
      <c r="I217" t="n">
        <v>0</v>
      </c>
      <c r="J217" t="n">
        <v>0</v>
      </c>
      <c r="K217" t="n">
        <v>0</v>
      </c>
      <c r="L217" t="n">
        <v>0</v>
      </c>
      <c r="M217" t="n">
        <v>0</v>
      </c>
      <c r="N217" t="n">
        <v>0</v>
      </c>
      <c r="O217" t="n">
        <v>0</v>
      </c>
      <c r="P217" t="n">
        <v>0</v>
      </c>
      <c r="Q217" t="n">
        <v>0</v>
      </c>
      <c r="R217" s="2" t="inlineStr"/>
    </row>
    <row r="218" ht="15" customHeight="1">
      <c r="A218" t="inlineStr">
        <is>
          <t>A 21720-2019</t>
        </is>
      </c>
      <c r="B218" s="1" t="n">
        <v>43581</v>
      </c>
      <c r="C218" s="1" t="n">
        <v>45475</v>
      </c>
      <c r="D218" t="inlineStr">
        <is>
          <t>STOCKHOLMS LÄN</t>
        </is>
      </c>
      <c r="E218" t="inlineStr">
        <is>
          <t>NORRTÄLJE</t>
        </is>
      </c>
      <c r="F218" t="inlineStr">
        <is>
          <t>Kommuner</t>
        </is>
      </c>
      <c r="G218" t="n">
        <v>1.5</v>
      </c>
      <c r="H218" t="n">
        <v>0</v>
      </c>
      <c r="I218" t="n">
        <v>0</v>
      </c>
      <c r="J218" t="n">
        <v>0</v>
      </c>
      <c r="K218" t="n">
        <v>0</v>
      </c>
      <c r="L218" t="n">
        <v>0</v>
      </c>
      <c r="M218" t="n">
        <v>0</v>
      </c>
      <c r="N218" t="n">
        <v>0</v>
      </c>
      <c r="O218" t="n">
        <v>0</v>
      </c>
      <c r="P218" t="n">
        <v>0</v>
      </c>
      <c r="Q218" t="n">
        <v>0</v>
      </c>
      <c r="R218" s="2" t="inlineStr"/>
    </row>
    <row r="219" ht="15" customHeight="1">
      <c r="A219" t="inlineStr">
        <is>
          <t>A 21692-2019</t>
        </is>
      </c>
      <c r="B219" s="1" t="n">
        <v>43581</v>
      </c>
      <c r="C219" s="1" t="n">
        <v>45475</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21811-2019</t>
        </is>
      </c>
      <c r="B220" s="1" t="n">
        <v>43582</v>
      </c>
      <c r="C220" s="1" t="n">
        <v>45475</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22207-2019</t>
        </is>
      </c>
      <c r="B221" s="1" t="n">
        <v>43585</v>
      </c>
      <c r="C221" s="1" t="n">
        <v>45475</v>
      </c>
      <c r="D221" t="inlineStr">
        <is>
          <t>STOCKHOLMS LÄN</t>
        </is>
      </c>
      <c r="E221" t="inlineStr">
        <is>
          <t>NORRTÄLJE</t>
        </is>
      </c>
      <c r="G221" t="n">
        <v>0.8</v>
      </c>
      <c r="H221" t="n">
        <v>0</v>
      </c>
      <c r="I221" t="n">
        <v>0</v>
      </c>
      <c r="J221" t="n">
        <v>0</v>
      </c>
      <c r="K221" t="n">
        <v>0</v>
      </c>
      <c r="L221" t="n">
        <v>0</v>
      </c>
      <c r="M221" t="n">
        <v>0</v>
      </c>
      <c r="N221" t="n">
        <v>0</v>
      </c>
      <c r="O221" t="n">
        <v>0</v>
      </c>
      <c r="P221" t="n">
        <v>0</v>
      </c>
      <c r="Q221" t="n">
        <v>0</v>
      </c>
      <c r="R221" s="2" t="inlineStr"/>
    </row>
    <row r="222" ht="15" customHeight="1">
      <c r="A222" t="inlineStr">
        <is>
          <t>A 22211-2019</t>
        </is>
      </c>
      <c r="B222" s="1" t="n">
        <v>43585</v>
      </c>
      <c r="C222" s="1" t="n">
        <v>45475</v>
      </c>
      <c r="D222" t="inlineStr">
        <is>
          <t>STOCKHOLMS LÄN</t>
        </is>
      </c>
      <c r="E222" t="inlineStr">
        <is>
          <t>NORRTÄLJE</t>
        </is>
      </c>
      <c r="G222" t="n">
        <v>6.8</v>
      </c>
      <c r="H222" t="n">
        <v>0</v>
      </c>
      <c r="I222" t="n">
        <v>0</v>
      </c>
      <c r="J222" t="n">
        <v>0</v>
      </c>
      <c r="K222" t="n">
        <v>0</v>
      </c>
      <c r="L222" t="n">
        <v>0</v>
      </c>
      <c r="M222" t="n">
        <v>0</v>
      </c>
      <c r="N222" t="n">
        <v>0</v>
      </c>
      <c r="O222" t="n">
        <v>0</v>
      </c>
      <c r="P222" t="n">
        <v>0</v>
      </c>
      <c r="Q222" t="n">
        <v>0</v>
      </c>
      <c r="R222" s="2" t="inlineStr"/>
    </row>
    <row r="223" ht="15" customHeight="1">
      <c r="A223" t="inlineStr">
        <is>
          <t>A 22254-2019</t>
        </is>
      </c>
      <c r="B223" s="1" t="n">
        <v>43585</v>
      </c>
      <c r="C223" s="1" t="n">
        <v>45475</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22218-2019</t>
        </is>
      </c>
      <c r="B224" s="1" t="n">
        <v>43585</v>
      </c>
      <c r="C224" s="1" t="n">
        <v>45475</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22331-2019</t>
        </is>
      </c>
      <c r="B225" s="1" t="n">
        <v>43586</v>
      </c>
      <c r="C225" s="1" t="n">
        <v>45475</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22359-2019</t>
        </is>
      </c>
      <c r="B226" s="1" t="n">
        <v>43587</v>
      </c>
      <c r="C226" s="1" t="n">
        <v>45475</v>
      </c>
      <c r="D226" t="inlineStr">
        <is>
          <t>STOCKHOLMS LÄN</t>
        </is>
      </c>
      <c r="E226" t="inlineStr">
        <is>
          <t>NORRTÄLJE</t>
        </is>
      </c>
      <c r="G226" t="n">
        <v>1.1</v>
      </c>
      <c r="H226" t="n">
        <v>0</v>
      </c>
      <c r="I226" t="n">
        <v>0</v>
      </c>
      <c r="J226" t="n">
        <v>0</v>
      </c>
      <c r="K226" t="n">
        <v>0</v>
      </c>
      <c r="L226" t="n">
        <v>0</v>
      </c>
      <c r="M226" t="n">
        <v>0</v>
      </c>
      <c r="N226" t="n">
        <v>0</v>
      </c>
      <c r="O226" t="n">
        <v>0</v>
      </c>
      <c r="P226" t="n">
        <v>0</v>
      </c>
      <c r="Q226" t="n">
        <v>0</v>
      </c>
      <c r="R226" s="2" t="inlineStr"/>
    </row>
    <row r="227" ht="15" customHeight="1">
      <c r="A227" t="inlineStr">
        <is>
          <t>A 22422-2019</t>
        </is>
      </c>
      <c r="B227" s="1" t="n">
        <v>43587</v>
      </c>
      <c r="C227" s="1" t="n">
        <v>45475</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22490-2019</t>
        </is>
      </c>
      <c r="B228" s="1" t="n">
        <v>43587</v>
      </c>
      <c r="C228" s="1" t="n">
        <v>45475</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22496-2019</t>
        </is>
      </c>
      <c r="B229" s="1" t="n">
        <v>43587</v>
      </c>
      <c r="C229" s="1" t="n">
        <v>45475</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23711-2019</t>
        </is>
      </c>
      <c r="B230" s="1" t="n">
        <v>43594</v>
      </c>
      <c r="C230" s="1" t="n">
        <v>45475</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23710-2019</t>
        </is>
      </c>
      <c r="B231" s="1" t="n">
        <v>43594</v>
      </c>
      <c r="C231" s="1" t="n">
        <v>45475</v>
      </c>
      <c r="D231" t="inlineStr">
        <is>
          <t>STOCKHOLMS LÄN</t>
        </is>
      </c>
      <c r="E231" t="inlineStr">
        <is>
          <t>NORRTÄLJE</t>
        </is>
      </c>
      <c r="G231" t="n">
        <v>2.2</v>
      </c>
      <c r="H231" t="n">
        <v>0</v>
      </c>
      <c r="I231" t="n">
        <v>0</v>
      </c>
      <c r="J231" t="n">
        <v>0</v>
      </c>
      <c r="K231" t="n">
        <v>0</v>
      </c>
      <c r="L231" t="n">
        <v>0</v>
      </c>
      <c r="M231" t="n">
        <v>0</v>
      </c>
      <c r="N231" t="n">
        <v>0</v>
      </c>
      <c r="O231" t="n">
        <v>0</v>
      </c>
      <c r="P231" t="n">
        <v>0</v>
      </c>
      <c r="Q231" t="n">
        <v>0</v>
      </c>
      <c r="R231" s="2" t="inlineStr"/>
    </row>
    <row r="232" ht="15" customHeight="1">
      <c r="A232" t="inlineStr">
        <is>
          <t>A 23862-2019</t>
        </is>
      </c>
      <c r="B232" s="1" t="n">
        <v>43595</v>
      </c>
      <c r="C232" s="1" t="n">
        <v>45475</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23878-2019</t>
        </is>
      </c>
      <c r="B233" s="1" t="n">
        <v>43595</v>
      </c>
      <c r="C233" s="1" t="n">
        <v>45475</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23961-2019</t>
        </is>
      </c>
      <c r="B234" s="1" t="n">
        <v>43597</v>
      </c>
      <c r="C234" s="1" t="n">
        <v>45475</v>
      </c>
      <c r="D234" t="inlineStr">
        <is>
          <t>STOCKHOLMS LÄN</t>
        </is>
      </c>
      <c r="E234" t="inlineStr">
        <is>
          <t>NORRTÄLJE</t>
        </is>
      </c>
      <c r="G234" t="n">
        <v>17.6</v>
      </c>
      <c r="H234" t="n">
        <v>0</v>
      </c>
      <c r="I234" t="n">
        <v>0</v>
      </c>
      <c r="J234" t="n">
        <v>0</v>
      </c>
      <c r="K234" t="n">
        <v>0</v>
      </c>
      <c r="L234" t="n">
        <v>0</v>
      </c>
      <c r="M234" t="n">
        <v>0</v>
      </c>
      <c r="N234" t="n">
        <v>0</v>
      </c>
      <c r="O234" t="n">
        <v>0</v>
      </c>
      <c r="P234" t="n">
        <v>0</v>
      </c>
      <c r="Q234" t="n">
        <v>0</v>
      </c>
      <c r="R234" s="2" t="inlineStr"/>
    </row>
    <row r="235" ht="15" customHeight="1">
      <c r="A235" t="inlineStr">
        <is>
          <t>A 23965-2019</t>
        </is>
      </c>
      <c r="B235" s="1" t="n">
        <v>43597</v>
      </c>
      <c r="C235" s="1" t="n">
        <v>45475</v>
      </c>
      <c r="D235" t="inlineStr">
        <is>
          <t>STOCKHOLMS LÄN</t>
        </is>
      </c>
      <c r="E235" t="inlineStr">
        <is>
          <t>NORRTÄLJE</t>
        </is>
      </c>
      <c r="G235" t="n">
        <v>6.1</v>
      </c>
      <c r="H235" t="n">
        <v>0</v>
      </c>
      <c r="I235" t="n">
        <v>0</v>
      </c>
      <c r="J235" t="n">
        <v>0</v>
      </c>
      <c r="K235" t="n">
        <v>0</v>
      </c>
      <c r="L235" t="n">
        <v>0</v>
      </c>
      <c r="M235" t="n">
        <v>0</v>
      </c>
      <c r="N235" t="n">
        <v>0</v>
      </c>
      <c r="O235" t="n">
        <v>0</v>
      </c>
      <c r="P235" t="n">
        <v>0</v>
      </c>
      <c r="Q235" t="n">
        <v>0</v>
      </c>
      <c r="R235" s="2" t="inlineStr"/>
    </row>
    <row r="236" ht="15" customHeight="1">
      <c r="A236" t="inlineStr">
        <is>
          <t>A 23963-2019</t>
        </is>
      </c>
      <c r="B236" s="1" t="n">
        <v>43597</v>
      </c>
      <c r="C236" s="1" t="n">
        <v>45475</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24124-2019</t>
        </is>
      </c>
      <c r="B237" s="1" t="n">
        <v>43598</v>
      </c>
      <c r="C237" s="1" t="n">
        <v>45475</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24058-2019</t>
        </is>
      </c>
      <c r="B238" s="1" t="n">
        <v>43598</v>
      </c>
      <c r="C238" s="1" t="n">
        <v>45475</v>
      </c>
      <c r="D238" t="inlineStr">
        <is>
          <t>STOCKHOLMS LÄN</t>
        </is>
      </c>
      <c r="E238" t="inlineStr">
        <is>
          <t>NORRTÄLJE</t>
        </is>
      </c>
      <c r="G238" t="n">
        <v>2.5</v>
      </c>
      <c r="H238" t="n">
        <v>0</v>
      </c>
      <c r="I238" t="n">
        <v>0</v>
      </c>
      <c r="J238" t="n">
        <v>0</v>
      </c>
      <c r="K238" t="n">
        <v>0</v>
      </c>
      <c r="L238" t="n">
        <v>0</v>
      </c>
      <c r="M238" t="n">
        <v>0</v>
      </c>
      <c r="N238" t="n">
        <v>0</v>
      </c>
      <c r="O238" t="n">
        <v>0</v>
      </c>
      <c r="P238" t="n">
        <v>0</v>
      </c>
      <c r="Q238" t="n">
        <v>0</v>
      </c>
      <c r="R238" s="2" t="inlineStr"/>
    </row>
    <row r="239" ht="15" customHeight="1">
      <c r="A239" t="inlineStr">
        <is>
          <t>A 24562-2019</t>
        </is>
      </c>
      <c r="B239" s="1" t="n">
        <v>43600</v>
      </c>
      <c r="C239" s="1" t="n">
        <v>45475</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24721-2019</t>
        </is>
      </c>
      <c r="B240" s="1" t="n">
        <v>43601</v>
      </c>
      <c r="C240" s="1" t="n">
        <v>45475</v>
      </c>
      <c r="D240" t="inlineStr">
        <is>
          <t>STOCKHOLMS LÄN</t>
        </is>
      </c>
      <c r="E240" t="inlineStr">
        <is>
          <t>NORRTÄLJE</t>
        </is>
      </c>
      <c r="G240" t="n">
        <v>1.8</v>
      </c>
      <c r="H240" t="n">
        <v>0</v>
      </c>
      <c r="I240" t="n">
        <v>0</v>
      </c>
      <c r="J240" t="n">
        <v>0</v>
      </c>
      <c r="K240" t="n">
        <v>0</v>
      </c>
      <c r="L240" t="n">
        <v>0</v>
      </c>
      <c r="M240" t="n">
        <v>0</v>
      </c>
      <c r="N240" t="n">
        <v>0</v>
      </c>
      <c r="O240" t="n">
        <v>0</v>
      </c>
      <c r="P240" t="n">
        <v>0</v>
      </c>
      <c r="Q240" t="n">
        <v>0</v>
      </c>
      <c r="R240" s="2" t="inlineStr"/>
    </row>
    <row r="241" ht="15" customHeight="1">
      <c r="A241" t="inlineStr">
        <is>
          <t>A 25284-2019</t>
        </is>
      </c>
      <c r="B241" s="1" t="n">
        <v>43605</v>
      </c>
      <c r="C241" s="1" t="n">
        <v>45475</v>
      </c>
      <c r="D241" t="inlineStr">
        <is>
          <t>STOCKHOLMS LÄN</t>
        </is>
      </c>
      <c r="E241" t="inlineStr">
        <is>
          <t>NORRTÄLJE</t>
        </is>
      </c>
      <c r="G241" t="n">
        <v>3.6</v>
      </c>
      <c r="H241" t="n">
        <v>0</v>
      </c>
      <c r="I241" t="n">
        <v>0</v>
      </c>
      <c r="J241" t="n">
        <v>0</v>
      </c>
      <c r="K241" t="n">
        <v>0</v>
      </c>
      <c r="L241" t="n">
        <v>0</v>
      </c>
      <c r="M241" t="n">
        <v>0</v>
      </c>
      <c r="N241" t="n">
        <v>0</v>
      </c>
      <c r="O241" t="n">
        <v>0</v>
      </c>
      <c r="P241" t="n">
        <v>0</v>
      </c>
      <c r="Q241" t="n">
        <v>0</v>
      </c>
      <c r="R241" s="2" t="inlineStr"/>
    </row>
    <row r="242" ht="15" customHeight="1">
      <c r="A242" t="inlineStr">
        <is>
          <t>A 25535-2019</t>
        </is>
      </c>
      <c r="B242" s="1" t="n">
        <v>43606</v>
      </c>
      <c r="C242" s="1" t="n">
        <v>45475</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25316-2019</t>
        </is>
      </c>
      <c r="B243" s="1" t="n">
        <v>43606</v>
      </c>
      <c r="C243" s="1" t="n">
        <v>45475</v>
      </c>
      <c r="D243" t="inlineStr">
        <is>
          <t>STOCKHOLMS LÄN</t>
        </is>
      </c>
      <c r="E243" t="inlineStr">
        <is>
          <t>NORRTÄLJE</t>
        </is>
      </c>
      <c r="G243" t="n">
        <v>1.6</v>
      </c>
      <c r="H243" t="n">
        <v>0</v>
      </c>
      <c r="I243" t="n">
        <v>0</v>
      </c>
      <c r="J243" t="n">
        <v>0</v>
      </c>
      <c r="K243" t="n">
        <v>0</v>
      </c>
      <c r="L243" t="n">
        <v>0</v>
      </c>
      <c r="M243" t="n">
        <v>0</v>
      </c>
      <c r="N243" t="n">
        <v>0</v>
      </c>
      <c r="O243" t="n">
        <v>0</v>
      </c>
      <c r="P243" t="n">
        <v>0</v>
      </c>
      <c r="Q243" t="n">
        <v>0</v>
      </c>
      <c r="R243" s="2" t="inlineStr"/>
    </row>
    <row r="244" ht="15" customHeight="1">
      <c r="A244" t="inlineStr">
        <is>
          <t>A 26374-2019</t>
        </is>
      </c>
      <c r="B244" s="1" t="n">
        <v>43606</v>
      </c>
      <c r="C244" s="1" t="n">
        <v>45475</v>
      </c>
      <c r="D244" t="inlineStr">
        <is>
          <t>STOCKHOLMS LÄN</t>
        </is>
      </c>
      <c r="E244" t="inlineStr">
        <is>
          <t>NORRTÄLJE</t>
        </is>
      </c>
      <c r="G244" t="n">
        <v>11.6</v>
      </c>
      <c r="H244" t="n">
        <v>0</v>
      </c>
      <c r="I244" t="n">
        <v>0</v>
      </c>
      <c r="J244" t="n">
        <v>0</v>
      </c>
      <c r="K244" t="n">
        <v>0</v>
      </c>
      <c r="L244" t="n">
        <v>0</v>
      </c>
      <c r="M244" t="n">
        <v>0</v>
      </c>
      <c r="N244" t="n">
        <v>0</v>
      </c>
      <c r="O244" t="n">
        <v>0</v>
      </c>
      <c r="P244" t="n">
        <v>0</v>
      </c>
      <c r="Q244" t="n">
        <v>0</v>
      </c>
      <c r="R244" s="2" t="inlineStr"/>
    </row>
    <row r="245" ht="15" customHeight="1">
      <c r="A245" t="inlineStr">
        <is>
          <t>A 25315-2019</t>
        </is>
      </c>
      <c r="B245" s="1" t="n">
        <v>43606</v>
      </c>
      <c r="C245" s="1" t="n">
        <v>45475</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25625-2019</t>
        </is>
      </c>
      <c r="B246" s="1" t="n">
        <v>43607</v>
      </c>
      <c r="C246" s="1" t="n">
        <v>45475</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26272-2019</t>
        </is>
      </c>
      <c r="B247" s="1" t="n">
        <v>43611</v>
      </c>
      <c r="C247" s="1" t="n">
        <v>45475</v>
      </c>
      <c r="D247" t="inlineStr">
        <is>
          <t>STOCKHOLMS LÄN</t>
        </is>
      </c>
      <c r="E247" t="inlineStr">
        <is>
          <t>NORRTÄLJE</t>
        </is>
      </c>
      <c r="G247" t="n">
        <v>0.8</v>
      </c>
      <c r="H247" t="n">
        <v>0</v>
      </c>
      <c r="I247" t="n">
        <v>0</v>
      </c>
      <c r="J247" t="n">
        <v>0</v>
      </c>
      <c r="K247" t="n">
        <v>0</v>
      </c>
      <c r="L247" t="n">
        <v>0</v>
      </c>
      <c r="M247" t="n">
        <v>0</v>
      </c>
      <c r="N247" t="n">
        <v>0</v>
      </c>
      <c r="O247" t="n">
        <v>0</v>
      </c>
      <c r="P247" t="n">
        <v>0</v>
      </c>
      <c r="Q247" t="n">
        <v>0</v>
      </c>
      <c r="R247" s="2" t="inlineStr"/>
    </row>
    <row r="248" ht="15" customHeight="1">
      <c r="A248" t="inlineStr">
        <is>
          <t>A 26620-2019</t>
        </is>
      </c>
      <c r="B248" s="1" t="n">
        <v>43612</v>
      </c>
      <c r="C248" s="1" t="n">
        <v>45475</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26391-2019</t>
        </is>
      </c>
      <c r="B249" s="1" t="n">
        <v>43612</v>
      </c>
      <c r="C249" s="1" t="n">
        <v>45475</v>
      </c>
      <c r="D249" t="inlineStr">
        <is>
          <t>STOCKHOLMS LÄN</t>
        </is>
      </c>
      <c r="E249" t="inlineStr">
        <is>
          <t>NORRTÄLJE</t>
        </is>
      </c>
      <c r="G249" t="n">
        <v>1.9</v>
      </c>
      <c r="H249" t="n">
        <v>0</v>
      </c>
      <c r="I249" t="n">
        <v>0</v>
      </c>
      <c r="J249" t="n">
        <v>0</v>
      </c>
      <c r="K249" t="n">
        <v>0</v>
      </c>
      <c r="L249" t="n">
        <v>0</v>
      </c>
      <c r="M249" t="n">
        <v>0</v>
      </c>
      <c r="N249" t="n">
        <v>0</v>
      </c>
      <c r="O249" t="n">
        <v>0</v>
      </c>
      <c r="P249" t="n">
        <v>0</v>
      </c>
      <c r="Q249" t="n">
        <v>0</v>
      </c>
      <c r="R249" s="2" t="inlineStr"/>
    </row>
    <row r="250" ht="15" customHeight="1">
      <c r="A250" t="inlineStr">
        <is>
          <t>A 26933-2019</t>
        </is>
      </c>
      <c r="B250" s="1" t="n">
        <v>43613</v>
      </c>
      <c r="C250" s="1" t="n">
        <v>45475</v>
      </c>
      <c r="D250" t="inlineStr">
        <is>
          <t>STOCKHOLMS LÄN</t>
        </is>
      </c>
      <c r="E250" t="inlineStr">
        <is>
          <t>NORRTÄLJE</t>
        </is>
      </c>
      <c r="G250" t="n">
        <v>2.8</v>
      </c>
      <c r="H250" t="n">
        <v>0</v>
      </c>
      <c r="I250" t="n">
        <v>0</v>
      </c>
      <c r="J250" t="n">
        <v>0</v>
      </c>
      <c r="K250" t="n">
        <v>0</v>
      </c>
      <c r="L250" t="n">
        <v>0</v>
      </c>
      <c r="M250" t="n">
        <v>0</v>
      </c>
      <c r="N250" t="n">
        <v>0</v>
      </c>
      <c r="O250" t="n">
        <v>0</v>
      </c>
      <c r="P250" t="n">
        <v>0</v>
      </c>
      <c r="Q250" t="n">
        <v>0</v>
      </c>
      <c r="R250" s="2" t="inlineStr"/>
    </row>
    <row r="251" ht="15" customHeight="1">
      <c r="A251" t="inlineStr">
        <is>
          <t>A 26830-2019</t>
        </is>
      </c>
      <c r="B251" s="1" t="n">
        <v>43613</v>
      </c>
      <c r="C251" s="1" t="n">
        <v>45475</v>
      </c>
      <c r="D251" t="inlineStr">
        <is>
          <t>STOCKHOLMS LÄN</t>
        </is>
      </c>
      <c r="E251" t="inlineStr">
        <is>
          <t>NORRTÄLJE</t>
        </is>
      </c>
      <c r="G251" t="n">
        <v>2.1</v>
      </c>
      <c r="H251" t="n">
        <v>0</v>
      </c>
      <c r="I251" t="n">
        <v>0</v>
      </c>
      <c r="J251" t="n">
        <v>0</v>
      </c>
      <c r="K251" t="n">
        <v>0</v>
      </c>
      <c r="L251" t="n">
        <v>0</v>
      </c>
      <c r="M251" t="n">
        <v>0</v>
      </c>
      <c r="N251" t="n">
        <v>0</v>
      </c>
      <c r="O251" t="n">
        <v>0</v>
      </c>
      <c r="P251" t="n">
        <v>0</v>
      </c>
      <c r="Q251" t="n">
        <v>0</v>
      </c>
      <c r="R251" s="2" t="inlineStr"/>
    </row>
    <row r="252" ht="15" customHeight="1">
      <c r="A252" t="inlineStr">
        <is>
          <t>A 27095-2019</t>
        </is>
      </c>
      <c r="B252" s="1" t="n">
        <v>43614</v>
      </c>
      <c r="C252" s="1" t="n">
        <v>45475</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28157-2019</t>
        </is>
      </c>
      <c r="B253" s="1" t="n">
        <v>43614</v>
      </c>
      <c r="C253" s="1" t="n">
        <v>45475</v>
      </c>
      <c r="D253" t="inlineStr">
        <is>
          <t>STOCKHOLMS LÄN</t>
        </is>
      </c>
      <c r="E253" t="inlineStr">
        <is>
          <t>NORRTÄLJE</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27264-2019</t>
        </is>
      </c>
      <c r="B254" s="1" t="n">
        <v>43615</v>
      </c>
      <c r="C254" s="1" t="n">
        <v>45475</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27971-2019</t>
        </is>
      </c>
      <c r="B255" s="1" t="n">
        <v>43620</v>
      </c>
      <c r="C255" s="1" t="n">
        <v>45475</v>
      </c>
      <c r="D255" t="inlineStr">
        <is>
          <t>STOCKHOLMS LÄN</t>
        </is>
      </c>
      <c r="E255" t="inlineStr">
        <is>
          <t>NORRTÄLJE</t>
        </is>
      </c>
      <c r="G255" t="n">
        <v>1.7</v>
      </c>
      <c r="H255" t="n">
        <v>0</v>
      </c>
      <c r="I255" t="n">
        <v>0</v>
      </c>
      <c r="J255" t="n">
        <v>0</v>
      </c>
      <c r="K255" t="n">
        <v>0</v>
      </c>
      <c r="L255" t="n">
        <v>0</v>
      </c>
      <c r="M255" t="n">
        <v>0</v>
      </c>
      <c r="N255" t="n">
        <v>0</v>
      </c>
      <c r="O255" t="n">
        <v>0</v>
      </c>
      <c r="P255" t="n">
        <v>0</v>
      </c>
      <c r="Q255" t="n">
        <v>0</v>
      </c>
      <c r="R255" s="2" t="inlineStr"/>
    </row>
    <row r="256" ht="15" customHeight="1">
      <c r="A256" t="inlineStr">
        <is>
          <t>A 27967-2019</t>
        </is>
      </c>
      <c r="B256" s="1" t="n">
        <v>43620</v>
      </c>
      <c r="C256" s="1" t="n">
        <v>45475</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28121-2019</t>
        </is>
      </c>
      <c r="B257" s="1" t="n">
        <v>43621</v>
      </c>
      <c r="C257" s="1" t="n">
        <v>45475</v>
      </c>
      <c r="D257" t="inlineStr">
        <is>
          <t>STOCKHOLMS LÄN</t>
        </is>
      </c>
      <c r="E257" t="inlineStr">
        <is>
          <t>NORRTÄLJE</t>
        </is>
      </c>
      <c r="F257" t="inlineStr">
        <is>
          <t>Kyrkan</t>
        </is>
      </c>
      <c r="G257" t="n">
        <v>2.5</v>
      </c>
      <c r="H257" t="n">
        <v>0</v>
      </c>
      <c r="I257" t="n">
        <v>0</v>
      </c>
      <c r="J257" t="n">
        <v>0</v>
      </c>
      <c r="K257" t="n">
        <v>0</v>
      </c>
      <c r="L257" t="n">
        <v>0</v>
      </c>
      <c r="M257" t="n">
        <v>0</v>
      </c>
      <c r="N257" t="n">
        <v>0</v>
      </c>
      <c r="O257" t="n">
        <v>0</v>
      </c>
      <c r="P257" t="n">
        <v>0</v>
      </c>
      <c r="Q257" t="n">
        <v>0</v>
      </c>
      <c r="R257" s="2" t="inlineStr"/>
    </row>
    <row r="258" ht="15" customHeight="1">
      <c r="A258" t="inlineStr">
        <is>
          <t>A 28289-2019</t>
        </is>
      </c>
      <c r="B258" s="1" t="n">
        <v>43623</v>
      </c>
      <c r="C258" s="1" t="n">
        <v>45475</v>
      </c>
      <c r="D258" t="inlineStr">
        <is>
          <t>STOCKHOLMS LÄN</t>
        </is>
      </c>
      <c r="E258" t="inlineStr">
        <is>
          <t>NORRTÄLJE</t>
        </is>
      </c>
      <c r="G258" t="n">
        <v>7.7</v>
      </c>
      <c r="H258" t="n">
        <v>0</v>
      </c>
      <c r="I258" t="n">
        <v>0</v>
      </c>
      <c r="J258" t="n">
        <v>0</v>
      </c>
      <c r="K258" t="n">
        <v>0</v>
      </c>
      <c r="L258" t="n">
        <v>0</v>
      </c>
      <c r="M258" t="n">
        <v>0</v>
      </c>
      <c r="N258" t="n">
        <v>0</v>
      </c>
      <c r="O258" t="n">
        <v>0</v>
      </c>
      <c r="P258" t="n">
        <v>0</v>
      </c>
      <c r="Q258" t="n">
        <v>0</v>
      </c>
      <c r="R258" s="2" t="inlineStr"/>
    </row>
    <row r="259" ht="15" customHeight="1">
      <c r="A259" t="inlineStr">
        <is>
          <t>A 28519-2019</t>
        </is>
      </c>
      <c r="B259" s="1" t="n">
        <v>43626</v>
      </c>
      <c r="C259" s="1" t="n">
        <v>45475</v>
      </c>
      <c r="D259" t="inlineStr">
        <is>
          <t>STOCKHOLMS LÄN</t>
        </is>
      </c>
      <c r="E259" t="inlineStr">
        <is>
          <t>NORRTÄLJE</t>
        </is>
      </c>
      <c r="G259" t="n">
        <v>3</v>
      </c>
      <c r="H259" t="n">
        <v>0</v>
      </c>
      <c r="I259" t="n">
        <v>0</v>
      </c>
      <c r="J259" t="n">
        <v>0</v>
      </c>
      <c r="K259" t="n">
        <v>0</v>
      </c>
      <c r="L259" t="n">
        <v>0</v>
      </c>
      <c r="M259" t="n">
        <v>0</v>
      </c>
      <c r="N259" t="n">
        <v>0</v>
      </c>
      <c r="O259" t="n">
        <v>0</v>
      </c>
      <c r="P259" t="n">
        <v>0</v>
      </c>
      <c r="Q259" t="n">
        <v>0</v>
      </c>
      <c r="R259" s="2" t="inlineStr"/>
    </row>
    <row r="260" ht="15" customHeight="1">
      <c r="A260" t="inlineStr">
        <is>
          <t>A 28495-2019</t>
        </is>
      </c>
      <c r="B260" s="1" t="n">
        <v>43626</v>
      </c>
      <c r="C260" s="1" t="n">
        <v>45475</v>
      </c>
      <c r="D260" t="inlineStr">
        <is>
          <t>STOCKHOLMS LÄN</t>
        </is>
      </c>
      <c r="E260" t="inlineStr">
        <is>
          <t>NORRTÄLJE</t>
        </is>
      </c>
      <c r="G260" t="n">
        <v>14.7</v>
      </c>
      <c r="H260" t="n">
        <v>0</v>
      </c>
      <c r="I260" t="n">
        <v>0</v>
      </c>
      <c r="J260" t="n">
        <v>0</v>
      </c>
      <c r="K260" t="n">
        <v>0</v>
      </c>
      <c r="L260" t="n">
        <v>0</v>
      </c>
      <c r="M260" t="n">
        <v>0</v>
      </c>
      <c r="N260" t="n">
        <v>0</v>
      </c>
      <c r="O260" t="n">
        <v>0</v>
      </c>
      <c r="P260" t="n">
        <v>0</v>
      </c>
      <c r="Q260" t="n">
        <v>0</v>
      </c>
      <c r="R260" s="2" t="inlineStr"/>
    </row>
    <row r="261" ht="15" customHeight="1">
      <c r="A261" t="inlineStr">
        <is>
          <t>A 28394-2019</t>
        </is>
      </c>
      <c r="B261" s="1" t="n">
        <v>43626</v>
      </c>
      <c r="C261" s="1" t="n">
        <v>45475</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29260-2019</t>
        </is>
      </c>
      <c r="B262" s="1" t="n">
        <v>43629</v>
      </c>
      <c r="C262" s="1" t="n">
        <v>45475</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29312-2019</t>
        </is>
      </c>
      <c r="B263" s="1" t="n">
        <v>43629</v>
      </c>
      <c r="C263" s="1" t="n">
        <v>45475</v>
      </c>
      <c r="D263" t="inlineStr">
        <is>
          <t>STOCKHOLMS LÄN</t>
        </is>
      </c>
      <c r="E263" t="inlineStr">
        <is>
          <t>NORRTÄLJE</t>
        </is>
      </c>
      <c r="G263" t="n">
        <v>7.1</v>
      </c>
      <c r="H263" t="n">
        <v>0</v>
      </c>
      <c r="I263" t="n">
        <v>0</v>
      </c>
      <c r="J263" t="n">
        <v>0</v>
      </c>
      <c r="K263" t="n">
        <v>0</v>
      </c>
      <c r="L263" t="n">
        <v>0</v>
      </c>
      <c r="M263" t="n">
        <v>0</v>
      </c>
      <c r="N263" t="n">
        <v>0</v>
      </c>
      <c r="O263" t="n">
        <v>0</v>
      </c>
      <c r="P263" t="n">
        <v>0</v>
      </c>
      <c r="Q263" t="n">
        <v>0</v>
      </c>
      <c r="R263" s="2" t="inlineStr"/>
    </row>
    <row r="264" ht="15" customHeight="1">
      <c r="A264" t="inlineStr">
        <is>
          <t>A 29759-2019</t>
        </is>
      </c>
      <c r="B264" s="1" t="n">
        <v>43631</v>
      </c>
      <c r="C264" s="1" t="n">
        <v>45475</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30000-2019</t>
        </is>
      </c>
      <c r="B265" s="1" t="n">
        <v>43633</v>
      </c>
      <c r="C265" s="1" t="n">
        <v>45475</v>
      </c>
      <c r="D265" t="inlineStr">
        <is>
          <t>STOCKHOLMS LÄN</t>
        </is>
      </c>
      <c r="E265" t="inlineStr">
        <is>
          <t>NORRTÄLJE</t>
        </is>
      </c>
      <c r="G265" t="n">
        <v>5.4</v>
      </c>
      <c r="H265" t="n">
        <v>0</v>
      </c>
      <c r="I265" t="n">
        <v>0</v>
      </c>
      <c r="J265" t="n">
        <v>0</v>
      </c>
      <c r="K265" t="n">
        <v>0</v>
      </c>
      <c r="L265" t="n">
        <v>0</v>
      </c>
      <c r="M265" t="n">
        <v>0</v>
      </c>
      <c r="N265" t="n">
        <v>0</v>
      </c>
      <c r="O265" t="n">
        <v>0</v>
      </c>
      <c r="P265" t="n">
        <v>0</v>
      </c>
      <c r="Q265" t="n">
        <v>0</v>
      </c>
      <c r="R265" s="2" t="inlineStr"/>
    </row>
    <row r="266" ht="15" customHeight="1">
      <c r="A266" t="inlineStr">
        <is>
          <t>A 30833-2019</t>
        </is>
      </c>
      <c r="B266" s="1" t="n">
        <v>43636</v>
      </c>
      <c r="C266" s="1" t="n">
        <v>45475</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31215-2019</t>
        </is>
      </c>
      <c r="B267" s="1" t="n">
        <v>43640</v>
      </c>
      <c r="C267" s="1" t="n">
        <v>45475</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31017-2019</t>
        </is>
      </c>
      <c r="B268" s="1" t="n">
        <v>43640</v>
      </c>
      <c r="C268" s="1" t="n">
        <v>45475</v>
      </c>
      <c r="D268" t="inlineStr">
        <is>
          <t>STOCKHOLMS LÄN</t>
        </is>
      </c>
      <c r="E268" t="inlineStr">
        <is>
          <t>NORRTÄLJE</t>
        </is>
      </c>
      <c r="G268" t="n">
        <v>3.4</v>
      </c>
      <c r="H268" t="n">
        <v>0</v>
      </c>
      <c r="I268" t="n">
        <v>0</v>
      </c>
      <c r="J268" t="n">
        <v>0</v>
      </c>
      <c r="K268" t="n">
        <v>0</v>
      </c>
      <c r="L268" t="n">
        <v>0</v>
      </c>
      <c r="M268" t="n">
        <v>0</v>
      </c>
      <c r="N268" t="n">
        <v>0</v>
      </c>
      <c r="O268" t="n">
        <v>0</v>
      </c>
      <c r="P268" t="n">
        <v>0</v>
      </c>
      <c r="Q268" t="n">
        <v>0</v>
      </c>
      <c r="R268" s="2" t="inlineStr"/>
    </row>
    <row r="269" ht="15" customHeight="1">
      <c r="A269" t="inlineStr">
        <is>
          <t>A 31966-2019</t>
        </is>
      </c>
      <c r="B269" s="1" t="n">
        <v>43643</v>
      </c>
      <c r="C269" s="1" t="n">
        <v>45475</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32725-2019</t>
        </is>
      </c>
      <c r="B270" s="1" t="n">
        <v>43647</v>
      </c>
      <c r="C270" s="1" t="n">
        <v>45475</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32726-2019</t>
        </is>
      </c>
      <c r="B271" s="1" t="n">
        <v>43647</v>
      </c>
      <c r="C271" s="1" t="n">
        <v>45475</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33207-2019</t>
        </is>
      </c>
      <c r="B272" s="1" t="n">
        <v>43649</v>
      </c>
      <c r="C272" s="1" t="n">
        <v>45475</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33955-2019</t>
        </is>
      </c>
      <c r="B273" s="1" t="n">
        <v>43654</v>
      </c>
      <c r="C273" s="1" t="n">
        <v>45475</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33966-2019</t>
        </is>
      </c>
      <c r="B274" s="1" t="n">
        <v>43654</v>
      </c>
      <c r="C274" s="1" t="n">
        <v>45475</v>
      </c>
      <c r="D274" t="inlineStr">
        <is>
          <t>STOCKHOLMS LÄN</t>
        </is>
      </c>
      <c r="E274" t="inlineStr">
        <is>
          <t>NORRTÄLJE</t>
        </is>
      </c>
      <c r="G274" t="n">
        <v>3.2</v>
      </c>
      <c r="H274" t="n">
        <v>0</v>
      </c>
      <c r="I274" t="n">
        <v>0</v>
      </c>
      <c r="J274" t="n">
        <v>0</v>
      </c>
      <c r="K274" t="n">
        <v>0</v>
      </c>
      <c r="L274" t="n">
        <v>0</v>
      </c>
      <c r="M274" t="n">
        <v>0</v>
      </c>
      <c r="N274" t="n">
        <v>0</v>
      </c>
      <c r="O274" t="n">
        <v>0</v>
      </c>
      <c r="P274" t="n">
        <v>0</v>
      </c>
      <c r="Q274" t="n">
        <v>0</v>
      </c>
      <c r="R274" s="2" t="inlineStr"/>
    </row>
    <row r="275" ht="15" customHeight="1">
      <c r="A275" t="inlineStr">
        <is>
          <t>A 35247-2019</t>
        </is>
      </c>
      <c r="B275" s="1" t="n">
        <v>43656</v>
      </c>
      <c r="C275" s="1" t="n">
        <v>45475</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35244-2019</t>
        </is>
      </c>
      <c r="B276" s="1" t="n">
        <v>43656</v>
      </c>
      <c r="C276" s="1" t="n">
        <v>45475</v>
      </c>
      <c r="D276" t="inlineStr">
        <is>
          <t>STOCKHOLMS LÄN</t>
        </is>
      </c>
      <c r="E276" t="inlineStr">
        <is>
          <t>NORRTÄLJE</t>
        </is>
      </c>
      <c r="G276" t="n">
        <v>1.9</v>
      </c>
      <c r="H276" t="n">
        <v>0</v>
      </c>
      <c r="I276" t="n">
        <v>0</v>
      </c>
      <c r="J276" t="n">
        <v>0</v>
      </c>
      <c r="K276" t="n">
        <v>0</v>
      </c>
      <c r="L276" t="n">
        <v>0</v>
      </c>
      <c r="M276" t="n">
        <v>0</v>
      </c>
      <c r="N276" t="n">
        <v>0</v>
      </c>
      <c r="O276" t="n">
        <v>0</v>
      </c>
      <c r="P276" t="n">
        <v>0</v>
      </c>
      <c r="Q276" t="n">
        <v>0</v>
      </c>
      <c r="R276" s="2" t="inlineStr"/>
    </row>
    <row r="277" ht="15" customHeight="1">
      <c r="A277" t="inlineStr">
        <is>
          <t>A 35249-2019</t>
        </is>
      </c>
      <c r="B277" s="1" t="n">
        <v>43656</v>
      </c>
      <c r="C277" s="1" t="n">
        <v>45475</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35251-2019</t>
        </is>
      </c>
      <c r="B278" s="1" t="n">
        <v>43656</v>
      </c>
      <c r="C278" s="1" t="n">
        <v>45475</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35492-2019</t>
        </is>
      </c>
      <c r="B279" s="1" t="n">
        <v>43663</v>
      </c>
      <c r="C279" s="1" t="n">
        <v>45475</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35770-2019</t>
        </is>
      </c>
      <c r="B280" s="1" t="n">
        <v>43665</v>
      </c>
      <c r="C280" s="1" t="n">
        <v>45475</v>
      </c>
      <c r="D280" t="inlineStr">
        <is>
          <t>STOCKHOLMS LÄN</t>
        </is>
      </c>
      <c r="E280" t="inlineStr">
        <is>
          <t>NORRTÄLJE</t>
        </is>
      </c>
      <c r="G280" t="n">
        <v>6.3</v>
      </c>
      <c r="H280" t="n">
        <v>0</v>
      </c>
      <c r="I280" t="n">
        <v>0</v>
      </c>
      <c r="J280" t="n">
        <v>0</v>
      </c>
      <c r="K280" t="n">
        <v>0</v>
      </c>
      <c r="L280" t="n">
        <v>0</v>
      </c>
      <c r="M280" t="n">
        <v>0</v>
      </c>
      <c r="N280" t="n">
        <v>0</v>
      </c>
      <c r="O280" t="n">
        <v>0</v>
      </c>
      <c r="P280" t="n">
        <v>0</v>
      </c>
      <c r="Q280" t="n">
        <v>0</v>
      </c>
      <c r="R280" s="2" t="inlineStr"/>
    </row>
    <row r="281" ht="15" customHeight="1">
      <c r="A281" t="inlineStr">
        <is>
          <t>A 35766-2019</t>
        </is>
      </c>
      <c r="B281" s="1" t="n">
        <v>43665</v>
      </c>
      <c r="C281" s="1" t="n">
        <v>45475</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36418-2019</t>
        </is>
      </c>
      <c r="B282" s="1" t="n">
        <v>43670</v>
      </c>
      <c r="C282" s="1" t="n">
        <v>45475</v>
      </c>
      <c r="D282" t="inlineStr">
        <is>
          <t>STOCKHOLMS LÄN</t>
        </is>
      </c>
      <c r="E282" t="inlineStr">
        <is>
          <t>NORRTÄLJE</t>
        </is>
      </c>
      <c r="G282" t="n">
        <v>16.8</v>
      </c>
      <c r="H282" t="n">
        <v>0</v>
      </c>
      <c r="I282" t="n">
        <v>0</v>
      </c>
      <c r="J282" t="n">
        <v>0</v>
      </c>
      <c r="K282" t="n">
        <v>0</v>
      </c>
      <c r="L282" t="n">
        <v>0</v>
      </c>
      <c r="M282" t="n">
        <v>0</v>
      </c>
      <c r="N282" t="n">
        <v>0</v>
      </c>
      <c r="O282" t="n">
        <v>0</v>
      </c>
      <c r="P282" t="n">
        <v>0</v>
      </c>
      <c r="Q282" t="n">
        <v>0</v>
      </c>
      <c r="R282" s="2" t="inlineStr"/>
    </row>
    <row r="283" ht="15" customHeight="1">
      <c r="A283" t="inlineStr">
        <is>
          <t>A 37401-2019</t>
        </is>
      </c>
      <c r="B283" s="1" t="n">
        <v>43678</v>
      </c>
      <c r="C283" s="1" t="n">
        <v>45475</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37662-2019</t>
        </is>
      </c>
      <c r="B284" s="1" t="n">
        <v>43682</v>
      </c>
      <c r="C284" s="1" t="n">
        <v>45475</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38144-2019</t>
        </is>
      </c>
      <c r="B285" s="1" t="n">
        <v>43684</v>
      </c>
      <c r="C285" s="1" t="n">
        <v>45475</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38139-2019</t>
        </is>
      </c>
      <c r="B286" s="1" t="n">
        <v>43684</v>
      </c>
      <c r="C286" s="1" t="n">
        <v>45475</v>
      </c>
      <c r="D286" t="inlineStr">
        <is>
          <t>STOCKHOLMS LÄN</t>
        </is>
      </c>
      <c r="E286" t="inlineStr">
        <is>
          <t>NORRTÄLJE</t>
        </is>
      </c>
      <c r="G286" t="n">
        <v>2</v>
      </c>
      <c r="H286" t="n">
        <v>0</v>
      </c>
      <c r="I286" t="n">
        <v>0</v>
      </c>
      <c r="J286" t="n">
        <v>0</v>
      </c>
      <c r="K286" t="n">
        <v>0</v>
      </c>
      <c r="L286" t="n">
        <v>0</v>
      </c>
      <c r="M286" t="n">
        <v>0</v>
      </c>
      <c r="N286" t="n">
        <v>0</v>
      </c>
      <c r="O286" t="n">
        <v>0</v>
      </c>
      <c r="P286" t="n">
        <v>0</v>
      </c>
      <c r="Q286" t="n">
        <v>0</v>
      </c>
      <c r="R286" s="2" t="inlineStr"/>
    </row>
    <row r="287" ht="15" customHeight="1">
      <c r="A287" t="inlineStr">
        <is>
          <t>A 38145-2019</t>
        </is>
      </c>
      <c r="B287" s="1" t="n">
        <v>43684</v>
      </c>
      <c r="C287" s="1" t="n">
        <v>45475</v>
      </c>
      <c r="D287" t="inlineStr">
        <is>
          <t>STOCKHOLMS LÄN</t>
        </is>
      </c>
      <c r="E287" t="inlineStr">
        <is>
          <t>NORRTÄLJE</t>
        </is>
      </c>
      <c r="G287" t="n">
        <v>9.9</v>
      </c>
      <c r="H287" t="n">
        <v>0</v>
      </c>
      <c r="I287" t="n">
        <v>0</v>
      </c>
      <c r="J287" t="n">
        <v>0</v>
      </c>
      <c r="K287" t="n">
        <v>0</v>
      </c>
      <c r="L287" t="n">
        <v>0</v>
      </c>
      <c r="M287" t="n">
        <v>0</v>
      </c>
      <c r="N287" t="n">
        <v>0</v>
      </c>
      <c r="O287" t="n">
        <v>0</v>
      </c>
      <c r="P287" t="n">
        <v>0</v>
      </c>
      <c r="Q287" t="n">
        <v>0</v>
      </c>
      <c r="R287" s="2" t="inlineStr"/>
    </row>
    <row r="288" ht="15" customHeight="1">
      <c r="A288" t="inlineStr">
        <is>
          <t>A 38140-2019</t>
        </is>
      </c>
      <c r="B288" s="1" t="n">
        <v>43684</v>
      </c>
      <c r="C288" s="1" t="n">
        <v>45475</v>
      </c>
      <c r="D288" t="inlineStr">
        <is>
          <t>STOCKHOLMS LÄN</t>
        </is>
      </c>
      <c r="E288" t="inlineStr">
        <is>
          <t>NORRTÄLJE</t>
        </is>
      </c>
      <c r="G288" t="n">
        <v>3.4</v>
      </c>
      <c r="H288" t="n">
        <v>0</v>
      </c>
      <c r="I288" t="n">
        <v>0</v>
      </c>
      <c r="J288" t="n">
        <v>0</v>
      </c>
      <c r="K288" t="n">
        <v>0</v>
      </c>
      <c r="L288" t="n">
        <v>0</v>
      </c>
      <c r="M288" t="n">
        <v>0</v>
      </c>
      <c r="N288" t="n">
        <v>0</v>
      </c>
      <c r="O288" t="n">
        <v>0</v>
      </c>
      <c r="P288" t="n">
        <v>0</v>
      </c>
      <c r="Q288" t="n">
        <v>0</v>
      </c>
      <c r="R288" s="2" t="inlineStr"/>
    </row>
    <row r="289" ht="15" customHeight="1">
      <c r="A289" t="inlineStr">
        <is>
          <t>A 38143-2019</t>
        </is>
      </c>
      <c r="B289" s="1" t="n">
        <v>43684</v>
      </c>
      <c r="C289" s="1" t="n">
        <v>45475</v>
      </c>
      <c r="D289" t="inlineStr">
        <is>
          <t>STOCKHOLMS LÄN</t>
        </is>
      </c>
      <c r="E289" t="inlineStr">
        <is>
          <t>NORRTÄLJE</t>
        </is>
      </c>
      <c r="G289" t="n">
        <v>12.7</v>
      </c>
      <c r="H289" t="n">
        <v>0</v>
      </c>
      <c r="I289" t="n">
        <v>0</v>
      </c>
      <c r="J289" t="n">
        <v>0</v>
      </c>
      <c r="K289" t="n">
        <v>0</v>
      </c>
      <c r="L289" t="n">
        <v>0</v>
      </c>
      <c r="M289" t="n">
        <v>0</v>
      </c>
      <c r="N289" t="n">
        <v>0</v>
      </c>
      <c r="O289" t="n">
        <v>0</v>
      </c>
      <c r="P289" t="n">
        <v>0</v>
      </c>
      <c r="Q289" t="n">
        <v>0</v>
      </c>
      <c r="R289" s="2" t="inlineStr"/>
    </row>
    <row r="290" ht="15" customHeight="1">
      <c r="A290" t="inlineStr">
        <is>
          <t>A 38506-2019</t>
        </is>
      </c>
      <c r="B290" s="1" t="n">
        <v>43685</v>
      </c>
      <c r="C290" s="1" t="n">
        <v>45475</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38605-2019</t>
        </is>
      </c>
      <c r="B291" s="1" t="n">
        <v>43686</v>
      </c>
      <c r="C291" s="1" t="n">
        <v>45475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38737-2019</t>
        </is>
      </c>
      <c r="B292" s="1" t="n">
        <v>43686</v>
      </c>
      <c r="C292" s="1" t="n">
        <v>45475</v>
      </c>
      <c r="D292" t="inlineStr">
        <is>
          <t>STOCKHOLMS LÄN</t>
        </is>
      </c>
      <c r="E292" t="inlineStr">
        <is>
          <t>NORRTÄLJE</t>
        </is>
      </c>
      <c r="G292" t="n">
        <v>4.7</v>
      </c>
      <c r="H292" t="n">
        <v>0</v>
      </c>
      <c r="I292" t="n">
        <v>0</v>
      </c>
      <c r="J292" t="n">
        <v>0</v>
      </c>
      <c r="K292" t="n">
        <v>0</v>
      </c>
      <c r="L292" t="n">
        <v>0</v>
      </c>
      <c r="M292" t="n">
        <v>0</v>
      </c>
      <c r="N292" t="n">
        <v>0</v>
      </c>
      <c r="O292" t="n">
        <v>0</v>
      </c>
      <c r="P292" t="n">
        <v>0</v>
      </c>
      <c r="Q292" t="n">
        <v>0</v>
      </c>
      <c r="R292" s="2" t="inlineStr"/>
    </row>
    <row r="293" ht="15" customHeight="1">
      <c r="A293" t="inlineStr">
        <is>
          <t>A 40571-2019</t>
        </is>
      </c>
      <c r="B293" s="1" t="n">
        <v>43696</v>
      </c>
      <c r="C293" s="1" t="n">
        <v>45475</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42330-2019</t>
        </is>
      </c>
      <c r="B294" s="1" t="n">
        <v>43703</v>
      </c>
      <c r="C294" s="1" t="n">
        <v>45475</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43379-2019</t>
        </is>
      </c>
      <c r="B295" s="1" t="n">
        <v>43703</v>
      </c>
      <c r="C295" s="1" t="n">
        <v>45475</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43296-2019</t>
        </is>
      </c>
      <c r="B296" s="1" t="n">
        <v>43706</v>
      </c>
      <c r="C296" s="1" t="n">
        <v>45475</v>
      </c>
      <c r="D296" t="inlineStr">
        <is>
          <t>STOCKHOLMS LÄN</t>
        </is>
      </c>
      <c r="E296" t="inlineStr">
        <is>
          <t>NORRTÄLJE</t>
        </is>
      </c>
      <c r="F296" t="inlineStr">
        <is>
          <t>Kommuner</t>
        </is>
      </c>
      <c r="G296" t="n">
        <v>1.7</v>
      </c>
      <c r="H296" t="n">
        <v>0</v>
      </c>
      <c r="I296" t="n">
        <v>0</v>
      </c>
      <c r="J296" t="n">
        <v>0</v>
      </c>
      <c r="K296" t="n">
        <v>0</v>
      </c>
      <c r="L296" t="n">
        <v>0</v>
      </c>
      <c r="M296" t="n">
        <v>0</v>
      </c>
      <c r="N296" t="n">
        <v>0</v>
      </c>
      <c r="O296" t="n">
        <v>0</v>
      </c>
      <c r="P296" t="n">
        <v>0</v>
      </c>
      <c r="Q296" t="n">
        <v>0</v>
      </c>
      <c r="R296" s="2" t="inlineStr"/>
    </row>
    <row r="297" ht="15" customHeight="1">
      <c r="A297" t="inlineStr">
        <is>
          <t>A 44643-2019</t>
        </is>
      </c>
      <c r="B297" s="1" t="n">
        <v>43712</v>
      </c>
      <c r="C297" s="1" t="n">
        <v>45475</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45463-2019</t>
        </is>
      </c>
      <c r="B298" s="1" t="n">
        <v>43714</v>
      </c>
      <c r="C298" s="1" t="n">
        <v>45475</v>
      </c>
      <c r="D298" t="inlineStr">
        <is>
          <t>STOCKHOLMS LÄN</t>
        </is>
      </c>
      <c r="E298" t="inlineStr">
        <is>
          <t>NORRTÄLJE</t>
        </is>
      </c>
      <c r="F298" t="inlineStr">
        <is>
          <t>Övriga statliga verk och myndigheter</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45477-2019</t>
        </is>
      </c>
      <c r="B299" s="1" t="n">
        <v>43714</v>
      </c>
      <c r="C299" s="1" t="n">
        <v>45475</v>
      </c>
      <c r="D299" t="inlineStr">
        <is>
          <t>STOCKHOLMS LÄN</t>
        </is>
      </c>
      <c r="E299" t="inlineStr">
        <is>
          <t>NORRTÄLJE</t>
        </is>
      </c>
      <c r="F299" t="inlineStr">
        <is>
          <t>Övriga statliga verk och myndigheter</t>
        </is>
      </c>
      <c r="G299" t="n">
        <v>8.9</v>
      </c>
      <c r="H299" t="n">
        <v>0</v>
      </c>
      <c r="I299" t="n">
        <v>0</v>
      </c>
      <c r="J299" t="n">
        <v>0</v>
      </c>
      <c r="K299" t="n">
        <v>0</v>
      </c>
      <c r="L299" t="n">
        <v>0</v>
      </c>
      <c r="M299" t="n">
        <v>0</v>
      </c>
      <c r="N299" t="n">
        <v>0</v>
      </c>
      <c r="O299" t="n">
        <v>0</v>
      </c>
      <c r="P299" t="n">
        <v>0</v>
      </c>
      <c r="Q299" t="n">
        <v>0</v>
      </c>
      <c r="R299" s="2" t="inlineStr"/>
    </row>
    <row r="300" ht="15" customHeight="1">
      <c r="A300" t="inlineStr">
        <is>
          <t>A 46327-2019</t>
        </is>
      </c>
      <c r="B300" s="1" t="n">
        <v>43718</v>
      </c>
      <c r="C300" s="1" t="n">
        <v>45475</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47876-2019</t>
        </is>
      </c>
      <c r="B301" s="1" t="n">
        <v>43725</v>
      </c>
      <c r="C301" s="1" t="n">
        <v>45475</v>
      </c>
      <c r="D301" t="inlineStr">
        <is>
          <t>STOCKHOLMS LÄN</t>
        </is>
      </c>
      <c r="E301" t="inlineStr">
        <is>
          <t>NORRTÄLJE</t>
        </is>
      </c>
      <c r="G301" t="n">
        <v>11.4</v>
      </c>
      <c r="H301" t="n">
        <v>0</v>
      </c>
      <c r="I301" t="n">
        <v>0</v>
      </c>
      <c r="J301" t="n">
        <v>0</v>
      </c>
      <c r="K301" t="n">
        <v>0</v>
      </c>
      <c r="L301" t="n">
        <v>0</v>
      </c>
      <c r="M301" t="n">
        <v>0</v>
      </c>
      <c r="N301" t="n">
        <v>0</v>
      </c>
      <c r="O301" t="n">
        <v>0</v>
      </c>
      <c r="P301" t="n">
        <v>0</v>
      </c>
      <c r="Q301" t="n">
        <v>0</v>
      </c>
      <c r="R301" s="2" t="inlineStr"/>
    </row>
    <row r="302" ht="15" customHeight="1">
      <c r="A302" t="inlineStr">
        <is>
          <t>A 47877-2019</t>
        </is>
      </c>
      <c r="B302" s="1" t="n">
        <v>43725</v>
      </c>
      <c r="C302" s="1" t="n">
        <v>45475</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47903-2019</t>
        </is>
      </c>
      <c r="B303" s="1" t="n">
        <v>43725</v>
      </c>
      <c r="C303" s="1" t="n">
        <v>45475</v>
      </c>
      <c r="D303" t="inlineStr">
        <is>
          <t>STOCKHOLMS LÄN</t>
        </is>
      </c>
      <c r="E303" t="inlineStr">
        <is>
          <t>NORRTÄLJE</t>
        </is>
      </c>
      <c r="G303" t="n">
        <v>2.1</v>
      </c>
      <c r="H303" t="n">
        <v>0</v>
      </c>
      <c r="I303" t="n">
        <v>0</v>
      </c>
      <c r="J303" t="n">
        <v>0</v>
      </c>
      <c r="K303" t="n">
        <v>0</v>
      </c>
      <c r="L303" t="n">
        <v>0</v>
      </c>
      <c r="M303" t="n">
        <v>0</v>
      </c>
      <c r="N303" t="n">
        <v>0</v>
      </c>
      <c r="O303" t="n">
        <v>0</v>
      </c>
      <c r="P303" t="n">
        <v>0</v>
      </c>
      <c r="Q303" t="n">
        <v>0</v>
      </c>
      <c r="R303" s="2" t="inlineStr"/>
    </row>
    <row r="304" ht="15" customHeight="1">
      <c r="A304" t="inlineStr">
        <is>
          <t>A 47901-2019</t>
        </is>
      </c>
      <c r="B304" s="1" t="n">
        <v>43725</v>
      </c>
      <c r="C304" s="1" t="n">
        <v>45475</v>
      </c>
      <c r="D304" t="inlineStr">
        <is>
          <t>STOCKHOLMS LÄN</t>
        </is>
      </c>
      <c r="E304" t="inlineStr">
        <is>
          <t>NORRTÄLJE</t>
        </is>
      </c>
      <c r="G304" t="n">
        <v>3</v>
      </c>
      <c r="H304" t="n">
        <v>0</v>
      </c>
      <c r="I304" t="n">
        <v>0</v>
      </c>
      <c r="J304" t="n">
        <v>0</v>
      </c>
      <c r="K304" t="n">
        <v>0</v>
      </c>
      <c r="L304" t="n">
        <v>0</v>
      </c>
      <c r="M304" t="n">
        <v>0</v>
      </c>
      <c r="N304" t="n">
        <v>0</v>
      </c>
      <c r="O304" t="n">
        <v>0</v>
      </c>
      <c r="P304" t="n">
        <v>0</v>
      </c>
      <c r="Q304" t="n">
        <v>0</v>
      </c>
      <c r="R304" s="2" t="inlineStr"/>
    </row>
    <row r="305" ht="15" customHeight="1">
      <c r="A305" t="inlineStr">
        <is>
          <t>A 47939-2019</t>
        </is>
      </c>
      <c r="B305" s="1" t="n">
        <v>43725</v>
      </c>
      <c r="C305" s="1" t="n">
        <v>45475</v>
      </c>
      <c r="D305" t="inlineStr">
        <is>
          <t>STOCKHOLMS LÄN</t>
        </is>
      </c>
      <c r="E305" t="inlineStr">
        <is>
          <t>NORRTÄLJE</t>
        </is>
      </c>
      <c r="G305" t="n">
        <v>4.5</v>
      </c>
      <c r="H305" t="n">
        <v>0</v>
      </c>
      <c r="I305" t="n">
        <v>0</v>
      </c>
      <c r="J305" t="n">
        <v>0</v>
      </c>
      <c r="K305" t="n">
        <v>0</v>
      </c>
      <c r="L305" t="n">
        <v>0</v>
      </c>
      <c r="M305" t="n">
        <v>0</v>
      </c>
      <c r="N305" t="n">
        <v>0</v>
      </c>
      <c r="O305" t="n">
        <v>0</v>
      </c>
      <c r="P305" t="n">
        <v>0</v>
      </c>
      <c r="Q305" t="n">
        <v>0</v>
      </c>
      <c r="R305" s="2" t="inlineStr"/>
    </row>
    <row r="306" ht="15" customHeight="1">
      <c r="A306" t="inlineStr">
        <is>
          <t>A 47941-2019</t>
        </is>
      </c>
      <c r="B306" s="1" t="n">
        <v>43725</v>
      </c>
      <c r="C306" s="1" t="n">
        <v>45475</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47879-2019</t>
        </is>
      </c>
      <c r="B307" s="1" t="n">
        <v>43725</v>
      </c>
      <c r="C307" s="1" t="n">
        <v>45475</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48730-2019</t>
        </is>
      </c>
      <c r="B308" s="1" t="n">
        <v>43728</v>
      </c>
      <c r="C308" s="1" t="n">
        <v>45475</v>
      </c>
      <c r="D308" t="inlineStr">
        <is>
          <t>STOCKHOLMS LÄN</t>
        </is>
      </c>
      <c r="E308" t="inlineStr">
        <is>
          <t>NORRTÄLJE</t>
        </is>
      </c>
      <c r="F308" t="inlineStr">
        <is>
          <t>Övriga statliga verk och myndigheter</t>
        </is>
      </c>
      <c r="G308" t="n">
        <v>1.3</v>
      </c>
      <c r="H308" t="n">
        <v>0</v>
      </c>
      <c r="I308" t="n">
        <v>0</v>
      </c>
      <c r="J308" t="n">
        <v>0</v>
      </c>
      <c r="K308" t="n">
        <v>0</v>
      </c>
      <c r="L308" t="n">
        <v>0</v>
      </c>
      <c r="M308" t="n">
        <v>0</v>
      </c>
      <c r="N308" t="n">
        <v>0</v>
      </c>
      <c r="O308" t="n">
        <v>0</v>
      </c>
      <c r="P308" t="n">
        <v>0</v>
      </c>
      <c r="Q308" t="n">
        <v>0</v>
      </c>
      <c r="R308" s="2" t="inlineStr"/>
    </row>
    <row r="309" ht="15" customHeight="1">
      <c r="A309" t="inlineStr">
        <is>
          <t>A 49252-2019</t>
        </is>
      </c>
      <c r="B309" s="1" t="n">
        <v>43731</v>
      </c>
      <c r="C309" s="1" t="n">
        <v>45475</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51940-2019</t>
        </is>
      </c>
      <c r="B310" s="1" t="n">
        <v>43741</v>
      </c>
      <c r="C310" s="1" t="n">
        <v>45475</v>
      </c>
      <c r="D310" t="inlineStr">
        <is>
          <t>STOCKHOLMS LÄN</t>
        </is>
      </c>
      <c r="E310" t="inlineStr">
        <is>
          <t>NORRTÄLJE</t>
        </is>
      </c>
      <c r="G310" t="n">
        <v>2.7</v>
      </c>
      <c r="H310" t="n">
        <v>0</v>
      </c>
      <c r="I310" t="n">
        <v>0</v>
      </c>
      <c r="J310" t="n">
        <v>0</v>
      </c>
      <c r="K310" t="n">
        <v>0</v>
      </c>
      <c r="L310" t="n">
        <v>0</v>
      </c>
      <c r="M310" t="n">
        <v>0</v>
      </c>
      <c r="N310" t="n">
        <v>0</v>
      </c>
      <c r="O310" t="n">
        <v>0</v>
      </c>
      <c r="P310" t="n">
        <v>0</v>
      </c>
      <c r="Q310" t="n">
        <v>0</v>
      </c>
      <c r="R310" s="2" t="inlineStr"/>
    </row>
    <row r="311" ht="15" customHeight="1">
      <c r="A311" t="inlineStr">
        <is>
          <t>A 51942-2019</t>
        </is>
      </c>
      <c r="B311" s="1" t="n">
        <v>43741</v>
      </c>
      <c r="C311" s="1" t="n">
        <v>45475</v>
      </c>
      <c r="D311" t="inlineStr">
        <is>
          <t>STOCKHOLMS LÄN</t>
        </is>
      </c>
      <c r="E311" t="inlineStr">
        <is>
          <t>NORRTÄLJE</t>
        </is>
      </c>
      <c r="G311" t="n">
        <v>5.6</v>
      </c>
      <c r="H311" t="n">
        <v>0</v>
      </c>
      <c r="I311" t="n">
        <v>0</v>
      </c>
      <c r="J311" t="n">
        <v>0</v>
      </c>
      <c r="K311" t="n">
        <v>0</v>
      </c>
      <c r="L311" t="n">
        <v>0</v>
      </c>
      <c r="M311" t="n">
        <v>0</v>
      </c>
      <c r="N311" t="n">
        <v>0</v>
      </c>
      <c r="O311" t="n">
        <v>0</v>
      </c>
      <c r="P311" t="n">
        <v>0</v>
      </c>
      <c r="Q311" t="n">
        <v>0</v>
      </c>
      <c r="R311" s="2" t="inlineStr"/>
    </row>
    <row r="312" ht="15" customHeight="1">
      <c r="A312" t="inlineStr">
        <is>
          <t>A 55481-2019</t>
        </is>
      </c>
      <c r="B312" s="1" t="n">
        <v>43759</v>
      </c>
      <c r="C312" s="1" t="n">
        <v>45475</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55891-2019</t>
        </is>
      </c>
      <c r="B313" s="1" t="n">
        <v>43761</v>
      </c>
      <c r="C313" s="1" t="n">
        <v>45475</v>
      </c>
      <c r="D313" t="inlineStr">
        <is>
          <t>STOCKHOLMS LÄN</t>
        </is>
      </c>
      <c r="E313" t="inlineStr">
        <is>
          <t>NORRTÄLJE</t>
        </is>
      </c>
      <c r="G313" t="n">
        <v>7.6</v>
      </c>
      <c r="H313" t="n">
        <v>0</v>
      </c>
      <c r="I313" t="n">
        <v>0</v>
      </c>
      <c r="J313" t="n">
        <v>0</v>
      </c>
      <c r="K313" t="n">
        <v>0</v>
      </c>
      <c r="L313" t="n">
        <v>0</v>
      </c>
      <c r="M313" t="n">
        <v>0</v>
      </c>
      <c r="N313" t="n">
        <v>0</v>
      </c>
      <c r="O313" t="n">
        <v>0</v>
      </c>
      <c r="P313" t="n">
        <v>0</v>
      </c>
      <c r="Q313" t="n">
        <v>0</v>
      </c>
      <c r="R313" s="2" t="inlineStr"/>
    </row>
    <row r="314" ht="15" customHeight="1">
      <c r="A314" t="inlineStr">
        <is>
          <t>A 56349-2019</t>
        </is>
      </c>
      <c r="B314" s="1" t="n">
        <v>43762</v>
      </c>
      <c r="C314" s="1" t="n">
        <v>45475</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57759-2019</t>
        </is>
      </c>
      <c r="B315" s="1" t="n">
        <v>43763</v>
      </c>
      <c r="C315" s="1" t="n">
        <v>45475</v>
      </c>
      <c r="D315" t="inlineStr">
        <is>
          <t>STOCKHOLMS LÄN</t>
        </is>
      </c>
      <c r="E315" t="inlineStr">
        <is>
          <t>NORRTÄLJE</t>
        </is>
      </c>
      <c r="F315" t="inlineStr">
        <is>
          <t>Övriga Aktiebolag</t>
        </is>
      </c>
      <c r="G315" t="n">
        <v>7.3</v>
      </c>
      <c r="H315" t="n">
        <v>0</v>
      </c>
      <c r="I315" t="n">
        <v>0</v>
      </c>
      <c r="J315" t="n">
        <v>0</v>
      </c>
      <c r="K315" t="n">
        <v>0</v>
      </c>
      <c r="L315" t="n">
        <v>0</v>
      </c>
      <c r="M315" t="n">
        <v>0</v>
      </c>
      <c r="N315" t="n">
        <v>0</v>
      </c>
      <c r="O315" t="n">
        <v>0</v>
      </c>
      <c r="P315" t="n">
        <v>0</v>
      </c>
      <c r="Q315" t="n">
        <v>0</v>
      </c>
      <c r="R315" s="2" t="inlineStr"/>
    </row>
    <row r="316" ht="15" customHeight="1">
      <c r="A316" t="inlineStr">
        <is>
          <t>A 57063-2019</t>
        </is>
      </c>
      <c r="B316" s="1" t="n">
        <v>43766</v>
      </c>
      <c r="C316" s="1" t="n">
        <v>45475</v>
      </c>
      <c r="D316" t="inlineStr">
        <is>
          <t>STOCKHOLMS LÄN</t>
        </is>
      </c>
      <c r="E316" t="inlineStr">
        <is>
          <t>NORRTÄLJE</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56950-2019</t>
        </is>
      </c>
      <c r="B317" s="1" t="n">
        <v>43766</v>
      </c>
      <c r="C317" s="1" t="n">
        <v>45475</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57605-2019</t>
        </is>
      </c>
      <c r="B318" s="1" t="n">
        <v>43768</v>
      </c>
      <c r="C318" s="1" t="n">
        <v>45475</v>
      </c>
      <c r="D318" t="inlineStr">
        <is>
          <t>STOCKHOLMS LÄN</t>
        </is>
      </c>
      <c r="E318" t="inlineStr">
        <is>
          <t>NORRTÄLJE</t>
        </is>
      </c>
      <c r="G318" t="n">
        <v>2.5</v>
      </c>
      <c r="H318" t="n">
        <v>0</v>
      </c>
      <c r="I318" t="n">
        <v>0</v>
      </c>
      <c r="J318" t="n">
        <v>0</v>
      </c>
      <c r="K318" t="n">
        <v>0</v>
      </c>
      <c r="L318" t="n">
        <v>0</v>
      </c>
      <c r="M318" t="n">
        <v>0</v>
      </c>
      <c r="N318" t="n">
        <v>0</v>
      </c>
      <c r="O318" t="n">
        <v>0</v>
      </c>
      <c r="P318" t="n">
        <v>0</v>
      </c>
      <c r="Q318" t="n">
        <v>0</v>
      </c>
      <c r="R318" s="2" t="inlineStr"/>
    </row>
    <row r="319" ht="15" customHeight="1">
      <c r="A319" t="inlineStr">
        <is>
          <t>A 58064-2019</t>
        </is>
      </c>
      <c r="B319" s="1" t="n">
        <v>43769</v>
      </c>
      <c r="C319" s="1" t="n">
        <v>45475</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58631-2019</t>
        </is>
      </c>
      <c r="B320" s="1" t="n">
        <v>43773</v>
      </c>
      <c r="C320" s="1" t="n">
        <v>45475</v>
      </c>
      <c r="D320" t="inlineStr">
        <is>
          <t>STOCKHOLMS LÄN</t>
        </is>
      </c>
      <c r="E320" t="inlineStr">
        <is>
          <t>NORRTÄLJE</t>
        </is>
      </c>
      <c r="G320" t="n">
        <v>6</v>
      </c>
      <c r="H320" t="n">
        <v>0</v>
      </c>
      <c r="I320" t="n">
        <v>0</v>
      </c>
      <c r="J320" t="n">
        <v>0</v>
      </c>
      <c r="K320" t="n">
        <v>0</v>
      </c>
      <c r="L320" t="n">
        <v>0</v>
      </c>
      <c r="M320" t="n">
        <v>0</v>
      </c>
      <c r="N320" t="n">
        <v>0</v>
      </c>
      <c r="O320" t="n">
        <v>0</v>
      </c>
      <c r="P320" t="n">
        <v>0</v>
      </c>
      <c r="Q320" t="n">
        <v>0</v>
      </c>
      <c r="R320" s="2" t="inlineStr"/>
    </row>
    <row r="321" ht="15" customHeight="1">
      <c r="A321" t="inlineStr">
        <is>
          <t>A 60214-2019</t>
        </is>
      </c>
      <c r="B321" s="1" t="n">
        <v>43780</v>
      </c>
      <c r="C321" s="1" t="n">
        <v>45475</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60208-2019</t>
        </is>
      </c>
      <c r="B322" s="1" t="n">
        <v>43780</v>
      </c>
      <c r="C322" s="1" t="n">
        <v>45475</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60842-2019</t>
        </is>
      </c>
      <c r="B323" s="1" t="n">
        <v>43781</v>
      </c>
      <c r="C323" s="1" t="n">
        <v>45475</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60844-2019</t>
        </is>
      </c>
      <c r="B324" s="1" t="n">
        <v>43781</v>
      </c>
      <c r="C324" s="1" t="n">
        <v>45475</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61657-2019</t>
        </is>
      </c>
      <c r="B325" s="1" t="n">
        <v>43784</v>
      </c>
      <c r="C325" s="1" t="n">
        <v>45475</v>
      </c>
      <c r="D325" t="inlineStr">
        <is>
          <t>STOCKHOLMS LÄN</t>
        </is>
      </c>
      <c r="E325" t="inlineStr">
        <is>
          <t>NORRTÄLJE</t>
        </is>
      </c>
      <c r="G325" t="n">
        <v>5</v>
      </c>
      <c r="H325" t="n">
        <v>0</v>
      </c>
      <c r="I325" t="n">
        <v>0</v>
      </c>
      <c r="J325" t="n">
        <v>0</v>
      </c>
      <c r="K325" t="n">
        <v>0</v>
      </c>
      <c r="L325" t="n">
        <v>0</v>
      </c>
      <c r="M325" t="n">
        <v>0</v>
      </c>
      <c r="N325" t="n">
        <v>0</v>
      </c>
      <c r="O325" t="n">
        <v>0</v>
      </c>
      <c r="P325" t="n">
        <v>0</v>
      </c>
      <c r="Q325" t="n">
        <v>0</v>
      </c>
      <c r="R325" s="2" t="inlineStr"/>
    </row>
    <row r="326" ht="15" customHeight="1">
      <c r="A326" t="inlineStr">
        <is>
          <t>A 62848-2019</t>
        </is>
      </c>
      <c r="B326" s="1" t="n">
        <v>43790</v>
      </c>
      <c r="C326" s="1" t="n">
        <v>45475</v>
      </c>
      <c r="D326" t="inlineStr">
        <is>
          <t>STOCKHOLMS LÄN</t>
        </is>
      </c>
      <c r="E326" t="inlineStr">
        <is>
          <t>NORRTÄLJE</t>
        </is>
      </c>
      <c r="F326" t="inlineStr">
        <is>
          <t>Holmen skog AB</t>
        </is>
      </c>
      <c r="G326" t="n">
        <v>6.6</v>
      </c>
      <c r="H326" t="n">
        <v>0</v>
      </c>
      <c r="I326" t="n">
        <v>0</v>
      </c>
      <c r="J326" t="n">
        <v>0</v>
      </c>
      <c r="K326" t="n">
        <v>0</v>
      </c>
      <c r="L326" t="n">
        <v>0</v>
      </c>
      <c r="M326" t="n">
        <v>0</v>
      </c>
      <c r="N326" t="n">
        <v>0</v>
      </c>
      <c r="O326" t="n">
        <v>0</v>
      </c>
      <c r="P326" t="n">
        <v>0</v>
      </c>
      <c r="Q326" t="n">
        <v>0</v>
      </c>
      <c r="R326" s="2" t="inlineStr"/>
    </row>
    <row r="327" ht="15" customHeight="1">
      <c r="A327" t="inlineStr">
        <is>
          <t>A 62980-2019</t>
        </is>
      </c>
      <c r="B327" s="1" t="n">
        <v>43790</v>
      </c>
      <c r="C327" s="1" t="n">
        <v>45475</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63513-2019</t>
        </is>
      </c>
      <c r="B328" s="1" t="n">
        <v>43794</v>
      </c>
      <c r="C328" s="1" t="n">
        <v>45475</v>
      </c>
      <c r="D328" t="inlineStr">
        <is>
          <t>STOCKHOLMS LÄN</t>
        </is>
      </c>
      <c r="E328" t="inlineStr">
        <is>
          <t>NORRTÄLJE</t>
        </is>
      </c>
      <c r="G328" t="n">
        <v>9</v>
      </c>
      <c r="H328" t="n">
        <v>0</v>
      </c>
      <c r="I328" t="n">
        <v>0</v>
      </c>
      <c r="J328" t="n">
        <v>0</v>
      </c>
      <c r="K328" t="n">
        <v>0</v>
      </c>
      <c r="L328" t="n">
        <v>0</v>
      </c>
      <c r="M328" t="n">
        <v>0</v>
      </c>
      <c r="N328" t="n">
        <v>0</v>
      </c>
      <c r="O328" t="n">
        <v>0</v>
      </c>
      <c r="P328" t="n">
        <v>0</v>
      </c>
      <c r="Q328" t="n">
        <v>0</v>
      </c>
      <c r="R328" s="2" t="inlineStr"/>
    </row>
    <row r="329" ht="15" customHeight="1">
      <c r="A329" t="inlineStr">
        <is>
          <t>A 63529-2019</t>
        </is>
      </c>
      <c r="B329" s="1" t="n">
        <v>43794</v>
      </c>
      <c r="C329" s="1" t="n">
        <v>45475</v>
      </c>
      <c r="D329" t="inlineStr">
        <is>
          <t>STOCKHOLMS LÄN</t>
        </is>
      </c>
      <c r="E329" t="inlineStr">
        <is>
          <t>NORRTÄLJE</t>
        </is>
      </c>
      <c r="G329" t="n">
        <v>0.4</v>
      </c>
      <c r="H329" t="n">
        <v>0</v>
      </c>
      <c r="I329" t="n">
        <v>0</v>
      </c>
      <c r="J329" t="n">
        <v>0</v>
      </c>
      <c r="K329" t="n">
        <v>0</v>
      </c>
      <c r="L329" t="n">
        <v>0</v>
      </c>
      <c r="M329" t="n">
        <v>0</v>
      </c>
      <c r="N329" t="n">
        <v>0</v>
      </c>
      <c r="O329" t="n">
        <v>0</v>
      </c>
      <c r="P329" t="n">
        <v>0</v>
      </c>
      <c r="Q329" t="n">
        <v>0</v>
      </c>
      <c r="R329" s="2" t="inlineStr"/>
    </row>
    <row r="330" ht="15" customHeight="1">
      <c r="A330" t="inlineStr">
        <is>
          <t>A 63495-2019</t>
        </is>
      </c>
      <c r="B330" s="1" t="n">
        <v>43794</v>
      </c>
      <c r="C330" s="1" t="n">
        <v>45475</v>
      </c>
      <c r="D330" t="inlineStr">
        <is>
          <t>STOCKHOLMS LÄN</t>
        </is>
      </c>
      <c r="E330" t="inlineStr">
        <is>
          <t>NORRTÄLJE</t>
        </is>
      </c>
      <c r="G330" t="n">
        <v>1.8</v>
      </c>
      <c r="H330" t="n">
        <v>0</v>
      </c>
      <c r="I330" t="n">
        <v>0</v>
      </c>
      <c r="J330" t="n">
        <v>0</v>
      </c>
      <c r="K330" t="n">
        <v>0</v>
      </c>
      <c r="L330" t="n">
        <v>0</v>
      </c>
      <c r="M330" t="n">
        <v>0</v>
      </c>
      <c r="N330" t="n">
        <v>0</v>
      </c>
      <c r="O330" t="n">
        <v>0</v>
      </c>
      <c r="P330" t="n">
        <v>0</v>
      </c>
      <c r="Q330" t="n">
        <v>0</v>
      </c>
      <c r="R330" s="2" t="inlineStr"/>
    </row>
    <row r="331" ht="15" customHeight="1">
      <c r="A331" t="inlineStr">
        <is>
          <t>A 63504-2019</t>
        </is>
      </c>
      <c r="B331" s="1" t="n">
        <v>43794</v>
      </c>
      <c r="C331" s="1" t="n">
        <v>45475</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63528-2019</t>
        </is>
      </c>
      <c r="B332" s="1" t="n">
        <v>43794</v>
      </c>
      <c r="C332" s="1" t="n">
        <v>45475</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63515-2019</t>
        </is>
      </c>
      <c r="B333" s="1" t="n">
        <v>43794</v>
      </c>
      <c r="C333" s="1" t="n">
        <v>45475</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64293-2019</t>
        </is>
      </c>
      <c r="B334" s="1" t="n">
        <v>43797</v>
      </c>
      <c r="C334" s="1" t="n">
        <v>45475</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65640-2019</t>
        </is>
      </c>
      <c r="B335" s="1" t="n">
        <v>43804</v>
      </c>
      <c r="C335" s="1" t="n">
        <v>45475</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65998-2019</t>
        </is>
      </c>
      <c r="B336" s="1" t="n">
        <v>43805</v>
      </c>
      <c r="C336" s="1" t="n">
        <v>45475</v>
      </c>
      <c r="D336" t="inlineStr">
        <is>
          <t>STOCKHOLMS LÄN</t>
        </is>
      </c>
      <c r="E336" t="inlineStr">
        <is>
          <t>NORRTÄLJE</t>
        </is>
      </c>
      <c r="G336" t="n">
        <v>6.5</v>
      </c>
      <c r="H336" t="n">
        <v>0</v>
      </c>
      <c r="I336" t="n">
        <v>0</v>
      </c>
      <c r="J336" t="n">
        <v>0</v>
      </c>
      <c r="K336" t="n">
        <v>0</v>
      </c>
      <c r="L336" t="n">
        <v>0</v>
      </c>
      <c r="M336" t="n">
        <v>0</v>
      </c>
      <c r="N336" t="n">
        <v>0</v>
      </c>
      <c r="O336" t="n">
        <v>0</v>
      </c>
      <c r="P336" t="n">
        <v>0</v>
      </c>
      <c r="Q336" t="n">
        <v>0</v>
      </c>
      <c r="R336" s="2" t="inlineStr"/>
    </row>
    <row r="337" ht="15" customHeight="1">
      <c r="A337" t="inlineStr">
        <is>
          <t>A 66604-2019</t>
        </is>
      </c>
      <c r="B337" s="1" t="n">
        <v>43809</v>
      </c>
      <c r="C337" s="1" t="n">
        <v>45475</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67158-2019</t>
        </is>
      </c>
      <c r="B338" s="1" t="n">
        <v>43811</v>
      </c>
      <c r="C338" s="1" t="n">
        <v>45475</v>
      </c>
      <c r="D338" t="inlineStr">
        <is>
          <t>STOCKHOLMS LÄN</t>
        </is>
      </c>
      <c r="E338" t="inlineStr">
        <is>
          <t>NORRTÄLJE</t>
        </is>
      </c>
      <c r="G338" t="n">
        <v>4.4</v>
      </c>
      <c r="H338" t="n">
        <v>0</v>
      </c>
      <c r="I338" t="n">
        <v>0</v>
      </c>
      <c r="J338" t="n">
        <v>0</v>
      </c>
      <c r="K338" t="n">
        <v>0</v>
      </c>
      <c r="L338" t="n">
        <v>0</v>
      </c>
      <c r="M338" t="n">
        <v>0</v>
      </c>
      <c r="N338" t="n">
        <v>0</v>
      </c>
      <c r="O338" t="n">
        <v>0</v>
      </c>
      <c r="P338" t="n">
        <v>0</v>
      </c>
      <c r="Q338" t="n">
        <v>0</v>
      </c>
      <c r="R338" s="2" t="inlineStr"/>
    </row>
    <row r="339" ht="15" customHeight="1">
      <c r="A339" t="inlineStr">
        <is>
          <t>A 67324-2019</t>
        </is>
      </c>
      <c r="B339" s="1" t="n">
        <v>43812</v>
      </c>
      <c r="C339" s="1" t="n">
        <v>45475</v>
      </c>
      <c r="D339" t="inlineStr">
        <is>
          <t>STOCKHOLMS LÄN</t>
        </is>
      </c>
      <c r="E339" t="inlineStr">
        <is>
          <t>NORRTÄLJE</t>
        </is>
      </c>
      <c r="G339" t="n">
        <v>7.7</v>
      </c>
      <c r="H339" t="n">
        <v>0</v>
      </c>
      <c r="I339" t="n">
        <v>0</v>
      </c>
      <c r="J339" t="n">
        <v>0</v>
      </c>
      <c r="K339" t="n">
        <v>0</v>
      </c>
      <c r="L339" t="n">
        <v>0</v>
      </c>
      <c r="M339" t="n">
        <v>0</v>
      </c>
      <c r="N339" t="n">
        <v>0</v>
      </c>
      <c r="O339" t="n">
        <v>0</v>
      </c>
      <c r="P339" t="n">
        <v>0</v>
      </c>
      <c r="Q339" t="n">
        <v>0</v>
      </c>
      <c r="R339" s="2" t="inlineStr"/>
    </row>
    <row r="340" ht="15" customHeight="1">
      <c r="A340" t="inlineStr">
        <is>
          <t>A 68865-2019</t>
        </is>
      </c>
      <c r="B340" s="1" t="n">
        <v>43821</v>
      </c>
      <c r="C340" s="1" t="n">
        <v>45475</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1099-2020</t>
        </is>
      </c>
      <c r="B341" s="1" t="n">
        <v>43822</v>
      </c>
      <c r="C341" s="1" t="n">
        <v>45475</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4475-2020</t>
        </is>
      </c>
      <c r="B342" s="1" t="n">
        <v>43849</v>
      </c>
      <c r="C342" s="1" t="n">
        <v>45475</v>
      </c>
      <c r="D342" t="inlineStr">
        <is>
          <t>STOCKHOLMS LÄN</t>
        </is>
      </c>
      <c r="E342" t="inlineStr">
        <is>
          <t>NORRTÄLJE</t>
        </is>
      </c>
      <c r="G342" t="n">
        <v>1.6</v>
      </c>
      <c r="H342" t="n">
        <v>0</v>
      </c>
      <c r="I342" t="n">
        <v>0</v>
      </c>
      <c r="J342" t="n">
        <v>0</v>
      </c>
      <c r="K342" t="n">
        <v>0</v>
      </c>
      <c r="L342" t="n">
        <v>0</v>
      </c>
      <c r="M342" t="n">
        <v>0</v>
      </c>
      <c r="N342" t="n">
        <v>0</v>
      </c>
      <c r="O342" t="n">
        <v>0</v>
      </c>
      <c r="P342" t="n">
        <v>0</v>
      </c>
      <c r="Q342" t="n">
        <v>0</v>
      </c>
      <c r="R342" s="2" t="inlineStr"/>
    </row>
    <row r="343" ht="15" customHeight="1">
      <c r="A343" t="inlineStr">
        <is>
          <t>A 2808-2020</t>
        </is>
      </c>
      <c r="B343" s="1" t="n">
        <v>43850</v>
      </c>
      <c r="C343" s="1" t="n">
        <v>45475</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2810-2020</t>
        </is>
      </c>
      <c r="B344" s="1" t="n">
        <v>43850</v>
      </c>
      <c r="C344" s="1" t="n">
        <v>45475</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2803-2020</t>
        </is>
      </c>
      <c r="B345" s="1" t="n">
        <v>43850</v>
      </c>
      <c r="C345" s="1" t="n">
        <v>45475</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3882-2020</t>
        </is>
      </c>
      <c r="B346" s="1" t="n">
        <v>43854</v>
      </c>
      <c r="C346" s="1" t="n">
        <v>45475</v>
      </c>
      <c r="D346" t="inlineStr">
        <is>
          <t>STOCKHOLMS LÄN</t>
        </is>
      </c>
      <c r="E346" t="inlineStr">
        <is>
          <t>NORRTÄLJE</t>
        </is>
      </c>
      <c r="G346" t="n">
        <v>5.9</v>
      </c>
      <c r="H346" t="n">
        <v>0</v>
      </c>
      <c r="I346" t="n">
        <v>0</v>
      </c>
      <c r="J346" t="n">
        <v>0</v>
      </c>
      <c r="K346" t="n">
        <v>0</v>
      </c>
      <c r="L346" t="n">
        <v>0</v>
      </c>
      <c r="M346" t="n">
        <v>0</v>
      </c>
      <c r="N346" t="n">
        <v>0</v>
      </c>
      <c r="O346" t="n">
        <v>0</v>
      </c>
      <c r="P346" t="n">
        <v>0</v>
      </c>
      <c r="Q346" t="n">
        <v>0</v>
      </c>
      <c r="R346" s="2" t="inlineStr"/>
    </row>
    <row r="347" ht="15" customHeight="1">
      <c r="A347" t="inlineStr">
        <is>
          <t>A 4094-2020</t>
        </is>
      </c>
      <c r="B347" s="1" t="n">
        <v>43857</v>
      </c>
      <c r="C347" s="1" t="n">
        <v>45475</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4950-2020</t>
        </is>
      </c>
      <c r="B348" s="1" t="n">
        <v>43859</v>
      </c>
      <c r="C348" s="1" t="n">
        <v>45475</v>
      </c>
      <c r="D348" t="inlineStr">
        <is>
          <t>STOCKHOLMS LÄN</t>
        </is>
      </c>
      <c r="E348" t="inlineStr">
        <is>
          <t>NORRTÄLJE</t>
        </is>
      </c>
      <c r="G348" t="n">
        <v>0.4</v>
      </c>
      <c r="H348" t="n">
        <v>0</v>
      </c>
      <c r="I348" t="n">
        <v>0</v>
      </c>
      <c r="J348" t="n">
        <v>0</v>
      </c>
      <c r="K348" t="n">
        <v>0</v>
      </c>
      <c r="L348" t="n">
        <v>0</v>
      </c>
      <c r="M348" t="n">
        <v>0</v>
      </c>
      <c r="N348" t="n">
        <v>0</v>
      </c>
      <c r="O348" t="n">
        <v>0</v>
      </c>
      <c r="P348" t="n">
        <v>0</v>
      </c>
      <c r="Q348" t="n">
        <v>0</v>
      </c>
      <c r="R348" s="2" t="inlineStr"/>
    </row>
    <row r="349" ht="15" customHeight="1">
      <c r="A349" t="inlineStr">
        <is>
          <t>A 5084-2020</t>
        </is>
      </c>
      <c r="B349" s="1" t="n">
        <v>43859</v>
      </c>
      <c r="C349" s="1" t="n">
        <v>45475</v>
      </c>
      <c r="D349" t="inlineStr">
        <is>
          <t>STOCKHOLMS LÄN</t>
        </is>
      </c>
      <c r="E349" t="inlineStr">
        <is>
          <t>NORRTÄLJE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4952-2020</t>
        </is>
      </c>
      <c r="B350" s="1" t="n">
        <v>43859</v>
      </c>
      <c r="C350" s="1" t="n">
        <v>45475</v>
      </c>
      <c r="D350" t="inlineStr">
        <is>
          <t>STOCKHOLMS LÄN</t>
        </is>
      </c>
      <c r="E350" t="inlineStr">
        <is>
          <t>NORRTÄLJE</t>
        </is>
      </c>
      <c r="G350" t="n">
        <v>0.3</v>
      </c>
      <c r="H350" t="n">
        <v>0</v>
      </c>
      <c r="I350" t="n">
        <v>0</v>
      </c>
      <c r="J350" t="n">
        <v>0</v>
      </c>
      <c r="K350" t="n">
        <v>0</v>
      </c>
      <c r="L350" t="n">
        <v>0</v>
      </c>
      <c r="M350" t="n">
        <v>0</v>
      </c>
      <c r="N350" t="n">
        <v>0</v>
      </c>
      <c r="O350" t="n">
        <v>0</v>
      </c>
      <c r="P350" t="n">
        <v>0</v>
      </c>
      <c r="Q350" t="n">
        <v>0</v>
      </c>
      <c r="R350" s="2" t="inlineStr"/>
    </row>
    <row r="351" ht="15" customHeight="1">
      <c r="A351" t="inlineStr">
        <is>
          <t>A 5735-2020</t>
        </is>
      </c>
      <c r="B351" s="1" t="n">
        <v>43863</v>
      </c>
      <c r="C351" s="1" t="n">
        <v>45475</v>
      </c>
      <c r="D351" t="inlineStr">
        <is>
          <t>STOCKHOLMS LÄN</t>
        </is>
      </c>
      <c r="E351" t="inlineStr">
        <is>
          <t>NORRTÄLJE</t>
        </is>
      </c>
      <c r="G351" t="n">
        <v>0.5</v>
      </c>
      <c r="H351" t="n">
        <v>0</v>
      </c>
      <c r="I351" t="n">
        <v>0</v>
      </c>
      <c r="J351" t="n">
        <v>0</v>
      </c>
      <c r="K351" t="n">
        <v>0</v>
      </c>
      <c r="L351" t="n">
        <v>0</v>
      </c>
      <c r="M351" t="n">
        <v>0</v>
      </c>
      <c r="N351" t="n">
        <v>0</v>
      </c>
      <c r="O351" t="n">
        <v>0</v>
      </c>
      <c r="P351" t="n">
        <v>0</v>
      </c>
      <c r="Q351" t="n">
        <v>0</v>
      </c>
      <c r="R351" s="2" t="inlineStr"/>
    </row>
    <row r="352" ht="15" customHeight="1">
      <c r="A352" t="inlineStr">
        <is>
          <t>A 5733-2020</t>
        </is>
      </c>
      <c r="B352" s="1" t="n">
        <v>43863</v>
      </c>
      <c r="C352" s="1" t="n">
        <v>45475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5739-2020</t>
        </is>
      </c>
      <c r="B353" s="1" t="n">
        <v>43863</v>
      </c>
      <c r="C353" s="1" t="n">
        <v>45475</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7471-2020</t>
        </is>
      </c>
      <c r="B354" s="1" t="n">
        <v>43871</v>
      </c>
      <c r="C354" s="1" t="n">
        <v>45475</v>
      </c>
      <c r="D354" t="inlineStr">
        <is>
          <t>STOCKHOLMS LÄN</t>
        </is>
      </c>
      <c r="E354" t="inlineStr">
        <is>
          <t>NORRTÄLJE</t>
        </is>
      </c>
      <c r="G354" t="n">
        <v>7.8</v>
      </c>
      <c r="H354" t="n">
        <v>0</v>
      </c>
      <c r="I354" t="n">
        <v>0</v>
      </c>
      <c r="J354" t="n">
        <v>0</v>
      </c>
      <c r="K354" t="n">
        <v>0</v>
      </c>
      <c r="L354" t="n">
        <v>0</v>
      </c>
      <c r="M354" t="n">
        <v>0</v>
      </c>
      <c r="N354" t="n">
        <v>0</v>
      </c>
      <c r="O354" t="n">
        <v>0</v>
      </c>
      <c r="P354" t="n">
        <v>0</v>
      </c>
      <c r="Q354" t="n">
        <v>0</v>
      </c>
      <c r="R354" s="2" t="inlineStr"/>
    </row>
    <row r="355" ht="15" customHeight="1">
      <c r="A355" t="inlineStr">
        <is>
          <t>A 9845-2020</t>
        </is>
      </c>
      <c r="B355" s="1" t="n">
        <v>43881</v>
      </c>
      <c r="C355" s="1" t="n">
        <v>45475</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10618-2020</t>
        </is>
      </c>
      <c r="B356" s="1" t="n">
        <v>43887</v>
      </c>
      <c r="C356" s="1" t="n">
        <v>45475</v>
      </c>
      <c r="D356" t="inlineStr">
        <is>
          <t>STOCKHOLMS LÄN</t>
        </is>
      </c>
      <c r="E356" t="inlineStr">
        <is>
          <t>NORRTÄLJE</t>
        </is>
      </c>
      <c r="G356" t="n">
        <v>0.5</v>
      </c>
      <c r="H356" t="n">
        <v>0</v>
      </c>
      <c r="I356" t="n">
        <v>0</v>
      </c>
      <c r="J356" t="n">
        <v>0</v>
      </c>
      <c r="K356" t="n">
        <v>0</v>
      </c>
      <c r="L356" t="n">
        <v>0</v>
      </c>
      <c r="M356" t="n">
        <v>0</v>
      </c>
      <c r="N356" t="n">
        <v>0</v>
      </c>
      <c r="O356" t="n">
        <v>0</v>
      </c>
      <c r="P356" t="n">
        <v>0</v>
      </c>
      <c r="Q356" t="n">
        <v>0</v>
      </c>
      <c r="R356" s="2" t="inlineStr"/>
    </row>
    <row r="357" ht="15" customHeight="1">
      <c r="A357" t="inlineStr">
        <is>
          <t>A 11184-2020</t>
        </is>
      </c>
      <c r="B357" s="1" t="n">
        <v>43892</v>
      </c>
      <c r="C357" s="1" t="n">
        <v>45475</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11576-2020</t>
        </is>
      </c>
      <c r="B358" s="1" t="n">
        <v>43893</v>
      </c>
      <c r="C358" s="1" t="n">
        <v>45475</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12113-2020</t>
        </is>
      </c>
      <c r="B359" s="1" t="n">
        <v>43895</v>
      </c>
      <c r="C359" s="1" t="n">
        <v>45475</v>
      </c>
      <c r="D359" t="inlineStr">
        <is>
          <t>STOCKHOLMS LÄN</t>
        </is>
      </c>
      <c r="E359" t="inlineStr">
        <is>
          <t>NORRTÄLJE</t>
        </is>
      </c>
      <c r="G359" t="n">
        <v>2.6</v>
      </c>
      <c r="H359" t="n">
        <v>0</v>
      </c>
      <c r="I359" t="n">
        <v>0</v>
      </c>
      <c r="J359" t="n">
        <v>0</v>
      </c>
      <c r="K359" t="n">
        <v>0</v>
      </c>
      <c r="L359" t="n">
        <v>0</v>
      </c>
      <c r="M359" t="n">
        <v>0</v>
      </c>
      <c r="N359" t="n">
        <v>0</v>
      </c>
      <c r="O359" t="n">
        <v>0</v>
      </c>
      <c r="P359" t="n">
        <v>0</v>
      </c>
      <c r="Q359" t="n">
        <v>0</v>
      </c>
      <c r="R359" s="2" t="inlineStr"/>
    </row>
    <row r="360" ht="15" customHeight="1">
      <c r="A360" t="inlineStr">
        <is>
          <t>A 12970-2020</t>
        </is>
      </c>
      <c r="B360" s="1" t="n">
        <v>43900</v>
      </c>
      <c r="C360" s="1" t="n">
        <v>45475</v>
      </c>
      <c r="D360" t="inlineStr">
        <is>
          <t>STOCKHOLMS LÄN</t>
        </is>
      </c>
      <c r="E360" t="inlineStr">
        <is>
          <t>NORRTÄLJE</t>
        </is>
      </c>
      <c r="F360" t="inlineStr">
        <is>
          <t>Kommuner</t>
        </is>
      </c>
      <c r="G360" t="n">
        <v>3</v>
      </c>
      <c r="H360" t="n">
        <v>0</v>
      </c>
      <c r="I360" t="n">
        <v>0</v>
      </c>
      <c r="J360" t="n">
        <v>0</v>
      </c>
      <c r="K360" t="n">
        <v>0</v>
      </c>
      <c r="L360" t="n">
        <v>0</v>
      </c>
      <c r="M360" t="n">
        <v>0</v>
      </c>
      <c r="N360" t="n">
        <v>0</v>
      </c>
      <c r="O360" t="n">
        <v>0</v>
      </c>
      <c r="P360" t="n">
        <v>0</v>
      </c>
      <c r="Q360" t="n">
        <v>0</v>
      </c>
      <c r="R360" s="2" t="inlineStr"/>
    </row>
    <row r="361" ht="15" customHeight="1">
      <c r="A361" t="inlineStr">
        <is>
          <t>A 13230-2020</t>
        </is>
      </c>
      <c r="B361" s="1" t="n">
        <v>43901</v>
      </c>
      <c r="C361" s="1" t="n">
        <v>45475</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13287-2020</t>
        </is>
      </c>
      <c r="B362" s="1" t="n">
        <v>43901</v>
      </c>
      <c r="C362" s="1" t="n">
        <v>45475</v>
      </c>
      <c r="D362" t="inlineStr">
        <is>
          <t>STOCKHOLMS LÄN</t>
        </is>
      </c>
      <c r="E362" t="inlineStr">
        <is>
          <t>NORRTÄLJE</t>
        </is>
      </c>
      <c r="F362" t="inlineStr">
        <is>
          <t>Kommuner</t>
        </is>
      </c>
      <c r="G362" t="n">
        <v>3.2</v>
      </c>
      <c r="H362" t="n">
        <v>0</v>
      </c>
      <c r="I362" t="n">
        <v>0</v>
      </c>
      <c r="J362" t="n">
        <v>0</v>
      </c>
      <c r="K362" t="n">
        <v>0</v>
      </c>
      <c r="L362" t="n">
        <v>0</v>
      </c>
      <c r="M362" t="n">
        <v>0</v>
      </c>
      <c r="N362" t="n">
        <v>0</v>
      </c>
      <c r="O362" t="n">
        <v>0</v>
      </c>
      <c r="P362" t="n">
        <v>0</v>
      </c>
      <c r="Q362" t="n">
        <v>0</v>
      </c>
      <c r="R362" s="2" t="inlineStr"/>
    </row>
    <row r="363" ht="15" customHeight="1">
      <c r="A363" t="inlineStr">
        <is>
          <t>A 13281-2020</t>
        </is>
      </c>
      <c r="B363" s="1" t="n">
        <v>43901</v>
      </c>
      <c r="C363" s="1" t="n">
        <v>45475</v>
      </c>
      <c r="D363" t="inlineStr">
        <is>
          <t>STOCKHOLMS LÄN</t>
        </is>
      </c>
      <c r="E363" t="inlineStr">
        <is>
          <t>NORRTÄLJE</t>
        </is>
      </c>
      <c r="G363" t="n">
        <v>0.7</v>
      </c>
      <c r="H363" t="n">
        <v>0</v>
      </c>
      <c r="I363" t="n">
        <v>0</v>
      </c>
      <c r="J363" t="n">
        <v>0</v>
      </c>
      <c r="K363" t="n">
        <v>0</v>
      </c>
      <c r="L363" t="n">
        <v>0</v>
      </c>
      <c r="M363" t="n">
        <v>0</v>
      </c>
      <c r="N363" t="n">
        <v>0</v>
      </c>
      <c r="O363" t="n">
        <v>0</v>
      </c>
      <c r="P363" t="n">
        <v>0</v>
      </c>
      <c r="Q363" t="n">
        <v>0</v>
      </c>
      <c r="R363" s="2" t="inlineStr"/>
    </row>
    <row r="364" ht="15" customHeight="1">
      <c r="A364" t="inlineStr">
        <is>
          <t>A 13501-2020</t>
        </is>
      </c>
      <c r="B364" s="1" t="n">
        <v>43902</v>
      </c>
      <c r="C364" s="1" t="n">
        <v>45475</v>
      </c>
      <c r="D364" t="inlineStr">
        <is>
          <t>STOCKHOLMS LÄN</t>
        </is>
      </c>
      <c r="E364" t="inlineStr">
        <is>
          <t>NORRTÄLJE</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13506-2020</t>
        </is>
      </c>
      <c r="B365" s="1" t="n">
        <v>43902</v>
      </c>
      <c r="C365" s="1" t="n">
        <v>45475</v>
      </c>
      <c r="D365" t="inlineStr">
        <is>
          <t>STOCKHOLMS LÄN</t>
        </is>
      </c>
      <c r="E365" t="inlineStr">
        <is>
          <t>NORRTÄLJE</t>
        </is>
      </c>
      <c r="G365" t="n">
        <v>5.7</v>
      </c>
      <c r="H365" t="n">
        <v>0</v>
      </c>
      <c r="I365" t="n">
        <v>0</v>
      </c>
      <c r="J365" t="n">
        <v>0</v>
      </c>
      <c r="K365" t="n">
        <v>0</v>
      </c>
      <c r="L365" t="n">
        <v>0</v>
      </c>
      <c r="M365" t="n">
        <v>0</v>
      </c>
      <c r="N365" t="n">
        <v>0</v>
      </c>
      <c r="O365" t="n">
        <v>0</v>
      </c>
      <c r="P365" t="n">
        <v>0</v>
      </c>
      <c r="Q365" t="n">
        <v>0</v>
      </c>
      <c r="R365" s="2" t="inlineStr"/>
    </row>
    <row r="366" ht="15" customHeight="1">
      <c r="A366" t="inlineStr">
        <is>
          <t>A 14525-2020</t>
        </is>
      </c>
      <c r="B366" s="1" t="n">
        <v>43908</v>
      </c>
      <c r="C366" s="1" t="n">
        <v>45475</v>
      </c>
      <c r="D366" t="inlineStr">
        <is>
          <t>STOCKHOLMS LÄN</t>
        </is>
      </c>
      <c r="E366" t="inlineStr">
        <is>
          <t>NORRTÄLJE</t>
        </is>
      </c>
      <c r="G366" t="n">
        <v>10.2</v>
      </c>
      <c r="H366" t="n">
        <v>0</v>
      </c>
      <c r="I366" t="n">
        <v>0</v>
      </c>
      <c r="J366" t="n">
        <v>0</v>
      </c>
      <c r="K366" t="n">
        <v>0</v>
      </c>
      <c r="L366" t="n">
        <v>0</v>
      </c>
      <c r="M366" t="n">
        <v>0</v>
      </c>
      <c r="N366" t="n">
        <v>0</v>
      </c>
      <c r="O366" t="n">
        <v>0</v>
      </c>
      <c r="P366" t="n">
        <v>0</v>
      </c>
      <c r="Q366" t="n">
        <v>0</v>
      </c>
      <c r="R366" s="2" t="inlineStr"/>
    </row>
    <row r="367" ht="15" customHeight="1">
      <c r="A367" t="inlineStr">
        <is>
          <t>A 14565-2020</t>
        </is>
      </c>
      <c r="B367" s="1" t="n">
        <v>43908</v>
      </c>
      <c r="C367" s="1" t="n">
        <v>45475</v>
      </c>
      <c r="D367" t="inlineStr">
        <is>
          <t>STOCKHOLMS LÄN</t>
        </is>
      </c>
      <c r="E367" t="inlineStr">
        <is>
          <t>NORRTÄLJE</t>
        </is>
      </c>
      <c r="G367" t="n">
        <v>3.4</v>
      </c>
      <c r="H367" t="n">
        <v>0</v>
      </c>
      <c r="I367" t="n">
        <v>0</v>
      </c>
      <c r="J367" t="n">
        <v>0</v>
      </c>
      <c r="K367" t="n">
        <v>0</v>
      </c>
      <c r="L367" t="n">
        <v>0</v>
      </c>
      <c r="M367" t="n">
        <v>0</v>
      </c>
      <c r="N367" t="n">
        <v>0</v>
      </c>
      <c r="O367" t="n">
        <v>0</v>
      </c>
      <c r="P367" t="n">
        <v>0</v>
      </c>
      <c r="Q367" t="n">
        <v>0</v>
      </c>
      <c r="R367" s="2" t="inlineStr"/>
    </row>
    <row r="368" ht="15" customHeight="1">
      <c r="A368" t="inlineStr">
        <is>
          <t>A 14831-2020</t>
        </is>
      </c>
      <c r="B368" s="1" t="n">
        <v>43909</v>
      </c>
      <c r="C368" s="1" t="n">
        <v>45475</v>
      </c>
      <c r="D368" t="inlineStr">
        <is>
          <t>STOCKHOLMS LÄN</t>
        </is>
      </c>
      <c r="E368" t="inlineStr">
        <is>
          <t>NORRTÄLJE</t>
        </is>
      </c>
      <c r="G368" t="n">
        <v>11.4</v>
      </c>
      <c r="H368" t="n">
        <v>0</v>
      </c>
      <c r="I368" t="n">
        <v>0</v>
      </c>
      <c r="J368" t="n">
        <v>0</v>
      </c>
      <c r="K368" t="n">
        <v>0</v>
      </c>
      <c r="L368" t="n">
        <v>0</v>
      </c>
      <c r="M368" t="n">
        <v>0</v>
      </c>
      <c r="N368" t="n">
        <v>0</v>
      </c>
      <c r="O368" t="n">
        <v>0</v>
      </c>
      <c r="P368" t="n">
        <v>0</v>
      </c>
      <c r="Q368" t="n">
        <v>0</v>
      </c>
      <c r="R368" s="2" t="inlineStr"/>
    </row>
    <row r="369" ht="15" customHeight="1">
      <c r="A369" t="inlineStr">
        <is>
          <t>A 15663-2020</t>
        </is>
      </c>
      <c r="B369" s="1" t="n">
        <v>43915</v>
      </c>
      <c r="C369" s="1" t="n">
        <v>45475</v>
      </c>
      <c r="D369" t="inlineStr">
        <is>
          <t>STOCKHOLMS LÄN</t>
        </is>
      </c>
      <c r="E369" t="inlineStr">
        <is>
          <t>NORRTÄLJE</t>
        </is>
      </c>
      <c r="G369" t="n">
        <v>11.1</v>
      </c>
      <c r="H369" t="n">
        <v>0</v>
      </c>
      <c r="I369" t="n">
        <v>0</v>
      </c>
      <c r="J369" t="n">
        <v>0</v>
      </c>
      <c r="K369" t="n">
        <v>0</v>
      </c>
      <c r="L369" t="n">
        <v>0</v>
      </c>
      <c r="M369" t="n">
        <v>0</v>
      </c>
      <c r="N369" t="n">
        <v>0</v>
      </c>
      <c r="O369" t="n">
        <v>0</v>
      </c>
      <c r="P369" t="n">
        <v>0</v>
      </c>
      <c r="Q369" t="n">
        <v>0</v>
      </c>
      <c r="R369" s="2" t="inlineStr"/>
    </row>
    <row r="370" ht="15" customHeight="1">
      <c r="A370" t="inlineStr">
        <is>
          <t>A 16273-2020</t>
        </is>
      </c>
      <c r="B370" s="1" t="n">
        <v>43917</v>
      </c>
      <c r="C370" s="1" t="n">
        <v>45475</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17965-2020</t>
        </is>
      </c>
      <c r="B371" s="1" t="n">
        <v>43925</v>
      </c>
      <c r="C371" s="1" t="n">
        <v>45475</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19258-2020</t>
        </is>
      </c>
      <c r="B372" s="1" t="n">
        <v>43937</v>
      </c>
      <c r="C372" s="1" t="n">
        <v>45475</v>
      </c>
      <c r="D372" t="inlineStr">
        <is>
          <t>STOCKHOLMS LÄN</t>
        </is>
      </c>
      <c r="E372" t="inlineStr">
        <is>
          <t>NORRTÄLJE</t>
        </is>
      </c>
      <c r="F372" t="inlineStr">
        <is>
          <t>Övriga statliga verk och myndigheter</t>
        </is>
      </c>
      <c r="G372" t="n">
        <v>2.9</v>
      </c>
      <c r="H372" t="n">
        <v>0</v>
      </c>
      <c r="I372" t="n">
        <v>0</v>
      </c>
      <c r="J372" t="n">
        <v>0</v>
      </c>
      <c r="K372" t="n">
        <v>0</v>
      </c>
      <c r="L372" t="n">
        <v>0</v>
      </c>
      <c r="M372" t="n">
        <v>0</v>
      </c>
      <c r="N372" t="n">
        <v>0</v>
      </c>
      <c r="O372" t="n">
        <v>0</v>
      </c>
      <c r="P372" t="n">
        <v>0</v>
      </c>
      <c r="Q372" t="n">
        <v>0</v>
      </c>
      <c r="R372" s="2" t="inlineStr"/>
    </row>
    <row r="373" ht="15" customHeight="1">
      <c r="A373" t="inlineStr">
        <is>
          <t>A 20257-2020</t>
        </is>
      </c>
      <c r="B373" s="1" t="n">
        <v>43944</v>
      </c>
      <c r="C373" s="1" t="n">
        <v>45475</v>
      </c>
      <c r="D373" t="inlineStr">
        <is>
          <t>STOCKHOLMS LÄN</t>
        </is>
      </c>
      <c r="E373" t="inlineStr">
        <is>
          <t>NORRTÄLJE</t>
        </is>
      </c>
      <c r="G373" t="n">
        <v>80.09999999999999</v>
      </c>
      <c r="H373" t="n">
        <v>0</v>
      </c>
      <c r="I373" t="n">
        <v>0</v>
      </c>
      <c r="J373" t="n">
        <v>0</v>
      </c>
      <c r="K373" t="n">
        <v>0</v>
      </c>
      <c r="L373" t="n">
        <v>0</v>
      </c>
      <c r="M373" t="n">
        <v>0</v>
      </c>
      <c r="N373" t="n">
        <v>0</v>
      </c>
      <c r="O373" t="n">
        <v>0</v>
      </c>
      <c r="P373" t="n">
        <v>0</v>
      </c>
      <c r="Q373" t="n">
        <v>0</v>
      </c>
      <c r="R373" s="2" t="inlineStr"/>
    </row>
    <row r="374" ht="15" customHeight="1">
      <c r="A374" t="inlineStr">
        <is>
          <t>A 21849-2020</t>
        </is>
      </c>
      <c r="B374" s="1" t="n">
        <v>43958</v>
      </c>
      <c r="C374" s="1" t="n">
        <v>45475</v>
      </c>
      <c r="D374" t="inlineStr">
        <is>
          <t>STOCKHOLMS LÄN</t>
        </is>
      </c>
      <c r="E374" t="inlineStr">
        <is>
          <t>NORRTÄLJE</t>
        </is>
      </c>
      <c r="G374" t="n">
        <v>2.1</v>
      </c>
      <c r="H374" t="n">
        <v>0</v>
      </c>
      <c r="I374" t="n">
        <v>0</v>
      </c>
      <c r="J374" t="n">
        <v>0</v>
      </c>
      <c r="K374" t="n">
        <v>0</v>
      </c>
      <c r="L374" t="n">
        <v>0</v>
      </c>
      <c r="M374" t="n">
        <v>0</v>
      </c>
      <c r="N374" t="n">
        <v>0</v>
      </c>
      <c r="O374" t="n">
        <v>0</v>
      </c>
      <c r="P374" t="n">
        <v>0</v>
      </c>
      <c r="Q374" t="n">
        <v>0</v>
      </c>
      <c r="R374" s="2" t="inlineStr"/>
    </row>
    <row r="375" ht="15" customHeight="1">
      <c r="A375" t="inlineStr">
        <is>
          <t>A 21875-2020</t>
        </is>
      </c>
      <c r="B375" s="1" t="n">
        <v>43958</v>
      </c>
      <c r="C375" s="1" t="n">
        <v>45475</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23751-2020</t>
        </is>
      </c>
      <c r="B376" s="1" t="n">
        <v>43970</v>
      </c>
      <c r="C376" s="1" t="n">
        <v>45475</v>
      </c>
      <c r="D376" t="inlineStr">
        <is>
          <t>STOCKHOLMS LÄN</t>
        </is>
      </c>
      <c r="E376" t="inlineStr">
        <is>
          <t>NORRTÄLJE</t>
        </is>
      </c>
      <c r="G376" t="n">
        <v>5.6</v>
      </c>
      <c r="H376" t="n">
        <v>0</v>
      </c>
      <c r="I376" t="n">
        <v>0</v>
      </c>
      <c r="J376" t="n">
        <v>0</v>
      </c>
      <c r="K376" t="n">
        <v>0</v>
      </c>
      <c r="L376" t="n">
        <v>0</v>
      </c>
      <c r="M376" t="n">
        <v>0</v>
      </c>
      <c r="N376" t="n">
        <v>0</v>
      </c>
      <c r="O376" t="n">
        <v>0</v>
      </c>
      <c r="P376" t="n">
        <v>0</v>
      </c>
      <c r="Q376" t="n">
        <v>0</v>
      </c>
      <c r="R376" s="2" t="inlineStr"/>
    </row>
    <row r="377" ht="15" customHeight="1">
      <c r="A377" t="inlineStr">
        <is>
          <t>A 24136-2020</t>
        </is>
      </c>
      <c r="B377" s="1" t="n">
        <v>43973</v>
      </c>
      <c r="C377" s="1" t="n">
        <v>45475</v>
      </c>
      <c r="D377" t="inlineStr">
        <is>
          <t>STOCKHOLMS LÄN</t>
        </is>
      </c>
      <c r="E377" t="inlineStr">
        <is>
          <t>NORRTÄLJE</t>
        </is>
      </c>
      <c r="G377" t="n">
        <v>4.1</v>
      </c>
      <c r="H377" t="n">
        <v>0</v>
      </c>
      <c r="I377" t="n">
        <v>0</v>
      </c>
      <c r="J377" t="n">
        <v>0</v>
      </c>
      <c r="K377" t="n">
        <v>0</v>
      </c>
      <c r="L377" t="n">
        <v>0</v>
      </c>
      <c r="M377" t="n">
        <v>0</v>
      </c>
      <c r="N377" t="n">
        <v>0</v>
      </c>
      <c r="O377" t="n">
        <v>0</v>
      </c>
      <c r="P377" t="n">
        <v>0</v>
      </c>
      <c r="Q377" t="n">
        <v>0</v>
      </c>
      <c r="R377" s="2" t="inlineStr"/>
    </row>
    <row r="378" ht="15" customHeight="1">
      <c r="A378" t="inlineStr">
        <is>
          <t>A 25584-2020</t>
        </is>
      </c>
      <c r="B378" s="1" t="n">
        <v>43983</v>
      </c>
      <c r="C378" s="1" t="n">
        <v>45475</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25589-2020</t>
        </is>
      </c>
      <c r="B379" s="1" t="n">
        <v>43983</v>
      </c>
      <c r="C379" s="1" t="n">
        <v>45475</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25897-2020</t>
        </is>
      </c>
      <c r="B380" s="1" t="n">
        <v>43984</v>
      </c>
      <c r="C380" s="1" t="n">
        <v>45475</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28495-2020</t>
        </is>
      </c>
      <c r="B381" s="1" t="n">
        <v>43999</v>
      </c>
      <c r="C381" s="1" t="n">
        <v>45475</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30600-2020</t>
        </is>
      </c>
      <c r="B382" s="1" t="n">
        <v>44008</v>
      </c>
      <c r="C382" s="1" t="n">
        <v>45475</v>
      </c>
      <c r="D382" t="inlineStr">
        <is>
          <t>STOCKHOLMS LÄN</t>
        </is>
      </c>
      <c r="E382" t="inlineStr">
        <is>
          <t>NORRTÄLJE</t>
        </is>
      </c>
      <c r="G382" t="n">
        <v>3.3</v>
      </c>
      <c r="H382" t="n">
        <v>0</v>
      </c>
      <c r="I382" t="n">
        <v>0</v>
      </c>
      <c r="J382" t="n">
        <v>0</v>
      </c>
      <c r="K382" t="n">
        <v>0</v>
      </c>
      <c r="L382" t="n">
        <v>0</v>
      </c>
      <c r="M382" t="n">
        <v>0</v>
      </c>
      <c r="N382" t="n">
        <v>0</v>
      </c>
      <c r="O382" t="n">
        <v>0</v>
      </c>
      <c r="P382" t="n">
        <v>0</v>
      </c>
      <c r="Q382" t="n">
        <v>0</v>
      </c>
      <c r="R382" s="2" t="inlineStr"/>
    </row>
    <row r="383" ht="15" customHeight="1">
      <c r="A383" t="inlineStr">
        <is>
          <t>A 31783-2020</t>
        </is>
      </c>
      <c r="B383" s="1" t="n">
        <v>44014</v>
      </c>
      <c r="C383" s="1" t="n">
        <v>45475</v>
      </c>
      <c r="D383" t="inlineStr">
        <is>
          <t>STOCKHOLMS LÄN</t>
        </is>
      </c>
      <c r="E383" t="inlineStr">
        <is>
          <t>NORRTÄLJE</t>
        </is>
      </c>
      <c r="G383" t="n">
        <v>4.8</v>
      </c>
      <c r="H383" t="n">
        <v>0</v>
      </c>
      <c r="I383" t="n">
        <v>0</v>
      </c>
      <c r="J383" t="n">
        <v>0</v>
      </c>
      <c r="K383" t="n">
        <v>0</v>
      </c>
      <c r="L383" t="n">
        <v>0</v>
      </c>
      <c r="M383" t="n">
        <v>0</v>
      </c>
      <c r="N383" t="n">
        <v>0</v>
      </c>
      <c r="O383" t="n">
        <v>0</v>
      </c>
      <c r="P383" t="n">
        <v>0</v>
      </c>
      <c r="Q383" t="n">
        <v>0</v>
      </c>
      <c r="R383" s="2" t="inlineStr"/>
    </row>
    <row r="384" ht="15" customHeight="1">
      <c r="A384" t="inlineStr">
        <is>
          <t>A 33749-2020</t>
        </is>
      </c>
      <c r="B384" s="1" t="n">
        <v>44026</v>
      </c>
      <c r="C384" s="1" t="n">
        <v>45475</v>
      </c>
      <c r="D384" t="inlineStr">
        <is>
          <t>STOCKHOLMS LÄN</t>
        </is>
      </c>
      <c r="E384" t="inlineStr">
        <is>
          <t>NORRTÄLJE</t>
        </is>
      </c>
      <c r="F384" t="inlineStr">
        <is>
          <t>Holmen skog AB</t>
        </is>
      </c>
      <c r="G384" t="n">
        <v>0.5</v>
      </c>
      <c r="H384" t="n">
        <v>0</v>
      </c>
      <c r="I384" t="n">
        <v>0</v>
      </c>
      <c r="J384" t="n">
        <v>0</v>
      </c>
      <c r="K384" t="n">
        <v>0</v>
      </c>
      <c r="L384" t="n">
        <v>0</v>
      </c>
      <c r="M384" t="n">
        <v>0</v>
      </c>
      <c r="N384" t="n">
        <v>0</v>
      </c>
      <c r="O384" t="n">
        <v>0</v>
      </c>
      <c r="P384" t="n">
        <v>0</v>
      </c>
      <c r="Q384" t="n">
        <v>0</v>
      </c>
      <c r="R384" s="2" t="inlineStr"/>
    </row>
    <row r="385" ht="15" customHeight="1">
      <c r="A385" t="inlineStr">
        <is>
          <t>A 34651-2020</t>
        </is>
      </c>
      <c r="B385" s="1" t="n">
        <v>44034</v>
      </c>
      <c r="C385" s="1" t="n">
        <v>45475</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34650-2020</t>
        </is>
      </c>
      <c r="B386" s="1" t="n">
        <v>44034</v>
      </c>
      <c r="C386" s="1" t="n">
        <v>45475</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36314-2020</t>
        </is>
      </c>
      <c r="B387" s="1" t="n">
        <v>44049</v>
      </c>
      <c r="C387" s="1" t="n">
        <v>45475</v>
      </c>
      <c r="D387" t="inlineStr">
        <is>
          <t>STOCKHOLMS LÄN</t>
        </is>
      </c>
      <c r="E387" t="inlineStr">
        <is>
          <t>NORRTÄLJE</t>
        </is>
      </c>
      <c r="G387" t="n">
        <v>5</v>
      </c>
      <c r="H387" t="n">
        <v>0</v>
      </c>
      <c r="I387" t="n">
        <v>0</v>
      </c>
      <c r="J387" t="n">
        <v>0</v>
      </c>
      <c r="K387" t="n">
        <v>0</v>
      </c>
      <c r="L387" t="n">
        <v>0</v>
      </c>
      <c r="M387" t="n">
        <v>0</v>
      </c>
      <c r="N387" t="n">
        <v>0</v>
      </c>
      <c r="O387" t="n">
        <v>0</v>
      </c>
      <c r="P387" t="n">
        <v>0</v>
      </c>
      <c r="Q387" t="n">
        <v>0</v>
      </c>
      <c r="R387" s="2" t="inlineStr"/>
    </row>
    <row r="388" ht="15" customHeight="1">
      <c r="A388" t="inlineStr">
        <is>
          <t>A 36359-2020</t>
        </is>
      </c>
      <c r="B388" s="1" t="n">
        <v>44049</v>
      </c>
      <c r="C388" s="1" t="n">
        <v>45475</v>
      </c>
      <c r="D388" t="inlineStr">
        <is>
          <t>STOCKHOLMS LÄN</t>
        </is>
      </c>
      <c r="E388" t="inlineStr">
        <is>
          <t>NORRTÄLJE</t>
        </is>
      </c>
      <c r="G388" t="n">
        <v>6.5</v>
      </c>
      <c r="H388" t="n">
        <v>0</v>
      </c>
      <c r="I388" t="n">
        <v>0</v>
      </c>
      <c r="J388" t="n">
        <v>0</v>
      </c>
      <c r="K388" t="n">
        <v>0</v>
      </c>
      <c r="L388" t="n">
        <v>0</v>
      </c>
      <c r="M388" t="n">
        <v>0</v>
      </c>
      <c r="N388" t="n">
        <v>0</v>
      </c>
      <c r="O388" t="n">
        <v>0</v>
      </c>
      <c r="P388" t="n">
        <v>0</v>
      </c>
      <c r="Q388" t="n">
        <v>0</v>
      </c>
      <c r="R388" s="2" t="inlineStr"/>
    </row>
    <row r="389" ht="15" customHeight="1">
      <c r="A389" t="inlineStr">
        <is>
          <t>A 40837-2020</t>
        </is>
      </c>
      <c r="B389" s="1" t="n">
        <v>44067</v>
      </c>
      <c r="C389" s="1" t="n">
        <v>45475</v>
      </c>
      <c r="D389" t="inlineStr">
        <is>
          <t>STOCKHOLMS LÄN</t>
        </is>
      </c>
      <c r="E389" t="inlineStr">
        <is>
          <t>NORRTÄLJE</t>
        </is>
      </c>
      <c r="G389" t="n">
        <v>20.6</v>
      </c>
      <c r="H389" t="n">
        <v>0</v>
      </c>
      <c r="I389" t="n">
        <v>0</v>
      </c>
      <c r="J389" t="n">
        <v>0</v>
      </c>
      <c r="K389" t="n">
        <v>0</v>
      </c>
      <c r="L389" t="n">
        <v>0</v>
      </c>
      <c r="M389" t="n">
        <v>0</v>
      </c>
      <c r="N389" t="n">
        <v>0</v>
      </c>
      <c r="O389" t="n">
        <v>0</v>
      </c>
      <c r="P389" t="n">
        <v>0</v>
      </c>
      <c r="Q389" t="n">
        <v>0</v>
      </c>
      <c r="R389" s="2" t="inlineStr"/>
    </row>
    <row r="390" ht="15" customHeight="1">
      <c r="A390" t="inlineStr">
        <is>
          <t>A 40661-2020</t>
        </is>
      </c>
      <c r="B390" s="1" t="n">
        <v>44069</v>
      </c>
      <c r="C390" s="1" t="n">
        <v>45475</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42247-2020</t>
        </is>
      </c>
      <c r="B391" s="1" t="n">
        <v>44074</v>
      </c>
      <c r="C391" s="1" t="n">
        <v>45475</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42256-2020</t>
        </is>
      </c>
      <c r="B392" s="1" t="n">
        <v>44074</v>
      </c>
      <c r="C392" s="1" t="n">
        <v>45475</v>
      </c>
      <c r="D392" t="inlineStr">
        <is>
          <t>STOCKHOLMS LÄN</t>
        </is>
      </c>
      <c r="E392" t="inlineStr">
        <is>
          <t>NORRTÄLJE</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41694-2020</t>
        </is>
      </c>
      <c r="B393" s="1" t="n">
        <v>44074</v>
      </c>
      <c r="C393" s="1" t="n">
        <v>45475</v>
      </c>
      <c r="D393" t="inlineStr">
        <is>
          <t>STOCKHOLMS LÄN</t>
        </is>
      </c>
      <c r="E393" t="inlineStr">
        <is>
          <t>NORRTÄLJE</t>
        </is>
      </c>
      <c r="G393" t="n">
        <v>3</v>
      </c>
      <c r="H393" t="n">
        <v>0</v>
      </c>
      <c r="I393" t="n">
        <v>0</v>
      </c>
      <c r="J393" t="n">
        <v>0</v>
      </c>
      <c r="K393" t="n">
        <v>0</v>
      </c>
      <c r="L393" t="n">
        <v>0</v>
      </c>
      <c r="M393" t="n">
        <v>0</v>
      </c>
      <c r="N393" t="n">
        <v>0</v>
      </c>
      <c r="O393" t="n">
        <v>0</v>
      </c>
      <c r="P393" t="n">
        <v>0</v>
      </c>
      <c r="Q393" t="n">
        <v>0</v>
      </c>
      <c r="R393" s="2" t="inlineStr"/>
    </row>
    <row r="394" ht="15" customHeight="1">
      <c r="A394" t="inlineStr">
        <is>
          <t>A 42365-2020</t>
        </is>
      </c>
      <c r="B394" s="1" t="n">
        <v>44076</v>
      </c>
      <c r="C394" s="1" t="n">
        <v>45475</v>
      </c>
      <c r="D394" t="inlineStr">
        <is>
          <t>STOCKHOLMS LÄN</t>
        </is>
      </c>
      <c r="E394" t="inlineStr">
        <is>
          <t>NORRTÄLJE</t>
        </is>
      </c>
      <c r="G394" t="n">
        <v>1.3</v>
      </c>
      <c r="H394" t="n">
        <v>0</v>
      </c>
      <c r="I394" t="n">
        <v>0</v>
      </c>
      <c r="J394" t="n">
        <v>0</v>
      </c>
      <c r="K394" t="n">
        <v>0</v>
      </c>
      <c r="L394" t="n">
        <v>0</v>
      </c>
      <c r="M394" t="n">
        <v>0</v>
      </c>
      <c r="N394" t="n">
        <v>0</v>
      </c>
      <c r="O394" t="n">
        <v>0</v>
      </c>
      <c r="P394" t="n">
        <v>0</v>
      </c>
      <c r="Q394" t="n">
        <v>0</v>
      </c>
      <c r="R394" s="2" t="inlineStr"/>
    </row>
    <row r="395" ht="15" customHeight="1">
      <c r="A395" t="inlineStr">
        <is>
          <t>A 42361-2020</t>
        </is>
      </c>
      <c r="B395" s="1" t="n">
        <v>44076</v>
      </c>
      <c r="C395" s="1" t="n">
        <v>45475</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42455-2020</t>
        </is>
      </c>
      <c r="B396" s="1" t="n">
        <v>44076</v>
      </c>
      <c r="C396" s="1" t="n">
        <v>45475</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43751-2020</t>
        </is>
      </c>
      <c r="B397" s="1" t="n">
        <v>44082</v>
      </c>
      <c r="C397" s="1" t="n">
        <v>45475</v>
      </c>
      <c r="D397" t="inlineStr">
        <is>
          <t>STOCKHOLMS LÄN</t>
        </is>
      </c>
      <c r="E397" t="inlineStr">
        <is>
          <t>NORRTÄLJE</t>
        </is>
      </c>
      <c r="G397" t="n">
        <v>8</v>
      </c>
      <c r="H397" t="n">
        <v>0</v>
      </c>
      <c r="I397" t="n">
        <v>0</v>
      </c>
      <c r="J397" t="n">
        <v>0</v>
      </c>
      <c r="K397" t="n">
        <v>0</v>
      </c>
      <c r="L397" t="n">
        <v>0</v>
      </c>
      <c r="M397" t="n">
        <v>0</v>
      </c>
      <c r="N397" t="n">
        <v>0</v>
      </c>
      <c r="O397" t="n">
        <v>0</v>
      </c>
      <c r="P397" t="n">
        <v>0</v>
      </c>
      <c r="Q397" t="n">
        <v>0</v>
      </c>
      <c r="R397" s="2" t="inlineStr"/>
    </row>
    <row r="398" ht="15" customHeight="1">
      <c r="A398" t="inlineStr">
        <is>
          <t>A 44096-2020</t>
        </is>
      </c>
      <c r="B398" s="1" t="n">
        <v>44083</v>
      </c>
      <c r="C398" s="1" t="n">
        <v>45475</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44071-2020</t>
        </is>
      </c>
      <c r="B399" s="1" t="n">
        <v>44083</v>
      </c>
      <c r="C399" s="1" t="n">
        <v>45475</v>
      </c>
      <c r="D399" t="inlineStr">
        <is>
          <t>STOCKHOLMS LÄN</t>
        </is>
      </c>
      <c r="E399" t="inlineStr">
        <is>
          <t>NORRTÄLJE</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44183-2020</t>
        </is>
      </c>
      <c r="B400" s="1" t="n">
        <v>44083</v>
      </c>
      <c r="C400" s="1" t="n">
        <v>45475</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44792-2020</t>
        </is>
      </c>
      <c r="B401" s="1" t="n">
        <v>44085</v>
      </c>
      <c r="C401" s="1" t="n">
        <v>45475</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45988-2020</t>
        </is>
      </c>
      <c r="B402" s="1" t="n">
        <v>44091</v>
      </c>
      <c r="C402" s="1" t="n">
        <v>45475</v>
      </c>
      <c r="D402" t="inlineStr">
        <is>
          <t>STOCKHOLMS LÄN</t>
        </is>
      </c>
      <c r="E402" t="inlineStr">
        <is>
          <t>NORRTÄLJE</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46556-2020</t>
        </is>
      </c>
      <c r="B403" s="1" t="n">
        <v>44095</v>
      </c>
      <c r="C403" s="1" t="n">
        <v>45475</v>
      </c>
      <c r="D403" t="inlineStr">
        <is>
          <t>STOCKHOLMS LÄN</t>
        </is>
      </c>
      <c r="E403" t="inlineStr">
        <is>
          <t>NORRTÄLJE</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47291-2020</t>
        </is>
      </c>
      <c r="B404" s="1" t="n">
        <v>44097</v>
      </c>
      <c r="C404" s="1" t="n">
        <v>45475</v>
      </c>
      <c r="D404" t="inlineStr">
        <is>
          <t>STOCKHOLMS LÄN</t>
        </is>
      </c>
      <c r="E404" t="inlineStr">
        <is>
          <t>NORRTÄLJE</t>
        </is>
      </c>
      <c r="F404" t="inlineStr">
        <is>
          <t>Holmen skog AB</t>
        </is>
      </c>
      <c r="G404" t="n">
        <v>0.8</v>
      </c>
      <c r="H404" t="n">
        <v>0</v>
      </c>
      <c r="I404" t="n">
        <v>0</v>
      </c>
      <c r="J404" t="n">
        <v>0</v>
      </c>
      <c r="K404" t="n">
        <v>0</v>
      </c>
      <c r="L404" t="n">
        <v>0</v>
      </c>
      <c r="M404" t="n">
        <v>0</v>
      </c>
      <c r="N404" t="n">
        <v>0</v>
      </c>
      <c r="O404" t="n">
        <v>0</v>
      </c>
      <c r="P404" t="n">
        <v>0</v>
      </c>
      <c r="Q404" t="n">
        <v>0</v>
      </c>
      <c r="R404" s="2" t="inlineStr"/>
    </row>
    <row r="405" ht="15" customHeight="1">
      <c r="A405" t="inlineStr">
        <is>
          <t>A 48392-2020</t>
        </is>
      </c>
      <c r="B405" s="1" t="n">
        <v>44097</v>
      </c>
      <c r="C405" s="1" t="n">
        <v>45475</v>
      </c>
      <c r="D405" t="inlineStr">
        <is>
          <t>STOCKHOLMS LÄN</t>
        </is>
      </c>
      <c r="E405" t="inlineStr">
        <is>
          <t>NORRTÄLJE</t>
        </is>
      </c>
      <c r="G405" t="n">
        <v>12.5</v>
      </c>
      <c r="H405" t="n">
        <v>0</v>
      </c>
      <c r="I405" t="n">
        <v>0</v>
      </c>
      <c r="J405" t="n">
        <v>0</v>
      </c>
      <c r="K405" t="n">
        <v>0</v>
      </c>
      <c r="L405" t="n">
        <v>0</v>
      </c>
      <c r="M405" t="n">
        <v>0</v>
      </c>
      <c r="N405" t="n">
        <v>0</v>
      </c>
      <c r="O405" t="n">
        <v>0</v>
      </c>
      <c r="P405" t="n">
        <v>0</v>
      </c>
      <c r="Q405" t="n">
        <v>0</v>
      </c>
      <c r="R405" s="2" t="inlineStr"/>
    </row>
    <row r="406" ht="15" customHeight="1">
      <c r="A406" t="inlineStr">
        <is>
          <t>A 47869-2020</t>
        </is>
      </c>
      <c r="B406" s="1" t="n">
        <v>44098</v>
      </c>
      <c r="C406" s="1" t="n">
        <v>45475</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47868-2020</t>
        </is>
      </c>
      <c r="B407" s="1" t="n">
        <v>44098</v>
      </c>
      <c r="C407" s="1" t="n">
        <v>45475</v>
      </c>
      <c r="D407" t="inlineStr">
        <is>
          <t>STOCKHOLMS LÄN</t>
        </is>
      </c>
      <c r="E407" t="inlineStr">
        <is>
          <t>NORRTÄLJE</t>
        </is>
      </c>
      <c r="G407" t="n">
        <v>4.7</v>
      </c>
      <c r="H407" t="n">
        <v>0</v>
      </c>
      <c r="I407" t="n">
        <v>0</v>
      </c>
      <c r="J407" t="n">
        <v>0</v>
      </c>
      <c r="K407" t="n">
        <v>0</v>
      </c>
      <c r="L407" t="n">
        <v>0</v>
      </c>
      <c r="M407" t="n">
        <v>0</v>
      </c>
      <c r="N407" t="n">
        <v>0</v>
      </c>
      <c r="O407" t="n">
        <v>0</v>
      </c>
      <c r="P407" t="n">
        <v>0</v>
      </c>
      <c r="Q407" t="n">
        <v>0</v>
      </c>
      <c r="R407" s="2" t="inlineStr"/>
    </row>
    <row r="408" ht="15" customHeight="1">
      <c r="A408" t="inlineStr">
        <is>
          <t>A 48066-2020</t>
        </is>
      </c>
      <c r="B408" s="1" t="n">
        <v>44100</v>
      </c>
      <c r="C408" s="1" t="n">
        <v>45475</v>
      </c>
      <c r="D408" t="inlineStr">
        <is>
          <t>STOCKHOLMS LÄN</t>
        </is>
      </c>
      <c r="E408" t="inlineStr">
        <is>
          <t>NORRTÄLJE</t>
        </is>
      </c>
      <c r="G408" t="n">
        <v>3.7</v>
      </c>
      <c r="H408" t="n">
        <v>0</v>
      </c>
      <c r="I408" t="n">
        <v>0</v>
      </c>
      <c r="J408" t="n">
        <v>0</v>
      </c>
      <c r="K408" t="n">
        <v>0</v>
      </c>
      <c r="L408" t="n">
        <v>0</v>
      </c>
      <c r="M408" t="n">
        <v>0</v>
      </c>
      <c r="N408" t="n">
        <v>0</v>
      </c>
      <c r="O408" t="n">
        <v>0</v>
      </c>
      <c r="P408" t="n">
        <v>0</v>
      </c>
      <c r="Q408" t="n">
        <v>0</v>
      </c>
      <c r="R408" s="2" t="inlineStr"/>
    </row>
    <row r="409" ht="15" customHeight="1">
      <c r="A409" t="inlineStr">
        <is>
          <t>A 48071-2020</t>
        </is>
      </c>
      <c r="B409" s="1" t="n">
        <v>44100</v>
      </c>
      <c r="C409" s="1" t="n">
        <v>45475</v>
      </c>
      <c r="D409" t="inlineStr">
        <is>
          <t>STOCKHOLMS LÄN</t>
        </is>
      </c>
      <c r="E409" t="inlineStr">
        <is>
          <t>NORRTÄLJE</t>
        </is>
      </c>
      <c r="G409" t="n">
        <v>6.8</v>
      </c>
      <c r="H409" t="n">
        <v>0</v>
      </c>
      <c r="I409" t="n">
        <v>0</v>
      </c>
      <c r="J409" t="n">
        <v>0</v>
      </c>
      <c r="K409" t="n">
        <v>0</v>
      </c>
      <c r="L409" t="n">
        <v>0</v>
      </c>
      <c r="M409" t="n">
        <v>0</v>
      </c>
      <c r="N409" t="n">
        <v>0</v>
      </c>
      <c r="O409" t="n">
        <v>0</v>
      </c>
      <c r="P409" t="n">
        <v>0</v>
      </c>
      <c r="Q409" t="n">
        <v>0</v>
      </c>
      <c r="R409" s="2" t="inlineStr"/>
    </row>
    <row r="410" ht="15" customHeight="1">
      <c r="A410" t="inlineStr">
        <is>
          <t>A 48496-2020</t>
        </is>
      </c>
      <c r="B410" s="1" t="n">
        <v>44103</v>
      </c>
      <c r="C410" s="1" t="n">
        <v>45475</v>
      </c>
      <c r="D410" t="inlineStr">
        <is>
          <t>STOCKHOLMS LÄN</t>
        </is>
      </c>
      <c r="E410" t="inlineStr">
        <is>
          <t>NORRTÄLJE</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48522-2020</t>
        </is>
      </c>
      <c r="B411" s="1" t="n">
        <v>44103</v>
      </c>
      <c r="C411" s="1" t="n">
        <v>45475</v>
      </c>
      <c r="D411" t="inlineStr">
        <is>
          <t>STOCKHOLMS LÄN</t>
        </is>
      </c>
      <c r="E411" t="inlineStr">
        <is>
          <t>NORRTÄLJE</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49334-2020</t>
        </is>
      </c>
      <c r="B412" s="1" t="n">
        <v>44105</v>
      </c>
      <c r="C412" s="1" t="n">
        <v>45475</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49327-2020</t>
        </is>
      </c>
      <c r="B413" s="1" t="n">
        <v>44105</v>
      </c>
      <c r="C413" s="1" t="n">
        <v>45475</v>
      </c>
      <c r="D413" t="inlineStr">
        <is>
          <t>STOCKHOLMS LÄN</t>
        </is>
      </c>
      <c r="E413" t="inlineStr">
        <is>
          <t>NORRTÄLJE</t>
        </is>
      </c>
      <c r="G413" t="n">
        <v>0.8</v>
      </c>
      <c r="H413" t="n">
        <v>0</v>
      </c>
      <c r="I413" t="n">
        <v>0</v>
      </c>
      <c r="J413" t="n">
        <v>0</v>
      </c>
      <c r="K413" t="n">
        <v>0</v>
      </c>
      <c r="L413" t="n">
        <v>0</v>
      </c>
      <c r="M413" t="n">
        <v>0</v>
      </c>
      <c r="N413" t="n">
        <v>0</v>
      </c>
      <c r="O413" t="n">
        <v>0</v>
      </c>
      <c r="P413" t="n">
        <v>0</v>
      </c>
      <c r="Q413" t="n">
        <v>0</v>
      </c>
      <c r="R413" s="2" t="inlineStr"/>
    </row>
    <row r="414" ht="15" customHeight="1">
      <c r="A414" t="inlineStr">
        <is>
          <t>A 49898-2020</t>
        </is>
      </c>
      <c r="B414" s="1" t="n">
        <v>44108</v>
      </c>
      <c r="C414" s="1" t="n">
        <v>45475</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50497-2020</t>
        </is>
      </c>
      <c r="B415" s="1" t="n">
        <v>44110</v>
      </c>
      <c r="C415" s="1" t="n">
        <v>45475</v>
      </c>
      <c r="D415" t="inlineStr">
        <is>
          <t>STOCKHOLMS LÄN</t>
        </is>
      </c>
      <c r="E415" t="inlineStr">
        <is>
          <t>NORRTÄLJE</t>
        </is>
      </c>
      <c r="F415" t="inlineStr">
        <is>
          <t>Holmen skog AB</t>
        </is>
      </c>
      <c r="G415" t="n">
        <v>4.3</v>
      </c>
      <c r="H415" t="n">
        <v>0</v>
      </c>
      <c r="I415" t="n">
        <v>0</v>
      </c>
      <c r="J415" t="n">
        <v>0</v>
      </c>
      <c r="K415" t="n">
        <v>0</v>
      </c>
      <c r="L415" t="n">
        <v>0</v>
      </c>
      <c r="M415" t="n">
        <v>0</v>
      </c>
      <c r="N415" t="n">
        <v>0</v>
      </c>
      <c r="O415" t="n">
        <v>0</v>
      </c>
      <c r="P415" t="n">
        <v>0</v>
      </c>
      <c r="Q415" t="n">
        <v>0</v>
      </c>
      <c r="R415" s="2" t="inlineStr"/>
    </row>
    <row r="416" ht="15" customHeight="1">
      <c r="A416" t="inlineStr">
        <is>
          <t>A 50738-2020</t>
        </is>
      </c>
      <c r="B416" s="1" t="n">
        <v>44111</v>
      </c>
      <c r="C416" s="1" t="n">
        <v>45475</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50746-2020</t>
        </is>
      </c>
      <c r="B417" s="1" t="n">
        <v>44111</v>
      </c>
      <c r="C417" s="1" t="n">
        <v>45475</v>
      </c>
      <c r="D417" t="inlineStr">
        <is>
          <t>STOCKHOLMS LÄN</t>
        </is>
      </c>
      <c r="E417" t="inlineStr">
        <is>
          <t>NORRTÄLJE</t>
        </is>
      </c>
      <c r="G417" t="n">
        <v>4.9</v>
      </c>
      <c r="H417" t="n">
        <v>0</v>
      </c>
      <c r="I417" t="n">
        <v>0</v>
      </c>
      <c r="J417" t="n">
        <v>0</v>
      </c>
      <c r="K417" t="n">
        <v>0</v>
      </c>
      <c r="L417" t="n">
        <v>0</v>
      </c>
      <c r="M417" t="n">
        <v>0</v>
      </c>
      <c r="N417" t="n">
        <v>0</v>
      </c>
      <c r="O417" t="n">
        <v>0</v>
      </c>
      <c r="P417" t="n">
        <v>0</v>
      </c>
      <c r="Q417" t="n">
        <v>0</v>
      </c>
      <c r="R417" s="2" t="inlineStr"/>
    </row>
    <row r="418" ht="15" customHeight="1">
      <c r="A418" t="inlineStr">
        <is>
          <t>A 50742-2020</t>
        </is>
      </c>
      <c r="B418" s="1" t="n">
        <v>44111</v>
      </c>
      <c r="C418" s="1" t="n">
        <v>45475</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51720-2020</t>
        </is>
      </c>
      <c r="B419" s="1" t="n">
        <v>44113</v>
      </c>
      <c r="C419" s="1" t="n">
        <v>45475</v>
      </c>
      <c r="D419" t="inlineStr">
        <is>
          <t>STOCKHOLMS LÄN</t>
        </is>
      </c>
      <c r="E419" t="inlineStr">
        <is>
          <t>NORRTÄLJE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51787-2020</t>
        </is>
      </c>
      <c r="B420" s="1" t="n">
        <v>44116</v>
      </c>
      <c r="C420" s="1" t="n">
        <v>45475</v>
      </c>
      <c r="D420" t="inlineStr">
        <is>
          <t>STOCKHOLMS LÄN</t>
        </is>
      </c>
      <c r="E420" t="inlineStr">
        <is>
          <t>NORRTÄLJE</t>
        </is>
      </c>
      <c r="G420" t="n">
        <v>2.1</v>
      </c>
      <c r="H420" t="n">
        <v>0</v>
      </c>
      <c r="I420" t="n">
        <v>0</v>
      </c>
      <c r="J420" t="n">
        <v>0</v>
      </c>
      <c r="K420" t="n">
        <v>0</v>
      </c>
      <c r="L420" t="n">
        <v>0</v>
      </c>
      <c r="M420" t="n">
        <v>0</v>
      </c>
      <c r="N420" t="n">
        <v>0</v>
      </c>
      <c r="O420" t="n">
        <v>0</v>
      </c>
      <c r="P420" t="n">
        <v>0</v>
      </c>
      <c r="Q420" t="n">
        <v>0</v>
      </c>
      <c r="R420" s="2" t="inlineStr"/>
    </row>
    <row r="421" ht="15" customHeight="1">
      <c r="A421" t="inlineStr">
        <is>
          <t>A 51798-2020</t>
        </is>
      </c>
      <c r="B421" s="1" t="n">
        <v>44116</v>
      </c>
      <c r="C421" s="1" t="n">
        <v>45475</v>
      </c>
      <c r="D421" t="inlineStr">
        <is>
          <t>STOCKHOLMS LÄN</t>
        </is>
      </c>
      <c r="E421" t="inlineStr">
        <is>
          <t>NORRTÄLJE</t>
        </is>
      </c>
      <c r="G421" t="n">
        <v>4.3</v>
      </c>
      <c r="H421" t="n">
        <v>0</v>
      </c>
      <c r="I421" t="n">
        <v>0</v>
      </c>
      <c r="J421" t="n">
        <v>0</v>
      </c>
      <c r="K421" t="n">
        <v>0</v>
      </c>
      <c r="L421" t="n">
        <v>0</v>
      </c>
      <c r="M421" t="n">
        <v>0</v>
      </c>
      <c r="N421" t="n">
        <v>0</v>
      </c>
      <c r="O421" t="n">
        <v>0</v>
      </c>
      <c r="P421" t="n">
        <v>0</v>
      </c>
      <c r="Q421" t="n">
        <v>0</v>
      </c>
      <c r="R421" s="2" t="inlineStr"/>
    </row>
    <row r="422" ht="15" customHeight="1">
      <c r="A422" t="inlineStr">
        <is>
          <t>A 53768-2020</t>
        </is>
      </c>
      <c r="B422" s="1" t="n">
        <v>44123</v>
      </c>
      <c r="C422" s="1" t="n">
        <v>45475</v>
      </c>
      <c r="D422" t="inlineStr">
        <is>
          <t>STOCKHOLMS LÄN</t>
        </is>
      </c>
      <c r="E422" t="inlineStr">
        <is>
          <t>NORRTÄLJE</t>
        </is>
      </c>
      <c r="F422" t="inlineStr">
        <is>
          <t>Kommuner</t>
        </is>
      </c>
      <c r="G422" t="n">
        <v>2.1</v>
      </c>
      <c r="H422" t="n">
        <v>0</v>
      </c>
      <c r="I422" t="n">
        <v>0</v>
      </c>
      <c r="J422" t="n">
        <v>0</v>
      </c>
      <c r="K422" t="n">
        <v>0</v>
      </c>
      <c r="L422" t="n">
        <v>0</v>
      </c>
      <c r="M422" t="n">
        <v>0</v>
      </c>
      <c r="N422" t="n">
        <v>0</v>
      </c>
      <c r="O422" t="n">
        <v>0</v>
      </c>
      <c r="P422" t="n">
        <v>0</v>
      </c>
      <c r="Q422" t="n">
        <v>0</v>
      </c>
      <c r="R422" s="2" t="inlineStr"/>
    </row>
    <row r="423" ht="15" customHeight="1">
      <c r="A423" t="inlineStr">
        <is>
          <t>A 53652-2020</t>
        </is>
      </c>
      <c r="B423" s="1" t="n">
        <v>44124</v>
      </c>
      <c r="C423" s="1" t="n">
        <v>45475</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53690-2020</t>
        </is>
      </c>
      <c r="B424" s="1" t="n">
        <v>44124</v>
      </c>
      <c r="C424" s="1" t="n">
        <v>45475</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53607-2020</t>
        </is>
      </c>
      <c r="B425" s="1" t="n">
        <v>44124</v>
      </c>
      <c r="C425" s="1" t="n">
        <v>45475</v>
      </c>
      <c r="D425" t="inlineStr">
        <is>
          <t>STOCKHOLMS LÄN</t>
        </is>
      </c>
      <c r="E425" t="inlineStr">
        <is>
          <t>NORRTÄLJE</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55089-2020</t>
        </is>
      </c>
      <c r="B426" s="1" t="n">
        <v>44130</v>
      </c>
      <c r="C426" s="1" t="n">
        <v>45475</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55895-2020</t>
        </is>
      </c>
      <c r="B427" s="1" t="n">
        <v>44132</v>
      </c>
      <c r="C427" s="1" t="n">
        <v>45475</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55890-2020</t>
        </is>
      </c>
      <c r="B428" s="1" t="n">
        <v>44132</v>
      </c>
      <c r="C428" s="1" t="n">
        <v>45475</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55982-2020</t>
        </is>
      </c>
      <c r="B429" s="1" t="n">
        <v>44132</v>
      </c>
      <c r="C429" s="1" t="n">
        <v>45475</v>
      </c>
      <c r="D429" t="inlineStr">
        <is>
          <t>STOCKHOLMS LÄN</t>
        </is>
      </c>
      <c r="E429" t="inlineStr">
        <is>
          <t>NORRTÄLJE</t>
        </is>
      </c>
      <c r="G429" t="n">
        <v>11.3</v>
      </c>
      <c r="H429" t="n">
        <v>0</v>
      </c>
      <c r="I429" t="n">
        <v>0</v>
      </c>
      <c r="J429" t="n">
        <v>0</v>
      </c>
      <c r="K429" t="n">
        <v>0</v>
      </c>
      <c r="L429" t="n">
        <v>0</v>
      </c>
      <c r="M429" t="n">
        <v>0</v>
      </c>
      <c r="N429" t="n">
        <v>0</v>
      </c>
      <c r="O429" t="n">
        <v>0</v>
      </c>
      <c r="P429" t="n">
        <v>0</v>
      </c>
      <c r="Q429" t="n">
        <v>0</v>
      </c>
      <c r="R429" s="2" t="inlineStr"/>
    </row>
    <row r="430" ht="15" customHeight="1">
      <c r="A430" t="inlineStr">
        <is>
          <t>A 56166-2020</t>
        </is>
      </c>
      <c r="B430" s="1" t="n">
        <v>44133</v>
      </c>
      <c r="C430" s="1" t="n">
        <v>45475</v>
      </c>
      <c r="D430" t="inlineStr">
        <is>
          <t>STOCKHOLMS LÄN</t>
        </is>
      </c>
      <c r="E430" t="inlineStr">
        <is>
          <t>NORRTÄLJE</t>
        </is>
      </c>
      <c r="G430" t="n">
        <v>4.4</v>
      </c>
      <c r="H430" t="n">
        <v>0</v>
      </c>
      <c r="I430" t="n">
        <v>0</v>
      </c>
      <c r="J430" t="n">
        <v>0</v>
      </c>
      <c r="K430" t="n">
        <v>0</v>
      </c>
      <c r="L430" t="n">
        <v>0</v>
      </c>
      <c r="M430" t="n">
        <v>0</v>
      </c>
      <c r="N430" t="n">
        <v>0</v>
      </c>
      <c r="O430" t="n">
        <v>0</v>
      </c>
      <c r="P430" t="n">
        <v>0</v>
      </c>
      <c r="Q430" t="n">
        <v>0</v>
      </c>
      <c r="R430" s="2" t="inlineStr"/>
    </row>
    <row r="431" ht="15" customHeight="1">
      <c r="A431" t="inlineStr">
        <is>
          <t>A 56323-2020</t>
        </is>
      </c>
      <c r="B431" s="1" t="n">
        <v>44134</v>
      </c>
      <c r="C431" s="1" t="n">
        <v>45475</v>
      </c>
      <c r="D431" t="inlineStr">
        <is>
          <t>STOCKHOLMS LÄN</t>
        </is>
      </c>
      <c r="E431" t="inlineStr">
        <is>
          <t>NORRTÄLJE</t>
        </is>
      </c>
      <c r="G431" t="n">
        <v>2.4</v>
      </c>
      <c r="H431" t="n">
        <v>0</v>
      </c>
      <c r="I431" t="n">
        <v>0</v>
      </c>
      <c r="J431" t="n">
        <v>0</v>
      </c>
      <c r="K431" t="n">
        <v>0</v>
      </c>
      <c r="L431" t="n">
        <v>0</v>
      </c>
      <c r="M431" t="n">
        <v>0</v>
      </c>
      <c r="N431" t="n">
        <v>0</v>
      </c>
      <c r="O431" t="n">
        <v>0</v>
      </c>
      <c r="P431" t="n">
        <v>0</v>
      </c>
      <c r="Q431" t="n">
        <v>0</v>
      </c>
      <c r="R431" s="2" t="inlineStr"/>
    </row>
    <row r="432" ht="15" customHeight="1">
      <c r="A432" t="inlineStr">
        <is>
          <t>A 57216-2020</t>
        </is>
      </c>
      <c r="B432" s="1" t="n">
        <v>44139</v>
      </c>
      <c r="C432" s="1" t="n">
        <v>45475</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57957-2020</t>
        </is>
      </c>
      <c r="B433" s="1" t="n">
        <v>44143</v>
      </c>
      <c r="C433" s="1" t="n">
        <v>45475</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57987-2020</t>
        </is>
      </c>
      <c r="B434" s="1" t="n">
        <v>44143</v>
      </c>
      <c r="C434" s="1" t="n">
        <v>45475</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58493-2020</t>
        </is>
      </c>
      <c r="B435" s="1" t="n">
        <v>44145</v>
      </c>
      <c r="C435" s="1" t="n">
        <v>45475</v>
      </c>
      <c r="D435" t="inlineStr">
        <is>
          <t>STOCKHOLMS LÄN</t>
        </is>
      </c>
      <c r="E435" t="inlineStr">
        <is>
          <t>NORRTÄLJE</t>
        </is>
      </c>
      <c r="G435" t="n">
        <v>2.8</v>
      </c>
      <c r="H435" t="n">
        <v>0</v>
      </c>
      <c r="I435" t="n">
        <v>0</v>
      </c>
      <c r="J435" t="n">
        <v>0</v>
      </c>
      <c r="K435" t="n">
        <v>0</v>
      </c>
      <c r="L435" t="n">
        <v>0</v>
      </c>
      <c r="M435" t="n">
        <v>0</v>
      </c>
      <c r="N435" t="n">
        <v>0</v>
      </c>
      <c r="O435" t="n">
        <v>0</v>
      </c>
      <c r="P435" t="n">
        <v>0</v>
      </c>
      <c r="Q435" t="n">
        <v>0</v>
      </c>
      <c r="R435" s="2" t="inlineStr"/>
    </row>
    <row r="436" ht="15" customHeight="1">
      <c r="A436" t="inlineStr">
        <is>
          <t>A 58661-2020</t>
        </is>
      </c>
      <c r="B436" s="1" t="n">
        <v>44145</v>
      </c>
      <c r="C436" s="1" t="n">
        <v>45475</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58665-2020</t>
        </is>
      </c>
      <c r="B437" s="1" t="n">
        <v>44145</v>
      </c>
      <c r="C437" s="1" t="n">
        <v>45475</v>
      </c>
      <c r="D437" t="inlineStr">
        <is>
          <t>STOCKHOLMS LÄN</t>
        </is>
      </c>
      <c r="E437" t="inlineStr">
        <is>
          <t>NORRTÄLJE</t>
        </is>
      </c>
      <c r="G437" t="n">
        <v>5.2</v>
      </c>
      <c r="H437" t="n">
        <v>0</v>
      </c>
      <c r="I437" t="n">
        <v>0</v>
      </c>
      <c r="J437" t="n">
        <v>0</v>
      </c>
      <c r="K437" t="n">
        <v>0</v>
      </c>
      <c r="L437" t="n">
        <v>0</v>
      </c>
      <c r="M437" t="n">
        <v>0</v>
      </c>
      <c r="N437" t="n">
        <v>0</v>
      </c>
      <c r="O437" t="n">
        <v>0</v>
      </c>
      <c r="P437" t="n">
        <v>0</v>
      </c>
      <c r="Q437" t="n">
        <v>0</v>
      </c>
      <c r="R437" s="2" t="inlineStr"/>
    </row>
    <row r="438" ht="15" customHeight="1">
      <c r="A438" t="inlineStr">
        <is>
          <t>A 58888-2020</t>
        </is>
      </c>
      <c r="B438" s="1" t="n">
        <v>44146</v>
      </c>
      <c r="C438" s="1" t="n">
        <v>45475</v>
      </c>
      <c r="D438" t="inlineStr">
        <is>
          <t>STOCKHOLMS LÄN</t>
        </is>
      </c>
      <c r="E438" t="inlineStr">
        <is>
          <t>NORRTÄLJE</t>
        </is>
      </c>
      <c r="G438" t="n">
        <v>1.9</v>
      </c>
      <c r="H438" t="n">
        <v>0</v>
      </c>
      <c r="I438" t="n">
        <v>0</v>
      </c>
      <c r="J438" t="n">
        <v>0</v>
      </c>
      <c r="K438" t="n">
        <v>0</v>
      </c>
      <c r="L438" t="n">
        <v>0</v>
      </c>
      <c r="M438" t="n">
        <v>0</v>
      </c>
      <c r="N438" t="n">
        <v>0</v>
      </c>
      <c r="O438" t="n">
        <v>0</v>
      </c>
      <c r="P438" t="n">
        <v>0</v>
      </c>
      <c r="Q438" t="n">
        <v>0</v>
      </c>
      <c r="R438" s="2" t="inlineStr"/>
    </row>
    <row r="439" ht="15" customHeight="1">
      <c r="A439" t="inlineStr">
        <is>
          <t>A 60321-2020</t>
        </is>
      </c>
      <c r="B439" s="1" t="n">
        <v>44152</v>
      </c>
      <c r="C439" s="1" t="n">
        <v>45475</v>
      </c>
      <c r="D439" t="inlineStr">
        <is>
          <t>STOCKHOLMS LÄN</t>
        </is>
      </c>
      <c r="E439" t="inlineStr">
        <is>
          <t>NORRTÄLJE</t>
        </is>
      </c>
      <c r="F439" t="inlineStr">
        <is>
          <t>Holmen skog AB</t>
        </is>
      </c>
      <c r="G439" t="n">
        <v>3.4</v>
      </c>
      <c r="H439" t="n">
        <v>0</v>
      </c>
      <c r="I439" t="n">
        <v>0</v>
      </c>
      <c r="J439" t="n">
        <v>0</v>
      </c>
      <c r="K439" t="n">
        <v>0</v>
      </c>
      <c r="L439" t="n">
        <v>0</v>
      </c>
      <c r="M439" t="n">
        <v>0</v>
      </c>
      <c r="N439" t="n">
        <v>0</v>
      </c>
      <c r="O439" t="n">
        <v>0</v>
      </c>
      <c r="P439" t="n">
        <v>0</v>
      </c>
      <c r="Q439" t="n">
        <v>0</v>
      </c>
      <c r="R439" s="2" t="inlineStr"/>
    </row>
    <row r="440" ht="15" customHeight="1">
      <c r="A440" t="inlineStr">
        <is>
          <t>A 60542-2020</t>
        </is>
      </c>
      <c r="B440" s="1" t="n">
        <v>44153</v>
      </c>
      <c r="C440" s="1" t="n">
        <v>45475</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60977-2020</t>
        </is>
      </c>
      <c r="B441" s="1" t="n">
        <v>44154</v>
      </c>
      <c r="C441" s="1" t="n">
        <v>45475</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60891-2020</t>
        </is>
      </c>
      <c r="B442" s="1" t="n">
        <v>44154</v>
      </c>
      <c r="C442" s="1" t="n">
        <v>45475</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60961-2020</t>
        </is>
      </c>
      <c r="B443" s="1" t="n">
        <v>44154</v>
      </c>
      <c r="C443" s="1" t="n">
        <v>45475</v>
      </c>
      <c r="D443" t="inlineStr">
        <is>
          <t>STOCKHOLMS LÄN</t>
        </is>
      </c>
      <c r="E443" t="inlineStr">
        <is>
          <t>NORRTÄLJE</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61195-2020</t>
        </is>
      </c>
      <c r="B444" s="1" t="n">
        <v>44155</v>
      </c>
      <c r="C444" s="1" t="n">
        <v>45475</v>
      </c>
      <c r="D444" t="inlineStr">
        <is>
          <t>STOCKHOLMS LÄN</t>
        </is>
      </c>
      <c r="E444" t="inlineStr">
        <is>
          <t>NORRTÄLJE</t>
        </is>
      </c>
      <c r="G444" t="n">
        <v>7.8</v>
      </c>
      <c r="H444" t="n">
        <v>0</v>
      </c>
      <c r="I444" t="n">
        <v>0</v>
      </c>
      <c r="J444" t="n">
        <v>0</v>
      </c>
      <c r="K444" t="n">
        <v>0</v>
      </c>
      <c r="L444" t="n">
        <v>0</v>
      </c>
      <c r="M444" t="n">
        <v>0</v>
      </c>
      <c r="N444" t="n">
        <v>0</v>
      </c>
      <c r="O444" t="n">
        <v>0</v>
      </c>
      <c r="P444" t="n">
        <v>0</v>
      </c>
      <c r="Q444" t="n">
        <v>0</v>
      </c>
      <c r="R444" s="2" t="inlineStr"/>
    </row>
    <row r="445" ht="15" customHeight="1">
      <c r="A445" t="inlineStr">
        <is>
          <t>A 61221-2020</t>
        </is>
      </c>
      <c r="B445" s="1" t="n">
        <v>44155</v>
      </c>
      <c r="C445" s="1" t="n">
        <v>45475</v>
      </c>
      <c r="D445" t="inlineStr">
        <is>
          <t>STOCKHOLMS LÄN</t>
        </is>
      </c>
      <c r="E445" t="inlineStr">
        <is>
          <t>NORRTÄLJE</t>
        </is>
      </c>
      <c r="G445" t="n">
        <v>2.8</v>
      </c>
      <c r="H445" t="n">
        <v>0</v>
      </c>
      <c r="I445" t="n">
        <v>0</v>
      </c>
      <c r="J445" t="n">
        <v>0</v>
      </c>
      <c r="K445" t="n">
        <v>0</v>
      </c>
      <c r="L445" t="n">
        <v>0</v>
      </c>
      <c r="M445" t="n">
        <v>0</v>
      </c>
      <c r="N445" t="n">
        <v>0</v>
      </c>
      <c r="O445" t="n">
        <v>0</v>
      </c>
      <c r="P445" t="n">
        <v>0</v>
      </c>
      <c r="Q445" t="n">
        <v>0</v>
      </c>
      <c r="R445" s="2" t="inlineStr"/>
    </row>
    <row r="446" ht="15" customHeight="1">
      <c r="A446" t="inlineStr">
        <is>
          <t>A 61363-2020</t>
        </is>
      </c>
      <c r="B446" s="1" t="n">
        <v>44155</v>
      </c>
      <c r="C446" s="1" t="n">
        <v>45475</v>
      </c>
      <c r="D446" t="inlineStr">
        <is>
          <t>STOCKHOLMS LÄN</t>
        </is>
      </c>
      <c r="E446" t="inlineStr">
        <is>
          <t>NORRTÄLJE</t>
        </is>
      </c>
      <c r="G446" t="n">
        <v>2.3</v>
      </c>
      <c r="H446" t="n">
        <v>0</v>
      </c>
      <c r="I446" t="n">
        <v>0</v>
      </c>
      <c r="J446" t="n">
        <v>0</v>
      </c>
      <c r="K446" t="n">
        <v>0</v>
      </c>
      <c r="L446" t="n">
        <v>0</v>
      </c>
      <c r="M446" t="n">
        <v>0</v>
      </c>
      <c r="N446" t="n">
        <v>0</v>
      </c>
      <c r="O446" t="n">
        <v>0</v>
      </c>
      <c r="P446" t="n">
        <v>0</v>
      </c>
      <c r="Q446" t="n">
        <v>0</v>
      </c>
      <c r="R446" s="2" t="inlineStr"/>
    </row>
    <row r="447" ht="15" customHeight="1">
      <c r="A447" t="inlineStr">
        <is>
          <t>A 61469-2020</t>
        </is>
      </c>
      <c r="B447" s="1" t="n">
        <v>44155</v>
      </c>
      <c r="C447" s="1" t="n">
        <v>45475</v>
      </c>
      <c r="D447" t="inlineStr">
        <is>
          <t>STOCKHOLMS LÄN</t>
        </is>
      </c>
      <c r="E447" t="inlineStr">
        <is>
          <t>NORRTÄLJE</t>
        </is>
      </c>
      <c r="F447" t="inlineStr">
        <is>
          <t>Övriga Aktiebolag</t>
        </is>
      </c>
      <c r="G447" t="n">
        <v>2.6</v>
      </c>
      <c r="H447" t="n">
        <v>0</v>
      </c>
      <c r="I447" t="n">
        <v>0</v>
      </c>
      <c r="J447" t="n">
        <v>0</v>
      </c>
      <c r="K447" t="n">
        <v>0</v>
      </c>
      <c r="L447" t="n">
        <v>0</v>
      </c>
      <c r="M447" t="n">
        <v>0</v>
      </c>
      <c r="N447" t="n">
        <v>0</v>
      </c>
      <c r="O447" t="n">
        <v>0</v>
      </c>
      <c r="P447" t="n">
        <v>0</v>
      </c>
      <c r="Q447" t="n">
        <v>0</v>
      </c>
      <c r="R447" s="2" t="inlineStr"/>
    </row>
    <row r="448" ht="15" customHeight="1">
      <c r="A448" t="inlineStr">
        <is>
          <t>A 61192-2020</t>
        </is>
      </c>
      <c r="B448" s="1" t="n">
        <v>44155</v>
      </c>
      <c r="C448" s="1" t="n">
        <v>45475</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62460-2020</t>
        </is>
      </c>
      <c r="B449" s="1" t="n">
        <v>44160</v>
      </c>
      <c r="C449" s="1" t="n">
        <v>45475</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62854-2020</t>
        </is>
      </c>
      <c r="B450" s="1" t="n">
        <v>44161</v>
      </c>
      <c r="C450" s="1" t="n">
        <v>45475</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63824-2020</t>
        </is>
      </c>
      <c r="B451" s="1" t="n">
        <v>44162</v>
      </c>
      <c r="C451" s="1" t="n">
        <v>45475</v>
      </c>
      <c r="D451" t="inlineStr">
        <is>
          <t>STOCKHOLMS LÄN</t>
        </is>
      </c>
      <c r="E451" t="inlineStr">
        <is>
          <t>NORRTÄLJE</t>
        </is>
      </c>
      <c r="F451" t="inlineStr">
        <is>
          <t>Övriga Aktiebolag</t>
        </is>
      </c>
      <c r="G451" t="n">
        <v>1.9</v>
      </c>
      <c r="H451" t="n">
        <v>0</v>
      </c>
      <c r="I451" t="n">
        <v>0</v>
      </c>
      <c r="J451" t="n">
        <v>0</v>
      </c>
      <c r="K451" t="n">
        <v>0</v>
      </c>
      <c r="L451" t="n">
        <v>0</v>
      </c>
      <c r="M451" t="n">
        <v>0</v>
      </c>
      <c r="N451" t="n">
        <v>0</v>
      </c>
      <c r="O451" t="n">
        <v>0</v>
      </c>
      <c r="P451" t="n">
        <v>0</v>
      </c>
      <c r="Q451" t="n">
        <v>0</v>
      </c>
      <c r="R451" s="2" t="inlineStr"/>
    </row>
    <row r="452" ht="15" customHeight="1">
      <c r="A452" t="inlineStr">
        <is>
          <t>A 66372-2020</t>
        </is>
      </c>
      <c r="B452" s="1" t="n">
        <v>44176</v>
      </c>
      <c r="C452" s="1" t="n">
        <v>45475</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66907-2020</t>
        </is>
      </c>
      <c r="B453" s="1" t="n">
        <v>44176</v>
      </c>
      <c r="C453" s="1" t="n">
        <v>45475</v>
      </c>
      <c r="D453" t="inlineStr">
        <is>
          <t>STOCKHOLMS LÄN</t>
        </is>
      </c>
      <c r="E453" t="inlineStr">
        <is>
          <t>NORRTÄLJE</t>
        </is>
      </c>
      <c r="G453" t="n">
        <v>1.7</v>
      </c>
      <c r="H453" t="n">
        <v>0</v>
      </c>
      <c r="I453" t="n">
        <v>0</v>
      </c>
      <c r="J453" t="n">
        <v>0</v>
      </c>
      <c r="K453" t="n">
        <v>0</v>
      </c>
      <c r="L453" t="n">
        <v>0</v>
      </c>
      <c r="M453" t="n">
        <v>0</v>
      </c>
      <c r="N453" t="n">
        <v>0</v>
      </c>
      <c r="O453" t="n">
        <v>0</v>
      </c>
      <c r="P453" t="n">
        <v>0</v>
      </c>
      <c r="Q453" t="n">
        <v>0</v>
      </c>
      <c r="R453" s="2" t="inlineStr"/>
    </row>
    <row r="454" ht="15" customHeight="1">
      <c r="A454" t="inlineStr">
        <is>
          <t>A 67393-2020</t>
        </is>
      </c>
      <c r="B454" s="1" t="n">
        <v>44181</v>
      </c>
      <c r="C454" s="1" t="n">
        <v>45475</v>
      </c>
      <c r="D454" t="inlineStr">
        <is>
          <t>STOCKHOLMS LÄN</t>
        </is>
      </c>
      <c r="E454" t="inlineStr">
        <is>
          <t>NORRTÄLJE</t>
        </is>
      </c>
      <c r="G454" t="n">
        <v>5.5</v>
      </c>
      <c r="H454" t="n">
        <v>0</v>
      </c>
      <c r="I454" t="n">
        <v>0</v>
      </c>
      <c r="J454" t="n">
        <v>0</v>
      </c>
      <c r="K454" t="n">
        <v>0</v>
      </c>
      <c r="L454" t="n">
        <v>0</v>
      </c>
      <c r="M454" t="n">
        <v>0</v>
      </c>
      <c r="N454" t="n">
        <v>0</v>
      </c>
      <c r="O454" t="n">
        <v>0</v>
      </c>
      <c r="P454" t="n">
        <v>0</v>
      </c>
      <c r="Q454" t="n">
        <v>0</v>
      </c>
      <c r="R454" s="2" t="inlineStr"/>
    </row>
    <row r="455" ht="15" customHeight="1">
      <c r="A455" t="inlineStr">
        <is>
          <t>A 68081-2020</t>
        </is>
      </c>
      <c r="B455" s="1" t="n">
        <v>44183</v>
      </c>
      <c r="C455" s="1" t="n">
        <v>45475</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367-2021</t>
        </is>
      </c>
      <c r="B456" s="1" t="n">
        <v>44201</v>
      </c>
      <c r="C456" s="1" t="n">
        <v>45475</v>
      </c>
      <c r="D456" t="inlineStr">
        <is>
          <t>STOCKHOLMS LÄN</t>
        </is>
      </c>
      <c r="E456" t="inlineStr">
        <is>
          <t>NORRTÄLJE</t>
        </is>
      </c>
      <c r="G456" t="n">
        <v>0.1</v>
      </c>
      <c r="H456" t="n">
        <v>0</v>
      </c>
      <c r="I456" t="n">
        <v>0</v>
      </c>
      <c r="J456" t="n">
        <v>0</v>
      </c>
      <c r="K456" t="n">
        <v>0</v>
      </c>
      <c r="L456" t="n">
        <v>0</v>
      </c>
      <c r="M456" t="n">
        <v>0</v>
      </c>
      <c r="N456" t="n">
        <v>0</v>
      </c>
      <c r="O456" t="n">
        <v>0</v>
      </c>
      <c r="P456" t="n">
        <v>0</v>
      </c>
      <c r="Q456" t="n">
        <v>0</v>
      </c>
      <c r="R456" s="2" t="inlineStr"/>
    </row>
    <row r="457" ht="15" customHeight="1">
      <c r="A457" t="inlineStr">
        <is>
          <t>A 348-2021</t>
        </is>
      </c>
      <c r="B457" s="1" t="n">
        <v>44201</v>
      </c>
      <c r="C457" s="1" t="n">
        <v>45475</v>
      </c>
      <c r="D457" t="inlineStr">
        <is>
          <t>STOCKHOLMS LÄN</t>
        </is>
      </c>
      <c r="E457" t="inlineStr">
        <is>
          <t>NORRTÄLJE</t>
        </is>
      </c>
      <c r="G457" t="n">
        <v>0.1</v>
      </c>
      <c r="H457" t="n">
        <v>0</v>
      </c>
      <c r="I457" t="n">
        <v>0</v>
      </c>
      <c r="J457" t="n">
        <v>0</v>
      </c>
      <c r="K457" t="n">
        <v>0</v>
      </c>
      <c r="L457" t="n">
        <v>0</v>
      </c>
      <c r="M457" t="n">
        <v>0</v>
      </c>
      <c r="N457" t="n">
        <v>0</v>
      </c>
      <c r="O457" t="n">
        <v>0</v>
      </c>
      <c r="P457" t="n">
        <v>0</v>
      </c>
      <c r="Q457" t="n">
        <v>0</v>
      </c>
      <c r="R457" s="2" t="inlineStr"/>
    </row>
    <row r="458" ht="15" customHeight="1">
      <c r="A458" t="inlineStr">
        <is>
          <t>A 1637-2021</t>
        </is>
      </c>
      <c r="B458" s="1" t="n">
        <v>44209</v>
      </c>
      <c r="C458" s="1" t="n">
        <v>45475</v>
      </c>
      <c r="D458" t="inlineStr">
        <is>
          <t>STOCKHOLMS LÄN</t>
        </is>
      </c>
      <c r="E458" t="inlineStr">
        <is>
          <t>NORRTÄLJE</t>
        </is>
      </c>
      <c r="G458" t="n">
        <v>1.6</v>
      </c>
      <c r="H458" t="n">
        <v>0</v>
      </c>
      <c r="I458" t="n">
        <v>0</v>
      </c>
      <c r="J458" t="n">
        <v>0</v>
      </c>
      <c r="K458" t="n">
        <v>0</v>
      </c>
      <c r="L458" t="n">
        <v>0</v>
      </c>
      <c r="M458" t="n">
        <v>0</v>
      </c>
      <c r="N458" t="n">
        <v>0</v>
      </c>
      <c r="O458" t="n">
        <v>0</v>
      </c>
      <c r="P458" t="n">
        <v>0</v>
      </c>
      <c r="Q458" t="n">
        <v>0</v>
      </c>
      <c r="R458" s="2" t="inlineStr"/>
    </row>
    <row r="459" ht="15" customHeight="1">
      <c r="A459" t="inlineStr">
        <is>
          <t>A 1970-2021</t>
        </is>
      </c>
      <c r="B459" s="1" t="n">
        <v>44210</v>
      </c>
      <c r="C459" s="1" t="n">
        <v>45475</v>
      </c>
      <c r="D459" t="inlineStr">
        <is>
          <t>STOCKHOLMS LÄN</t>
        </is>
      </c>
      <c r="E459" t="inlineStr">
        <is>
          <t>NORRTÄLJE</t>
        </is>
      </c>
      <c r="G459" t="n">
        <v>3.1</v>
      </c>
      <c r="H459" t="n">
        <v>0</v>
      </c>
      <c r="I459" t="n">
        <v>0</v>
      </c>
      <c r="J459" t="n">
        <v>0</v>
      </c>
      <c r="K459" t="n">
        <v>0</v>
      </c>
      <c r="L459" t="n">
        <v>0</v>
      </c>
      <c r="M459" t="n">
        <v>0</v>
      </c>
      <c r="N459" t="n">
        <v>0</v>
      </c>
      <c r="O459" t="n">
        <v>0</v>
      </c>
      <c r="P459" t="n">
        <v>0</v>
      </c>
      <c r="Q459" t="n">
        <v>0</v>
      </c>
      <c r="R459" s="2" t="inlineStr"/>
    </row>
    <row r="460" ht="15" customHeight="1">
      <c r="A460" t="inlineStr">
        <is>
          <t>A 2447-2021</t>
        </is>
      </c>
      <c r="B460" s="1" t="n">
        <v>44214</v>
      </c>
      <c r="C460" s="1" t="n">
        <v>45475</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2976-2021</t>
        </is>
      </c>
      <c r="B461" s="1" t="n">
        <v>44216</v>
      </c>
      <c r="C461" s="1" t="n">
        <v>45475</v>
      </c>
      <c r="D461" t="inlineStr">
        <is>
          <t>STOCKHOLMS LÄN</t>
        </is>
      </c>
      <c r="E461" t="inlineStr">
        <is>
          <t>NORRTÄLJE</t>
        </is>
      </c>
      <c r="G461" t="n">
        <v>0.8</v>
      </c>
      <c r="H461" t="n">
        <v>0</v>
      </c>
      <c r="I461" t="n">
        <v>0</v>
      </c>
      <c r="J461" t="n">
        <v>0</v>
      </c>
      <c r="K461" t="n">
        <v>0</v>
      </c>
      <c r="L461" t="n">
        <v>0</v>
      </c>
      <c r="M461" t="n">
        <v>0</v>
      </c>
      <c r="N461" t="n">
        <v>0</v>
      </c>
      <c r="O461" t="n">
        <v>0</v>
      </c>
      <c r="P461" t="n">
        <v>0</v>
      </c>
      <c r="Q461" t="n">
        <v>0</v>
      </c>
      <c r="R461" s="2" t="inlineStr"/>
    </row>
    <row r="462" ht="15" customHeight="1">
      <c r="A462" t="inlineStr">
        <is>
          <t>A 3143-2021</t>
        </is>
      </c>
      <c r="B462" s="1" t="n">
        <v>44217</v>
      </c>
      <c r="C462" s="1" t="n">
        <v>45475</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3386-2021</t>
        </is>
      </c>
      <c r="B463" s="1" t="n">
        <v>44218</v>
      </c>
      <c r="C463" s="1" t="n">
        <v>45475</v>
      </c>
      <c r="D463" t="inlineStr">
        <is>
          <t>STOCKHOLMS LÄN</t>
        </is>
      </c>
      <c r="E463" t="inlineStr">
        <is>
          <t>NORRTÄLJE</t>
        </is>
      </c>
      <c r="G463" t="n">
        <v>8</v>
      </c>
      <c r="H463" t="n">
        <v>0</v>
      </c>
      <c r="I463" t="n">
        <v>0</v>
      </c>
      <c r="J463" t="n">
        <v>0</v>
      </c>
      <c r="K463" t="n">
        <v>0</v>
      </c>
      <c r="L463" t="n">
        <v>0</v>
      </c>
      <c r="M463" t="n">
        <v>0</v>
      </c>
      <c r="N463" t="n">
        <v>0</v>
      </c>
      <c r="O463" t="n">
        <v>0</v>
      </c>
      <c r="P463" t="n">
        <v>0</v>
      </c>
      <c r="Q463" t="n">
        <v>0</v>
      </c>
      <c r="R463" s="2" t="inlineStr"/>
    </row>
    <row r="464" ht="15" customHeight="1">
      <c r="A464" t="inlineStr">
        <is>
          <t>A 4634-2021</t>
        </is>
      </c>
      <c r="B464" s="1" t="n">
        <v>44224</v>
      </c>
      <c r="C464" s="1" t="n">
        <v>45475</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4632-2021</t>
        </is>
      </c>
      <c r="B465" s="1" t="n">
        <v>44224</v>
      </c>
      <c r="C465" s="1" t="n">
        <v>45475</v>
      </c>
      <c r="D465" t="inlineStr">
        <is>
          <t>STOCKHOLMS LÄN</t>
        </is>
      </c>
      <c r="E465" t="inlineStr">
        <is>
          <t>NORRTÄLJE</t>
        </is>
      </c>
      <c r="G465" t="n">
        <v>1.7</v>
      </c>
      <c r="H465" t="n">
        <v>0</v>
      </c>
      <c r="I465" t="n">
        <v>0</v>
      </c>
      <c r="J465" t="n">
        <v>0</v>
      </c>
      <c r="K465" t="n">
        <v>0</v>
      </c>
      <c r="L465" t="n">
        <v>0</v>
      </c>
      <c r="M465" t="n">
        <v>0</v>
      </c>
      <c r="N465" t="n">
        <v>0</v>
      </c>
      <c r="O465" t="n">
        <v>0</v>
      </c>
      <c r="P465" t="n">
        <v>0</v>
      </c>
      <c r="Q465" t="n">
        <v>0</v>
      </c>
      <c r="R465" s="2" t="inlineStr"/>
    </row>
    <row r="466" ht="15" customHeight="1">
      <c r="A466" t="inlineStr">
        <is>
          <t>A 5037-2021</t>
        </is>
      </c>
      <c r="B466" s="1" t="n">
        <v>44228</v>
      </c>
      <c r="C466" s="1" t="n">
        <v>45475</v>
      </c>
      <c r="D466" t="inlineStr">
        <is>
          <t>STOCKHOLMS LÄN</t>
        </is>
      </c>
      <c r="E466" t="inlineStr">
        <is>
          <t>NORRTÄLJE</t>
        </is>
      </c>
      <c r="F466" t="inlineStr">
        <is>
          <t>Holmen skog AB</t>
        </is>
      </c>
      <c r="G466" t="n">
        <v>3.8</v>
      </c>
      <c r="H466" t="n">
        <v>0</v>
      </c>
      <c r="I466" t="n">
        <v>0</v>
      </c>
      <c r="J466" t="n">
        <v>0</v>
      </c>
      <c r="K466" t="n">
        <v>0</v>
      </c>
      <c r="L466" t="n">
        <v>0</v>
      </c>
      <c r="M466" t="n">
        <v>0</v>
      </c>
      <c r="N466" t="n">
        <v>0</v>
      </c>
      <c r="O466" t="n">
        <v>0</v>
      </c>
      <c r="P466" t="n">
        <v>0</v>
      </c>
      <c r="Q466" t="n">
        <v>0</v>
      </c>
      <c r="R466" s="2" t="inlineStr"/>
    </row>
    <row r="467" ht="15" customHeight="1">
      <c r="A467" t="inlineStr">
        <is>
          <t>A 5562-2021</t>
        </is>
      </c>
      <c r="B467" s="1" t="n">
        <v>44230</v>
      </c>
      <c r="C467" s="1" t="n">
        <v>45475</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5566-2021</t>
        </is>
      </c>
      <c r="B468" s="1" t="n">
        <v>44230</v>
      </c>
      <c r="C468" s="1" t="n">
        <v>45475</v>
      </c>
      <c r="D468" t="inlineStr">
        <is>
          <t>STOCKHOLMS LÄN</t>
        </is>
      </c>
      <c r="E468" t="inlineStr">
        <is>
          <t>NORRTÄLJE</t>
        </is>
      </c>
      <c r="G468" t="n">
        <v>3.1</v>
      </c>
      <c r="H468" t="n">
        <v>0</v>
      </c>
      <c r="I468" t="n">
        <v>0</v>
      </c>
      <c r="J468" t="n">
        <v>0</v>
      </c>
      <c r="K468" t="n">
        <v>0</v>
      </c>
      <c r="L468" t="n">
        <v>0</v>
      </c>
      <c r="M468" t="n">
        <v>0</v>
      </c>
      <c r="N468" t="n">
        <v>0</v>
      </c>
      <c r="O468" t="n">
        <v>0</v>
      </c>
      <c r="P468" t="n">
        <v>0</v>
      </c>
      <c r="Q468" t="n">
        <v>0</v>
      </c>
      <c r="R468" s="2" t="inlineStr"/>
    </row>
    <row r="469" ht="15" customHeight="1">
      <c r="A469" t="inlineStr">
        <is>
          <t>A 5950-2021</t>
        </is>
      </c>
      <c r="B469" s="1" t="n">
        <v>44231</v>
      </c>
      <c r="C469" s="1" t="n">
        <v>45475</v>
      </c>
      <c r="D469" t="inlineStr">
        <is>
          <t>STOCKHOLMS LÄN</t>
        </is>
      </c>
      <c r="E469" t="inlineStr">
        <is>
          <t>NORRTÄLJE</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6049-2021</t>
        </is>
      </c>
      <c r="B470" s="1" t="n">
        <v>44231</v>
      </c>
      <c r="C470" s="1" t="n">
        <v>45475</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7903-2021</t>
        </is>
      </c>
      <c r="B471" s="1" t="n">
        <v>44243</v>
      </c>
      <c r="C471" s="1" t="n">
        <v>45475</v>
      </c>
      <c r="D471" t="inlineStr">
        <is>
          <t>STOCKHOLMS LÄN</t>
        </is>
      </c>
      <c r="E471" t="inlineStr">
        <is>
          <t>NORRTÄLJE</t>
        </is>
      </c>
      <c r="G471" t="n">
        <v>3.5</v>
      </c>
      <c r="H471" t="n">
        <v>0</v>
      </c>
      <c r="I471" t="n">
        <v>0</v>
      </c>
      <c r="J471" t="n">
        <v>0</v>
      </c>
      <c r="K471" t="n">
        <v>0</v>
      </c>
      <c r="L471" t="n">
        <v>0</v>
      </c>
      <c r="M471" t="n">
        <v>0</v>
      </c>
      <c r="N471" t="n">
        <v>0</v>
      </c>
      <c r="O471" t="n">
        <v>0</v>
      </c>
      <c r="P471" t="n">
        <v>0</v>
      </c>
      <c r="Q471" t="n">
        <v>0</v>
      </c>
      <c r="R471" s="2" t="inlineStr"/>
    </row>
    <row r="472" ht="15" customHeight="1">
      <c r="A472" t="inlineStr">
        <is>
          <t>A 7999-2021</t>
        </is>
      </c>
      <c r="B472" s="1" t="n">
        <v>44243</v>
      </c>
      <c r="C472" s="1" t="n">
        <v>45475</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8338-2021</t>
        </is>
      </c>
      <c r="B473" s="1" t="n">
        <v>44244</v>
      </c>
      <c r="C473" s="1" t="n">
        <v>45475</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9467-2021</t>
        </is>
      </c>
      <c r="B474" s="1" t="n">
        <v>44251</v>
      </c>
      <c r="C474" s="1" t="n">
        <v>45475</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9469-2021</t>
        </is>
      </c>
      <c r="B475" s="1" t="n">
        <v>44251</v>
      </c>
      <c r="C475" s="1" t="n">
        <v>45475</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9446-2021</t>
        </is>
      </c>
      <c r="B476" s="1" t="n">
        <v>44251</v>
      </c>
      <c r="C476" s="1" t="n">
        <v>45475</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9719-2021</t>
        </is>
      </c>
      <c r="B477" s="1" t="n">
        <v>44252</v>
      </c>
      <c r="C477" s="1" t="n">
        <v>45475</v>
      </c>
      <c r="D477" t="inlineStr">
        <is>
          <t>STOCKHOLMS LÄN</t>
        </is>
      </c>
      <c r="E477" t="inlineStr">
        <is>
          <t>NORRTÄLJE</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9703-2021</t>
        </is>
      </c>
      <c r="B478" s="1" t="n">
        <v>44252</v>
      </c>
      <c r="C478" s="1" t="n">
        <v>45475</v>
      </c>
      <c r="D478" t="inlineStr">
        <is>
          <t>STOCKHOLMS LÄN</t>
        </is>
      </c>
      <c r="E478" t="inlineStr">
        <is>
          <t>NORRTÄLJE</t>
        </is>
      </c>
      <c r="G478" t="n">
        <v>3.4</v>
      </c>
      <c r="H478" t="n">
        <v>0</v>
      </c>
      <c r="I478" t="n">
        <v>0</v>
      </c>
      <c r="J478" t="n">
        <v>0</v>
      </c>
      <c r="K478" t="n">
        <v>0</v>
      </c>
      <c r="L478" t="n">
        <v>0</v>
      </c>
      <c r="M478" t="n">
        <v>0</v>
      </c>
      <c r="N478" t="n">
        <v>0</v>
      </c>
      <c r="O478" t="n">
        <v>0</v>
      </c>
      <c r="P478" t="n">
        <v>0</v>
      </c>
      <c r="Q478" t="n">
        <v>0</v>
      </c>
      <c r="R478" s="2" t="inlineStr"/>
    </row>
    <row r="479" ht="15" customHeight="1">
      <c r="A479" t="inlineStr">
        <is>
          <t>A 10687-2021</t>
        </is>
      </c>
      <c r="B479" s="1" t="n">
        <v>44258</v>
      </c>
      <c r="C479" s="1" t="n">
        <v>45475</v>
      </c>
      <c r="D479" t="inlineStr">
        <is>
          <t>STOCKHOLMS LÄN</t>
        </is>
      </c>
      <c r="E479" t="inlineStr">
        <is>
          <t>NORRTÄLJE</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10684-2021</t>
        </is>
      </c>
      <c r="B480" s="1" t="n">
        <v>44258</v>
      </c>
      <c r="C480" s="1" t="n">
        <v>45475</v>
      </c>
      <c r="D480" t="inlineStr">
        <is>
          <t>STOCKHOLMS LÄN</t>
        </is>
      </c>
      <c r="E480" t="inlineStr">
        <is>
          <t>NORRTÄLJE</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11122-2021</t>
        </is>
      </c>
      <c r="B481" s="1" t="n">
        <v>44260</v>
      </c>
      <c r="C481" s="1" t="n">
        <v>45475</v>
      </c>
      <c r="D481" t="inlineStr">
        <is>
          <t>STOCKHOLMS LÄN</t>
        </is>
      </c>
      <c r="E481" t="inlineStr">
        <is>
          <t>NORRTÄLJE</t>
        </is>
      </c>
      <c r="F481" t="inlineStr">
        <is>
          <t>Holmen skog AB</t>
        </is>
      </c>
      <c r="G481" t="n">
        <v>2.1</v>
      </c>
      <c r="H481" t="n">
        <v>0</v>
      </c>
      <c r="I481" t="n">
        <v>0</v>
      </c>
      <c r="J481" t="n">
        <v>0</v>
      </c>
      <c r="K481" t="n">
        <v>0</v>
      </c>
      <c r="L481" t="n">
        <v>0</v>
      </c>
      <c r="M481" t="n">
        <v>0</v>
      </c>
      <c r="N481" t="n">
        <v>0</v>
      </c>
      <c r="O481" t="n">
        <v>0</v>
      </c>
      <c r="P481" t="n">
        <v>0</v>
      </c>
      <c r="Q481" t="n">
        <v>0</v>
      </c>
      <c r="R481" s="2" t="inlineStr"/>
    </row>
    <row r="482" ht="15" customHeight="1">
      <c r="A482" t="inlineStr">
        <is>
          <t>A 11438-2021</t>
        </is>
      </c>
      <c r="B482" s="1" t="n">
        <v>44263</v>
      </c>
      <c r="C482" s="1" t="n">
        <v>45475</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11988-2021</t>
        </is>
      </c>
      <c r="B483" s="1" t="n">
        <v>44266</v>
      </c>
      <c r="C483" s="1" t="n">
        <v>45475</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12031-2021</t>
        </is>
      </c>
      <c r="B484" s="1" t="n">
        <v>44266</v>
      </c>
      <c r="C484" s="1" t="n">
        <v>45475</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12111-2021</t>
        </is>
      </c>
      <c r="B485" s="1" t="n">
        <v>44266</v>
      </c>
      <c r="C485" s="1" t="n">
        <v>45475</v>
      </c>
      <c r="D485" t="inlineStr">
        <is>
          <t>STOCKHOLMS LÄN</t>
        </is>
      </c>
      <c r="E485" t="inlineStr">
        <is>
          <t>NORRTÄLJE</t>
        </is>
      </c>
      <c r="G485" t="n">
        <v>5.5</v>
      </c>
      <c r="H485" t="n">
        <v>0</v>
      </c>
      <c r="I485" t="n">
        <v>0</v>
      </c>
      <c r="J485" t="n">
        <v>0</v>
      </c>
      <c r="K485" t="n">
        <v>0</v>
      </c>
      <c r="L485" t="n">
        <v>0</v>
      </c>
      <c r="M485" t="n">
        <v>0</v>
      </c>
      <c r="N485" t="n">
        <v>0</v>
      </c>
      <c r="O485" t="n">
        <v>0</v>
      </c>
      <c r="P485" t="n">
        <v>0</v>
      </c>
      <c r="Q485" t="n">
        <v>0</v>
      </c>
      <c r="R485" s="2" t="inlineStr"/>
    </row>
    <row r="486" ht="15" customHeight="1">
      <c r="A486" t="inlineStr">
        <is>
          <t>A 12132-2021</t>
        </is>
      </c>
      <c r="B486" s="1" t="n">
        <v>44266</v>
      </c>
      <c r="C486" s="1" t="n">
        <v>45475</v>
      </c>
      <c r="D486" t="inlineStr">
        <is>
          <t>STOCKHOLMS LÄN</t>
        </is>
      </c>
      <c r="E486" t="inlineStr">
        <is>
          <t>NORRTÄLJE</t>
        </is>
      </c>
      <c r="G486" t="n">
        <v>4</v>
      </c>
      <c r="H486" t="n">
        <v>0</v>
      </c>
      <c r="I486" t="n">
        <v>0</v>
      </c>
      <c r="J486" t="n">
        <v>0</v>
      </c>
      <c r="K486" t="n">
        <v>0</v>
      </c>
      <c r="L486" t="n">
        <v>0</v>
      </c>
      <c r="M486" t="n">
        <v>0</v>
      </c>
      <c r="N486" t="n">
        <v>0</v>
      </c>
      <c r="O486" t="n">
        <v>0</v>
      </c>
      <c r="P486" t="n">
        <v>0</v>
      </c>
      <c r="Q486" t="n">
        <v>0</v>
      </c>
      <c r="R486" s="2" t="inlineStr"/>
    </row>
    <row r="487" ht="15" customHeight="1">
      <c r="A487" t="inlineStr">
        <is>
          <t>A 12564-2021</t>
        </is>
      </c>
      <c r="B487" s="1" t="n">
        <v>44270</v>
      </c>
      <c r="C487" s="1" t="n">
        <v>45475</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12779-2021</t>
        </is>
      </c>
      <c r="B488" s="1" t="n">
        <v>44270</v>
      </c>
      <c r="C488" s="1" t="n">
        <v>45475</v>
      </c>
      <c r="D488" t="inlineStr">
        <is>
          <t>STOCKHOLMS LÄN</t>
        </is>
      </c>
      <c r="E488" t="inlineStr">
        <is>
          <t>NORRTÄLJE</t>
        </is>
      </c>
      <c r="G488" t="n">
        <v>10.8</v>
      </c>
      <c r="H488" t="n">
        <v>0</v>
      </c>
      <c r="I488" t="n">
        <v>0</v>
      </c>
      <c r="J488" t="n">
        <v>0</v>
      </c>
      <c r="K488" t="n">
        <v>0</v>
      </c>
      <c r="L488" t="n">
        <v>0</v>
      </c>
      <c r="M488" t="n">
        <v>0</v>
      </c>
      <c r="N488" t="n">
        <v>0</v>
      </c>
      <c r="O488" t="n">
        <v>0</v>
      </c>
      <c r="P488" t="n">
        <v>0</v>
      </c>
      <c r="Q488" t="n">
        <v>0</v>
      </c>
      <c r="R488" s="2" t="inlineStr"/>
    </row>
    <row r="489" ht="15" customHeight="1">
      <c r="A489" t="inlineStr">
        <is>
          <t>A 12782-2021</t>
        </is>
      </c>
      <c r="B489" s="1" t="n">
        <v>44270</v>
      </c>
      <c r="C489" s="1" t="n">
        <v>45475</v>
      </c>
      <c r="D489" t="inlineStr">
        <is>
          <t>STOCKHOLMS LÄN</t>
        </is>
      </c>
      <c r="E489" t="inlineStr">
        <is>
          <t>NORRTÄLJE</t>
        </is>
      </c>
      <c r="G489" t="n">
        <v>3.8</v>
      </c>
      <c r="H489" t="n">
        <v>0</v>
      </c>
      <c r="I489" t="n">
        <v>0</v>
      </c>
      <c r="J489" t="n">
        <v>0</v>
      </c>
      <c r="K489" t="n">
        <v>0</v>
      </c>
      <c r="L489" t="n">
        <v>0</v>
      </c>
      <c r="M489" t="n">
        <v>0</v>
      </c>
      <c r="N489" t="n">
        <v>0</v>
      </c>
      <c r="O489" t="n">
        <v>0</v>
      </c>
      <c r="P489" t="n">
        <v>0</v>
      </c>
      <c r="Q489" t="n">
        <v>0</v>
      </c>
      <c r="R489" s="2" t="inlineStr"/>
    </row>
    <row r="490" ht="15" customHeight="1">
      <c r="A490" t="inlineStr">
        <is>
          <t>A 13051-2021</t>
        </is>
      </c>
      <c r="B490" s="1" t="n">
        <v>44272</v>
      </c>
      <c r="C490" s="1" t="n">
        <v>45475</v>
      </c>
      <c r="D490" t="inlineStr">
        <is>
          <t>STOCKHOLMS LÄN</t>
        </is>
      </c>
      <c r="E490" t="inlineStr">
        <is>
          <t>NORRTÄLJE</t>
        </is>
      </c>
      <c r="G490" t="n">
        <v>9.1</v>
      </c>
      <c r="H490" t="n">
        <v>0</v>
      </c>
      <c r="I490" t="n">
        <v>0</v>
      </c>
      <c r="J490" t="n">
        <v>0</v>
      </c>
      <c r="K490" t="n">
        <v>0</v>
      </c>
      <c r="L490" t="n">
        <v>0</v>
      </c>
      <c r="M490" t="n">
        <v>0</v>
      </c>
      <c r="N490" t="n">
        <v>0</v>
      </c>
      <c r="O490" t="n">
        <v>0</v>
      </c>
      <c r="P490" t="n">
        <v>0</v>
      </c>
      <c r="Q490" t="n">
        <v>0</v>
      </c>
      <c r="R490" s="2" t="inlineStr"/>
    </row>
    <row r="491" ht="15" customHeight="1">
      <c r="A491" t="inlineStr">
        <is>
          <t>A 13148-2021</t>
        </is>
      </c>
      <c r="B491" s="1" t="n">
        <v>44272</v>
      </c>
      <c r="C491" s="1" t="n">
        <v>45475</v>
      </c>
      <c r="D491" t="inlineStr">
        <is>
          <t>STOCKHOLMS LÄN</t>
        </is>
      </c>
      <c r="E491" t="inlineStr">
        <is>
          <t>NORRTÄLJE</t>
        </is>
      </c>
      <c r="G491" t="n">
        <v>12.4</v>
      </c>
      <c r="H491" t="n">
        <v>0</v>
      </c>
      <c r="I491" t="n">
        <v>0</v>
      </c>
      <c r="J491" t="n">
        <v>0</v>
      </c>
      <c r="K491" t="n">
        <v>0</v>
      </c>
      <c r="L491" t="n">
        <v>0</v>
      </c>
      <c r="M491" t="n">
        <v>0</v>
      </c>
      <c r="N491" t="n">
        <v>0</v>
      </c>
      <c r="O491" t="n">
        <v>0</v>
      </c>
      <c r="P491" t="n">
        <v>0</v>
      </c>
      <c r="Q491" t="n">
        <v>0</v>
      </c>
      <c r="R491" s="2" t="inlineStr"/>
    </row>
    <row r="492" ht="15" customHeight="1">
      <c r="A492" t="inlineStr">
        <is>
          <t>A 13736-2021</t>
        </is>
      </c>
      <c r="B492" s="1" t="n">
        <v>44274</v>
      </c>
      <c r="C492" s="1" t="n">
        <v>45475</v>
      </c>
      <c r="D492" t="inlineStr">
        <is>
          <t>STOCKHOLMS LÄN</t>
        </is>
      </c>
      <c r="E492" t="inlineStr">
        <is>
          <t>NORRTÄLJE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13752-2021</t>
        </is>
      </c>
      <c r="B493" s="1" t="n">
        <v>44274</v>
      </c>
      <c r="C493" s="1" t="n">
        <v>45475</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14381-2021</t>
        </is>
      </c>
      <c r="B494" s="1" t="n">
        <v>44279</v>
      </c>
      <c r="C494" s="1" t="n">
        <v>45475</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14922-2021</t>
        </is>
      </c>
      <c r="B495" s="1" t="n">
        <v>44281</v>
      </c>
      <c r="C495" s="1" t="n">
        <v>45475</v>
      </c>
      <c r="D495" t="inlineStr">
        <is>
          <t>STOCKHOLMS LÄN</t>
        </is>
      </c>
      <c r="E495" t="inlineStr">
        <is>
          <t>NORRTÄLJE</t>
        </is>
      </c>
      <c r="G495" t="n">
        <v>4.8</v>
      </c>
      <c r="H495" t="n">
        <v>0</v>
      </c>
      <c r="I495" t="n">
        <v>0</v>
      </c>
      <c r="J495" t="n">
        <v>0</v>
      </c>
      <c r="K495" t="n">
        <v>0</v>
      </c>
      <c r="L495" t="n">
        <v>0</v>
      </c>
      <c r="M495" t="n">
        <v>0</v>
      </c>
      <c r="N495" t="n">
        <v>0</v>
      </c>
      <c r="O495" t="n">
        <v>0</v>
      </c>
      <c r="P495" t="n">
        <v>0</v>
      </c>
      <c r="Q495" t="n">
        <v>0</v>
      </c>
      <c r="R495" s="2" t="inlineStr"/>
    </row>
    <row r="496" ht="15" customHeight="1">
      <c r="A496" t="inlineStr">
        <is>
          <t>A 14933-2021</t>
        </is>
      </c>
      <c r="B496" s="1" t="n">
        <v>44281</v>
      </c>
      <c r="C496" s="1" t="n">
        <v>45475</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15289-2021</t>
        </is>
      </c>
      <c r="B497" s="1" t="n">
        <v>44284</v>
      </c>
      <c r="C497" s="1" t="n">
        <v>45475</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15441-2021</t>
        </is>
      </c>
      <c r="B498" s="1" t="n">
        <v>44284</v>
      </c>
      <c r="C498" s="1" t="n">
        <v>45475</v>
      </c>
      <c r="D498" t="inlineStr">
        <is>
          <t>STOCKHOLMS LÄN</t>
        </is>
      </c>
      <c r="E498" t="inlineStr">
        <is>
          <t>NORRTÄLJE</t>
        </is>
      </c>
      <c r="G498" t="n">
        <v>27</v>
      </c>
      <c r="H498" t="n">
        <v>0</v>
      </c>
      <c r="I498" t="n">
        <v>0</v>
      </c>
      <c r="J498" t="n">
        <v>0</v>
      </c>
      <c r="K498" t="n">
        <v>0</v>
      </c>
      <c r="L498" t="n">
        <v>0</v>
      </c>
      <c r="M498" t="n">
        <v>0</v>
      </c>
      <c r="N498" t="n">
        <v>0</v>
      </c>
      <c r="O498" t="n">
        <v>0</v>
      </c>
      <c r="P498" t="n">
        <v>0</v>
      </c>
      <c r="Q498" t="n">
        <v>0</v>
      </c>
      <c r="R498" s="2" t="inlineStr"/>
    </row>
    <row r="499" ht="15" customHeight="1">
      <c r="A499" t="inlineStr">
        <is>
          <t>A 15552-2021</t>
        </is>
      </c>
      <c r="B499" s="1" t="n">
        <v>44285</v>
      </c>
      <c r="C499" s="1" t="n">
        <v>45475</v>
      </c>
      <c r="D499" t="inlineStr">
        <is>
          <t>STOCKHOLMS LÄN</t>
        </is>
      </c>
      <c r="E499" t="inlineStr">
        <is>
          <t>NORRTÄLJE</t>
        </is>
      </c>
      <c r="G499" t="n">
        <v>10</v>
      </c>
      <c r="H499" t="n">
        <v>0</v>
      </c>
      <c r="I499" t="n">
        <v>0</v>
      </c>
      <c r="J499" t="n">
        <v>0</v>
      </c>
      <c r="K499" t="n">
        <v>0</v>
      </c>
      <c r="L499" t="n">
        <v>0</v>
      </c>
      <c r="M499" t="n">
        <v>0</v>
      </c>
      <c r="N499" t="n">
        <v>0</v>
      </c>
      <c r="O499" t="n">
        <v>0</v>
      </c>
      <c r="P499" t="n">
        <v>0</v>
      </c>
      <c r="Q499" t="n">
        <v>0</v>
      </c>
      <c r="R499" s="2" t="inlineStr"/>
    </row>
    <row r="500" ht="15" customHeight="1">
      <c r="A500" t="inlineStr">
        <is>
          <t>A 16668-2021</t>
        </is>
      </c>
      <c r="B500" s="1" t="n">
        <v>44294</v>
      </c>
      <c r="C500" s="1" t="n">
        <v>45475</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17460-2021</t>
        </is>
      </c>
      <c r="B501" s="1" t="n">
        <v>44299</v>
      </c>
      <c r="C501" s="1" t="n">
        <v>45475</v>
      </c>
      <c r="D501" t="inlineStr">
        <is>
          <t>STOCKHOLMS LÄN</t>
        </is>
      </c>
      <c r="E501" t="inlineStr">
        <is>
          <t>NORRTÄLJE</t>
        </is>
      </c>
      <c r="G501" t="n">
        <v>3.2</v>
      </c>
      <c r="H501" t="n">
        <v>0</v>
      </c>
      <c r="I501" t="n">
        <v>0</v>
      </c>
      <c r="J501" t="n">
        <v>0</v>
      </c>
      <c r="K501" t="n">
        <v>0</v>
      </c>
      <c r="L501" t="n">
        <v>0</v>
      </c>
      <c r="M501" t="n">
        <v>0</v>
      </c>
      <c r="N501" t="n">
        <v>0</v>
      </c>
      <c r="O501" t="n">
        <v>0</v>
      </c>
      <c r="P501" t="n">
        <v>0</v>
      </c>
      <c r="Q501" t="n">
        <v>0</v>
      </c>
      <c r="R501" s="2" t="inlineStr"/>
    </row>
    <row r="502" ht="15" customHeight="1">
      <c r="A502" t="inlineStr">
        <is>
          <t>A 17703-2021</t>
        </is>
      </c>
      <c r="B502" s="1" t="n">
        <v>44300</v>
      </c>
      <c r="C502" s="1" t="n">
        <v>45475</v>
      </c>
      <c r="D502" t="inlineStr">
        <is>
          <t>STOCKHOLMS LÄN</t>
        </is>
      </c>
      <c r="E502" t="inlineStr">
        <is>
          <t>NORRTÄLJE</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18580-2021</t>
        </is>
      </c>
      <c r="B503" s="1" t="n">
        <v>44306</v>
      </c>
      <c r="C503" s="1" t="n">
        <v>45475</v>
      </c>
      <c r="D503" t="inlineStr">
        <is>
          <t>STOCKHOLMS LÄN</t>
        </is>
      </c>
      <c r="E503" t="inlineStr">
        <is>
          <t>NORRTÄLJE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18609-2021</t>
        </is>
      </c>
      <c r="B504" s="1" t="n">
        <v>44306</v>
      </c>
      <c r="C504" s="1" t="n">
        <v>45475</v>
      </c>
      <c r="D504" t="inlineStr">
        <is>
          <t>STOCKHOLMS LÄN</t>
        </is>
      </c>
      <c r="E504" t="inlineStr">
        <is>
          <t>NORRTÄLJE</t>
        </is>
      </c>
      <c r="G504" t="n">
        <v>9.5</v>
      </c>
      <c r="H504" t="n">
        <v>0</v>
      </c>
      <c r="I504" t="n">
        <v>0</v>
      </c>
      <c r="J504" t="n">
        <v>0</v>
      </c>
      <c r="K504" t="n">
        <v>0</v>
      </c>
      <c r="L504" t="n">
        <v>0</v>
      </c>
      <c r="M504" t="n">
        <v>0</v>
      </c>
      <c r="N504" t="n">
        <v>0</v>
      </c>
      <c r="O504" t="n">
        <v>0</v>
      </c>
      <c r="P504" t="n">
        <v>0</v>
      </c>
      <c r="Q504" t="n">
        <v>0</v>
      </c>
      <c r="R504" s="2" t="inlineStr"/>
    </row>
    <row r="505" ht="15" customHeight="1">
      <c r="A505" t="inlineStr">
        <is>
          <t>A 18539-2021</t>
        </is>
      </c>
      <c r="B505" s="1" t="n">
        <v>44306</v>
      </c>
      <c r="C505" s="1" t="n">
        <v>45475</v>
      </c>
      <c r="D505" t="inlineStr">
        <is>
          <t>STOCKHOLMS LÄN</t>
        </is>
      </c>
      <c r="E505" t="inlineStr">
        <is>
          <t>NORRTÄLJE</t>
        </is>
      </c>
      <c r="F505" t="inlineStr">
        <is>
          <t>Holmen skog AB</t>
        </is>
      </c>
      <c r="G505" t="n">
        <v>5.5</v>
      </c>
      <c r="H505" t="n">
        <v>0</v>
      </c>
      <c r="I505" t="n">
        <v>0</v>
      </c>
      <c r="J505" t="n">
        <v>0</v>
      </c>
      <c r="K505" t="n">
        <v>0</v>
      </c>
      <c r="L505" t="n">
        <v>0</v>
      </c>
      <c r="M505" t="n">
        <v>0</v>
      </c>
      <c r="N505" t="n">
        <v>0</v>
      </c>
      <c r="O505" t="n">
        <v>0</v>
      </c>
      <c r="P505" t="n">
        <v>0</v>
      </c>
      <c r="Q505" t="n">
        <v>0</v>
      </c>
      <c r="R505" s="2" t="inlineStr"/>
    </row>
    <row r="506" ht="15" customHeight="1">
      <c r="A506" t="inlineStr">
        <is>
          <t>A 18570-2021</t>
        </is>
      </c>
      <c r="B506" s="1" t="n">
        <v>44306</v>
      </c>
      <c r="C506" s="1" t="n">
        <v>45475</v>
      </c>
      <c r="D506" t="inlineStr">
        <is>
          <t>STOCKHOLMS LÄN</t>
        </is>
      </c>
      <c r="E506" t="inlineStr">
        <is>
          <t>NORRTÄLJE</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19283-2021</t>
        </is>
      </c>
      <c r="B507" s="1" t="n">
        <v>44309</v>
      </c>
      <c r="C507" s="1" t="n">
        <v>45475</v>
      </c>
      <c r="D507" t="inlineStr">
        <is>
          <t>STOCKHOLMS LÄN</t>
        </is>
      </c>
      <c r="E507" t="inlineStr">
        <is>
          <t>NORRTÄLJE</t>
        </is>
      </c>
      <c r="F507" t="inlineStr">
        <is>
          <t>Holmen skog AB</t>
        </is>
      </c>
      <c r="G507" t="n">
        <v>0.6</v>
      </c>
      <c r="H507" t="n">
        <v>0</v>
      </c>
      <c r="I507" t="n">
        <v>0</v>
      </c>
      <c r="J507" t="n">
        <v>0</v>
      </c>
      <c r="K507" t="n">
        <v>0</v>
      </c>
      <c r="L507" t="n">
        <v>0</v>
      </c>
      <c r="M507" t="n">
        <v>0</v>
      </c>
      <c r="N507" t="n">
        <v>0</v>
      </c>
      <c r="O507" t="n">
        <v>0</v>
      </c>
      <c r="P507" t="n">
        <v>0</v>
      </c>
      <c r="Q507" t="n">
        <v>0</v>
      </c>
      <c r="R507" s="2" t="inlineStr"/>
    </row>
    <row r="508" ht="15" customHeight="1">
      <c r="A508" t="inlineStr">
        <is>
          <t>A 19400-2021</t>
        </is>
      </c>
      <c r="B508" s="1" t="n">
        <v>44309</v>
      </c>
      <c r="C508" s="1" t="n">
        <v>45475</v>
      </c>
      <c r="D508" t="inlineStr">
        <is>
          <t>STOCKHOLMS LÄN</t>
        </is>
      </c>
      <c r="E508" t="inlineStr">
        <is>
          <t>NORRTÄLJE</t>
        </is>
      </c>
      <c r="F508" t="inlineStr">
        <is>
          <t>Kommuner</t>
        </is>
      </c>
      <c r="G508" t="n">
        <v>2.4</v>
      </c>
      <c r="H508" t="n">
        <v>0</v>
      </c>
      <c r="I508" t="n">
        <v>0</v>
      </c>
      <c r="J508" t="n">
        <v>0</v>
      </c>
      <c r="K508" t="n">
        <v>0</v>
      </c>
      <c r="L508" t="n">
        <v>0</v>
      </c>
      <c r="M508" t="n">
        <v>0</v>
      </c>
      <c r="N508" t="n">
        <v>0</v>
      </c>
      <c r="O508" t="n">
        <v>0</v>
      </c>
      <c r="P508" t="n">
        <v>0</v>
      </c>
      <c r="Q508" t="n">
        <v>0</v>
      </c>
      <c r="R508" s="2" t="inlineStr"/>
    </row>
    <row r="509" ht="15" customHeight="1">
      <c r="A509" t="inlineStr">
        <is>
          <t>A 19307-2021</t>
        </is>
      </c>
      <c r="B509" s="1" t="n">
        <v>44309</v>
      </c>
      <c r="C509" s="1" t="n">
        <v>45475</v>
      </c>
      <c r="D509" t="inlineStr">
        <is>
          <t>STOCKHOLMS LÄN</t>
        </is>
      </c>
      <c r="E509" t="inlineStr">
        <is>
          <t>NORRTÄLJE</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19398-2021</t>
        </is>
      </c>
      <c r="B510" s="1" t="n">
        <v>44309</v>
      </c>
      <c r="C510" s="1" t="n">
        <v>45475</v>
      </c>
      <c r="D510" t="inlineStr">
        <is>
          <t>STOCKHOLMS LÄN</t>
        </is>
      </c>
      <c r="E510" t="inlineStr">
        <is>
          <t>NORRTÄLJE</t>
        </is>
      </c>
      <c r="F510" t="inlineStr">
        <is>
          <t>Kommuner</t>
        </is>
      </c>
      <c r="G510" t="n">
        <v>2.1</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45475</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20473-2021</t>
        </is>
      </c>
      <c r="B512" s="1" t="n">
        <v>44315</v>
      </c>
      <c r="C512" s="1" t="n">
        <v>45475</v>
      </c>
      <c r="D512" t="inlineStr">
        <is>
          <t>STOCKHOLMS LÄN</t>
        </is>
      </c>
      <c r="E512" t="inlineStr">
        <is>
          <t>NORRTÄLJE</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21291-2021</t>
        </is>
      </c>
      <c r="B513" s="1" t="n">
        <v>44319</v>
      </c>
      <c r="C513" s="1" t="n">
        <v>45475</v>
      </c>
      <c r="D513" t="inlineStr">
        <is>
          <t>STOCKHOLMS LÄN</t>
        </is>
      </c>
      <c r="E513" t="inlineStr">
        <is>
          <t>NORRTÄLJE</t>
        </is>
      </c>
      <c r="G513" t="n">
        <v>12.7</v>
      </c>
      <c r="H513" t="n">
        <v>0</v>
      </c>
      <c r="I513" t="n">
        <v>0</v>
      </c>
      <c r="J513" t="n">
        <v>0</v>
      </c>
      <c r="K513" t="n">
        <v>0</v>
      </c>
      <c r="L513" t="n">
        <v>0</v>
      </c>
      <c r="M513" t="n">
        <v>0</v>
      </c>
      <c r="N513" t="n">
        <v>0</v>
      </c>
      <c r="O513" t="n">
        <v>0</v>
      </c>
      <c r="P513" t="n">
        <v>0</v>
      </c>
      <c r="Q513" t="n">
        <v>0</v>
      </c>
      <c r="R513" s="2" t="inlineStr"/>
    </row>
    <row r="514" ht="15" customHeight="1">
      <c r="A514" t="inlineStr">
        <is>
          <t>A 21529-2021</t>
        </is>
      </c>
      <c r="B514" s="1" t="n">
        <v>44321</v>
      </c>
      <c r="C514" s="1" t="n">
        <v>45475</v>
      </c>
      <c r="D514" t="inlineStr">
        <is>
          <t>STOCKHOLMS LÄN</t>
        </is>
      </c>
      <c r="E514" t="inlineStr">
        <is>
          <t>NORRTÄLJE</t>
        </is>
      </c>
      <c r="G514" t="n">
        <v>2.7</v>
      </c>
      <c r="H514" t="n">
        <v>0</v>
      </c>
      <c r="I514" t="n">
        <v>0</v>
      </c>
      <c r="J514" t="n">
        <v>0</v>
      </c>
      <c r="K514" t="n">
        <v>0</v>
      </c>
      <c r="L514" t="n">
        <v>0</v>
      </c>
      <c r="M514" t="n">
        <v>0</v>
      </c>
      <c r="N514" t="n">
        <v>0</v>
      </c>
      <c r="O514" t="n">
        <v>0</v>
      </c>
      <c r="P514" t="n">
        <v>0</v>
      </c>
      <c r="Q514" t="n">
        <v>0</v>
      </c>
      <c r="R514" s="2" t="inlineStr"/>
    </row>
    <row r="515" ht="15" customHeight="1">
      <c r="A515" t="inlineStr">
        <is>
          <t>A 22832-2021</t>
        </is>
      </c>
      <c r="B515" s="1" t="n">
        <v>44325</v>
      </c>
      <c r="C515" s="1" t="n">
        <v>45475</v>
      </c>
      <c r="D515" t="inlineStr">
        <is>
          <t>STOCKHOLMS LÄN</t>
        </is>
      </c>
      <c r="E515" t="inlineStr">
        <is>
          <t>NORRTÄLJE</t>
        </is>
      </c>
      <c r="G515" t="n">
        <v>6.8</v>
      </c>
      <c r="H515" t="n">
        <v>0</v>
      </c>
      <c r="I515" t="n">
        <v>0</v>
      </c>
      <c r="J515" t="n">
        <v>0</v>
      </c>
      <c r="K515" t="n">
        <v>0</v>
      </c>
      <c r="L515" t="n">
        <v>0</v>
      </c>
      <c r="M515" t="n">
        <v>0</v>
      </c>
      <c r="N515" t="n">
        <v>0</v>
      </c>
      <c r="O515" t="n">
        <v>0</v>
      </c>
      <c r="P515" t="n">
        <v>0</v>
      </c>
      <c r="Q515" t="n">
        <v>0</v>
      </c>
      <c r="R515" s="2" t="inlineStr"/>
    </row>
    <row r="516" ht="15" customHeight="1">
      <c r="A516" t="inlineStr">
        <is>
          <t>A 22816-2021</t>
        </is>
      </c>
      <c r="B516" s="1" t="n">
        <v>44325</v>
      </c>
      <c r="C516" s="1" t="n">
        <v>45475</v>
      </c>
      <c r="D516" t="inlineStr">
        <is>
          <t>STOCKHOLMS LÄN</t>
        </is>
      </c>
      <c r="E516" t="inlineStr">
        <is>
          <t>NORRTÄLJE</t>
        </is>
      </c>
      <c r="G516" t="n">
        <v>4.5</v>
      </c>
      <c r="H516" t="n">
        <v>0</v>
      </c>
      <c r="I516" t="n">
        <v>0</v>
      </c>
      <c r="J516" t="n">
        <v>0</v>
      </c>
      <c r="K516" t="n">
        <v>0</v>
      </c>
      <c r="L516" t="n">
        <v>0</v>
      </c>
      <c r="M516" t="n">
        <v>0</v>
      </c>
      <c r="N516" t="n">
        <v>0</v>
      </c>
      <c r="O516" t="n">
        <v>0</v>
      </c>
      <c r="P516" t="n">
        <v>0</v>
      </c>
      <c r="Q516" t="n">
        <v>0</v>
      </c>
      <c r="R516" s="2" t="inlineStr"/>
    </row>
    <row r="517" ht="15" customHeight="1">
      <c r="A517" t="inlineStr">
        <is>
          <t>A 22369-2021</t>
        </is>
      </c>
      <c r="B517" s="1" t="n">
        <v>44326</v>
      </c>
      <c r="C517" s="1" t="n">
        <v>45475</v>
      </c>
      <c r="D517" t="inlineStr">
        <is>
          <t>STOCKHOLMS LÄN</t>
        </is>
      </c>
      <c r="E517" t="inlineStr">
        <is>
          <t>NORRTÄLJE</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22421-2021</t>
        </is>
      </c>
      <c r="B518" s="1" t="n">
        <v>44326</v>
      </c>
      <c r="C518" s="1" t="n">
        <v>45475</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22412-2021</t>
        </is>
      </c>
      <c r="B519" s="1" t="n">
        <v>44326</v>
      </c>
      <c r="C519" s="1" t="n">
        <v>45475</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23123-2021</t>
        </is>
      </c>
      <c r="B520" s="1" t="n">
        <v>44330</v>
      </c>
      <c r="C520" s="1" t="n">
        <v>45475</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23096-2021</t>
        </is>
      </c>
      <c r="B521" s="1" t="n">
        <v>44330</v>
      </c>
      <c r="C521" s="1" t="n">
        <v>45475</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23122-2021</t>
        </is>
      </c>
      <c r="B522" s="1" t="n">
        <v>44330</v>
      </c>
      <c r="C522" s="1" t="n">
        <v>45475</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23453-2021</t>
        </is>
      </c>
      <c r="B523" s="1" t="n">
        <v>44333</v>
      </c>
      <c r="C523" s="1" t="n">
        <v>45475</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24082-2021</t>
        </is>
      </c>
      <c r="B524" s="1" t="n">
        <v>44336</v>
      </c>
      <c r="C524" s="1" t="n">
        <v>45475</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25463-2021</t>
        </is>
      </c>
      <c r="B525" s="1" t="n">
        <v>44342</v>
      </c>
      <c r="C525" s="1" t="n">
        <v>45475</v>
      </c>
      <c r="D525" t="inlineStr">
        <is>
          <t>STOCKHOLMS LÄN</t>
        </is>
      </c>
      <c r="E525" t="inlineStr">
        <is>
          <t>NORRTÄLJE</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27217-2021</t>
        </is>
      </c>
      <c r="B526" s="1" t="n">
        <v>44350</v>
      </c>
      <c r="C526" s="1" t="n">
        <v>45475</v>
      </c>
      <c r="D526" t="inlineStr">
        <is>
          <t>STOCKHOLMS LÄN</t>
        </is>
      </c>
      <c r="E526" t="inlineStr">
        <is>
          <t>NORRTÄLJE</t>
        </is>
      </c>
      <c r="G526" t="n">
        <v>5.5</v>
      </c>
      <c r="H526" t="n">
        <v>0</v>
      </c>
      <c r="I526" t="n">
        <v>0</v>
      </c>
      <c r="J526" t="n">
        <v>0</v>
      </c>
      <c r="K526" t="n">
        <v>0</v>
      </c>
      <c r="L526" t="n">
        <v>0</v>
      </c>
      <c r="M526" t="n">
        <v>0</v>
      </c>
      <c r="N526" t="n">
        <v>0</v>
      </c>
      <c r="O526" t="n">
        <v>0</v>
      </c>
      <c r="P526" t="n">
        <v>0</v>
      </c>
      <c r="Q526" t="n">
        <v>0</v>
      </c>
      <c r="R526" s="2" t="inlineStr"/>
    </row>
    <row r="527" ht="15" customHeight="1">
      <c r="A527" t="inlineStr">
        <is>
          <t>A 27214-2021</t>
        </is>
      </c>
      <c r="B527" s="1" t="n">
        <v>44350</v>
      </c>
      <c r="C527" s="1" t="n">
        <v>45475</v>
      </c>
      <c r="D527" t="inlineStr">
        <is>
          <t>STOCKHOLMS LÄN</t>
        </is>
      </c>
      <c r="E527" t="inlineStr">
        <is>
          <t>NORRTÄLJE</t>
        </is>
      </c>
      <c r="G527" t="n">
        <v>1</v>
      </c>
      <c r="H527" t="n">
        <v>0</v>
      </c>
      <c r="I527" t="n">
        <v>0</v>
      </c>
      <c r="J527" t="n">
        <v>0</v>
      </c>
      <c r="K527" t="n">
        <v>0</v>
      </c>
      <c r="L527" t="n">
        <v>0</v>
      </c>
      <c r="M527" t="n">
        <v>0</v>
      </c>
      <c r="N527" t="n">
        <v>0</v>
      </c>
      <c r="O527" t="n">
        <v>0</v>
      </c>
      <c r="P527" t="n">
        <v>0</v>
      </c>
      <c r="Q527" t="n">
        <v>0</v>
      </c>
      <c r="R527" s="2" t="inlineStr"/>
    </row>
    <row r="528" ht="15" customHeight="1">
      <c r="A528" t="inlineStr">
        <is>
          <t>A 29357-2021</t>
        </is>
      </c>
      <c r="B528" s="1" t="n">
        <v>44361</v>
      </c>
      <c r="C528" s="1" t="n">
        <v>45475</v>
      </c>
      <c r="D528" t="inlineStr">
        <is>
          <t>STOCKHOLMS LÄN</t>
        </is>
      </c>
      <c r="E528" t="inlineStr">
        <is>
          <t>NORRTÄLJE</t>
        </is>
      </c>
      <c r="F528" t="inlineStr">
        <is>
          <t>Holmen skog AB</t>
        </is>
      </c>
      <c r="G528" t="n">
        <v>1.8</v>
      </c>
      <c r="H528" t="n">
        <v>0</v>
      </c>
      <c r="I528" t="n">
        <v>0</v>
      </c>
      <c r="J528" t="n">
        <v>0</v>
      </c>
      <c r="K528" t="n">
        <v>0</v>
      </c>
      <c r="L528" t="n">
        <v>0</v>
      </c>
      <c r="M528" t="n">
        <v>0</v>
      </c>
      <c r="N528" t="n">
        <v>0</v>
      </c>
      <c r="O528" t="n">
        <v>0</v>
      </c>
      <c r="P528" t="n">
        <v>0</v>
      </c>
      <c r="Q528" t="n">
        <v>0</v>
      </c>
      <c r="R528" s="2" t="inlineStr"/>
    </row>
    <row r="529" ht="15" customHeight="1">
      <c r="A529" t="inlineStr">
        <is>
          <t>A 29680-2021</t>
        </is>
      </c>
      <c r="B529" s="1" t="n">
        <v>44362</v>
      </c>
      <c r="C529" s="1" t="n">
        <v>45475</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29684-2021</t>
        </is>
      </c>
      <c r="B530" s="1" t="n">
        <v>44362</v>
      </c>
      <c r="C530" s="1" t="n">
        <v>45475</v>
      </c>
      <c r="D530" t="inlineStr">
        <is>
          <t>STOCKHOLMS LÄN</t>
        </is>
      </c>
      <c r="E530" t="inlineStr">
        <is>
          <t>NORRTÄLJE</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30129-2021</t>
        </is>
      </c>
      <c r="B531" s="1" t="n">
        <v>44363</v>
      </c>
      <c r="C531" s="1" t="n">
        <v>45475</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30138-2021</t>
        </is>
      </c>
      <c r="B532" s="1" t="n">
        <v>44363</v>
      </c>
      <c r="C532" s="1" t="n">
        <v>45475</v>
      </c>
      <c r="D532" t="inlineStr">
        <is>
          <t>STOCKHOLMS LÄN</t>
        </is>
      </c>
      <c r="E532" t="inlineStr">
        <is>
          <t>NORRTÄLJE</t>
        </is>
      </c>
      <c r="G532" t="n">
        <v>4.5</v>
      </c>
      <c r="H532" t="n">
        <v>0</v>
      </c>
      <c r="I532" t="n">
        <v>0</v>
      </c>
      <c r="J532" t="n">
        <v>0</v>
      </c>
      <c r="K532" t="n">
        <v>0</v>
      </c>
      <c r="L532" t="n">
        <v>0</v>
      </c>
      <c r="M532" t="n">
        <v>0</v>
      </c>
      <c r="N532" t="n">
        <v>0</v>
      </c>
      <c r="O532" t="n">
        <v>0</v>
      </c>
      <c r="P532" t="n">
        <v>0</v>
      </c>
      <c r="Q532" t="n">
        <v>0</v>
      </c>
      <c r="R532" s="2" t="inlineStr"/>
    </row>
    <row r="533" ht="15" customHeight="1">
      <c r="A533" t="inlineStr">
        <is>
          <t>A 31688-2021</t>
        </is>
      </c>
      <c r="B533" s="1" t="n">
        <v>44369</v>
      </c>
      <c r="C533" s="1" t="n">
        <v>45475</v>
      </c>
      <c r="D533" t="inlineStr">
        <is>
          <t>STOCKHOLMS LÄN</t>
        </is>
      </c>
      <c r="E533" t="inlineStr">
        <is>
          <t>NORRTÄLJE</t>
        </is>
      </c>
      <c r="G533" t="n">
        <v>2.9</v>
      </c>
      <c r="H533" t="n">
        <v>0</v>
      </c>
      <c r="I533" t="n">
        <v>0</v>
      </c>
      <c r="J533" t="n">
        <v>0</v>
      </c>
      <c r="K533" t="n">
        <v>0</v>
      </c>
      <c r="L533" t="n">
        <v>0</v>
      </c>
      <c r="M533" t="n">
        <v>0</v>
      </c>
      <c r="N533" t="n">
        <v>0</v>
      </c>
      <c r="O533" t="n">
        <v>0</v>
      </c>
      <c r="P533" t="n">
        <v>0</v>
      </c>
      <c r="Q533" t="n">
        <v>0</v>
      </c>
      <c r="R533" s="2" t="inlineStr"/>
    </row>
    <row r="534" ht="15" customHeight="1">
      <c r="A534" t="inlineStr">
        <is>
          <t>A 32002-2021</t>
        </is>
      </c>
      <c r="B534" s="1" t="n">
        <v>44370</v>
      </c>
      <c r="C534" s="1" t="n">
        <v>45475</v>
      </c>
      <c r="D534" t="inlineStr">
        <is>
          <t>STOCKHOLMS LÄN</t>
        </is>
      </c>
      <c r="E534" t="inlineStr">
        <is>
          <t>NORRTÄLJE</t>
        </is>
      </c>
      <c r="F534" t="inlineStr">
        <is>
          <t>Övriga Aktiebolag</t>
        </is>
      </c>
      <c r="G534" t="n">
        <v>4</v>
      </c>
      <c r="H534" t="n">
        <v>0</v>
      </c>
      <c r="I534" t="n">
        <v>0</v>
      </c>
      <c r="J534" t="n">
        <v>0</v>
      </c>
      <c r="K534" t="n">
        <v>0</v>
      </c>
      <c r="L534" t="n">
        <v>0</v>
      </c>
      <c r="M534" t="n">
        <v>0</v>
      </c>
      <c r="N534" t="n">
        <v>0</v>
      </c>
      <c r="O534" t="n">
        <v>0</v>
      </c>
      <c r="P534" t="n">
        <v>0</v>
      </c>
      <c r="Q534" t="n">
        <v>0</v>
      </c>
      <c r="R534" s="2" t="inlineStr"/>
    </row>
    <row r="535" ht="15" customHeight="1">
      <c r="A535" t="inlineStr">
        <is>
          <t>A 32051-2021</t>
        </is>
      </c>
      <c r="B535" s="1" t="n">
        <v>44370</v>
      </c>
      <c r="C535" s="1" t="n">
        <v>45475</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32055-2021</t>
        </is>
      </c>
      <c r="B536" s="1" t="n">
        <v>44370</v>
      </c>
      <c r="C536" s="1" t="n">
        <v>45475</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32561-2021</t>
        </is>
      </c>
      <c r="B537" s="1" t="n">
        <v>44375</v>
      </c>
      <c r="C537" s="1" t="n">
        <v>45475</v>
      </c>
      <c r="D537" t="inlineStr">
        <is>
          <t>STOCKHOLMS LÄN</t>
        </is>
      </c>
      <c r="E537" t="inlineStr">
        <is>
          <t>NORRTÄLJE</t>
        </is>
      </c>
      <c r="G537" t="n">
        <v>3.4</v>
      </c>
      <c r="H537" t="n">
        <v>0</v>
      </c>
      <c r="I537" t="n">
        <v>0</v>
      </c>
      <c r="J537" t="n">
        <v>0</v>
      </c>
      <c r="K537" t="n">
        <v>0</v>
      </c>
      <c r="L537" t="n">
        <v>0</v>
      </c>
      <c r="M537" t="n">
        <v>0</v>
      </c>
      <c r="N537" t="n">
        <v>0</v>
      </c>
      <c r="O537" t="n">
        <v>0</v>
      </c>
      <c r="P537" t="n">
        <v>0</v>
      </c>
      <c r="Q537" t="n">
        <v>0</v>
      </c>
      <c r="R537" s="2" t="inlineStr"/>
    </row>
    <row r="538" ht="15" customHeight="1">
      <c r="A538" t="inlineStr">
        <is>
          <t>A 32857-2021</t>
        </is>
      </c>
      <c r="B538" s="1" t="n">
        <v>44375</v>
      </c>
      <c r="C538" s="1" t="n">
        <v>45475</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33053-2021</t>
        </is>
      </c>
      <c r="B539" s="1" t="n">
        <v>44376</v>
      </c>
      <c r="C539" s="1" t="n">
        <v>45475</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33046-2021</t>
        </is>
      </c>
      <c r="B540" s="1" t="n">
        <v>44376</v>
      </c>
      <c r="C540" s="1" t="n">
        <v>45475</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33040-2021</t>
        </is>
      </c>
      <c r="B541" s="1" t="n">
        <v>44376</v>
      </c>
      <c r="C541" s="1" t="n">
        <v>45475</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34520-2021</t>
        </is>
      </c>
      <c r="B542" s="1" t="n">
        <v>44379</v>
      </c>
      <c r="C542" s="1" t="n">
        <v>45475</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34432-2021</t>
        </is>
      </c>
      <c r="B543" s="1" t="n">
        <v>44380</v>
      </c>
      <c r="C543" s="1" t="n">
        <v>45475</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34431-2021</t>
        </is>
      </c>
      <c r="B544" s="1" t="n">
        <v>44380</v>
      </c>
      <c r="C544" s="1" t="n">
        <v>45475</v>
      </c>
      <c r="D544" t="inlineStr">
        <is>
          <t>STOCKHOLMS LÄN</t>
        </is>
      </c>
      <c r="E544" t="inlineStr">
        <is>
          <t>NORRTÄLJE</t>
        </is>
      </c>
      <c r="G544" t="n">
        <v>3</v>
      </c>
      <c r="H544" t="n">
        <v>0</v>
      </c>
      <c r="I544" t="n">
        <v>0</v>
      </c>
      <c r="J544" t="n">
        <v>0</v>
      </c>
      <c r="K544" t="n">
        <v>0</v>
      </c>
      <c r="L544" t="n">
        <v>0</v>
      </c>
      <c r="M544" t="n">
        <v>0</v>
      </c>
      <c r="N544" t="n">
        <v>0</v>
      </c>
      <c r="O544" t="n">
        <v>0</v>
      </c>
      <c r="P544" t="n">
        <v>0</v>
      </c>
      <c r="Q544" t="n">
        <v>0</v>
      </c>
      <c r="R544" s="2" t="inlineStr"/>
    </row>
    <row r="545" ht="15" customHeight="1">
      <c r="A545" t="inlineStr">
        <is>
          <t>A 34436-2021</t>
        </is>
      </c>
      <c r="B545" s="1" t="n">
        <v>44380</v>
      </c>
      <c r="C545" s="1" t="n">
        <v>45475</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34731-2021</t>
        </is>
      </c>
      <c r="B546" s="1" t="n">
        <v>44382</v>
      </c>
      <c r="C546" s="1" t="n">
        <v>45475</v>
      </c>
      <c r="D546" t="inlineStr">
        <is>
          <t>STOCKHOLMS LÄN</t>
        </is>
      </c>
      <c r="E546" t="inlineStr">
        <is>
          <t>NORRTÄLJE</t>
        </is>
      </c>
      <c r="G546" t="n">
        <v>0.2</v>
      </c>
      <c r="H546" t="n">
        <v>0</v>
      </c>
      <c r="I546" t="n">
        <v>0</v>
      </c>
      <c r="J546" t="n">
        <v>0</v>
      </c>
      <c r="K546" t="n">
        <v>0</v>
      </c>
      <c r="L546" t="n">
        <v>0</v>
      </c>
      <c r="M546" t="n">
        <v>0</v>
      </c>
      <c r="N546" t="n">
        <v>0</v>
      </c>
      <c r="O546" t="n">
        <v>0</v>
      </c>
      <c r="P546" t="n">
        <v>0</v>
      </c>
      <c r="Q546" t="n">
        <v>0</v>
      </c>
      <c r="R546" s="2" t="inlineStr"/>
    </row>
    <row r="547" ht="15" customHeight="1">
      <c r="A547" t="inlineStr">
        <is>
          <t>A 34792-2021</t>
        </is>
      </c>
      <c r="B547" s="1" t="n">
        <v>44383</v>
      </c>
      <c r="C547" s="1" t="n">
        <v>45475</v>
      </c>
      <c r="D547" t="inlineStr">
        <is>
          <t>STOCKHOLMS LÄN</t>
        </is>
      </c>
      <c r="E547" t="inlineStr">
        <is>
          <t>NORRTÄLJE</t>
        </is>
      </c>
      <c r="G547" t="n">
        <v>4.4</v>
      </c>
      <c r="H547" t="n">
        <v>0</v>
      </c>
      <c r="I547" t="n">
        <v>0</v>
      </c>
      <c r="J547" t="n">
        <v>0</v>
      </c>
      <c r="K547" t="n">
        <v>0</v>
      </c>
      <c r="L547" t="n">
        <v>0</v>
      </c>
      <c r="M547" t="n">
        <v>0</v>
      </c>
      <c r="N547" t="n">
        <v>0</v>
      </c>
      <c r="O547" t="n">
        <v>0</v>
      </c>
      <c r="P547" t="n">
        <v>0</v>
      </c>
      <c r="Q547" t="n">
        <v>0</v>
      </c>
      <c r="R547" s="2" t="inlineStr"/>
    </row>
    <row r="548" ht="15" customHeight="1">
      <c r="A548" t="inlineStr">
        <is>
          <t>A 36246-2021</t>
        </is>
      </c>
      <c r="B548" s="1" t="n">
        <v>44390</v>
      </c>
      <c r="C548" s="1" t="n">
        <v>45475</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36565-2021</t>
        </is>
      </c>
      <c r="B549" s="1" t="n">
        <v>44391</v>
      </c>
      <c r="C549" s="1" t="n">
        <v>45475</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37085-2021</t>
        </is>
      </c>
      <c r="B550" s="1" t="n">
        <v>44395</v>
      </c>
      <c r="C550" s="1" t="n">
        <v>45475</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37344-2021</t>
        </is>
      </c>
      <c r="B551" s="1" t="n">
        <v>44397</v>
      </c>
      <c r="C551" s="1" t="n">
        <v>45475</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37415-2021</t>
        </is>
      </c>
      <c r="B552" s="1" t="n">
        <v>44397</v>
      </c>
      <c r="C552" s="1" t="n">
        <v>45475</v>
      </c>
      <c r="D552" t="inlineStr">
        <is>
          <t>STOCKHOLMS LÄN</t>
        </is>
      </c>
      <c r="E552" t="inlineStr">
        <is>
          <t>NORRTÄLJE</t>
        </is>
      </c>
      <c r="F552" t="inlineStr">
        <is>
          <t>Övriga Aktiebolag</t>
        </is>
      </c>
      <c r="G552" t="n">
        <v>3</v>
      </c>
      <c r="H552" t="n">
        <v>0</v>
      </c>
      <c r="I552" t="n">
        <v>0</v>
      </c>
      <c r="J552" t="n">
        <v>0</v>
      </c>
      <c r="K552" t="n">
        <v>0</v>
      </c>
      <c r="L552" t="n">
        <v>0</v>
      </c>
      <c r="M552" t="n">
        <v>0</v>
      </c>
      <c r="N552" t="n">
        <v>0</v>
      </c>
      <c r="O552" t="n">
        <v>0</v>
      </c>
      <c r="P552" t="n">
        <v>0</v>
      </c>
      <c r="Q552" t="n">
        <v>0</v>
      </c>
      <c r="R552" s="2" t="inlineStr"/>
    </row>
    <row r="553" ht="15" customHeight="1">
      <c r="A553" t="inlineStr">
        <is>
          <t>A 37444-2021</t>
        </is>
      </c>
      <c r="B553" s="1" t="n">
        <v>44398</v>
      </c>
      <c r="C553" s="1" t="n">
        <v>45475</v>
      </c>
      <c r="D553" t="inlineStr">
        <is>
          <t>STOCKHOLMS LÄN</t>
        </is>
      </c>
      <c r="E553" t="inlineStr">
        <is>
          <t>NORRTÄLJE</t>
        </is>
      </c>
      <c r="F553" t="inlineStr">
        <is>
          <t>Holmen skog AB</t>
        </is>
      </c>
      <c r="G553" t="n">
        <v>3.2</v>
      </c>
      <c r="H553" t="n">
        <v>0</v>
      </c>
      <c r="I553" t="n">
        <v>0</v>
      </c>
      <c r="J553" t="n">
        <v>0</v>
      </c>
      <c r="K553" t="n">
        <v>0</v>
      </c>
      <c r="L553" t="n">
        <v>0</v>
      </c>
      <c r="M553" t="n">
        <v>0</v>
      </c>
      <c r="N553" t="n">
        <v>0</v>
      </c>
      <c r="O553" t="n">
        <v>0</v>
      </c>
      <c r="P553" t="n">
        <v>0</v>
      </c>
      <c r="Q553" t="n">
        <v>0</v>
      </c>
      <c r="R553" s="2" t="inlineStr"/>
    </row>
    <row r="554" ht="15" customHeight="1">
      <c r="A554" t="inlineStr">
        <is>
          <t>A 37462-2021</t>
        </is>
      </c>
      <c r="B554" s="1" t="n">
        <v>44398</v>
      </c>
      <c r="C554" s="1" t="n">
        <v>45475</v>
      </c>
      <c r="D554" t="inlineStr">
        <is>
          <t>STOCKHOLMS LÄN</t>
        </is>
      </c>
      <c r="E554" t="inlineStr">
        <is>
          <t>NORRTÄLJE</t>
        </is>
      </c>
      <c r="G554" t="n">
        <v>3.5</v>
      </c>
      <c r="H554" t="n">
        <v>0</v>
      </c>
      <c r="I554" t="n">
        <v>0</v>
      </c>
      <c r="J554" t="n">
        <v>0</v>
      </c>
      <c r="K554" t="n">
        <v>0</v>
      </c>
      <c r="L554" t="n">
        <v>0</v>
      </c>
      <c r="M554" t="n">
        <v>0</v>
      </c>
      <c r="N554" t="n">
        <v>0</v>
      </c>
      <c r="O554" t="n">
        <v>0</v>
      </c>
      <c r="P554" t="n">
        <v>0</v>
      </c>
      <c r="Q554" t="n">
        <v>0</v>
      </c>
      <c r="R554" s="2" t="inlineStr"/>
    </row>
    <row r="555" ht="15" customHeight="1">
      <c r="A555" t="inlineStr">
        <is>
          <t>A 37530-2021</t>
        </is>
      </c>
      <c r="B555" s="1" t="n">
        <v>44399</v>
      </c>
      <c r="C555" s="1" t="n">
        <v>45475</v>
      </c>
      <c r="D555" t="inlineStr">
        <is>
          <t>STOCKHOLMS LÄN</t>
        </is>
      </c>
      <c r="E555" t="inlineStr">
        <is>
          <t>NORRTÄLJE</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37522-2021</t>
        </is>
      </c>
      <c r="B556" s="1" t="n">
        <v>44399</v>
      </c>
      <c r="C556" s="1" t="n">
        <v>45475</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37525-2021</t>
        </is>
      </c>
      <c r="B557" s="1" t="n">
        <v>44399</v>
      </c>
      <c r="C557" s="1" t="n">
        <v>45475</v>
      </c>
      <c r="D557" t="inlineStr">
        <is>
          <t>STOCKHOLMS LÄN</t>
        </is>
      </c>
      <c r="E557" t="inlineStr">
        <is>
          <t>NORRTÄLJE</t>
        </is>
      </c>
      <c r="F557" t="inlineStr">
        <is>
          <t>Holmen skog AB</t>
        </is>
      </c>
      <c r="G557" t="n">
        <v>2.5</v>
      </c>
      <c r="H557" t="n">
        <v>0</v>
      </c>
      <c r="I557" t="n">
        <v>0</v>
      </c>
      <c r="J557" t="n">
        <v>0</v>
      </c>
      <c r="K557" t="n">
        <v>0</v>
      </c>
      <c r="L557" t="n">
        <v>0</v>
      </c>
      <c r="M557" t="n">
        <v>0</v>
      </c>
      <c r="N557" t="n">
        <v>0</v>
      </c>
      <c r="O557" t="n">
        <v>0</v>
      </c>
      <c r="P557" t="n">
        <v>0</v>
      </c>
      <c r="Q557" t="n">
        <v>0</v>
      </c>
      <c r="R557" s="2" t="inlineStr"/>
    </row>
    <row r="558" ht="15" customHeight="1">
      <c r="A558" t="inlineStr">
        <is>
          <t>A 37712-2021</t>
        </is>
      </c>
      <c r="B558" s="1" t="n">
        <v>44400</v>
      </c>
      <c r="C558" s="1" t="n">
        <v>45475</v>
      </c>
      <c r="D558" t="inlineStr">
        <is>
          <t>STOCKHOLMS LÄN</t>
        </is>
      </c>
      <c r="E558" t="inlineStr">
        <is>
          <t>NORRTÄLJE</t>
        </is>
      </c>
      <c r="G558" t="n">
        <v>22.9</v>
      </c>
      <c r="H558" t="n">
        <v>0</v>
      </c>
      <c r="I558" t="n">
        <v>0</v>
      </c>
      <c r="J558" t="n">
        <v>0</v>
      </c>
      <c r="K558" t="n">
        <v>0</v>
      </c>
      <c r="L558" t="n">
        <v>0</v>
      </c>
      <c r="M558" t="n">
        <v>0</v>
      </c>
      <c r="N558" t="n">
        <v>0</v>
      </c>
      <c r="O558" t="n">
        <v>0</v>
      </c>
      <c r="P558" t="n">
        <v>0</v>
      </c>
      <c r="Q558" t="n">
        <v>0</v>
      </c>
      <c r="R558" s="2" t="inlineStr"/>
    </row>
    <row r="559" ht="15" customHeight="1">
      <c r="A559" t="inlineStr">
        <is>
          <t>A 37859-2021</t>
        </is>
      </c>
      <c r="B559" s="1" t="n">
        <v>44403</v>
      </c>
      <c r="C559" s="1" t="n">
        <v>45475</v>
      </c>
      <c r="D559" t="inlineStr">
        <is>
          <t>STOCKHOLMS LÄN</t>
        </is>
      </c>
      <c r="E559" t="inlineStr">
        <is>
          <t>NORRTÄLJE</t>
        </is>
      </c>
      <c r="F559" t="inlineStr">
        <is>
          <t>Holmen skog AB</t>
        </is>
      </c>
      <c r="G559" t="n">
        <v>6.9</v>
      </c>
      <c r="H559" t="n">
        <v>0</v>
      </c>
      <c r="I559" t="n">
        <v>0</v>
      </c>
      <c r="J559" t="n">
        <v>0</v>
      </c>
      <c r="K559" t="n">
        <v>0</v>
      </c>
      <c r="L559" t="n">
        <v>0</v>
      </c>
      <c r="M559" t="n">
        <v>0</v>
      </c>
      <c r="N559" t="n">
        <v>0</v>
      </c>
      <c r="O559" t="n">
        <v>0</v>
      </c>
      <c r="P559" t="n">
        <v>0</v>
      </c>
      <c r="Q559" t="n">
        <v>0</v>
      </c>
      <c r="R559" s="2" t="inlineStr"/>
    </row>
    <row r="560" ht="15" customHeight="1">
      <c r="A560" t="inlineStr">
        <is>
          <t>A 39157-2021</t>
        </is>
      </c>
      <c r="B560" s="1" t="n">
        <v>44412</v>
      </c>
      <c r="C560" s="1" t="n">
        <v>45475</v>
      </c>
      <c r="D560" t="inlineStr">
        <is>
          <t>STOCKHOLMS LÄN</t>
        </is>
      </c>
      <c r="E560" t="inlineStr">
        <is>
          <t>NORRTÄLJE</t>
        </is>
      </c>
      <c r="G560" t="n">
        <v>3.1</v>
      </c>
      <c r="H560" t="n">
        <v>0</v>
      </c>
      <c r="I560" t="n">
        <v>0</v>
      </c>
      <c r="J560" t="n">
        <v>0</v>
      </c>
      <c r="K560" t="n">
        <v>0</v>
      </c>
      <c r="L560" t="n">
        <v>0</v>
      </c>
      <c r="M560" t="n">
        <v>0</v>
      </c>
      <c r="N560" t="n">
        <v>0</v>
      </c>
      <c r="O560" t="n">
        <v>0</v>
      </c>
      <c r="P560" t="n">
        <v>0</v>
      </c>
      <c r="Q560" t="n">
        <v>0</v>
      </c>
      <c r="R560" s="2" t="inlineStr"/>
    </row>
    <row r="561" ht="15" customHeight="1">
      <c r="A561" t="inlineStr">
        <is>
          <t>A 39496-2021</t>
        </is>
      </c>
      <c r="B561" s="1" t="n">
        <v>44414</v>
      </c>
      <c r="C561" s="1" t="n">
        <v>45475</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39497-2021</t>
        </is>
      </c>
      <c r="B562" s="1" t="n">
        <v>44414</v>
      </c>
      <c r="C562" s="1" t="n">
        <v>45475</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40425-2021</t>
        </is>
      </c>
      <c r="B563" s="1" t="n">
        <v>44419</v>
      </c>
      <c r="C563" s="1" t="n">
        <v>45475</v>
      </c>
      <c r="D563" t="inlineStr">
        <is>
          <t>STOCKHOLMS LÄN</t>
        </is>
      </c>
      <c r="E563" t="inlineStr">
        <is>
          <t>NORRTÄLJE</t>
        </is>
      </c>
      <c r="G563" t="n">
        <v>5</v>
      </c>
      <c r="H563" t="n">
        <v>0</v>
      </c>
      <c r="I563" t="n">
        <v>0</v>
      </c>
      <c r="J563" t="n">
        <v>0</v>
      </c>
      <c r="K563" t="n">
        <v>0</v>
      </c>
      <c r="L563" t="n">
        <v>0</v>
      </c>
      <c r="M563" t="n">
        <v>0</v>
      </c>
      <c r="N563" t="n">
        <v>0</v>
      </c>
      <c r="O563" t="n">
        <v>0</v>
      </c>
      <c r="P563" t="n">
        <v>0</v>
      </c>
      <c r="Q563" t="n">
        <v>0</v>
      </c>
      <c r="R563" s="2" t="inlineStr"/>
    </row>
    <row r="564" ht="15" customHeight="1">
      <c r="A564" t="inlineStr">
        <is>
          <t>A 40542-2021</t>
        </is>
      </c>
      <c r="B564" s="1" t="n">
        <v>44420</v>
      </c>
      <c r="C564" s="1" t="n">
        <v>45475</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40546-2021</t>
        </is>
      </c>
      <c r="B565" s="1" t="n">
        <v>44420</v>
      </c>
      <c r="C565" s="1" t="n">
        <v>45475</v>
      </c>
      <c r="D565" t="inlineStr">
        <is>
          <t>STOCKHOLMS LÄN</t>
        </is>
      </c>
      <c r="E565" t="inlineStr">
        <is>
          <t>NORRTÄLJE</t>
        </is>
      </c>
      <c r="G565" t="n">
        <v>0.4</v>
      </c>
      <c r="H565" t="n">
        <v>0</v>
      </c>
      <c r="I565" t="n">
        <v>0</v>
      </c>
      <c r="J565" t="n">
        <v>0</v>
      </c>
      <c r="K565" t="n">
        <v>0</v>
      </c>
      <c r="L565" t="n">
        <v>0</v>
      </c>
      <c r="M565" t="n">
        <v>0</v>
      </c>
      <c r="N565" t="n">
        <v>0</v>
      </c>
      <c r="O565" t="n">
        <v>0</v>
      </c>
      <c r="P565" t="n">
        <v>0</v>
      </c>
      <c r="Q565" t="n">
        <v>0</v>
      </c>
      <c r="R565" s="2" t="inlineStr"/>
    </row>
    <row r="566" ht="15" customHeight="1">
      <c r="A566" t="inlineStr">
        <is>
          <t>A 41595-2021</t>
        </is>
      </c>
      <c r="B566" s="1" t="n">
        <v>44425</v>
      </c>
      <c r="C566" s="1" t="n">
        <v>45475</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41823-2021</t>
        </is>
      </c>
      <c r="B567" s="1" t="n">
        <v>44425</v>
      </c>
      <c r="C567" s="1" t="n">
        <v>45475</v>
      </c>
      <c r="D567" t="inlineStr">
        <is>
          <t>STOCKHOLMS LÄN</t>
        </is>
      </c>
      <c r="E567" t="inlineStr">
        <is>
          <t>NORRTÄLJE</t>
        </is>
      </c>
      <c r="G567" t="n">
        <v>2.4</v>
      </c>
      <c r="H567" t="n">
        <v>0</v>
      </c>
      <c r="I567" t="n">
        <v>0</v>
      </c>
      <c r="J567" t="n">
        <v>0</v>
      </c>
      <c r="K567" t="n">
        <v>0</v>
      </c>
      <c r="L567" t="n">
        <v>0</v>
      </c>
      <c r="M567" t="n">
        <v>0</v>
      </c>
      <c r="N567" t="n">
        <v>0</v>
      </c>
      <c r="O567" t="n">
        <v>0</v>
      </c>
      <c r="P567" t="n">
        <v>0</v>
      </c>
      <c r="Q567" t="n">
        <v>0</v>
      </c>
      <c r="R567" s="2" t="inlineStr"/>
    </row>
    <row r="568" ht="15" customHeight="1">
      <c r="A568" t="inlineStr">
        <is>
          <t>A 41822-2021</t>
        </is>
      </c>
      <c r="B568" s="1" t="n">
        <v>44425</v>
      </c>
      <c r="C568" s="1" t="n">
        <v>45475</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42396-2021</t>
        </is>
      </c>
      <c r="B569" s="1" t="n">
        <v>44427</v>
      </c>
      <c r="C569" s="1" t="n">
        <v>45475</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43478-2021</t>
        </is>
      </c>
      <c r="B570" s="1" t="n">
        <v>44432</v>
      </c>
      <c r="C570" s="1" t="n">
        <v>45475</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45475</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47344-2021</t>
        </is>
      </c>
      <c r="B572" s="1" t="n">
        <v>44447</v>
      </c>
      <c r="C572" s="1" t="n">
        <v>45475</v>
      </c>
      <c r="D572" t="inlineStr">
        <is>
          <t>STOCKHOLMS LÄN</t>
        </is>
      </c>
      <c r="E572" t="inlineStr">
        <is>
          <t>NORRTÄLJE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47349-2021</t>
        </is>
      </c>
      <c r="B573" s="1" t="n">
        <v>44447</v>
      </c>
      <c r="C573" s="1" t="n">
        <v>45475</v>
      </c>
      <c r="D573" t="inlineStr">
        <is>
          <t>STOCKHOLMS LÄN</t>
        </is>
      </c>
      <c r="E573" t="inlineStr">
        <is>
          <t>NORRTÄLJE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47691-2021</t>
        </is>
      </c>
      <c r="B574" s="1" t="n">
        <v>44448</v>
      </c>
      <c r="C574" s="1" t="n">
        <v>45475</v>
      </c>
      <c r="D574" t="inlineStr">
        <is>
          <t>STOCKHOLMS LÄN</t>
        </is>
      </c>
      <c r="E574" t="inlineStr">
        <is>
          <t>NORRTÄLJE</t>
        </is>
      </c>
      <c r="G574" t="n">
        <v>2.8</v>
      </c>
      <c r="H574" t="n">
        <v>0</v>
      </c>
      <c r="I574" t="n">
        <v>0</v>
      </c>
      <c r="J574" t="n">
        <v>0</v>
      </c>
      <c r="K574" t="n">
        <v>0</v>
      </c>
      <c r="L574" t="n">
        <v>0</v>
      </c>
      <c r="M574" t="n">
        <v>0</v>
      </c>
      <c r="N574" t="n">
        <v>0</v>
      </c>
      <c r="O574" t="n">
        <v>0</v>
      </c>
      <c r="P574" t="n">
        <v>0</v>
      </c>
      <c r="Q574" t="n">
        <v>0</v>
      </c>
      <c r="R574" s="2" t="inlineStr"/>
    </row>
    <row r="575" ht="15" customHeight="1">
      <c r="A575" t="inlineStr">
        <is>
          <t>A 48384-2021</t>
        </is>
      </c>
      <c r="B575" s="1" t="n">
        <v>44451</v>
      </c>
      <c r="C575" s="1" t="n">
        <v>45475</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48798-2021</t>
        </is>
      </c>
      <c r="B576" s="1" t="n">
        <v>44452</v>
      </c>
      <c r="C576" s="1" t="n">
        <v>45475</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48932-2021</t>
        </is>
      </c>
      <c r="B577" s="1" t="n">
        <v>44453</v>
      </c>
      <c r="C577" s="1" t="n">
        <v>45475</v>
      </c>
      <c r="D577" t="inlineStr">
        <is>
          <t>STOCKHOLMS LÄN</t>
        </is>
      </c>
      <c r="E577" t="inlineStr">
        <is>
          <t>NORRTÄLJE</t>
        </is>
      </c>
      <c r="G577" t="n">
        <v>11.2</v>
      </c>
      <c r="H577" t="n">
        <v>0</v>
      </c>
      <c r="I577" t="n">
        <v>0</v>
      </c>
      <c r="J577" t="n">
        <v>0</v>
      </c>
      <c r="K577" t="n">
        <v>0</v>
      </c>
      <c r="L577" t="n">
        <v>0</v>
      </c>
      <c r="M577" t="n">
        <v>0</v>
      </c>
      <c r="N577" t="n">
        <v>0</v>
      </c>
      <c r="O577" t="n">
        <v>0</v>
      </c>
      <c r="P577" t="n">
        <v>0</v>
      </c>
      <c r="Q577" t="n">
        <v>0</v>
      </c>
      <c r="R577" s="2" t="inlineStr"/>
    </row>
    <row r="578" ht="15" customHeight="1">
      <c r="A578" t="inlineStr">
        <is>
          <t>A 49113-2021</t>
        </is>
      </c>
      <c r="B578" s="1" t="n">
        <v>44453</v>
      </c>
      <c r="C578" s="1" t="n">
        <v>45475</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50038-2021</t>
        </is>
      </c>
      <c r="B579" s="1" t="n">
        <v>44456</v>
      </c>
      <c r="C579" s="1" t="n">
        <v>45475</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50108-2021</t>
        </is>
      </c>
      <c r="B580" s="1" t="n">
        <v>44456</v>
      </c>
      <c r="C580" s="1" t="n">
        <v>45475</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50252-2021</t>
        </is>
      </c>
      <c r="B581" s="1" t="n">
        <v>44458</v>
      </c>
      <c r="C581" s="1" t="n">
        <v>45475</v>
      </c>
      <c r="D581" t="inlineStr">
        <is>
          <t>STOCKHOLMS LÄN</t>
        </is>
      </c>
      <c r="E581" t="inlineStr">
        <is>
          <t>NORRTÄLJE</t>
        </is>
      </c>
      <c r="G581" t="n">
        <v>1.5</v>
      </c>
      <c r="H581" t="n">
        <v>0</v>
      </c>
      <c r="I581" t="n">
        <v>0</v>
      </c>
      <c r="J581" t="n">
        <v>0</v>
      </c>
      <c r="K581" t="n">
        <v>0</v>
      </c>
      <c r="L581" t="n">
        <v>0</v>
      </c>
      <c r="M581" t="n">
        <v>0</v>
      </c>
      <c r="N581" t="n">
        <v>0</v>
      </c>
      <c r="O581" t="n">
        <v>0</v>
      </c>
      <c r="P581" t="n">
        <v>0</v>
      </c>
      <c r="Q581" t="n">
        <v>0</v>
      </c>
      <c r="R581" s="2" t="inlineStr"/>
    </row>
    <row r="582" ht="15" customHeight="1">
      <c r="A582" t="inlineStr">
        <is>
          <t>A 50602-2021</t>
        </is>
      </c>
      <c r="B582" s="1" t="n">
        <v>44459</v>
      </c>
      <c r="C582" s="1" t="n">
        <v>45475</v>
      </c>
      <c r="D582" t="inlineStr">
        <is>
          <t>STOCKHOLMS LÄN</t>
        </is>
      </c>
      <c r="E582" t="inlineStr">
        <is>
          <t>NORRTÄLJE</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51279-2021</t>
        </is>
      </c>
      <c r="B583" s="1" t="n">
        <v>44461</v>
      </c>
      <c r="C583" s="1" t="n">
        <v>45475</v>
      </c>
      <c r="D583" t="inlineStr">
        <is>
          <t>STOCKHOLMS LÄN</t>
        </is>
      </c>
      <c r="E583" t="inlineStr">
        <is>
          <t>NORRTÄLJE</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51315-2021</t>
        </is>
      </c>
      <c r="B584" s="1" t="n">
        <v>44461</v>
      </c>
      <c r="C584" s="1" t="n">
        <v>45475</v>
      </c>
      <c r="D584" t="inlineStr">
        <is>
          <t>STOCKHOLMS LÄN</t>
        </is>
      </c>
      <c r="E584" t="inlineStr">
        <is>
          <t>NORRTÄLJE</t>
        </is>
      </c>
      <c r="F584" t="inlineStr">
        <is>
          <t>Holmen skog AB</t>
        </is>
      </c>
      <c r="G584" t="n">
        <v>2.2</v>
      </c>
      <c r="H584" t="n">
        <v>0</v>
      </c>
      <c r="I584" t="n">
        <v>0</v>
      </c>
      <c r="J584" t="n">
        <v>0</v>
      </c>
      <c r="K584" t="n">
        <v>0</v>
      </c>
      <c r="L584" t="n">
        <v>0</v>
      </c>
      <c r="M584" t="n">
        <v>0</v>
      </c>
      <c r="N584" t="n">
        <v>0</v>
      </c>
      <c r="O584" t="n">
        <v>0</v>
      </c>
      <c r="P584" t="n">
        <v>0</v>
      </c>
      <c r="Q584" t="n">
        <v>0</v>
      </c>
      <c r="R584" s="2" t="inlineStr"/>
    </row>
    <row r="585" ht="15" customHeight="1">
      <c r="A585" t="inlineStr">
        <is>
          <t>A 52090-2021</t>
        </is>
      </c>
      <c r="B585" s="1" t="n">
        <v>44463</v>
      </c>
      <c r="C585" s="1" t="n">
        <v>45475</v>
      </c>
      <c r="D585" t="inlineStr">
        <is>
          <t>STOCKHOLMS LÄN</t>
        </is>
      </c>
      <c r="E585" t="inlineStr">
        <is>
          <t>NORRTÄLJE</t>
        </is>
      </c>
      <c r="G585" t="n">
        <v>3.6</v>
      </c>
      <c r="H585" t="n">
        <v>0</v>
      </c>
      <c r="I585" t="n">
        <v>0</v>
      </c>
      <c r="J585" t="n">
        <v>0</v>
      </c>
      <c r="K585" t="n">
        <v>0</v>
      </c>
      <c r="L585" t="n">
        <v>0</v>
      </c>
      <c r="M585" t="n">
        <v>0</v>
      </c>
      <c r="N585" t="n">
        <v>0</v>
      </c>
      <c r="O585" t="n">
        <v>0</v>
      </c>
      <c r="P585" t="n">
        <v>0</v>
      </c>
      <c r="Q585" t="n">
        <v>0</v>
      </c>
      <c r="R585" s="2" t="inlineStr"/>
    </row>
    <row r="586" ht="15" customHeight="1">
      <c r="A586" t="inlineStr">
        <is>
          <t>A 52449-2021</t>
        </is>
      </c>
      <c r="B586" s="1" t="n">
        <v>44466</v>
      </c>
      <c r="C586" s="1" t="n">
        <v>45475</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54276-2021</t>
        </is>
      </c>
      <c r="B587" s="1" t="n">
        <v>44470</v>
      </c>
      <c r="C587" s="1" t="n">
        <v>45475</v>
      </c>
      <c r="D587" t="inlineStr">
        <is>
          <t>STOCKHOLMS LÄN</t>
        </is>
      </c>
      <c r="E587" t="inlineStr">
        <is>
          <t>NORRTÄLJE</t>
        </is>
      </c>
      <c r="G587" t="n">
        <v>7.3</v>
      </c>
      <c r="H587" t="n">
        <v>0</v>
      </c>
      <c r="I587" t="n">
        <v>0</v>
      </c>
      <c r="J587" t="n">
        <v>0</v>
      </c>
      <c r="K587" t="n">
        <v>0</v>
      </c>
      <c r="L587" t="n">
        <v>0</v>
      </c>
      <c r="M587" t="n">
        <v>0</v>
      </c>
      <c r="N587" t="n">
        <v>0</v>
      </c>
      <c r="O587" t="n">
        <v>0</v>
      </c>
      <c r="P587" t="n">
        <v>0</v>
      </c>
      <c r="Q587" t="n">
        <v>0</v>
      </c>
      <c r="R587" s="2" t="inlineStr"/>
    </row>
    <row r="588" ht="15" customHeight="1">
      <c r="A588" t="inlineStr">
        <is>
          <t>A 54273-2021</t>
        </is>
      </c>
      <c r="B588" s="1" t="n">
        <v>44470</v>
      </c>
      <c r="C588" s="1" t="n">
        <v>45475</v>
      </c>
      <c r="D588" t="inlineStr">
        <is>
          <t>STOCKHOLMS LÄN</t>
        </is>
      </c>
      <c r="E588" t="inlineStr">
        <is>
          <t>NORRTÄLJE</t>
        </is>
      </c>
      <c r="G588" t="n">
        <v>2.7</v>
      </c>
      <c r="H588" t="n">
        <v>0</v>
      </c>
      <c r="I588" t="n">
        <v>0</v>
      </c>
      <c r="J588" t="n">
        <v>0</v>
      </c>
      <c r="K588" t="n">
        <v>0</v>
      </c>
      <c r="L588" t="n">
        <v>0</v>
      </c>
      <c r="M588" t="n">
        <v>0</v>
      </c>
      <c r="N588" t="n">
        <v>0</v>
      </c>
      <c r="O588" t="n">
        <v>0</v>
      </c>
      <c r="P588" t="n">
        <v>0</v>
      </c>
      <c r="Q588" t="n">
        <v>0</v>
      </c>
      <c r="R588" s="2" t="inlineStr"/>
    </row>
    <row r="589" ht="15" customHeight="1">
      <c r="A589" t="inlineStr">
        <is>
          <t>A 54272-2021</t>
        </is>
      </c>
      <c r="B589" s="1" t="n">
        <v>44470</v>
      </c>
      <c r="C589" s="1" t="n">
        <v>45475</v>
      </c>
      <c r="D589" t="inlineStr">
        <is>
          <t>STOCKHOLMS LÄN</t>
        </is>
      </c>
      <c r="E589" t="inlineStr">
        <is>
          <t>NORRTÄLJE</t>
        </is>
      </c>
      <c r="G589" t="n">
        <v>5.8</v>
      </c>
      <c r="H589" t="n">
        <v>0</v>
      </c>
      <c r="I589" t="n">
        <v>0</v>
      </c>
      <c r="J589" t="n">
        <v>0</v>
      </c>
      <c r="K589" t="n">
        <v>0</v>
      </c>
      <c r="L589" t="n">
        <v>0</v>
      </c>
      <c r="M589" t="n">
        <v>0</v>
      </c>
      <c r="N589" t="n">
        <v>0</v>
      </c>
      <c r="O589" t="n">
        <v>0</v>
      </c>
      <c r="P589" t="n">
        <v>0</v>
      </c>
      <c r="Q589" t="n">
        <v>0</v>
      </c>
      <c r="R589" s="2" t="inlineStr"/>
    </row>
    <row r="590" ht="15" customHeight="1">
      <c r="A590" t="inlineStr">
        <is>
          <t>A 54396-2021</t>
        </is>
      </c>
      <c r="B590" s="1" t="n">
        <v>44472</v>
      </c>
      <c r="C590" s="1" t="n">
        <v>45475</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55058-2021</t>
        </is>
      </c>
      <c r="B591" s="1" t="n">
        <v>44474</v>
      </c>
      <c r="C591" s="1" t="n">
        <v>45475</v>
      </c>
      <c r="D591" t="inlineStr">
        <is>
          <t>STOCKHOLMS LÄN</t>
        </is>
      </c>
      <c r="E591" t="inlineStr">
        <is>
          <t>NORRTÄLJE</t>
        </is>
      </c>
      <c r="G591" t="n">
        <v>1.9</v>
      </c>
      <c r="H591" t="n">
        <v>0</v>
      </c>
      <c r="I591" t="n">
        <v>0</v>
      </c>
      <c r="J591" t="n">
        <v>0</v>
      </c>
      <c r="K591" t="n">
        <v>0</v>
      </c>
      <c r="L591" t="n">
        <v>0</v>
      </c>
      <c r="M591" t="n">
        <v>0</v>
      </c>
      <c r="N591" t="n">
        <v>0</v>
      </c>
      <c r="O591" t="n">
        <v>0</v>
      </c>
      <c r="P591" t="n">
        <v>0</v>
      </c>
      <c r="Q591" t="n">
        <v>0</v>
      </c>
      <c r="R591" s="2" t="inlineStr"/>
    </row>
    <row r="592" ht="15" customHeight="1">
      <c r="A592" t="inlineStr">
        <is>
          <t>A 56219-2021</t>
        </is>
      </c>
      <c r="B592" s="1" t="n">
        <v>44477</v>
      </c>
      <c r="C592" s="1" t="n">
        <v>45475</v>
      </c>
      <c r="D592" t="inlineStr">
        <is>
          <t>STOCKHOLMS LÄN</t>
        </is>
      </c>
      <c r="E592" t="inlineStr">
        <is>
          <t>NORRTÄLJE</t>
        </is>
      </c>
      <c r="F592" t="inlineStr">
        <is>
          <t>Kommuner</t>
        </is>
      </c>
      <c r="G592" t="n">
        <v>2.3</v>
      </c>
      <c r="H592" t="n">
        <v>0</v>
      </c>
      <c r="I592" t="n">
        <v>0</v>
      </c>
      <c r="J592" t="n">
        <v>0</v>
      </c>
      <c r="K592" t="n">
        <v>0</v>
      </c>
      <c r="L592" t="n">
        <v>0</v>
      </c>
      <c r="M592" t="n">
        <v>0</v>
      </c>
      <c r="N592" t="n">
        <v>0</v>
      </c>
      <c r="O592" t="n">
        <v>0</v>
      </c>
      <c r="P592" t="n">
        <v>0</v>
      </c>
      <c r="Q592" t="n">
        <v>0</v>
      </c>
      <c r="R592" s="2" t="inlineStr"/>
    </row>
    <row r="593" ht="15" customHeight="1">
      <c r="A593" t="inlineStr">
        <is>
          <t>A 56225-2021</t>
        </is>
      </c>
      <c r="B593" s="1" t="n">
        <v>44478</v>
      </c>
      <c r="C593" s="1" t="n">
        <v>45475</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56878-2021</t>
        </is>
      </c>
      <c r="B594" s="1" t="n">
        <v>44481</v>
      </c>
      <c r="C594" s="1" t="n">
        <v>45475</v>
      </c>
      <c r="D594" t="inlineStr">
        <is>
          <t>STOCKHOLMS LÄN</t>
        </is>
      </c>
      <c r="E594" t="inlineStr">
        <is>
          <t>NORRTÄLJE</t>
        </is>
      </c>
      <c r="G594" t="n">
        <v>4.5</v>
      </c>
      <c r="H594" t="n">
        <v>0</v>
      </c>
      <c r="I594" t="n">
        <v>0</v>
      </c>
      <c r="J594" t="n">
        <v>0</v>
      </c>
      <c r="K594" t="n">
        <v>0</v>
      </c>
      <c r="L594" t="n">
        <v>0</v>
      </c>
      <c r="M594" t="n">
        <v>0</v>
      </c>
      <c r="N594" t="n">
        <v>0</v>
      </c>
      <c r="O594" t="n">
        <v>0</v>
      </c>
      <c r="P594" t="n">
        <v>0</v>
      </c>
      <c r="Q594" t="n">
        <v>0</v>
      </c>
      <c r="R594" s="2" t="inlineStr"/>
    </row>
    <row r="595" ht="15" customHeight="1">
      <c r="A595" t="inlineStr">
        <is>
          <t>A 57442-2021</t>
        </is>
      </c>
      <c r="B595" s="1" t="n">
        <v>44483</v>
      </c>
      <c r="C595" s="1" t="n">
        <v>45475</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57507-2021</t>
        </is>
      </c>
      <c r="B596" s="1" t="n">
        <v>44483</v>
      </c>
      <c r="C596" s="1" t="n">
        <v>45475</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58989-2021</t>
        </is>
      </c>
      <c r="B597" s="1" t="n">
        <v>44490</v>
      </c>
      <c r="C597" s="1" t="n">
        <v>45475</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58990-2021</t>
        </is>
      </c>
      <c r="B598" s="1" t="n">
        <v>44490</v>
      </c>
      <c r="C598" s="1" t="n">
        <v>45475</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60217-2021</t>
        </is>
      </c>
      <c r="B599" s="1" t="n">
        <v>44495</v>
      </c>
      <c r="C599" s="1" t="n">
        <v>45475</v>
      </c>
      <c r="D599" t="inlineStr">
        <is>
          <t>STOCKHOLMS LÄN</t>
        </is>
      </c>
      <c r="E599" t="inlineStr">
        <is>
          <t>NORRTÄLJE</t>
        </is>
      </c>
      <c r="G599" t="n">
        <v>4.3</v>
      </c>
      <c r="H599" t="n">
        <v>0</v>
      </c>
      <c r="I599" t="n">
        <v>0</v>
      </c>
      <c r="J599" t="n">
        <v>0</v>
      </c>
      <c r="K599" t="n">
        <v>0</v>
      </c>
      <c r="L599" t="n">
        <v>0</v>
      </c>
      <c r="M599" t="n">
        <v>0</v>
      </c>
      <c r="N599" t="n">
        <v>0</v>
      </c>
      <c r="O599" t="n">
        <v>0</v>
      </c>
      <c r="P599" t="n">
        <v>0</v>
      </c>
      <c r="Q599" t="n">
        <v>0</v>
      </c>
      <c r="R599" s="2" t="inlineStr"/>
    </row>
    <row r="600" ht="15" customHeight="1">
      <c r="A600" t="inlineStr">
        <is>
          <t>A 60184-2021</t>
        </is>
      </c>
      <c r="B600" s="1" t="n">
        <v>44495</v>
      </c>
      <c r="C600" s="1" t="n">
        <v>45475</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60186-2021</t>
        </is>
      </c>
      <c r="B601" s="1" t="n">
        <v>44495</v>
      </c>
      <c r="C601" s="1" t="n">
        <v>45475</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60209-2021</t>
        </is>
      </c>
      <c r="B602" s="1" t="n">
        <v>44495</v>
      </c>
      <c r="C602" s="1" t="n">
        <v>45475</v>
      </c>
      <c r="D602" t="inlineStr">
        <is>
          <t>STOCKHOLMS LÄN</t>
        </is>
      </c>
      <c r="E602" t="inlineStr">
        <is>
          <t>NORRTÄLJE</t>
        </is>
      </c>
      <c r="G602" t="n">
        <v>4.3</v>
      </c>
      <c r="H602" t="n">
        <v>0</v>
      </c>
      <c r="I602" t="n">
        <v>0</v>
      </c>
      <c r="J602" t="n">
        <v>0</v>
      </c>
      <c r="K602" t="n">
        <v>0</v>
      </c>
      <c r="L602" t="n">
        <v>0</v>
      </c>
      <c r="M602" t="n">
        <v>0</v>
      </c>
      <c r="N602" t="n">
        <v>0</v>
      </c>
      <c r="O602" t="n">
        <v>0</v>
      </c>
      <c r="P602" t="n">
        <v>0</v>
      </c>
      <c r="Q602" t="n">
        <v>0</v>
      </c>
      <c r="R602" s="2" t="inlineStr"/>
    </row>
    <row r="603" ht="15" customHeight="1">
      <c r="A603" t="inlineStr">
        <is>
          <t>A 60671-2021</t>
        </is>
      </c>
      <c r="B603" s="1" t="n">
        <v>44496</v>
      </c>
      <c r="C603" s="1" t="n">
        <v>45475</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60733-2021</t>
        </is>
      </c>
      <c r="B604" s="1" t="n">
        <v>44496</v>
      </c>
      <c r="C604" s="1" t="n">
        <v>45475</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60813-2021</t>
        </is>
      </c>
      <c r="B605" s="1" t="n">
        <v>44496</v>
      </c>
      <c r="C605" s="1" t="n">
        <v>45475</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60822-2021</t>
        </is>
      </c>
      <c r="B606" s="1" t="n">
        <v>44496</v>
      </c>
      <c r="C606" s="1" t="n">
        <v>45475</v>
      </c>
      <c r="D606" t="inlineStr">
        <is>
          <t>STOCKHOLMS LÄN</t>
        </is>
      </c>
      <c r="E606" t="inlineStr">
        <is>
          <t>NORRTÄLJE</t>
        </is>
      </c>
      <c r="G606" t="n">
        <v>7.6</v>
      </c>
      <c r="H606" t="n">
        <v>0</v>
      </c>
      <c r="I606" t="n">
        <v>0</v>
      </c>
      <c r="J606" t="n">
        <v>0</v>
      </c>
      <c r="K606" t="n">
        <v>0</v>
      </c>
      <c r="L606" t="n">
        <v>0</v>
      </c>
      <c r="M606" t="n">
        <v>0</v>
      </c>
      <c r="N606" t="n">
        <v>0</v>
      </c>
      <c r="O606" t="n">
        <v>0</v>
      </c>
      <c r="P606" t="n">
        <v>0</v>
      </c>
      <c r="Q606" t="n">
        <v>0</v>
      </c>
      <c r="R606" s="2" t="inlineStr"/>
    </row>
    <row r="607" ht="15" customHeight="1">
      <c r="A607" t="inlineStr">
        <is>
          <t>A 62030-2021</t>
        </is>
      </c>
      <c r="B607" s="1" t="n">
        <v>44502</v>
      </c>
      <c r="C607" s="1" t="n">
        <v>45475</v>
      </c>
      <c r="D607" t="inlineStr">
        <is>
          <t>STOCKHOLMS LÄN</t>
        </is>
      </c>
      <c r="E607" t="inlineStr">
        <is>
          <t>NORRTÄLJE</t>
        </is>
      </c>
      <c r="G607" t="n">
        <v>4.7</v>
      </c>
      <c r="H607" t="n">
        <v>0</v>
      </c>
      <c r="I607" t="n">
        <v>0</v>
      </c>
      <c r="J607" t="n">
        <v>0</v>
      </c>
      <c r="K607" t="n">
        <v>0</v>
      </c>
      <c r="L607" t="n">
        <v>0</v>
      </c>
      <c r="M607" t="n">
        <v>0</v>
      </c>
      <c r="N607" t="n">
        <v>0</v>
      </c>
      <c r="O607" t="n">
        <v>0</v>
      </c>
      <c r="P607" t="n">
        <v>0</v>
      </c>
      <c r="Q607" t="n">
        <v>0</v>
      </c>
      <c r="R607" s="2" t="inlineStr"/>
    </row>
    <row r="608" ht="15" customHeight="1">
      <c r="A608" t="inlineStr">
        <is>
          <t>A 63530-2021</t>
        </is>
      </c>
      <c r="B608" s="1" t="n">
        <v>44508</v>
      </c>
      <c r="C608" s="1" t="n">
        <v>45475</v>
      </c>
      <c r="D608" t="inlineStr">
        <is>
          <t>STOCKHOLMS LÄN</t>
        </is>
      </c>
      <c r="E608" t="inlineStr">
        <is>
          <t>NORRTÄLJE</t>
        </is>
      </c>
      <c r="G608" t="n">
        <v>8.9</v>
      </c>
      <c r="H608" t="n">
        <v>0</v>
      </c>
      <c r="I608" t="n">
        <v>0</v>
      </c>
      <c r="J608" t="n">
        <v>0</v>
      </c>
      <c r="K608" t="n">
        <v>0</v>
      </c>
      <c r="L608" t="n">
        <v>0</v>
      </c>
      <c r="M608" t="n">
        <v>0</v>
      </c>
      <c r="N608" t="n">
        <v>0</v>
      </c>
      <c r="O608" t="n">
        <v>0</v>
      </c>
      <c r="P608" t="n">
        <v>0</v>
      </c>
      <c r="Q608" t="n">
        <v>0</v>
      </c>
      <c r="R608" s="2" t="inlineStr"/>
    </row>
    <row r="609" ht="15" customHeight="1">
      <c r="A609" t="inlineStr">
        <is>
          <t>A 64137-2021</t>
        </is>
      </c>
      <c r="B609" s="1" t="n">
        <v>44510</v>
      </c>
      <c r="C609" s="1" t="n">
        <v>45475</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64212-2021</t>
        </is>
      </c>
      <c r="B610" s="1" t="n">
        <v>44510</v>
      </c>
      <c r="C610" s="1" t="n">
        <v>45475</v>
      </c>
      <c r="D610" t="inlineStr">
        <is>
          <t>STOCKHOLMS LÄN</t>
        </is>
      </c>
      <c r="E610" t="inlineStr">
        <is>
          <t>NORRTÄLJE</t>
        </is>
      </c>
      <c r="G610" t="n">
        <v>28.7</v>
      </c>
      <c r="H610" t="n">
        <v>0</v>
      </c>
      <c r="I610" t="n">
        <v>0</v>
      </c>
      <c r="J610" t="n">
        <v>0</v>
      </c>
      <c r="K610" t="n">
        <v>0</v>
      </c>
      <c r="L610" t="n">
        <v>0</v>
      </c>
      <c r="M610" t="n">
        <v>0</v>
      </c>
      <c r="N610" t="n">
        <v>0</v>
      </c>
      <c r="O610" t="n">
        <v>0</v>
      </c>
      <c r="P610" t="n">
        <v>0</v>
      </c>
      <c r="Q610" t="n">
        <v>0</v>
      </c>
      <c r="R610" s="2" t="inlineStr"/>
    </row>
    <row r="611" ht="15" customHeight="1">
      <c r="A611" t="inlineStr">
        <is>
          <t>A 64074-2021</t>
        </is>
      </c>
      <c r="B611" s="1" t="n">
        <v>44510</v>
      </c>
      <c r="C611" s="1" t="n">
        <v>45475</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64145-2021</t>
        </is>
      </c>
      <c r="B612" s="1" t="n">
        <v>44510</v>
      </c>
      <c r="C612" s="1" t="n">
        <v>45475</v>
      </c>
      <c r="D612" t="inlineStr">
        <is>
          <t>STOCKHOLMS LÄN</t>
        </is>
      </c>
      <c r="E612" t="inlineStr">
        <is>
          <t>NORRTÄLJE</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64600-2021</t>
        </is>
      </c>
      <c r="B613" s="1" t="n">
        <v>44511</v>
      </c>
      <c r="C613" s="1" t="n">
        <v>45475</v>
      </c>
      <c r="D613" t="inlineStr">
        <is>
          <t>STOCKHOLMS LÄN</t>
        </is>
      </c>
      <c r="E613" t="inlineStr">
        <is>
          <t>NORRTÄLJE</t>
        </is>
      </c>
      <c r="G613" t="n">
        <v>6.2</v>
      </c>
      <c r="H613" t="n">
        <v>0</v>
      </c>
      <c r="I613" t="n">
        <v>0</v>
      </c>
      <c r="J613" t="n">
        <v>0</v>
      </c>
      <c r="K613" t="n">
        <v>0</v>
      </c>
      <c r="L613" t="n">
        <v>0</v>
      </c>
      <c r="M613" t="n">
        <v>0</v>
      </c>
      <c r="N613" t="n">
        <v>0</v>
      </c>
      <c r="O613" t="n">
        <v>0</v>
      </c>
      <c r="P613" t="n">
        <v>0</v>
      </c>
      <c r="Q613" t="n">
        <v>0</v>
      </c>
      <c r="R613" s="2" t="inlineStr"/>
    </row>
    <row r="614" ht="15" customHeight="1">
      <c r="A614" t="inlineStr">
        <is>
          <t>A 64599-2021</t>
        </is>
      </c>
      <c r="B614" s="1" t="n">
        <v>44511</v>
      </c>
      <c r="C614" s="1" t="n">
        <v>45475</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64628-2021</t>
        </is>
      </c>
      <c r="B615" s="1" t="n">
        <v>44511</v>
      </c>
      <c r="C615" s="1" t="n">
        <v>45475</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64915-2021</t>
        </is>
      </c>
      <c r="B616" s="1" t="n">
        <v>44512</v>
      </c>
      <c r="C616" s="1" t="n">
        <v>45475</v>
      </c>
      <c r="D616" t="inlineStr">
        <is>
          <t>STOCKHOLMS LÄN</t>
        </is>
      </c>
      <c r="E616" t="inlineStr">
        <is>
          <t>NORRTÄLJE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65359-2021</t>
        </is>
      </c>
      <c r="B617" s="1" t="n">
        <v>44515</v>
      </c>
      <c r="C617" s="1" t="n">
        <v>45475</v>
      </c>
      <c r="D617" t="inlineStr">
        <is>
          <t>STOCKHOLMS LÄN</t>
        </is>
      </c>
      <c r="E617" t="inlineStr">
        <is>
          <t>NORRTÄLJE</t>
        </is>
      </c>
      <c r="F617" t="inlineStr">
        <is>
          <t>Kyrkan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65499-2021</t>
        </is>
      </c>
      <c r="B618" s="1" t="n">
        <v>44516</v>
      </c>
      <c r="C618" s="1" t="n">
        <v>45475</v>
      </c>
      <c r="D618" t="inlineStr">
        <is>
          <t>STOCKHOLMS LÄN</t>
        </is>
      </c>
      <c r="E618" t="inlineStr">
        <is>
          <t>NORRTÄLJE</t>
        </is>
      </c>
      <c r="F618" t="inlineStr">
        <is>
          <t>Kommuner</t>
        </is>
      </c>
      <c r="G618" t="n">
        <v>5.2</v>
      </c>
      <c r="H618" t="n">
        <v>0</v>
      </c>
      <c r="I618" t="n">
        <v>0</v>
      </c>
      <c r="J618" t="n">
        <v>0</v>
      </c>
      <c r="K618" t="n">
        <v>0</v>
      </c>
      <c r="L618" t="n">
        <v>0</v>
      </c>
      <c r="M618" t="n">
        <v>0</v>
      </c>
      <c r="N618" t="n">
        <v>0</v>
      </c>
      <c r="O618" t="n">
        <v>0</v>
      </c>
      <c r="P618" t="n">
        <v>0</v>
      </c>
      <c r="Q618" t="n">
        <v>0</v>
      </c>
      <c r="R618" s="2" t="inlineStr"/>
    </row>
    <row r="619" ht="15" customHeight="1">
      <c r="A619" t="inlineStr">
        <is>
          <t>A 65513-2021</t>
        </is>
      </c>
      <c r="B619" s="1" t="n">
        <v>44516</v>
      </c>
      <c r="C619" s="1" t="n">
        <v>45475</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65511-2021</t>
        </is>
      </c>
      <c r="B620" s="1" t="n">
        <v>44516</v>
      </c>
      <c r="C620" s="1" t="n">
        <v>45475</v>
      </c>
      <c r="D620" t="inlineStr">
        <is>
          <t>STOCKHOLMS LÄN</t>
        </is>
      </c>
      <c r="E620" t="inlineStr">
        <is>
          <t>NORRTÄLJE</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65501-2021</t>
        </is>
      </c>
      <c r="B621" s="1" t="n">
        <v>44516</v>
      </c>
      <c r="C621" s="1" t="n">
        <v>45475</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65509-2021</t>
        </is>
      </c>
      <c r="B622" s="1" t="n">
        <v>44516</v>
      </c>
      <c r="C622" s="1" t="n">
        <v>45475</v>
      </c>
      <c r="D622" t="inlineStr">
        <is>
          <t>STOCKHOLMS LÄN</t>
        </is>
      </c>
      <c r="E622" t="inlineStr">
        <is>
          <t>NORRTÄLJE</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65611-2021</t>
        </is>
      </c>
      <c r="B623" s="1" t="n">
        <v>44516</v>
      </c>
      <c r="C623" s="1" t="n">
        <v>45475</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65737-2021</t>
        </is>
      </c>
      <c r="B624" s="1" t="n">
        <v>44516</v>
      </c>
      <c r="C624" s="1" t="n">
        <v>45475</v>
      </c>
      <c r="D624" t="inlineStr">
        <is>
          <t>STOCKHOLMS LÄN</t>
        </is>
      </c>
      <c r="E624" t="inlineStr">
        <is>
          <t>NORRTÄLJE</t>
        </is>
      </c>
      <c r="G624" t="n">
        <v>3</v>
      </c>
      <c r="H624" t="n">
        <v>0</v>
      </c>
      <c r="I624" t="n">
        <v>0</v>
      </c>
      <c r="J624" t="n">
        <v>0</v>
      </c>
      <c r="K624" t="n">
        <v>0</v>
      </c>
      <c r="L624" t="n">
        <v>0</v>
      </c>
      <c r="M624" t="n">
        <v>0</v>
      </c>
      <c r="N624" t="n">
        <v>0</v>
      </c>
      <c r="O624" t="n">
        <v>0</v>
      </c>
      <c r="P624" t="n">
        <v>0</v>
      </c>
      <c r="Q624" t="n">
        <v>0</v>
      </c>
      <c r="R624" s="2" t="inlineStr"/>
    </row>
    <row r="625" ht="15" customHeight="1">
      <c r="A625" t="inlineStr">
        <is>
          <t>A 66450-2021</t>
        </is>
      </c>
      <c r="B625" s="1" t="n">
        <v>44518</v>
      </c>
      <c r="C625" s="1" t="n">
        <v>45475</v>
      </c>
      <c r="D625" t="inlineStr">
        <is>
          <t>STOCKHOLMS LÄN</t>
        </is>
      </c>
      <c r="E625" t="inlineStr">
        <is>
          <t>NORRTÄLJE</t>
        </is>
      </c>
      <c r="G625" t="n">
        <v>9.1</v>
      </c>
      <c r="H625" t="n">
        <v>0</v>
      </c>
      <c r="I625" t="n">
        <v>0</v>
      </c>
      <c r="J625" t="n">
        <v>0</v>
      </c>
      <c r="K625" t="n">
        <v>0</v>
      </c>
      <c r="L625" t="n">
        <v>0</v>
      </c>
      <c r="M625" t="n">
        <v>0</v>
      </c>
      <c r="N625" t="n">
        <v>0</v>
      </c>
      <c r="O625" t="n">
        <v>0</v>
      </c>
      <c r="P625" t="n">
        <v>0</v>
      </c>
      <c r="Q625" t="n">
        <v>0</v>
      </c>
      <c r="R625" s="2" t="inlineStr"/>
    </row>
    <row r="626" ht="15" customHeight="1">
      <c r="A626" t="inlineStr">
        <is>
          <t>A 66608-2021</t>
        </is>
      </c>
      <c r="B626" s="1" t="n">
        <v>44519</v>
      </c>
      <c r="C626" s="1" t="n">
        <v>45475</v>
      </c>
      <c r="D626" t="inlineStr">
        <is>
          <t>STOCKHOLMS LÄN</t>
        </is>
      </c>
      <c r="E626" t="inlineStr">
        <is>
          <t>NORRTÄLJE</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66592-2021</t>
        </is>
      </c>
      <c r="B627" s="1" t="n">
        <v>44519</v>
      </c>
      <c r="C627" s="1" t="n">
        <v>45475</v>
      </c>
      <c r="D627" t="inlineStr">
        <is>
          <t>STOCKHOLMS LÄN</t>
        </is>
      </c>
      <c r="E627" t="inlineStr">
        <is>
          <t>NORRTÄLJE</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66769-2021</t>
        </is>
      </c>
      <c r="B628" s="1" t="n">
        <v>44521</v>
      </c>
      <c r="C628" s="1" t="n">
        <v>45475</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67285-2021</t>
        </is>
      </c>
      <c r="B629" s="1" t="n">
        <v>44523</v>
      </c>
      <c r="C629" s="1" t="n">
        <v>45475</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67525-2021</t>
        </is>
      </c>
      <c r="B630" s="1" t="n">
        <v>44524</v>
      </c>
      <c r="C630" s="1" t="n">
        <v>45475</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67598-2021</t>
        </is>
      </c>
      <c r="B631" s="1" t="n">
        <v>44524</v>
      </c>
      <c r="C631" s="1" t="n">
        <v>45475</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67921-2021</t>
        </is>
      </c>
      <c r="B632" s="1" t="n">
        <v>44525</v>
      </c>
      <c r="C632" s="1" t="n">
        <v>45475</v>
      </c>
      <c r="D632" t="inlineStr">
        <is>
          <t>STOCKHOLMS LÄN</t>
        </is>
      </c>
      <c r="E632" t="inlineStr">
        <is>
          <t>NORRTÄLJE</t>
        </is>
      </c>
      <c r="G632" t="n">
        <v>6.3</v>
      </c>
      <c r="H632" t="n">
        <v>0</v>
      </c>
      <c r="I632" t="n">
        <v>0</v>
      </c>
      <c r="J632" t="n">
        <v>0</v>
      </c>
      <c r="K632" t="n">
        <v>0</v>
      </c>
      <c r="L632" t="n">
        <v>0</v>
      </c>
      <c r="M632" t="n">
        <v>0</v>
      </c>
      <c r="N632" t="n">
        <v>0</v>
      </c>
      <c r="O632" t="n">
        <v>0</v>
      </c>
      <c r="P632" t="n">
        <v>0</v>
      </c>
      <c r="Q632" t="n">
        <v>0</v>
      </c>
      <c r="R632" s="2" t="inlineStr"/>
    </row>
    <row r="633" ht="15" customHeight="1">
      <c r="A633" t="inlineStr">
        <is>
          <t>A 67990-2021</t>
        </is>
      </c>
      <c r="B633" s="1" t="n">
        <v>44525</v>
      </c>
      <c r="C633" s="1" t="n">
        <v>45475</v>
      </c>
      <c r="D633" t="inlineStr">
        <is>
          <t>STOCKHOLMS LÄN</t>
        </is>
      </c>
      <c r="E633" t="inlineStr">
        <is>
          <t>NORRTÄLJE</t>
        </is>
      </c>
      <c r="F633" t="inlineStr">
        <is>
          <t>Sveaskog</t>
        </is>
      </c>
      <c r="G633" t="n">
        <v>7.8</v>
      </c>
      <c r="H633" t="n">
        <v>0</v>
      </c>
      <c r="I633" t="n">
        <v>0</v>
      </c>
      <c r="J633" t="n">
        <v>0</v>
      </c>
      <c r="K633" t="n">
        <v>0</v>
      </c>
      <c r="L633" t="n">
        <v>0</v>
      </c>
      <c r="M633" t="n">
        <v>0</v>
      </c>
      <c r="N633" t="n">
        <v>0</v>
      </c>
      <c r="O633" t="n">
        <v>0</v>
      </c>
      <c r="P633" t="n">
        <v>0</v>
      </c>
      <c r="Q633" t="n">
        <v>0</v>
      </c>
      <c r="R633" s="2" t="inlineStr"/>
    </row>
    <row r="634" ht="15" customHeight="1">
      <c r="A634" t="inlineStr">
        <is>
          <t>A 67992-2021</t>
        </is>
      </c>
      <c r="B634" s="1" t="n">
        <v>44525</v>
      </c>
      <c r="C634" s="1" t="n">
        <v>45475</v>
      </c>
      <c r="D634" t="inlineStr">
        <is>
          <t>STOCKHOLMS LÄN</t>
        </is>
      </c>
      <c r="E634" t="inlineStr">
        <is>
          <t>NORRTÄLJE</t>
        </is>
      </c>
      <c r="F634" t="inlineStr">
        <is>
          <t>Sveaskog</t>
        </is>
      </c>
      <c r="G634" t="n">
        <v>4.6</v>
      </c>
      <c r="H634" t="n">
        <v>0</v>
      </c>
      <c r="I634" t="n">
        <v>0</v>
      </c>
      <c r="J634" t="n">
        <v>0</v>
      </c>
      <c r="K634" t="n">
        <v>0</v>
      </c>
      <c r="L634" t="n">
        <v>0</v>
      </c>
      <c r="M634" t="n">
        <v>0</v>
      </c>
      <c r="N634" t="n">
        <v>0</v>
      </c>
      <c r="O634" t="n">
        <v>0</v>
      </c>
      <c r="P634" t="n">
        <v>0</v>
      </c>
      <c r="Q634" t="n">
        <v>0</v>
      </c>
      <c r="R634" s="2" t="inlineStr"/>
    </row>
    <row r="635" ht="15" customHeight="1">
      <c r="A635" t="inlineStr">
        <is>
          <t>A 67993-2021</t>
        </is>
      </c>
      <c r="B635" s="1" t="n">
        <v>44525</v>
      </c>
      <c r="C635" s="1" t="n">
        <v>45475</v>
      </c>
      <c r="D635" t="inlineStr">
        <is>
          <t>STOCKHOLMS LÄN</t>
        </is>
      </c>
      <c r="E635" t="inlineStr">
        <is>
          <t>NORRTÄLJE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68273-2021</t>
        </is>
      </c>
      <c r="B636" s="1" t="n">
        <v>44526</v>
      </c>
      <c r="C636" s="1" t="n">
        <v>45475</v>
      </c>
      <c r="D636" t="inlineStr">
        <is>
          <t>STOCKHOLMS LÄN</t>
        </is>
      </c>
      <c r="E636" t="inlineStr">
        <is>
          <t>NORRTÄLJE</t>
        </is>
      </c>
      <c r="G636" t="n">
        <v>5.3</v>
      </c>
      <c r="H636" t="n">
        <v>0</v>
      </c>
      <c r="I636" t="n">
        <v>0</v>
      </c>
      <c r="J636" t="n">
        <v>0</v>
      </c>
      <c r="K636" t="n">
        <v>0</v>
      </c>
      <c r="L636" t="n">
        <v>0</v>
      </c>
      <c r="M636" t="n">
        <v>0</v>
      </c>
      <c r="N636" t="n">
        <v>0</v>
      </c>
      <c r="O636" t="n">
        <v>0</v>
      </c>
      <c r="P636" t="n">
        <v>0</v>
      </c>
      <c r="Q636" t="n">
        <v>0</v>
      </c>
      <c r="R636" s="2" t="inlineStr"/>
    </row>
    <row r="637" ht="15" customHeight="1">
      <c r="A637" t="inlineStr">
        <is>
          <t>A 68361-2021</t>
        </is>
      </c>
      <c r="B637" s="1" t="n">
        <v>44528</v>
      </c>
      <c r="C637" s="1" t="n">
        <v>45475</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69034-2021</t>
        </is>
      </c>
      <c r="B638" s="1" t="n">
        <v>44529</v>
      </c>
      <c r="C638" s="1" t="n">
        <v>45475</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69539-2021</t>
        </is>
      </c>
      <c r="B639" s="1" t="n">
        <v>44531</v>
      </c>
      <c r="C639" s="1" t="n">
        <v>45475</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69723-2021</t>
        </is>
      </c>
      <c r="B640" s="1" t="n">
        <v>44532</v>
      </c>
      <c r="C640" s="1" t="n">
        <v>45475</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69816-2021</t>
        </is>
      </c>
      <c r="B641" s="1" t="n">
        <v>44532</v>
      </c>
      <c r="C641" s="1" t="n">
        <v>45475</v>
      </c>
      <c r="D641" t="inlineStr">
        <is>
          <t>STOCKHOLMS LÄN</t>
        </is>
      </c>
      <c r="E641" t="inlineStr">
        <is>
          <t>NORRTÄLJE</t>
        </is>
      </c>
      <c r="G641" t="n">
        <v>4.9</v>
      </c>
      <c r="H641" t="n">
        <v>0</v>
      </c>
      <c r="I641" t="n">
        <v>0</v>
      </c>
      <c r="J641" t="n">
        <v>0</v>
      </c>
      <c r="K641" t="n">
        <v>0</v>
      </c>
      <c r="L641" t="n">
        <v>0</v>
      </c>
      <c r="M641" t="n">
        <v>0</v>
      </c>
      <c r="N641" t="n">
        <v>0</v>
      </c>
      <c r="O641" t="n">
        <v>0</v>
      </c>
      <c r="P641" t="n">
        <v>0</v>
      </c>
      <c r="Q641" t="n">
        <v>0</v>
      </c>
      <c r="R641" s="2" t="inlineStr"/>
    </row>
    <row r="642" ht="15" customHeight="1">
      <c r="A642" t="inlineStr">
        <is>
          <t>A 70170-2021</t>
        </is>
      </c>
      <c r="B642" s="1" t="n">
        <v>44533</v>
      </c>
      <c r="C642" s="1" t="n">
        <v>45475</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69988-2021</t>
        </is>
      </c>
      <c r="B643" s="1" t="n">
        <v>44533</v>
      </c>
      <c r="C643" s="1" t="n">
        <v>45475</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70469-2021</t>
        </is>
      </c>
      <c r="B644" s="1" t="n">
        <v>44536</v>
      </c>
      <c r="C644" s="1" t="n">
        <v>45475</v>
      </c>
      <c r="D644" t="inlineStr">
        <is>
          <t>STOCKHOLMS LÄN</t>
        </is>
      </c>
      <c r="E644" t="inlineStr">
        <is>
          <t>NORRTÄLJE</t>
        </is>
      </c>
      <c r="F644" t="inlineStr">
        <is>
          <t>Holmen skog AB</t>
        </is>
      </c>
      <c r="G644" t="n">
        <v>2.5</v>
      </c>
      <c r="H644" t="n">
        <v>0</v>
      </c>
      <c r="I644" t="n">
        <v>0</v>
      </c>
      <c r="J644" t="n">
        <v>0</v>
      </c>
      <c r="K644" t="n">
        <v>0</v>
      </c>
      <c r="L644" t="n">
        <v>0</v>
      </c>
      <c r="M644" t="n">
        <v>0</v>
      </c>
      <c r="N644" t="n">
        <v>0</v>
      </c>
      <c r="O644" t="n">
        <v>0</v>
      </c>
      <c r="P644" t="n">
        <v>0</v>
      </c>
      <c r="Q644" t="n">
        <v>0</v>
      </c>
      <c r="R644" s="2" t="inlineStr"/>
    </row>
    <row r="645" ht="15" customHeight="1">
      <c r="A645" t="inlineStr">
        <is>
          <t>A 71325-2021</t>
        </is>
      </c>
      <c r="B645" s="1" t="n">
        <v>44539</v>
      </c>
      <c r="C645" s="1" t="n">
        <v>45475</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71552-2021</t>
        </is>
      </c>
      <c r="B646" s="1" t="n">
        <v>44540</v>
      </c>
      <c r="C646" s="1" t="n">
        <v>45475</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71479-2021</t>
        </is>
      </c>
      <c r="B647" s="1" t="n">
        <v>44540</v>
      </c>
      <c r="C647" s="1" t="n">
        <v>45475</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71543-2021</t>
        </is>
      </c>
      <c r="B648" s="1" t="n">
        <v>44540</v>
      </c>
      <c r="C648" s="1" t="n">
        <v>45475</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71873-2021</t>
        </is>
      </c>
      <c r="B649" s="1" t="n">
        <v>44543</v>
      </c>
      <c r="C649" s="1" t="n">
        <v>45475</v>
      </c>
      <c r="D649" t="inlineStr">
        <is>
          <t>STOCKHOLMS LÄN</t>
        </is>
      </c>
      <c r="E649" t="inlineStr">
        <is>
          <t>NORRTÄLJE</t>
        </is>
      </c>
      <c r="G649" t="n">
        <v>1.4</v>
      </c>
      <c r="H649" t="n">
        <v>0</v>
      </c>
      <c r="I649" t="n">
        <v>0</v>
      </c>
      <c r="J649" t="n">
        <v>0</v>
      </c>
      <c r="K649" t="n">
        <v>0</v>
      </c>
      <c r="L649" t="n">
        <v>0</v>
      </c>
      <c r="M649" t="n">
        <v>0</v>
      </c>
      <c r="N649" t="n">
        <v>0</v>
      </c>
      <c r="O649" t="n">
        <v>0</v>
      </c>
      <c r="P649" t="n">
        <v>0</v>
      </c>
      <c r="Q649" t="n">
        <v>0</v>
      </c>
      <c r="R649" s="2" t="inlineStr"/>
    </row>
    <row r="650" ht="15" customHeight="1">
      <c r="A650" t="inlineStr">
        <is>
          <t>A 71876-2021</t>
        </is>
      </c>
      <c r="B650" s="1" t="n">
        <v>44543</v>
      </c>
      <c r="C650" s="1" t="n">
        <v>45475</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71880-2021</t>
        </is>
      </c>
      <c r="B651" s="1" t="n">
        <v>44543</v>
      </c>
      <c r="C651" s="1" t="n">
        <v>45475</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71871-2021</t>
        </is>
      </c>
      <c r="B652" s="1" t="n">
        <v>44543</v>
      </c>
      <c r="C652" s="1" t="n">
        <v>45475</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71878-2021</t>
        </is>
      </c>
      <c r="B653" s="1" t="n">
        <v>44543</v>
      </c>
      <c r="C653" s="1" t="n">
        <v>45475</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72085-2021</t>
        </is>
      </c>
      <c r="B654" s="1" t="n">
        <v>44544</v>
      </c>
      <c r="C654" s="1" t="n">
        <v>45475</v>
      </c>
      <c r="D654" t="inlineStr">
        <is>
          <t>STOCKHOLMS LÄN</t>
        </is>
      </c>
      <c r="E654" t="inlineStr">
        <is>
          <t>NORRTÄLJE</t>
        </is>
      </c>
      <c r="G654" t="n">
        <v>4.9</v>
      </c>
      <c r="H654" t="n">
        <v>0</v>
      </c>
      <c r="I654" t="n">
        <v>0</v>
      </c>
      <c r="J654" t="n">
        <v>0</v>
      </c>
      <c r="K654" t="n">
        <v>0</v>
      </c>
      <c r="L654" t="n">
        <v>0</v>
      </c>
      <c r="M654" t="n">
        <v>0</v>
      </c>
      <c r="N654" t="n">
        <v>0</v>
      </c>
      <c r="O654" t="n">
        <v>0</v>
      </c>
      <c r="P654" t="n">
        <v>0</v>
      </c>
      <c r="Q654" t="n">
        <v>0</v>
      </c>
      <c r="R654" s="2" t="inlineStr"/>
    </row>
    <row r="655" ht="15" customHeight="1">
      <c r="A655" t="inlineStr">
        <is>
          <t>A 72202-2021</t>
        </is>
      </c>
      <c r="B655" s="1" t="n">
        <v>44544</v>
      </c>
      <c r="C655" s="1" t="n">
        <v>45475</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72308-2021</t>
        </is>
      </c>
      <c r="B656" s="1" t="n">
        <v>44545</v>
      </c>
      <c r="C656" s="1" t="n">
        <v>45475</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72343-2021</t>
        </is>
      </c>
      <c r="B657" s="1" t="n">
        <v>44545</v>
      </c>
      <c r="C657" s="1" t="n">
        <v>45475</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72357-2021</t>
        </is>
      </c>
      <c r="B658" s="1" t="n">
        <v>44545</v>
      </c>
      <c r="C658" s="1" t="n">
        <v>45475</v>
      </c>
      <c r="D658" t="inlineStr">
        <is>
          <t>STOCKHOLMS LÄN</t>
        </is>
      </c>
      <c r="E658" t="inlineStr">
        <is>
          <t>NORRTÄLJE</t>
        </is>
      </c>
      <c r="G658" t="n">
        <v>5.1</v>
      </c>
      <c r="H658" t="n">
        <v>0</v>
      </c>
      <c r="I658" t="n">
        <v>0</v>
      </c>
      <c r="J658" t="n">
        <v>0</v>
      </c>
      <c r="K658" t="n">
        <v>0</v>
      </c>
      <c r="L658" t="n">
        <v>0</v>
      </c>
      <c r="M658" t="n">
        <v>0</v>
      </c>
      <c r="N658" t="n">
        <v>0</v>
      </c>
      <c r="O658" t="n">
        <v>0</v>
      </c>
      <c r="P658" t="n">
        <v>0</v>
      </c>
      <c r="Q658" t="n">
        <v>0</v>
      </c>
      <c r="R658" s="2" t="inlineStr"/>
    </row>
    <row r="659" ht="15" customHeight="1">
      <c r="A659" t="inlineStr">
        <is>
          <t>A 72355-2021</t>
        </is>
      </c>
      <c r="B659" s="1" t="n">
        <v>44545</v>
      </c>
      <c r="C659" s="1" t="n">
        <v>45475</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72353-2021</t>
        </is>
      </c>
      <c r="B660" s="1" t="n">
        <v>44545</v>
      </c>
      <c r="C660" s="1" t="n">
        <v>45475</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72747-2021</t>
        </is>
      </c>
      <c r="B661" s="1" t="n">
        <v>44546</v>
      </c>
      <c r="C661" s="1" t="n">
        <v>45475</v>
      </c>
      <c r="D661" t="inlineStr">
        <is>
          <t>STOCKHOLMS LÄN</t>
        </is>
      </c>
      <c r="E661" t="inlineStr">
        <is>
          <t>NORRTÄLJE</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72704-2021</t>
        </is>
      </c>
      <c r="B662" s="1" t="n">
        <v>44546</v>
      </c>
      <c r="C662" s="1" t="n">
        <v>45475</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72890-2021</t>
        </is>
      </c>
      <c r="B663" s="1" t="n">
        <v>44547</v>
      </c>
      <c r="C663" s="1" t="n">
        <v>45475</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73311-2021</t>
        </is>
      </c>
      <c r="B664" s="1" t="n">
        <v>44549</v>
      </c>
      <c r="C664" s="1" t="n">
        <v>45475</v>
      </c>
      <c r="D664" t="inlineStr">
        <is>
          <t>STOCKHOLMS LÄN</t>
        </is>
      </c>
      <c r="E664" t="inlineStr">
        <is>
          <t>NORRTÄLJE</t>
        </is>
      </c>
      <c r="G664" t="n">
        <v>5.2</v>
      </c>
      <c r="H664" t="n">
        <v>0</v>
      </c>
      <c r="I664" t="n">
        <v>0</v>
      </c>
      <c r="J664" t="n">
        <v>0</v>
      </c>
      <c r="K664" t="n">
        <v>0</v>
      </c>
      <c r="L664" t="n">
        <v>0</v>
      </c>
      <c r="M664" t="n">
        <v>0</v>
      </c>
      <c r="N664" t="n">
        <v>0</v>
      </c>
      <c r="O664" t="n">
        <v>0</v>
      </c>
      <c r="P664" t="n">
        <v>0</v>
      </c>
      <c r="Q664" t="n">
        <v>0</v>
      </c>
      <c r="R664" s="2" t="inlineStr"/>
    </row>
    <row r="665" ht="15" customHeight="1">
      <c r="A665" t="inlineStr">
        <is>
          <t>A 73307-2021</t>
        </is>
      </c>
      <c r="B665" s="1" t="n">
        <v>44549</v>
      </c>
      <c r="C665" s="1" t="n">
        <v>45475</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73271-2021</t>
        </is>
      </c>
      <c r="B666" s="1" t="n">
        <v>44550</v>
      </c>
      <c r="C666" s="1" t="n">
        <v>45475</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73504-2021</t>
        </is>
      </c>
      <c r="B667" s="1" t="n">
        <v>44551</v>
      </c>
      <c r="C667" s="1" t="n">
        <v>45475</v>
      </c>
      <c r="D667" t="inlineStr">
        <is>
          <t>STOCKHOLMS LÄN</t>
        </is>
      </c>
      <c r="E667" t="inlineStr">
        <is>
          <t>NORRTÄLJE</t>
        </is>
      </c>
      <c r="G667" t="n">
        <v>4.7</v>
      </c>
      <c r="H667" t="n">
        <v>0</v>
      </c>
      <c r="I667" t="n">
        <v>0</v>
      </c>
      <c r="J667" t="n">
        <v>0</v>
      </c>
      <c r="K667" t="n">
        <v>0</v>
      </c>
      <c r="L667" t="n">
        <v>0</v>
      </c>
      <c r="M667" t="n">
        <v>0</v>
      </c>
      <c r="N667" t="n">
        <v>0</v>
      </c>
      <c r="O667" t="n">
        <v>0</v>
      </c>
      <c r="P667" t="n">
        <v>0</v>
      </c>
      <c r="Q667" t="n">
        <v>0</v>
      </c>
      <c r="R667" s="2" t="inlineStr"/>
    </row>
    <row r="668" ht="15" customHeight="1">
      <c r="A668" t="inlineStr">
        <is>
          <t>A 73855-2021</t>
        </is>
      </c>
      <c r="B668" s="1" t="n">
        <v>44552</v>
      </c>
      <c r="C668" s="1" t="n">
        <v>45475</v>
      </c>
      <c r="D668" t="inlineStr">
        <is>
          <t>STOCKHOLMS LÄN</t>
        </is>
      </c>
      <c r="E668" t="inlineStr">
        <is>
          <t>NORRTÄLJE</t>
        </is>
      </c>
      <c r="F668" t="inlineStr">
        <is>
          <t>Övriga Aktiebolag</t>
        </is>
      </c>
      <c r="G668" t="n">
        <v>4</v>
      </c>
      <c r="H668" t="n">
        <v>0</v>
      </c>
      <c r="I668" t="n">
        <v>0</v>
      </c>
      <c r="J668" t="n">
        <v>0</v>
      </c>
      <c r="K668" t="n">
        <v>0</v>
      </c>
      <c r="L668" t="n">
        <v>0</v>
      </c>
      <c r="M668" t="n">
        <v>0</v>
      </c>
      <c r="N668" t="n">
        <v>0</v>
      </c>
      <c r="O668" t="n">
        <v>0</v>
      </c>
      <c r="P668" t="n">
        <v>0</v>
      </c>
      <c r="Q668" t="n">
        <v>0</v>
      </c>
      <c r="R668" s="2" t="inlineStr"/>
    </row>
    <row r="669" ht="15" customHeight="1">
      <c r="A669" t="inlineStr">
        <is>
          <t>A 73992-2021</t>
        </is>
      </c>
      <c r="B669" s="1" t="n">
        <v>44556</v>
      </c>
      <c r="C669" s="1" t="n">
        <v>45475</v>
      </c>
      <c r="D669" t="inlineStr">
        <is>
          <t>STOCKHOLMS LÄN</t>
        </is>
      </c>
      <c r="E669" t="inlineStr">
        <is>
          <t>NORRTÄLJE</t>
        </is>
      </c>
      <c r="G669" t="n">
        <v>12.5</v>
      </c>
      <c r="H669" t="n">
        <v>0</v>
      </c>
      <c r="I669" t="n">
        <v>0</v>
      </c>
      <c r="J669" t="n">
        <v>0</v>
      </c>
      <c r="K669" t="n">
        <v>0</v>
      </c>
      <c r="L669" t="n">
        <v>0</v>
      </c>
      <c r="M669" t="n">
        <v>0</v>
      </c>
      <c r="N669" t="n">
        <v>0</v>
      </c>
      <c r="O669" t="n">
        <v>0</v>
      </c>
      <c r="P669" t="n">
        <v>0</v>
      </c>
      <c r="Q669" t="n">
        <v>0</v>
      </c>
      <c r="R669" s="2" t="inlineStr"/>
    </row>
    <row r="670" ht="15" customHeight="1">
      <c r="A670" t="inlineStr">
        <is>
          <t>A 73993-2021</t>
        </is>
      </c>
      <c r="B670" s="1" t="n">
        <v>44556</v>
      </c>
      <c r="C670" s="1" t="n">
        <v>45475</v>
      </c>
      <c r="D670" t="inlineStr">
        <is>
          <t>STOCKHOLMS LÄN</t>
        </is>
      </c>
      <c r="E670" t="inlineStr">
        <is>
          <t>NORRTÄLJE</t>
        </is>
      </c>
      <c r="G670" t="n">
        <v>5</v>
      </c>
      <c r="H670" t="n">
        <v>0</v>
      </c>
      <c r="I670" t="n">
        <v>0</v>
      </c>
      <c r="J670" t="n">
        <v>0</v>
      </c>
      <c r="K670" t="n">
        <v>0</v>
      </c>
      <c r="L670" t="n">
        <v>0</v>
      </c>
      <c r="M670" t="n">
        <v>0</v>
      </c>
      <c r="N670" t="n">
        <v>0</v>
      </c>
      <c r="O670" t="n">
        <v>0</v>
      </c>
      <c r="P670" t="n">
        <v>0</v>
      </c>
      <c r="Q670" t="n">
        <v>0</v>
      </c>
      <c r="R670" s="2" t="inlineStr"/>
    </row>
    <row r="671" ht="15" customHeight="1">
      <c r="A671" t="inlineStr">
        <is>
          <t>A 74468-2021</t>
        </is>
      </c>
      <c r="B671" s="1" t="n">
        <v>44560</v>
      </c>
      <c r="C671" s="1" t="n">
        <v>45475</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185-2022</t>
        </is>
      </c>
      <c r="B672" s="1" t="n">
        <v>44564</v>
      </c>
      <c r="C672" s="1" t="n">
        <v>45475</v>
      </c>
      <c r="D672" t="inlineStr">
        <is>
          <t>STOCKHOLMS LÄN</t>
        </is>
      </c>
      <c r="E672" t="inlineStr">
        <is>
          <t>NORRTÄLJE</t>
        </is>
      </c>
      <c r="G672" t="n">
        <v>3.8</v>
      </c>
      <c r="H672" t="n">
        <v>0</v>
      </c>
      <c r="I672" t="n">
        <v>0</v>
      </c>
      <c r="J672" t="n">
        <v>0</v>
      </c>
      <c r="K672" t="n">
        <v>0</v>
      </c>
      <c r="L672" t="n">
        <v>0</v>
      </c>
      <c r="M672" t="n">
        <v>0</v>
      </c>
      <c r="N672" t="n">
        <v>0</v>
      </c>
      <c r="O672" t="n">
        <v>0</v>
      </c>
      <c r="P672" t="n">
        <v>0</v>
      </c>
      <c r="Q672" t="n">
        <v>0</v>
      </c>
      <c r="R672" s="2" t="inlineStr"/>
    </row>
    <row r="673" ht="15" customHeight="1">
      <c r="A673" t="inlineStr">
        <is>
          <t>A 190-2022</t>
        </is>
      </c>
      <c r="B673" s="1" t="n">
        <v>44564</v>
      </c>
      <c r="C673" s="1" t="n">
        <v>45475</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187-2022</t>
        </is>
      </c>
      <c r="B674" s="1" t="n">
        <v>44564</v>
      </c>
      <c r="C674" s="1" t="n">
        <v>45475</v>
      </c>
      <c r="D674" t="inlineStr">
        <is>
          <t>STOCKHOLMS LÄN</t>
        </is>
      </c>
      <c r="E674" t="inlineStr">
        <is>
          <t>NORRTÄLJE</t>
        </is>
      </c>
      <c r="G674" t="n">
        <v>2.6</v>
      </c>
      <c r="H674" t="n">
        <v>0</v>
      </c>
      <c r="I674" t="n">
        <v>0</v>
      </c>
      <c r="J674" t="n">
        <v>0</v>
      </c>
      <c r="K674" t="n">
        <v>0</v>
      </c>
      <c r="L674" t="n">
        <v>0</v>
      </c>
      <c r="M674" t="n">
        <v>0</v>
      </c>
      <c r="N674" t="n">
        <v>0</v>
      </c>
      <c r="O674" t="n">
        <v>0</v>
      </c>
      <c r="P674" t="n">
        <v>0</v>
      </c>
      <c r="Q674" t="n">
        <v>0</v>
      </c>
      <c r="R674" s="2" t="inlineStr"/>
    </row>
    <row r="675" ht="15" customHeight="1">
      <c r="A675" t="inlineStr">
        <is>
          <t>A 77-2022</t>
        </is>
      </c>
      <c r="B675" s="1" t="n">
        <v>44564</v>
      </c>
      <c r="C675" s="1" t="n">
        <v>45475</v>
      </c>
      <c r="D675" t="inlineStr">
        <is>
          <t>STOCKHOLMS LÄN</t>
        </is>
      </c>
      <c r="E675" t="inlineStr">
        <is>
          <t>NORRTÄLJE</t>
        </is>
      </c>
      <c r="G675" t="n">
        <v>4.1</v>
      </c>
      <c r="H675" t="n">
        <v>0</v>
      </c>
      <c r="I675" t="n">
        <v>0</v>
      </c>
      <c r="J675" t="n">
        <v>0</v>
      </c>
      <c r="K675" t="n">
        <v>0</v>
      </c>
      <c r="L675" t="n">
        <v>0</v>
      </c>
      <c r="M675" t="n">
        <v>0</v>
      </c>
      <c r="N675" t="n">
        <v>0</v>
      </c>
      <c r="O675" t="n">
        <v>0</v>
      </c>
      <c r="P675" t="n">
        <v>0</v>
      </c>
      <c r="Q675" t="n">
        <v>0</v>
      </c>
      <c r="R675" s="2" t="inlineStr"/>
    </row>
    <row r="676" ht="15" customHeight="1">
      <c r="A676" t="inlineStr">
        <is>
          <t>A 459-2022</t>
        </is>
      </c>
      <c r="B676" s="1" t="n">
        <v>44565</v>
      </c>
      <c r="C676" s="1" t="n">
        <v>45475</v>
      </c>
      <c r="D676" t="inlineStr">
        <is>
          <t>STOCKHOLMS LÄN</t>
        </is>
      </c>
      <c r="E676" t="inlineStr">
        <is>
          <t>NORRTÄLJE</t>
        </is>
      </c>
      <c r="F676" t="inlineStr">
        <is>
          <t>Övriga Aktiebolag</t>
        </is>
      </c>
      <c r="G676" t="n">
        <v>17.3</v>
      </c>
      <c r="H676" t="n">
        <v>0</v>
      </c>
      <c r="I676" t="n">
        <v>0</v>
      </c>
      <c r="J676" t="n">
        <v>0</v>
      </c>
      <c r="K676" t="n">
        <v>0</v>
      </c>
      <c r="L676" t="n">
        <v>0</v>
      </c>
      <c r="M676" t="n">
        <v>0</v>
      </c>
      <c r="N676" t="n">
        <v>0</v>
      </c>
      <c r="O676" t="n">
        <v>0</v>
      </c>
      <c r="P676" t="n">
        <v>0</v>
      </c>
      <c r="Q676" t="n">
        <v>0</v>
      </c>
      <c r="R676" s="2" t="inlineStr"/>
    </row>
    <row r="677" ht="15" customHeight="1">
      <c r="A677" t="inlineStr">
        <is>
          <t>A 1058-2022</t>
        </is>
      </c>
      <c r="B677" s="1" t="n">
        <v>44571</v>
      </c>
      <c r="C677" s="1" t="n">
        <v>45475</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1051-2022</t>
        </is>
      </c>
      <c r="B678" s="1" t="n">
        <v>44571</v>
      </c>
      <c r="C678" s="1" t="n">
        <v>45475</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1054-2022</t>
        </is>
      </c>
      <c r="B679" s="1" t="n">
        <v>44571</v>
      </c>
      <c r="C679" s="1" t="n">
        <v>45475</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1229-2022</t>
        </is>
      </c>
      <c r="B680" s="1" t="n">
        <v>44572</v>
      </c>
      <c r="C680" s="1" t="n">
        <v>45475</v>
      </c>
      <c r="D680" t="inlineStr">
        <is>
          <t>STOCKHOLMS LÄN</t>
        </is>
      </c>
      <c r="E680" t="inlineStr">
        <is>
          <t>NORRTÄLJE</t>
        </is>
      </c>
      <c r="G680" t="n">
        <v>11.5</v>
      </c>
      <c r="H680" t="n">
        <v>0</v>
      </c>
      <c r="I680" t="n">
        <v>0</v>
      </c>
      <c r="J680" t="n">
        <v>0</v>
      </c>
      <c r="K680" t="n">
        <v>0</v>
      </c>
      <c r="L680" t="n">
        <v>0</v>
      </c>
      <c r="M680" t="n">
        <v>0</v>
      </c>
      <c r="N680" t="n">
        <v>0</v>
      </c>
      <c r="O680" t="n">
        <v>0</v>
      </c>
      <c r="P680" t="n">
        <v>0</v>
      </c>
      <c r="Q680" t="n">
        <v>0</v>
      </c>
      <c r="R680" s="2" t="inlineStr"/>
    </row>
    <row r="681" ht="15" customHeight="1">
      <c r="A681" t="inlineStr">
        <is>
          <t>A 1704-2022</t>
        </is>
      </c>
      <c r="B681" s="1" t="n">
        <v>44574</v>
      </c>
      <c r="C681" s="1" t="n">
        <v>45475</v>
      </c>
      <c r="D681" t="inlineStr">
        <is>
          <t>STOCKHOLMS LÄN</t>
        </is>
      </c>
      <c r="E681" t="inlineStr">
        <is>
          <t>NORRTÄLJE</t>
        </is>
      </c>
      <c r="G681" t="n">
        <v>6.2</v>
      </c>
      <c r="H681" t="n">
        <v>0</v>
      </c>
      <c r="I681" t="n">
        <v>0</v>
      </c>
      <c r="J681" t="n">
        <v>0</v>
      </c>
      <c r="K681" t="n">
        <v>0</v>
      </c>
      <c r="L681" t="n">
        <v>0</v>
      </c>
      <c r="M681" t="n">
        <v>0</v>
      </c>
      <c r="N681" t="n">
        <v>0</v>
      </c>
      <c r="O681" t="n">
        <v>0</v>
      </c>
      <c r="P681" t="n">
        <v>0</v>
      </c>
      <c r="Q681" t="n">
        <v>0</v>
      </c>
      <c r="R681" s="2" t="inlineStr"/>
    </row>
    <row r="682" ht="15" customHeight="1">
      <c r="A682" t="inlineStr">
        <is>
          <t>A 1968-2022</t>
        </is>
      </c>
      <c r="B682" s="1" t="n">
        <v>44575</v>
      </c>
      <c r="C682" s="1" t="n">
        <v>45475</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2182-2022</t>
        </is>
      </c>
      <c r="B683" s="1" t="n">
        <v>44578</v>
      </c>
      <c r="C683" s="1" t="n">
        <v>45475</v>
      </c>
      <c r="D683" t="inlineStr">
        <is>
          <t>STOCKHOLMS LÄN</t>
        </is>
      </c>
      <c r="E683" t="inlineStr">
        <is>
          <t>NORRTÄLJE</t>
        </is>
      </c>
      <c r="G683" t="n">
        <v>7.2</v>
      </c>
      <c r="H683" t="n">
        <v>0</v>
      </c>
      <c r="I683" t="n">
        <v>0</v>
      </c>
      <c r="J683" t="n">
        <v>0</v>
      </c>
      <c r="K683" t="n">
        <v>0</v>
      </c>
      <c r="L683" t="n">
        <v>0</v>
      </c>
      <c r="M683" t="n">
        <v>0</v>
      </c>
      <c r="N683" t="n">
        <v>0</v>
      </c>
      <c r="O683" t="n">
        <v>0</v>
      </c>
      <c r="P683" t="n">
        <v>0</v>
      </c>
      <c r="Q683" t="n">
        <v>0</v>
      </c>
      <c r="R683" s="2" t="inlineStr"/>
    </row>
    <row r="684" ht="15" customHeight="1">
      <c r="A684" t="inlineStr">
        <is>
          <t>A 2549-2022</t>
        </is>
      </c>
      <c r="B684" s="1" t="n">
        <v>44580</v>
      </c>
      <c r="C684" s="1" t="n">
        <v>45475</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2732-2022</t>
        </is>
      </c>
      <c r="B685" s="1" t="n">
        <v>44580</v>
      </c>
      <c r="C685" s="1" t="n">
        <v>45475</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2888-2022</t>
        </is>
      </c>
      <c r="B686" s="1" t="n">
        <v>44581</v>
      </c>
      <c r="C686" s="1" t="n">
        <v>45475</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2977-2022</t>
        </is>
      </c>
      <c r="B687" s="1" t="n">
        <v>44581</v>
      </c>
      <c r="C687" s="1" t="n">
        <v>45475</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3300-2022</t>
        </is>
      </c>
      <c r="B688" s="1" t="n">
        <v>44584</v>
      </c>
      <c r="C688" s="1" t="n">
        <v>45475</v>
      </c>
      <c r="D688" t="inlineStr">
        <is>
          <t>STOCKHOLMS LÄN</t>
        </is>
      </c>
      <c r="E688" t="inlineStr">
        <is>
          <t>NORRTÄLJE</t>
        </is>
      </c>
      <c r="G688" t="n">
        <v>0.4</v>
      </c>
      <c r="H688" t="n">
        <v>0</v>
      </c>
      <c r="I688" t="n">
        <v>0</v>
      </c>
      <c r="J688" t="n">
        <v>0</v>
      </c>
      <c r="K688" t="n">
        <v>0</v>
      </c>
      <c r="L688" t="n">
        <v>0</v>
      </c>
      <c r="M688" t="n">
        <v>0</v>
      </c>
      <c r="N688" t="n">
        <v>0</v>
      </c>
      <c r="O688" t="n">
        <v>0</v>
      </c>
      <c r="P688" t="n">
        <v>0</v>
      </c>
      <c r="Q688" t="n">
        <v>0</v>
      </c>
      <c r="R688" s="2" t="inlineStr"/>
    </row>
    <row r="689" ht="15" customHeight="1">
      <c r="A689" t="inlineStr">
        <is>
          <t>A 3310-2022</t>
        </is>
      </c>
      <c r="B689" s="1" t="n">
        <v>44584</v>
      </c>
      <c r="C689" s="1" t="n">
        <v>45475</v>
      </c>
      <c r="D689" t="inlineStr">
        <is>
          <t>STOCKHOLMS LÄN</t>
        </is>
      </c>
      <c r="E689" t="inlineStr">
        <is>
          <t>NORRTÄLJE</t>
        </is>
      </c>
      <c r="G689" t="n">
        <v>3.4</v>
      </c>
      <c r="H689" t="n">
        <v>0</v>
      </c>
      <c r="I689" t="n">
        <v>0</v>
      </c>
      <c r="J689" t="n">
        <v>0</v>
      </c>
      <c r="K689" t="n">
        <v>0</v>
      </c>
      <c r="L689" t="n">
        <v>0</v>
      </c>
      <c r="M689" t="n">
        <v>0</v>
      </c>
      <c r="N689" t="n">
        <v>0</v>
      </c>
      <c r="O689" t="n">
        <v>0</v>
      </c>
      <c r="P689" t="n">
        <v>0</v>
      </c>
      <c r="Q689" t="n">
        <v>0</v>
      </c>
      <c r="R689" s="2" t="inlineStr"/>
    </row>
    <row r="690" ht="15" customHeight="1">
      <c r="A690" t="inlineStr">
        <is>
          <t>A 3396-2022</t>
        </is>
      </c>
      <c r="B690" s="1" t="n">
        <v>44585</v>
      </c>
      <c r="C690" s="1" t="n">
        <v>45475</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3509-2022</t>
        </is>
      </c>
      <c r="B691" s="1" t="n">
        <v>44585</v>
      </c>
      <c r="C691" s="1" t="n">
        <v>45475</v>
      </c>
      <c r="D691" t="inlineStr">
        <is>
          <t>STOCKHOLMS LÄN</t>
        </is>
      </c>
      <c r="E691" t="inlineStr">
        <is>
          <t>NORRTÄLJE</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4860-2022</t>
        </is>
      </c>
      <c r="B692" s="1" t="n">
        <v>44592</v>
      </c>
      <c r="C692" s="1" t="n">
        <v>45475</v>
      </c>
      <c r="D692" t="inlineStr">
        <is>
          <t>STOCKHOLMS LÄN</t>
        </is>
      </c>
      <c r="E692" t="inlineStr">
        <is>
          <t>NORRTÄLJE</t>
        </is>
      </c>
      <c r="G692" t="n">
        <v>22.3</v>
      </c>
      <c r="H692" t="n">
        <v>0</v>
      </c>
      <c r="I692" t="n">
        <v>0</v>
      </c>
      <c r="J692" t="n">
        <v>0</v>
      </c>
      <c r="K692" t="n">
        <v>0</v>
      </c>
      <c r="L692" t="n">
        <v>0</v>
      </c>
      <c r="M692" t="n">
        <v>0</v>
      </c>
      <c r="N692" t="n">
        <v>0</v>
      </c>
      <c r="O692" t="n">
        <v>0</v>
      </c>
      <c r="P692" t="n">
        <v>0</v>
      </c>
      <c r="Q692" t="n">
        <v>0</v>
      </c>
      <c r="R692" s="2" t="inlineStr"/>
    </row>
    <row r="693" ht="15" customHeight="1">
      <c r="A693" t="inlineStr">
        <is>
          <t>A 5351-2022</t>
        </is>
      </c>
      <c r="B693" s="1" t="n">
        <v>44594</v>
      </c>
      <c r="C693" s="1" t="n">
        <v>45475</v>
      </c>
      <c r="D693" t="inlineStr">
        <is>
          <t>STOCKHOLMS LÄN</t>
        </is>
      </c>
      <c r="E693" t="inlineStr">
        <is>
          <t>NORRTÄLJE</t>
        </is>
      </c>
      <c r="G693" t="n">
        <v>4</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45475</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5611-2022</t>
        </is>
      </c>
      <c r="B695" s="1" t="n">
        <v>44595</v>
      </c>
      <c r="C695" s="1" t="n">
        <v>45475</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5831-2022</t>
        </is>
      </c>
      <c r="B696" s="1" t="n">
        <v>44596</v>
      </c>
      <c r="C696" s="1" t="n">
        <v>45475</v>
      </c>
      <c r="D696" t="inlineStr">
        <is>
          <t>STOCKHOLMS LÄN</t>
        </is>
      </c>
      <c r="E696" t="inlineStr">
        <is>
          <t>NORRTÄLJE</t>
        </is>
      </c>
      <c r="G696" t="n">
        <v>4.8</v>
      </c>
      <c r="H696" t="n">
        <v>0</v>
      </c>
      <c r="I696" t="n">
        <v>0</v>
      </c>
      <c r="J696" t="n">
        <v>0</v>
      </c>
      <c r="K696" t="n">
        <v>0</v>
      </c>
      <c r="L696" t="n">
        <v>0</v>
      </c>
      <c r="M696" t="n">
        <v>0</v>
      </c>
      <c r="N696" t="n">
        <v>0</v>
      </c>
      <c r="O696" t="n">
        <v>0</v>
      </c>
      <c r="P696" t="n">
        <v>0</v>
      </c>
      <c r="Q696" t="n">
        <v>0</v>
      </c>
      <c r="R696" s="2" t="inlineStr"/>
    </row>
    <row r="697" ht="15" customHeight="1">
      <c r="A697" t="inlineStr">
        <is>
          <t>A 5867-2022</t>
        </is>
      </c>
      <c r="B697" s="1" t="n">
        <v>44596</v>
      </c>
      <c r="C697" s="1" t="n">
        <v>45475</v>
      </c>
      <c r="D697" t="inlineStr">
        <is>
          <t>STOCKHOLMS LÄN</t>
        </is>
      </c>
      <c r="E697" t="inlineStr">
        <is>
          <t>NORRTÄLJE</t>
        </is>
      </c>
      <c r="F697" t="inlineStr">
        <is>
          <t>Naturvårdsverket</t>
        </is>
      </c>
      <c r="G697" t="n">
        <v>1.6</v>
      </c>
      <c r="H697" t="n">
        <v>0</v>
      </c>
      <c r="I697" t="n">
        <v>0</v>
      </c>
      <c r="J697" t="n">
        <v>0</v>
      </c>
      <c r="K697" t="n">
        <v>0</v>
      </c>
      <c r="L697" t="n">
        <v>0</v>
      </c>
      <c r="M697" t="n">
        <v>0</v>
      </c>
      <c r="N697" t="n">
        <v>0</v>
      </c>
      <c r="O697" t="n">
        <v>0</v>
      </c>
      <c r="P697" t="n">
        <v>0</v>
      </c>
      <c r="Q697" t="n">
        <v>0</v>
      </c>
      <c r="R697" s="2" t="inlineStr"/>
    </row>
    <row r="698" ht="15" customHeight="1">
      <c r="A698" t="inlineStr">
        <is>
          <t>A 6070-2022</t>
        </is>
      </c>
      <c r="B698" s="1" t="n">
        <v>44599</v>
      </c>
      <c r="C698" s="1" t="n">
        <v>45475</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6332-2022</t>
        </is>
      </c>
      <c r="B699" s="1" t="n">
        <v>44600</v>
      </c>
      <c r="C699" s="1" t="n">
        <v>45475</v>
      </c>
      <c r="D699" t="inlineStr">
        <is>
          <t>STOCKHOLMS LÄN</t>
        </is>
      </c>
      <c r="E699" t="inlineStr">
        <is>
          <t>NORRTÄLJE</t>
        </is>
      </c>
      <c r="G699" t="n">
        <v>3.4</v>
      </c>
      <c r="H699" t="n">
        <v>0</v>
      </c>
      <c r="I699" t="n">
        <v>0</v>
      </c>
      <c r="J699" t="n">
        <v>0</v>
      </c>
      <c r="K699" t="n">
        <v>0</v>
      </c>
      <c r="L699" t="n">
        <v>0</v>
      </c>
      <c r="M699" t="n">
        <v>0</v>
      </c>
      <c r="N699" t="n">
        <v>0</v>
      </c>
      <c r="O699" t="n">
        <v>0</v>
      </c>
      <c r="P699" t="n">
        <v>0</v>
      </c>
      <c r="Q699" t="n">
        <v>0</v>
      </c>
      <c r="R699" s="2" t="inlineStr"/>
    </row>
    <row r="700" ht="15" customHeight="1">
      <c r="A700" t="inlineStr">
        <is>
          <t>A 7301-2022</t>
        </is>
      </c>
      <c r="B700" s="1" t="n">
        <v>44606</v>
      </c>
      <c r="C700" s="1" t="n">
        <v>45475</v>
      </c>
      <c r="D700" t="inlineStr">
        <is>
          <t>STOCKHOLMS LÄN</t>
        </is>
      </c>
      <c r="E700" t="inlineStr">
        <is>
          <t>NORRTÄLJE</t>
        </is>
      </c>
      <c r="G700" t="n">
        <v>6.1</v>
      </c>
      <c r="H700" t="n">
        <v>0</v>
      </c>
      <c r="I700" t="n">
        <v>0</v>
      </c>
      <c r="J700" t="n">
        <v>0</v>
      </c>
      <c r="K700" t="n">
        <v>0</v>
      </c>
      <c r="L700" t="n">
        <v>0</v>
      </c>
      <c r="M700" t="n">
        <v>0</v>
      </c>
      <c r="N700" t="n">
        <v>0</v>
      </c>
      <c r="O700" t="n">
        <v>0</v>
      </c>
      <c r="P700" t="n">
        <v>0</v>
      </c>
      <c r="Q700" t="n">
        <v>0</v>
      </c>
      <c r="R700" s="2" t="inlineStr"/>
    </row>
    <row r="701" ht="15" customHeight="1">
      <c r="A701" t="inlineStr">
        <is>
          <t>A 7565-2022</t>
        </is>
      </c>
      <c r="B701" s="1" t="n">
        <v>44607</v>
      </c>
      <c r="C701" s="1" t="n">
        <v>45475</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8024-2022</t>
        </is>
      </c>
      <c r="B702" s="1" t="n">
        <v>44609</v>
      </c>
      <c r="C702" s="1" t="n">
        <v>45475</v>
      </c>
      <c r="D702" t="inlineStr">
        <is>
          <t>STOCKHOLMS LÄN</t>
        </is>
      </c>
      <c r="E702" t="inlineStr">
        <is>
          <t>NORRTÄLJE</t>
        </is>
      </c>
      <c r="F702" t="inlineStr">
        <is>
          <t>Kyrkan</t>
        </is>
      </c>
      <c r="G702" t="n">
        <v>28.2</v>
      </c>
      <c r="H702" t="n">
        <v>0</v>
      </c>
      <c r="I702" t="n">
        <v>0</v>
      </c>
      <c r="J702" t="n">
        <v>0</v>
      </c>
      <c r="K702" t="n">
        <v>0</v>
      </c>
      <c r="L702" t="n">
        <v>0</v>
      </c>
      <c r="M702" t="n">
        <v>0</v>
      </c>
      <c r="N702" t="n">
        <v>0</v>
      </c>
      <c r="O702" t="n">
        <v>0</v>
      </c>
      <c r="P702" t="n">
        <v>0</v>
      </c>
      <c r="Q702" t="n">
        <v>0</v>
      </c>
      <c r="R702" s="2" t="inlineStr"/>
    </row>
    <row r="703" ht="15" customHeight="1">
      <c r="A703" t="inlineStr">
        <is>
          <t>A 8049-2022</t>
        </is>
      </c>
      <c r="B703" s="1" t="n">
        <v>44609</v>
      </c>
      <c r="C703" s="1" t="n">
        <v>45475</v>
      </c>
      <c r="D703" t="inlineStr">
        <is>
          <t>STOCKHOLMS LÄN</t>
        </is>
      </c>
      <c r="E703" t="inlineStr">
        <is>
          <t>NORRTÄLJE</t>
        </is>
      </c>
      <c r="F703" t="inlineStr">
        <is>
          <t>Holmen skog AB</t>
        </is>
      </c>
      <c r="G703" t="n">
        <v>3</v>
      </c>
      <c r="H703" t="n">
        <v>0</v>
      </c>
      <c r="I703" t="n">
        <v>0</v>
      </c>
      <c r="J703" t="n">
        <v>0</v>
      </c>
      <c r="K703" t="n">
        <v>0</v>
      </c>
      <c r="L703" t="n">
        <v>0</v>
      </c>
      <c r="M703" t="n">
        <v>0</v>
      </c>
      <c r="N703" t="n">
        <v>0</v>
      </c>
      <c r="O703" t="n">
        <v>0</v>
      </c>
      <c r="P703" t="n">
        <v>0</v>
      </c>
      <c r="Q703" t="n">
        <v>0</v>
      </c>
      <c r="R703" s="2" t="inlineStr"/>
    </row>
    <row r="704" ht="15" customHeight="1">
      <c r="A704" t="inlineStr">
        <is>
          <t>A 8160-2022</t>
        </is>
      </c>
      <c r="B704" s="1" t="n">
        <v>44609</v>
      </c>
      <c r="C704" s="1" t="n">
        <v>45475</v>
      </c>
      <c r="D704" t="inlineStr">
        <is>
          <t>STOCKHOLMS LÄN</t>
        </is>
      </c>
      <c r="E704" t="inlineStr">
        <is>
          <t>NORRTÄLJE</t>
        </is>
      </c>
      <c r="G704" t="n">
        <v>3.9</v>
      </c>
      <c r="H704" t="n">
        <v>0</v>
      </c>
      <c r="I704" t="n">
        <v>0</v>
      </c>
      <c r="J704" t="n">
        <v>0</v>
      </c>
      <c r="K704" t="n">
        <v>0</v>
      </c>
      <c r="L704" t="n">
        <v>0</v>
      </c>
      <c r="M704" t="n">
        <v>0</v>
      </c>
      <c r="N704" t="n">
        <v>0</v>
      </c>
      <c r="O704" t="n">
        <v>0</v>
      </c>
      <c r="P704" t="n">
        <v>0</v>
      </c>
      <c r="Q704" t="n">
        <v>0</v>
      </c>
      <c r="R704" s="2" t="inlineStr"/>
    </row>
    <row r="705" ht="15" customHeight="1">
      <c r="A705" t="inlineStr">
        <is>
          <t>A 8433-2022</t>
        </is>
      </c>
      <c r="B705" s="1" t="n">
        <v>44611</v>
      </c>
      <c r="C705" s="1" t="n">
        <v>45475</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9668-2022</t>
        </is>
      </c>
      <c r="B706" s="1" t="n">
        <v>44617</v>
      </c>
      <c r="C706" s="1" t="n">
        <v>45475</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9654-2022</t>
        </is>
      </c>
      <c r="B707" s="1" t="n">
        <v>44617</v>
      </c>
      <c r="C707" s="1" t="n">
        <v>45475</v>
      </c>
      <c r="D707" t="inlineStr">
        <is>
          <t>STOCKHOLMS LÄN</t>
        </is>
      </c>
      <c r="E707" t="inlineStr">
        <is>
          <t>NORRTÄLJE</t>
        </is>
      </c>
      <c r="G707" t="n">
        <v>6.4</v>
      </c>
      <c r="H707" t="n">
        <v>0</v>
      </c>
      <c r="I707" t="n">
        <v>0</v>
      </c>
      <c r="J707" t="n">
        <v>0</v>
      </c>
      <c r="K707" t="n">
        <v>0</v>
      </c>
      <c r="L707" t="n">
        <v>0</v>
      </c>
      <c r="M707" t="n">
        <v>0</v>
      </c>
      <c r="N707" t="n">
        <v>0</v>
      </c>
      <c r="O707" t="n">
        <v>0</v>
      </c>
      <c r="P707" t="n">
        <v>0</v>
      </c>
      <c r="Q707" t="n">
        <v>0</v>
      </c>
      <c r="R707" s="2" t="inlineStr"/>
    </row>
    <row r="708" ht="15" customHeight="1">
      <c r="A708" t="inlineStr">
        <is>
          <t>A 9749-2022</t>
        </is>
      </c>
      <c r="B708" s="1" t="n">
        <v>44618</v>
      </c>
      <c r="C708" s="1" t="n">
        <v>45475</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9988-2022</t>
        </is>
      </c>
      <c r="B709" s="1" t="n">
        <v>44621</v>
      </c>
      <c r="C709" s="1" t="n">
        <v>45475</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10090-2022</t>
        </is>
      </c>
      <c r="B710" s="1" t="n">
        <v>44621</v>
      </c>
      <c r="C710" s="1" t="n">
        <v>45475</v>
      </c>
      <c r="D710" t="inlineStr">
        <is>
          <t>STOCKHOLMS LÄN</t>
        </is>
      </c>
      <c r="E710" t="inlineStr">
        <is>
          <t>NORRTÄLJE</t>
        </is>
      </c>
      <c r="G710" t="n">
        <v>5.2</v>
      </c>
      <c r="H710" t="n">
        <v>0</v>
      </c>
      <c r="I710" t="n">
        <v>0</v>
      </c>
      <c r="J710" t="n">
        <v>0</v>
      </c>
      <c r="K710" t="n">
        <v>0</v>
      </c>
      <c r="L710" t="n">
        <v>0</v>
      </c>
      <c r="M710" t="n">
        <v>0</v>
      </c>
      <c r="N710" t="n">
        <v>0</v>
      </c>
      <c r="O710" t="n">
        <v>0</v>
      </c>
      <c r="P710" t="n">
        <v>0</v>
      </c>
      <c r="Q710" t="n">
        <v>0</v>
      </c>
      <c r="R710" s="2" t="inlineStr"/>
    </row>
    <row r="711" ht="15" customHeight="1">
      <c r="A711" t="inlineStr">
        <is>
          <t>A 10098-2022</t>
        </is>
      </c>
      <c r="B711" s="1" t="n">
        <v>44621</v>
      </c>
      <c r="C711" s="1" t="n">
        <v>45475</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10521-2022</t>
        </is>
      </c>
      <c r="B712" s="1" t="n">
        <v>44623</v>
      </c>
      <c r="C712" s="1" t="n">
        <v>45475</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10653-2022</t>
        </is>
      </c>
      <c r="B713" s="1" t="n">
        <v>44624</v>
      </c>
      <c r="C713" s="1" t="n">
        <v>45475</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10710-2022</t>
        </is>
      </c>
      <c r="B714" s="1" t="n">
        <v>44626</v>
      </c>
      <c r="C714" s="1" t="n">
        <v>45475</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10711-2022</t>
        </is>
      </c>
      <c r="B715" s="1" t="n">
        <v>44626</v>
      </c>
      <c r="C715" s="1" t="n">
        <v>45475</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11150-2022</t>
        </is>
      </c>
      <c r="B716" s="1" t="n">
        <v>44629</v>
      </c>
      <c r="C716" s="1" t="n">
        <v>45475</v>
      </c>
      <c r="D716" t="inlineStr">
        <is>
          <t>STOCKHOLMS LÄN</t>
        </is>
      </c>
      <c r="E716" t="inlineStr">
        <is>
          <t>NORRTÄLJE</t>
        </is>
      </c>
      <c r="F716" t="inlineStr">
        <is>
          <t>Övriga Aktiebolag</t>
        </is>
      </c>
      <c r="G716" t="n">
        <v>6.5</v>
      </c>
      <c r="H716" t="n">
        <v>0</v>
      </c>
      <c r="I716" t="n">
        <v>0</v>
      </c>
      <c r="J716" t="n">
        <v>0</v>
      </c>
      <c r="K716" t="n">
        <v>0</v>
      </c>
      <c r="L716" t="n">
        <v>0</v>
      </c>
      <c r="M716" t="n">
        <v>0</v>
      </c>
      <c r="N716" t="n">
        <v>0</v>
      </c>
      <c r="O716" t="n">
        <v>0</v>
      </c>
      <c r="P716" t="n">
        <v>0</v>
      </c>
      <c r="Q716" t="n">
        <v>0</v>
      </c>
      <c r="R716" s="2" t="inlineStr"/>
    </row>
    <row r="717" ht="15" customHeight="1">
      <c r="A717" t="inlineStr">
        <is>
          <t>A 11229-2022</t>
        </is>
      </c>
      <c r="B717" s="1" t="n">
        <v>44629</v>
      </c>
      <c r="C717" s="1" t="n">
        <v>45475</v>
      </c>
      <c r="D717" t="inlineStr">
        <is>
          <t>STOCKHOLMS LÄN</t>
        </is>
      </c>
      <c r="E717" t="inlineStr">
        <is>
          <t>NORRTÄLJE</t>
        </is>
      </c>
      <c r="F717" t="inlineStr">
        <is>
          <t>Övriga Aktiebolag</t>
        </is>
      </c>
      <c r="G717" t="n">
        <v>4.1</v>
      </c>
      <c r="H717" t="n">
        <v>0</v>
      </c>
      <c r="I717" t="n">
        <v>0</v>
      </c>
      <c r="J717" t="n">
        <v>0</v>
      </c>
      <c r="K717" t="n">
        <v>0</v>
      </c>
      <c r="L717" t="n">
        <v>0</v>
      </c>
      <c r="M717" t="n">
        <v>0</v>
      </c>
      <c r="N717" t="n">
        <v>0</v>
      </c>
      <c r="O717" t="n">
        <v>0</v>
      </c>
      <c r="P717" t="n">
        <v>0</v>
      </c>
      <c r="Q717" t="n">
        <v>0</v>
      </c>
      <c r="R717" s="2" t="inlineStr"/>
    </row>
    <row r="718" ht="15" customHeight="1">
      <c r="A718" t="inlineStr">
        <is>
          <t>A 11533-2022</t>
        </is>
      </c>
      <c r="B718" s="1" t="n">
        <v>44631</v>
      </c>
      <c r="C718" s="1" t="n">
        <v>45475</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11821-2022</t>
        </is>
      </c>
      <c r="B719" s="1" t="n">
        <v>44634</v>
      </c>
      <c r="C719" s="1" t="n">
        <v>45475</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11900-2022</t>
        </is>
      </c>
      <c r="B720" s="1" t="n">
        <v>44635</v>
      </c>
      <c r="C720" s="1" t="n">
        <v>45475</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12355-2022</t>
        </is>
      </c>
      <c r="B721" s="1" t="n">
        <v>44637</v>
      </c>
      <c r="C721" s="1" t="n">
        <v>45475</v>
      </c>
      <c r="D721" t="inlineStr">
        <is>
          <t>STOCKHOLMS LÄN</t>
        </is>
      </c>
      <c r="E721" t="inlineStr">
        <is>
          <t>NORRTÄLJE</t>
        </is>
      </c>
      <c r="G721" t="n">
        <v>10.4</v>
      </c>
      <c r="H721" t="n">
        <v>0</v>
      </c>
      <c r="I721" t="n">
        <v>0</v>
      </c>
      <c r="J721" t="n">
        <v>0</v>
      </c>
      <c r="K721" t="n">
        <v>0</v>
      </c>
      <c r="L721" t="n">
        <v>0</v>
      </c>
      <c r="M721" t="n">
        <v>0</v>
      </c>
      <c r="N721" t="n">
        <v>0</v>
      </c>
      <c r="O721" t="n">
        <v>0</v>
      </c>
      <c r="P721" t="n">
        <v>0</v>
      </c>
      <c r="Q721" t="n">
        <v>0</v>
      </c>
      <c r="R721" s="2" t="inlineStr"/>
    </row>
    <row r="722" ht="15" customHeight="1">
      <c r="A722" t="inlineStr">
        <is>
          <t>A 12270-2022</t>
        </is>
      </c>
      <c r="B722" s="1" t="n">
        <v>44637</v>
      </c>
      <c r="C722" s="1" t="n">
        <v>45475</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12314-2022</t>
        </is>
      </c>
      <c r="B723" s="1" t="n">
        <v>44637</v>
      </c>
      <c r="C723" s="1" t="n">
        <v>45475</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12268-2022</t>
        </is>
      </c>
      <c r="B724" s="1" t="n">
        <v>44637</v>
      </c>
      <c r="C724" s="1" t="n">
        <v>45475</v>
      </c>
      <c r="D724" t="inlineStr">
        <is>
          <t>STOCKHOLMS LÄN</t>
        </is>
      </c>
      <c r="E724" t="inlineStr">
        <is>
          <t>NORRTÄLJE</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12357-2022</t>
        </is>
      </c>
      <c r="B725" s="1" t="n">
        <v>44637</v>
      </c>
      <c r="C725" s="1" t="n">
        <v>45475</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62765-2022</t>
        </is>
      </c>
      <c r="B726" s="1" t="n">
        <v>44637</v>
      </c>
      <c r="C726" s="1" t="n">
        <v>45475</v>
      </c>
      <c r="D726" t="inlineStr">
        <is>
          <t>STOCKHOLMS LÄN</t>
        </is>
      </c>
      <c r="E726" t="inlineStr">
        <is>
          <t>NORRTÄLJE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12874-2022</t>
        </is>
      </c>
      <c r="B727" s="1" t="n">
        <v>44642</v>
      </c>
      <c r="C727" s="1" t="n">
        <v>45475</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12816-2022</t>
        </is>
      </c>
      <c r="B728" s="1" t="n">
        <v>44642</v>
      </c>
      <c r="C728" s="1" t="n">
        <v>45475</v>
      </c>
      <c r="D728" t="inlineStr">
        <is>
          <t>STOCKHOLMS LÄN</t>
        </is>
      </c>
      <c r="E728" t="inlineStr">
        <is>
          <t>NORRTÄLJE</t>
        </is>
      </c>
      <c r="G728" t="n">
        <v>4.4</v>
      </c>
      <c r="H728" t="n">
        <v>0</v>
      </c>
      <c r="I728" t="n">
        <v>0</v>
      </c>
      <c r="J728" t="n">
        <v>0</v>
      </c>
      <c r="K728" t="n">
        <v>0</v>
      </c>
      <c r="L728" t="n">
        <v>0</v>
      </c>
      <c r="M728" t="n">
        <v>0</v>
      </c>
      <c r="N728" t="n">
        <v>0</v>
      </c>
      <c r="O728" t="n">
        <v>0</v>
      </c>
      <c r="P728" t="n">
        <v>0</v>
      </c>
      <c r="Q728" t="n">
        <v>0</v>
      </c>
      <c r="R728" s="2" t="inlineStr"/>
    </row>
    <row r="729" ht="15" customHeight="1">
      <c r="A729" t="inlineStr">
        <is>
          <t>A 12877-2022</t>
        </is>
      </c>
      <c r="B729" s="1" t="n">
        <v>44642</v>
      </c>
      <c r="C729" s="1" t="n">
        <v>45475</v>
      </c>
      <c r="D729" t="inlineStr">
        <is>
          <t>STOCKHOLMS LÄN</t>
        </is>
      </c>
      <c r="E729" t="inlineStr">
        <is>
          <t>NORRTÄLJE</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12875-2022</t>
        </is>
      </c>
      <c r="B730" s="1" t="n">
        <v>44642</v>
      </c>
      <c r="C730" s="1" t="n">
        <v>45475</v>
      </c>
      <c r="D730" t="inlineStr">
        <is>
          <t>STOCKHOLMS LÄN</t>
        </is>
      </c>
      <c r="E730" t="inlineStr">
        <is>
          <t>NORRTÄLJE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13077-2022</t>
        </is>
      </c>
      <c r="B731" s="1" t="n">
        <v>44643</v>
      </c>
      <c r="C731" s="1" t="n">
        <v>45475</v>
      </c>
      <c r="D731" t="inlineStr">
        <is>
          <t>STOCKHOLMS LÄN</t>
        </is>
      </c>
      <c r="E731" t="inlineStr">
        <is>
          <t>NORRTÄLJE</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13053-2022</t>
        </is>
      </c>
      <c r="B732" s="1" t="n">
        <v>44643</v>
      </c>
      <c r="C732" s="1" t="n">
        <v>45475</v>
      </c>
      <c r="D732" t="inlineStr">
        <is>
          <t>STOCKHOLMS LÄN</t>
        </is>
      </c>
      <c r="E732" t="inlineStr">
        <is>
          <t>NORRTÄLJE</t>
        </is>
      </c>
      <c r="G732" t="n">
        <v>2.8</v>
      </c>
      <c r="H732" t="n">
        <v>0</v>
      </c>
      <c r="I732" t="n">
        <v>0</v>
      </c>
      <c r="J732" t="n">
        <v>0</v>
      </c>
      <c r="K732" t="n">
        <v>0</v>
      </c>
      <c r="L732" t="n">
        <v>0</v>
      </c>
      <c r="M732" t="n">
        <v>0</v>
      </c>
      <c r="N732" t="n">
        <v>0</v>
      </c>
      <c r="O732" t="n">
        <v>0</v>
      </c>
      <c r="P732" t="n">
        <v>0</v>
      </c>
      <c r="Q732" t="n">
        <v>0</v>
      </c>
      <c r="R732" s="2" t="inlineStr"/>
    </row>
    <row r="733" ht="15" customHeight="1">
      <c r="A733" t="inlineStr">
        <is>
          <t>A 13089-2022</t>
        </is>
      </c>
      <c r="B733" s="1" t="n">
        <v>44643</v>
      </c>
      <c r="C733" s="1" t="n">
        <v>45475</v>
      </c>
      <c r="D733" t="inlineStr">
        <is>
          <t>STOCKHOLMS LÄN</t>
        </is>
      </c>
      <c r="E733" t="inlineStr">
        <is>
          <t>NORRTÄLJE</t>
        </is>
      </c>
      <c r="G733" t="n">
        <v>4.5</v>
      </c>
      <c r="H733" t="n">
        <v>0</v>
      </c>
      <c r="I733" t="n">
        <v>0</v>
      </c>
      <c r="J733" t="n">
        <v>0</v>
      </c>
      <c r="K733" t="n">
        <v>0</v>
      </c>
      <c r="L733" t="n">
        <v>0</v>
      </c>
      <c r="M733" t="n">
        <v>0</v>
      </c>
      <c r="N733" t="n">
        <v>0</v>
      </c>
      <c r="O733" t="n">
        <v>0</v>
      </c>
      <c r="P733" t="n">
        <v>0</v>
      </c>
      <c r="Q733" t="n">
        <v>0</v>
      </c>
      <c r="R733" s="2" t="inlineStr"/>
    </row>
    <row r="734" ht="15" customHeight="1">
      <c r="A734" t="inlineStr">
        <is>
          <t>A 13106-2022</t>
        </is>
      </c>
      <c r="B734" s="1" t="n">
        <v>44644</v>
      </c>
      <c r="C734" s="1" t="n">
        <v>45475</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13278-2022</t>
        </is>
      </c>
      <c r="B735" s="1" t="n">
        <v>44644</v>
      </c>
      <c r="C735" s="1" t="n">
        <v>45475</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13276-2022</t>
        </is>
      </c>
      <c r="B736" s="1" t="n">
        <v>44644</v>
      </c>
      <c r="C736" s="1" t="n">
        <v>45475</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13395-2022</t>
        </is>
      </c>
      <c r="B737" s="1" t="n">
        <v>44645</v>
      </c>
      <c r="C737" s="1" t="n">
        <v>45475</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13696-2022</t>
        </is>
      </c>
      <c r="B738" s="1" t="n">
        <v>44648</v>
      </c>
      <c r="C738" s="1" t="n">
        <v>45475</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13701-2022</t>
        </is>
      </c>
      <c r="B739" s="1" t="n">
        <v>44648</v>
      </c>
      <c r="C739" s="1" t="n">
        <v>45475</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13718-2022</t>
        </is>
      </c>
      <c r="B740" s="1" t="n">
        <v>44649</v>
      </c>
      <c r="C740" s="1" t="n">
        <v>45475</v>
      </c>
      <c r="D740" t="inlineStr">
        <is>
          <t>STOCKHOLMS LÄN</t>
        </is>
      </c>
      <c r="E740" t="inlineStr">
        <is>
          <t>NORRTÄLJE</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14036-2022</t>
        </is>
      </c>
      <c r="B741" s="1" t="n">
        <v>44650</v>
      </c>
      <c r="C741" s="1" t="n">
        <v>45475</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14033-2022</t>
        </is>
      </c>
      <c r="B742" s="1" t="n">
        <v>44650</v>
      </c>
      <c r="C742" s="1" t="n">
        <v>45475</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14034-2022</t>
        </is>
      </c>
      <c r="B743" s="1" t="n">
        <v>44650</v>
      </c>
      <c r="C743" s="1" t="n">
        <v>45475</v>
      </c>
      <c r="D743" t="inlineStr">
        <is>
          <t>STOCKHOLMS LÄN</t>
        </is>
      </c>
      <c r="E743" t="inlineStr">
        <is>
          <t>NORRTÄLJE</t>
        </is>
      </c>
      <c r="G743" t="n">
        <v>6.1</v>
      </c>
      <c r="H743" t="n">
        <v>0</v>
      </c>
      <c r="I743" t="n">
        <v>0</v>
      </c>
      <c r="J743" t="n">
        <v>0</v>
      </c>
      <c r="K743" t="n">
        <v>0</v>
      </c>
      <c r="L743" t="n">
        <v>0</v>
      </c>
      <c r="M743" t="n">
        <v>0</v>
      </c>
      <c r="N743" t="n">
        <v>0</v>
      </c>
      <c r="O743" t="n">
        <v>0</v>
      </c>
      <c r="P743" t="n">
        <v>0</v>
      </c>
      <c r="Q743" t="n">
        <v>0</v>
      </c>
      <c r="R743" s="2" t="inlineStr"/>
    </row>
    <row r="744" ht="15" customHeight="1">
      <c r="A744" t="inlineStr">
        <is>
          <t>A 14051-2022</t>
        </is>
      </c>
      <c r="B744" s="1" t="n">
        <v>44651</v>
      </c>
      <c r="C744" s="1" t="n">
        <v>45475</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14166-2022</t>
        </is>
      </c>
      <c r="B745" s="1" t="n">
        <v>44651</v>
      </c>
      <c r="C745" s="1" t="n">
        <v>45475</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14543-2022</t>
        </is>
      </c>
      <c r="B746" s="1" t="n">
        <v>44655</v>
      </c>
      <c r="C746" s="1" t="n">
        <v>45475</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14724-2022</t>
        </is>
      </c>
      <c r="B747" s="1" t="n">
        <v>44656</v>
      </c>
      <c r="C747" s="1" t="n">
        <v>45475</v>
      </c>
      <c r="D747" t="inlineStr">
        <is>
          <t>STOCKHOLMS LÄN</t>
        </is>
      </c>
      <c r="E747" t="inlineStr">
        <is>
          <t>NORRTÄLJE</t>
        </is>
      </c>
      <c r="F747" t="inlineStr">
        <is>
          <t>Sveaskog</t>
        </is>
      </c>
      <c r="G747" t="n">
        <v>9</v>
      </c>
      <c r="H747" t="n">
        <v>0</v>
      </c>
      <c r="I747" t="n">
        <v>0</v>
      </c>
      <c r="J747" t="n">
        <v>0</v>
      </c>
      <c r="K747" t="n">
        <v>0</v>
      </c>
      <c r="L747" t="n">
        <v>0</v>
      </c>
      <c r="M747" t="n">
        <v>0</v>
      </c>
      <c r="N747" t="n">
        <v>0</v>
      </c>
      <c r="O747" t="n">
        <v>0</v>
      </c>
      <c r="P747" t="n">
        <v>0</v>
      </c>
      <c r="Q747" t="n">
        <v>0</v>
      </c>
      <c r="R747" s="2" t="inlineStr"/>
    </row>
    <row r="748" ht="15" customHeight="1">
      <c r="A748" t="inlineStr">
        <is>
          <t>A 14716-2022</t>
        </is>
      </c>
      <c r="B748" s="1" t="n">
        <v>44656</v>
      </c>
      <c r="C748" s="1" t="n">
        <v>45475</v>
      </c>
      <c r="D748" t="inlineStr">
        <is>
          <t>STOCKHOLMS LÄN</t>
        </is>
      </c>
      <c r="E748" t="inlineStr">
        <is>
          <t>NORRTÄLJE</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14869-2022</t>
        </is>
      </c>
      <c r="B749" s="1" t="n">
        <v>44656</v>
      </c>
      <c r="C749" s="1" t="n">
        <v>45475</v>
      </c>
      <c r="D749" t="inlineStr">
        <is>
          <t>STOCKHOLMS LÄN</t>
        </is>
      </c>
      <c r="E749" t="inlineStr">
        <is>
          <t>NORRTÄLJE</t>
        </is>
      </c>
      <c r="F749" t="inlineStr">
        <is>
          <t>Holmen skog AB</t>
        </is>
      </c>
      <c r="G749" t="n">
        <v>9.1</v>
      </c>
      <c r="H749" t="n">
        <v>0</v>
      </c>
      <c r="I749" t="n">
        <v>0</v>
      </c>
      <c r="J749" t="n">
        <v>0</v>
      </c>
      <c r="K749" t="n">
        <v>0</v>
      </c>
      <c r="L749" t="n">
        <v>0</v>
      </c>
      <c r="M749" t="n">
        <v>0</v>
      </c>
      <c r="N749" t="n">
        <v>0</v>
      </c>
      <c r="O749" t="n">
        <v>0</v>
      </c>
      <c r="P749" t="n">
        <v>0</v>
      </c>
      <c r="Q749" t="n">
        <v>0</v>
      </c>
      <c r="R749" s="2" t="inlineStr"/>
    </row>
    <row r="750" ht="15" customHeight="1">
      <c r="A750" t="inlineStr">
        <is>
          <t>A 15225-2022</t>
        </is>
      </c>
      <c r="B750" s="1" t="n">
        <v>44658</v>
      </c>
      <c r="C750" s="1" t="n">
        <v>45475</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45475</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15861-2022</t>
        </is>
      </c>
      <c r="B752" s="1" t="n">
        <v>44664</v>
      </c>
      <c r="C752" s="1" t="n">
        <v>45475</v>
      </c>
      <c r="D752" t="inlineStr">
        <is>
          <t>STOCKHOLMS LÄN</t>
        </is>
      </c>
      <c r="E752" t="inlineStr">
        <is>
          <t>NORRTÄLJE</t>
        </is>
      </c>
      <c r="G752" t="n">
        <v>10.2</v>
      </c>
      <c r="H752" t="n">
        <v>0</v>
      </c>
      <c r="I752" t="n">
        <v>0</v>
      </c>
      <c r="J752" t="n">
        <v>0</v>
      </c>
      <c r="K752" t="n">
        <v>0</v>
      </c>
      <c r="L752" t="n">
        <v>0</v>
      </c>
      <c r="M752" t="n">
        <v>0</v>
      </c>
      <c r="N752" t="n">
        <v>0</v>
      </c>
      <c r="O752" t="n">
        <v>0</v>
      </c>
      <c r="P752" t="n">
        <v>0</v>
      </c>
      <c r="Q752" t="n">
        <v>0</v>
      </c>
      <c r="R752" s="2" t="inlineStr"/>
    </row>
    <row r="753" ht="15" customHeight="1">
      <c r="A753" t="inlineStr">
        <is>
          <t>A 16117-2022</t>
        </is>
      </c>
      <c r="B753" s="1" t="n">
        <v>44665</v>
      </c>
      <c r="C753" s="1" t="n">
        <v>45475</v>
      </c>
      <c r="D753" t="inlineStr">
        <is>
          <t>STOCKHOLMS LÄN</t>
        </is>
      </c>
      <c r="E753" t="inlineStr">
        <is>
          <t>NORRTÄLJE</t>
        </is>
      </c>
      <c r="G753" t="n">
        <v>8.1</v>
      </c>
      <c r="H753" t="n">
        <v>0</v>
      </c>
      <c r="I753" t="n">
        <v>0</v>
      </c>
      <c r="J753" t="n">
        <v>0</v>
      </c>
      <c r="K753" t="n">
        <v>0</v>
      </c>
      <c r="L753" t="n">
        <v>0</v>
      </c>
      <c r="M753" t="n">
        <v>0</v>
      </c>
      <c r="N753" t="n">
        <v>0</v>
      </c>
      <c r="O753" t="n">
        <v>0</v>
      </c>
      <c r="P753" t="n">
        <v>0</v>
      </c>
      <c r="Q753" t="n">
        <v>0</v>
      </c>
      <c r="R753" s="2" t="inlineStr"/>
    </row>
    <row r="754" ht="15" customHeight="1">
      <c r="A754" t="inlineStr">
        <is>
          <t>A 16119-2022</t>
        </is>
      </c>
      <c r="B754" s="1" t="n">
        <v>44665</v>
      </c>
      <c r="C754" s="1" t="n">
        <v>45475</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16132-2022</t>
        </is>
      </c>
      <c r="B755" s="1" t="n">
        <v>44665</v>
      </c>
      <c r="C755" s="1" t="n">
        <v>45475</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16224-2022</t>
        </is>
      </c>
      <c r="B756" s="1" t="n">
        <v>44670</v>
      </c>
      <c r="C756" s="1" t="n">
        <v>45475</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16202-2022</t>
        </is>
      </c>
      <c r="B757" s="1" t="n">
        <v>44670</v>
      </c>
      <c r="C757" s="1" t="n">
        <v>45475</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v>
      </c>
      <c r="C758" s="1" t="n">
        <v>45475</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16442-2022</t>
        </is>
      </c>
      <c r="B759" s="1" t="n">
        <v>44671</v>
      </c>
      <c r="C759" s="1" t="n">
        <v>45475</v>
      </c>
      <c r="D759" t="inlineStr">
        <is>
          <t>STOCKHOLMS LÄN</t>
        </is>
      </c>
      <c r="E759" t="inlineStr">
        <is>
          <t>NORRTÄLJE</t>
        </is>
      </c>
      <c r="G759" t="n">
        <v>4.8</v>
      </c>
      <c r="H759" t="n">
        <v>0</v>
      </c>
      <c r="I759" t="n">
        <v>0</v>
      </c>
      <c r="J759" t="n">
        <v>0</v>
      </c>
      <c r="K759" t="n">
        <v>0</v>
      </c>
      <c r="L759" t="n">
        <v>0</v>
      </c>
      <c r="M759" t="n">
        <v>0</v>
      </c>
      <c r="N759" t="n">
        <v>0</v>
      </c>
      <c r="O759" t="n">
        <v>0</v>
      </c>
      <c r="P759" t="n">
        <v>0</v>
      </c>
      <c r="Q759" t="n">
        <v>0</v>
      </c>
      <c r="R759" s="2" t="inlineStr"/>
    </row>
    <row r="760" ht="15" customHeight="1">
      <c r="A760" t="inlineStr">
        <is>
          <t>A 16534-2022</t>
        </is>
      </c>
      <c r="B760" s="1" t="n">
        <v>44672</v>
      </c>
      <c r="C760" s="1" t="n">
        <v>45475</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16835-2022</t>
        </is>
      </c>
      <c r="B761" s="1" t="n">
        <v>44673</v>
      </c>
      <c r="C761" s="1" t="n">
        <v>45475</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17391-2022</t>
        </is>
      </c>
      <c r="B762" s="1" t="n">
        <v>44678</v>
      </c>
      <c r="C762" s="1" t="n">
        <v>45475</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17388-2022</t>
        </is>
      </c>
      <c r="B763" s="1" t="n">
        <v>44678</v>
      </c>
      <c r="C763" s="1" t="n">
        <v>45475</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17390-2022</t>
        </is>
      </c>
      <c r="B764" s="1" t="n">
        <v>44678</v>
      </c>
      <c r="C764" s="1" t="n">
        <v>45475</v>
      </c>
      <c r="D764" t="inlineStr">
        <is>
          <t>STOCKHOLMS LÄN</t>
        </is>
      </c>
      <c r="E764" t="inlineStr">
        <is>
          <t>NORRTÄLJE</t>
        </is>
      </c>
      <c r="G764" t="n">
        <v>4.9</v>
      </c>
      <c r="H764" t="n">
        <v>0</v>
      </c>
      <c r="I764" t="n">
        <v>0</v>
      </c>
      <c r="J764" t="n">
        <v>0</v>
      </c>
      <c r="K764" t="n">
        <v>0</v>
      </c>
      <c r="L764" t="n">
        <v>0</v>
      </c>
      <c r="M764" t="n">
        <v>0</v>
      </c>
      <c r="N764" t="n">
        <v>0</v>
      </c>
      <c r="O764" t="n">
        <v>0</v>
      </c>
      <c r="P764" t="n">
        <v>0</v>
      </c>
      <c r="Q764" t="n">
        <v>0</v>
      </c>
      <c r="R764" s="2" t="inlineStr"/>
    </row>
    <row r="765" ht="15" customHeight="1">
      <c r="A765" t="inlineStr">
        <is>
          <t>A 17612-2022</t>
        </is>
      </c>
      <c r="B765" s="1" t="n">
        <v>44680</v>
      </c>
      <c r="C765" s="1" t="n">
        <v>45475</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17629-2022</t>
        </is>
      </c>
      <c r="B766" s="1" t="n">
        <v>44680</v>
      </c>
      <c r="C766" s="1" t="n">
        <v>45475</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17771-2022</t>
        </is>
      </c>
      <c r="B767" s="1" t="n">
        <v>44682</v>
      </c>
      <c r="C767" s="1" t="n">
        <v>45475</v>
      </c>
      <c r="D767" t="inlineStr">
        <is>
          <t>STOCKHOLMS LÄN</t>
        </is>
      </c>
      <c r="E767" t="inlineStr">
        <is>
          <t>NORRTÄLJE</t>
        </is>
      </c>
      <c r="G767" t="n">
        <v>13.3</v>
      </c>
      <c r="H767" t="n">
        <v>0</v>
      </c>
      <c r="I767" t="n">
        <v>0</v>
      </c>
      <c r="J767" t="n">
        <v>0</v>
      </c>
      <c r="K767" t="n">
        <v>0</v>
      </c>
      <c r="L767" t="n">
        <v>0</v>
      </c>
      <c r="M767" t="n">
        <v>0</v>
      </c>
      <c r="N767" t="n">
        <v>0</v>
      </c>
      <c r="O767" t="n">
        <v>0</v>
      </c>
      <c r="P767" t="n">
        <v>0</v>
      </c>
      <c r="Q767" t="n">
        <v>0</v>
      </c>
      <c r="R767" s="2" t="inlineStr"/>
    </row>
    <row r="768" ht="15" customHeight="1">
      <c r="A768" t="inlineStr">
        <is>
          <t>A 17775-2022</t>
        </is>
      </c>
      <c r="B768" s="1" t="n">
        <v>44682</v>
      </c>
      <c r="C768" s="1" t="n">
        <v>45475</v>
      </c>
      <c r="D768" t="inlineStr">
        <is>
          <t>STOCKHOLMS LÄN</t>
        </is>
      </c>
      <c r="E768" t="inlineStr">
        <is>
          <t>NORRTÄLJE</t>
        </is>
      </c>
      <c r="G768" t="n">
        <v>4.7</v>
      </c>
      <c r="H768" t="n">
        <v>0</v>
      </c>
      <c r="I768" t="n">
        <v>0</v>
      </c>
      <c r="J768" t="n">
        <v>0</v>
      </c>
      <c r="K768" t="n">
        <v>0</v>
      </c>
      <c r="L768" t="n">
        <v>0</v>
      </c>
      <c r="M768" t="n">
        <v>0</v>
      </c>
      <c r="N768" t="n">
        <v>0</v>
      </c>
      <c r="O768" t="n">
        <v>0</v>
      </c>
      <c r="P768" t="n">
        <v>0</v>
      </c>
      <c r="Q768" t="n">
        <v>0</v>
      </c>
      <c r="R768" s="2" t="inlineStr"/>
    </row>
    <row r="769" ht="15" customHeight="1">
      <c r="A769" t="inlineStr">
        <is>
          <t>A 17773-2022</t>
        </is>
      </c>
      <c r="B769" s="1" t="n">
        <v>44682</v>
      </c>
      <c r="C769" s="1" t="n">
        <v>45475</v>
      </c>
      <c r="D769" t="inlineStr">
        <is>
          <t>STOCKHOLMS LÄN</t>
        </is>
      </c>
      <c r="E769" t="inlineStr">
        <is>
          <t>NORRTÄLJE</t>
        </is>
      </c>
      <c r="G769" t="n">
        <v>10.8</v>
      </c>
      <c r="H769" t="n">
        <v>0</v>
      </c>
      <c r="I769" t="n">
        <v>0</v>
      </c>
      <c r="J769" t="n">
        <v>0</v>
      </c>
      <c r="K769" t="n">
        <v>0</v>
      </c>
      <c r="L769" t="n">
        <v>0</v>
      </c>
      <c r="M769" t="n">
        <v>0</v>
      </c>
      <c r="N769" t="n">
        <v>0</v>
      </c>
      <c r="O769" t="n">
        <v>0</v>
      </c>
      <c r="P769" t="n">
        <v>0</v>
      </c>
      <c r="Q769" t="n">
        <v>0</v>
      </c>
      <c r="R769" s="2" t="inlineStr"/>
    </row>
    <row r="770" ht="15" customHeight="1">
      <c r="A770" t="inlineStr">
        <is>
          <t>A 17772-2022</t>
        </is>
      </c>
      <c r="B770" s="1" t="n">
        <v>44682</v>
      </c>
      <c r="C770" s="1" t="n">
        <v>45475</v>
      </c>
      <c r="D770" t="inlineStr">
        <is>
          <t>STOCKHOLMS LÄN</t>
        </is>
      </c>
      <c r="E770" t="inlineStr">
        <is>
          <t>NORRTÄLJE</t>
        </is>
      </c>
      <c r="G770" t="n">
        <v>4</v>
      </c>
      <c r="H770" t="n">
        <v>0</v>
      </c>
      <c r="I770" t="n">
        <v>0</v>
      </c>
      <c r="J770" t="n">
        <v>0</v>
      </c>
      <c r="K770" t="n">
        <v>0</v>
      </c>
      <c r="L770" t="n">
        <v>0</v>
      </c>
      <c r="M770" t="n">
        <v>0</v>
      </c>
      <c r="N770" t="n">
        <v>0</v>
      </c>
      <c r="O770" t="n">
        <v>0</v>
      </c>
      <c r="P770" t="n">
        <v>0</v>
      </c>
      <c r="Q770" t="n">
        <v>0</v>
      </c>
      <c r="R770" s="2" t="inlineStr"/>
    </row>
    <row r="771" ht="15" customHeight="1">
      <c r="A771" t="inlineStr">
        <is>
          <t>A 17777-2022</t>
        </is>
      </c>
      <c r="B771" s="1" t="n">
        <v>44682</v>
      </c>
      <c r="C771" s="1" t="n">
        <v>45475</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17803-2022</t>
        </is>
      </c>
      <c r="B772" s="1" t="n">
        <v>44683</v>
      </c>
      <c r="C772" s="1" t="n">
        <v>45475</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17952-2022</t>
        </is>
      </c>
      <c r="B773" s="1" t="n">
        <v>44683</v>
      </c>
      <c r="C773" s="1" t="n">
        <v>45475</v>
      </c>
      <c r="D773" t="inlineStr">
        <is>
          <t>STOCKHOLMS LÄN</t>
        </is>
      </c>
      <c r="E773" t="inlineStr">
        <is>
          <t>NORRTÄLJE</t>
        </is>
      </c>
      <c r="G773" t="n">
        <v>51.1</v>
      </c>
      <c r="H773" t="n">
        <v>0</v>
      </c>
      <c r="I773" t="n">
        <v>0</v>
      </c>
      <c r="J773" t="n">
        <v>0</v>
      </c>
      <c r="K773" t="n">
        <v>0</v>
      </c>
      <c r="L773" t="n">
        <v>0</v>
      </c>
      <c r="M773" t="n">
        <v>0</v>
      </c>
      <c r="N773" t="n">
        <v>0</v>
      </c>
      <c r="O773" t="n">
        <v>0</v>
      </c>
      <c r="P773" t="n">
        <v>0</v>
      </c>
      <c r="Q773" t="n">
        <v>0</v>
      </c>
      <c r="R773" s="2" t="inlineStr"/>
    </row>
    <row r="774" ht="15" customHeight="1">
      <c r="A774" t="inlineStr">
        <is>
          <t>A 18092-2022</t>
        </is>
      </c>
      <c r="B774" s="1" t="n">
        <v>44684</v>
      </c>
      <c r="C774" s="1" t="n">
        <v>45475</v>
      </c>
      <c r="D774" t="inlineStr">
        <is>
          <t>STOCKHOLMS LÄN</t>
        </is>
      </c>
      <c r="E774" t="inlineStr">
        <is>
          <t>NORRTÄLJE</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18103-2022</t>
        </is>
      </c>
      <c r="B775" s="1" t="n">
        <v>44684</v>
      </c>
      <c r="C775" s="1" t="n">
        <v>45475</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18350-2022</t>
        </is>
      </c>
      <c r="B776" s="1" t="n">
        <v>44685</v>
      </c>
      <c r="C776" s="1" t="n">
        <v>45475</v>
      </c>
      <c r="D776" t="inlineStr">
        <is>
          <t>STOCKHOLMS LÄN</t>
        </is>
      </c>
      <c r="E776" t="inlineStr">
        <is>
          <t>NORRTÄLJE</t>
        </is>
      </c>
      <c r="F776" t="inlineStr">
        <is>
          <t>Holmen skog AB</t>
        </is>
      </c>
      <c r="G776" t="n">
        <v>7.1</v>
      </c>
      <c r="H776" t="n">
        <v>0</v>
      </c>
      <c r="I776" t="n">
        <v>0</v>
      </c>
      <c r="J776" t="n">
        <v>0</v>
      </c>
      <c r="K776" t="n">
        <v>0</v>
      </c>
      <c r="L776" t="n">
        <v>0</v>
      </c>
      <c r="M776" t="n">
        <v>0</v>
      </c>
      <c r="N776" t="n">
        <v>0</v>
      </c>
      <c r="O776" t="n">
        <v>0</v>
      </c>
      <c r="P776" t="n">
        <v>0</v>
      </c>
      <c r="Q776" t="n">
        <v>0</v>
      </c>
      <c r="R776" s="2" t="inlineStr"/>
    </row>
    <row r="777" ht="15" customHeight="1">
      <c r="A777" t="inlineStr">
        <is>
          <t>A 18546-2022</t>
        </is>
      </c>
      <c r="B777" s="1" t="n">
        <v>44686</v>
      </c>
      <c r="C777" s="1" t="n">
        <v>45475</v>
      </c>
      <c r="D777" t="inlineStr">
        <is>
          <t>STOCKHOLMS LÄN</t>
        </is>
      </c>
      <c r="E777" t="inlineStr">
        <is>
          <t>NORRTÄLJE</t>
        </is>
      </c>
      <c r="G777" t="n">
        <v>15.2</v>
      </c>
      <c r="H777" t="n">
        <v>0</v>
      </c>
      <c r="I777" t="n">
        <v>0</v>
      </c>
      <c r="J777" t="n">
        <v>0</v>
      </c>
      <c r="K777" t="n">
        <v>0</v>
      </c>
      <c r="L777" t="n">
        <v>0</v>
      </c>
      <c r="M777" t="n">
        <v>0</v>
      </c>
      <c r="N777" t="n">
        <v>0</v>
      </c>
      <c r="O777" t="n">
        <v>0</v>
      </c>
      <c r="P777" t="n">
        <v>0</v>
      </c>
      <c r="Q777" t="n">
        <v>0</v>
      </c>
      <c r="R777" s="2" t="inlineStr"/>
    </row>
    <row r="778" ht="15" customHeight="1">
      <c r="A778" t="inlineStr">
        <is>
          <t>A 18665-2022</t>
        </is>
      </c>
      <c r="B778" s="1" t="n">
        <v>44687</v>
      </c>
      <c r="C778" s="1" t="n">
        <v>45475</v>
      </c>
      <c r="D778" t="inlineStr">
        <is>
          <t>STOCKHOLMS LÄN</t>
        </is>
      </c>
      <c r="E778" t="inlineStr">
        <is>
          <t>NORRTÄLJE</t>
        </is>
      </c>
      <c r="F778" t="inlineStr">
        <is>
          <t>Kyrkan</t>
        </is>
      </c>
      <c r="G778" t="n">
        <v>1.1</v>
      </c>
      <c r="H778" t="n">
        <v>0</v>
      </c>
      <c r="I778" t="n">
        <v>0</v>
      </c>
      <c r="J778" t="n">
        <v>0</v>
      </c>
      <c r="K778" t="n">
        <v>0</v>
      </c>
      <c r="L778" t="n">
        <v>0</v>
      </c>
      <c r="M778" t="n">
        <v>0</v>
      </c>
      <c r="N778" t="n">
        <v>0</v>
      </c>
      <c r="O778" t="n">
        <v>0</v>
      </c>
      <c r="P778" t="n">
        <v>0</v>
      </c>
      <c r="Q778" t="n">
        <v>0</v>
      </c>
      <c r="R778" s="2" t="inlineStr"/>
    </row>
    <row r="779" ht="15" customHeight="1">
      <c r="A779" t="inlineStr">
        <is>
          <t>A 18787-2022</t>
        </is>
      </c>
      <c r="B779" s="1" t="n">
        <v>44687</v>
      </c>
      <c r="C779" s="1" t="n">
        <v>45475</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18846-2022</t>
        </is>
      </c>
      <c r="B780" s="1" t="n">
        <v>44690</v>
      </c>
      <c r="C780" s="1" t="n">
        <v>45475</v>
      </c>
      <c r="D780" t="inlineStr">
        <is>
          <t>STOCKHOLMS LÄN</t>
        </is>
      </c>
      <c r="E780" t="inlineStr">
        <is>
          <t>NORRTÄLJE</t>
        </is>
      </c>
      <c r="G780" t="n">
        <v>7</v>
      </c>
      <c r="H780" t="n">
        <v>0</v>
      </c>
      <c r="I780" t="n">
        <v>0</v>
      </c>
      <c r="J780" t="n">
        <v>0</v>
      </c>
      <c r="K780" t="n">
        <v>0</v>
      </c>
      <c r="L780" t="n">
        <v>0</v>
      </c>
      <c r="M780" t="n">
        <v>0</v>
      </c>
      <c r="N780" t="n">
        <v>0</v>
      </c>
      <c r="O780" t="n">
        <v>0</v>
      </c>
      <c r="P780" t="n">
        <v>0</v>
      </c>
      <c r="Q780" t="n">
        <v>0</v>
      </c>
      <c r="R780" s="2" t="inlineStr"/>
    </row>
    <row r="781" ht="15" customHeight="1">
      <c r="A781" t="inlineStr">
        <is>
          <t>A 18905-2022</t>
        </is>
      </c>
      <c r="B781" s="1" t="n">
        <v>44690</v>
      </c>
      <c r="C781" s="1" t="n">
        <v>45475</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18894-2022</t>
        </is>
      </c>
      <c r="B782" s="1" t="n">
        <v>44690</v>
      </c>
      <c r="C782" s="1" t="n">
        <v>45475</v>
      </c>
      <c r="D782" t="inlineStr">
        <is>
          <t>STOCKHOLMS LÄN</t>
        </is>
      </c>
      <c r="E782" t="inlineStr">
        <is>
          <t>NORRTÄLJE</t>
        </is>
      </c>
      <c r="G782" t="n">
        <v>3.6</v>
      </c>
      <c r="H782" t="n">
        <v>0</v>
      </c>
      <c r="I782" t="n">
        <v>0</v>
      </c>
      <c r="J782" t="n">
        <v>0</v>
      </c>
      <c r="K782" t="n">
        <v>0</v>
      </c>
      <c r="L782" t="n">
        <v>0</v>
      </c>
      <c r="M782" t="n">
        <v>0</v>
      </c>
      <c r="N782" t="n">
        <v>0</v>
      </c>
      <c r="O782" t="n">
        <v>0</v>
      </c>
      <c r="P782" t="n">
        <v>0</v>
      </c>
      <c r="Q782" t="n">
        <v>0</v>
      </c>
      <c r="R782" s="2" t="inlineStr"/>
    </row>
    <row r="783" ht="15" customHeight="1">
      <c r="A783" t="inlineStr">
        <is>
          <t>A 19116-2022</t>
        </is>
      </c>
      <c r="B783" s="1" t="n">
        <v>44691</v>
      </c>
      <c r="C783" s="1" t="n">
        <v>45475</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19118-2022</t>
        </is>
      </c>
      <c r="B784" s="1" t="n">
        <v>44691</v>
      </c>
      <c r="C784" s="1" t="n">
        <v>45475</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19580-2022</t>
        </is>
      </c>
      <c r="B785" s="1" t="n">
        <v>44693</v>
      </c>
      <c r="C785" s="1" t="n">
        <v>45475</v>
      </c>
      <c r="D785" t="inlineStr">
        <is>
          <t>STOCKHOLMS LÄN</t>
        </is>
      </c>
      <c r="E785" t="inlineStr">
        <is>
          <t>NORRTÄLJE</t>
        </is>
      </c>
      <c r="G785" t="n">
        <v>0.4</v>
      </c>
      <c r="H785" t="n">
        <v>0</v>
      </c>
      <c r="I785" t="n">
        <v>0</v>
      </c>
      <c r="J785" t="n">
        <v>0</v>
      </c>
      <c r="K785" t="n">
        <v>0</v>
      </c>
      <c r="L785" t="n">
        <v>0</v>
      </c>
      <c r="M785" t="n">
        <v>0</v>
      </c>
      <c r="N785" t="n">
        <v>0</v>
      </c>
      <c r="O785" t="n">
        <v>0</v>
      </c>
      <c r="P785" t="n">
        <v>0</v>
      </c>
      <c r="Q785" t="n">
        <v>0</v>
      </c>
      <c r="R785" s="2" t="inlineStr"/>
    </row>
    <row r="786" ht="15" customHeight="1">
      <c r="A786" t="inlineStr">
        <is>
          <t>A 19729-2022</t>
        </is>
      </c>
      <c r="B786" s="1" t="n">
        <v>44694</v>
      </c>
      <c r="C786" s="1" t="n">
        <v>45475</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19728-2022</t>
        </is>
      </c>
      <c r="B787" s="1" t="n">
        <v>44694</v>
      </c>
      <c r="C787" s="1" t="n">
        <v>45475</v>
      </c>
      <c r="D787" t="inlineStr">
        <is>
          <t>STOCKHOLMS LÄN</t>
        </is>
      </c>
      <c r="E787" t="inlineStr">
        <is>
          <t>NORRTÄLJE</t>
        </is>
      </c>
      <c r="G787" t="n">
        <v>3.3</v>
      </c>
      <c r="H787" t="n">
        <v>0</v>
      </c>
      <c r="I787" t="n">
        <v>0</v>
      </c>
      <c r="J787" t="n">
        <v>0</v>
      </c>
      <c r="K787" t="n">
        <v>0</v>
      </c>
      <c r="L787" t="n">
        <v>0</v>
      </c>
      <c r="M787" t="n">
        <v>0</v>
      </c>
      <c r="N787" t="n">
        <v>0</v>
      </c>
      <c r="O787" t="n">
        <v>0</v>
      </c>
      <c r="P787" t="n">
        <v>0</v>
      </c>
      <c r="Q787" t="n">
        <v>0</v>
      </c>
      <c r="R787" s="2" t="inlineStr"/>
    </row>
    <row r="788" ht="15" customHeight="1">
      <c r="A788" t="inlineStr">
        <is>
          <t>A 19982-2022</t>
        </is>
      </c>
      <c r="B788" s="1" t="n">
        <v>44697</v>
      </c>
      <c r="C788" s="1" t="n">
        <v>45475</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19983-2022</t>
        </is>
      </c>
      <c r="B789" s="1" t="n">
        <v>44697</v>
      </c>
      <c r="C789" s="1" t="n">
        <v>45475</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20121-2022</t>
        </is>
      </c>
      <c r="B790" s="1" t="n">
        <v>44698</v>
      </c>
      <c r="C790" s="1" t="n">
        <v>45475</v>
      </c>
      <c r="D790" t="inlineStr">
        <is>
          <t>STOCKHOLMS LÄN</t>
        </is>
      </c>
      <c r="E790" t="inlineStr">
        <is>
          <t>NORRTÄLJE</t>
        </is>
      </c>
      <c r="G790" t="n">
        <v>4.2</v>
      </c>
      <c r="H790" t="n">
        <v>0</v>
      </c>
      <c r="I790" t="n">
        <v>0</v>
      </c>
      <c r="J790" t="n">
        <v>0</v>
      </c>
      <c r="K790" t="n">
        <v>0</v>
      </c>
      <c r="L790" t="n">
        <v>0</v>
      </c>
      <c r="M790" t="n">
        <v>0</v>
      </c>
      <c r="N790" t="n">
        <v>0</v>
      </c>
      <c r="O790" t="n">
        <v>0</v>
      </c>
      <c r="P790" t="n">
        <v>0</v>
      </c>
      <c r="Q790" t="n">
        <v>0</v>
      </c>
      <c r="R790" s="2" t="inlineStr"/>
    </row>
    <row r="791" ht="15" customHeight="1">
      <c r="A791" t="inlineStr">
        <is>
          <t>A 20129-2022</t>
        </is>
      </c>
      <c r="B791" s="1" t="n">
        <v>44698</v>
      </c>
      <c r="C791" s="1" t="n">
        <v>45475</v>
      </c>
      <c r="D791" t="inlineStr">
        <is>
          <t>STOCKHOLMS LÄN</t>
        </is>
      </c>
      <c r="E791" t="inlineStr">
        <is>
          <t>NORRTÄLJE</t>
        </is>
      </c>
      <c r="G791" t="n">
        <v>3.7</v>
      </c>
      <c r="H791" t="n">
        <v>0</v>
      </c>
      <c r="I791" t="n">
        <v>0</v>
      </c>
      <c r="J791" t="n">
        <v>0</v>
      </c>
      <c r="K791" t="n">
        <v>0</v>
      </c>
      <c r="L791" t="n">
        <v>0</v>
      </c>
      <c r="M791" t="n">
        <v>0</v>
      </c>
      <c r="N791" t="n">
        <v>0</v>
      </c>
      <c r="O791" t="n">
        <v>0</v>
      </c>
      <c r="P791" t="n">
        <v>0</v>
      </c>
      <c r="Q791" t="n">
        <v>0</v>
      </c>
      <c r="R791" s="2" t="inlineStr"/>
    </row>
    <row r="792" ht="15" customHeight="1">
      <c r="A792" t="inlineStr">
        <is>
          <t>A 20291-2022</t>
        </is>
      </c>
      <c r="B792" s="1" t="n">
        <v>44698</v>
      </c>
      <c r="C792" s="1" t="n">
        <v>45475</v>
      </c>
      <c r="D792" t="inlineStr">
        <is>
          <t>STOCKHOLMS LÄN</t>
        </is>
      </c>
      <c r="E792" t="inlineStr">
        <is>
          <t>NORRTÄLJE</t>
        </is>
      </c>
      <c r="F792" t="inlineStr">
        <is>
          <t>Naturvårdsverket</t>
        </is>
      </c>
      <c r="G792" t="n">
        <v>2</v>
      </c>
      <c r="H792" t="n">
        <v>0</v>
      </c>
      <c r="I792" t="n">
        <v>0</v>
      </c>
      <c r="J792" t="n">
        <v>0</v>
      </c>
      <c r="K792" t="n">
        <v>0</v>
      </c>
      <c r="L792" t="n">
        <v>0</v>
      </c>
      <c r="M792" t="n">
        <v>0</v>
      </c>
      <c r="N792" t="n">
        <v>0</v>
      </c>
      <c r="O792" t="n">
        <v>0</v>
      </c>
      <c r="P792" t="n">
        <v>0</v>
      </c>
      <c r="Q792" t="n">
        <v>0</v>
      </c>
      <c r="R792" s="2" t="inlineStr"/>
    </row>
    <row r="793" ht="15" customHeight="1">
      <c r="A793" t="inlineStr">
        <is>
          <t>A 20294-2022</t>
        </is>
      </c>
      <c r="B793" s="1" t="n">
        <v>44698</v>
      </c>
      <c r="C793" s="1" t="n">
        <v>45475</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20295-2022</t>
        </is>
      </c>
      <c r="B794" s="1" t="n">
        <v>44698</v>
      </c>
      <c r="C794" s="1" t="n">
        <v>45475</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20618-2022</t>
        </is>
      </c>
      <c r="B795" s="1" t="n">
        <v>44700</v>
      </c>
      <c r="C795" s="1" t="n">
        <v>45475</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21102-2022</t>
        </is>
      </c>
      <c r="B796" s="1" t="n">
        <v>44704</v>
      </c>
      <c r="C796" s="1" t="n">
        <v>45475</v>
      </c>
      <c r="D796" t="inlineStr">
        <is>
          <t>STOCKHOLMS LÄN</t>
        </is>
      </c>
      <c r="E796" t="inlineStr">
        <is>
          <t>NORRTÄLJE</t>
        </is>
      </c>
      <c r="G796" t="n">
        <v>0.2</v>
      </c>
      <c r="H796" t="n">
        <v>0</v>
      </c>
      <c r="I796" t="n">
        <v>0</v>
      </c>
      <c r="J796" t="n">
        <v>0</v>
      </c>
      <c r="K796" t="n">
        <v>0</v>
      </c>
      <c r="L796" t="n">
        <v>0</v>
      </c>
      <c r="M796" t="n">
        <v>0</v>
      </c>
      <c r="N796" t="n">
        <v>0</v>
      </c>
      <c r="O796" t="n">
        <v>0</v>
      </c>
      <c r="P796" t="n">
        <v>0</v>
      </c>
      <c r="Q796" t="n">
        <v>0</v>
      </c>
      <c r="R796" s="2" t="inlineStr"/>
    </row>
    <row r="797" ht="15" customHeight="1">
      <c r="A797" t="inlineStr">
        <is>
          <t>A 21158-2022</t>
        </is>
      </c>
      <c r="B797" s="1" t="n">
        <v>44704</v>
      </c>
      <c r="C797" s="1" t="n">
        <v>45475</v>
      </c>
      <c r="D797" t="inlineStr">
        <is>
          <t>STOCKHOLMS LÄN</t>
        </is>
      </c>
      <c r="E797" t="inlineStr">
        <is>
          <t>NORRTÄLJE</t>
        </is>
      </c>
      <c r="G797" t="n">
        <v>17.8</v>
      </c>
      <c r="H797" t="n">
        <v>0</v>
      </c>
      <c r="I797" t="n">
        <v>0</v>
      </c>
      <c r="J797" t="n">
        <v>0</v>
      </c>
      <c r="K797" t="n">
        <v>0</v>
      </c>
      <c r="L797" t="n">
        <v>0</v>
      </c>
      <c r="M797" t="n">
        <v>0</v>
      </c>
      <c r="N797" t="n">
        <v>0</v>
      </c>
      <c r="O797" t="n">
        <v>0</v>
      </c>
      <c r="P797" t="n">
        <v>0</v>
      </c>
      <c r="Q797" t="n">
        <v>0</v>
      </c>
      <c r="R797" s="2" t="inlineStr"/>
    </row>
    <row r="798" ht="15" customHeight="1">
      <c r="A798" t="inlineStr">
        <is>
          <t>A 21174-2022</t>
        </is>
      </c>
      <c r="B798" s="1" t="n">
        <v>44704</v>
      </c>
      <c r="C798" s="1" t="n">
        <v>45475</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21480-2022</t>
        </is>
      </c>
      <c r="B799" s="1" t="n">
        <v>44704</v>
      </c>
      <c r="C799" s="1" t="n">
        <v>45475</v>
      </c>
      <c r="D799" t="inlineStr">
        <is>
          <t>STOCKHOLMS LÄN</t>
        </is>
      </c>
      <c r="E799" t="inlineStr">
        <is>
          <t>NORRTÄLJE</t>
        </is>
      </c>
      <c r="G799" t="n">
        <v>2.8</v>
      </c>
      <c r="H799" t="n">
        <v>0</v>
      </c>
      <c r="I799" t="n">
        <v>0</v>
      </c>
      <c r="J799" t="n">
        <v>0</v>
      </c>
      <c r="K799" t="n">
        <v>0</v>
      </c>
      <c r="L799" t="n">
        <v>0</v>
      </c>
      <c r="M799" t="n">
        <v>0</v>
      </c>
      <c r="N799" t="n">
        <v>0</v>
      </c>
      <c r="O799" t="n">
        <v>0</v>
      </c>
      <c r="P799" t="n">
        <v>0</v>
      </c>
      <c r="Q799" t="n">
        <v>0</v>
      </c>
      <c r="R799" s="2" t="inlineStr"/>
    </row>
    <row r="800" ht="15" customHeight="1">
      <c r="A800" t="inlineStr">
        <is>
          <t>A 21178-2022</t>
        </is>
      </c>
      <c r="B800" s="1" t="n">
        <v>44704</v>
      </c>
      <c r="C800" s="1" t="n">
        <v>45475</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21329-2022</t>
        </is>
      </c>
      <c r="B801" s="1" t="n">
        <v>44705</v>
      </c>
      <c r="C801" s="1" t="n">
        <v>45475</v>
      </c>
      <c r="D801" t="inlineStr">
        <is>
          <t>STOCKHOLMS LÄN</t>
        </is>
      </c>
      <c r="E801" t="inlineStr">
        <is>
          <t>NORRTÄLJE</t>
        </is>
      </c>
      <c r="G801" t="n">
        <v>4.1</v>
      </c>
      <c r="H801" t="n">
        <v>0</v>
      </c>
      <c r="I801" t="n">
        <v>0</v>
      </c>
      <c r="J801" t="n">
        <v>0</v>
      </c>
      <c r="K801" t="n">
        <v>0</v>
      </c>
      <c r="L801" t="n">
        <v>0</v>
      </c>
      <c r="M801" t="n">
        <v>0</v>
      </c>
      <c r="N801" t="n">
        <v>0</v>
      </c>
      <c r="O801" t="n">
        <v>0</v>
      </c>
      <c r="P801" t="n">
        <v>0</v>
      </c>
      <c r="Q801" t="n">
        <v>0</v>
      </c>
      <c r="R801" s="2" t="inlineStr"/>
    </row>
    <row r="802" ht="15" customHeight="1">
      <c r="A802" t="inlineStr">
        <is>
          <t>A 21739-2022</t>
        </is>
      </c>
      <c r="B802" s="1" t="n">
        <v>44708</v>
      </c>
      <c r="C802" s="1" t="n">
        <v>45475</v>
      </c>
      <c r="D802" t="inlineStr">
        <is>
          <t>STOCKHOLMS LÄN</t>
        </is>
      </c>
      <c r="E802" t="inlineStr">
        <is>
          <t>NORRTÄLJE</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21723-2022</t>
        </is>
      </c>
      <c r="B803" s="1" t="n">
        <v>44708</v>
      </c>
      <c r="C803" s="1" t="n">
        <v>45475</v>
      </c>
      <c r="D803" t="inlineStr">
        <is>
          <t>STOCKHOLMS LÄN</t>
        </is>
      </c>
      <c r="E803" t="inlineStr">
        <is>
          <t>NORRTÄLJE</t>
        </is>
      </c>
      <c r="G803" t="n">
        <v>0.3</v>
      </c>
      <c r="H803" t="n">
        <v>0</v>
      </c>
      <c r="I803" t="n">
        <v>0</v>
      </c>
      <c r="J803" t="n">
        <v>0</v>
      </c>
      <c r="K803" t="n">
        <v>0</v>
      </c>
      <c r="L803" t="n">
        <v>0</v>
      </c>
      <c r="M803" t="n">
        <v>0</v>
      </c>
      <c r="N803" t="n">
        <v>0</v>
      </c>
      <c r="O803" t="n">
        <v>0</v>
      </c>
      <c r="P803" t="n">
        <v>0</v>
      </c>
      <c r="Q803" t="n">
        <v>0</v>
      </c>
      <c r="R803" s="2" t="inlineStr"/>
    </row>
    <row r="804" ht="15" customHeight="1">
      <c r="A804" t="inlineStr">
        <is>
          <t>A 21726-2022</t>
        </is>
      </c>
      <c r="B804" s="1" t="n">
        <v>44708</v>
      </c>
      <c r="C804" s="1" t="n">
        <v>45475</v>
      </c>
      <c r="D804" t="inlineStr">
        <is>
          <t>STOCKHOLMS LÄN</t>
        </is>
      </c>
      <c r="E804" t="inlineStr">
        <is>
          <t>NORRTÄLJE</t>
        </is>
      </c>
      <c r="G804" t="n">
        <v>0.2</v>
      </c>
      <c r="H804" t="n">
        <v>0</v>
      </c>
      <c r="I804" t="n">
        <v>0</v>
      </c>
      <c r="J804" t="n">
        <v>0</v>
      </c>
      <c r="K804" t="n">
        <v>0</v>
      </c>
      <c r="L804" t="n">
        <v>0</v>
      </c>
      <c r="M804" t="n">
        <v>0</v>
      </c>
      <c r="N804" t="n">
        <v>0</v>
      </c>
      <c r="O804" t="n">
        <v>0</v>
      </c>
      <c r="P804" t="n">
        <v>0</v>
      </c>
      <c r="Q804" t="n">
        <v>0</v>
      </c>
      <c r="R804" s="2" t="inlineStr"/>
    </row>
    <row r="805" ht="15" customHeight="1">
      <c r="A805" t="inlineStr">
        <is>
          <t>A 21803-2022</t>
        </is>
      </c>
      <c r="B805" s="1" t="n">
        <v>44708</v>
      </c>
      <c r="C805" s="1" t="n">
        <v>45475</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21970-2022</t>
        </is>
      </c>
      <c r="B806" s="1" t="n">
        <v>44711</v>
      </c>
      <c r="C806" s="1" t="n">
        <v>45475</v>
      </c>
      <c r="D806" t="inlineStr">
        <is>
          <t>STOCKHOLMS LÄN</t>
        </is>
      </c>
      <c r="E806" t="inlineStr">
        <is>
          <t>NORRTÄLJE</t>
        </is>
      </c>
      <c r="F806" t="inlineStr">
        <is>
          <t>Holmen skog AB</t>
        </is>
      </c>
      <c r="G806" t="n">
        <v>2.8</v>
      </c>
      <c r="H806" t="n">
        <v>0</v>
      </c>
      <c r="I806" t="n">
        <v>0</v>
      </c>
      <c r="J806" t="n">
        <v>0</v>
      </c>
      <c r="K806" t="n">
        <v>0</v>
      </c>
      <c r="L806" t="n">
        <v>0</v>
      </c>
      <c r="M806" t="n">
        <v>0</v>
      </c>
      <c r="N806" t="n">
        <v>0</v>
      </c>
      <c r="O806" t="n">
        <v>0</v>
      </c>
      <c r="P806" t="n">
        <v>0</v>
      </c>
      <c r="Q806" t="n">
        <v>0</v>
      </c>
      <c r="R806" s="2" t="inlineStr"/>
    </row>
    <row r="807" ht="15" customHeight="1">
      <c r="A807" t="inlineStr">
        <is>
          <t>A 22072-2022</t>
        </is>
      </c>
      <c r="B807" s="1" t="n">
        <v>44711</v>
      </c>
      <c r="C807" s="1" t="n">
        <v>45475</v>
      </c>
      <c r="D807" t="inlineStr">
        <is>
          <t>STOCKHOLMS LÄN</t>
        </is>
      </c>
      <c r="E807" t="inlineStr">
        <is>
          <t>NORRTÄLJE</t>
        </is>
      </c>
      <c r="G807" t="n">
        <v>9.6</v>
      </c>
      <c r="H807" t="n">
        <v>0</v>
      </c>
      <c r="I807" t="n">
        <v>0</v>
      </c>
      <c r="J807" t="n">
        <v>0</v>
      </c>
      <c r="K807" t="n">
        <v>0</v>
      </c>
      <c r="L807" t="n">
        <v>0</v>
      </c>
      <c r="M807" t="n">
        <v>0</v>
      </c>
      <c r="N807" t="n">
        <v>0</v>
      </c>
      <c r="O807" t="n">
        <v>0</v>
      </c>
      <c r="P807" t="n">
        <v>0</v>
      </c>
      <c r="Q807" t="n">
        <v>0</v>
      </c>
      <c r="R807" s="2" t="inlineStr"/>
    </row>
    <row r="808" ht="15" customHeight="1">
      <c r="A808" t="inlineStr">
        <is>
          <t>A 22071-2022</t>
        </is>
      </c>
      <c r="B808" s="1" t="n">
        <v>44711</v>
      </c>
      <c r="C808" s="1" t="n">
        <v>45475</v>
      </c>
      <c r="D808" t="inlineStr">
        <is>
          <t>STOCKHOLMS LÄN</t>
        </is>
      </c>
      <c r="E808" t="inlineStr">
        <is>
          <t>NORRTÄLJE</t>
        </is>
      </c>
      <c r="G808" t="n">
        <v>7</v>
      </c>
      <c r="H808" t="n">
        <v>0</v>
      </c>
      <c r="I808" t="n">
        <v>0</v>
      </c>
      <c r="J808" t="n">
        <v>0</v>
      </c>
      <c r="K808" t="n">
        <v>0</v>
      </c>
      <c r="L808" t="n">
        <v>0</v>
      </c>
      <c r="M808" t="n">
        <v>0</v>
      </c>
      <c r="N808" t="n">
        <v>0</v>
      </c>
      <c r="O808" t="n">
        <v>0</v>
      </c>
      <c r="P808" t="n">
        <v>0</v>
      </c>
      <c r="Q808" t="n">
        <v>0</v>
      </c>
      <c r="R808" s="2" t="inlineStr"/>
    </row>
    <row r="809" ht="15" customHeight="1">
      <c r="A809" t="inlineStr">
        <is>
          <t>A 22269-2022</t>
        </is>
      </c>
      <c r="B809" s="1" t="n">
        <v>44712</v>
      </c>
      <c r="C809" s="1" t="n">
        <v>45475</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22316-2022</t>
        </is>
      </c>
      <c r="B810" s="1" t="n">
        <v>44712</v>
      </c>
      <c r="C810" s="1" t="n">
        <v>45475</v>
      </c>
      <c r="D810" t="inlineStr">
        <is>
          <t>STOCKHOLMS LÄN</t>
        </is>
      </c>
      <c r="E810" t="inlineStr">
        <is>
          <t>NORRTÄLJE</t>
        </is>
      </c>
      <c r="G810" t="n">
        <v>6.3</v>
      </c>
      <c r="H810" t="n">
        <v>0</v>
      </c>
      <c r="I810" t="n">
        <v>0</v>
      </c>
      <c r="J810" t="n">
        <v>0</v>
      </c>
      <c r="K810" t="n">
        <v>0</v>
      </c>
      <c r="L810" t="n">
        <v>0</v>
      </c>
      <c r="M810" t="n">
        <v>0</v>
      </c>
      <c r="N810" t="n">
        <v>0</v>
      </c>
      <c r="O810" t="n">
        <v>0</v>
      </c>
      <c r="P810" t="n">
        <v>0</v>
      </c>
      <c r="Q810" t="n">
        <v>0</v>
      </c>
      <c r="R810" s="2" t="inlineStr"/>
    </row>
    <row r="811" ht="15" customHeight="1">
      <c r="A811" t="inlineStr">
        <is>
          <t>A 22503-2022</t>
        </is>
      </c>
      <c r="B811" s="1" t="n">
        <v>44713</v>
      </c>
      <c r="C811" s="1" t="n">
        <v>45475</v>
      </c>
      <c r="D811" t="inlineStr">
        <is>
          <t>STOCKHOLMS LÄN</t>
        </is>
      </c>
      <c r="E811" t="inlineStr">
        <is>
          <t>NORRTÄLJE</t>
        </is>
      </c>
      <c r="G811" t="n">
        <v>5.1</v>
      </c>
      <c r="H811" t="n">
        <v>0</v>
      </c>
      <c r="I811" t="n">
        <v>0</v>
      </c>
      <c r="J811" t="n">
        <v>0</v>
      </c>
      <c r="K811" t="n">
        <v>0</v>
      </c>
      <c r="L811" t="n">
        <v>0</v>
      </c>
      <c r="M811" t="n">
        <v>0</v>
      </c>
      <c r="N811" t="n">
        <v>0</v>
      </c>
      <c r="O811" t="n">
        <v>0</v>
      </c>
      <c r="P811" t="n">
        <v>0</v>
      </c>
      <c r="Q811" t="n">
        <v>0</v>
      </c>
      <c r="R811" s="2" t="inlineStr"/>
    </row>
    <row r="812" ht="15" customHeight="1">
      <c r="A812" t="inlineStr">
        <is>
          <t>A 22697-2022</t>
        </is>
      </c>
      <c r="B812" s="1" t="n">
        <v>44714</v>
      </c>
      <c r="C812" s="1" t="n">
        <v>45475</v>
      </c>
      <c r="D812" t="inlineStr">
        <is>
          <t>STOCKHOLMS LÄN</t>
        </is>
      </c>
      <c r="E812" t="inlineStr">
        <is>
          <t>NORRTÄLJE</t>
        </is>
      </c>
      <c r="G812" t="n">
        <v>5.6</v>
      </c>
      <c r="H812" t="n">
        <v>0</v>
      </c>
      <c r="I812" t="n">
        <v>0</v>
      </c>
      <c r="J812" t="n">
        <v>0</v>
      </c>
      <c r="K812" t="n">
        <v>0</v>
      </c>
      <c r="L812" t="n">
        <v>0</v>
      </c>
      <c r="M812" t="n">
        <v>0</v>
      </c>
      <c r="N812" t="n">
        <v>0</v>
      </c>
      <c r="O812" t="n">
        <v>0</v>
      </c>
      <c r="P812" t="n">
        <v>0</v>
      </c>
      <c r="Q812" t="n">
        <v>0</v>
      </c>
      <c r="R812" s="2" t="inlineStr"/>
    </row>
    <row r="813" ht="15" customHeight="1">
      <c r="A813" t="inlineStr">
        <is>
          <t>A 22628-2022</t>
        </is>
      </c>
      <c r="B813" s="1" t="n">
        <v>44714</v>
      </c>
      <c r="C813" s="1" t="n">
        <v>45475</v>
      </c>
      <c r="D813" t="inlineStr">
        <is>
          <t>STOCKHOLMS LÄN</t>
        </is>
      </c>
      <c r="E813" t="inlineStr">
        <is>
          <t>NORRTÄLJE</t>
        </is>
      </c>
      <c r="G813" t="n">
        <v>11.4</v>
      </c>
      <c r="H813" t="n">
        <v>0</v>
      </c>
      <c r="I813" t="n">
        <v>0</v>
      </c>
      <c r="J813" t="n">
        <v>0</v>
      </c>
      <c r="K813" t="n">
        <v>0</v>
      </c>
      <c r="L813" t="n">
        <v>0</v>
      </c>
      <c r="M813" t="n">
        <v>0</v>
      </c>
      <c r="N813" t="n">
        <v>0</v>
      </c>
      <c r="O813" t="n">
        <v>0</v>
      </c>
      <c r="P813" t="n">
        <v>0</v>
      </c>
      <c r="Q813" t="n">
        <v>0</v>
      </c>
      <c r="R813" s="2" t="inlineStr"/>
    </row>
    <row r="814" ht="15" customHeight="1">
      <c r="A814" t="inlineStr">
        <is>
          <t>A 22636-2022</t>
        </is>
      </c>
      <c r="B814" s="1" t="n">
        <v>44714</v>
      </c>
      <c r="C814" s="1" t="n">
        <v>45475</v>
      </c>
      <c r="D814" t="inlineStr">
        <is>
          <t>STOCKHOLMS LÄN</t>
        </is>
      </c>
      <c r="E814" t="inlineStr">
        <is>
          <t>NORRTÄLJE</t>
        </is>
      </c>
      <c r="G814" t="n">
        <v>16.6</v>
      </c>
      <c r="H814" t="n">
        <v>0</v>
      </c>
      <c r="I814" t="n">
        <v>0</v>
      </c>
      <c r="J814" t="n">
        <v>0</v>
      </c>
      <c r="K814" t="n">
        <v>0</v>
      </c>
      <c r="L814" t="n">
        <v>0</v>
      </c>
      <c r="M814" t="n">
        <v>0</v>
      </c>
      <c r="N814" t="n">
        <v>0</v>
      </c>
      <c r="O814" t="n">
        <v>0</v>
      </c>
      <c r="P814" t="n">
        <v>0</v>
      </c>
      <c r="Q814" t="n">
        <v>0</v>
      </c>
      <c r="R814" s="2" t="inlineStr"/>
    </row>
    <row r="815" ht="15" customHeight="1">
      <c r="A815" t="inlineStr">
        <is>
          <t>A 22716-2022</t>
        </is>
      </c>
      <c r="B815" s="1" t="n">
        <v>44714</v>
      </c>
      <c r="C815" s="1" t="n">
        <v>45475</v>
      </c>
      <c r="D815" t="inlineStr">
        <is>
          <t>STOCKHOLMS LÄN</t>
        </is>
      </c>
      <c r="E815" t="inlineStr">
        <is>
          <t>NORRTÄLJE</t>
        </is>
      </c>
      <c r="G815" t="n">
        <v>13.5</v>
      </c>
      <c r="H815" t="n">
        <v>0</v>
      </c>
      <c r="I815" t="n">
        <v>0</v>
      </c>
      <c r="J815" t="n">
        <v>0</v>
      </c>
      <c r="K815" t="n">
        <v>0</v>
      </c>
      <c r="L815" t="n">
        <v>0</v>
      </c>
      <c r="M815" t="n">
        <v>0</v>
      </c>
      <c r="N815" t="n">
        <v>0</v>
      </c>
      <c r="O815" t="n">
        <v>0</v>
      </c>
      <c r="P815" t="n">
        <v>0</v>
      </c>
      <c r="Q815" t="n">
        <v>0</v>
      </c>
      <c r="R815" s="2" t="inlineStr"/>
    </row>
    <row r="816" ht="15" customHeight="1">
      <c r="A816" t="inlineStr">
        <is>
          <t>A 22756-2022</t>
        </is>
      </c>
      <c r="B816" s="1" t="n">
        <v>44715</v>
      </c>
      <c r="C816" s="1" t="n">
        <v>45475</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23125-2022</t>
        </is>
      </c>
      <c r="B817" s="1" t="n">
        <v>44719</v>
      </c>
      <c r="C817" s="1" t="n">
        <v>45475</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23770-2022</t>
        </is>
      </c>
      <c r="B818" s="1" t="n">
        <v>44722</v>
      </c>
      <c r="C818" s="1" t="n">
        <v>45475</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23801-2022</t>
        </is>
      </c>
      <c r="B819" s="1" t="n">
        <v>44722</v>
      </c>
      <c r="C819" s="1" t="n">
        <v>45475</v>
      </c>
      <c r="D819" t="inlineStr">
        <is>
          <t>STOCKHOLMS LÄN</t>
        </is>
      </c>
      <c r="E819" t="inlineStr">
        <is>
          <t>NORRTÄLJE</t>
        </is>
      </c>
      <c r="G819" t="n">
        <v>6.8</v>
      </c>
      <c r="H819" t="n">
        <v>0</v>
      </c>
      <c r="I819" t="n">
        <v>0</v>
      </c>
      <c r="J819" t="n">
        <v>0</v>
      </c>
      <c r="K819" t="n">
        <v>0</v>
      </c>
      <c r="L819" t="n">
        <v>0</v>
      </c>
      <c r="M819" t="n">
        <v>0</v>
      </c>
      <c r="N819" t="n">
        <v>0</v>
      </c>
      <c r="O819" t="n">
        <v>0</v>
      </c>
      <c r="P819" t="n">
        <v>0</v>
      </c>
      <c r="Q819" t="n">
        <v>0</v>
      </c>
      <c r="R819" s="2" t="inlineStr"/>
    </row>
    <row r="820" ht="15" customHeight="1">
      <c r="A820" t="inlineStr">
        <is>
          <t>A 24101-2022</t>
        </is>
      </c>
      <c r="B820" s="1" t="n">
        <v>44725</v>
      </c>
      <c r="C820" s="1" t="n">
        <v>45475</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24162-2022</t>
        </is>
      </c>
      <c r="B821" s="1" t="n">
        <v>44725</v>
      </c>
      <c r="C821" s="1" t="n">
        <v>45475</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24167-2022</t>
        </is>
      </c>
      <c r="B822" s="1" t="n">
        <v>44725</v>
      </c>
      <c r="C822" s="1" t="n">
        <v>45475</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24152-2022</t>
        </is>
      </c>
      <c r="B823" s="1" t="n">
        <v>44725</v>
      </c>
      <c r="C823" s="1" t="n">
        <v>45475</v>
      </c>
      <c r="D823" t="inlineStr">
        <is>
          <t>STOCKHOLMS LÄN</t>
        </is>
      </c>
      <c r="E823" t="inlineStr">
        <is>
          <t>NORRTÄLJE</t>
        </is>
      </c>
      <c r="G823" t="n">
        <v>3.3</v>
      </c>
      <c r="H823" t="n">
        <v>0</v>
      </c>
      <c r="I823" t="n">
        <v>0</v>
      </c>
      <c r="J823" t="n">
        <v>0</v>
      </c>
      <c r="K823" t="n">
        <v>0</v>
      </c>
      <c r="L823" t="n">
        <v>0</v>
      </c>
      <c r="M823" t="n">
        <v>0</v>
      </c>
      <c r="N823" t="n">
        <v>0</v>
      </c>
      <c r="O823" t="n">
        <v>0</v>
      </c>
      <c r="P823" t="n">
        <v>0</v>
      </c>
      <c r="Q823" t="n">
        <v>0</v>
      </c>
      <c r="R823" s="2" t="inlineStr"/>
    </row>
    <row r="824" ht="15" customHeight="1">
      <c r="A824" t="inlineStr">
        <is>
          <t>A 24534-2022</t>
        </is>
      </c>
      <c r="B824" s="1" t="n">
        <v>44727</v>
      </c>
      <c r="C824" s="1" t="n">
        <v>45475</v>
      </c>
      <c r="D824" t="inlineStr">
        <is>
          <t>STOCKHOLMS LÄN</t>
        </is>
      </c>
      <c r="E824" t="inlineStr">
        <is>
          <t>NORRTÄLJE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24977-2022</t>
        </is>
      </c>
      <c r="B825" s="1" t="n">
        <v>44728</v>
      </c>
      <c r="C825" s="1" t="n">
        <v>45475</v>
      </c>
      <c r="D825" t="inlineStr">
        <is>
          <t>STOCKHOLMS LÄN</t>
        </is>
      </c>
      <c r="E825" t="inlineStr">
        <is>
          <t>NORRTÄLJE</t>
        </is>
      </c>
      <c r="F825" t="inlineStr">
        <is>
          <t>Kyrkan</t>
        </is>
      </c>
      <c r="G825" t="n">
        <v>1</v>
      </c>
      <c r="H825" t="n">
        <v>0</v>
      </c>
      <c r="I825" t="n">
        <v>0</v>
      </c>
      <c r="J825" t="n">
        <v>0</v>
      </c>
      <c r="K825" t="n">
        <v>0</v>
      </c>
      <c r="L825" t="n">
        <v>0</v>
      </c>
      <c r="M825" t="n">
        <v>0</v>
      </c>
      <c r="N825" t="n">
        <v>0</v>
      </c>
      <c r="O825" t="n">
        <v>0</v>
      </c>
      <c r="P825" t="n">
        <v>0</v>
      </c>
      <c r="Q825" t="n">
        <v>0</v>
      </c>
      <c r="R825" s="2" t="inlineStr"/>
    </row>
    <row r="826" ht="15" customHeight="1">
      <c r="A826" t="inlineStr">
        <is>
          <t>A 25525-2022</t>
        </is>
      </c>
      <c r="B826" s="1" t="n">
        <v>44732</v>
      </c>
      <c r="C826" s="1" t="n">
        <v>45475</v>
      </c>
      <c r="D826" t="inlineStr">
        <is>
          <t>STOCKHOLMS LÄN</t>
        </is>
      </c>
      <c r="E826" t="inlineStr">
        <is>
          <t>NORRTÄLJE</t>
        </is>
      </c>
      <c r="G826" t="n">
        <v>2.2</v>
      </c>
      <c r="H826" t="n">
        <v>0</v>
      </c>
      <c r="I826" t="n">
        <v>0</v>
      </c>
      <c r="J826" t="n">
        <v>0</v>
      </c>
      <c r="K826" t="n">
        <v>0</v>
      </c>
      <c r="L826" t="n">
        <v>0</v>
      </c>
      <c r="M826" t="n">
        <v>0</v>
      </c>
      <c r="N826" t="n">
        <v>0</v>
      </c>
      <c r="O826" t="n">
        <v>0</v>
      </c>
      <c r="P826" t="n">
        <v>0</v>
      </c>
      <c r="Q826" t="n">
        <v>0</v>
      </c>
      <c r="R826" s="2" t="inlineStr"/>
    </row>
    <row r="827" ht="15" customHeight="1">
      <c r="A827" t="inlineStr">
        <is>
          <t>A 25621-2022</t>
        </is>
      </c>
      <c r="B827" s="1" t="n">
        <v>44732</v>
      </c>
      <c r="C827" s="1" t="n">
        <v>45475</v>
      </c>
      <c r="D827" t="inlineStr">
        <is>
          <t>STOCKHOLMS LÄN</t>
        </is>
      </c>
      <c r="E827" t="inlineStr">
        <is>
          <t>NORRTÄLJE</t>
        </is>
      </c>
      <c r="G827" t="n">
        <v>3.1</v>
      </c>
      <c r="H827" t="n">
        <v>0</v>
      </c>
      <c r="I827" t="n">
        <v>0</v>
      </c>
      <c r="J827" t="n">
        <v>0</v>
      </c>
      <c r="K827" t="n">
        <v>0</v>
      </c>
      <c r="L827" t="n">
        <v>0</v>
      </c>
      <c r="M827" t="n">
        <v>0</v>
      </c>
      <c r="N827" t="n">
        <v>0</v>
      </c>
      <c r="O827" t="n">
        <v>0</v>
      </c>
      <c r="P827" t="n">
        <v>0</v>
      </c>
      <c r="Q827" t="n">
        <v>0</v>
      </c>
      <c r="R827" s="2" t="inlineStr"/>
    </row>
    <row r="828" ht="15" customHeight="1">
      <c r="A828" t="inlineStr">
        <is>
          <t>A 25619-2022</t>
        </is>
      </c>
      <c r="B828" s="1" t="n">
        <v>44732</v>
      </c>
      <c r="C828" s="1" t="n">
        <v>45475</v>
      </c>
      <c r="D828" t="inlineStr">
        <is>
          <t>STOCKHOLMS LÄN</t>
        </is>
      </c>
      <c r="E828" t="inlineStr">
        <is>
          <t>NORRTÄLJE</t>
        </is>
      </c>
      <c r="G828" t="n">
        <v>3.9</v>
      </c>
      <c r="H828" t="n">
        <v>0</v>
      </c>
      <c r="I828" t="n">
        <v>0</v>
      </c>
      <c r="J828" t="n">
        <v>0</v>
      </c>
      <c r="K828" t="n">
        <v>0</v>
      </c>
      <c r="L828" t="n">
        <v>0</v>
      </c>
      <c r="M828" t="n">
        <v>0</v>
      </c>
      <c r="N828" t="n">
        <v>0</v>
      </c>
      <c r="O828" t="n">
        <v>0</v>
      </c>
      <c r="P828" t="n">
        <v>0</v>
      </c>
      <c r="Q828" t="n">
        <v>0</v>
      </c>
      <c r="R828" s="2" t="inlineStr"/>
    </row>
    <row r="829" ht="15" customHeight="1">
      <c r="A829" t="inlineStr">
        <is>
          <t>A 26328-2022</t>
        </is>
      </c>
      <c r="B829" s="1" t="n">
        <v>44735</v>
      </c>
      <c r="C829" s="1" t="n">
        <v>45475</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26335-2022</t>
        </is>
      </c>
      <c r="B830" s="1" t="n">
        <v>44735</v>
      </c>
      <c r="C830" s="1" t="n">
        <v>45475</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27538-2022</t>
        </is>
      </c>
      <c r="B831" s="1" t="n">
        <v>44742</v>
      </c>
      <c r="C831" s="1" t="n">
        <v>45475</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27715-2022</t>
        </is>
      </c>
      <c r="B832" s="1" t="n">
        <v>44743</v>
      </c>
      <c r="C832" s="1" t="n">
        <v>45475</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27827-2022</t>
        </is>
      </c>
      <c r="B833" s="1" t="n">
        <v>44743</v>
      </c>
      <c r="C833" s="1" t="n">
        <v>45475</v>
      </c>
      <c r="D833" t="inlineStr">
        <is>
          <t>STOCKHOLMS LÄN</t>
        </is>
      </c>
      <c r="E833" t="inlineStr">
        <is>
          <t>NORRTÄLJE</t>
        </is>
      </c>
      <c r="F833" t="inlineStr">
        <is>
          <t>Holmen skog AB</t>
        </is>
      </c>
      <c r="G833" t="n">
        <v>4.7</v>
      </c>
      <c r="H833" t="n">
        <v>0</v>
      </c>
      <c r="I833" t="n">
        <v>0</v>
      </c>
      <c r="J833" t="n">
        <v>0</v>
      </c>
      <c r="K833" t="n">
        <v>0</v>
      </c>
      <c r="L833" t="n">
        <v>0</v>
      </c>
      <c r="M833" t="n">
        <v>0</v>
      </c>
      <c r="N833" t="n">
        <v>0</v>
      </c>
      <c r="O833" t="n">
        <v>0</v>
      </c>
      <c r="P833" t="n">
        <v>0</v>
      </c>
      <c r="Q833" t="n">
        <v>0</v>
      </c>
      <c r="R833" s="2" t="inlineStr"/>
    </row>
    <row r="834" ht="15" customHeight="1">
      <c r="A834" t="inlineStr">
        <is>
          <t>A 27870-2022</t>
        </is>
      </c>
      <c r="B834" s="1" t="n">
        <v>44743</v>
      </c>
      <c r="C834" s="1" t="n">
        <v>45475</v>
      </c>
      <c r="D834" t="inlineStr">
        <is>
          <t>STOCKHOLMS LÄN</t>
        </is>
      </c>
      <c r="E834" t="inlineStr">
        <is>
          <t>NORRTÄLJE</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27828-2022</t>
        </is>
      </c>
      <c r="B835" s="1" t="n">
        <v>44743</v>
      </c>
      <c r="C835" s="1" t="n">
        <v>45475</v>
      </c>
      <c r="D835" t="inlineStr">
        <is>
          <t>STOCKHOLMS LÄN</t>
        </is>
      </c>
      <c r="E835" t="inlineStr">
        <is>
          <t>NORRTÄLJE</t>
        </is>
      </c>
      <c r="F835" t="inlineStr">
        <is>
          <t>Kommuner</t>
        </is>
      </c>
      <c r="G835" t="n">
        <v>1.6</v>
      </c>
      <c r="H835" t="n">
        <v>0</v>
      </c>
      <c r="I835" t="n">
        <v>0</v>
      </c>
      <c r="J835" t="n">
        <v>0</v>
      </c>
      <c r="K835" t="n">
        <v>0</v>
      </c>
      <c r="L835" t="n">
        <v>0</v>
      </c>
      <c r="M835" t="n">
        <v>0</v>
      </c>
      <c r="N835" t="n">
        <v>0</v>
      </c>
      <c r="O835" t="n">
        <v>0</v>
      </c>
      <c r="P835" t="n">
        <v>0</v>
      </c>
      <c r="Q835" t="n">
        <v>0</v>
      </c>
      <c r="R835" s="2" t="inlineStr"/>
    </row>
    <row r="836" ht="15" customHeight="1">
      <c r="A836" t="inlineStr">
        <is>
          <t>A 27824-2022</t>
        </is>
      </c>
      <c r="B836" s="1" t="n">
        <v>44743</v>
      </c>
      <c r="C836" s="1" t="n">
        <v>45475</v>
      </c>
      <c r="D836" t="inlineStr">
        <is>
          <t>STOCKHOLMS LÄN</t>
        </is>
      </c>
      <c r="E836" t="inlineStr">
        <is>
          <t>NORRTÄLJE</t>
        </is>
      </c>
      <c r="F836" t="inlineStr">
        <is>
          <t>Kommuner</t>
        </is>
      </c>
      <c r="G836" t="n">
        <v>3.1</v>
      </c>
      <c r="H836" t="n">
        <v>0</v>
      </c>
      <c r="I836" t="n">
        <v>0</v>
      </c>
      <c r="J836" t="n">
        <v>0</v>
      </c>
      <c r="K836" t="n">
        <v>0</v>
      </c>
      <c r="L836" t="n">
        <v>0</v>
      </c>
      <c r="M836" t="n">
        <v>0</v>
      </c>
      <c r="N836" t="n">
        <v>0</v>
      </c>
      <c r="O836" t="n">
        <v>0</v>
      </c>
      <c r="P836" t="n">
        <v>0</v>
      </c>
      <c r="Q836" t="n">
        <v>0</v>
      </c>
      <c r="R836" s="2" t="inlineStr"/>
    </row>
    <row r="837" ht="15" customHeight="1">
      <c r="A837" t="inlineStr">
        <is>
          <t>A 27831-2022</t>
        </is>
      </c>
      <c r="B837" s="1" t="n">
        <v>44743</v>
      </c>
      <c r="C837" s="1" t="n">
        <v>45475</v>
      </c>
      <c r="D837" t="inlineStr">
        <is>
          <t>STOCKHOLMS LÄN</t>
        </is>
      </c>
      <c r="E837" t="inlineStr">
        <is>
          <t>NORRTÄLJE</t>
        </is>
      </c>
      <c r="F837" t="inlineStr">
        <is>
          <t>Kommuner</t>
        </is>
      </c>
      <c r="G837" t="n">
        <v>4</v>
      </c>
      <c r="H837" t="n">
        <v>0</v>
      </c>
      <c r="I837" t="n">
        <v>0</v>
      </c>
      <c r="J837" t="n">
        <v>0</v>
      </c>
      <c r="K837" t="n">
        <v>0</v>
      </c>
      <c r="L837" t="n">
        <v>0</v>
      </c>
      <c r="M837" t="n">
        <v>0</v>
      </c>
      <c r="N837" t="n">
        <v>0</v>
      </c>
      <c r="O837" t="n">
        <v>0</v>
      </c>
      <c r="P837" t="n">
        <v>0</v>
      </c>
      <c r="Q837" t="n">
        <v>0</v>
      </c>
      <c r="R837" s="2" t="inlineStr"/>
    </row>
    <row r="838" ht="15" customHeight="1">
      <c r="A838" t="inlineStr">
        <is>
          <t>A 27885-2022</t>
        </is>
      </c>
      <c r="B838" s="1" t="n">
        <v>44743</v>
      </c>
      <c r="C838" s="1" t="n">
        <v>45475</v>
      </c>
      <c r="D838" t="inlineStr">
        <is>
          <t>STOCKHOLMS LÄN</t>
        </is>
      </c>
      <c r="E838" t="inlineStr">
        <is>
          <t>NORRTÄLJE</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27867-2022</t>
        </is>
      </c>
      <c r="B839" s="1" t="n">
        <v>44743</v>
      </c>
      <c r="C839" s="1" t="n">
        <v>45475</v>
      </c>
      <c r="D839" t="inlineStr">
        <is>
          <t>STOCKHOLMS LÄN</t>
        </is>
      </c>
      <c r="E839" t="inlineStr">
        <is>
          <t>NORRTÄLJE</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28042-2022</t>
        </is>
      </c>
      <c r="B840" s="1" t="n">
        <v>44744</v>
      </c>
      <c r="C840" s="1" t="n">
        <v>45475</v>
      </c>
      <c r="D840" t="inlineStr">
        <is>
          <t>STOCKHOLMS LÄN</t>
        </is>
      </c>
      <c r="E840" t="inlineStr">
        <is>
          <t>NORRTÄLJE</t>
        </is>
      </c>
      <c r="G840" t="n">
        <v>0.2</v>
      </c>
      <c r="H840" t="n">
        <v>0</v>
      </c>
      <c r="I840" t="n">
        <v>0</v>
      </c>
      <c r="J840" t="n">
        <v>0</v>
      </c>
      <c r="K840" t="n">
        <v>0</v>
      </c>
      <c r="L840" t="n">
        <v>0</v>
      </c>
      <c r="M840" t="n">
        <v>0</v>
      </c>
      <c r="N840" t="n">
        <v>0</v>
      </c>
      <c r="O840" t="n">
        <v>0</v>
      </c>
      <c r="P840" t="n">
        <v>0</v>
      </c>
      <c r="Q840" t="n">
        <v>0</v>
      </c>
      <c r="R840" s="2" t="inlineStr"/>
    </row>
    <row r="841" ht="15" customHeight="1">
      <c r="A841" t="inlineStr">
        <is>
          <t>A 28100-2022</t>
        </is>
      </c>
      <c r="B841" s="1" t="n">
        <v>44746</v>
      </c>
      <c r="C841" s="1" t="n">
        <v>45475</v>
      </c>
      <c r="D841" t="inlineStr">
        <is>
          <t>STOCKHOLMS LÄN</t>
        </is>
      </c>
      <c r="E841" t="inlineStr">
        <is>
          <t>NORRTÄLJE</t>
        </is>
      </c>
      <c r="F841" t="inlineStr">
        <is>
          <t>Holmen skog AB</t>
        </is>
      </c>
      <c r="G841" t="n">
        <v>5.8</v>
      </c>
      <c r="H841" t="n">
        <v>0</v>
      </c>
      <c r="I841" t="n">
        <v>0</v>
      </c>
      <c r="J841" t="n">
        <v>0</v>
      </c>
      <c r="K841" t="n">
        <v>0</v>
      </c>
      <c r="L841" t="n">
        <v>0</v>
      </c>
      <c r="M841" t="n">
        <v>0</v>
      </c>
      <c r="N841" t="n">
        <v>0</v>
      </c>
      <c r="O841" t="n">
        <v>0</v>
      </c>
      <c r="P841" t="n">
        <v>0</v>
      </c>
      <c r="Q841" t="n">
        <v>0</v>
      </c>
      <c r="R841" s="2" t="inlineStr"/>
    </row>
    <row r="842" ht="15" customHeight="1">
      <c r="A842" t="inlineStr">
        <is>
          <t>A 28182-2022</t>
        </is>
      </c>
      <c r="B842" s="1" t="n">
        <v>44746</v>
      </c>
      <c r="C842" s="1" t="n">
        <v>45475</v>
      </c>
      <c r="D842" t="inlineStr">
        <is>
          <t>STOCKHOLMS LÄN</t>
        </is>
      </c>
      <c r="E842" t="inlineStr">
        <is>
          <t>NORRTÄLJE</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28209-2022</t>
        </is>
      </c>
      <c r="B843" s="1" t="n">
        <v>44746</v>
      </c>
      <c r="C843" s="1" t="n">
        <v>45475</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28365-2022</t>
        </is>
      </c>
      <c r="B844" s="1" t="n">
        <v>44747</v>
      </c>
      <c r="C844" s="1" t="n">
        <v>45475</v>
      </c>
      <c r="D844" t="inlineStr">
        <is>
          <t>STOCKHOLMS LÄN</t>
        </is>
      </c>
      <c r="E844" t="inlineStr">
        <is>
          <t>NORRTÄLJE</t>
        </is>
      </c>
      <c r="G844" t="n">
        <v>5.1</v>
      </c>
      <c r="H844" t="n">
        <v>0</v>
      </c>
      <c r="I844" t="n">
        <v>0</v>
      </c>
      <c r="J844" t="n">
        <v>0</v>
      </c>
      <c r="K844" t="n">
        <v>0</v>
      </c>
      <c r="L844" t="n">
        <v>0</v>
      </c>
      <c r="M844" t="n">
        <v>0</v>
      </c>
      <c r="N844" t="n">
        <v>0</v>
      </c>
      <c r="O844" t="n">
        <v>0</v>
      </c>
      <c r="P844" t="n">
        <v>0</v>
      </c>
      <c r="Q844" t="n">
        <v>0</v>
      </c>
      <c r="R844" s="2" t="inlineStr"/>
    </row>
    <row r="845" ht="15" customHeight="1">
      <c r="A845" t="inlineStr">
        <is>
          <t>A 28900-2022</t>
        </is>
      </c>
      <c r="B845" s="1" t="n">
        <v>44749</v>
      </c>
      <c r="C845" s="1" t="n">
        <v>45475</v>
      </c>
      <c r="D845" t="inlineStr">
        <is>
          <t>STOCKHOLMS LÄN</t>
        </is>
      </c>
      <c r="E845" t="inlineStr">
        <is>
          <t>NORRTÄLJE</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28959-2022</t>
        </is>
      </c>
      <c r="B846" s="1" t="n">
        <v>44749</v>
      </c>
      <c r="C846" s="1" t="n">
        <v>45475</v>
      </c>
      <c r="D846" t="inlineStr">
        <is>
          <t>STOCKHOLMS LÄN</t>
        </is>
      </c>
      <c r="E846" t="inlineStr">
        <is>
          <t>NORRTÄLJE</t>
        </is>
      </c>
      <c r="G846" t="n">
        <v>5.2</v>
      </c>
      <c r="H846" t="n">
        <v>0</v>
      </c>
      <c r="I846" t="n">
        <v>0</v>
      </c>
      <c r="J846" t="n">
        <v>0</v>
      </c>
      <c r="K846" t="n">
        <v>0</v>
      </c>
      <c r="L846" t="n">
        <v>0</v>
      </c>
      <c r="M846" t="n">
        <v>0</v>
      </c>
      <c r="N846" t="n">
        <v>0</v>
      </c>
      <c r="O846" t="n">
        <v>0</v>
      </c>
      <c r="P846" t="n">
        <v>0</v>
      </c>
      <c r="Q846" t="n">
        <v>0</v>
      </c>
      <c r="R846" s="2" t="inlineStr"/>
    </row>
    <row r="847" ht="15" customHeight="1">
      <c r="A847" t="inlineStr">
        <is>
          <t>A 29070-2022</t>
        </is>
      </c>
      <c r="B847" s="1" t="n">
        <v>44750</v>
      </c>
      <c r="C847" s="1" t="n">
        <v>45475</v>
      </c>
      <c r="D847" t="inlineStr">
        <is>
          <t>STOCKHOLMS LÄN</t>
        </is>
      </c>
      <c r="E847" t="inlineStr">
        <is>
          <t>NORRTÄLJE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29266-2022</t>
        </is>
      </c>
      <c r="B848" s="1" t="n">
        <v>44750</v>
      </c>
      <c r="C848" s="1" t="n">
        <v>45475</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29278-2022</t>
        </is>
      </c>
      <c r="B849" s="1" t="n">
        <v>44750</v>
      </c>
      <c r="C849" s="1" t="n">
        <v>45475</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29362-2022</t>
        </is>
      </c>
      <c r="B850" s="1" t="n">
        <v>44753</v>
      </c>
      <c r="C850" s="1" t="n">
        <v>45475</v>
      </c>
      <c r="D850" t="inlineStr">
        <is>
          <t>STOCKHOLMS LÄN</t>
        </is>
      </c>
      <c r="E850" t="inlineStr">
        <is>
          <t>NORRTÄLJE</t>
        </is>
      </c>
      <c r="G850" t="n">
        <v>3.8</v>
      </c>
      <c r="H850" t="n">
        <v>0</v>
      </c>
      <c r="I850" t="n">
        <v>0</v>
      </c>
      <c r="J850" t="n">
        <v>0</v>
      </c>
      <c r="K850" t="n">
        <v>0</v>
      </c>
      <c r="L850" t="n">
        <v>0</v>
      </c>
      <c r="M850" t="n">
        <v>0</v>
      </c>
      <c r="N850" t="n">
        <v>0</v>
      </c>
      <c r="O850" t="n">
        <v>0</v>
      </c>
      <c r="P850" t="n">
        <v>0</v>
      </c>
      <c r="Q850" t="n">
        <v>0</v>
      </c>
      <c r="R850" s="2" t="inlineStr"/>
    </row>
    <row r="851" ht="15" customHeight="1">
      <c r="A851" t="inlineStr">
        <is>
          <t>A 29395-2022</t>
        </is>
      </c>
      <c r="B851" s="1" t="n">
        <v>44753</v>
      </c>
      <c r="C851" s="1" t="n">
        <v>45475</v>
      </c>
      <c r="D851" t="inlineStr">
        <is>
          <t>STOCKHOLMS LÄN</t>
        </is>
      </c>
      <c r="E851" t="inlineStr">
        <is>
          <t>NORRTÄLJE</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29868-2022</t>
        </is>
      </c>
      <c r="B852" s="1" t="n">
        <v>44756</v>
      </c>
      <c r="C852" s="1" t="n">
        <v>45475</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30151-2022</t>
        </is>
      </c>
      <c r="B853" s="1" t="n">
        <v>44757</v>
      </c>
      <c r="C853" s="1" t="n">
        <v>45475</v>
      </c>
      <c r="D853" t="inlineStr">
        <is>
          <t>STOCKHOLMS LÄN</t>
        </is>
      </c>
      <c r="E853" t="inlineStr">
        <is>
          <t>NORRTÄLJE</t>
        </is>
      </c>
      <c r="G853" t="n">
        <v>12.6</v>
      </c>
      <c r="H853" t="n">
        <v>0</v>
      </c>
      <c r="I853" t="n">
        <v>0</v>
      </c>
      <c r="J853" t="n">
        <v>0</v>
      </c>
      <c r="K853" t="n">
        <v>0</v>
      </c>
      <c r="L853" t="n">
        <v>0</v>
      </c>
      <c r="M853" t="n">
        <v>0</v>
      </c>
      <c r="N853" t="n">
        <v>0</v>
      </c>
      <c r="O853" t="n">
        <v>0</v>
      </c>
      <c r="P853" t="n">
        <v>0</v>
      </c>
      <c r="Q853" t="n">
        <v>0</v>
      </c>
      <c r="R853" s="2" t="inlineStr"/>
    </row>
    <row r="854" ht="15" customHeight="1">
      <c r="A854" t="inlineStr">
        <is>
          <t>A 30164-2022</t>
        </is>
      </c>
      <c r="B854" s="1" t="n">
        <v>44757</v>
      </c>
      <c r="C854" s="1" t="n">
        <v>45475</v>
      </c>
      <c r="D854" t="inlineStr">
        <is>
          <t>STOCKHOLMS LÄN</t>
        </is>
      </c>
      <c r="E854" t="inlineStr">
        <is>
          <t>NORRTÄLJE</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30171-2022</t>
        </is>
      </c>
      <c r="B855" s="1" t="n">
        <v>44757</v>
      </c>
      <c r="C855" s="1" t="n">
        <v>45475</v>
      </c>
      <c r="D855" t="inlineStr">
        <is>
          <t>STOCKHOLMS LÄN</t>
        </is>
      </c>
      <c r="E855" t="inlineStr">
        <is>
          <t>NORRTÄLJE</t>
        </is>
      </c>
      <c r="F855" t="inlineStr">
        <is>
          <t>Holmen skog AB</t>
        </is>
      </c>
      <c r="G855" t="n">
        <v>6.3</v>
      </c>
      <c r="H855" t="n">
        <v>0</v>
      </c>
      <c r="I855" t="n">
        <v>0</v>
      </c>
      <c r="J855" t="n">
        <v>0</v>
      </c>
      <c r="K855" t="n">
        <v>0</v>
      </c>
      <c r="L855" t="n">
        <v>0</v>
      </c>
      <c r="M855" t="n">
        <v>0</v>
      </c>
      <c r="N855" t="n">
        <v>0</v>
      </c>
      <c r="O855" t="n">
        <v>0</v>
      </c>
      <c r="P855" t="n">
        <v>0</v>
      </c>
      <c r="Q855" t="n">
        <v>0</v>
      </c>
      <c r="R855" s="2" t="inlineStr"/>
    </row>
    <row r="856" ht="15" customHeight="1">
      <c r="A856" t="inlineStr">
        <is>
          <t>A 30283-2022</t>
        </is>
      </c>
      <c r="B856" s="1" t="n">
        <v>44760</v>
      </c>
      <c r="C856" s="1" t="n">
        <v>45475</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30338-2022</t>
        </is>
      </c>
      <c r="B857" s="1" t="n">
        <v>44760</v>
      </c>
      <c r="C857" s="1" t="n">
        <v>45475</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30286-2022</t>
        </is>
      </c>
      <c r="B858" s="1" t="n">
        <v>44760</v>
      </c>
      <c r="C858" s="1" t="n">
        <v>45475</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30290-2022</t>
        </is>
      </c>
      <c r="B859" s="1" t="n">
        <v>44760</v>
      </c>
      <c r="C859" s="1" t="n">
        <v>45475</v>
      </c>
      <c r="D859" t="inlineStr">
        <is>
          <t>STOCKHOLMS LÄN</t>
        </is>
      </c>
      <c r="E859" t="inlineStr">
        <is>
          <t>NORRTÄLJE</t>
        </is>
      </c>
      <c r="G859" t="n">
        <v>4.8</v>
      </c>
      <c r="H859" t="n">
        <v>0</v>
      </c>
      <c r="I859" t="n">
        <v>0</v>
      </c>
      <c r="J859" t="n">
        <v>0</v>
      </c>
      <c r="K859" t="n">
        <v>0</v>
      </c>
      <c r="L859" t="n">
        <v>0</v>
      </c>
      <c r="M859" t="n">
        <v>0</v>
      </c>
      <c r="N859" t="n">
        <v>0</v>
      </c>
      <c r="O859" t="n">
        <v>0</v>
      </c>
      <c r="P859" t="n">
        <v>0</v>
      </c>
      <c r="Q859" t="n">
        <v>0</v>
      </c>
      <c r="R859" s="2" t="inlineStr"/>
    </row>
    <row r="860" ht="15" customHeight="1">
      <c r="A860" t="inlineStr">
        <is>
          <t>A 30620-2022</t>
        </is>
      </c>
      <c r="B860" s="1" t="n">
        <v>44763</v>
      </c>
      <c r="C860" s="1" t="n">
        <v>45475</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30624-2022</t>
        </is>
      </c>
      <c r="B861" s="1" t="n">
        <v>44763</v>
      </c>
      <c r="C861" s="1" t="n">
        <v>45475</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30758-2022</t>
        </is>
      </c>
      <c r="B862" s="1" t="n">
        <v>44764</v>
      </c>
      <c r="C862" s="1" t="n">
        <v>45475</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30740-2022</t>
        </is>
      </c>
      <c r="B863" s="1" t="n">
        <v>44764</v>
      </c>
      <c r="C863" s="1" t="n">
        <v>45475</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30750-2022</t>
        </is>
      </c>
      <c r="B864" s="1" t="n">
        <v>44764</v>
      </c>
      <c r="C864" s="1" t="n">
        <v>45475</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30802-2022</t>
        </is>
      </c>
      <c r="B865" s="1" t="n">
        <v>44764</v>
      </c>
      <c r="C865" s="1" t="n">
        <v>45475</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30886-2022</t>
        </is>
      </c>
      <c r="B866" s="1" t="n">
        <v>44767</v>
      </c>
      <c r="C866" s="1" t="n">
        <v>45475</v>
      </c>
      <c r="D866" t="inlineStr">
        <is>
          <t>STOCKHOLMS LÄN</t>
        </is>
      </c>
      <c r="E866" t="inlineStr">
        <is>
          <t>NORRTÄLJE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31102-2022</t>
        </is>
      </c>
      <c r="B867" s="1" t="n">
        <v>44769</v>
      </c>
      <c r="C867" s="1" t="n">
        <v>45475</v>
      </c>
      <c r="D867" t="inlineStr">
        <is>
          <t>STOCKHOLMS LÄN</t>
        </is>
      </c>
      <c r="E867" t="inlineStr">
        <is>
          <t>NORRTÄLJE</t>
        </is>
      </c>
      <c r="G867" t="n">
        <v>3.7</v>
      </c>
      <c r="H867" t="n">
        <v>0</v>
      </c>
      <c r="I867" t="n">
        <v>0</v>
      </c>
      <c r="J867" t="n">
        <v>0</v>
      </c>
      <c r="K867" t="n">
        <v>0</v>
      </c>
      <c r="L867" t="n">
        <v>0</v>
      </c>
      <c r="M867" t="n">
        <v>0</v>
      </c>
      <c r="N867" t="n">
        <v>0</v>
      </c>
      <c r="O867" t="n">
        <v>0</v>
      </c>
      <c r="P867" t="n">
        <v>0</v>
      </c>
      <c r="Q867" t="n">
        <v>0</v>
      </c>
      <c r="R867" s="2" t="inlineStr"/>
    </row>
    <row r="868" ht="15" customHeight="1">
      <c r="A868" t="inlineStr">
        <is>
          <t>A 31092-2022</t>
        </is>
      </c>
      <c r="B868" s="1" t="n">
        <v>44769</v>
      </c>
      <c r="C868" s="1" t="n">
        <v>45475</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31052-2022</t>
        </is>
      </c>
      <c r="B869" s="1" t="n">
        <v>44769</v>
      </c>
      <c r="C869" s="1" t="n">
        <v>45475</v>
      </c>
      <c r="D869" t="inlineStr">
        <is>
          <t>STOCKHOLMS LÄN</t>
        </is>
      </c>
      <c r="E869" t="inlineStr">
        <is>
          <t>NORRTÄLJE</t>
        </is>
      </c>
      <c r="G869" t="n">
        <v>6</v>
      </c>
      <c r="H869" t="n">
        <v>0</v>
      </c>
      <c r="I869" t="n">
        <v>0</v>
      </c>
      <c r="J869" t="n">
        <v>0</v>
      </c>
      <c r="K869" t="n">
        <v>0</v>
      </c>
      <c r="L869" t="n">
        <v>0</v>
      </c>
      <c r="M869" t="n">
        <v>0</v>
      </c>
      <c r="N869" t="n">
        <v>0</v>
      </c>
      <c r="O869" t="n">
        <v>0</v>
      </c>
      <c r="P869" t="n">
        <v>0</v>
      </c>
      <c r="Q869" t="n">
        <v>0</v>
      </c>
      <c r="R869" s="2" t="inlineStr"/>
    </row>
    <row r="870" ht="15" customHeight="1">
      <c r="A870" t="inlineStr">
        <is>
          <t>A 31105-2022</t>
        </is>
      </c>
      <c r="B870" s="1" t="n">
        <v>44769</v>
      </c>
      <c r="C870" s="1" t="n">
        <v>45475</v>
      </c>
      <c r="D870" t="inlineStr">
        <is>
          <t>STOCKHOLMS LÄN</t>
        </is>
      </c>
      <c r="E870" t="inlineStr">
        <is>
          <t>NORRTÄLJE</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31107-2022</t>
        </is>
      </c>
      <c r="B871" s="1" t="n">
        <v>44769</v>
      </c>
      <c r="C871" s="1" t="n">
        <v>45475</v>
      </c>
      <c r="D871" t="inlineStr">
        <is>
          <t>STOCKHOLMS LÄN</t>
        </is>
      </c>
      <c r="E871" t="inlineStr">
        <is>
          <t>NORRTÄLJE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31057-2022</t>
        </is>
      </c>
      <c r="B872" s="1" t="n">
        <v>44769</v>
      </c>
      <c r="C872" s="1" t="n">
        <v>45475</v>
      </c>
      <c r="D872" t="inlineStr">
        <is>
          <t>STOCKHOLMS LÄN</t>
        </is>
      </c>
      <c r="E872" t="inlineStr">
        <is>
          <t>NORRTÄLJE</t>
        </is>
      </c>
      <c r="G872" t="n">
        <v>6.5</v>
      </c>
      <c r="H872" t="n">
        <v>0</v>
      </c>
      <c r="I872" t="n">
        <v>0</v>
      </c>
      <c r="J872" t="n">
        <v>0</v>
      </c>
      <c r="K872" t="n">
        <v>0</v>
      </c>
      <c r="L872" t="n">
        <v>0</v>
      </c>
      <c r="M872" t="n">
        <v>0</v>
      </c>
      <c r="N872" t="n">
        <v>0</v>
      </c>
      <c r="O872" t="n">
        <v>0</v>
      </c>
      <c r="P872" t="n">
        <v>0</v>
      </c>
      <c r="Q872" t="n">
        <v>0</v>
      </c>
      <c r="R872" s="2" t="inlineStr"/>
    </row>
    <row r="873" ht="15" customHeight="1">
      <c r="A873" t="inlineStr">
        <is>
          <t>A 31236-2022</t>
        </is>
      </c>
      <c r="B873" s="1" t="n">
        <v>44771</v>
      </c>
      <c r="C873" s="1" t="n">
        <v>45475</v>
      </c>
      <c r="D873" t="inlineStr">
        <is>
          <t>STOCKHOLMS LÄN</t>
        </is>
      </c>
      <c r="E873" t="inlineStr">
        <is>
          <t>NORRTÄLJE</t>
        </is>
      </c>
      <c r="G873" t="n">
        <v>1.7</v>
      </c>
      <c r="H873" t="n">
        <v>0</v>
      </c>
      <c r="I873" t="n">
        <v>0</v>
      </c>
      <c r="J873" t="n">
        <v>0</v>
      </c>
      <c r="K873" t="n">
        <v>0</v>
      </c>
      <c r="L873" t="n">
        <v>0</v>
      </c>
      <c r="M873" t="n">
        <v>0</v>
      </c>
      <c r="N873" t="n">
        <v>0</v>
      </c>
      <c r="O873" t="n">
        <v>0</v>
      </c>
      <c r="P873" t="n">
        <v>0</v>
      </c>
      <c r="Q873" t="n">
        <v>0</v>
      </c>
      <c r="R873" s="2" t="inlineStr"/>
    </row>
    <row r="874" ht="15" customHeight="1">
      <c r="A874" t="inlineStr">
        <is>
          <t>A 31281-2022</t>
        </is>
      </c>
      <c r="B874" s="1" t="n">
        <v>44771</v>
      </c>
      <c r="C874" s="1" t="n">
        <v>45475</v>
      </c>
      <c r="D874" t="inlineStr">
        <is>
          <t>STOCKHOLMS LÄN</t>
        </is>
      </c>
      <c r="E874" t="inlineStr">
        <is>
          <t>NORRTÄLJE</t>
        </is>
      </c>
      <c r="F874" t="inlineStr">
        <is>
          <t>Holmen skog AB</t>
        </is>
      </c>
      <c r="G874" t="n">
        <v>5.2</v>
      </c>
      <c r="H874" t="n">
        <v>0</v>
      </c>
      <c r="I874" t="n">
        <v>0</v>
      </c>
      <c r="J874" t="n">
        <v>0</v>
      </c>
      <c r="K874" t="n">
        <v>0</v>
      </c>
      <c r="L874" t="n">
        <v>0</v>
      </c>
      <c r="M874" t="n">
        <v>0</v>
      </c>
      <c r="N874" t="n">
        <v>0</v>
      </c>
      <c r="O874" t="n">
        <v>0</v>
      </c>
      <c r="P874" t="n">
        <v>0</v>
      </c>
      <c r="Q874" t="n">
        <v>0</v>
      </c>
      <c r="R874" s="2" t="inlineStr"/>
    </row>
    <row r="875" ht="15" customHeight="1">
      <c r="A875" t="inlineStr">
        <is>
          <t>A 31283-2022</t>
        </is>
      </c>
      <c r="B875" s="1" t="n">
        <v>44771</v>
      </c>
      <c r="C875" s="1" t="n">
        <v>45475</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31559-2022</t>
        </is>
      </c>
      <c r="B876" s="1" t="n">
        <v>44775</v>
      </c>
      <c r="C876" s="1" t="n">
        <v>45475</v>
      </c>
      <c r="D876" t="inlineStr">
        <is>
          <t>STOCKHOLMS LÄN</t>
        </is>
      </c>
      <c r="E876" t="inlineStr">
        <is>
          <t>NORRTÄLJE</t>
        </is>
      </c>
      <c r="G876" t="n">
        <v>5.6</v>
      </c>
      <c r="H876" t="n">
        <v>0</v>
      </c>
      <c r="I876" t="n">
        <v>0</v>
      </c>
      <c r="J876" t="n">
        <v>0</v>
      </c>
      <c r="K876" t="n">
        <v>0</v>
      </c>
      <c r="L876" t="n">
        <v>0</v>
      </c>
      <c r="M876" t="n">
        <v>0</v>
      </c>
      <c r="N876" t="n">
        <v>0</v>
      </c>
      <c r="O876" t="n">
        <v>0</v>
      </c>
      <c r="P876" t="n">
        <v>0</v>
      </c>
      <c r="Q876" t="n">
        <v>0</v>
      </c>
      <c r="R876" s="2" t="inlineStr"/>
    </row>
    <row r="877" ht="15" customHeight="1">
      <c r="A877" t="inlineStr">
        <is>
          <t>A 31807-2022</t>
        </is>
      </c>
      <c r="B877" s="1" t="n">
        <v>44776</v>
      </c>
      <c r="C877" s="1" t="n">
        <v>45475</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31938-2022</t>
        </is>
      </c>
      <c r="B878" s="1" t="n">
        <v>44777</v>
      </c>
      <c r="C878" s="1" t="n">
        <v>45475</v>
      </c>
      <c r="D878" t="inlineStr">
        <is>
          <t>STOCKHOLMS LÄN</t>
        </is>
      </c>
      <c r="E878" t="inlineStr">
        <is>
          <t>NORRTÄLJE</t>
        </is>
      </c>
      <c r="G878" t="n">
        <v>7.8</v>
      </c>
      <c r="H878" t="n">
        <v>0</v>
      </c>
      <c r="I878" t="n">
        <v>0</v>
      </c>
      <c r="J878" t="n">
        <v>0</v>
      </c>
      <c r="K878" t="n">
        <v>0</v>
      </c>
      <c r="L878" t="n">
        <v>0</v>
      </c>
      <c r="M878" t="n">
        <v>0</v>
      </c>
      <c r="N878" t="n">
        <v>0</v>
      </c>
      <c r="O878" t="n">
        <v>0</v>
      </c>
      <c r="P878" t="n">
        <v>0</v>
      </c>
      <c r="Q878" t="n">
        <v>0</v>
      </c>
      <c r="R878" s="2" t="inlineStr"/>
    </row>
    <row r="879" ht="15" customHeight="1">
      <c r="A879" t="inlineStr">
        <is>
          <t>A 31936-2022</t>
        </is>
      </c>
      <c r="B879" s="1" t="n">
        <v>44777</v>
      </c>
      <c r="C879" s="1" t="n">
        <v>45475</v>
      </c>
      <c r="D879" t="inlineStr">
        <is>
          <t>STOCKHOLMS LÄN</t>
        </is>
      </c>
      <c r="E879" t="inlineStr">
        <is>
          <t>NORRTÄLJE</t>
        </is>
      </c>
      <c r="G879" t="n">
        <v>5.2</v>
      </c>
      <c r="H879" t="n">
        <v>0</v>
      </c>
      <c r="I879" t="n">
        <v>0</v>
      </c>
      <c r="J879" t="n">
        <v>0</v>
      </c>
      <c r="K879" t="n">
        <v>0</v>
      </c>
      <c r="L879" t="n">
        <v>0</v>
      </c>
      <c r="M879" t="n">
        <v>0</v>
      </c>
      <c r="N879" t="n">
        <v>0</v>
      </c>
      <c r="O879" t="n">
        <v>0</v>
      </c>
      <c r="P879" t="n">
        <v>0</v>
      </c>
      <c r="Q879" t="n">
        <v>0</v>
      </c>
      <c r="R879" s="2" t="inlineStr"/>
    </row>
    <row r="880" ht="15" customHeight="1">
      <c r="A880" t="inlineStr">
        <is>
          <t>A 31924-2022</t>
        </is>
      </c>
      <c r="B880" s="1" t="n">
        <v>44777</v>
      </c>
      <c r="C880" s="1" t="n">
        <v>45475</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31939-2022</t>
        </is>
      </c>
      <c r="B881" s="1" t="n">
        <v>44777</v>
      </c>
      <c r="C881" s="1" t="n">
        <v>45475</v>
      </c>
      <c r="D881" t="inlineStr">
        <is>
          <t>STOCKHOLMS LÄN</t>
        </is>
      </c>
      <c r="E881" t="inlineStr">
        <is>
          <t>NORRTÄLJE</t>
        </is>
      </c>
      <c r="G881" t="n">
        <v>13.5</v>
      </c>
      <c r="H881" t="n">
        <v>0</v>
      </c>
      <c r="I881" t="n">
        <v>0</v>
      </c>
      <c r="J881" t="n">
        <v>0</v>
      </c>
      <c r="K881" t="n">
        <v>0</v>
      </c>
      <c r="L881" t="n">
        <v>0</v>
      </c>
      <c r="M881" t="n">
        <v>0</v>
      </c>
      <c r="N881" t="n">
        <v>0</v>
      </c>
      <c r="O881" t="n">
        <v>0</v>
      </c>
      <c r="P881" t="n">
        <v>0</v>
      </c>
      <c r="Q881" t="n">
        <v>0</v>
      </c>
      <c r="R881" s="2" t="inlineStr"/>
    </row>
    <row r="882" ht="15" customHeight="1">
      <c r="A882" t="inlineStr">
        <is>
          <t>A 31926-2022</t>
        </is>
      </c>
      <c r="B882" s="1" t="n">
        <v>44777</v>
      </c>
      <c r="C882" s="1" t="n">
        <v>45475</v>
      </c>
      <c r="D882" t="inlineStr">
        <is>
          <t>STOCKHOLMS LÄN</t>
        </is>
      </c>
      <c r="E882" t="inlineStr">
        <is>
          <t>NORRTÄLJE</t>
        </is>
      </c>
      <c r="G882" t="n">
        <v>5.2</v>
      </c>
      <c r="H882" t="n">
        <v>0</v>
      </c>
      <c r="I882" t="n">
        <v>0</v>
      </c>
      <c r="J882" t="n">
        <v>0</v>
      </c>
      <c r="K882" t="n">
        <v>0</v>
      </c>
      <c r="L882" t="n">
        <v>0</v>
      </c>
      <c r="M882" t="n">
        <v>0</v>
      </c>
      <c r="N882" t="n">
        <v>0</v>
      </c>
      <c r="O882" t="n">
        <v>0</v>
      </c>
      <c r="P882" t="n">
        <v>0</v>
      </c>
      <c r="Q882" t="n">
        <v>0</v>
      </c>
      <c r="R882" s="2" t="inlineStr"/>
    </row>
    <row r="883" ht="15" customHeight="1">
      <c r="A883" t="inlineStr">
        <is>
          <t>A 31934-2022</t>
        </is>
      </c>
      <c r="B883" s="1" t="n">
        <v>44777</v>
      </c>
      <c r="C883" s="1" t="n">
        <v>45475</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32103-2022</t>
        </is>
      </c>
      <c r="B884" s="1" t="n">
        <v>44778</v>
      </c>
      <c r="C884" s="1" t="n">
        <v>45475</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32111-2022</t>
        </is>
      </c>
      <c r="B885" s="1" t="n">
        <v>44779</v>
      </c>
      <c r="C885" s="1" t="n">
        <v>45475</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32101-2022</t>
        </is>
      </c>
      <c r="B886" s="1" t="n">
        <v>44778</v>
      </c>
      <c r="C886" s="1" t="n">
        <v>45475</v>
      </c>
      <c r="D886" t="inlineStr">
        <is>
          <t>STOCKHOLMS LÄN</t>
        </is>
      </c>
      <c r="E886" t="inlineStr">
        <is>
          <t>NORRTÄLJE</t>
        </is>
      </c>
      <c r="G886" t="n">
        <v>4.4</v>
      </c>
      <c r="H886" t="n">
        <v>0</v>
      </c>
      <c r="I886" t="n">
        <v>0</v>
      </c>
      <c r="J886" t="n">
        <v>0</v>
      </c>
      <c r="K886" t="n">
        <v>0</v>
      </c>
      <c r="L886" t="n">
        <v>0</v>
      </c>
      <c r="M886" t="n">
        <v>0</v>
      </c>
      <c r="N886" t="n">
        <v>0</v>
      </c>
      <c r="O886" t="n">
        <v>0</v>
      </c>
      <c r="P886" t="n">
        <v>0</v>
      </c>
      <c r="Q886" t="n">
        <v>0</v>
      </c>
      <c r="R886" s="2" t="inlineStr"/>
    </row>
    <row r="887" ht="15" customHeight="1">
      <c r="A887" t="inlineStr">
        <is>
          <t>A 32100-2022</t>
        </is>
      </c>
      <c r="B887" s="1" t="n">
        <v>44778</v>
      </c>
      <c r="C887" s="1" t="n">
        <v>45475</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32102-2022</t>
        </is>
      </c>
      <c r="B888" s="1" t="n">
        <v>44778</v>
      </c>
      <c r="C888" s="1" t="n">
        <v>45475</v>
      </c>
      <c r="D888" t="inlineStr">
        <is>
          <t>STOCKHOLMS LÄN</t>
        </is>
      </c>
      <c r="E888" t="inlineStr">
        <is>
          <t>NORRTÄLJE</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32514-2022</t>
        </is>
      </c>
      <c r="B889" s="1" t="n">
        <v>44782</v>
      </c>
      <c r="C889" s="1" t="n">
        <v>45475</v>
      </c>
      <c r="D889" t="inlineStr">
        <is>
          <t>STOCKHOLMS LÄN</t>
        </is>
      </c>
      <c r="E889" t="inlineStr">
        <is>
          <t>NORRTÄLJE</t>
        </is>
      </c>
      <c r="G889" t="n">
        <v>5.1</v>
      </c>
      <c r="H889" t="n">
        <v>0</v>
      </c>
      <c r="I889" t="n">
        <v>0</v>
      </c>
      <c r="J889" t="n">
        <v>0</v>
      </c>
      <c r="K889" t="n">
        <v>0</v>
      </c>
      <c r="L889" t="n">
        <v>0</v>
      </c>
      <c r="M889" t="n">
        <v>0</v>
      </c>
      <c r="N889" t="n">
        <v>0</v>
      </c>
      <c r="O889" t="n">
        <v>0</v>
      </c>
      <c r="P889" t="n">
        <v>0</v>
      </c>
      <c r="Q889" t="n">
        <v>0</v>
      </c>
      <c r="R889" s="2" t="inlineStr"/>
    </row>
    <row r="890" ht="15" customHeight="1">
      <c r="A890" t="inlineStr">
        <is>
          <t>A 32705-2022</t>
        </is>
      </c>
      <c r="B890" s="1" t="n">
        <v>44783</v>
      </c>
      <c r="C890" s="1" t="n">
        <v>45475</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33055-2022</t>
        </is>
      </c>
      <c r="B891" s="1" t="n">
        <v>44785</v>
      </c>
      <c r="C891" s="1" t="n">
        <v>45475</v>
      </c>
      <c r="D891" t="inlineStr">
        <is>
          <t>STOCKHOLMS LÄN</t>
        </is>
      </c>
      <c r="E891" t="inlineStr">
        <is>
          <t>NORRTÄLJE</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33149-2022</t>
        </is>
      </c>
      <c r="B892" s="1" t="n">
        <v>44785</v>
      </c>
      <c r="C892" s="1" t="n">
        <v>45475</v>
      </c>
      <c r="D892" t="inlineStr">
        <is>
          <t>STOCKHOLMS LÄN</t>
        </is>
      </c>
      <c r="E892" t="inlineStr">
        <is>
          <t>NORRTÄLJE</t>
        </is>
      </c>
      <c r="F892" t="inlineStr">
        <is>
          <t>Holmen skog AB</t>
        </is>
      </c>
      <c r="G892" t="n">
        <v>4.4</v>
      </c>
      <c r="H892" t="n">
        <v>0</v>
      </c>
      <c r="I892" t="n">
        <v>0</v>
      </c>
      <c r="J892" t="n">
        <v>0</v>
      </c>
      <c r="K892" t="n">
        <v>0</v>
      </c>
      <c r="L892" t="n">
        <v>0</v>
      </c>
      <c r="M892" t="n">
        <v>0</v>
      </c>
      <c r="N892" t="n">
        <v>0</v>
      </c>
      <c r="O892" t="n">
        <v>0</v>
      </c>
      <c r="P892" t="n">
        <v>0</v>
      </c>
      <c r="Q892" t="n">
        <v>0</v>
      </c>
      <c r="R892" s="2" t="inlineStr"/>
    </row>
    <row r="893" ht="15" customHeight="1">
      <c r="A893" t="inlineStr">
        <is>
          <t>A 33445-2022</t>
        </is>
      </c>
      <c r="B893" s="1" t="n">
        <v>44788</v>
      </c>
      <c r="C893" s="1" t="n">
        <v>45475</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33793-2022</t>
        </is>
      </c>
      <c r="B894" s="1" t="n">
        <v>44790</v>
      </c>
      <c r="C894" s="1" t="n">
        <v>45475</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33895-2022</t>
        </is>
      </c>
      <c r="B895" s="1" t="n">
        <v>44790</v>
      </c>
      <c r="C895" s="1" t="n">
        <v>45475</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34773-2022</t>
        </is>
      </c>
      <c r="B896" s="1" t="n">
        <v>44795</v>
      </c>
      <c r="C896" s="1" t="n">
        <v>45475</v>
      </c>
      <c r="D896" t="inlineStr">
        <is>
          <t>STOCKHOLMS LÄN</t>
        </is>
      </c>
      <c r="E896" t="inlineStr">
        <is>
          <t>NORRTÄLJE</t>
        </is>
      </c>
      <c r="G896" t="n">
        <v>3.9</v>
      </c>
      <c r="H896" t="n">
        <v>0</v>
      </c>
      <c r="I896" t="n">
        <v>0</v>
      </c>
      <c r="J896" t="n">
        <v>0</v>
      </c>
      <c r="K896" t="n">
        <v>0</v>
      </c>
      <c r="L896" t="n">
        <v>0</v>
      </c>
      <c r="M896" t="n">
        <v>0</v>
      </c>
      <c r="N896" t="n">
        <v>0</v>
      </c>
      <c r="O896" t="n">
        <v>0</v>
      </c>
      <c r="P896" t="n">
        <v>0</v>
      </c>
      <c r="Q896" t="n">
        <v>0</v>
      </c>
      <c r="R896" s="2" t="inlineStr"/>
    </row>
    <row r="897" ht="15" customHeight="1">
      <c r="A897" t="inlineStr">
        <is>
          <t>A 35121-2022</t>
        </is>
      </c>
      <c r="B897" s="1" t="n">
        <v>44797</v>
      </c>
      <c r="C897" s="1" t="n">
        <v>45475</v>
      </c>
      <c r="D897" t="inlineStr">
        <is>
          <t>STOCKHOLMS LÄN</t>
        </is>
      </c>
      <c r="E897" t="inlineStr">
        <is>
          <t>NORRTÄLJE</t>
        </is>
      </c>
      <c r="G897" t="n">
        <v>3.4</v>
      </c>
      <c r="H897" t="n">
        <v>0</v>
      </c>
      <c r="I897" t="n">
        <v>0</v>
      </c>
      <c r="J897" t="n">
        <v>0</v>
      </c>
      <c r="K897" t="n">
        <v>0</v>
      </c>
      <c r="L897" t="n">
        <v>0</v>
      </c>
      <c r="M897" t="n">
        <v>0</v>
      </c>
      <c r="N897" t="n">
        <v>0</v>
      </c>
      <c r="O897" t="n">
        <v>0</v>
      </c>
      <c r="P897" t="n">
        <v>0</v>
      </c>
      <c r="Q897" t="n">
        <v>0</v>
      </c>
      <c r="R897" s="2" t="inlineStr"/>
    </row>
    <row r="898" ht="15" customHeight="1">
      <c r="A898" t="inlineStr">
        <is>
          <t>A 35161-2022</t>
        </is>
      </c>
      <c r="B898" s="1" t="n">
        <v>44797</v>
      </c>
      <c r="C898" s="1" t="n">
        <v>45475</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35156-2022</t>
        </is>
      </c>
      <c r="B899" s="1" t="n">
        <v>44797</v>
      </c>
      <c r="C899" s="1" t="n">
        <v>45475</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35708-2022</t>
        </is>
      </c>
      <c r="B900" s="1" t="n">
        <v>44799</v>
      </c>
      <c r="C900" s="1" t="n">
        <v>45475</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36269-2022</t>
        </is>
      </c>
      <c r="B901" s="1" t="n">
        <v>44803</v>
      </c>
      <c r="C901" s="1" t="n">
        <v>45475</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36308-2022</t>
        </is>
      </c>
      <c r="B902" s="1" t="n">
        <v>44803</v>
      </c>
      <c r="C902" s="1" t="n">
        <v>45475</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36975-2022</t>
        </is>
      </c>
      <c r="B903" s="1" t="n">
        <v>44806</v>
      </c>
      <c r="C903" s="1" t="n">
        <v>45475</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37550-2022</t>
        </is>
      </c>
      <c r="B904" s="1" t="n">
        <v>44809</v>
      </c>
      <c r="C904" s="1" t="n">
        <v>45475</v>
      </c>
      <c r="D904" t="inlineStr">
        <is>
          <t>STOCKHOLMS LÄN</t>
        </is>
      </c>
      <c r="E904" t="inlineStr">
        <is>
          <t>NORRTÄLJE</t>
        </is>
      </c>
      <c r="G904" t="n">
        <v>1</v>
      </c>
      <c r="H904" t="n">
        <v>0</v>
      </c>
      <c r="I904" t="n">
        <v>0</v>
      </c>
      <c r="J904" t="n">
        <v>0</v>
      </c>
      <c r="K904" t="n">
        <v>0</v>
      </c>
      <c r="L904" t="n">
        <v>0</v>
      </c>
      <c r="M904" t="n">
        <v>0</v>
      </c>
      <c r="N904" t="n">
        <v>0</v>
      </c>
      <c r="O904" t="n">
        <v>0</v>
      </c>
      <c r="P904" t="n">
        <v>0</v>
      </c>
      <c r="Q904" t="n">
        <v>0</v>
      </c>
      <c r="R904" s="2" t="inlineStr"/>
    </row>
    <row r="905" ht="15" customHeight="1">
      <c r="A905" t="inlineStr">
        <is>
          <t>A 37679-2022</t>
        </is>
      </c>
      <c r="B905" s="1" t="n">
        <v>44810</v>
      </c>
      <c r="C905" s="1" t="n">
        <v>45475</v>
      </c>
      <c r="D905" t="inlineStr">
        <is>
          <t>STOCKHOLMS LÄN</t>
        </is>
      </c>
      <c r="E905" t="inlineStr">
        <is>
          <t>NORRTÄLJE</t>
        </is>
      </c>
      <c r="G905" t="n">
        <v>3.1</v>
      </c>
      <c r="H905" t="n">
        <v>0</v>
      </c>
      <c r="I905" t="n">
        <v>0</v>
      </c>
      <c r="J905" t="n">
        <v>0</v>
      </c>
      <c r="K905" t="n">
        <v>0</v>
      </c>
      <c r="L905" t="n">
        <v>0</v>
      </c>
      <c r="M905" t="n">
        <v>0</v>
      </c>
      <c r="N905" t="n">
        <v>0</v>
      </c>
      <c r="O905" t="n">
        <v>0</v>
      </c>
      <c r="P905" t="n">
        <v>0</v>
      </c>
      <c r="Q905" t="n">
        <v>0</v>
      </c>
      <c r="R905" s="2" t="inlineStr"/>
    </row>
    <row r="906" ht="15" customHeight="1">
      <c r="A906" t="inlineStr">
        <is>
          <t>A 37815-2022</t>
        </is>
      </c>
      <c r="B906" s="1" t="n">
        <v>44810</v>
      </c>
      <c r="C906" s="1" t="n">
        <v>45475</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38449-2022</t>
        </is>
      </c>
      <c r="B907" s="1" t="n">
        <v>44813</v>
      </c>
      <c r="C907" s="1" t="n">
        <v>45475</v>
      </c>
      <c r="D907" t="inlineStr">
        <is>
          <t>STOCKHOLMS LÄN</t>
        </is>
      </c>
      <c r="E907" t="inlineStr">
        <is>
          <t>NORRTÄLJE</t>
        </is>
      </c>
      <c r="G907" t="n">
        <v>4.2</v>
      </c>
      <c r="H907" t="n">
        <v>0</v>
      </c>
      <c r="I907" t="n">
        <v>0</v>
      </c>
      <c r="J907" t="n">
        <v>0</v>
      </c>
      <c r="K907" t="n">
        <v>0</v>
      </c>
      <c r="L907" t="n">
        <v>0</v>
      </c>
      <c r="M907" t="n">
        <v>0</v>
      </c>
      <c r="N907" t="n">
        <v>0</v>
      </c>
      <c r="O907" t="n">
        <v>0</v>
      </c>
      <c r="P907" t="n">
        <v>0</v>
      </c>
      <c r="Q907" t="n">
        <v>0</v>
      </c>
      <c r="R907" s="2" t="inlineStr"/>
    </row>
    <row r="908" ht="15" customHeight="1">
      <c r="A908" t="inlineStr">
        <is>
          <t>A 38612-2022</t>
        </is>
      </c>
      <c r="B908" s="1" t="n">
        <v>44813</v>
      </c>
      <c r="C908" s="1" t="n">
        <v>45475</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38590-2022</t>
        </is>
      </c>
      <c r="B909" s="1" t="n">
        <v>44813</v>
      </c>
      <c r="C909" s="1" t="n">
        <v>45475</v>
      </c>
      <c r="D909" t="inlineStr">
        <is>
          <t>STOCKHOLMS LÄN</t>
        </is>
      </c>
      <c r="E909" t="inlineStr">
        <is>
          <t>NORRTÄLJE</t>
        </is>
      </c>
      <c r="G909" t="n">
        <v>5.9</v>
      </c>
      <c r="H909" t="n">
        <v>0</v>
      </c>
      <c r="I909" t="n">
        <v>0</v>
      </c>
      <c r="J909" t="n">
        <v>0</v>
      </c>
      <c r="K909" t="n">
        <v>0</v>
      </c>
      <c r="L909" t="n">
        <v>0</v>
      </c>
      <c r="M909" t="n">
        <v>0</v>
      </c>
      <c r="N909" t="n">
        <v>0</v>
      </c>
      <c r="O909" t="n">
        <v>0</v>
      </c>
      <c r="P909" t="n">
        <v>0</v>
      </c>
      <c r="Q909" t="n">
        <v>0</v>
      </c>
      <c r="R909" s="2" t="inlineStr"/>
    </row>
    <row r="910" ht="15" customHeight="1">
      <c r="A910" t="inlineStr">
        <is>
          <t>A 38610-2022</t>
        </is>
      </c>
      <c r="B910" s="1" t="n">
        <v>44813</v>
      </c>
      <c r="C910" s="1" t="n">
        <v>45475</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38720-2022</t>
        </is>
      </c>
      <c r="B911" s="1" t="n">
        <v>44815</v>
      </c>
      <c r="C911" s="1" t="n">
        <v>45475</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38721-2022</t>
        </is>
      </c>
      <c r="B912" s="1" t="n">
        <v>44815</v>
      </c>
      <c r="C912" s="1" t="n">
        <v>45475</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38927-2022</t>
        </is>
      </c>
      <c r="B913" s="1" t="n">
        <v>44816</v>
      </c>
      <c r="C913" s="1" t="n">
        <v>45475</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38759-2022</t>
        </is>
      </c>
      <c r="B914" s="1" t="n">
        <v>44816</v>
      </c>
      <c r="C914" s="1" t="n">
        <v>45475</v>
      </c>
      <c r="D914" t="inlineStr">
        <is>
          <t>STOCKHOLMS LÄN</t>
        </is>
      </c>
      <c r="E914" t="inlineStr">
        <is>
          <t>NORRTÄLJE</t>
        </is>
      </c>
      <c r="G914" t="n">
        <v>2.8</v>
      </c>
      <c r="H914" t="n">
        <v>0</v>
      </c>
      <c r="I914" t="n">
        <v>0</v>
      </c>
      <c r="J914" t="n">
        <v>0</v>
      </c>
      <c r="K914" t="n">
        <v>0</v>
      </c>
      <c r="L914" t="n">
        <v>0</v>
      </c>
      <c r="M914" t="n">
        <v>0</v>
      </c>
      <c r="N914" t="n">
        <v>0</v>
      </c>
      <c r="O914" t="n">
        <v>0</v>
      </c>
      <c r="P914" t="n">
        <v>0</v>
      </c>
      <c r="Q914" t="n">
        <v>0</v>
      </c>
      <c r="R914" s="2" t="inlineStr"/>
    </row>
    <row r="915" ht="15" customHeight="1">
      <c r="A915" t="inlineStr">
        <is>
          <t>A 38990-2022</t>
        </is>
      </c>
      <c r="B915" s="1" t="n">
        <v>44816</v>
      </c>
      <c r="C915" s="1" t="n">
        <v>45475</v>
      </c>
      <c r="D915" t="inlineStr">
        <is>
          <t>STOCKHOLMS LÄN</t>
        </is>
      </c>
      <c r="E915" t="inlineStr">
        <is>
          <t>NORRTÄLJE</t>
        </is>
      </c>
      <c r="G915" t="n">
        <v>5.7</v>
      </c>
      <c r="H915" t="n">
        <v>0</v>
      </c>
      <c r="I915" t="n">
        <v>0</v>
      </c>
      <c r="J915" t="n">
        <v>0</v>
      </c>
      <c r="K915" t="n">
        <v>0</v>
      </c>
      <c r="L915" t="n">
        <v>0</v>
      </c>
      <c r="M915" t="n">
        <v>0</v>
      </c>
      <c r="N915" t="n">
        <v>0</v>
      </c>
      <c r="O915" t="n">
        <v>0</v>
      </c>
      <c r="P915" t="n">
        <v>0</v>
      </c>
      <c r="Q915" t="n">
        <v>0</v>
      </c>
      <c r="R915" s="2" t="inlineStr"/>
    </row>
    <row r="916" ht="15" customHeight="1">
      <c r="A916" t="inlineStr">
        <is>
          <t>A 38991-2022</t>
        </is>
      </c>
      <c r="B916" s="1" t="n">
        <v>44816</v>
      </c>
      <c r="C916" s="1" t="n">
        <v>45475</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38985-2022</t>
        </is>
      </c>
      <c r="B917" s="1" t="n">
        <v>44816</v>
      </c>
      <c r="C917" s="1" t="n">
        <v>45475</v>
      </c>
      <c r="D917" t="inlineStr">
        <is>
          <t>STOCKHOLMS LÄN</t>
        </is>
      </c>
      <c r="E917" t="inlineStr">
        <is>
          <t>NORRTÄLJE</t>
        </is>
      </c>
      <c r="G917" t="n">
        <v>10.1</v>
      </c>
      <c r="H917" t="n">
        <v>0</v>
      </c>
      <c r="I917" t="n">
        <v>0</v>
      </c>
      <c r="J917" t="n">
        <v>0</v>
      </c>
      <c r="K917" t="n">
        <v>0</v>
      </c>
      <c r="L917" t="n">
        <v>0</v>
      </c>
      <c r="M917" t="n">
        <v>0</v>
      </c>
      <c r="N917" t="n">
        <v>0</v>
      </c>
      <c r="O917" t="n">
        <v>0</v>
      </c>
      <c r="P917" t="n">
        <v>0</v>
      </c>
      <c r="Q917" t="n">
        <v>0</v>
      </c>
      <c r="R917" s="2" t="inlineStr"/>
    </row>
    <row r="918" ht="15" customHeight="1">
      <c r="A918" t="inlineStr">
        <is>
          <t>A 38992-2022</t>
        </is>
      </c>
      <c r="B918" s="1" t="n">
        <v>44817</v>
      </c>
      <c r="C918" s="1" t="n">
        <v>45475</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39213-2022</t>
        </is>
      </c>
      <c r="B919" s="1" t="n">
        <v>44817</v>
      </c>
      <c r="C919" s="1" t="n">
        <v>45475</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39319-2022</t>
        </is>
      </c>
      <c r="B920" s="1" t="n">
        <v>44817</v>
      </c>
      <c r="C920" s="1" t="n">
        <v>45475</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39318-2022</t>
        </is>
      </c>
      <c r="B921" s="1" t="n">
        <v>44817</v>
      </c>
      <c r="C921" s="1" t="n">
        <v>45475</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39854-2022</t>
        </is>
      </c>
      <c r="B922" s="1" t="n">
        <v>44819</v>
      </c>
      <c r="C922" s="1" t="n">
        <v>45475</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39869-2022</t>
        </is>
      </c>
      <c r="B923" s="1" t="n">
        <v>44819</v>
      </c>
      <c r="C923" s="1" t="n">
        <v>45475</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39867-2022</t>
        </is>
      </c>
      <c r="B924" s="1" t="n">
        <v>44819</v>
      </c>
      <c r="C924" s="1" t="n">
        <v>45475</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40504-2022</t>
        </is>
      </c>
      <c r="B925" s="1" t="n">
        <v>44823</v>
      </c>
      <c r="C925" s="1" t="n">
        <v>45475</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40503-2022</t>
        </is>
      </c>
      <c r="B926" s="1" t="n">
        <v>44823</v>
      </c>
      <c r="C926" s="1" t="n">
        <v>45475</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40656-2022</t>
        </is>
      </c>
      <c r="B927" s="1" t="n">
        <v>44824</v>
      </c>
      <c r="C927" s="1" t="n">
        <v>45475</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40751-2022</t>
        </is>
      </c>
      <c r="B928" s="1" t="n">
        <v>44824</v>
      </c>
      <c r="C928" s="1" t="n">
        <v>45475</v>
      </c>
      <c r="D928" t="inlineStr">
        <is>
          <t>STOCKHOLMS LÄN</t>
        </is>
      </c>
      <c r="E928" t="inlineStr">
        <is>
          <t>NORRTÄLJE</t>
        </is>
      </c>
      <c r="G928" t="n">
        <v>6.1</v>
      </c>
      <c r="H928" t="n">
        <v>0</v>
      </c>
      <c r="I928" t="n">
        <v>0</v>
      </c>
      <c r="J928" t="n">
        <v>0</v>
      </c>
      <c r="K928" t="n">
        <v>0</v>
      </c>
      <c r="L928" t="n">
        <v>0</v>
      </c>
      <c r="M928" t="n">
        <v>0</v>
      </c>
      <c r="N928" t="n">
        <v>0</v>
      </c>
      <c r="O928" t="n">
        <v>0</v>
      </c>
      <c r="P928" t="n">
        <v>0</v>
      </c>
      <c r="Q928" t="n">
        <v>0</v>
      </c>
      <c r="R928" s="2" t="inlineStr"/>
    </row>
    <row r="929" ht="15" customHeight="1">
      <c r="A929" t="inlineStr">
        <is>
          <t>A 41398-2022</t>
        </is>
      </c>
      <c r="B929" s="1" t="n">
        <v>44826</v>
      </c>
      <c r="C929" s="1" t="n">
        <v>45475</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41320-2022</t>
        </is>
      </c>
      <c r="B930" s="1" t="n">
        <v>44826</v>
      </c>
      <c r="C930" s="1" t="n">
        <v>45475</v>
      </c>
      <c r="D930" t="inlineStr">
        <is>
          <t>STOCKHOLMS LÄN</t>
        </is>
      </c>
      <c r="E930" t="inlineStr">
        <is>
          <t>NORRTÄLJE</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42087-2022</t>
        </is>
      </c>
      <c r="B931" s="1" t="n">
        <v>44830</v>
      </c>
      <c r="C931" s="1" t="n">
        <v>45475</v>
      </c>
      <c r="D931" t="inlineStr">
        <is>
          <t>STOCKHOLMS LÄN</t>
        </is>
      </c>
      <c r="E931" t="inlineStr">
        <is>
          <t>NORRTÄLJE</t>
        </is>
      </c>
      <c r="F931" t="inlineStr">
        <is>
          <t>Holmen skog AB</t>
        </is>
      </c>
      <c r="G931" t="n">
        <v>2.2</v>
      </c>
      <c r="H931" t="n">
        <v>0</v>
      </c>
      <c r="I931" t="n">
        <v>0</v>
      </c>
      <c r="J931" t="n">
        <v>0</v>
      </c>
      <c r="K931" t="n">
        <v>0</v>
      </c>
      <c r="L931" t="n">
        <v>0</v>
      </c>
      <c r="M931" t="n">
        <v>0</v>
      </c>
      <c r="N931" t="n">
        <v>0</v>
      </c>
      <c r="O931" t="n">
        <v>0</v>
      </c>
      <c r="P931" t="n">
        <v>0</v>
      </c>
      <c r="Q931" t="n">
        <v>0</v>
      </c>
      <c r="R931" s="2" t="inlineStr"/>
    </row>
    <row r="932" ht="15" customHeight="1">
      <c r="A932" t="inlineStr">
        <is>
          <t>A 42112-2022</t>
        </is>
      </c>
      <c r="B932" s="1" t="n">
        <v>44830</v>
      </c>
      <c r="C932" s="1" t="n">
        <v>45475</v>
      </c>
      <c r="D932" t="inlineStr">
        <is>
          <t>STOCKHOLMS LÄN</t>
        </is>
      </c>
      <c r="E932" t="inlineStr">
        <is>
          <t>NORRTÄLJE</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42126-2022</t>
        </is>
      </c>
      <c r="B933" s="1" t="n">
        <v>44830</v>
      </c>
      <c r="C933" s="1" t="n">
        <v>45475</v>
      </c>
      <c r="D933" t="inlineStr">
        <is>
          <t>STOCKHOLMS LÄN</t>
        </is>
      </c>
      <c r="E933" t="inlineStr">
        <is>
          <t>NORRTÄLJE</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42867-2022</t>
        </is>
      </c>
      <c r="B934" s="1" t="n">
        <v>44832</v>
      </c>
      <c r="C934" s="1" t="n">
        <v>45475</v>
      </c>
      <c r="D934" t="inlineStr">
        <is>
          <t>STOCKHOLMS LÄN</t>
        </is>
      </c>
      <c r="E934" t="inlineStr">
        <is>
          <t>NORRTÄLJE</t>
        </is>
      </c>
      <c r="G934" t="n">
        <v>6.4</v>
      </c>
      <c r="H934" t="n">
        <v>0</v>
      </c>
      <c r="I934" t="n">
        <v>0</v>
      </c>
      <c r="J934" t="n">
        <v>0</v>
      </c>
      <c r="K934" t="n">
        <v>0</v>
      </c>
      <c r="L934" t="n">
        <v>0</v>
      </c>
      <c r="M934" t="n">
        <v>0</v>
      </c>
      <c r="N934" t="n">
        <v>0</v>
      </c>
      <c r="O934" t="n">
        <v>0</v>
      </c>
      <c r="P934" t="n">
        <v>0</v>
      </c>
      <c r="Q934" t="n">
        <v>0</v>
      </c>
      <c r="R934" s="2" t="inlineStr"/>
    </row>
    <row r="935" ht="15" customHeight="1">
      <c r="A935" t="inlineStr">
        <is>
          <t>A 42955-2022</t>
        </is>
      </c>
      <c r="B935" s="1" t="n">
        <v>44833</v>
      </c>
      <c r="C935" s="1" t="n">
        <v>45475</v>
      </c>
      <c r="D935" t="inlineStr">
        <is>
          <t>STOCKHOLMS LÄN</t>
        </is>
      </c>
      <c r="E935" t="inlineStr">
        <is>
          <t>NORRTÄLJE</t>
        </is>
      </c>
      <c r="G935" t="n">
        <v>13.1</v>
      </c>
      <c r="H935" t="n">
        <v>0</v>
      </c>
      <c r="I935" t="n">
        <v>0</v>
      </c>
      <c r="J935" t="n">
        <v>0</v>
      </c>
      <c r="K935" t="n">
        <v>0</v>
      </c>
      <c r="L935" t="n">
        <v>0</v>
      </c>
      <c r="M935" t="n">
        <v>0</v>
      </c>
      <c r="N935" t="n">
        <v>0</v>
      </c>
      <c r="O935" t="n">
        <v>0</v>
      </c>
      <c r="P935" t="n">
        <v>0</v>
      </c>
      <c r="Q935" t="n">
        <v>0</v>
      </c>
      <c r="R935" s="2" t="inlineStr"/>
    </row>
    <row r="936" ht="15" customHeight="1">
      <c r="A936" t="inlineStr">
        <is>
          <t>A 43036-2022</t>
        </is>
      </c>
      <c r="B936" s="1" t="n">
        <v>44833</v>
      </c>
      <c r="C936" s="1" t="n">
        <v>45475</v>
      </c>
      <c r="D936" t="inlineStr">
        <is>
          <t>STOCKHOLMS LÄN</t>
        </is>
      </c>
      <c r="E936" t="inlineStr">
        <is>
          <t>NORRTÄLJE</t>
        </is>
      </c>
      <c r="F936" t="inlineStr">
        <is>
          <t>Kyrkan</t>
        </is>
      </c>
      <c r="G936" t="n">
        <v>1.7</v>
      </c>
      <c r="H936" t="n">
        <v>0</v>
      </c>
      <c r="I936" t="n">
        <v>0</v>
      </c>
      <c r="J936" t="n">
        <v>0</v>
      </c>
      <c r="K936" t="n">
        <v>0</v>
      </c>
      <c r="L936" t="n">
        <v>0</v>
      </c>
      <c r="M936" t="n">
        <v>0</v>
      </c>
      <c r="N936" t="n">
        <v>0</v>
      </c>
      <c r="O936" t="n">
        <v>0</v>
      </c>
      <c r="P936" t="n">
        <v>0</v>
      </c>
      <c r="Q936" t="n">
        <v>0</v>
      </c>
      <c r="R936" s="2" t="inlineStr"/>
    </row>
    <row r="937" ht="15" customHeight="1">
      <c r="A937" t="inlineStr">
        <is>
          <t>A 43212-2022</t>
        </is>
      </c>
      <c r="B937" s="1" t="n">
        <v>44834</v>
      </c>
      <c r="C937" s="1" t="n">
        <v>45475</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43374-2022</t>
        </is>
      </c>
      <c r="B938" s="1" t="n">
        <v>44834</v>
      </c>
      <c r="C938" s="1" t="n">
        <v>45475</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43972-2022</t>
        </is>
      </c>
      <c r="B939" s="1" t="n">
        <v>44838</v>
      </c>
      <c r="C939" s="1" t="n">
        <v>45475</v>
      </c>
      <c r="D939" t="inlineStr">
        <is>
          <t>STOCKHOLMS LÄN</t>
        </is>
      </c>
      <c r="E939" t="inlineStr">
        <is>
          <t>NORRTÄLJE</t>
        </is>
      </c>
      <c r="F939" t="inlineStr">
        <is>
          <t>Holmen skog AB</t>
        </is>
      </c>
      <c r="G939" t="n">
        <v>8.6</v>
      </c>
      <c r="H939" t="n">
        <v>0</v>
      </c>
      <c r="I939" t="n">
        <v>0</v>
      </c>
      <c r="J939" t="n">
        <v>0</v>
      </c>
      <c r="K939" t="n">
        <v>0</v>
      </c>
      <c r="L939" t="n">
        <v>0</v>
      </c>
      <c r="M939" t="n">
        <v>0</v>
      </c>
      <c r="N939" t="n">
        <v>0</v>
      </c>
      <c r="O939" t="n">
        <v>0</v>
      </c>
      <c r="P939" t="n">
        <v>0</v>
      </c>
      <c r="Q939" t="n">
        <v>0</v>
      </c>
      <c r="R939" s="2" t="inlineStr"/>
    </row>
    <row r="940" ht="15" customHeight="1">
      <c r="A940" t="inlineStr">
        <is>
          <t>A 44349-2022</t>
        </is>
      </c>
      <c r="B940" s="1" t="n">
        <v>44839</v>
      </c>
      <c r="C940" s="1" t="n">
        <v>45475</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45255-2022</t>
        </is>
      </c>
      <c r="B941" s="1" t="n">
        <v>44840</v>
      </c>
      <c r="C941" s="1" t="n">
        <v>45475</v>
      </c>
      <c r="D941" t="inlineStr">
        <is>
          <t>STOCKHOLMS LÄN</t>
        </is>
      </c>
      <c r="E941" t="inlineStr">
        <is>
          <t>NORRTÄLJE</t>
        </is>
      </c>
      <c r="G941" t="n">
        <v>4.1</v>
      </c>
      <c r="H941" t="n">
        <v>0</v>
      </c>
      <c r="I941" t="n">
        <v>0</v>
      </c>
      <c r="J941" t="n">
        <v>0</v>
      </c>
      <c r="K941" t="n">
        <v>0</v>
      </c>
      <c r="L941" t="n">
        <v>0</v>
      </c>
      <c r="M941" t="n">
        <v>0</v>
      </c>
      <c r="N941" t="n">
        <v>0</v>
      </c>
      <c r="O941" t="n">
        <v>0</v>
      </c>
      <c r="P941" t="n">
        <v>0</v>
      </c>
      <c r="Q941" t="n">
        <v>0</v>
      </c>
      <c r="R941" s="2" t="inlineStr"/>
    </row>
    <row r="942" ht="15" customHeight="1">
      <c r="A942" t="inlineStr">
        <is>
          <t>A 44917-2022</t>
        </is>
      </c>
      <c r="B942" s="1" t="n">
        <v>44841</v>
      </c>
      <c r="C942" s="1" t="n">
        <v>45475</v>
      </c>
      <c r="D942" t="inlineStr">
        <is>
          <t>STOCKHOLMS LÄN</t>
        </is>
      </c>
      <c r="E942" t="inlineStr">
        <is>
          <t>NORRTÄLJE</t>
        </is>
      </c>
      <c r="F942" t="inlineStr">
        <is>
          <t>Holmen skog AB</t>
        </is>
      </c>
      <c r="G942" t="n">
        <v>3.3</v>
      </c>
      <c r="H942" t="n">
        <v>0</v>
      </c>
      <c r="I942" t="n">
        <v>0</v>
      </c>
      <c r="J942" t="n">
        <v>0</v>
      </c>
      <c r="K942" t="n">
        <v>0</v>
      </c>
      <c r="L942" t="n">
        <v>0</v>
      </c>
      <c r="M942" t="n">
        <v>0</v>
      </c>
      <c r="N942" t="n">
        <v>0</v>
      </c>
      <c r="O942" t="n">
        <v>0</v>
      </c>
      <c r="P942" t="n">
        <v>0</v>
      </c>
      <c r="Q942" t="n">
        <v>0</v>
      </c>
      <c r="R942" s="2" t="inlineStr"/>
    </row>
    <row r="943" ht="15" customHeight="1">
      <c r="A943" t="inlineStr">
        <is>
          <t>A 45541-2022</t>
        </is>
      </c>
      <c r="B943" s="1" t="n">
        <v>44845</v>
      </c>
      <c r="C943" s="1" t="n">
        <v>45475</v>
      </c>
      <c r="D943" t="inlineStr">
        <is>
          <t>STOCKHOLMS LÄN</t>
        </is>
      </c>
      <c r="E943" t="inlineStr">
        <is>
          <t>NORRTÄLJE</t>
        </is>
      </c>
      <c r="G943" t="n">
        <v>0.4</v>
      </c>
      <c r="H943" t="n">
        <v>0</v>
      </c>
      <c r="I943" t="n">
        <v>0</v>
      </c>
      <c r="J943" t="n">
        <v>0</v>
      </c>
      <c r="K943" t="n">
        <v>0</v>
      </c>
      <c r="L943" t="n">
        <v>0</v>
      </c>
      <c r="M943" t="n">
        <v>0</v>
      </c>
      <c r="N943" t="n">
        <v>0</v>
      </c>
      <c r="O943" t="n">
        <v>0</v>
      </c>
      <c r="P943" t="n">
        <v>0</v>
      </c>
      <c r="Q943" t="n">
        <v>0</v>
      </c>
      <c r="R943" s="2" t="inlineStr"/>
    </row>
    <row r="944" ht="15" customHeight="1">
      <c r="A944" t="inlineStr">
        <is>
          <t>A 45539-2022</t>
        </is>
      </c>
      <c r="B944" s="1" t="n">
        <v>44845</v>
      </c>
      <c r="C944" s="1" t="n">
        <v>45475</v>
      </c>
      <c r="D944" t="inlineStr">
        <is>
          <t>STOCKHOLMS LÄN</t>
        </is>
      </c>
      <c r="E944" t="inlineStr">
        <is>
          <t>NORRTÄLJE</t>
        </is>
      </c>
      <c r="G944" t="n">
        <v>0.3</v>
      </c>
      <c r="H944" t="n">
        <v>0</v>
      </c>
      <c r="I944" t="n">
        <v>0</v>
      </c>
      <c r="J944" t="n">
        <v>0</v>
      </c>
      <c r="K944" t="n">
        <v>0</v>
      </c>
      <c r="L944" t="n">
        <v>0</v>
      </c>
      <c r="M944" t="n">
        <v>0</v>
      </c>
      <c r="N944" t="n">
        <v>0</v>
      </c>
      <c r="O944" t="n">
        <v>0</v>
      </c>
      <c r="P944" t="n">
        <v>0</v>
      </c>
      <c r="Q944" t="n">
        <v>0</v>
      </c>
      <c r="R944" s="2" t="inlineStr"/>
    </row>
    <row r="945" ht="15" customHeight="1">
      <c r="A945" t="inlineStr">
        <is>
          <t>A 45549-2022</t>
        </is>
      </c>
      <c r="B945" s="1" t="n">
        <v>44845</v>
      </c>
      <c r="C945" s="1" t="n">
        <v>45475</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46914-2022</t>
        </is>
      </c>
      <c r="B946" s="1" t="n">
        <v>44851</v>
      </c>
      <c r="C946" s="1" t="n">
        <v>45475</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47076-2022</t>
        </is>
      </c>
      <c r="B947" s="1" t="n">
        <v>44852</v>
      </c>
      <c r="C947" s="1" t="n">
        <v>45475</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47079-2022</t>
        </is>
      </c>
      <c r="B948" s="1" t="n">
        <v>44852</v>
      </c>
      <c r="C948" s="1" t="n">
        <v>45475</v>
      </c>
      <c r="D948" t="inlineStr">
        <is>
          <t>STOCKHOLMS LÄN</t>
        </is>
      </c>
      <c r="E948" t="inlineStr">
        <is>
          <t>NORRTÄLJE</t>
        </is>
      </c>
      <c r="G948" t="n">
        <v>4.5</v>
      </c>
      <c r="H948" t="n">
        <v>0</v>
      </c>
      <c r="I948" t="n">
        <v>0</v>
      </c>
      <c r="J948" t="n">
        <v>0</v>
      </c>
      <c r="K948" t="n">
        <v>0</v>
      </c>
      <c r="L948" t="n">
        <v>0</v>
      </c>
      <c r="M948" t="n">
        <v>0</v>
      </c>
      <c r="N948" t="n">
        <v>0</v>
      </c>
      <c r="O948" t="n">
        <v>0</v>
      </c>
      <c r="P948" t="n">
        <v>0</v>
      </c>
      <c r="Q948" t="n">
        <v>0</v>
      </c>
      <c r="R948" s="2" t="inlineStr"/>
    </row>
    <row r="949" ht="15" customHeight="1">
      <c r="A949" t="inlineStr">
        <is>
          <t>A 47626-2022</t>
        </is>
      </c>
      <c r="B949" s="1" t="n">
        <v>44854</v>
      </c>
      <c r="C949" s="1" t="n">
        <v>45475</v>
      </c>
      <c r="D949" t="inlineStr">
        <is>
          <t>STOCKHOLMS LÄN</t>
        </is>
      </c>
      <c r="E949" t="inlineStr">
        <is>
          <t>NORRTÄLJE</t>
        </is>
      </c>
      <c r="G949" t="n">
        <v>2</v>
      </c>
      <c r="H949" t="n">
        <v>0</v>
      </c>
      <c r="I949" t="n">
        <v>0</v>
      </c>
      <c r="J949" t="n">
        <v>0</v>
      </c>
      <c r="K949" t="n">
        <v>0</v>
      </c>
      <c r="L949" t="n">
        <v>0</v>
      </c>
      <c r="M949" t="n">
        <v>0</v>
      </c>
      <c r="N949" t="n">
        <v>0</v>
      </c>
      <c r="O949" t="n">
        <v>0</v>
      </c>
      <c r="P949" t="n">
        <v>0</v>
      </c>
      <c r="Q949" t="n">
        <v>0</v>
      </c>
      <c r="R949" s="2" t="inlineStr"/>
    </row>
    <row r="950" ht="15" customHeight="1">
      <c r="A950" t="inlineStr">
        <is>
          <t>A 48316-2022</t>
        </is>
      </c>
      <c r="B950" s="1" t="n">
        <v>44854</v>
      </c>
      <c r="C950" s="1" t="n">
        <v>45475</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47929-2022</t>
        </is>
      </c>
      <c r="B951" s="1" t="n">
        <v>44855</v>
      </c>
      <c r="C951" s="1" t="n">
        <v>45475</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48490-2022</t>
        </is>
      </c>
      <c r="B952" s="1" t="n">
        <v>44858</v>
      </c>
      <c r="C952" s="1" t="n">
        <v>45475</v>
      </c>
      <c r="D952" t="inlineStr">
        <is>
          <t>STOCKHOLMS LÄN</t>
        </is>
      </c>
      <c r="E952" t="inlineStr">
        <is>
          <t>NORRTÄLJE</t>
        </is>
      </c>
      <c r="G952" t="n">
        <v>15.8</v>
      </c>
      <c r="H952" t="n">
        <v>0</v>
      </c>
      <c r="I952" t="n">
        <v>0</v>
      </c>
      <c r="J952" t="n">
        <v>0</v>
      </c>
      <c r="K952" t="n">
        <v>0</v>
      </c>
      <c r="L952" t="n">
        <v>0</v>
      </c>
      <c r="M952" t="n">
        <v>0</v>
      </c>
      <c r="N952" t="n">
        <v>0</v>
      </c>
      <c r="O952" t="n">
        <v>0</v>
      </c>
      <c r="P952" t="n">
        <v>0</v>
      </c>
      <c r="Q952" t="n">
        <v>0</v>
      </c>
      <c r="R952" s="2" t="inlineStr"/>
    </row>
    <row r="953" ht="15" customHeight="1">
      <c r="A953" t="inlineStr">
        <is>
          <t>A 48161-2022</t>
        </is>
      </c>
      <c r="B953" s="1" t="n">
        <v>44858</v>
      </c>
      <c r="C953" s="1" t="n">
        <v>45475</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48453-2022</t>
        </is>
      </c>
      <c r="B954" s="1" t="n">
        <v>44858</v>
      </c>
      <c r="C954" s="1" t="n">
        <v>45475</v>
      </c>
      <c r="D954" t="inlineStr">
        <is>
          <t>STOCKHOLMS LÄN</t>
        </is>
      </c>
      <c r="E954" t="inlineStr">
        <is>
          <t>NORRTÄLJE</t>
        </is>
      </c>
      <c r="G954" t="n">
        <v>4.3</v>
      </c>
      <c r="H954" t="n">
        <v>0</v>
      </c>
      <c r="I954" t="n">
        <v>0</v>
      </c>
      <c r="J954" t="n">
        <v>0</v>
      </c>
      <c r="K954" t="n">
        <v>0</v>
      </c>
      <c r="L954" t="n">
        <v>0</v>
      </c>
      <c r="M954" t="n">
        <v>0</v>
      </c>
      <c r="N954" t="n">
        <v>0</v>
      </c>
      <c r="O954" t="n">
        <v>0</v>
      </c>
      <c r="P954" t="n">
        <v>0</v>
      </c>
      <c r="Q954" t="n">
        <v>0</v>
      </c>
      <c r="R954" s="2" t="inlineStr"/>
    </row>
    <row r="955" ht="15" customHeight="1">
      <c r="A955" t="inlineStr">
        <is>
          <t>A 48492-2022</t>
        </is>
      </c>
      <c r="B955" s="1" t="n">
        <v>44858</v>
      </c>
      <c r="C955" s="1" t="n">
        <v>45475</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50065-2022</t>
        </is>
      </c>
      <c r="B956" s="1" t="n">
        <v>44865</v>
      </c>
      <c r="C956" s="1" t="n">
        <v>45475</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50469-2022</t>
        </is>
      </c>
      <c r="B957" s="1" t="n">
        <v>44866</v>
      </c>
      <c r="C957" s="1" t="n">
        <v>45475</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50481-2022</t>
        </is>
      </c>
      <c r="B958" s="1" t="n">
        <v>44866</v>
      </c>
      <c r="C958" s="1" t="n">
        <v>45475</v>
      </c>
      <c r="D958" t="inlineStr">
        <is>
          <t>STOCKHOLMS LÄN</t>
        </is>
      </c>
      <c r="E958" t="inlineStr">
        <is>
          <t>NORRTÄLJE</t>
        </is>
      </c>
      <c r="G958" t="n">
        <v>3</v>
      </c>
      <c r="H958" t="n">
        <v>0</v>
      </c>
      <c r="I958" t="n">
        <v>0</v>
      </c>
      <c r="J958" t="n">
        <v>0</v>
      </c>
      <c r="K958" t="n">
        <v>0</v>
      </c>
      <c r="L958" t="n">
        <v>0</v>
      </c>
      <c r="M958" t="n">
        <v>0</v>
      </c>
      <c r="N958" t="n">
        <v>0</v>
      </c>
      <c r="O958" t="n">
        <v>0</v>
      </c>
      <c r="P958" t="n">
        <v>0</v>
      </c>
      <c r="Q958" t="n">
        <v>0</v>
      </c>
      <c r="R958" s="2" t="inlineStr"/>
    </row>
    <row r="959" ht="15" customHeight="1">
      <c r="A959" t="inlineStr">
        <is>
          <t>A 50465-2022</t>
        </is>
      </c>
      <c r="B959" s="1" t="n">
        <v>44866</v>
      </c>
      <c r="C959" s="1" t="n">
        <v>45475</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50488-2022</t>
        </is>
      </c>
      <c r="B960" s="1" t="n">
        <v>44866</v>
      </c>
      <c r="C960" s="1" t="n">
        <v>45475</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50563-2022</t>
        </is>
      </c>
      <c r="B961" s="1" t="n">
        <v>44866</v>
      </c>
      <c r="C961" s="1" t="n">
        <v>45475</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50569-2022</t>
        </is>
      </c>
      <c r="B962" s="1" t="n">
        <v>44866</v>
      </c>
      <c r="C962" s="1" t="n">
        <v>45475</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50484-2022</t>
        </is>
      </c>
      <c r="B963" s="1" t="n">
        <v>44866</v>
      </c>
      <c r="C963" s="1" t="n">
        <v>45475</v>
      </c>
      <c r="D963" t="inlineStr">
        <is>
          <t>STOCKHOLMS LÄN</t>
        </is>
      </c>
      <c r="E963" t="inlineStr">
        <is>
          <t>NORRTÄLJE</t>
        </is>
      </c>
      <c r="G963" t="n">
        <v>6.7</v>
      </c>
      <c r="H963" t="n">
        <v>0</v>
      </c>
      <c r="I963" t="n">
        <v>0</v>
      </c>
      <c r="J963" t="n">
        <v>0</v>
      </c>
      <c r="K963" t="n">
        <v>0</v>
      </c>
      <c r="L963" t="n">
        <v>0</v>
      </c>
      <c r="M963" t="n">
        <v>0</v>
      </c>
      <c r="N963" t="n">
        <v>0</v>
      </c>
      <c r="O963" t="n">
        <v>0</v>
      </c>
      <c r="P963" t="n">
        <v>0</v>
      </c>
      <c r="Q963" t="n">
        <v>0</v>
      </c>
      <c r="R963" s="2" t="inlineStr"/>
    </row>
    <row r="964" ht="15" customHeight="1">
      <c r="A964" t="inlineStr">
        <is>
          <t>A 50970-2022</t>
        </is>
      </c>
      <c r="B964" s="1" t="n">
        <v>44867</v>
      </c>
      <c r="C964" s="1" t="n">
        <v>45475</v>
      </c>
      <c r="D964" t="inlineStr">
        <is>
          <t>STOCKHOLMS LÄN</t>
        </is>
      </c>
      <c r="E964" t="inlineStr">
        <is>
          <t>NORRTÄLJE</t>
        </is>
      </c>
      <c r="G964" t="n">
        <v>9</v>
      </c>
      <c r="H964" t="n">
        <v>0</v>
      </c>
      <c r="I964" t="n">
        <v>0</v>
      </c>
      <c r="J964" t="n">
        <v>0</v>
      </c>
      <c r="K964" t="n">
        <v>0</v>
      </c>
      <c r="L964" t="n">
        <v>0</v>
      </c>
      <c r="M964" t="n">
        <v>0</v>
      </c>
      <c r="N964" t="n">
        <v>0</v>
      </c>
      <c r="O964" t="n">
        <v>0</v>
      </c>
      <c r="P964" t="n">
        <v>0</v>
      </c>
      <c r="Q964" t="n">
        <v>0</v>
      </c>
      <c r="R964" s="2" t="inlineStr"/>
    </row>
    <row r="965" ht="15" customHeight="1">
      <c r="A965" t="inlineStr">
        <is>
          <t>A 50983-2022</t>
        </is>
      </c>
      <c r="B965" s="1" t="n">
        <v>44867</v>
      </c>
      <c r="C965" s="1" t="n">
        <v>45475</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50907-2022</t>
        </is>
      </c>
      <c r="B966" s="1" t="n">
        <v>44867</v>
      </c>
      <c r="C966" s="1" t="n">
        <v>45475</v>
      </c>
      <c r="D966" t="inlineStr">
        <is>
          <t>STOCKHOLMS LÄN</t>
        </is>
      </c>
      <c r="E966" t="inlineStr">
        <is>
          <t>NORRTÄLJE</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51653-2022</t>
        </is>
      </c>
      <c r="B967" s="1" t="n">
        <v>44867</v>
      </c>
      <c r="C967" s="1" t="n">
        <v>45475</v>
      </c>
      <c r="D967" t="inlineStr">
        <is>
          <t>STOCKHOLMS LÄN</t>
        </is>
      </c>
      <c r="E967" t="inlineStr">
        <is>
          <t>NORRTÄLJE</t>
        </is>
      </c>
      <c r="G967" t="n">
        <v>6.6</v>
      </c>
      <c r="H967" t="n">
        <v>0</v>
      </c>
      <c r="I967" t="n">
        <v>0</v>
      </c>
      <c r="J967" t="n">
        <v>0</v>
      </c>
      <c r="K967" t="n">
        <v>0</v>
      </c>
      <c r="L967" t="n">
        <v>0</v>
      </c>
      <c r="M967" t="n">
        <v>0</v>
      </c>
      <c r="N967" t="n">
        <v>0</v>
      </c>
      <c r="O967" t="n">
        <v>0</v>
      </c>
      <c r="P967" t="n">
        <v>0</v>
      </c>
      <c r="Q967" t="n">
        <v>0</v>
      </c>
      <c r="R967" s="2" t="inlineStr"/>
    </row>
    <row r="968" ht="15" customHeight="1">
      <c r="A968" t="inlineStr">
        <is>
          <t>A 51116-2022</t>
        </is>
      </c>
      <c r="B968" s="1" t="n">
        <v>44868</v>
      </c>
      <c r="C968" s="1" t="n">
        <v>45475</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51265-2022</t>
        </is>
      </c>
      <c r="B969" s="1" t="n">
        <v>44868</v>
      </c>
      <c r="C969" s="1" t="n">
        <v>45475</v>
      </c>
      <c r="D969" t="inlineStr">
        <is>
          <t>STOCKHOLMS LÄN</t>
        </is>
      </c>
      <c r="E969" t="inlineStr">
        <is>
          <t>NORRTÄLJE</t>
        </is>
      </c>
      <c r="G969" t="n">
        <v>3.1</v>
      </c>
      <c r="H969" t="n">
        <v>0</v>
      </c>
      <c r="I969" t="n">
        <v>0</v>
      </c>
      <c r="J969" t="n">
        <v>0</v>
      </c>
      <c r="K969" t="n">
        <v>0</v>
      </c>
      <c r="L969" t="n">
        <v>0</v>
      </c>
      <c r="M969" t="n">
        <v>0</v>
      </c>
      <c r="N969" t="n">
        <v>0</v>
      </c>
      <c r="O969" t="n">
        <v>0</v>
      </c>
      <c r="P969" t="n">
        <v>0</v>
      </c>
      <c r="Q969" t="n">
        <v>0</v>
      </c>
      <c r="R969" s="2" t="inlineStr"/>
    </row>
    <row r="970" ht="15" customHeight="1">
      <c r="A970" t="inlineStr">
        <is>
          <t>A 52139-2022</t>
        </is>
      </c>
      <c r="B970" s="1" t="n">
        <v>44868</v>
      </c>
      <c r="C970" s="1" t="n">
        <v>45475</v>
      </c>
      <c r="D970" t="inlineStr">
        <is>
          <t>STOCKHOLMS LÄN</t>
        </is>
      </c>
      <c r="E970" t="inlineStr">
        <is>
          <t>NORRTÄLJE</t>
        </is>
      </c>
      <c r="G970" t="n">
        <v>3.2</v>
      </c>
      <c r="H970" t="n">
        <v>0</v>
      </c>
      <c r="I970" t="n">
        <v>0</v>
      </c>
      <c r="J970" t="n">
        <v>0</v>
      </c>
      <c r="K970" t="n">
        <v>0</v>
      </c>
      <c r="L970" t="n">
        <v>0</v>
      </c>
      <c r="M970" t="n">
        <v>0</v>
      </c>
      <c r="N970" t="n">
        <v>0</v>
      </c>
      <c r="O970" t="n">
        <v>0</v>
      </c>
      <c r="P970" t="n">
        <v>0</v>
      </c>
      <c r="Q970" t="n">
        <v>0</v>
      </c>
      <c r="R970" s="2" t="inlineStr"/>
    </row>
    <row r="971" ht="15" customHeight="1">
      <c r="A971" t="inlineStr">
        <is>
          <t>A 52133-2022</t>
        </is>
      </c>
      <c r="B971" s="1" t="n">
        <v>44868</v>
      </c>
      <c r="C971" s="1" t="n">
        <v>45475</v>
      </c>
      <c r="D971" t="inlineStr">
        <is>
          <t>STOCKHOLMS LÄN</t>
        </is>
      </c>
      <c r="E971" t="inlineStr">
        <is>
          <t>NORRTÄLJE</t>
        </is>
      </c>
      <c r="G971" t="n">
        <v>11.5</v>
      </c>
      <c r="H971" t="n">
        <v>0</v>
      </c>
      <c r="I971" t="n">
        <v>0</v>
      </c>
      <c r="J971" t="n">
        <v>0</v>
      </c>
      <c r="K971" t="n">
        <v>0</v>
      </c>
      <c r="L971" t="n">
        <v>0</v>
      </c>
      <c r="M971" t="n">
        <v>0</v>
      </c>
      <c r="N971" t="n">
        <v>0</v>
      </c>
      <c r="O971" t="n">
        <v>0</v>
      </c>
      <c r="P971" t="n">
        <v>0</v>
      </c>
      <c r="Q971" t="n">
        <v>0</v>
      </c>
      <c r="R971" s="2" t="inlineStr"/>
    </row>
    <row r="972" ht="15" customHeight="1">
      <c r="A972" t="inlineStr">
        <is>
          <t>A 52260-2022</t>
        </is>
      </c>
      <c r="B972" s="1" t="n">
        <v>44869</v>
      </c>
      <c r="C972" s="1" t="n">
        <v>45475</v>
      </c>
      <c r="D972" t="inlineStr">
        <is>
          <t>STOCKHOLMS LÄN</t>
        </is>
      </c>
      <c r="E972" t="inlineStr">
        <is>
          <t>NORRTÄLJE</t>
        </is>
      </c>
      <c r="G972" t="n">
        <v>3.1</v>
      </c>
      <c r="H972" t="n">
        <v>0</v>
      </c>
      <c r="I972" t="n">
        <v>0</v>
      </c>
      <c r="J972" t="n">
        <v>0</v>
      </c>
      <c r="K972" t="n">
        <v>0</v>
      </c>
      <c r="L972" t="n">
        <v>0</v>
      </c>
      <c r="M972" t="n">
        <v>0</v>
      </c>
      <c r="N972" t="n">
        <v>0</v>
      </c>
      <c r="O972" t="n">
        <v>0</v>
      </c>
      <c r="P972" t="n">
        <v>0</v>
      </c>
      <c r="Q972" t="n">
        <v>0</v>
      </c>
      <c r="R972" s="2" t="inlineStr"/>
    </row>
    <row r="973" ht="15" customHeight="1">
      <c r="A973" t="inlineStr">
        <is>
          <t>A 51984-2022</t>
        </is>
      </c>
      <c r="B973" s="1" t="n">
        <v>44872</v>
      </c>
      <c r="C973" s="1" t="n">
        <v>45475</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52322-2022</t>
        </is>
      </c>
      <c r="B974" s="1" t="n">
        <v>44873</v>
      </c>
      <c r="C974" s="1" t="n">
        <v>45475</v>
      </c>
      <c r="D974" t="inlineStr">
        <is>
          <t>STOCKHOLMS LÄN</t>
        </is>
      </c>
      <c r="E974" t="inlineStr">
        <is>
          <t>NORRTÄLJE</t>
        </is>
      </c>
      <c r="G974" t="n">
        <v>5.5</v>
      </c>
      <c r="H974" t="n">
        <v>0</v>
      </c>
      <c r="I974" t="n">
        <v>0</v>
      </c>
      <c r="J974" t="n">
        <v>0</v>
      </c>
      <c r="K974" t="n">
        <v>0</v>
      </c>
      <c r="L974" t="n">
        <v>0</v>
      </c>
      <c r="M974" t="n">
        <v>0</v>
      </c>
      <c r="N974" t="n">
        <v>0</v>
      </c>
      <c r="O974" t="n">
        <v>0</v>
      </c>
      <c r="P974" t="n">
        <v>0</v>
      </c>
      <c r="Q974" t="n">
        <v>0</v>
      </c>
      <c r="R974" s="2" t="inlineStr"/>
    </row>
    <row r="975" ht="15" customHeight="1">
      <c r="A975" t="inlineStr">
        <is>
          <t>A 53461-2022</t>
        </is>
      </c>
      <c r="B975" s="1" t="n">
        <v>44879</v>
      </c>
      <c r="C975" s="1" t="n">
        <v>45475</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53600-2022</t>
        </is>
      </c>
      <c r="B976" s="1" t="n">
        <v>44879</v>
      </c>
      <c r="C976" s="1" t="n">
        <v>45475</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53459-2022</t>
        </is>
      </c>
      <c r="B977" s="1" t="n">
        <v>44879</v>
      </c>
      <c r="C977" s="1" t="n">
        <v>45475</v>
      </c>
      <c r="D977" t="inlineStr">
        <is>
          <t>STOCKHOLMS LÄN</t>
        </is>
      </c>
      <c r="E977" t="inlineStr">
        <is>
          <t>NORRTÄLJE</t>
        </is>
      </c>
      <c r="G977" t="n">
        <v>3.9</v>
      </c>
      <c r="H977" t="n">
        <v>0</v>
      </c>
      <c r="I977" t="n">
        <v>0</v>
      </c>
      <c r="J977" t="n">
        <v>0</v>
      </c>
      <c r="K977" t="n">
        <v>0</v>
      </c>
      <c r="L977" t="n">
        <v>0</v>
      </c>
      <c r="M977" t="n">
        <v>0</v>
      </c>
      <c r="N977" t="n">
        <v>0</v>
      </c>
      <c r="O977" t="n">
        <v>0</v>
      </c>
      <c r="P977" t="n">
        <v>0</v>
      </c>
      <c r="Q977" t="n">
        <v>0</v>
      </c>
      <c r="R977" s="2" t="inlineStr"/>
    </row>
    <row r="978" ht="15" customHeight="1">
      <c r="A978" t="inlineStr">
        <is>
          <t>A 53884-2022</t>
        </is>
      </c>
      <c r="B978" s="1" t="n">
        <v>44880</v>
      </c>
      <c r="C978" s="1" t="n">
        <v>45475</v>
      </c>
      <c r="D978" t="inlineStr">
        <is>
          <t>STOCKHOLMS LÄN</t>
        </is>
      </c>
      <c r="E978" t="inlineStr">
        <is>
          <t>NORRTÄLJE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54169-2022</t>
        </is>
      </c>
      <c r="B979" s="1" t="n">
        <v>44881</v>
      </c>
      <c r="C979" s="1" t="n">
        <v>45475</v>
      </c>
      <c r="D979" t="inlineStr">
        <is>
          <t>STOCKHOLMS LÄN</t>
        </is>
      </c>
      <c r="E979" t="inlineStr">
        <is>
          <t>NORRTÄLJE</t>
        </is>
      </c>
      <c r="G979" t="n">
        <v>3.7</v>
      </c>
      <c r="H979" t="n">
        <v>0</v>
      </c>
      <c r="I979" t="n">
        <v>0</v>
      </c>
      <c r="J979" t="n">
        <v>0</v>
      </c>
      <c r="K979" t="n">
        <v>0</v>
      </c>
      <c r="L979" t="n">
        <v>0</v>
      </c>
      <c r="M979" t="n">
        <v>0</v>
      </c>
      <c r="N979" t="n">
        <v>0</v>
      </c>
      <c r="O979" t="n">
        <v>0</v>
      </c>
      <c r="P979" t="n">
        <v>0</v>
      </c>
      <c r="Q979" t="n">
        <v>0</v>
      </c>
      <c r="R979" s="2" t="inlineStr"/>
    </row>
    <row r="980" ht="15" customHeight="1">
      <c r="A980" t="inlineStr">
        <is>
          <t>A 54175-2022</t>
        </is>
      </c>
      <c r="B980" s="1" t="n">
        <v>44881</v>
      </c>
      <c r="C980" s="1" t="n">
        <v>45475</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54355-2022</t>
        </is>
      </c>
      <c r="B981" s="1" t="n">
        <v>44882</v>
      </c>
      <c r="C981" s="1" t="n">
        <v>45475</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54427-2022</t>
        </is>
      </c>
      <c r="B982" s="1" t="n">
        <v>44882</v>
      </c>
      <c r="C982" s="1" t="n">
        <v>45475</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54340-2022</t>
        </is>
      </c>
      <c r="B983" s="1" t="n">
        <v>44882</v>
      </c>
      <c r="C983" s="1" t="n">
        <v>45475</v>
      </c>
      <c r="D983" t="inlineStr">
        <is>
          <t>STOCKHOLMS LÄN</t>
        </is>
      </c>
      <c r="E983" t="inlineStr">
        <is>
          <t>NORRTÄLJE</t>
        </is>
      </c>
      <c r="G983" t="n">
        <v>6.7</v>
      </c>
      <c r="H983" t="n">
        <v>0</v>
      </c>
      <c r="I983" t="n">
        <v>0</v>
      </c>
      <c r="J983" t="n">
        <v>0</v>
      </c>
      <c r="K983" t="n">
        <v>0</v>
      </c>
      <c r="L983" t="n">
        <v>0</v>
      </c>
      <c r="M983" t="n">
        <v>0</v>
      </c>
      <c r="N983" t="n">
        <v>0</v>
      </c>
      <c r="O983" t="n">
        <v>0</v>
      </c>
      <c r="P983" t="n">
        <v>0</v>
      </c>
      <c r="Q983" t="n">
        <v>0</v>
      </c>
      <c r="R983" s="2" t="inlineStr"/>
    </row>
    <row r="984" ht="15" customHeight="1">
      <c r="A984" t="inlineStr">
        <is>
          <t>A 54358-2022</t>
        </is>
      </c>
      <c r="B984" s="1" t="n">
        <v>44882</v>
      </c>
      <c r="C984" s="1" t="n">
        <v>45475</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54354-2022</t>
        </is>
      </c>
      <c r="B985" s="1" t="n">
        <v>44882</v>
      </c>
      <c r="C985" s="1" t="n">
        <v>45475</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55047-2022</t>
        </is>
      </c>
      <c r="B986" s="1" t="n">
        <v>44886</v>
      </c>
      <c r="C986" s="1" t="n">
        <v>45475</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55696-2022</t>
        </is>
      </c>
      <c r="B987" s="1" t="n">
        <v>44888</v>
      </c>
      <c r="C987" s="1" t="n">
        <v>45475</v>
      </c>
      <c r="D987" t="inlineStr">
        <is>
          <t>STOCKHOLMS LÄN</t>
        </is>
      </c>
      <c r="E987" t="inlineStr">
        <is>
          <t>NORRTÄLJE</t>
        </is>
      </c>
      <c r="G987" t="n">
        <v>2.2</v>
      </c>
      <c r="H987" t="n">
        <v>0</v>
      </c>
      <c r="I987" t="n">
        <v>0</v>
      </c>
      <c r="J987" t="n">
        <v>0</v>
      </c>
      <c r="K987" t="n">
        <v>0</v>
      </c>
      <c r="L987" t="n">
        <v>0</v>
      </c>
      <c r="M987" t="n">
        <v>0</v>
      </c>
      <c r="N987" t="n">
        <v>0</v>
      </c>
      <c r="O987" t="n">
        <v>0</v>
      </c>
      <c r="P987" t="n">
        <v>0</v>
      </c>
      <c r="Q987" t="n">
        <v>0</v>
      </c>
      <c r="R987" s="2" t="inlineStr"/>
    </row>
    <row r="988" ht="15" customHeight="1">
      <c r="A988" t="inlineStr">
        <is>
          <t>A 57037-2022</t>
        </is>
      </c>
      <c r="B988" s="1" t="n">
        <v>44895</v>
      </c>
      <c r="C988" s="1" t="n">
        <v>45475</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59767-2022</t>
        </is>
      </c>
      <c r="B989" s="1" t="n">
        <v>44900</v>
      </c>
      <c r="C989" s="1" t="n">
        <v>45475</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58302-2022</t>
        </is>
      </c>
      <c r="B990" s="1" t="n">
        <v>44901</v>
      </c>
      <c r="C990" s="1" t="n">
        <v>45475</v>
      </c>
      <c r="D990" t="inlineStr">
        <is>
          <t>STOCKHOLMS LÄN</t>
        </is>
      </c>
      <c r="E990" t="inlineStr">
        <is>
          <t>NORRTÄLJE</t>
        </is>
      </c>
      <c r="G990" t="n">
        <v>3.9</v>
      </c>
      <c r="H990" t="n">
        <v>0</v>
      </c>
      <c r="I990" t="n">
        <v>0</v>
      </c>
      <c r="J990" t="n">
        <v>0</v>
      </c>
      <c r="K990" t="n">
        <v>0</v>
      </c>
      <c r="L990" t="n">
        <v>0</v>
      </c>
      <c r="M990" t="n">
        <v>0</v>
      </c>
      <c r="N990" t="n">
        <v>0</v>
      </c>
      <c r="O990" t="n">
        <v>0</v>
      </c>
      <c r="P990" t="n">
        <v>0</v>
      </c>
      <c r="Q990" t="n">
        <v>0</v>
      </c>
      <c r="R990" s="2" t="inlineStr"/>
    </row>
    <row r="991" ht="15" customHeight="1">
      <c r="A991" t="inlineStr">
        <is>
          <t>A 58492-2022</t>
        </is>
      </c>
      <c r="B991" s="1" t="n">
        <v>44902</v>
      </c>
      <c r="C991" s="1" t="n">
        <v>45475</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58543-2022</t>
        </is>
      </c>
      <c r="B992" s="1" t="n">
        <v>44902</v>
      </c>
      <c r="C992" s="1" t="n">
        <v>45475</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58993-2022</t>
        </is>
      </c>
      <c r="B993" s="1" t="n">
        <v>44903</v>
      </c>
      <c r="C993" s="1" t="n">
        <v>45475</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60525-2022</t>
        </is>
      </c>
      <c r="B994" s="1" t="n">
        <v>44904</v>
      </c>
      <c r="C994" s="1" t="n">
        <v>45475</v>
      </c>
      <c r="D994" t="inlineStr">
        <is>
          <t>STOCKHOLMS LÄN</t>
        </is>
      </c>
      <c r="E994" t="inlineStr">
        <is>
          <t>NORRTÄLJE</t>
        </is>
      </c>
      <c r="G994" t="n">
        <v>13.4</v>
      </c>
      <c r="H994" t="n">
        <v>0</v>
      </c>
      <c r="I994" t="n">
        <v>0</v>
      </c>
      <c r="J994" t="n">
        <v>0</v>
      </c>
      <c r="K994" t="n">
        <v>0</v>
      </c>
      <c r="L994" t="n">
        <v>0</v>
      </c>
      <c r="M994" t="n">
        <v>0</v>
      </c>
      <c r="N994" t="n">
        <v>0</v>
      </c>
      <c r="O994" t="n">
        <v>0</v>
      </c>
      <c r="P994" t="n">
        <v>0</v>
      </c>
      <c r="Q994" t="n">
        <v>0</v>
      </c>
      <c r="R994" s="2" t="inlineStr"/>
    </row>
    <row r="995" ht="15" customHeight="1">
      <c r="A995" t="inlineStr">
        <is>
          <t>A 59717-2022</t>
        </is>
      </c>
      <c r="B995" s="1" t="n">
        <v>44908</v>
      </c>
      <c r="C995" s="1" t="n">
        <v>45475</v>
      </c>
      <c r="D995" t="inlineStr">
        <is>
          <t>STOCKHOLMS LÄN</t>
        </is>
      </c>
      <c r="E995" t="inlineStr">
        <is>
          <t>NORRTÄLJE</t>
        </is>
      </c>
      <c r="F995" t="inlineStr">
        <is>
          <t>Holmen skog AB</t>
        </is>
      </c>
      <c r="G995" t="n">
        <v>5.5</v>
      </c>
      <c r="H995" t="n">
        <v>0</v>
      </c>
      <c r="I995" t="n">
        <v>0</v>
      </c>
      <c r="J995" t="n">
        <v>0</v>
      </c>
      <c r="K995" t="n">
        <v>0</v>
      </c>
      <c r="L995" t="n">
        <v>0</v>
      </c>
      <c r="M995" t="n">
        <v>0</v>
      </c>
      <c r="N995" t="n">
        <v>0</v>
      </c>
      <c r="O995" t="n">
        <v>0</v>
      </c>
      <c r="P995" t="n">
        <v>0</v>
      </c>
      <c r="Q995" t="n">
        <v>0</v>
      </c>
      <c r="R995" s="2" t="inlineStr"/>
    </row>
    <row r="996" ht="15" customHeight="1">
      <c r="A996" t="inlineStr">
        <is>
          <t>A 59893-2022</t>
        </is>
      </c>
      <c r="B996" s="1" t="n">
        <v>44908</v>
      </c>
      <c r="C996" s="1" t="n">
        <v>45475</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59892-2022</t>
        </is>
      </c>
      <c r="B997" s="1" t="n">
        <v>44908</v>
      </c>
      <c r="C997" s="1" t="n">
        <v>45475</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60840-2022</t>
        </is>
      </c>
      <c r="B998" s="1" t="n">
        <v>44914</v>
      </c>
      <c r="C998" s="1" t="n">
        <v>45475</v>
      </c>
      <c r="D998" t="inlineStr">
        <is>
          <t>STOCKHOLMS LÄN</t>
        </is>
      </c>
      <c r="E998" t="inlineStr">
        <is>
          <t>NORRTÄLJE</t>
        </is>
      </c>
      <c r="G998" t="n">
        <v>2.8</v>
      </c>
      <c r="H998" t="n">
        <v>0</v>
      </c>
      <c r="I998" t="n">
        <v>0</v>
      </c>
      <c r="J998" t="n">
        <v>0</v>
      </c>
      <c r="K998" t="n">
        <v>0</v>
      </c>
      <c r="L998" t="n">
        <v>0</v>
      </c>
      <c r="M998" t="n">
        <v>0</v>
      </c>
      <c r="N998" t="n">
        <v>0</v>
      </c>
      <c r="O998" t="n">
        <v>0</v>
      </c>
      <c r="P998" t="n">
        <v>0</v>
      </c>
      <c r="Q998" t="n">
        <v>0</v>
      </c>
      <c r="R998" s="2" t="inlineStr"/>
    </row>
    <row r="999" ht="15" customHeight="1">
      <c r="A999" t="inlineStr">
        <is>
          <t>A 61016-2022</t>
        </is>
      </c>
      <c r="B999" s="1" t="n">
        <v>44914</v>
      </c>
      <c r="C999" s="1" t="n">
        <v>45475</v>
      </c>
      <c r="D999" t="inlineStr">
        <is>
          <t>STOCKHOLMS LÄN</t>
        </is>
      </c>
      <c r="E999" t="inlineStr">
        <is>
          <t>NORRTÄLJE</t>
        </is>
      </c>
      <c r="G999" t="n">
        <v>4.4</v>
      </c>
      <c r="H999" t="n">
        <v>0</v>
      </c>
      <c r="I999" t="n">
        <v>0</v>
      </c>
      <c r="J999" t="n">
        <v>0</v>
      </c>
      <c r="K999" t="n">
        <v>0</v>
      </c>
      <c r="L999" t="n">
        <v>0</v>
      </c>
      <c r="M999" t="n">
        <v>0</v>
      </c>
      <c r="N999" t="n">
        <v>0</v>
      </c>
      <c r="O999" t="n">
        <v>0</v>
      </c>
      <c r="P999" t="n">
        <v>0</v>
      </c>
      <c r="Q999" t="n">
        <v>0</v>
      </c>
      <c r="R999" s="2" t="inlineStr"/>
    </row>
    <row r="1000" ht="15" customHeight="1">
      <c r="A1000" t="inlineStr">
        <is>
          <t>A 62206-2022</t>
        </is>
      </c>
      <c r="B1000" s="1" t="n">
        <v>44922</v>
      </c>
      <c r="C1000" s="1" t="n">
        <v>45475</v>
      </c>
      <c r="D1000" t="inlineStr">
        <is>
          <t>STOCKHOLMS LÄN</t>
        </is>
      </c>
      <c r="E1000" t="inlineStr">
        <is>
          <t>NORRTÄLJE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62398-2022</t>
        </is>
      </c>
      <c r="B1001" s="1" t="n">
        <v>44923</v>
      </c>
      <c r="C1001" s="1" t="n">
        <v>45475</v>
      </c>
      <c r="D1001" t="inlineStr">
        <is>
          <t>STOCKHOLMS LÄN</t>
        </is>
      </c>
      <c r="E1001" t="inlineStr">
        <is>
          <t>NORRTÄLJE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62593-2022</t>
        </is>
      </c>
      <c r="B1002" s="1" t="n">
        <v>44925</v>
      </c>
      <c r="C1002" s="1" t="n">
        <v>45475</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576-2023</t>
        </is>
      </c>
      <c r="B1003" s="1" t="n">
        <v>44925</v>
      </c>
      <c r="C1003" s="1" t="n">
        <v>45475</v>
      </c>
      <c r="D1003" t="inlineStr">
        <is>
          <t>STOCKHOLMS LÄN</t>
        </is>
      </c>
      <c r="E1003" t="inlineStr">
        <is>
          <t>NORRTÄLJE</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574-2023</t>
        </is>
      </c>
      <c r="B1004" s="1" t="n">
        <v>44925</v>
      </c>
      <c r="C1004" s="1" t="n">
        <v>45475</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755-2023</t>
        </is>
      </c>
      <c r="B1005" s="1" t="n">
        <v>44931</v>
      </c>
      <c r="C1005" s="1" t="n">
        <v>45475</v>
      </c>
      <c r="D1005" t="inlineStr">
        <is>
          <t>STOCKHOLMS LÄN</t>
        </is>
      </c>
      <c r="E1005" t="inlineStr">
        <is>
          <t>NORRTÄLJE</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875-2023</t>
        </is>
      </c>
      <c r="B1006" s="1" t="n">
        <v>44931</v>
      </c>
      <c r="C1006" s="1" t="n">
        <v>45475</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951-2023</t>
        </is>
      </c>
      <c r="B1007" s="1" t="n">
        <v>44934</v>
      </c>
      <c r="C1007" s="1" t="n">
        <v>45475</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1183-2023</t>
        </is>
      </c>
      <c r="B1008" s="1" t="n">
        <v>44935</v>
      </c>
      <c r="C1008" s="1" t="n">
        <v>45475</v>
      </c>
      <c r="D1008" t="inlineStr">
        <is>
          <t>STOCKHOLMS LÄN</t>
        </is>
      </c>
      <c r="E1008" t="inlineStr">
        <is>
          <t>NORRTÄLJE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1335-2023</t>
        </is>
      </c>
      <c r="B1009" s="1" t="n">
        <v>44936</v>
      </c>
      <c r="C1009" s="1" t="n">
        <v>45475</v>
      </c>
      <c r="D1009" t="inlineStr">
        <is>
          <t>STOCKHOLMS LÄN</t>
        </is>
      </c>
      <c r="E1009" t="inlineStr">
        <is>
          <t>NORRTÄLJE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1373-2023</t>
        </is>
      </c>
      <c r="B1010" s="1" t="n">
        <v>44936</v>
      </c>
      <c r="C1010" s="1" t="n">
        <v>45475</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1448-2023</t>
        </is>
      </c>
      <c r="B1011" s="1" t="n">
        <v>44937</v>
      </c>
      <c r="C1011" s="1" t="n">
        <v>45475</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1740-2023</t>
        </is>
      </c>
      <c r="B1012" s="1" t="n">
        <v>44938</v>
      </c>
      <c r="C1012" s="1" t="n">
        <v>45475</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1847-2023</t>
        </is>
      </c>
      <c r="B1013" s="1" t="n">
        <v>44938</v>
      </c>
      <c r="C1013" s="1" t="n">
        <v>45475</v>
      </c>
      <c r="D1013" t="inlineStr">
        <is>
          <t>STOCKHOLMS LÄN</t>
        </is>
      </c>
      <c r="E1013" t="inlineStr">
        <is>
          <t>NORRTÄLJE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2103-2023</t>
        </is>
      </c>
      <c r="B1014" s="1" t="n">
        <v>44939</v>
      </c>
      <c r="C1014" s="1" t="n">
        <v>45475</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2976-2023</t>
        </is>
      </c>
      <c r="B1015" s="1" t="n">
        <v>44945</v>
      </c>
      <c r="C1015" s="1" t="n">
        <v>45475</v>
      </c>
      <c r="D1015" t="inlineStr">
        <is>
          <t>STOCKHOLMS LÄN</t>
        </is>
      </c>
      <c r="E1015" t="inlineStr">
        <is>
          <t>NORRTÄLJE</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2890-2023</t>
        </is>
      </c>
      <c r="B1016" s="1" t="n">
        <v>44945</v>
      </c>
      <c r="C1016" s="1" t="n">
        <v>45475</v>
      </c>
      <c r="D1016" t="inlineStr">
        <is>
          <t>STOCKHOLMS LÄN</t>
        </is>
      </c>
      <c r="E1016" t="inlineStr">
        <is>
          <t>NORRTÄLJE</t>
        </is>
      </c>
      <c r="F1016" t="inlineStr">
        <is>
          <t>Holmen skog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2982-2023</t>
        </is>
      </c>
      <c r="B1017" s="1" t="n">
        <v>44945</v>
      </c>
      <c r="C1017" s="1" t="n">
        <v>45475</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3383-2023</t>
        </is>
      </c>
      <c r="B1018" s="1" t="n">
        <v>44949</v>
      </c>
      <c r="C1018" s="1" t="n">
        <v>45475</v>
      </c>
      <c r="D1018" t="inlineStr">
        <is>
          <t>STOCKHOLMS LÄN</t>
        </is>
      </c>
      <c r="E1018" t="inlineStr">
        <is>
          <t>NORRTÄLJE</t>
        </is>
      </c>
      <c r="G1018" t="n">
        <v>14.6</v>
      </c>
      <c r="H1018" t="n">
        <v>0</v>
      </c>
      <c r="I1018" t="n">
        <v>0</v>
      </c>
      <c r="J1018" t="n">
        <v>0</v>
      </c>
      <c r="K1018" t="n">
        <v>0</v>
      </c>
      <c r="L1018" t="n">
        <v>0</v>
      </c>
      <c r="M1018" t="n">
        <v>0</v>
      </c>
      <c r="N1018" t="n">
        <v>0</v>
      </c>
      <c r="O1018" t="n">
        <v>0</v>
      </c>
      <c r="P1018" t="n">
        <v>0</v>
      </c>
      <c r="Q1018" t="n">
        <v>0</v>
      </c>
      <c r="R1018" s="2" t="inlineStr"/>
    </row>
    <row r="1019" ht="15" customHeight="1">
      <c r="A1019" t="inlineStr">
        <is>
          <t>A 3444-2023</t>
        </is>
      </c>
      <c r="B1019" s="1" t="n">
        <v>44949</v>
      </c>
      <c r="C1019" s="1" t="n">
        <v>45475</v>
      </c>
      <c r="D1019" t="inlineStr">
        <is>
          <t>STOCKHOLMS LÄN</t>
        </is>
      </c>
      <c r="E1019" t="inlineStr">
        <is>
          <t>NORRTÄLJE</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4035-2023</t>
        </is>
      </c>
      <c r="B1020" s="1" t="n">
        <v>44952</v>
      </c>
      <c r="C1020" s="1" t="n">
        <v>45475</v>
      </c>
      <c r="D1020" t="inlineStr">
        <is>
          <t>STOCKHOLMS LÄN</t>
        </is>
      </c>
      <c r="E1020" t="inlineStr">
        <is>
          <t>NORRTÄLJE</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4058-2023</t>
        </is>
      </c>
      <c r="B1021" s="1" t="n">
        <v>44952</v>
      </c>
      <c r="C1021" s="1" t="n">
        <v>45475</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4194-2023</t>
        </is>
      </c>
      <c r="B1022" s="1" t="n">
        <v>44953</v>
      </c>
      <c r="C1022" s="1" t="n">
        <v>45475</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4168-2023</t>
        </is>
      </c>
      <c r="B1023" s="1" t="n">
        <v>44953</v>
      </c>
      <c r="C1023" s="1" t="n">
        <v>45475</v>
      </c>
      <c r="D1023" t="inlineStr">
        <is>
          <t>STOCKHOLMS LÄN</t>
        </is>
      </c>
      <c r="E1023" t="inlineStr">
        <is>
          <t>NORRTÄLJE</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4316-2023</t>
        </is>
      </c>
      <c r="B1024" s="1" t="n">
        <v>44953</v>
      </c>
      <c r="C1024" s="1" t="n">
        <v>45475</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4326-2023</t>
        </is>
      </c>
      <c r="B1025" s="1" t="n">
        <v>44953</v>
      </c>
      <c r="C1025" s="1" t="n">
        <v>45475</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4322-2023</t>
        </is>
      </c>
      <c r="B1026" s="1" t="n">
        <v>44953</v>
      </c>
      <c r="C1026" s="1" t="n">
        <v>45475</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4364-2023</t>
        </is>
      </c>
      <c r="B1027" s="1" t="n">
        <v>44954</v>
      </c>
      <c r="C1027" s="1" t="n">
        <v>45475</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4385-2023</t>
        </is>
      </c>
      <c r="B1028" s="1" t="n">
        <v>44955</v>
      </c>
      <c r="C1028" s="1" t="n">
        <v>45475</v>
      </c>
      <c r="D1028" t="inlineStr">
        <is>
          <t>STOCKHOLMS LÄN</t>
        </is>
      </c>
      <c r="E1028" t="inlineStr">
        <is>
          <t>NORRTÄLJE</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4395-2023</t>
        </is>
      </c>
      <c r="B1029" s="1" t="n">
        <v>44956</v>
      </c>
      <c r="C1029" s="1" t="n">
        <v>45475</v>
      </c>
      <c r="D1029" t="inlineStr">
        <is>
          <t>STOCKHOLMS LÄN</t>
        </is>
      </c>
      <c r="E1029" t="inlineStr">
        <is>
          <t>NORRTÄLJE</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4438-2023</t>
        </is>
      </c>
      <c r="B1030" s="1" t="n">
        <v>44956</v>
      </c>
      <c r="C1030" s="1" t="n">
        <v>45475</v>
      </c>
      <c r="D1030" t="inlineStr">
        <is>
          <t>STOCKHOLMS LÄN</t>
        </is>
      </c>
      <c r="E1030" t="inlineStr">
        <is>
          <t>NORRTÄLJE</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4593-2023</t>
        </is>
      </c>
      <c r="B1031" s="1" t="n">
        <v>44956</v>
      </c>
      <c r="C1031" s="1" t="n">
        <v>45475</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4596-2023</t>
        </is>
      </c>
      <c r="B1032" s="1" t="n">
        <v>44956</v>
      </c>
      <c r="C1032" s="1" t="n">
        <v>45475</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4553-2023</t>
        </is>
      </c>
      <c r="B1033" s="1" t="n">
        <v>44956</v>
      </c>
      <c r="C1033" s="1" t="n">
        <v>45475</v>
      </c>
      <c r="D1033" t="inlineStr">
        <is>
          <t>STOCKHOLMS LÄN</t>
        </is>
      </c>
      <c r="E1033" t="inlineStr">
        <is>
          <t>NORRTÄLJE</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5137-2023</t>
        </is>
      </c>
      <c r="B1034" s="1" t="n">
        <v>44958</v>
      </c>
      <c r="C1034" s="1" t="n">
        <v>45475</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5207-2023</t>
        </is>
      </c>
      <c r="B1035" s="1" t="n">
        <v>44959</v>
      </c>
      <c r="C1035" s="1" t="n">
        <v>45475</v>
      </c>
      <c r="D1035" t="inlineStr">
        <is>
          <t>STOCKHOLMS LÄN</t>
        </is>
      </c>
      <c r="E1035" t="inlineStr">
        <is>
          <t>NORRTÄLJE</t>
        </is>
      </c>
      <c r="F1035" t="inlineStr">
        <is>
          <t>Holmen skog AB</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5422-2023</t>
        </is>
      </c>
      <c r="B1036" s="1" t="n">
        <v>44959</v>
      </c>
      <c r="C1036" s="1" t="n">
        <v>45475</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5244-2023</t>
        </is>
      </c>
      <c r="B1037" s="1" t="n">
        <v>44959</v>
      </c>
      <c r="C1037" s="1" t="n">
        <v>45475</v>
      </c>
      <c r="D1037" t="inlineStr">
        <is>
          <t>STOCKHOLMS LÄN</t>
        </is>
      </c>
      <c r="E1037" t="inlineStr">
        <is>
          <t>NORRTÄLJE</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5423-2023</t>
        </is>
      </c>
      <c r="B1038" s="1" t="n">
        <v>44959</v>
      </c>
      <c r="C1038" s="1" t="n">
        <v>45475</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6312-2023</t>
        </is>
      </c>
      <c r="B1039" s="1" t="n">
        <v>44959</v>
      </c>
      <c r="C1039" s="1" t="n">
        <v>45475</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5645-2023</t>
        </is>
      </c>
      <c r="B1040" s="1" t="n">
        <v>44960</v>
      </c>
      <c r="C1040" s="1" t="n">
        <v>45475</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5501-2023</t>
        </is>
      </c>
      <c r="B1041" s="1" t="n">
        <v>44960</v>
      </c>
      <c r="C1041" s="1" t="n">
        <v>45475</v>
      </c>
      <c r="D1041" t="inlineStr">
        <is>
          <t>STOCKHOLMS LÄN</t>
        </is>
      </c>
      <c r="E1041" t="inlineStr">
        <is>
          <t>NORRTÄLJE</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6496-2023</t>
        </is>
      </c>
      <c r="B1042" s="1" t="n">
        <v>44960</v>
      </c>
      <c r="C1042" s="1" t="n">
        <v>45475</v>
      </c>
      <c r="D1042" t="inlineStr">
        <is>
          <t>STOCKHOLMS LÄN</t>
        </is>
      </c>
      <c r="E1042" t="inlineStr">
        <is>
          <t>NORRTÄLJE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5732-2023</t>
        </is>
      </c>
      <c r="B1043" s="1" t="n">
        <v>44962</v>
      </c>
      <c r="C1043" s="1" t="n">
        <v>45475</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5823-2023</t>
        </is>
      </c>
      <c r="B1044" s="1" t="n">
        <v>44963</v>
      </c>
      <c r="C1044" s="1" t="n">
        <v>45475</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5839-2023</t>
        </is>
      </c>
      <c r="B1045" s="1" t="n">
        <v>44963</v>
      </c>
      <c r="C1045" s="1" t="n">
        <v>45475</v>
      </c>
      <c r="D1045" t="inlineStr">
        <is>
          <t>STOCKHOLMS LÄN</t>
        </is>
      </c>
      <c r="E1045" t="inlineStr">
        <is>
          <t>NORRTÄLJE</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6433-2023</t>
        </is>
      </c>
      <c r="B1046" s="1" t="n">
        <v>44965</v>
      </c>
      <c r="C1046" s="1" t="n">
        <v>45475</v>
      </c>
      <c r="D1046" t="inlineStr">
        <is>
          <t>STOCKHOLMS LÄN</t>
        </is>
      </c>
      <c r="E1046" t="inlineStr">
        <is>
          <t>NORRTÄLJE</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7230-2023</t>
        </is>
      </c>
      <c r="B1047" s="1" t="n">
        <v>44965</v>
      </c>
      <c r="C1047" s="1" t="n">
        <v>45475</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6437-2023</t>
        </is>
      </c>
      <c r="B1048" s="1" t="n">
        <v>44965</v>
      </c>
      <c r="C1048" s="1" t="n">
        <v>45475</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7093-2023</t>
        </is>
      </c>
      <c r="B1049" s="1" t="n">
        <v>44970</v>
      </c>
      <c r="C1049" s="1" t="n">
        <v>45475</v>
      </c>
      <c r="D1049" t="inlineStr">
        <is>
          <t>STOCKHOLMS LÄN</t>
        </is>
      </c>
      <c r="E1049" t="inlineStr">
        <is>
          <t>NORRTÄLJE</t>
        </is>
      </c>
      <c r="F1049" t="inlineStr">
        <is>
          <t>Sveaskog</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7190-2023</t>
        </is>
      </c>
      <c r="B1050" s="1" t="n">
        <v>44970</v>
      </c>
      <c r="C1050" s="1" t="n">
        <v>45475</v>
      </c>
      <c r="D1050" t="inlineStr">
        <is>
          <t>STOCKHOLMS LÄN</t>
        </is>
      </c>
      <c r="E1050" t="inlineStr">
        <is>
          <t>NORRTÄLJE</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7120-2023</t>
        </is>
      </c>
      <c r="B1051" s="1" t="n">
        <v>44970</v>
      </c>
      <c r="C1051" s="1" t="n">
        <v>45475</v>
      </c>
      <c r="D1051" t="inlineStr">
        <is>
          <t>STOCKHOLMS LÄN</t>
        </is>
      </c>
      <c r="E1051" t="inlineStr">
        <is>
          <t>NORRTÄLJE</t>
        </is>
      </c>
      <c r="F1051" t="inlineStr">
        <is>
          <t>Sveaskog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7638-2023</t>
        </is>
      </c>
      <c r="B1052" s="1" t="n">
        <v>44972</v>
      </c>
      <c r="C1052" s="1" t="n">
        <v>45475</v>
      </c>
      <c r="D1052" t="inlineStr">
        <is>
          <t>STOCKHOLMS LÄN</t>
        </is>
      </c>
      <c r="E1052" t="inlineStr">
        <is>
          <t>NORRTÄLJE</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7966-2023</t>
        </is>
      </c>
      <c r="B1053" s="1" t="n">
        <v>44973</v>
      </c>
      <c r="C1053" s="1" t="n">
        <v>45475</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7974-2023</t>
        </is>
      </c>
      <c r="B1054" s="1" t="n">
        <v>44973</v>
      </c>
      <c r="C1054" s="1" t="n">
        <v>45475</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8296-2023</t>
        </is>
      </c>
      <c r="B1055" s="1" t="n">
        <v>44974</v>
      </c>
      <c r="C1055" s="1" t="n">
        <v>45475</v>
      </c>
      <c r="D1055" t="inlineStr">
        <is>
          <t>STOCKHOLMS LÄN</t>
        </is>
      </c>
      <c r="E1055" t="inlineStr">
        <is>
          <t>NORRTÄLJE</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8586-2023</t>
        </is>
      </c>
      <c r="B1056" s="1" t="n">
        <v>44977</v>
      </c>
      <c r="C1056" s="1" t="n">
        <v>45475</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9401-2023</t>
        </is>
      </c>
      <c r="B1057" s="1" t="n">
        <v>44977</v>
      </c>
      <c r="C1057" s="1" t="n">
        <v>45475</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8730-2023</t>
        </is>
      </c>
      <c r="B1058" s="1" t="n">
        <v>44978</v>
      </c>
      <c r="C1058" s="1" t="n">
        <v>45475</v>
      </c>
      <c r="D1058" t="inlineStr">
        <is>
          <t>STOCKHOLMS LÄN</t>
        </is>
      </c>
      <c r="E1058" t="inlineStr">
        <is>
          <t>NORRTÄLJE</t>
        </is>
      </c>
      <c r="F1058" t="inlineStr">
        <is>
          <t>Holmen skog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8762-2023</t>
        </is>
      </c>
      <c r="B1059" s="1" t="n">
        <v>44978</v>
      </c>
      <c r="C1059" s="1" t="n">
        <v>45475</v>
      </c>
      <c r="D1059" t="inlineStr">
        <is>
          <t>STOCKHOLMS LÄN</t>
        </is>
      </c>
      <c r="E1059" t="inlineStr">
        <is>
          <t>NORRTÄLJE</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8899-2023</t>
        </is>
      </c>
      <c r="B1060" s="1" t="n">
        <v>44979</v>
      </c>
      <c r="C1060" s="1" t="n">
        <v>45475</v>
      </c>
      <c r="D1060" t="inlineStr">
        <is>
          <t>STOCKHOLMS LÄN</t>
        </is>
      </c>
      <c r="E1060" t="inlineStr">
        <is>
          <t>NORRTÄLJE</t>
        </is>
      </c>
      <c r="F1060" t="inlineStr">
        <is>
          <t>Naturvårdsverket</t>
        </is>
      </c>
      <c r="G1060" t="n">
        <v>14.9</v>
      </c>
      <c r="H1060" t="n">
        <v>0</v>
      </c>
      <c r="I1060" t="n">
        <v>0</v>
      </c>
      <c r="J1060" t="n">
        <v>0</v>
      </c>
      <c r="K1060" t="n">
        <v>0</v>
      </c>
      <c r="L1060" t="n">
        <v>0</v>
      </c>
      <c r="M1060" t="n">
        <v>0</v>
      </c>
      <c r="N1060" t="n">
        <v>0</v>
      </c>
      <c r="O1060" t="n">
        <v>0</v>
      </c>
      <c r="P1060" t="n">
        <v>0</v>
      </c>
      <c r="Q1060" t="n">
        <v>0</v>
      </c>
      <c r="R1060" s="2" t="inlineStr"/>
    </row>
    <row r="1061" ht="15" customHeight="1">
      <c r="A1061" t="inlineStr">
        <is>
          <t>A 9189-2023</t>
        </is>
      </c>
      <c r="B1061" s="1" t="n">
        <v>44980</v>
      </c>
      <c r="C1061" s="1" t="n">
        <v>45475</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9184-2023</t>
        </is>
      </c>
      <c r="B1062" s="1" t="n">
        <v>44980</v>
      </c>
      <c r="C1062" s="1" t="n">
        <v>45475</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9255-2023</t>
        </is>
      </c>
      <c r="B1063" s="1" t="n">
        <v>44980</v>
      </c>
      <c r="C1063" s="1" t="n">
        <v>45475</v>
      </c>
      <c r="D1063" t="inlineStr">
        <is>
          <t>STOCKHOLMS LÄN</t>
        </is>
      </c>
      <c r="E1063" t="inlineStr">
        <is>
          <t>NORRTÄLJE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9329-2023</t>
        </is>
      </c>
      <c r="B1064" s="1" t="n">
        <v>44980</v>
      </c>
      <c r="C1064" s="1" t="n">
        <v>45475</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9793-2023</t>
        </is>
      </c>
      <c r="B1065" s="1" t="n">
        <v>44984</v>
      </c>
      <c r="C1065" s="1" t="n">
        <v>45475</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9914-2023</t>
        </is>
      </c>
      <c r="B1066" s="1" t="n">
        <v>44985</v>
      </c>
      <c r="C1066" s="1" t="n">
        <v>45475</v>
      </c>
      <c r="D1066" t="inlineStr">
        <is>
          <t>STOCKHOLMS LÄN</t>
        </is>
      </c>
      <c r="E1066" t="inlineStr">
        <is>
          <t>NORRTÄLJE</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9965-2023</t>
        </is>
      </c>
      <c r="B1067" s="1" t="n">
        <v>44985</v>
      </c>
      <c r="C1067" s="1" t="n">
        <v>45475</v>
      </c>
      <c r="D1067" t="inlineStr">
        <is>
          <t>STOCKHOLMS LÄN</t>
        </is>
      </c>
      <c r="E1067" t="inlineStr">
        <is>
          <t>NORRTÄLJE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9995-2023</t>
        </is>
      </c>
      <c r="B1068" s="1" t="n">
        <v>44985</v>
      </c>
      <c r="C1068" s="1" t="n">
        <v>45475</v>
      </c>
      <c r="D1068" t="inlineStr">
        <is>
          <t>STOCKHOLMS LÄN</t>
        </is>
      </c>
      <c r="E1068" t="inlineStr">
        <is>
          <t>NORRTÄLJE</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10036-2023</t>
        </is>
      </c>
      <c r="B1069" s="1" t="n">
        <v>44985</v>
      </c>
      <c r="C1069" s="1" t="n">
        <v>45475</v>
      </c>
      <c r="D1069" t="inlineStr">
        <is>
          <t>STOCKHOLMS LÄN</t>
        </is>
      </c>
      <c r="E1069" t="inlineStr">
        <is>
          <t>NORRTÄLJE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10039-2023</t>
        </is>
      </c>
      <c r="B1070" s="1" t="n">
        <v>44985</v>
      </c>
      <c r="C1070" s="1" t="n">
        <v>45475</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9945-2023</t>
        </is>
      </c>
      <c r="B1071" s="1" t="n">
        <v>44985</v>
      </c>
      <c r="C1071" s="1" t="n">
        <v>45475</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10105-2023</t>
        </is>
      </c>
      <c r="B1072" s="1" t="n">
        <v>44986</v>
      </c>
      <c r="C1072" s="1" t="n">
        <v>45475</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10215-2023</t>
        </is>
      </c>
      <c r="B1073" s="1" t="n">
        <v>44986</v>
      </c>
      <c r="C1073" s="1" t="n">
        <v>45475</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11280-2023</t>
        </is>
      </c>
      <c r="B1074" s="1" t="n">
        <v>44992</v>
      </c>
      <c r="C1074" s="1" t="n">
        <v>45475</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11499-2023</t>
        </is>
      </c>
      <c r="B1075" s="1" t="n">
        <v>44993</v>
      </c>
      <c r="C1075" s="1" t="n">
        <v>45475</v>
      </c>
      <c r="D1075" t="inlineStr">
        <is>
          <t>STOCKHOLMS LÄN</t>
        </is>
      </c>
      <c r="E1075" t="inlineStr">
        <is>
          <t>NORRTÄLJE</t>
        </is>
      </c>
      <c r="F1075" t="inlineStr">
        <is>
          <t>Holmen skog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11844-2023</t>
        </is>
      </c>
      <c r="B1076" s="1" t="n">
        <v>44995</v>
      </c>
      <c r="C1076" s="1" t="n">
        <v>45475</v>
      </c>
      <c r="D1076" t="inlineStr">
        <is>
          <t>STOCKHOLMS LÄN</t>
        </is>
      </c>
      <c r="E1076" t="inlineStr">
        <is>
          <t>NORRTÄLJE</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11940-2023</t>
        </is>
      </c>
      <c r="B1077" s="1" t="n">
        <v>44995</v>
      </c>
      <c r="C1077" s="1" t="n">
        <v>45475</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11852-2023</t>
        </is>
      </c>
      <c r="B1078" s="1" t="n">
        <v>44995</v>
      </c>
      <c r="C1078" s="1" t="n">
        <v>45475</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12609-2023</t>
        </is>
      </c>
      <c r="B1079" s="1" t="n">
        <v>45000</v>
      </c>
      <c r="C1079" s="1" t="n">
        <v>45475</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12756-2023</t>
        </is>
      </c>
      <c r="B1080" s="1" t="n">
        <v>45000</v>
      </c>
      <c r="C1080" s="1" t="n">
        <v>45475</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13072-2023</t>
        </is>
      </c>
      <c r="B1081" s="1" t="n">
        <v>45002</v>
      </c>
      <c r="C1081" s="1" t="n">
        <v>45475</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13354-2023</t>
        </is>
      </c>
      <c r="B1082" s="1" t="n">
        <v>45005</v>
      </c>
      <c r="C1082" s="1" t="n">
        <v>45475</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13360-2023</t>
        </is>
      </c>
      <c r="B1083" s="1" t="n">
        <v>45005</v>
      </c>
      <c r="C1083" s="1" t="n">
        <v>45475</v>
      </c>
      <c r="D1083" t="inlineStr">
        <is>
          <t>STOCKHOLMS LÄN</t>
        </is>
      </c>
      <c r="E1083" t="inlineStr">
        <is>
          <t>NORRTÄLJE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13860-2023</t>
        </is>
      </c>
      <c r="B1084" s="1" t="n">
        <v>45007</v>
      </c>
      <c r="C1084" s="1" t="n">
        <v>45475</v>
      </c>
      <c r="D1084" t="inlineStr">
        <is>
          <t>STOCKHOLMS LÄN</t>
        </is>
      </c>
      <c r="E1084" t="inlineStr">
        <is>
          <t>NORRTÄLJE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13957-2023</t>
        </is>
      </c>
      <c r="B1085" s="1" t="n">
        <v>45008</v>
      </c>
      <c r="C1085" s="1" t="n">
        <v>45475</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13947-2023</t>
        </is>
      </c>
      <c r="B1086" s="1" t="n">
        <v>45008</v>
      </c>
      <c r="C1086" s="1" t="n">
        <v>45475</v>
      </c>
      <c r="D1086" t="inlineStr">
        <is>
          <t>STOCKHOLMS LÄN</t>
        </is>
      </c>
      <c r="E1086" t="inlineStr">
        <is>
          <t>NORRTÄLJE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13977-2023</t>
        </is>
      </c>
      <c r="B1087" s="1" t="n">
        <v>45008</v>
      </c>
      <c r="C1087" s="1" t="n">
        <v>45475</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14135-2023</t>
        </is>
      </c>
      <c r="B1088" s="1" t="n">
        <v>45009</v>
      </c>
      <c r="C1088" s="1" t="n">
        <v>45475</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15217-2023</t>
        </is>
      </c>
      <c r="B1089" s="1" t="n">
        <v>45019</v>
      </c>
      <c r="C1089" s="1" t="n">
        <v>45475</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15256-2023</t>
        </is>
      </c>
      <c r="B1090" s="1" t="n">
        <v>45019</v>
      </c>
      <c r="C1090" s="1" t="n">
        <v>45475</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15447-2023</t>
        </is>
      </c>
      <c r="B1091" s="1" t="n">
        <v>45020</v>
      </c>
      <c r="C1091" s="1" t="n">
        <v>45475</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15459-2023</t>
        </is>
      </c>
      <c r="B1092" s="1" t="n">
        <v>45020</v>
      </c>
      <c r="C1092" s="1" t="n">
        <v>45475</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15655-2023</t>
        </is>
      </c>
      <c r="B1093" s="1" t="n">
        <v>45021</v>
      </c>
      <c r="C1093" s="1" t="n">
        <v>45475</v>
      </c>
      <c r="D1093" t="inlineStr">
        <is>
          <t>STOCKHOLMS LÄN</t>
        </is>
      </c>
      <c r="E1093" t="inlineStr">
        <is>
          <t>NORRTÄLJE</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15905-2023</t>
        </is>
      </c>
      <c r="B1094" s="1" t="n">
        <v>45022</v>
      </c>
      <c r="C1094" s="1" t="n">
        <v>45475</v>
      </c>
      <c r="D1094" t="inlineStr">
        <is>
          <t>STOCKHOLMS LÄN</t>
        </is>
      </c>
      <c r="E1094" t="inlineStr">
        <is>
          <t>NORRTÄLJE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15915-2023</t>
        </is>
      </c>
      <c r="B1095" s="1" t="n">
        <v>45022</v>
      </c>
      <c r="C1095" s="1" t="n">
        <v>45475</v>
      </c>
      <c r="D1095" t="inlineStr">
        <is>
          <t>STOCKHOLMS LÄN</t>
        </is>
      </c>
      <c r="E1095" t="inlineStr">
        <is>
          <t>NORRTÄLJE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15956-2023</t>
        </is>
      </c>
      <c r="B1096" s="1" t="n">
        <v>45022</v>
      </c>
      <c r="C1096" s="1" t="n">
        <v>45475</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15954-2023</t>
        </is>
      </c>
      <c r="B1097" s="1" t="n">
        <v>45022</v>
      </c>
      <c r="C1097" s="1" t="n">
        <v>45475</v>
      </c>
      <c r="D1097" t="inlineStr">
        <is>
          <t>STOCKHOLMS LÄN</t>
        </is>
      </c>
      <c r="E1097" t="inlineStr">
        <is>
          <t>NORRTÄLJE</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16006-2023</t>
        </is>
      </c>
      <c r="B1098" s="1" t="n">
        <v>45025</v>
      </c>
      <c r="C1098" s="1" t="n">
        <v>45475</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16980-2023</t>
        </is>
      </c>
      <c r="B1099" s="1" t="n">
        <v>45033</v>
      </c>
      <c r="C1099" s="1" t="n">
        <v>45475</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16977-2023</t>
        </is>
      </c>
      <c r="B1100" s="1" t="n">
        <v>45033</v>
      </c>
      <c r="C1100" s="1" t="n">
        <v>45475</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17140-2023</t>
        </is>
      </c>
      <c r="B1101" s="1" t="n">
        <v>45034</v>
      </c>
      <c r="C1101" s="1" t="n">
        <v>45475</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17133-2023</t>
        </is>
      </c>
      <c r="B1102" s="1" t="n">
        <v>45034</v>
      </c>
      <c r="C1102" s="1" t="n">
        <v>45475</v>
      </c>
      <c r="D1102" t="inlineStr">
        <is>
          <t>STOCKHOLMS LÄN</t>
        </is>
      </c>
      <c r="E1102" t="inlineStr">
        <is>
          <t>NORRTÄLJE</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17919-2023</t>
        </is>
      </c>
      <c r="B1103" s="1" t="n">
        <v>45040</v>
      </c>
      <c r="C1103" s="1" t="n">
        <v>45475</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17939-2023</t>
        </is>
      </c>
      <c r="B1104" s="1" t="n">
        <v>45040</v>
      </c>
      <c r="C1104" s="1" t="n">
        <v>45475</v>
      </c>
      <c r="D1104" t="inlineStr">
        <is>
          <t>STOCKHOLMS LÄN</t>
        </is>
      </c>
      <c r="E1104" t="inlineStr">
        <is>
          <t>NORRTÄLJE</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17930-2023</t>
        </is>
      </c>
      <c r="B1105" s="1" t="n">
        <v>45040</v>
      </c>
      <c r="C1105" s="1" t="n">
        <v>45475</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17984-2023</t>
        </is>
      </c>
      <c r="B1106" s="1" t="n">
        <v>45040</v>
      </c>
      <c r="C1106" s="1" t="n">
        <v>45475</v>
      </c>
      <c r="D1106" t="inlineStr">
        <is>
          <t>STOCKHOLMS LÄN</t>
        </is>
      </c>
      <c r="E1106" t="inlineStr">
        <is>
          <t>NORRTÄLJE</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18023-2023</t>
        </is>
      </c>
      <c r="B1107" s="1" t="n">
        <v>45040</v>
      </c>
      <c r="C1107" s="1" t="n">
        <v>45475</v>
      </c>
      <c r="D1107" t="inlineStr">
        <is>
          <t>STOCKHOLMS LÄN</t>
        </is>
      </c>
      <c r="E1107" t="inlineStr">
        <is>
          <t>NORRTÄLJE</t>
        </is>
      </c>
      <c r="F1107" t="inlineStr">
        <is>
          <t>Sveaskog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18541-2023</t>
        </is>
      </c>
      <c r="B1108" s="1" t="n">
        <v>45042</v>
      </c>
      <c r="C1108" s="1" t="n">
        <v>45475</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18540-2023</t>
        </is>
      </c>
      <c r="B1109" s="1" t="n">
        <v>45042</v>
      </c>
      <c r="C1109" s="1" t="n">
        <v>45475</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18895-2023</t>
        </is>
      </c>
      <c r="B1110" s="1" t="n">
        <v>45044</v>
      </c>
      <c r="C1110" s="1" t="n">
        <v>45475</v>
      </c>
      <c r="D1110" t="inlineStr">
        <is>
          <t>STOCKHOLMS LÄN</t>
        </is>
      </c>
      <c r="E1110" t="inlineStr">
        <is>
          <t>NORRTÄLJE</t>
        </is>
      </c>
      <c r="F1110" t="inlineStr">
        <is>
          <t>Kommuner</t>
        </is>
      </c>
      <c r="G1110" t="n">
        <v>12.7</v>
      </c>
      <c r="H1110" t="n">
        <v>0</v>
      </c>
      <c r="I1110" t="n">
        <v>0</v>
      </c>
      <c r="J1110" t="n">
        <v>0</v>
      </c>
      <c r="K1110" t="n">
        <v>0</v>
      </c>
      <c r="L1110" t="n">
        <v>0</v>
      </c>
      <c r="M1110" t="n">
        <v>0</v>
      </c>
      <c r="N1110" t="n">
        <v>0</v>
      </c>
      <c r="O1110" t="n">
        <v>0</v>
      </c>
      <c r="P1110" t="n">
        <v>0</v>
      </c>
      <c r="Q1110" t="n">
        <v>0</v>
      </c>
      <c r="R1110" s="2" t="inlineStr"/>
    </row>
    <row r="1111" ht="15" customHeight="1">
      <c r="A1111" t="inlineStr">
        <is>
          <t>A 19074-2023</t>
        </is>
      </c>
      <c r="B1111" s="1" t="n">
        <v>45048</v>
      </c>
      <c r="C1111" s="1" t="n">
        <v>45475</v>
      </c>
      <c r="D1111" t="inlineStr">
        <is>
          <t>STOCKHOLMS LÄN</t>
        </is>
      </c>
      <c r="E1111" t="inlineStr">
        <is>
          <t>NORRTÄLJE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19058-2023</t>
        </is>
      </c>
      <c r="B1112" s="1" t="n">
        <v>45048</v>
      </c>
      <c r="C1112" s="1" t="n">
        <v>45475</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19702-2023</t>
        </is>
      </c>
      <c r="B1113" s="1" t="n">
        <v>45051</v>
      </c>
      <c r="C1113" s="1" t="n">
        <v>45475</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19706-2023</t>
        </is>
      </c>
      <c r="B1114" s="1" t="n">
        <v>45051</v>
      </c>
      <c r="C1114" s="1" t="n">
        <v>45475</v>
      </c>
      <c r="D1114" t="inlineStr">
        <is>
          <t>STOCKHOLMS LÄN</t>
        </is>
      </c>
      <c r="E1114" t="inlineStr">
        <is>
          <t>NORRTÄLJE</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19719-2023</t>
        </is>
      </c>
      <c r="B1115" s="1" t="n">
        <v>45051</v>
      </c>
      <c r="C1115" s="1" t="n">
        <v>45475</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19951-2023</t>
        </is>
      </c>
      <c r="B1116" s="1" t="n">
        <v>45054</v>
      </c>
      <c r="C1116" s="1" t="n">
        <v>45475</v>
      </c>
      <c r="D1116" t="inlineStr">
        <is>
          <t>STOCKHOLMS LÄN</t>
        </is>
      </c>
      <c r="E1116" t="inlineStr">
        <is>
          <t>NORRTÄLJE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19971-2023</t>
        </is>
      </c>
      <c r="B1117" s="1" t="n">
        <v>45054</v>
      </c>
      <c r="C1117" s="1" t="n">
        <v>45475</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19994-2023</t>
        </is>
      </c>
      <c r="B1118" s="1" t="n">
        <v>45054</v>
      </c>
      <c r="C1118" s="1" t="n">
        <v>45475</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19952-2023</t>
        </is>
      </c>
      <c r="B1119" s="1" t="n">
        <v>45054</v>
      </c>
      <c r="C1119" s="1" t="n">
        <v>45475</v>
      </c>
      <c r="D1119" t="inlineStr">
        <is>
          <t>STOCKHOLMS LÄN</t>
        </is>
      </c>
      <c r="E1119" t="inlineStr">
        <is>
          <t>NORRTÄLJE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20004-2023</t>
        </is>
      </c>
      <c r="B1120" s="1" t="n">
        <v>45054</v>
      </c>
      <c r="C1120" s="1" t="n">
        <v>45475</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20015-2023</t>
        </is>
      </c>
      <c r="B1121" s="1" t="n">
        <v>45054</v>
      </c>
      <c r="C1121" s="1" t="n">
        <v>45475</v>
      </c>
      <c r="D1121" t="inlineStr">
        <is>
          <t>STOCKHOLMS LÄN</t>
        </is>
      </c>
      <c r="E1121" t="inlineStr">
        <is>
          <t>NORRTÄLJE</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20144-2023</t>
        </is>
      </c>
      <c r="B1122" s="1" t="n">
        <v>45055</v>
      </c>
      <c r="C1122" s="1" t="n">
        <v>45475</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20304-2023</t>
        </is>
      </c>
      <c r="B1123" s="1" t="n">
        <v>45056</v>
      </c>
      <c r="C1123" s="1" t="n">
        <v>45475</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20535-2023</t>
        </is>
      </c>
      <c r="B1124" s="1" t="n">
        <v>45057</v>
      </c>
      <c r="C1124" s="1" t="n">
        <v>45475</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20852-2023</t>
        </is>
      </c>
      <c r="B1125" s="1" t="n">
        <v>45058</v>
      </c>
      <c r="C1125" s="1" t="n">
        <v>45475</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21237-2023</t>
        </is>
      </c>
      <c r="B1126" s="1" t="n">
        <v>45062</v>
      </c>
      <c r="C1126" s="1" t="n">
        <v>45475</v>
      </c>
      <c r="D1126" t="inlineStr">
        <is>
          <t>STOCKHOLMS LÄN</t>
        </is>
      </c>
      <c r="E1126" t="inlineStr">
        <is>
          <t>NORRTÄLJE</t>
        </is>
      </c>
      <c r="F1126" t="inlineStr">
        <is>
          <t>Övriga Aktiebolag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21386-2023</t>
        </is>
      </c>
      <c r="B1127" s="1" t="n">
        <v>45063</v>
      </c>
      <c r="C1127" s="1" t="n">
        <v>45475</v>
      </c>
      <c r="D1127" t="inlineStr">
        <is>
          <t>STOCKHOLMS LÄN</t>
        </is>
      </c>
      <c r="E1127" t="inlineStr">
        <is>
          <t>NORRTÄLJE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21435-2023</t>
        </is>
      </c>
      <c r="B1128" s="1" t="n">
        <v>45063</v>
      </c>
      <c r="C1128" s="1" t="n">
        <v>45475</v>
      </c>
      <c r="D1128" t="inlineStr">
        <is>
          <t>STOCKHOLMS LÄN</t>
        </is>
      </c>
      <c r="E1128" t="inlineStr">
        <is>
          <t>NORRTÄLJE</t>
        </is>
      </c>
      <c r="G1128" t="n">
        <v>19.1</v>
      </c>
      <c r="H1128" t="n">
        <v>0</v>
      </c>
      <c r="I1128" t="n">
        <v>0</v>
      </c>
      <c r="J1128" t="n">
        <v>0</v>
      </c>
      <c r="K1128" t="n">
        <v>0</v>
      </c>
      <c r="L1128" t="n">
        <v>0</v>
      </c>
      <c r="M1128" t="n">
        <v>0</v>
      </c>
      <c r="N1128" t="n">
        <v>0</v>
      </c>
      <c r="O1128" t="n">
        <v>0</v>
      </c>
      <c r="P1128" t="n">
        <v>0</v>
      </c>
      <c r="Q1128" t="n">
        <v>0</v>
      </c>
      <c r="R1128" s="2" t="inlineStr"/>
    </row>
    <row r="1129" ht="15" customHeight="1">
      <c r="A1129" t="inlineStr">
        <is>
          <t>A 21732-2023</t>
        </is>
      </c>
      <c r="B1129" s="1" t="n">
        <v>45063</v>
      </c>
      <c r="C1129" s="1" t="n">
        <v>45475</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21733-2023</t>
        </is>
      </c>
      <c r="B1130" s="1" t="n">
        <v>45063</v>
      </c>
      <c r="C1130" s="1" t="n">
        <v>45475</v>
      </c>
      <c r="D1130" t="inlineStr">
        <is>
          <t>STOCKHOLMS LÄN</t>
        </is>
      </c>
      <c r="E1130" t="inlineStr">
        <is>
          <t>NORRTÄLJE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21731-2023</t>
        </is>
      </c>
      <c r="B1131" s="1" t="n">
        <v>45063</v>
      </c>
      <c r="C1131" s="1" t="n">
        <v>45475</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21718-2023</t>
        </is>
      </c>
      <c r="B1132" s="1" t="n">
        <v>45065</v>
      </c>
      <c r="C1132" s="1" t="n">
        <v>45475</v>
      </c>
      <c r="D1132" t="inlineStr">
        <is>
          <t>STOCKHOLMS LÄN</t>
        </is>
      </c>
      <c r="E1132" t="inlineStr">
        <is>
          <t>NORRTÄLJE</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21719-2023</t>
        </is>
      </c>
      <c r="B1133" s="1" t="n">
        <v>45065</v>
      </c>
      <c r="C1133" s="1" t="n">
        <v>45475</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21745-2023</t>
        </is>
      </c>
      <c r="B1134" s="1" t="n">
        <v>45065</v>
      </c>
      <c r="C1134" s="1" t="n">
        <v>45475</v>
      </c>
      <c r="D1134" t="inlineStr">
        <is>
          <t>STOCKHOLMS LÄN</t>
        </is>
      </c>
      <c r="E1134" t="inlineStr">
        <is>
          <t>NORRTÄLJE</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21720-2023</t>
        </is>
      </c>
      <c r="B1135" s="1" t="n">
        <v>45065</v>
      </c>
      <c r="C1135" s="1" t="n">
        <v>45475</v>
      </c>
      <c r="D1135" t="inlineStr">
        <is>
          <t>STOCKHOLMS LÄN</t>
        </is>
      </c>
      <c r="E1135" t="inlineStr">
        <is>
          <t>NORRTÄLJE</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21716-2023</t>
        </is>
      </c>
      <c r="B1136" s="1" t="n">
        <v>45065</v>
      </c>
      <c r="C1136" s="1" t="n">
        <v>45475</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21894-2023</t>
        </is>
      </c>
      <c r="B1137" s="1" t="n">
        <v>45068</v>
      </c>
      <c r="C1137" s="1" t="n">
        <v>45475</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21832-2023</t>
        </is>
      </c>
      <c r="B1138" s="1" t="n">
        <v>45068</v>
      </c>
      <c r="C1138" s="1" t="n">
        <v>45475</v>
      </c>
      <c r="D1138" t="inlineStr">
        <is>
          <t>STOCKHOLMS LÄN</t>
        </is>
      </c>
      <c r="E1138" t="inlineStr">
        <is>
          <t>NORRTÄLJE</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21825-2023</t>
        </is>
      </c>
      <c r="B1139" s="1" t="n">
        <v>45068</v>
      </c>
      <c r="C1139" s="1" t="n">
        <v>45475</v>
      </c>
      <c r="D1139" t="inlineStr">
        <is>
          <t>STOCKHOLMS LÄN</t>
        </is>
      </c>
      <c r="E1139" t="inlineStr">
        <is>
          <t>NORRTÄLJE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21897-2023</t>
        </is>
      </c>
      <c r="B1140" s="1" t="n">
        <v>45068</v>
      </c>
      <c r="C1140" s="1" t="n">
        <v>45475</v>
      </c>
      <c r="D1140" t="inlineStr">
        <is>
          <t>STOCKHOLMS LÄN</t>
        </is>
      </c>
      <c r="E1140" t="inlineStr">
        <is>
          <t>NORRTÄLJE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21993-2023</t>
        </is>
      </c>
      <c r="B1141" s="1" t="n">
        <v>45068</v>
      </c>
      <c r="C1141" s="1" t="n">
        <v>45475</v>
      </c>
      <c r="D1141" t="inlineStr">
        <is>
          <t>STOCKHOLMS LÄN</t>
        </is>
      </c>
      <c r="E1141" t="inlineStr">
        <is>
          <t>NORRTÄLJE</t>
        </is>
      </c>
      <c r="G1141" t="n">
        <v>17.2</v>
      </c>
      <c r="H1141" t="n">
        <v>0</v>
      </c>
      <c r="I1141" t="n">
        <v>0</v>
      </c>
      <c r="J1141" t="n">
        <v>0</v>
      </c>
      <c r="K1141" t="n">
        <v>0</v>
      </c>
      <c r="L1141" t="n">
        <v>0</v>
      </c>
      <c r="M1141" t="n">
        <v>0</v>
      </c>
      <c r="N1141" t="n">
        <v>0</v>
      </c>
      <c r="O1141" t="n">
        <v>0</v>
      </c>
      <c r="P1141" t="n">
        <v>0</v>
      </c>
      <c r="Q1141" t="n">
        <v>0</v>
      </c>
      <c r="R1141" s="2" t="inlineStr"/>
    </row>
    <row r="1142" ht="15" customHeight="1">
      <c r="A1142" t="inlineStr">
        <is>
          <t>A 21961-2023</t>
        </is>
      </c>
      <c r="B1142" s="1" t="n">
        <v>45068</v>
      </c>
      <c r="C1142" s="1" t="n">
        <v>45475</v>
      </c>
      <c r="D1142" t="inlineStr">
        <is>
          <t>STOCKHOLMS LÄN</t>
        </is>
      </c>
      <c r="E1142" t="inlineStr">
        <is>
          <t>NORRTÄLJE</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22157-2023</t>
        </is>
      </c>
      <c r="B1143" s="1" t="n">
        <v>45069</v>
      </c>
      <c r="C1143" s="1" t="n">
        <v>45475</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c r="U1143">
        <f>HYPERLINK("https://klasma.github.io/Logging_0188/knärot/A 22157-2023 karta knärot.png", "A 22157-2023")</f>
        <v/>
      </c>
      <c r="V1143">
        <f>HYPERLINK("https://klasma.github.io/Logging_0188/klagomål/A 22157-2023 FSC-klagomål.docx", "A 22157-2023")</f>
        <v/>
      </c>
      <c r="W1143">
        <f>HYPERLINK("https://klasma.github.io/Logging_0188/klagomålsmail/A 22157-2023 FSC-klagomål mail.docx", "A 22157-2023")</f>
        <v/>
      </c>
      <c r="X1143">
        <f>HYPERLINK("https://klasma.github.io/Logging_0188/tillsyn/A 22157-2023 tillsynsbegäran.docx", "A 22157-2023")</f>
        <v/>
      </c>
      <c r="Y1143">
        <f>HYPERLINK("https://klasma.github.io/Logging_0188/tillsynsmail/A 22157-2023 tillsynsbegäran mail.docx", "A 22157-2023")</f>
        <v/>
      </c>
    </row>
    <row r="1144" ht="15" customHeight="1">
      <c r="A1144" t="inlineStr">
        <is>
          <t>A 22175-2023</t>
        </is>
      </c>
      <c r="B1144" s="1" t="n">
        <v>45069</v>
      </c>
      <c r="C1144" s="1" t="n">
        <v>45475</v>
      </c>
      <c r="D1144" t="inlineStr">
        <is>
          <t>STOCKHOLMS LÄN</t>
        </is>
      </c>
      <c r="E1144" t="inlineStr">
        <is>
          <t>NORRTÄLJE</t>
        </is>
      </c>
      <c r="G1144" t="n">
        <v>32.7</v>
      </c>
      <c r="H1144" t="n">
        <v>0</v>
      </c>
      <c r="I1144" t="n">
        <v>0</v>
      </c>
      <c r="J1144" t="n">
        <v>0</v>
      </c>
      <c r="K1144" t="n">
        <v>0</v>
      </c>
      <c r="L1144" t="n">
        <v>0</v>
      </c>
      <c r="M1144" t="n">
        <v>0</v>
      </c>
      <c r="N1144" t="n">
        <v>0</v>
      </c>
      <c r="O1144" t="n">
        <v>0</v>
      </c>
      <c r="P1144" t="n">
        <v>0</v>
      </c>
      <c r="Q1144" t="n">
        <v>0</v>
      </c>
      <c r="R1144" s="2" t="inlineStr"/>
    </row>
    <row r="1145" ht="15" customHeight="1">
      <c r="A1145" t="inlineStr">
        <is>
          <t>A 22249-2023</t>
        </is>
      </c>
      <c r="B1145" s="1" t="n">
        <v>45070</v>
      </c>
      <c r="C1145" s="1" t="n">
        <v>45475</v>
      </c>
      <c r="D1145" t="inlineStr">
        <is>
          <t>STOCKHOLMS LÄN</t>
        </is>
      </c>
      <c r="E1145" t="inlineStr">
        <is>
          <t>NORRTÄLJE</t>
        </is>
      </c>
      <c r="F1145" t="inlineStr">
        <is>
          <t>Övriga Aktiebolag</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22398-2023</t>
        </is>
      </c>
      <c r="B1146" s="1" t="n">
        <v>45070</v>
      </c>
      <c r="C1146" s="1" t="n">
        <v>45475</v>
      </c>
      <c r="D1146" t="inlineStr">
        <is>
          <t>STOCKHOLMS LÄN</t>
        </is>
      </c>
      <c r="E1146" t="inlineStr">
        <is>
          <t>NORRTÄLJE</t>
        </is>
      </c>
      <c r="F1146" t="inlineStr">
        <is>
          <t>Övriga Aktiebolag</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22376-2023</t>
        </is>
      </c>
      <c r="B1147" s="1" t="n">
        <v>45070</v>
      </c>
      <c r="C1147" s="1" t="n">
        <v>45475</v>
      </c>
      <c r="D1147" t="inlineStr">
        <is>
          <t>STOCKHOLMS LÄN</t>
        </is>
      </c>
      <c r="E1147" t="inlineStr">
        <is>
          <t>NORRTÄLJE</t>
        </is>
      </c>
      <c r="F1147" t="inlineStr">
        <is>
          <t>Kommuner</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22456-2023</t>
        </is>
      </c>
      <c r="B1148" s="1" t="n">
        <v>45070</v>
      </c>
      <c r="C1148" s="1" t="n">
        <v>45475</v>
      </c>
      <c r="D1148" t="inlineStr">
        <is>
          <t>STOCKHOLMS LÄN</t>
        </is>
      </c>
      <c r="E1148" t="inlineStr">
        <is>
          <t>NORRTÄLJE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22378-2023</t>
        </is>
      </c>
      <c r="B1149" s="1" t="n">
        <v>45070</v>
      </c>
      <c r="C1149" s="1" t="n">
        <v>45475</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22406-2023</t>
        </is>
      </c>
      <c r="B1150" s="1" t="n">
        <v>45070</v>
      </c>
      <c r="C1150" s="1" t="n">
        <v>45475</v>
      </c>
      <c r="D1150" t="inlineStr">
        <is>
          <t>STOCKHOLMS LÄN</t>
        </is>
      </c>
      <c r="E1150" t="inlineStr">
        <is>
          <t>NORRTÄLJE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22553-2023</t>
        </is>
      </c>
      <c r="B1151" s="1" t="n">
        <v>45071</v>
      </c>
      <c r="C1151" s="1" t="n">
        <v>45475</v>
      </c>
      <c r="D1151" t="inlineStr">
        <is>
          <t>STOCKHOLMS LÄN</t>
        </is>
      </c>
      <c r="E1151" t="inlineStr">
        <is>
          <t>NORRTÄLJE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22962-2023</t>
        </is>
      </c>
      <c r="B1152" s="1" t="n">
        <v>45072</v>
      </c>
      <c r="C1152" s="1" t="n">
        <v>45475</v>
      </c>
      <c r="D1152" t="inlineStr">
        <is>
          <t>STOCKHOLMS LÄN</t>
        </is>
      </c>
      <c r="E1152" t="inlineStr">
        <is>
          <t>NORRTÄLJE</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23056-2023</t>
        </is>
      </c>
      <c r="B1153" s="1" t="n">
        <v>45075</v>
      </c>
      <c r="C1153" s="1" t="n">
        <v>45475</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23060-2023</t>
        </is>
      </c>
      <c r="B1154" s="1" t="n">
        <v>45075</v>
      </c>
      <c r="C1154" s="1" t="n">
        <v>45475</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23070-2023</t>
        </is>
      </c>
      <c r="B1155" s="1" t="n">
        <v>45075</v>
      </c>
      <c r="C1155" s="1" t="n">
        <v>45475</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23130-2023</t>
        </is>
      </c>
      <c r="B1156" s="1" t="n">
        <v>45075</v>
      </c>
      <c r="C1156" s="1" t="n">
        <v>45475</v>
      </c>
      <c r="D1156" t="inlineStr">
        <is>
          <t>STOCKHOLMS LÄN</t>
        </is>
      </c>
      <c r="E1156" t="inlineStr">
        <is>
          <t>NORRTÄLJE</t>
        </is>
      </c>
      <c r="F1156" t="inlineStr">
        <is>
          <t>Kommuner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23265-2023</t>
        </is>
      </c>
      <c r="B1157" s="1" t="n">
        <v>45075</v>
      </c>
      <c r="C1157" s="1" t="n">
        <v>45475</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23269-2023</t>
        </is>
      </c>
      <c r="B1158" s="1" t="n">
        <v>45075</v>
      </c>
      <c r="C1158" s="1" t="n">
        <v>45475</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23273-2023</t>
        </is>
      </c>
      <c r="B1159" s="1" t="n">
        <v>45076</v>
      </c>
      <c r="C1159" s="1" t="n">
        <v>45475</v>
      </c>
      <c r="D1159" t="inlineStr">
        <is>
          <t>STOCKHOLMS LÄN</t>
        </is>
      </c>
      <c r="E1159" t="inlineStr">
        <is>
          <t>NORRTÄLJE</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23134-2023</t>
        </is>
      </c>
      <c r="B1160" s="1" t="n">
        <v>45075</v>
      </c>
      <c r="C1160" s="1" t="n">
        <v>45475</v>
      </c>
      <c r="D1160" t="inlineStr">
        <is>
          <t>STOCKHOLMS LÄN</t>
        </is>
      </c>
      <c r="E1160" t="inlineStr">
        <is>
          <t>NORRTÄLJE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23263-2023</t>
        </is>
      </c>
      <c r="B1161" s="1" t="n">
        <v>45075</v>
      </c>
      <c r="C1161" s="1" t="n">
        <v>45475</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23267-2023</t>
        </is>
      </c>
      <c r="B1162" s="1" t="n">
        <v>45075</v>
      </c>
      <c r="C1162" s="1" t="n">
        <v>45475</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23271-2023</t>
        </is>
      </c>
      <c r="B1163" s="1" t="n">
        <v>45075</v>
      </c>
      <c r="C1163" s="1" t="n">
        <v>45475</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23264-2023</t>
        </is>
      </c>
      <c r="B1164" s="1" t="n">
        <v>45075</v>
      </c>
      <c r="C1164" s="1" t="n">
        <v>45475</v>
      </c>
      <c r="D1164" t="inlineStr">
        <is>
          <t>STOCKHOLMS LÄN</t>
        </is>
      </c>
      <c r="E1164" t="inlineStr">
        <is>
          <t>NORRTÄLJE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23268-2023</t>
        </is>
      </c>
      <c r="B1165" s="1" t="n">
        <v>45075</v>
      </c>
      <c r="C1165" s="1" t="n">
        <v>45475</v>
      </c>
      <c r="D1165" t="inlineStr">
        <is>
          <t>STOCKHOLMS LÄN</t>
        </is>
      </c>
      <c r="E1165" t="inlineStr">
        <is>
          <t>NORRTÄLJE</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23272-2023</t>
        </is>
      </c>
      <c r="B1166" s="1" t="n">
        <v>45075</v>
      </c>
      <c r="C1166" s="1" t="n">
        <v>45475</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23262-2023</t>
        </is>
      </c>
      <c r="B1167" s="1" t="n">
        <v>45075</v>
      </c>
      <c r="C1167" s="1" t="n">
        <v>45475</v>
      </c>
      <c r="D1167" t="inlineStr">
        <is>
          <t>STOCKHOLMS LÄN</t>
        </is>
      </c>
      <c r="E1167" t="inlineStr">
        <is>
          <t>NORRTÄLJE</t>
        </is>
      </c>
      <c r="F1167" t="inlineStr">
        <is>
          <t>Kommuner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23266-2023</t>
        </is>
      </c>
      <c r="B1168" s="1" t="n">
        <v>45075</v>
      </c>
      <c r="C1168" s="1" t="n">
        <v>45475</v>
      </c>
      <c r="D1168" t="inlineStr">
        <is>
          <t>STOCKHOLMS LÄN</t>
        </is>
      </c>
      <c r="E1168" t="inlineStr">
        <is>
          <t>NORRTÄLJE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23270-2023</t>
        </is>
      </c>
      <c r="B1169" s="1" t="n">
        <v>45075</v>
      </c>
      <c r="C1169" s="1" t="n">
        <v>45475</v>
      </c>
      <c r="D1169" t="inlineStr">
        <is>
          <t>STOCKHOLMS LÄN</t>
        </is>
      </c>
      <c r="E1169" t="inlineStr">
        <is>
          <t>NORRTÄLJE</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23274-2023</t>
        </is>
      </c>
      <c r="B1170" s="1" t="n">
        <v>45076</v>
      </c>
      <c r="C1170" s="1" t="n">
        <v>45475</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23699-2023</t>
        </is>
      </c>
      <c r="B1171" s="1" t="n">
        <v>45077</v>
      </c>
      <c r="C1171" s="1" t="n">
        <v>45475</v>
      </c>
      <c r="D1171" t="inlineStr">
        <is>
          <t>STOCKHOLMS LÄN</t>
        </is>
      </c>
      <c r="E1171" t="inlineStr">
        <is>
          <t>NORRTÄLJE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24129-2023</t>
        </is>
      </c>
      <c r="B1172" s="1" t="n">
        <v>45079</v>
      </c>
      <c r="C1172" s="1" t="n">
        <v>45475</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24330-2023</t>
        </is>
      </c>
      <c r="B1173" s="1" t="n">
        <v>45081</v>
      </c>
      <c r="C1173" s="1" t="n">
        <v>45475</v>
      </c>
      <c r="D1173" t="inlineStr">
        <is>
          <t>STOCKHOLMS LÄN</t>
        </is>
      </c>
      <c r="E1173" t="inlineStr">
        <is>
          <t>NORRTÄLJE</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24520-2023</t>
        </is>
      </c>
      <c r="B1174" s="1" t="n">
        <v>45082</v>
      </c>
      <c r="C1174" s="1" t="n">
        <v>45475</v>
      </c>
      <c r="D1174" t="inlineStr">
        <is>
          <t>STOCKHOLMS LÄN</t>
        </is>
      </c>
      <c r="E1174" t="inlineStr">
        <is>
          <t>NORRTÄLJE</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24501-2023</t>
        </is>
      </c>
      <c r="B1175" s="1" t="n">
        <v>45082</v>
      </c>
      <c r="C1175" s="1" t="n">
        <v>45475</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24522-2023</t>
        </is>
      </c>
      <c r="B1176" s="1" t="n">
        <v>45082</v>
      </c>
      <c r="C1176" s="1" t="n">
        <v>45475</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24705-2023</t>
        </is>
      </c>
      <c r="B1177" s="1" t="n">
        <v>45084</v>
      </c>
      <c r="C1177" s="1" t="n">
        <v>45475</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24727-2023</t>
        </is>
      </c>
      <c r="B1178" s="1" t="n">
        <v>45084</v>
      </c>
      <c r="C1178" s="1" t="n">
        <v>45475</v>
      </c>
      <c r="D1178" t="inlineStr">
        <is>
          <t>STOCKHOLMS LÄN</t>
        </is>
      </c>
      <c r="E1178" t="inlineStr">
        <is>
          <t>NORRTÄLJE</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24788-2023</t>
        </is>
      </c>
      <c r="B1179" s="1" t="n">
        <v>45084</v>
      </c>
      <c r="C1179" s="1" t="n">
        <v>45475</v>
      </c>
      <c r="D1179" t="inlineStr">
        <is>
          <t>STOCKHOLMS LÄN</t>
        </is>
      </c>
      <c r="E1179" t="inlineStr">
        <is>
          <t>NORRTÄLJE</t>
        </is>
      </c>
      <c r="F1179" t="inlineStr">
        <is>
          <t>Sveaskog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24789-2023</t>
        </is>
      </c>
      <c r="B1180" s="1" t="n">
        <v>45084</v>
      </c>
      <c r="C1180" s="1" t="n">
        <v>45475</v>
      </c>
      <c r="D1180" t="inlineStr">
        <is>
          <t>STOCKHOLMS LÄN</t>
        </is>
      </c>
      <c r="E1180" t="inlineStr">
        <is>
          <t>NORRTÄLJE</t>
        </is>
      </c>
      <c r="F1180" t="inlineStr">
        <is>
          <t>Sveaskog</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24887-2023</t>
        </is>
      </c>
      <c r="B1181" s="1" t="n">
        <v>45085</v>
      </c>
      <c r="C1181" s="1" t="n">
        <v>45475</v>
      </c>
      <c r="D1181" t="inlineStr">
        <is>
          <t>STOCKHOLMS LÄN</t>
        </is>
      </c>
      <c r="E1181" t="inlineStr">
        <is>
          <t>NORRTÄLJE</t>
        </is>
      </c>
      <c r="G1181" t="n">
        <v>13.9</v>
      </c>
      <c r="H1181" t="n">
        <v>0</v>
      </c>
      <c r="I1181" t="n">
        <v>0</v>
      </c>
      <c r="J1181" t="n">
        <v>0</v>
      </c>
      <c r="K1181" t="n">
        <v>0</v>
      </c>
      <c r="L1181" t="n">
        <v>0</v>
      </c>
      <c r="M1181" t="n">
        <v>0</v>
      </c>
      <c r="N1181" t="n">
        <v>0</v>
      </c>
      <c r="O1181" t="n">
        <v>0</v>
      </c>
      <c r="P1181" t="n">
        <v>0</v>
      </c>
      <c r="Q1181" t="n">
        <v>0</v>
      </c>
      <c r="R1181" s="2" t="inlineStr"/>
    </row>
    <row r="1182" ht="15" customHeight="1">
      <c r="A1182" t="inlineStr">
        <is>
          <t>A 24933-2023</t>
        </is>
      </c>
      <c r="B1182" s="1" t="n">
        <v>45085</v>
      </c>
      <c r="C1182" s="1" t="n">
        <v>45475</v>
      </c>
      <c r="D1182" t="inlineStr">
        <is>
          <t>STOCKHOLMS LÄN</t>
        </is>
      </c>
      <c r="E1182" t="inlineStr">
        <is>
          <t>NORRTÄLJE</t>
        </is>
      </c>
      <c r="F1182" t="inlineStr">
        <is>
          <t>Holmen skog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25174-2023</t>
        </is>
      </c>
      <c r="B1183" s="1" t="n">
        <v>45086</v>
      </c>
      <c r="C1183" s="1" t="n">
        <v>45475</v>
      </c>
      <c r="D1183" t="inlineStr">
        <is>
          <t>STOCKHOLMS LÄN</t>
        </is>
      </c>
      <c r="E1183" t="inlineStr">
        <is>
          <t>NORRTÄLJE</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25094-2023</t>
        </is>
      </c>
      <c r="B1184" s="1" t="n">
        <v>45086</v>
      </c>
      <c r="C1184" s="1" t="n">
        <v>45475</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25257-2023</t>
        </is>
      </c>
      <c r="B1185" s="1" t="n">
        <v>45086</v>
      </c>
      <c r="C1185" s="1" t="n">
        <v>45475</v>
      </c>
      <c r="D1185" t="inlineStr">
        <is>
          <t>STOCKHOLMS LÄN</t>
        </is>
      </c>
      <c r="E1185" t="inlineStr">
        <is>
          <t>NORRTÄLJE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25614-2023</t>
        </is>
      </c>
      <c r="B1186" s="1" t="n">
        <v>45089</v>
      </c>
      <c r="C1186" s="1" t="n">
        <v>45475</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25625-2023</t>
        </is>
      </c>
      <c r="B1187" s="1" t="n">
        <v>45089</v>
      </c>
      <c r="C1187" s="1" t="n">
        <v>45475</v>
      </c>
      <c r="D1187" t="inlineStr">
        <is>
          <t>STOCKHOLMS LÄN</t>
        </is>
      </c>
      <c r="E1187" t="inlineStr">
        <is>
          <t>NORRTÄLJE</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25557-2023</t>
        </is>
      </c>
      <c r="B1188" s="1" t="n">
        <v>45089</v>
      </c>
      <c r="C1188" s="1" t="n">
        <v>45475</v>
      </c>
      <c r="D1188" t="inlineStr">
        <is>
          <t>STOCKHOLMS LÄN</t>
        </is>
      </c>
      <c r="E1188" t="inlineStr">
        <is>
          <t>NORRTÄLJE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25609-2023</t>
        </is>
      </c>
      <c r="B1189" s="1" t="n">
        <v>45089</v>
      </c>
      <c r="C1189" s="1" t="n">
        <v>45475</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25618-2023</t>
        </is>
      </c>
      <c r="B1190" s="1" t="n">
        <v>45089</v>
      </c>
      <c r="C1190" s="1" t="n">
        <v>45475</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25656-2023</t>
        </is>
      </c>
      <c r="B1191" s="1" t="n">
        <v>45089</v>
      </c>
      <c r="C1191" s="1" t="n">
        <v>45475</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25654-2023</t>
        </is>
      </c>
      <c r="B1192" s="1" t="n">
        <v>45089</v>
      </c>
      <c r="C1192" s="1" t="n">
        <v>45475</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25831-2023</t>
        </is>
      </c>
      <c r="B1193" s="1" t="n">
        <v>45090</v>
      </c>
      <c r="C1193" s="1" t="n">
        <v>45475</v>
      </c>
      <c r="D1193" t="inlineStr">
        <is>
          <t>STOCKHOLMS LÄN</t>
        </is>
      </c>
      <c r="E1193" t="inlineStr">
        <is>
          <t>NORRTÄLJE</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25915-2023</t>
        </is>
      </c>
      <c r="B1194" s="1" t="n">
        <v>45090</v>
      </c>
      <c r="C1194" s="1" t="n">
        <v>45475</v>
      </c>
      <c r="D1194" t="inlineStr">
        <is>
          <t>STOCKHOLMS LÄN</t>
        </is>
      </c>
      <c r="E1194" t="inlineStr">
        <is>
          <t>NORRTÄLJE</t>
        </is>
      </c>
      <c r="F1194" t="inlineStr">
        <is>
          <t>Naturvårdsverket</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26065-2023</t>
        </is>
      </c>
      <c r="B1195" s="1" t="n">
        <v>45091</v>
      </c>
      <c r="C1195" s="1" t="n">
        <v>45475</v>
      </c>
      <c r="D1195" t="inlineStr">
        <is>
          <t>STOCKHOLMS LÄN</t>
        </is>
      </c>
      <c r="E1195" t="inlineStr">
        <is>
          <t>NORRTÄLJE</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26315-2023</t>
        </is>
      </c>
      <c r="B1196" s="1" t="n">
        <v>45091</v>
      </c>
      <c r="C1196" s="1" t="n">
        <v>45475</v>
      </c>
      <c r="D1196" t="inlineStr">
        <is>
          <t>STOCKHOLMS LÄN</t>
        </is>
      </c>
      <c r="E1196" t="inlineStr">
        <is>
          <t>NORRTÄLJE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26570-2023</t>
        </is>
      </c>
      <c r="B1197" s="1" t="n">
        <v>45092</v>
      </c>
      <c r="C1197" s="1" t="n">
        <v>45475</v>
      </c>
      <c r="D1197" t="inlineStr">
        <is>
          <t>STOCKHOLMS LÄN</t>
        </is>
      </c>
      <c r="E1197" t="inlineStr">
        <is>
          <t>NORRTÄLJE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26636-2023</t>
        </is>
      </c>
      <c r="B1198" s="1" t="n">
        <v>45092</v>
      </c>
      <c r="C1198" s="1" t="n">
        <v>45475</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26640-2023</t>
        </is>
      </c>
      <c r="B1199" s="1" t="n">
        <v>45092</v>
      </c>
      <c r="C1199" s="1" t="n">
        <v>45475</v>
      </c>
      <c r="D1199" t="inlineStr">
        <is>
          <t>STOCKHOLMS LÄN</t>
        </is>
      </c>
      <c r="E1199" t="inlineStr">
        <is>
          <t>NORRTÄLJE</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26637-2023</t>
        </is>
      </c>
      <c r="B1200" s="1" t="n">
        <v>45092</v>
      </c>
      <c r="C1200" s="1" t="n">
        <v>45475</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26639-2023</t>
        </is>
      </c>
      <c r="B1201" s="1" t="n">
        <v>45092</v>
      </c>
      <c r="C1201" s="1" t="n">
        <v>45475</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27651-2023</t>
        </is>
      </c>
      <c r="B1202" s="1" t="n">
        <v>45097</v>
      </c>
      <c r="C1202" s="1" t="n">
        <v>45475</v>
      </c>
      <c r="D1202" t="inlineStr">
        <is>
          <t>STOCKHOLMS LÄN</t>
        </is>
      </c>
      <c r="E1202" t="inlineStr">
        <is>
          <t>NORRTÄLJE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28281-2023</t>
        </is>
      </c>
      <c r="B1203" s="1" t="n">
        <v>45099</v>
      </c>
      <c r="C1203" s="1" t="n">
        <v>45475</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28820-2023</t>
        </is>
      </c>
      <c r="B1204" s="1" t="n">
        <v>45104</v>
      </c>
      <c r="C1204" s="1" t="n">
        <v>45475</v>
      </c>
      <c r="D1204" t="inlineStr">
        <is>
          <t>STOCKHOLMS LÄN</t>
        </is>
      </c>
      <c r="E1204" t="inlineStr">
        <is>
          <t>NORRTÄLJE</t>
        </is>
      </c>
      <c r="F1204" t="inlineStr">
        <is>
          <t>Kommuner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28813-2023</t>
        </is>
      </c>
      <c r="B1205" s="1" t="n">
        <v>45104</v>
      </c>
      <c r="C1205" s="1" t="n">
        <v>45475</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29003-2023</t>
        </is>
      </c>
      <c r="B1206" s="1" t="n">
        <v>45104</v>
      </c>
      <c r="C1206" s="1" t="n">
        <v>45475</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28816-2023</t>
        </is>
      </c>
      <c r="B1207" s="1" t="n">
        <v>45104</v>
      </c>
      <c r="C1207" s="1" t="n">
        <v>45475</v>
      </c>
      <c r="D1207" t="inlineStr">
        <is>
          <t>STOCKHOLMS LÄN</t>
        </is>
      </c>
      <c r="E1207" t="inlineStr">
        <is>
          <t>NORRTÄLJE</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28809-2023</t>
        </is>
      </c>
      <c r="B1208" s="1" t="n">
        <v>45104</v>
      </c>
      <c r="C1208" s="1" t="n">
        <v>45475</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29254-2023</t>
        </is>
      </c>
      <c r="B1209" s="1" t="n">
        <v>45105</v>
      </c>
      <c r="C1209" s="1" t="n">
        <v>45475</v>
      </c>
      <c r="D1209" t="inlineStr">
        <is>
          <t>STOCKHOLMS LÄN</t>
        </is>
      </c>
      <c r="E1209" t="inlineStr">
        <is>
          <t>NORRTÄLJE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29433-2023</t>
        </is>
      </c>
      <c r="B1210" s="1" t="n">
        <v>45106</v>
      </c>
      <c r="C1210" s="1" t="n">
        <v>45475</v>
      </c>
      <c r="D1210" t="inlineStr">
        <is>
          <t>STOCKHOLMS LÄN</t>
        </is>
      </c>
      <c r="E1210" t="inlineStr">
        <is>
          <t>NORRTÄLJE</t>
        </is>
      </c>
      <c r="F1210" t="inlineStr">
        <is>
          <t>Övriga Aktiebolag</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29681-2023</t>
        </is>
      </c>
      <c r="B1211" s="1" t="n">
        <v>45107</v>
      </c>
      <c r="C1211" s="1" t="n">
        <v>45475</v>
      </c>
      <c r="D1211" t="inlineStr">
        <is>
          <t>STOCKHOLMS LÄN</t>
        </is>
      </c>
      <c r="E1211" t="inlineStr">
        <is>
          <t>NORRTÄLJE</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29710-2023</t>
        </is>
      </c>
      <c r="B1212" s="1" t="n">
        <v>45107</v>
      </c>
      <c r="C1212" s="1" t="n">
        <v>45475</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29714-2023</t>
        </is>
      </c>
      <c r="B1213" s="1" t="n">
        <v>45107</v>
      </c>
      <c r="C1213" s="1" t="n">
        <v>45475</v>
      </c>
      <c r="D1213" t="inlineStr">
        <is>
          <t>STOCKHOLMS LÄN</t>
        </is>
      </c>
      <c r="E1213" t="inlineStr">
        <is>
          <t>NORRTÄLJE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30116-2023</t>
        </is>
      </c>
      <c r="B1214" s="1" t="n">
        <v>45110</v>
      </c>
      <c r="C1214" s="1" t="n">
        <v>45475</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30281-2023</t>
        </is>
      </c>
      <c r="B1215" s="1" t="n">
        <v>45110</v>
      </c>
      <c r="C1215" s="1" t="n">
        <v>45475</v>
      </c>
      <c r="D1215" t="inlineStr">
        <is>
          <t>STOCKHOLMS LÄN</t>
        </is>
      </c>
      <c r="E1215" t="inlineStr">
        <is>
          <t>NORRTÄLJE</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30508-2023</t>
        </is>
      </c>
      <c r="B1216" s="1" t="n">
        <v>45111</v>
      </c>
      <c r="C1216" s="1" t="n">
        <v>45475</v>
      </c>
      <c r="D1216" t="inlineStr">
        <is>
          <t>STOCKHOLMS LÄN</t>
        </is>
      </c>
      <c r="E1216" t="inlineStr">
        <is>
          <t>NORRTÄLJE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30496-2023</t>
        </is>
      </c>
      <c r="B1217" s="1" t="n">
        <v>45111</v>
      </c>
      <c r="C1217" s="1" t="n">
        <v>45475</v>
      </c>
      <c r="D1217" t="inlineStr">
        <is>
          <t>STOCKHOLMS LÄN</t>
        </is>
      </c>
      <c r="E1217" t="inlineStr">
        <is>
          <t>NORRTÄLJE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30516-2023</t>
        </is>
      </c>
      <c r="B1218" s="1" t="n">
        <v>45111</v>
      </c>
      <c r="C1218" s="1" t="n">
        <v>45475</v>
      </c>
      <c r="D1218" t="inlineStr">
        <is>
          <t>STOCKHOLMS LÄN</t>
        </is>
      </c>
      <c r="E1218" t="inlineStr">
        <is>
          <t>NORRTÄLJE</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30525-2023</t>
        </is>
      </c>
      <c r="B1219" s="1" t="n">
        <v>45111</v>
      </c>
      <c r="C1219" s="1" t="n">
        <v>45475</v>
      </c>
      <c r="D1219" t="inlineStr">
        <is>
          <t>STOCKHOLMS LÄN</t>
        </is>
      </c>
      <c r="E1219" t="inlineStr">
        <is>
          <t>NORRTÄLJE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30424-2023</t>
        </is>
      </c>
      <c r="B1220" s="1" t="n">
        <v>45111</v>
      </c>
      <c r="C1220" s="1" t="n">
        <v>45475</v>
      </c>
      <c r="D1220" t="inlineStr">
        <is>
          <t>STOCKHOLMS LÄN</t>
        </is>
      </c>
      <c r="E1220" t="inlineStr">
        <is>
          <t>NORRTÄLJE</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30425-2023</t>
        </is>
      </c>
      <c r="B1221" s="1" t="n">
        <v>45111</v>
      </c>
      <c r="C1221" s="1" t="n">
        <v>45475</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30731-2023</t>
        </is>
      </c>
      <c r="B1222" s="1" t="n">
        <v>45112</v>
      </c>
      <c r="C1222" s="1" t="n">
        <v>45475</v>
      </c>
      <c r="D1222" t="inlineStr">
        <is>
          <t>STOCKHOLMS LÄN</t>
        </is>
      </c>
      <c r="E1222" t="inlineStr">
        <is>
          <t>NORRTÄLJE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30663-2023</t>
        </is>
      </c>
      <c r="B1223" s="1" t="n">
        <v>45112</v>
      </c>
      <c r="C1223" s="1" t="n">
        <v>45475</v>
      </c>
      <c r="D1223" t="inlineStr">
        <is>
          <t>STOCKHOLMS LÄN</t>
        </is>
      </c>
      <c r="E1223" t="inlineStr">
        <is>
          <t>NORRTÄLJE</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30780-2023</t>
        </is>
      </c>
      <c r="B1224" s="1" t="n">
        <v>45112</v>
      </c>
      <c r="C1224" s="1" t="n">
        <v>45475</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30773-2023</t>
        </is>
      </c>
      <c r="B1225" s="1" t="n">
        <v>45112</v>
      </c>
      <c r="C1225" s="1" t="n">
        <v>45475</v>
      </c>
      <c r="D1225" t="inlineStr">
        <is>
          <t>STOCKHOLMS LÄN</t>
        </is>
      </c>
      <c r="E1225" t="inlineStr">
        <is>
          <t>NORRTÄLJE</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30924-2023</t>
        </is>
      </c>
      <c r="B1226" s="1" t="n">
        <v>45113</v>
      </c>
      <c r="C1226" s="1" t="n">
        <v>45475</v>
      </c>
      <c r="D1226" t="inlineStr">
        <is>
          <t>STOCKHOLMS LÄN</t>
        </is>
      </c>
      <c r="E1226" t="inlineStr">
        <is>
          <t>NORRTÄLJE</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30923-2023</t>
        </is>
      </c>
      <c r="B1227" s="1" t="n">
        <v>45113</v>
      </c>
      <c r="C1227" s="1" t="n">
        <v>45475</v>
      </c>
      <c r="D1227" t="inlineStr">
        <is>
          <t>STOCKHOLMS LÄN</t>
        </is>
      </c>
      <c r="E1227" t="inlineStr">
        <is>
          <t>NORRTÄLJE</t>
        </is>
      </c>
      <c r="F1227" t="inlineStr">
        <is>
          <t>Sveaskog</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31140-2023</t>
        </is>
      </c>
      <c r="B1228" s="1" t="n">
        <v>45113</v>
      </c>
      <c r="C1228" s="1" t="n">
        <v>45475</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30921-2023</t>
        </is>
      </c>
      <c r="B1229" s="1" t="n">
        <v>45113</v>
      </c>
      <c r="C1229" s="1" t="n">
        <v>45475</v>
      </c>
      <c r="D1229" t="inlineStr">
        <is>
          <t>STOCKHOLMS LÄN</t>
        </is>
      </c>
      <c r="E1229" t="inlineStr">
        <is>
          <t>NORRTÄLJE</t>
        </is>
      </c>
      <c r="F1229" t="inlineStr">
        <is>
          <t>Sveaskog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31149-2023</t>
        </is>
      </c>
      <c r="B1230" s="1" t="n">
        <v>45113</v>
      </c>
      <c r="C1230" s="1" t="n">
        <v>45475</v>
      </c>
      <c r="D1230" t="inlineStr">
        <is>
          <t>STOCKHOLMS LÄN</t>
        </is>
      </c>
      <c r="E1230" t="inlineStr">
        <is>
          <t>NORRTÄLJE</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31153-2023</t>
        </is>
      </c>
      <c r="B1231" s="1" t="n">
        <v>45113</v>
      </c>
      <c r="C1231" s="1" t="n">
        <v>45475</v>
      </c>
      <c r="D1231" t="inlineStr">
        <is>
          <t>STOCKHOLMS LÄN</t>
        </is>
      </c>
      <c r="E1231" t="inlineStr">
        <is>
          <t>NORRTÄLJE</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31827-2023</t>
        </is>
      </c>
      <c r="B1232" s="1" t="n">
        <v>45118</v>
      </c>
      <c r="C1232" s="1" t="n">
        <v>45475</v>
      </c>
      <c r="D1232" t="inlineStr">
        <is>
          <t>STOCKHOLMS LÄN</t>
        </is>
      </c>
      <c r="E1232" t="inlineStr">
        <is>
          <t>NORRTÄLJE</t>
        </is>
      </c>
      <c r="F1232" t="inlineStr">
        <is>
          <t>Kyrkan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31832-2023</t>
        </is>
      </c>
      <c r="B1233" s="1" t="n">
        <v>45118</v>
      </c>
      <c r="C1233" s="1" t="n">
        <v>45475</v>
      </c>
      <c r="D1233" t="inlineStr">
        <is>
          <t>STOCKHOLMS LÄN</t>
        </is>
      </c>
      <c r="E1233" t="inlineStr">
        <is>
          <t>NORRTÄLJE</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32071-2023</t>
        </is>
      </c>
      <c r="B1234" s="1" t="n">
        <v>45119</v>
      </c>
      <c r="C1234" s="1" t="n">
        <v>45475</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32621-2023</t>
        </is>
      </c>
      <c r="B1235" s="1" t="n">
        <v>45121</v>
      </c>
      <c r="C1235" s="1" t="n">
        <v>45475</v>
      </c>
      <c r="D1235" t="inlineStr">
        <is>
          <t>STOCKHOLMS LÄN</t>
        </is>
      </c>
      <c r="E1235" t="inlineStr">
        <is>
          <t>NORRTÄLJE</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32595-2023</t>
        </is>
      </c>
      <c r="B1236" s="1" t="n">
        <v>45121</v>
      </c>
      <c r="C1236" s="1" t="n">
        <v>45475</v>
      </c>
      <c r="D1236" t="inlineStr">
        <is>
          <t>STOCKHOLMS LÄN</t>
        </is>
      </c>
      <c r="E1236" t="inlineStr">
        <is>
          <t>NORRTÄLJE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32948-2023</t>
        </is>
      </c>
      <c r="B1237" s="1" t="n">
        <v>45125</v>
      </c>
      <c r="C1237" s="1" t="n">
        <v>45475</v>
      </c>
      <c r="D1237" t="inlineStr">
        <is>
          <t>STOCKHOLMS LÄN</t>
        </is>
      </c>
      <c r="E1237" t="inlineStr">
        <is>
          <t>NORRTÄLJE</t>
        </is>
      </c>
      <c r="F1237" t="inlineStr">
        <is>
          <t>Holmen skog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33025-2023</t>
        </is>
      </c>
      <c r="B1238" s="1" t="n">
        <v>45125</v>
      </c>
      <c r="C1238" s="1" t="n">
        <v>45475</v>
      </c>
      <c r="D1238" t="inlineStr">
        <is>
          <t>STOCKHOLMS LÄN</t>
        </is>
      </c>
      <c r="E1238" t="inlineStr">
        <is>
          <t>NORRTÄLJE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33130-2023</t>
        </is>
      </c>
      <c r="B1239" s="1" t="n">
        <v>45126</v>
      </c>
      <c r="C1239" s="1" t="n">
        <v>45475</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33295-2023</t>
        </is>
      </c>
      <c r="B1240" s="1" t="n">
        <v>45127</v>
      </c>
      <c r="C1240" s="1" t="n">
        <v>45475</v>
      </c>
      <c r="D1240" t="inlineStr">
        <is>
          <t>STOCKHOLMS LÄN</t>
        </is>
      </c>
      <c r="E1240" t="inlineStr">
        <is>
          <t>NORRTÄLJE</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33270-2023</t>
        </is>
      </c>
      <c r="B1241" s="1" t="n">
        <v>45127</v>
      </c>
      <c r="C1241" s="1" t="n">
        <v>45475</v>
      </c>
      <c r="D1241" t="inlineStr">
        <is>
          <t>STOCKHOLMS LÄN</t>
        </is>
      </c>
      <c r="E1241" t="inlineStr">
        <is>
          <t>NORRTÄLJE</t>
        </is>
      </c>
      <c r="F1241" t="inlineStr">
        <is>
          <t>Holmen skog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33226-2023</t>
        </is>
      </c>
      <c r="B1242" s="1" t="n">
        <v>45127</v>
      </c>
      <c r="C1242" s="1" t="n">
        <v>45475</v>
      </c>
      <c r="D1242" t="inlineStr">
        <is>
          <t>STOCKHOLMS LÄN</t>
        </is>
      </c>
      <c r="E1242" t="inlineStr">
        <is>
          <t>NORRTÄLJE</t>
        </is>
      </c>
      <c r="F1242" t="inlineStr">
        <is>
          <t>Holmen skog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33243-2023</t>
        </is>
      </c>
      <c r="B1243" s="1" t="n">
        <v>45127</v>
      </c>
      <c r="C1243" s="1" t="n">
        <v>45475</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33291-2023</t>
        </is>
      </c>
      <c r="B1244" s="1" t="n">
        <v>45127</v>
      </c>
      <c r="C1244" s="1" t="n">
        <v>45475</v>
      </c>
      <c r="D1244" t="inlineStr">
        <is>
          <t>STOCKHOLMS LÄN</t>
        </is>
      </c>
      <c r="E1244" t="inlineStr">
        <is>
          <t>NORRTÄLJE</t>
        </is>
      </c>
      <c r="F1244" t="inlineStr">
        <is>
          <t>Holmen skog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33353-2023</t>
        </is>
      </c>
      <c r="B1245" s="1" t="n">
        <v>45128</v>
      </c>
      <c r="C1245" s="1" t="n">
        <v>45475</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33569-2023</t>
        </is>
      </c>
      <c r="B1246" s="1" t="n">
        <v>45131</v>
      </c>
      <c r="C1246" s="1" t="n">
        <v>45475</v>
      </c>
      <c r="D1246" t="inlineStr">
        <is>
          <t>STOCKHOLMS LÄN</t>
        </is>
      </c>
      <c r="E1246" t="inlineStr">
        <is>
          <t>NORRTÄLJE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33646-2023</t>
        </is>
      </c>
      <c r="B1247" s="1" t="n">
        <v>45132</v>
      </c>
      <c r="C1247" s="1" t="n">
        <v>45475</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33641-2023</t>
        </is>
      </c>
      <c r="B1248" s="1" t="n">
        <v>45132</v>
      </c>
      <c r="C1248" s="1" t="n">
        <v>45475</v>
      </c>
      <c r="D1248" t="inlineStr">
        <is>
          <t>STOCKHOLMS LÄN</t>
        </is>
      </c>
      <c r="E1248" t="inlineStr">
        <is>
          <t>NORRTÄLJE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34085-2023</t>
        </is>
      </c>
      <c r="B1249" s="1" t="n">
        <v>45135</v>
      </c>
      <c r="C1249" s="1" t="n">
        <v>45475</v>
      </c>
      <c r="D1249" t="inlineStr">
        <is>
          <t>STOCKHOLMS LÄN</t>
        </is>
      </c>
      <c r="E1249" t="inlineStr">
        <is>
          <t>NORRTÄLJE</t>
        </is>
      </c>
      <c r="G1249" t="n">
        <v>10.6</v>
      </c>
      <c r="H1249" t="n">
        <v>0</v>
      </c>
      <c r="I1249" t="n">
        <v>0</v>
      </c>
      <c r="J1249" t="n">
        <v>0</v>
      </c>
      <c r="K1249" t="n">
        <v>0</v>
      </c>
      <c r="L1249" t="n">
        <v>0</v>
      </c>
      <c r="M1249" t="n">
        <v>0</v>
      </c>
      <c r="N1249" t="n">
        <v>0</v>
      </c>
      <c r="O1249" t="n">
        <v>0</v>
      </c>
      <c r="P1249" t="n">
        <v>0</v>
      </c>
      <c r="Q1249" t="n">
        <v>0</v>
      </c>
      <c r="R1249" s="2" t="inlineStr"/>
    </row>
    <row r="1250" ht="15" customHeight="1">
      <c r="A1250" t="inlineStr">
        <is>
          <t>A 34084-2023</t>
        </is>
      </c>
      <c r="B1250" s="1" t="n">
        <v>45135</v>
      </c>
      <c r="C1250" s="1" t="n">
        <v>45475</v>
      </c>
      <c r="D1250" t="inlineStr">
        <is>
          <t>STOCKHOLMS LÄN</t>
        </is>
      </c>
      <c r="E1250" t="inlineStr">
        <is>
          <t>NORRTÄLJE</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34132-2023</t>
        </is>
      </c>
      <c r="B1251" s="1" t="n">
        <v>45135</v>
      </c>
      <c r="C1251" s="1" t="n">
        <v>45475</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34391-2023</t>
        </is>
      </c>
      <c r="B1252" s="1" t="n">
        <v>45139</v>
      </c>
      <c r="C1252" s="1" t="n">
        <v>45475</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34461-2023</t>
        </is>
      </c>
      <c r="B1253" s="1" t="n">
        <v>45139</v>
      </c>
      <c r="C1253" s="1" t="n">
        <v>45475</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34462-2023</t>
        </is>
      </c>
      <c r="B1254" s="1" t="n">
        <v>45139</v>
      </c>
      <c r="C1254" s="1" t="n">
        <v>45475</v>
      </c>
      <c r="D1254" t="inlineStr">
        <is>
          <t>STOCKHOLMS LÄN</t>
        </is>
      </c>
      <c r="E1254" t="inlineStr">
        <is>
          <t>NORRTÄLJE</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34825-2023</t>
        </is>
      </c>
      <c r="B1255" s="1" t="n">
        <v>45141</v>
      </c>
      <c r="C1255" s="1" t="n">
        <v>45475</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35215-2023</t>
        </is>
      </c>
      <c r="B1256" s="1" t="n">
        <v>45145</v>
      </c>
      <c r="C1256" s="1" t="n">
        <v>45475</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35219-2023</t>
        </is>
      </c>
      <c r="B1257" s="1" t="n">
        <v>45145</v>
      </c>
      <c r="C1257" s="1" t="n">
        <v>45475</v>
      </c>
      <c r="D1257" t="inlineStr">
        <is>
          <t>STOCKHOLMS LÄN</t>
        </is>
      </c>
      <c r="E1257" t="inlineStr">
        <is>
          <t>NORRTÄLJE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35127-2023</t>
        </is>
      </c>
      <c r="B1258" s="1" t="n">
        <v>45145</v>
      </c>
      <c r="C1258" s="1" t="n">
        <v>45475</v>
      </c>
      <c r="D1258" t="inlineStr">
        <is>
          <t>STOCKHOLMS LÄN</t>
        </is>
      </c>
      <c r="E1258" t="inlineStr">
        <is>
          <t>NORRTÄLJE</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35131-2023</t>
        </is>
      </c>
      <c r="B1259" s="1" t="n">
        <v>45145</v>
      </c>
      <c r="C1259" s="1" t="n">
        <v>45475</v>
      </c>
      <c r="D1259" t="inlineStr">
        <is>
          <t>STOCKHOLMS LÄN</t>
        </is>
      </c>
      <c r="E1259" t="inlineStr">
        <is>
          <t>NORRTÄLJE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35128-2023</t>
        </is>
      </c>
      <c r="B1260" s="1" t="n">
        <v>45145</v>
      </c>
      <c r="C1260" s="1" t="n">
        <v>45475</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35210-2023</t>
        </is>
      </c>
      <c r="B1261" s="1" t="n">
        <v>45145</v>
      </c>
      <c r="C1261" s="1" t="n">
        <v>45475</v>
      </c>
      <c r="D1261" t="inlineStr">
        <is>
          <t>STOCKHOLMS LÄN</t>
        </is>
      </c>
      <c r="E1261" t="inlineStr">
        <is>
          <t>NORRTÄLJE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35438-2023</t>
        </is>
      </c>
      <c r="B1262" s="1" t="n">
        <v>45146</v>
      </c>
      <c r="C1262" s="1" t="n">
        <v>45475</v>
      </c>
      <c r="D1262" t="inlineStr">
        <is>
          <t>STOCKHOLMS LÄN</t>
        </is>
      </c>
      <c r="E1262" t="inlineStr">
        <is>
          <t>NORRTÄLJE</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35698-2023</t>
        </is>
      </c>
      <c r="B1263" s="1" t="n">
        <v>45147</v>
      </c>
      <c r="C1263" s="1" t="n">
        <v>45475</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35702-2023</t>
        </is>
      </c>
      <c r="B1264" s="1" t="n">
        <v>45147</v>
      </c>
      <c r="C1264" s="1" t="n">
        <v>45475</v>
      </c>
      <c r="D1264" t="inlineStr">
        <is>
          <t>STOCKHOLMS LÄN</t>
        </is>
      </c>
      <c r="E1264" t="inlineStr">
        <is>
          <t>NORRTÄLJE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35691-2023</t>
        </is>
      </c>
      <c r="B1265" s="1" t="n">
        <v>45147</v>
      </c>
      <c r="C1265" s="1" t="n">
        <v>45475</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35695-2023</t>
        </is>
      </c>
      <c r="B1266" s="1" t="n">
        <v>45147</v>
      </c>
      <c r="C1266" s="1" t="n">
        <v>45475</v>
      </c>
      <c r="D1266" t="inlineStr">
        <is>
          <t>STOCKHOLMS LÄN</t>
        </is>
      </c>
      <c r="E1266" t="inlineStr">
        <is>
          <t>NORRTÄLJE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35696-2023</t>
        </is>
      </c>
      <c r="B1267" s="1" t="n">
        <v>45147</v>
      </c>
      <c r="C1267" s="1" t="n">
        <v>45475</v>
      </c>
      <c r="D1267" t="inlineStr">
        <is>
          <t>STOCKHOLMS LÄN</t>
        </is>
      </c>
      <c r="E1267" t="inlineStr">
        <is>
          <t>NORRTÄLJE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35700-2023</t>
        </is>
      </c>
      <c r="B1268" s="1" t="n">
        <v>45147</v>
      </c>
      <c r="C1268" s="1" t="n">
        <v>45475</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35704-2023</t>
        </is>
      </c>
      <c r="B1269" s="1" t="n">
        <v>45147</v>
      </c>
      <c r="C1269" s="1" t="n">
        <v>45475</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35693-2023</t>
        </is>
      </c>
      <c r="B1270" s="1" t="n">
        <v>45147</v>
      </c>
      <c r="C1270" s="1" t="n">
        <v>45475</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35701-2023</t>
        </is>
      </c>
      <c r="B1271" s="1" t="n">
        <v>45147</v>
      </c>
      <c r="C1271" s="1" t="n">
        <v>45475</v>
      </c>
      <c r="D1271" t="inlineStr">
        <is>
          <t>STOCKHOLMS LÄN</t>
        </is>
      </c>
      <c r="E1271" t="inlineStr">
        <is>
          <t>NORRTÄLJE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35823-2023</t>
        </is>
      </c>
      <c r="B1272" s="1" t="n">
        <v>45148</v>
      </c>
      <c r="C1272" s="1" t="n">
        <v>45475</v>
      </c>
      <c r="D1272" t="inlineStr">
        <is>
          <t>STOCKHOLMS LÄN</t>
        </is>
      </c>
      <c r="E1272" t="inlineStr">
        <is>
          <t>NORRTÄLJE</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36253-2023</t>
        </is>
      </c>
      <c r="B1273" s="1" t="n">
        <v>45151</v>
      </c>
      <c r="C1273" s="1" t="n">
        <v>45475</v>
      </c>
      <c r="D1273" t="inlineStr">
        <is>
          <t>STOCKHOLMS LÄN</t>
        </is>
      </c>
      <c r="E1273" t="inlineStr">
        <is>
          <t>NORRTÄLJE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36257-2023</t>
        </is>
      </c>
      <c r="B1274" s="1" t="n">
        <v>45151</v>
      </c>
      <c r="C1274" s="1" t="n">
        <v>45475</v>
      </c>
      <c r="D1274" t="inlineStr">
        <is>
          <t>STOCKHOLMS LÄN</t>
        </is>
      </c>
      <c r="E1274" t="inlineStr">
        <is>
          <t>NORRTÄLJE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36259-2023</t>
        </is>
      </c>
      <c r="B1275" s="1" t="n">
        <v>45151</v>
      </c>
      <c r="C1275" s="1" t="n">
        <v>45475</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36254-2023</t>
        </is>
      </c>
      <c r="B1276" s="1" t="n">
        <v>45151</v>
      </c>
      <c r="C1276" s="1" t="n">
        <v>45475</v>
      </c>
      <c r="D1276" t="inlineStr">
        <is>
          <t>STOCKHOLMS LÄN</t>
        </is>
      </c>
      <c r="E1276" t="inlineStr">
        <is>
          <t>NORRTÄLJE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36258-2023</t>
        </is>
      </c>
      <c r="B1277" s="1" t="n">
        <v>45151</v>
      </c>
      <c r="C1277" s="1" t="n">
        <v>45475</v>
      </c>
      <c r="D1277" t="inlineStr">
        <is>
          <t>STOCKHOLMS LÄN</t>
        </is>
      </c>
      <c r="E1277" t="inlineStr">
        <is>
          <t>NORRTÄLJE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36689-2023</t>
        </is>
      </c>
      <c r="B1278" s="1" t="n">
        <v>45152</v>
      </c>
      <c r="C1278" s="1" t="n">
        <v>45475</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36865-2023</t>
        </is>
      </c>
      <c r="B1279" s="1" t="n">
        <v>45154</v>
      </c>
      <c r="C1279" s="1" t="n">
        <v>45475</v>
      </c>
      <c r="D1279" t="inlineStr">
        <is>
          <t>STOCKHOLMS LÄN</t>
        </is>
      </c>
      <c r="E1279" t="inlineStr">
        <is>
          <t>NORRTÄLJE</t>
        </is>
      </c>
      <c r="F1279" t="inlineStr">
        <is>
          <t>Kyrkan</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37139-2023</t>
        </is>
      </c>
      <c r="B1280" s="1" t="n">
        <v>45155</v>
      </c>
      <c r="C1280" s="1" t="n">
        <v>45475</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37136-2023</t>
        </is>
      </c>
      <c r="B1281" s="1" t="n">
        <v>45155</v>
      </c>
      <c r="C1281" s="1" t="n">
        <v>45475</v>
      </c>
      <c r="D1281" t="inlineStr">
        <is>
          <t>STOCKHOLMS LÄN</t>
        </is>
      </c>
      <c r="E1281" t="inlineStr">
        <is>
          <t>NORRTÄLJE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37147-2023</t>
        </is>
      </c>
      <c r="B1282" s="1" t="n">
        <v>45155</v>
      </c>
      <c r="C1282" s="1" t="n">
        <v>45475</v>
      </c>
      <c r="D1282" t="inlineStr">
        <is>
          <t>STOCKHOLMS LÄN</t>
        </is>
      </c>
      <c r="E1282" t="inlineStr">
        <is>
          <t>NORRTÄLJE</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37670-2023</t>
        </is>
      </c>
      <c r="B1283" s="1" t="n">
        <v>45159</v>
      </c>
      <c r="C1283" s="1" t="n">
        <v>45475</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38049-2023</t>
        </is>
      </c>
      <c r="B1284" s="1" t="n">
        <v>45159</v>
      </c>
      <c r="C1284" s="1" t="n">
        <v>45475</v>
      </c>
      <c r="D1284" t="inlineStr">
        <is>
          <t>STOCKHOLMS LÄN</t>
        </is>
      </c>
      <c r="E1284" t="inlineStr">
        <is>
          <t>NORRTÄLJE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38022-2023</t>
        </is>
      </c>
      <c r="B1285" s="1" t="n">
        <v>45160</v>
      </c>
      <c r="C1285" s="1" t="n">
        <v>45475</v>
      </c>
      <c r="D1285" t="inlineStr">
        <is>
          <t>STOCKHOLMS LÄN</t>
        </is>
      </c>
      <c r="E1285" t="inlineStr">
        <is>
          <t>NORRTÄLJE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38482-2023</t>
        </is>
      </c>
      <c r="B1286" s="1" t="n">
        <v>45162</v>
      </c>
      <c r="C1286" s="1" t="n">
        <v>45475</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38487-2023</t>
        </is>
      </c>
      <c r="B1287" s="1" t="n">
        <v>45162</v>
      </c>
      <c r="C1287" s="1" t="n">
        <v>45475</v>
      </c>
      <c r="D1287" t="inlineStr">
        <is>
          <t>STOCKHOLMS LÄN</t>
        </is>
      </c>
      <c r="E1287" t="inlineStr">
        <is>
          <t>NORRTÄLJE</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38591-2023</t>
        </is>
      </c>
      <c r="B1288" s="1" t="n">
        <v>45162</v>
      </c>
      <c r="C1288" s="1" t="n">
        <v>45475</v>
      </c>
      <c r="D1288" t="inlineStr">
        <is>
          <t>STOCKHOLMS LÄN</t>
        </is>
      </c>
      <c r="E1288" t="inlineStr">
        <is>
          <t>NORRTÄLJE</t>
        </is>
      </c>
      <c r="F1288" t="inlineStr">
        <is>
          <t>Övriga Aktiebolag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39229-2023</t>
        </is>
      </c>
      <c r="B1289" s="1" t="n">
        <v>45166</v>
      </c>
      <c r="C1289" s="1" t="n">
        <v>45475</v>
      </c>
      <c r="D1289" t="inlineStr">
        <is>
          <t>STOCKHOLMS LÄN</t>
        </is>
      </c>
      <c r="E1289" t="inlineStr">
        <is>
          <t>NORRTÄLJE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39879-2023</t>
        </is>
      </c>
      <c r="B1290" s="1" t="n">
        <v>45168</v>
      </c>
      <c r="C1290" s="1" t="n">
        <v>45475</v>
      </c>
      <c r="D1290" t="inlineStr">
        <is>
          <t>STOCKHOLMS LÄN</t>
        </is>
      </c>
      <c r="E1290" t="inlineStr">
        <is>
          <t>NORRTÄLJE</t>
        </is>
      </c>
      <c r="F1290" t="inlineStr">
        <is>
          <t>Holmen skog AB</t>
        </is>
      </c>
      <c r="G1290" t="n">
        <v>10.9</v>
      </c>
      <c r="H1290" t="n">
        <v>0</v>
      </c>
      <c r="I1290" t="n">
        <v>0</v>
      </c>
      <c r="J1290" t="n">
        <v>0</v>
      </c>
      <c r="K1290" t="n">
        <v>0</v>
      </c>
      <c r="L1290" t="n">
        <v>0</v>
      </c>
      <c r="M1290" t="n">
        <v>0</v>
      </c>
      <c r="N1290" t="n">
        <v>0</v>
      </c>
      <c r="O1290" t="n">
        <v>0</v>
      </c>
      <c r="P1290" t="n">
        <v>0</v>
      </c>
      <c r="Q1290" t="n">
        <v>0</v>
      </c>
      <c r="R1290" s="2" t="inlineStr"/>
    </row>
    <row r="1291" ht="15" customHeight="1">
      <c r="A1291" t="inlineStr">
        <is>
          <t>A 39905-2023</t>
        </is>
      </c>
      <c r="B1291" s="1" t="n">
        <v>45168</v>
      </c>
      <c r="C1291" s="1" t="n">
        <v>45475</v>
      </c>
      <c r="D1291" t="inlineStr">
        <is>
          <t>STOCKHOLMS LÄN</t>
        </is>
      </c>
      <c r="E1291" t="inlineStr">
        <is>
          <t>NORRTÄLJE</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40139-2023</t>
        </is>
      </c>
      <c r="B1292" s="1" t="n">
        <v>45169</v>
      </c>
      <c r="C1292" s="1" t="n">
        <v>45475</v>
      </c>
      <c r="D1292" t="inlineStr">
        <is>
          <t>STOCKHOLMS LÄN</t>
        </is>
      </c>
      <c r="E1292" t="inlineStr">
        <is>
          <t>NORRTÄLJE</t>
        </is>
      </c>
      <c r="F1292" t="inlineStr">
        <is>
          <t>Kyrkan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40192-2023</t>
        </is>
      </c>
      <c r="B1293" s="1" t="n">
        <v>45169</v>
      </c>
      <c r="C1293" s="1" t="n">
        <v>45475</v>
      </c>
      <c r="D1293" t="inlineStr">
        <is>
          <t>STOCKHOLMS LÄN</t>
        </is>
      </c>
      <c r="E1293" t="inlineStr">
        <is>
          <t>NORRTÄLJE</t>
        </is>
      </c>
      <c r="F1293" t="inlineStr">
        <is>
          <t>Kyrkan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40161-2023</t>
        </is>
      </c>
      <c r="B1294" s="1" t="n">
        <v>45169</v>
      </c>
      <c r="C1294" s="1" t="n">
        <v>45475</v>
      </c>
      <c r="D1294" t="inlineStr">
        <is>
          <t>STOCKHOLMS LÄN</t>
        </is>
      </c>
      <c r="E1294" t="inlineStr">
        <is>
          <t>NORRTÄLJE</t>
        </is>
      </c>
      <c r="F1294" t="inlineStr">
        <is>
          <t>Kyrkan</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40190-2023</t>
        </is>
      </c>
      <c r="B1295" s="1" t="n">
        <v>45169</v>
      </c>
      <c r="C1295" s="1" t="n">
        <v>45475</v>
      </c>
      <c r="D1295" t="inlineStr">
        <is>
          <t>STOCKHOLMS LÄN</t>
        </is>
      </c>
      <c r="E1295" t="inlineStr">
        <is>
          <t>NORRTÄLJE</t>
        </is>
      </c>
      <c r="F1295" t="inlineStr">
        <is>
          <t>Kyrkan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40379-2023</t>
        </is>
      </c>
      <c r="B1296" s="1" t="n">
        <v>45169</v>
      </c>
      <c r="C1296" s="1" t="n">
        <v>45475</v>
      </c>
      <c r="D1296" t="inlineStr">
        <is>
          <t>STOCKHOLMS LÄN</t>
        </is>
      </c>
      <c r="E1296" t="inlineStr">
        <is>
          <t>NORRTÄLJE</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41172-2023</t>
        </is>
      </c>
      <c r="B1297" s="1" t="n">
        <v>45170</v>
      </c>
      <c r="C1297" s="1" t="n">
        <v>45475</v>
      </c>
      <c r="D1297" t="inlineStr">
        <is>
          <t>STOCKHOLMS LÄN</t>
        </is>
      </c>
      <c r="E1297" t="inlineStr">
        <is>
          <t>NORRTÄLJE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40995-2023</t>
        </is>
      </c>
      <c r="B1298" s="1" t="n">
        <v>45173</v>
      </c>
      <c r="C1298" s="1" t="n">
        <v>45475</v>
      </c>
      <c r="D1298" t="inlineStr">
        <is>
          <t>STOCKHOLMS LÄN</t>
        </is>
      </c>
      <c r="E1298" t="inlineStr">
        <is>
          <t>NORRTÄLJE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41335-2023</t>
        </is>
      </c>
      <c r="B1299" s="1" t="n">
        <v>45174</v>
      </c>
      <c r="C1299" s="1" t="n">
        <v>45475</v>
      </c>
      <c r="D1299" t="inlineStr">
        <is>
          <t>STOCKHOLMS LÄN</t>
        </is>
      </c>
      <c r="E1299" t="inlineStr">
        <is>
          <t>NORRTÄLJE</t>
        </is>
      </c>
      <c r="F1299" t="inlineStr">
        <is>
          <t>Holmen skog AB</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41587-2023</t>
        </is>
      </c>
      <c r="B1300" s="1" t="n">
        <v>45175</v>
      </c>
      <c r="C1300" s="1" t="n">
        <v>45475</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41716-2023</t>
        </is>
      </c>
      <c r="B1301" s="1" t="n">
        <v>45176</v>
      </c>
      <c r="C1301" s="1" t="n">
        <v>45475</v>
      </c>
      <c r="D1301" t="inlineStr">
        <is>
          <t>STOCKHOLMS LÄN</t>
        </is>
      </c>
      <c r="E1301" t="inlineStr">
        <is>
          <t>NORRTÄLJE</t>
        </is>
      </c>
      <c r="F1301" t="inlineStr">
        <is>
          <t>Kyrkan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41715-2023</t>
        </is>
      </c>
      <c r="B1302" s="1" t="n">
        <v>45176</v>
      </c>
      <c r="C1302" s="1" t="n">
        <v>45475</v>
      </c>
      <c r="D1302" t="inlineStr">
        <is>
          <t>STOCKHOLMS LÄN</t>
        </is>
      </c>
      <c r="E1302" t="inlineStr">
        <is>
          <t>NORRTÄLJE</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41880-2023</t>
        </is>
      </c>
      <c r="B1303" s="1" t="n">
        <v>45176</v>
      </c>
      <c r="C1303" s="1" t="n">
        <v>45475</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42094-2023</t>
        </is>
      </c>
      <c r="B1304" s="1" t="n">
        <v>45177</v>
      </c>
      <c r="C1304" s="1" t="n">
        <v>45475</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42075-2023</t>
        </is>
      </c>
      <c r="B1305" s="1" t="n">
        <v>45177</v>
      </c>
      <c r="C1305" s="1" t="n">
        <v>45475</v>
      </c>
      <c r="D1305" t="inlineStr">
        <is>
          <t>STOCKHOLMS LÄN</t>
        </is>
      </c>
      <c r="E1305" t="inlineStr">
        <is>
          <t>NORRTÄLJE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42199-2023</t>
        </is>
      </c>
      <c r="B1306" s="1" t="n">
        <v>45179</v>
      </c>
      <c r="C1306" s="1" t="n">
        <v>45475</v>
      </c>
      <c r="D1306" t="inlineStr">
        <is>
          <t>STOCKHOLMS LÄN</t>
        </is>
      </c>
      <c r="E1306" t="inlineStr">
        <is>
          <t>NORRTÄLJE</t>
        </is>
      </c>
      <c r="F1306" t="inlineStr">
        <is>
          <t>Sveaskog</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42200-2023</t>
        </is>
      </c>
      <c r="B1307" s="1" t="n">
        <v>45179</v>
      </c>
      <c r="C1307" s="1" t="n">
        <v>45475</v>
      </c>
      <c r="D1307" t="inlineStr">
        <is>
          <t>STOCKHOLMS LÄN</t>
        </is>
      </c>
      <c r="E1307" t="inlineStr">
        <is>
          <t>NORRTÄLJE</t>
        </is>
      </c>
      <c r="F1307" t="inlineStr">
        <is>
          <t>Sveaskog</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42765-2023</t>
        </is>
      </c>
      <c r="B1308" s="1" t="n">
        <v>45181</v>
      </c>
      <c r="C1308" s="1" t="n">
        <v>45475</v>
      </c>
      <c r="D1308" t="inlineStr">
        <is>
          <t>STOCKHOLMS LÄN</t>
        </is>
      </c>
      <c r="E1308" t="inlineStr">
        <is>
          <t>NORRTÄLJE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42775-2023</t>
        </is>
      </c>
      <c r="B1309" s="1" t="n">
        <v>45181</v>
      </c>
      <c r="C1309" s="1" t="n">
        <v>45475</v>
      </c>
      <c r="D1309" t="inlineStr">
        <is>
          <t>STOCKHOLMS LÄN</t>
        </is>
      </c>
      <c r="E1309" t="inlineStr">
        <is>
          <t>NORRTÄLJE</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42948-2023</t>
        </is>
      </c>
      <c r="B1310" s="1" t="n">
        <v>45182</v>
      </c>
      <c r="C1310" s="1" t="n">
        <v>45475</v>
      </c>
      <c r="D1310" t="inlineStr">
        <is>
          <t>STOCKHOLMS LÄN</t>
        </is>
      </c>
      <c r="E1310" t="inlineStr">
        <is>
          <t>NORRTÄLJE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42977-2023</t>
        </is>
      </c>
      <c r="B1311" s="1" t="n">
        <v>45182</v>
      </c>
      <c r="C1311" s="1" t="n">
        <v>45475</v>
      </c>
      <c r="D1311" t="inlineStr">
        <is>
          <t>STOCKHOLMS LÄN</t>
        </is>
      </c>
      <c r="E1311" t="inlineStr">
        <is>
          <t>NORRTÄLJE</t>
        </is>
      </c>
      <c r="F1311" t="inlineStr">
        <is>
          <t>Sveaskog</t>
        </is>
      </c>
      <c r="G1311" t="n">
        <v>11.8</v>
      </c>
      <c r="H1311" t="n">
        <v>0</v>
      </c>
      <c r="I1311" t="n">
        <v>0</v>
      </c>
      <c r="J1311" t="n">
        <v>0</v>
      </c>
      <c r="K1311" t="n">
        <v>0</v>
      </c>
      <c r="L1311" t="n">
        <v>0</v>
      </c>
      <c r="M1311" t="n">
        <v>0</v>
      </c>
      <c r="N1311" t="n">
        <v>0</v>
      </c>
      <c r="O1311" t="n">
        <v>0</v>
      </c>
      <c r="P1311" t="n">
        <v>0</v>
      </c>
      <c r="Q1311" t="n">
        <v>0</v>
      </c>
      <c r="R1311" s="2" t="inlineStr"/>
    </row>
    <row r="1312" ht="15" customHeight="1">
      <c r="A1312" t="inlineStr">
        <is>
          <t>A 43140-2023</t>
        </is>
      </c>
      <c r="B1312" s="1" t="n">
        <v>45183</v>
      </c>
      <c r="C1312" s="1" t="n">
        <v>45475</v>
      </c>
      <c r="D1312" t="inlineStr">
        <is>
          <t>STOCKHOLMS LÄN</t>
        </is>
      </c>
      <c r="E1312" t="inlineStr">
        <is>
          <t>NORRTÄLJE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43207-2023</t>
        </is>
      </c>
      <c r="B1313" s="1" t="n">
        <v>45183</v>
      </c>
      <c r="C1313" s="1" t="n">
        <v>45475</v>
      </c>
      <c r="D1313" t="inlineStr">
        <is>
          <t>STOCKHOLMS LÄN</t>
        </is>
      </c>
      <c r="E1313" t="inlineStr">
        <is>
          <t>NORRTÄLJE</t>
        </is>
      </c>
      <c r="F1313" t="inlineStr">
        <is>
          <t>Kyrkan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43150-2023</t>
        </is>
      </c>
      <c r="B1314" s="1" t="n">
        <v>45183</v>
      </c>
      <c r="C1314" s="1" t="n">
        <v>45475</v>
      </c>
      <c r="D1314" t="inlineStr">
        <is>
          <t>STOCKHOLMS LÄN</t>
        </is>
      </c>
      <c r="E1314" t="inlineStr">
        <is>
          <t>NORRTÄLJE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43170-2023</t>
        </is>
      </c>
      <c r="B1315" s="1" t="n">
        <v>45183</v>
      </c>
      <c r="C1315" s="1" t="n">
        <v>45475</v>
      </c>
      <c r="D1315" t="inlineStr">
        <is>
          <t>STOCKHOLMS LÄN</t>
        </is>
      </c>
      <c r="E1315" t="inlineStr">
        <is>
          <t>NORRTÄLJE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43289-2023</t>
        </is>
      </c>
      <c r="B1316" s="1" t="n">
        <v>45183</v>
      </c>
      <c r="C1316" s="1" t="n">
        <v>45475</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43300-2023</t>
        </is>
      </c>
      <c r="B1317" s="1" t="n">
        <v>45183</v>
      </c>
      <c r="C1317" s="1" t="n">
        <v>45475</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43638-2023</t>
        </is>
      </c>
      <c r="B1318" s="1" t="n">
        <v>45186</v>
      </c>
      <c r="C1318" s="1" t="n">
        <v>45475</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43684-2023</t>
        </is>
      </c>
      <c r="B1319" s="1" t="n">
        <v>45187</v>
      </c>
      <c r="C1319" s="1" t="n">
        <v>45475</v>
      </c>
      <c r="D1319" t="inlineStr">
        <is>
          <t>STOCKHOLMS LÄN</t>
        </is>
      </c>
      <c r="E1319" t="inlineStr">
        <is>
          <t>NORRTÄLJE</t>
        </is>
      </c>
      <c r="F1319" t="inlineStr">
        <is>
          <t>Holmen skog AB</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43836-2023</t>
        </is>
      </c>
      <c r="B1320" s="1" t="n">
        <v>45187</v>
      </c>
      <c r="C1320" s="1" t="n">
        <v>45475</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43710-2023</t>
        </is>
      </c>
      <c r="B1321" s="1" t="n">
        <v>45187</v>
      </c>
      <c r="C1321" s="1" t="n">
        <v>45475</v>
      </c>
      <c r="D1321" t="inlineStr">
        <is>
          <t>STOCKHOLMS LÄN</t>
        </is>
      </c>
      <c r="E1321" t="inlineStr">
        <is>
          <t>NORRTÄLJE</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44891-2023</t>
        </is>
      </c>
      <c r="B1322" s="1" t="n">
        <v>45187</v>
      </c>
      <c r="C1322" s="1" t="n">
        <v>45475</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44885-2023</t>
        </is>
      </c>
      <c r="B1323" s="1" t="n">
        <v>45187</v>
      </c>
      <c r="C1323" s="1" t="n">
        <v>45475</v>
      </c>
      <c r="D1323" t="inlineStr">
        <is>
          <t>STOCKHOLMS LÄN</t>
        </is>
      </c>
      <c r="E1323" t="inlineStr">
        <is>
          <t>NORRTÄLJE</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44075-2023</t>
        </is>
      </c>
      <c r="B1324" s="1" t="n">
        <v>45188</v>
      </c>
      <c r="C1324" s="1" t="n">
        <v>45475</v>
      </c>
      <c r="D1324" t="inlineStr">
        <is>
          <t>STOCKHOLMS LÄN</t>
        </is>
      </c>
      <c r="E1324" t="inlineStr">
        <is>
          <t>NORRTÄLJE</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44154-2023</t>
        </is>
      </c>
      <c r="B1325" s="1" t="n">
        <v>45188</v>
      </c>
      <c r="C1325" s="1" t="n">
        <v>45475</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44571-2023</t>
        </is>
      </c>
      <c r="B1326" s="1" t="n">
        <v>45189</v>
      </c>
      <c r="C1326" s="1" t="n">
        <v>45475</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44836-2023</t>
        </is>
      </c>
      <c r="B1327" s="1" t="n">
        <v>45190</v>
      </c>
      <c r="C1327" s="1" t="n">
        <v>45475</v>
      </c>
      <c r="D1327" t="inlineStr">
        <is>
          <t>STOCKHOLMS LÄN</t>
        </is>
      </c>
      <c r="E1327" t="inlineStr">
        <is>
          <t>NORRTÄLJE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45173-2023</t>
        </is>
      </c>
      <c r="B1328" s="1" t="n">
        <v>45191</v>
      </c>
      <c r="C1328" s="1" t="n">
        <v>45475</v>
      </c>
      <c r="D1328" t="inlineStr">
        <is>
          <t>STOCKHOLMS LÄN</t>
        </is>
      </c>
      <c r="E1328" t="inlineStr">
        <is>
          <t>NORRTÄLJE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45174-2023</t>
        </is>
      </c>
      <c r="B1329" s="1" t="n">
        <v>45191</v>
      </c>
      <c r="C1329" s="1" t="n">
        <v>45475</v>
      </c>
      <c r="D1329" t="inlineStr">
        <is>
          <t>STOCKHOLMS LÄN</t>
        </is>
      </c>
      <c r="E1329" t="inlineStr">
        <is>
          <t>NORRTÄLJE</t>
        </is>
      </c>
      <c r="F1329" t="inlineStr">
        <is>
          <t>Sveaskog</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46161-2023</t>
        </is>
      </c>
      <c r="B1330" s="1" t="n">
        <v>45196</v>
      </c>
      <c r="C1330" s="1" t="n">
        <v>45475</v>
      </c>
      <c r="D1330" t="inlineStr">
        <is>
          <t>STOCKHOLMS LÄN</t>
        </is>
      </c>
      <c r="E1330" t="inlineStr">
        <is>
          <t>NORRTÄLJE</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46155-2023</t>
        </is>
      </c>
      <c r="B1331" s="1" t="n">
        <v>45196</v>
      </c>
      <c r="C1331" s="1" t="n">
        <v>45475</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46621-2023</t>
        </is>
      </c>
      <c r="B1332" s="1" t="n">
        <v>45198</v>
      </c>
      <c r="C1332" s="1" t="n">
        <v>45475</v>
      </c>
      <c r="D1332" t="inlineStr">
        <is>
          <t>STOCKHOLMS LÄN</t>
        </is>
      </c>
      <c r="E1332" t="inlineStr">
        <is>
          <t>NORRTÄLJE</t>
        </is>
      </c>
      <c r="F1332" t="inlineStr">
        <is>
          <t>Holmen skog AB</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47419-2023</t>
        </is>
      </c>
      <c r="B1333" s="1" t="n">
        <v>45202</v>
      </c>
      <c r="C1333" s="1" t="n">
        <v>45475</v>
      </c>
      <c r="D1333" t="inlineStr">
        <is>
          <t>STOCKHOLMS LÄN</t>
        </is>
      </c>
      <c r="E1333" t="inlineStr">
        <is>
          <t>NORRTÄLJE</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47431-2023</t>
        </is>
      </c>
      <c r="B1334" s="1" t="n">
        <v>45202</v>
      </c>
      <c r="C1334" s="1" t="n">
        <v>45475</v>
      </c>
      <c r="D1334" t="inlineStr">
        <is>
          <t>STOCKHOLMS LÄN</t>
        </is>
      </c>
      <c r="E1334" t="inlineStr">
        <is>
          <t>NORRTÄLJE</t>
        </is>
      </c>
      <c r="F1334" t="inlineStr">
        <is>
          <t>Naturvårdsverket</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47325-2023</t>
        </is>
      </c>
      <c r="B1335" s="1" t="n">
        <v>45202</v>
      </c>
      <c r="C1335" s="1" t="n">
        <v>45475</v>
      </c>
      <c r="D1335" t="inlineStr">
        <is>
          <t>STOCKHOLMS LÄN</t>
        </is>
      </c>
      <c r="E1335" t="inlineStr">
        <is>
          <t>NORRTÄLJE</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47433-2023</t>
        </is>
      </c>
      <c r="B1336" s="1" t="n">
        <v>45202</v>
      </c>
      <c r="C1336" s="1" t="n">
        <v>45475</v>
      </c>
      <c r="D1336" t="inlineStr">
        <is>
          <t>STOCKHOLMS LÄN</t>
        </is>
      </c>
      <c r="E1336" t="inlineStr">
        <is>
          <t>NORRTÄLJE</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47388-2023</t>
        </is>
      </c>
      <c r="B1337" s="1" t="n">
        <v>45202</v>
      </c>
      <c r="C1337" s="1" t="n">
        <v>45475</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47430-2023</t>
        </is>
      </c>
      <c r="B1338" s="1" t="n">
        <v>45202</v>
      </c>
      <c r="C1338" s="1" t="n">
        <v>45475</v>
      </c>
      <c r="D1338" t="inlineStr">
        <is>
          <t>STOCKHOLMS LÄN</t>
        </is>
      </c>
      <c r="E1338" t="inlineStr">
        <is>
          <t>NORRTÄLJE</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49775-2023</t>
        </is>
      </c>
      <c r="B1339" s="1" t="n">
        <v>45202</v>
      </c>
      <c r="C1339" s="1" t="n">
        <v>45475</v>
      </c>
      <c r="D1339" t="inlineStr">
        <is>
          <t>STOCKHOLMS LÄN</t>
        </is>
      </c>
      <c r="E1339" t="inlineStr">
        <is>
          <t>NORRTÄLJE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48578-2023</t>
        </is>
      </c>
      <c r="B1340" s="1" t="n">
        <v>45202</v>
      </c>
      <c r="C1340" s="1" t="n">
        <v>45475</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49774-2023</t>
        </is>
      </c>
      <c r="B1341" s="1" t="n">
        <v>45202</v>
      </c>
      <c r="C1341" s="1" t="n">
        <v>45475</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47672-2023</t>
        </is>
      </c>
      <c r="B1342" s="1" t="n">
        <v>45203</v>
      </c>
      <c r="C1342" s="1" t="n">
        <v>45475</v>
      </c>
      <c r="D1342" t="inlineStr">
        <is>
          <t>STOCKHOLMS LÄN</t>
        </is>
      </c>
      <c r="E1342" t="inlineStr">
        <is>
          <t>NORRTÄLJE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47694-2023</t>
        </is>
      </c>
      <c r="B1343" s="1" t="n">
        <v>45203</v>
      </c>
      <c r="C1343" s="1" t="n">
        <v>45475</v>
      </c>
      <c r="D1343" t="inlineStr">
        <is>
          <t>STOCKHOLMS LÄN</t>
        </is>
      </c>
      <c r="E1343" t="inlineStr">
        <is>
          <t>NORRTÄLJE</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47708-2023</t>
        </is>
      </c>
      <c r="B1344" s="1" t="n">
        <v>45203</v>
      </c>
      <c r="C1344" s="1" t="n">
        <v>45475</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47758-2023</t>
        </is>
      </c>
      <c r="B1345" s="1" t="n">
        <v>45203</v>
      </c>
      <c r="C1345" s="1" t="n">
        <v>45475</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47699-2023</t>
        </is>
      </c>
      <c r="B1346" s="1" t="n">
        <v>45203</v>
      </c>
      <c r="C1346" s="1" t="n">
        <v>45475</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47735-2023</t>
        </is>
      </c>
      <c r="B1347" s="1" t="n">
        <v>45203</v>
      </c>
      <c r="C1347" s="1" t="n">
        <v>45475</v>
      </c>
      <c r="D1347" t="inlineStr">
        <is>
          <t>STOCKHOLMS LÄN</t>
        </is>
      </c>
      <c r="E1347" t="inlineStr">
        <is>
          <t>NORRTÄLJE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48167-2023</t>
        </is>
      </c>
      <c r="B1348" s="1" t="n">
        <v>45205</v>
      </c>
      <c r="C1348" s="1" t="n">
        <v>45475</v>
      </c>
      <c r="D1348" t="inlineStr">
        <is>
          <t>STOCKHOLMS LÄN</t>
        </is>
      </c>
      <c r="E1348" t="inlineStr">
        <is>
          <t>NORRTÄLJE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48180-2023</t>
        </is>
      </c>
      <c r="B1349" s="1" t="n">
        <v>45205</v>
      </c>
      <c r="C1349" s="1" t="n">
        <v>45475</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48185-2023</t>
        </is>
      </c>
      <c r="B1350" s="1" t="n">
        <v>45205</v>
      </c>
      <c r="C1350" s="1" t="n">
        <v>45475</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48302-2023</t>
        </is>
      </c>
      <c r="B1351" s="1" t="n">
        <v>45205</v>
      </c>
      <c r="C1351" s="1" t="n">
        <v>45475</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48333-2023</t>
        </is>
      </c>
      <c r="B1352" s="1" t="n">
        <v>45205</v>
      </c>
      <c r="C1352" s="1" t="n">
        <v>45475</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48541-2023</t>
        </is>
      </c>
      <c r="B1353" s="1" t="n">
        <v>45208</v>
      </c>
      <c r="C1353" s="1" t="n">
        <v>45475</v>
      </c>
      <c r="D1353" t="inlineStr">
        <is>
          <t>STOCKHOLMS LÄN</t>
        </is>
      </c>
      <c r="E1353" t="inlineStr">
        <is>
          <t>NORRTÄLJE</t>
        </is>
      </c>
      <c r="G1353" t="n">
        <v>10.6</v>
      </c>
      <c r="H1353" t="n">
        <v>0</v>
      </c>
      <c r="I1353" t="n">
        <v>0</v>
      </c>
      <c r="J1353" t="n">
        <v>0</v>
      </c>
      <c r="K1353" t="n">
        <v>0</v>
      </c>
      <c r="L1353" t="n">
        <v>0</v>
      </c>
      <c r="M1353" t="n">
        <v>0</v>
      </c>
      <c r="N1353" t="n">
        <v>0</v>
      </c>
      <c r="O1353" t="n">
        <v>0</v>
      </c>
      <c r="P1353" t="n">
        <v>0</v>
      </c>
      <c r="Q1353" t="n">
        <v>0</v>
      </c>
      <c r="R1353" s="2" t="inlineStr"/>
    </row>
    <row r="1354" ht="15" customHeight="1">
      <c r="A1354" t="inlineStr">
        <is>
          <t>A 48552-2023</t>
        </is>
      </c>
      <c r="B1354" s="1" t="n">
        <v>45208</v>
      </c>
      <c r="C1354" s="1" t="n">
        <v>45475</v>
      </c>
      <c r="D1354" t="inlineStr">
        <is>
          <t>STOCKHOLMS LÄN</t>
        </is>
      </c>
      <c r="E1354" t="inlineStr">
        <is>
          <t>NORRTÄLJE</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48587-2023</t>
        </is>
      </c>
      <c r="B1355" s="1" t="n">
        <v>45208</v>
      </c>
      <c r="C1355" s="1" t="n">
        <v>45475</v>
      </c>
      <c r="D1355" t="inlineStr">
        <is>
          <t>STOCKHOLMS LÄN</t>
        </is>
      </c>
      <c r="E1355" t="inlineStr">
        <is>
          <t>NORRTÄLJE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48633-2023</t>
        </is>
      </c>
      <c r="B1356" s="1" t="n">
        <v>45208</v>
      </c>
      <c r="C1356" s="1" t="n">
        <v>45475</v>
      </c>
      <c r="D1356" t="inlineStr">
        <is>
          <t>STOCKHOLMS LÄN</t>
        </is>
      </c>
      <c r="E1356" t="inlineStr">
        <is>
          <t>NORRTÄLJE</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48641-2023</t>
        </is>
      </c>
      <c r="B1357" s="1" t="n">
        <v>45208</v>
      </c>
      <c r="C1357" s="1" t="n">
        <v>45475</v>
      </c>
      <c r="D1357" t="inlineStr">
        <is>
          <t>STOCKHOLMS LÄN</t>
        </is>
      </c>
      <c r="E1357" t="inlineStr">
        <is>
          <t>NORRTÄLJE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48686-2023</t>
        </is>
      </c>
      <c r="B1358" s="1" t="n">
        <v>45208</v>
      </c>
      <c r="C1358" s="1" t="n">
        <v>45475</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48629-2023</t>
        </is>
      </c>
      <c r="B1359" s="1" t="n">
        <v>45208</v>
      </c>
      <c r="C1359" s="1" t="n">
        <v>45475</v>
      </c>
      <c r="D1359" t="inlineStr">
        <is>
          <t>STOCKHOLMS LÄN</t>
        </is>
      </c>
      <c r="E1359" t="inlineStr">
        <is>
          <t>NORRTÄLJE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48668-2023</t>
        </is>
      </c>
      <c r="B1360" s="1" t="n">
        <v>45208</v>
      </c>
      <c r="C1360" s="1" t="n">
        <v>45475</v>
      </c>
      <c r="D1360" t="inlineStr">
        <is>
          <t>STOCKHOLMS LÄN</t>
        </is>
      </c>
      <c r="E1360" t="inlineStr">
        <is>
          <t>NORRTÄLJE</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48685-2023</t>
        </is>
      </c>
      <c r="B1361" s="1" t="n">
        <v>45208</v>
      </c>
      <c r="C1361" s="1" t="n">
        <v>45475</v>
      </c>
      <c r="D1361" t="inlineStr">
        <is>
          <t>STOCKHOLMS LÄN</t>
        </is>
      </c>
      <c r="E1361" t="inlineStr">
        <is>
          <t>NORRTÄLJE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48691-2023</t>
        </is>
      </c>
      <c r="B1362" s="1" t="n">
        <v>45208</v>
      </c>
      <c r="C1362" s="1" t="n">
        <v>45475</v>
      </c>
      <c r="D1362" t="inlineStr">
        <is>
          <t>STOCKHOLMS LÄN</t>
        </is>
      </c>
      <c r="E1362" t="inlineStr">
        <is>
          <t>NORRTÄLJE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48701-2023</t>
        </is>
      </c>
      <c r="B1363" s="1" t="n">
        <v>45208</v>
      </c>
      <c r="C1363" s="1" t="n">
        <v>45475</v>
      </c>
      <c r="D1363" t="inlineStr">
        <is>
          <t>STOCKHOLMS LÄN</t>
        </is>
      </c>
      <c r="E1363" t="inlineStr">
        <is>
          <t>NORRTÄLJE</t>
        </is>
      </c>
      <c r="G1363" t="n">
        <v>12.2</v>
      </c>
      <c r="H1363" t="n">
        <v>0</v>
      </c>
      <c r="I1363" t="n">
        <v>0</v>
      </c>
      <c r="J1363" t="n">
        <v>0</v>
      </c>
      <c r="K1363" t="n">
        <v>0</v>
      </c>
      <c r="L1363" t="n">
        <v>0</v>
      </c>
      <c r="M1363" t="n">
        <v>0</v>
      </c>
      <c r="N1363" t="n">
        <v>0</v>
      </c>
      <c r="O1363" t="n">
        <v>0</v>
      </c>
      <c r="P1363" t="n">
        <v>0</v>
      </c>
      <c r="Q1363" t="n">
        <v>0</v>
      </c>
      <c r="R1363" s="2" t="inlineStr"/>
    </row>
    <row r="1364" ht="15" customHeight="1">
      <c r="A1364" t="inlineStr">
        <is>
          <t>A 48716-2023</t>
        </is>
      </c>
      <c r="B1364" s="1" t="n">
        <v>45208</v>
      </c>
      <c r="C1364" s="1" t="n">
        <v>45475</v>
      </c>
      <c r="D1364" t="inlineStr">
        <is>
          <t>STOCKHOLMS LÄN</t>
        </is>
      </c>
      <c r="E1364" t="inlineStr">
        <is>
          <t>NORRTÄLJE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48709-2023</t>
        </is>
      </c>
      <c r="B1365" s="1" t="n">
        <v>45208</v>
      </c>
      <c r="C1365" s="1" t="n">
        <v>45475</v>
      </c>
      <c r="D1365" t="inlineStr">
        <is>
          <t>STOCKHOLMS LÄN</t>
        </is>
      </c>
      <c r="E1365" t="inlineStr">
        <is>
          <t>NORRTÄLJE</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48722-2023</t>
        </is>
      </c>
      <c r="B1366" s="1" t="n">
        <v>45208</v>
      </c>
      <c r="C1366" s="1" t="n">
        <v>45475</v>
      </c>
      <c r="D1366" t="inlineStr">
        <is>
          <t>STOCKHOLMS LÄN</t>
        </is>
      </c>
      <c r="E1366" t="inlineStr">
        <is>
          <t>NORRTÄLJE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48726-2023</t>
        </is>
      </c>
      <c r="B1367" s="1" t="n">
        <v>45208</v>
      </c>
      <c r="C1367" s="1" t="n">
        <v>45475</v>
      </c>
      <c r="D1367" t="inlineStr">
        <is>
          <t>STOCKHOLMS LÄN</t>
        </is>
      </c>
      <c r="E1367" t="inlineStr">
        <is>
          <t>NORRTÄLJE</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49169-2023</t>
        </is>
      </c>
      <c r="B1368" s="1" t="n">
        <v>45210</v>
      </c>
      <c r="C1368" s="1" t="n">
        <v>45475</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49176-2023</t>
        </is>
      </c>
      <c r="B1369" s="1" t="n">
        <v>45210</v>
      </c>
      <c r="C1369" s="1" t="n">
        <v>45475</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49224-2023</t>
        </is>
      </c>
      <c r="B1370" s="1" t="n">
        <v>45210</v>
      </c>
      <c r="C1370" s="1" t="n">
        <v>45475</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49696-2023</t>
        </is>
      </c>
      <c r="B1371" s="1" t="n">
        <v>45212</v>
      </c>
      <c r="C1371" s="1" t="n">
        <v>45475</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49700-2023</t>
        </is>
      </c>
      <c r="B1372" s="1" t="n">
        <v>45212</v>
      </c>
      <c r="C1372" s="1" t="n">
        <v>45475</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49694-2023</t>
        </is>
      </c>
      <c r="B1373" s="1" t="n">
        <v>45212</v>
      </c>
      <c r="C1373" s="1" t="n">
        <v>45475</v>
      </c>
      <c r="D1373" t="inlineStr">
        <is>
          <t>STOCKHOLMS LÄN</t>
        </is>
      </c>
      <c r="E1373" t="inlineStr">
        <is>
          <t>NORRTÄLJE</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50143-2023</t>
        </is>
      </c>
      <c r="B1374" s="1" t="n">
        <v>45215</v>
      </c>
      <c r="C1374" s="1" t="n">
        <v>45475</v>
      </c>
      <c r="D1374" t="inlineStr">
        <is>
          <t>STOCKHOLMS LÄN</t>
        </is>
      </c>
      <c r="E1374" t="inlineStr">
        <is>
          <t>NORRTÄLJE</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50107-2023</t>
        </is>
      </c>
      <c r="B1375" s="1" t="n">
        <v>45215</v>
      </c>
      <c r="C1375" s="1" t="n">
        <v>45475</v>
      </c>
      <c r="D1375" t="inlineStr">
        <is>
          <t>STOCKHOLMS LÄN</t>
        </is>
      </c>
      <c r="E1375" t="inlineStr">
        <is>
          <t>NORRTÄLJE</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50033-2023</t>
        </is>
      </c>
      <c r="B1376" s="1" t="n">
        <v>45215</v>
      </c>
      <c r="C1376" s="1" t="n">
        <v>45475</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50136-2023</t>
        </is>
      </c>
      <c r="B1377" s="1" t="n">
        <v>45215</v>
      </c>
      <c r="C1377" s="1" t="n">
        <v>45475</v>
      </c>
      <c r="D1377" t="inlineStr">
        <is>
          <t>STOCKHOLMS LÄN</t>
        </is>
      </c>
      <c r="E1377" t="inlineStr">
        <is>
          <t>NORRTÄLJE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50150-2023</t>
        </is>
      </c>
      <c r="B1378" s="1" t="n">
        <v>45215</v>
      </c>
      <c r="C1378" s="1" t="n">
        <v>45475</v>
      </c>
      <c r="D1378" t="inlineStr">
        <is>
          <t>STOCKHOLMS LÄN</t>
        </is>
      </c>
      <c r="E1378" t="inlineStr">
        <is>
          <t>NORRTÄLJE</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50289-2023</t>
        </is>
      </c>
      <c r="B1379" s="1" t="n">
        <v>45216</v>
      </c>
      <c r="C1379" s="1" t="n">
        <v>45475</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50436-2023</t>
        </is>
      </c>
      <c r="B1380" s="1" t="n">
        <v>45216</v>
      </c>
      <c r="C1380" s="1" t="n">
        <v>45475</v>
      </c>
      <c r="D1380" t="inlineStr">
        <is>
          <t>STOCKHOLMS LÄN</t>
        </is>
      </c>
      <c r="E1380" t="inlineStr">
        <is>
          <t>NORRTÄLJE</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50690-2023</t>
        </is>
      </c>
      <c r="B1381" s="1" t="n">
        <v>45217</v>
      </c>
      <c r="C1381" s="1" t="n">
        <v>45475</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51049-2023</t>
        </is>
      </c>
      <c r="B1382" s="1" t="n">
        <v>45218</v>
      </c>
      <c r="C1382" s="1" t="n">
        <v>45475</v>
      </c>
      <c r="D1382" t="inlineStr">
        <is>
          <t>STOCKHOLMS LÄN</t>
        </is>
      </c>
      <c r="E1382" t="inlineStr">
        <is>
          <t>NORRTÄLJE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51063-2023</t>
        </is>
      </c>
      <c r="B1383" s="1" t="n">
        <v>45218</v>
      </c>
      <c r="C1383" s="1" t="n">
        <v>45475</v>
      </c>
      <c r="D1383" t="inlineStr">
        <is>
          <t>STOCKHOLMS LÄN</t>
        </is>
      </c>
      <c r="E1383" t="inlineStr">
        <is>
          <t>NORRTÄLJE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50880-2023</t>
        </is>
      </c>
      <c r="B1384" s="1" t="n">
        <v>45218</v>
      </c>
      <c r="C1384" s="1" t="n">
        <v>45475</v>
      </c>
      <c r="D1384" t="inlineStr">
        <is>
          <t>STOCKHOLMS LÄN</t>
        </is>
      </c>
      <c r="E1384" t="inlineStr">
        <is>
          <t>NORRTÄLJE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51046-2023</t>
        </is>
      </c>
      <c r="B1385" s="1" t="n">
        <v>45218</v>
      </c>
      <c r="C1385" s="1" t="n">
        <v>45475</v>
      </c>
      <c r="D1385" t="inlineStr">
        <is>
          <t>STOCKHOLMS LÄN</t>
        </is>
      </c>
      <c r="E1385" t="inlineStr">
        <is>
          <t>NORRTÄLJE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51043-2023</t>
        </is>
      </c>
      <c r="B1386" s="1" t="n">
        <v>45218</v>
      </c>
      <c r="C1386" s="1" t="n">
        <v>45475</v>
      </c>
      <c r="D1386" t="inlineStr">
        <is>
          <t>STOCKHOLMS LÄN</t>
        </is>
      </c>
      <c r="E1386" t="inlineStr">
        <is>
          <t>NORRTÄLJE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51061-2023</t>
        </is>
      </c>
      <c r="B1387" s="1" t="n">
        <v>45218</v>
      </c>
      <c r="C1387" s="1" t="n">
        <v>45475</v>
      </c>
      <c r="D1387" t="inlineStr">
        <is>
          <t>STOCKHOLMS LÄN</t>
        </is>
      </c>
      <c r="E1387" t="inlineStr">
        <is>
          <t>NORRTÄLJE</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51325-2023</t>
        </is>
      </c>
      <c r="B1388" s="1" t="n">
        <v>45219</v>
      </c>
      <c r="C1388" s="1" t="n">
        <v>45475</v>
      </c>
      <c r="D1388" t="inlineStr">
        <is>
          <t>STOCKHOLMS LÄN</t>
        </is>
      </c>
      <c r="E1388" t="inlineStr">
        <is>
          <t>NORRTÄLJE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51312-2023</t>
        </is>
      </c>
      <c r="B1389" s="1" t="n">
        <v>45219</v>
      </c>
      <c r="C1389" s="1" t="n">
        <v>45475</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51597-2023</t>
        </is>
      </c>
      <c r="B1390" s="1" t="n">
        <v>45222</v>
      </c>
      <c r="C1390" s="1" t="n">
        <v>45475</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51657-2023</t>
        </is>
      </c>
      <c r="B1391" s="1" t="n">
        <v>45222</v>
      </c>
      <c r="C1391" s="1" t="n">
        <v>45475</v>
      </c>
      <c r="D1391" t="inlineStr">
        <is>
          <t>STOCKHOLMS LÄN</t>
        </is>
      </c>
      <c r="E1391" t="inlineStr">
        <is>
          <t>NORRTÄLJE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51903-2023</t>
        </is>
      </c>
      <c r="B1392" s="1" t="n">
        <v>45223</v>
      </c>
      <c r="C1392" s="1" t="n">
        <v>45475</v>
      </c>
      <c r="D1392" t="inlineStr">
        <is>
          <t>STOCKHOLMS LÄN</t>
        </is>
      </c>
      <c r="E1392" t="inlineStr">
        <is>
          <t>NORRTÄLJE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52095-2023</t>
        </is>
      </c>
      <c r="B1393" s="1" t="n">
        <v>45223</v>
      </c>
      <c r="C1393" s="1" t="n">
        <v>45475</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51978-2023</t>
        </is>
      </c>
      <c r="B1394" s="1" t="n">
        <v>45223</v>
      </c>
      <c r="C1394" s="1" t="n">
        <v>45475</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51997-2023</t>
        </is>
      </c>
      <c r="B1395" s="1" t="n">
        <v>45223</v>
      </c>
      <c r="C1395" s="1" t="n">
        <v>45475</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52001-2023</t>
        </is>
      </c>
      <c r="B1396" s="1" t="n">
        <v>45223</v>
      </c>
      <c r="C1396" s="1" t="n">
        <v>45475</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52096-2023</t>
        </is>
      </c>
      <c r="B1397" s="1" t="n">
        <v>45223</v>
      </c>
      <c r="C1397" s="1" t="n">
        <v>45475</v>
      </c>
      <c r="D1397" t="inlineStr">
        <is>
          <t>STOCKHOLMS LÄN</t>
        </is>
      </c>
      <c r="E1397" t="inlineStr">
        <is>
          <t>NORRTÄLJE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53362-2023</t>
        </is>
      </c>
      <c r="B1398" s="1" t="n">
        <v>45223</v>
      </c>
      <c r="C1398" s="1" t="n">
        <v>45475</v>
      </c>
      <c r="D1398" t="inlineStr">
        <is>
          <t>STOCKHOLMS LÄN</t>
        </is>
      </c>
      <c r="E1398" t="inlineStr">
        <is>
          <t>NORRTÄLJE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53372-2023</t>
        </is>
      </c>
      <c r="B1399" s="1" t="n">
        <v>45223</v>
      </c>
      <c r="C1399" s="1" t="n">
        <v>45475</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52221-2023</t>
        </is>
      </c>
      <c r="B1400" s="1" t="n">
        <v>45224</v>
      </c>
      <c r="C1400" s="1" t="n">
        <v>45475</v>
      </c>
      <c r="D1400" t="inlineStr">
        <is>
          <t>STOCKHOLMS LÄN</t>
        </is>
      </c>
      <c r="E1400" t="inlineStr">
        <is>
          <t>NORRTÄLJE</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53561-2023</t>
        </is>
      </c>
      <c r="B1401" s="1" t="n">
        <v>45224</v>
      </c>
      <c r="C1401" s="1" t="n">
        <v>45475</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53556-2023</t>
        </is>
      </c>
      <c r="B1402" s="1" t="n">
        <v>45224</v>
      </c>
      <c r="C1402" s="1" t="n">
        <v>45475</v>
      </c>
      <c r="D1402" t="inlineStr">
        <is>
          <t>STOCKHOLMS LÄN</t>
        </is>
      </c>
      <c r="E1402" t="inlineStr">
        <is>
          <t>NORRTÄLJE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52570-2023</t>
        </is>
      </c>
      <c r="B1403" s="1" t="n">
        <v>45225</v>
      </c>
      <c r="C1403" s="1" t="n">
        <v>45475</v>
      </c>
      <c r="D1403" t="inlineStr">
        <is>
          <t>STOCKHOLMS LÄN</t>
        </is>
      </c>
      <c r="E1403" t="inlineStr">
        <is>
          <t>NORRTÄLJE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52619-2023</t>
        </is>
      </c>
      <c r="B1404" s="1" t="n">
        <v>45225</v>
      </c>
      <c r="C1404" s="1" t="n">
        <v>45475</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52875-2023</t>
        </is>
      </c>
      <c r="B1405" s="1" t="n">
        <v>45226</v>
      </c>
      <c r="C1405" s="1" t="n">
        <v>45475</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52899-2023</t>
        </is>
      </c>
      <c r="B1406" s="1" t="n">
        <v>45226</v>
      </c>
      <c r="C1406" s="1" t="n">
        <v>45475</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53563-2023</t>
        </is>
      </c>
      <c r="B1407" s="1" t="n">
        <v>45230</v>
      </c>
      <c r="C1407" s="1" t="n">
        <v>45475</v>
      </c>
      <c r="D1407" t="inlineStr">
        <is>
          <t>STOCKHOLMS LÄN</t>
        </is>
      </c>
      <c r="E1407" t="inlineStr">
        <is>
          <t>NORRTÄLJE</t>
        </is>
      </c>
      <c r="G1407" t="n">
        <v>17.2</v>
      </c>
      <c r="H1407" t="n">
        <v>0</v>
      </c>
      <c r="I1407" t="n">
        <v>0</v>
      </c>
      <c r="J1407" t="n">
        <v>0</v>
      </c>
      <c r="K1407" t="n">
        <v>0</v>
      </c>
      <c r="L1407" t="n">
        <v>0</v>
      </c>
      <c r="M1407" t="n">
        <v>0</v>
      </c>
      <c r="N1407" t="n">
        <v>0</v>
      </c>
      <c r="O1407" t="n">
        <v>0</v>
      </c>
      <c r="P1407" t="n">
        <v>0</v>
      </c>
      <c r="Q1407" t="n">
        <v>0</v>
      </c>
      <c r="R1407" s="2" t="inlineStr"/>
    </row>
    <row r="1408" ht="15" customHeight="1">
      <c r="A1408" t="inlineStr">
        <is>
          <t>A 53718-2023</t>
        </is>
      </c>
      <c r="B1408" s="1" t="n">
        <v>45230</v>
      </c>
      <c r="C1408" s="1" t="n">
        <v>45475</v>
      </c>
      <c r="D1408" t="inlineStr">
        <is>
          <t>STOCKHOLMS LÄN</t>
        </is>
      </c>
      <c r="E1408" t="inlineStr">
        <is>
          <t>NORRTÄLJE</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53787-2023</t>
        </is>
      </c>
      <c r="B1409" s="1" t="n">
        <v>45231</v>
      </c>
      <c r="C1409" s="1" t="n">
        <v>45475</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53792-2023</t>
        </is>
      </c>
      <c r="B1410" s="1" t="n">
        <v>45231</v>
      </c>
      <c r="C1410" s="1" t="n">
        <v>45475</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55518-2023</t>
        </is>
      </c>
      <c r="B1411" s="1" t="n">
        <v>45231</v>
      </c>
      <c r="C1411" s="1" t="n">
        <v>45475</v>
      </c>
      <c r="D1411" t="inlineStr">
        <is>
          <t>STOCKHOLMS LÄN</t>
        </is>
      </c>
      <c r="E1411" t="inlineStr">
        <is>
          <t>NORRTÄLJE</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55533-2023</t>
        </is>
      </c>
      <c r="B1412" s="1" t="n">
        <v>45231</v>
      </c>
      <c r="C1412" s="1" t="n">
        <v>45475</v>
      </c>
      <c r="D1412" t="inlineStr">
        <is>
          <t>STOCKHOLMS LÄN</t>
        </is>
      </c>
      <c r="E1412" t="inlineStr">
        <is>
          <t>NORRTÄLJE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54259-2023</t>
        </is>
      </c>
      <c r="B1413" s="1" t="n">
        <v>45232</v>
      </c>
      <c r="C1413" s="1" t="n">
        <v>45475</v>
      </c>
      <c r="D1413" t="inlineStr">
        <is>
          <t>STOCKHOLMS LÄN</t>
        </is>
      </c>
      <c r="E1413" t="inlineStr">
        <is>
          <t>NORRTÄLJE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54546-2023</t>
        </is>
      </c>
      <c r="B1414" s="1" t="n">
        <v>45233</v>
      </c>
      <c r="C1414" s="1" t="n">
        <v>45475</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54776-2023</t>
        </is>
      </c>
      <c r="B1415" s="1" t="n">
        <v>45236</v>
      </c>
      <c r="C1415" s="1" t="n">
        <v>45475</v>
      </c>
      <c r="D1415" t="inlineStr">
        <is>
          <t>STOCKHOLMS LÄN</t>
        </is>
      </c>
      <c r="E1415" t="inlineStr">
        <is>
          <t>NORRTÄLJE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55038-2023</t>
        </is>
      </c>
      <c r="B1416" s="1" t="n">
        <v>45237</v>
      </c>
      <c r="C1416" s="1" t="n">
        <v>45475</v>
      </c>
      <c r="D1416" t="inlineStr">
        <is>
          <t>STOCKHOLMS LÄN</t>
        </is>
      </c>
      <c r="E1416" t="inlineStr">
        <is>
          <t>NORRTÄLJE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55243-2023</t>
        </is>
      </c>
      <c r="B1417" s="1" t="n">
        <v>45237</v>
      </c>
      <c r="C1417" s="1" t="n">
        <v>45475</v>
      </c>
      <c r="D1417" t="inlineStr">
        <is>
          <t>STOCKHOLMS LÄN</t>
        </is>
      </c>
      <c r="E1417" t="inlineStr">
        <is>
          <t>NORRTÄLJE</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55369-2023</t>
        </is>
      </c>
      <c r="B1418" s="1" t="n">
        <v>45238</v>
      </c>
      <c r="C1418" s="1" t="n">
        <v>45475</v>
      </c>
      <c r="D1418" t="inlineStr">
        <is>
          <t>STOCKHOLMS LÄN</t>
        </is>
      </c>
      <c r="E1418" t="inlineStr">
        <is>
          <t>NORRTÄLJE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55755-2023</t>
        </is>
      </c>
      <c r="B1419" s="1" t="n">
        <v>45239</v>
      </c>
      <c r="C1419" s="1" t="n">
        <v>45475</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56428-2023</t>
        </is>
      </c>
      <c r="B1420" s="1" t="n">
        <v>45243</v>
      </c>
      <c r="C1420" s="1" t="n">
        <v>45475</v>
      </c>
      <c r="D1420" t="inlineStr">
        <is>
          <t>STOCKHOLMS LÄN</t>
        </is>
      </c>
      <c r="E1420" t="inlineStr">
        <is>
          <t>NORRTÄLJE</t>
        </is>
      </c>
      <c r="F1420" t="inlineStr">
        <is>
          <t>Kyrkan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56439-2023</t>
        </is>
      </c>
      <c r="B1421" s="1" t="n">
        <v>45243</v>
      </c>
      <c r="C1421" s="1" t="n">
        <v>45475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56445-2023</t>
        </is>
      </c>
      <c r="B1422" s="1" t="n">
        <v>45243</v>
      </c>
      <c r="C1422" s="1" t="n">
        <v>45475</v>
      </c>
      <c r="D1422" t="inlineStr">
        <is>
          <t>STOCKHOLMS LÄN</t>
        </is>
      </c>
      <c r="E1422" t="inlineStr">
        <is>
          <t>NORRTÄLJE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56577-2023</t>
        </is>
      </c>
      <c r="B1423" s="1" t="n">
        <v>45243</v>
      </c>
      <c r="C1423" s="1" t="n">
        <v>45475</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56593-2023</t>
        </is>
      </c>
      <c r="B1424" s="1" t="n">
        <v>45243</v>
      </c>
      <c r="C1424" s="1" t="n">
        <v>45475</v>
      </c>
      <c r="D1424" t="inlineStr">
        <is>
          <t>STOCKHOLMS LÄN</t>
        </is>
      </c>
      <c r="E1424" t="inlineStr">
        <is>
          <t>NORRTÄLJE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56819-2023</t>
        </is>
      </c>
      <c r="B1425" s="1" t="n">
        <v>45244</v>
      </c>
      <c r="C1425" s="1" t="n">
        <v>45475</v>
      </c>
      <c r="D1425" t="inlineStr">
        <is>
          <t>STOCKHOLMS LÄN</t>
        </is>
      </c>
      <c r="E1425" t="inlineStr">
        <is>
          <t>NORRTÄLJE</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58261-2023</t>
        </is>
      </c>
      <c r="B1426" s="1" t="n">
        <v>45245</v>
      </c>
      <c r="C1426" s="1" t="n">
        <v>45475</v>
      </c>
      <c r="D1426" t="inlineStr">
        <is>
          <t>STOCKHOLMS LÄN</t>
        </is>
      </c>
      <c r="E1426" t="inlineStr">
        <is>
          <t>NORRTÄLJE</t>
        </is>
      </c>
      <c r="G1426" t="n">
        <v>53.5</v>
      </c>
      <c r="H1426" t="n">
        <v>0</v>
      </c>
      <c r="I1426" t="n">
        <v>0</v>
      </c>
      <c r="J1426" t="n">
        <v>0</v>
      </c>
      <c r="K1426" t="n">
        <v>0</v>
      </c>
      <c r="L1426" t="n">
        <v>0</v>
      </c>
      <c r="M1426" t="n">
        <v>0</v>
      </c>
      <c r="N1426" t="n">
        <v>0</v>
      </c>
      <c r="O1426" t="n">
        <v>0</v>
      </c>
      <c r="P1426" t="n">
        <v>0</v>
      </c>
      <c r="Q1426" t="n">
        <v>0</v>
      </c>
      <c r="R1426" s="2" t="inlineStr"/>
    </row>
    <row r="1427" ht="15" customHeight="1">
      <c r="A1427" t="inlineStr">
        <is>
          <t>A 58209-2023</t>
        </is>
      </c>
      <c r="B1427" s="1" t="n">
        <v>45245</v>
      </c>
      <c r="C1427" s="1" t="n">
        <v>45475</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58227-2023</t>
        </is>
      </c>
      <c r="B1428" s="1" t="n">
        <v>45245</v>
      </c>
      <c r="C1428" s="1" t="n">
        <v>45475</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58291-2023</t>
        </is>
      </c>
      <c r="B1429" s="1" t="n">
        <v>45245</v>
      </c>
      <c r="C1429" s="1" t="n">
        <v>45475</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58277-2023</t>
        </is>
      </c>
      <c r="B1430" s="1" t="n">
        <v>45245</v>
      </c>
      <c r="C1430" s="1" t="n">
        <v>45475</v>
      </c>
      <c r="D1430" t="inlineStr">
        <is>
          <t>STOCKHOLMS LÄN</t>
        </is>
      </c>
      <c r="E1430" t="inlineStr">
        <is>
          <t>NORRTÄLJE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58213-2023</t>
        </is>
      </c>
      <c r="B1431" s="1" t="n">
        <v>45245</v>
      </c>
      <c r="C1431" s="1" t="n">
        <v>45475</v>
      </c>
      <c r="D1431" t="inlineStr">
        <is>
          <t>STOCKHOLMS LÄN</t>
        </is>
      </c>
      <c r="E1431" t="inlineStr">
        <is>
          <t>NORRTÄLJE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58311-2023</t>
        </is>
      </c>
      <c r="B1432" s="1" t="n">
        <v>45245</v>
      </c>
      <c r="C1432" s="1" t="n">
        <v>45475</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58300-2023</t>
        </is>
      </c>
      <c r="B1433" s="1" t="n">
        <v>45245</v>
      </c>
      <c r="C1433" s="1" t="n">
        <v>45475</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58260-2023</t>
        </is>
      </c>
      <c r="B1434" s="1" t="n">
        <v>45245</v>
      </c>
      <c r="C1434" s="1" t="n">
        <v>45475</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58297-2023</t>
        </is>
      </c>
      <c r="B1435" s="1" t="n">
        <v>45245</v>
      </c>
      <c r="C1435" s="1" t="n">
        <v>45475</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58306-2023</t>
        </is>
      </c>
      <c r="B1436" s="1" t="n">
        <v>45245</v>
      </c>
      <c r="C1436" s="1" t="n">
        <v>45475</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58404-2023</t>
        </is>
      </c>
      <c r="B1437" s="1" t="n">
        <v>45245</v>
      </c>
      <c r="C1437" s="1" t="n">
        <v>45475</v>
      </c>
      <c r="D1437" t="inlineStr">
        <is>
          <t>STOCKHOLMS LÄN</t>
        </is>
      </c>
      <c r="E1437" t="inlineStr">
        <is>
          <t>NORRTÄLJE</t>
        </is>
      </c>
      <c r="G1437" t="n">
        <v>53.5</v>
      </c>
      <c r="H1437" t="n">
        <v>0</v>
      </c>
      <c r="I1437" t="n">
        <v>0</v>
      </c>
      <c r="J1437" t="n">
        <v>0</v>
      </c>
      <c r="K1437" t="n">
        <v>0</v>
      </c>
      <c r="L1437" t="n">
        <v>0</v>
      </c>
      <c r="M1437" t="n">
        <v>0</v>
      </c>
      <c r="N1437" t="n">
        <v>0</v>
      </c>
      <c r="O1437" t="n">
        <v>0</v>
      </c>
      <c r="P1437" t="n">
        <v>0</v>
      </c>
      <c r="Q1437" t="n">
        <v>0</v>
      </c>
      <c r="R1437" s="2" t="inlineStr"/>
    </row>
    <row r="1438" ht="15" customHeight="1">
      <c r="A1438" t="inlineStr">
        <is>
          <t>A 58191-2023</t>
        </is>
      </c>
      <c r="B1438" s="1" t="n">
        <v>45250</v>
      </c>
      <c r="C1438" s="1" t="n">
        <v>45475</v>
      </c>
      <c r="D1438" t="inlineStr">
        <is>
          <t>STOCKHOLMS LÄN</t>
        </is>
      </c>
      <c r="E1438" t="inlineStr">
        <is>
          <t>NORRTÄLJE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58186-2023</t>
        </is>
      </c>
      <c r="B1439" s="1" t="n">
        <v>45250</v>
      </c>
      <c r="C1439" s="1" t="n">
        <v>45475</v>
      </c>
      <c r="D1439" t="inlineStr">
        <is>
          <t>STOCKHOLMS LÄN</t>
        </is>
      </c>
      <c r="E1439" t="inlineStr">
        <is>
          <t>NORRTÄLJE</t>
        </is>
      </c>
      <c r="F1439" t="inlineStr">
        <is>
          <t>Kyrkan</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58981-2023</t>
        </is>
      </c>
      <c r="B1440" s="1" t="n">
        <v>45250</v>
      </c>
      <c r="C1440" s="1" t="n">
        <v>45475</v>
      </c>
      <c r="D1440" t="inlineStr">
        <is>
          <t>STOCKHOLMS LÄN</t>
        </is>
      </c>
      <c r="E1440" t="inlineStr">
        <is>
          <t>NORRTÄLJE</t>
        </is>
      </c>
      <c r="F1440" t="inlineStr">
        <is>
          <t>Övriga statliga verk och myndigheter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58601-2023</t>
        </is>
      </c>
      <c r="B1441" s="1" t="n">
        <v>45251</v>
      </c>
      <c r="C1441" s="1" t="n">
        <v>45475</v>
      </c>
      <c r="D1441" t="inlineStr">
        <is>
          <t>STOCKHOLMS LÄN</t>
        </is>
      </c>
      <c r="E1441" t="inlineStr">
        <is>
          <t>NORRTÄLJE</t>
        </is>
      </c>
      <c r="F1441" t="inlineStr">
        <is>
          <t>Holmen skog AB</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59310-2023</t>
        </is>
      </c>
      <c r="B1442" s="1" t="n">
        <v>45253</v>
      </c>
      <c r="C1442" s="1" t="n">
        <v>45475</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59326-2023</t>
        </is>
      </c>
      <c r="B1443" s="1" t="n">
        <v>45253</v>
      </c>
      <c r="C1443" s="1" t="n">
        <v>45475</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59212-2023</t>
        </is>
      </c>
      <c r="B1444" s="1" t="n">
        <v>45253</v>
      </c>
      <c r="C1444" s="1" t="n">
        <v>45475</v>
      </c>
      <c r="D1444" t="inlineStr">
        <is>
          <t>STOCKHOLMS LÄN</t>
        </is>
      </c>
      <c r="E1444" t="inlineStr">
        <is>
          <t>NORRTÄLJE</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59276-2023</t>
        </is>
      </c>
      <c r="B1445" s="1" t="n">
        <v>45253</v>
      </c>
      <c r="C1445" s="1" t="n">
        <v>45475</v>
      </c>
      <c r="D1445" t="inlineStr">
        <is>
          <t>STOCKHOLMS LÄN</t>
        </is>
      </c>
      <c r="E1445" t="inlineStr">
        <is>
          <t>NORRTÄLJE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59468-2023</t>
        </is>
      </c>
      <c r="B1446" s="1" t="n">
        <v>45254</v>
      </c>
      <c r="C1446" s="1" t="n">
        <v>45475</v>
      </c>
      <c r="D1446" t="inlineStr">
        <is>
          <t>STOCKHOLMS LÄN</t>
        </is>
      </c>
      <c r="E1446" t="inlineStr">
        <is>
          <t>NORRTÄLJE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59499-2023</t>
        </is>
      </c>
      <c r="B1447" s="1" t="n">
        <v>45254</v>
      </c>
      <c r="C1447" s="1" t="n">
        <v>45475</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59504-2023</t>
        </is>
      </c>
      <c r="B1448" s="1" t="n">
        <v>45254</v>
      </c>
      <c r="C1448" s="1" t="n">
        <v>45475</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59676-2023</t>
        </is>
      </c>
      <c r="B1449" s="1" t="n">
        <v>45255</v>
      </c>
      <c r="C1449" s="1" t="n">
        <v>45475</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59904-2023</t>
        </is>
      </c>
      <c r="B1450" s="1" t="n">
        <v>45257</v>
      </c>
      <c r="C1450" s="1" t="n">
        <v>45475</v>
      </c>
      <c r="D1450" t="inlineStr">
        <is>
          <t>STOCKHOLMS LÄN</t>
        </is>
      </c>
      <c r="E1450" t="inlineStr">
        <is>
          <t>NORRTÄLJE</t>
        </is>
      </c>
      <c r="G1450" t="n">
        <v>17.4</v>
      </c>
      <c r="H1450" t="n">
        <v>0</v>
      </c>
      <c r="I1450" t="n">
        <v>0</v>
      </c>
      <c r="J1450" t="n">
        <v>0</v>
      </c>
      <c r="K1450" t="n">
        <v>0</v>
      </c>
      <c r="L1450" t="n">
        <v>0</v>
      </c>
      <c r="M1450" t="n">
        <v>0</v>
      </c>
      <c r="N1450" t="n">
        <v>0</v>
      </c>
      <c r="O1450" t="n">
        <v>0</v>
      </c>
      <c r="P1450" t="n">
        <v>0</v>
      </c>
      <c r="Q1450" t="n">
        <v>0</v>
      </c>
      <c r="R1450" s="2" t="inlineStr"/>
    </row>
    <row r="1451" ht="15" customHeight="1">
      <c r="A1451" t="inlineStr">
        <is>
          <t>A 59906-2023</t>
        </is>
      </c>
      <c r="B1451" s="1" t="n">
        <v>45257</v>
      </c>
      <c r="C1451" s="1" t="n">
        <v>45475</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59992-2023</t>
        </is>
      </c>
      <c r="B1452" s="1" t="n">
        <v>45257</v>
      </c>
      <c r="C1452" s="1" t="n">
        <v>45475</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60224-2023</t>
        </is>
      </c>
      <c r="B1453" s="1" t="n">
        <v>45257</v>
      </c>
      <c r="C1453" s="1" t="n">
        <v>45475</v>
      </c>
      <c r="D1453" t="inlineStr">
        <is>
          <t>STOCKHOLMS LÄN</t>
        </is>
      </c>
      <c r="E1453" t="inlineStr">
        <is>
          <t>NORRTÄLJE</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60073-2023</t>
        </is>
      </c>
      <c r="B1454" s="1" t="n">
        <v>45258</v>
      </c>
      <c r="C1454" s="1" t="n">
        <v>45475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60492-2023</t>
        </is>
      </c>
      <c r="B1455" s="1" t="n">
        <v>45259</v>
      </c>
      <c r="C1455" s="1" t="n">
        <v>45475</v>
      </c>
      <c r="D1455" t="inlineStr">
        <is>
          <t>STOCKHOLMS LÄN</t>
        </is>
      </c>
      <c r="E1455" t="inlineStr">
        <is>
          <t>NORRTÄLJE</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60529-2023</t>
        </is>
      </c>
      <c r="B1456" s="1" t="n">
        <v>45259</v>
      </c>
      <c r="C1456" s="1" t="n">
        <v>45475</v>
      </c>
      <c r="D1456" t="inlineStr">
        <is>
          <t>STOCKHOLMS LÄN</t>
        </is>
      </c>
      <c r="E1456" t="inlineStr">
        <is>
          <t>NORRTÄLJE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60822-2023</t>
        </is>
      </c>
      <c r="B1457" s="1" t="n">
        <v>45259</v>
      </c>
      <c r="C1457" s="1" t="n">
        <v>45475</v>
      </c>
      <c r="D1457" t="inlineStr">
        <is>
          <t>STOCKHOLMS LÄN</t>
        </is>
      </c>
      <c r="E1457" t="inlineStr">
        <is>
          <t>NORRTÄLJE</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60654-2023</t>
        </is>
      </c>
      <c r="B1458" s="1" t="n">
        <v>45260</v>
      </c>
      <c r="C1458" s="1" t="n">
        <v>45475</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60640-2023</t>
        </is>
      </c>
      <c r="B1459" s="1" t="n">
        <v>45260</v>
      </c>
      <c r="C1459" s="1" t="n">
        <v>45475</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60672-2023</t>
        </is>
      </c>
      <c r="B1460" s="1" t="n">
        <v>45260</v>
      </c>
      <c r="C1460" s="1" t="n">
        <v>45475</v>
      </c>
      <c r="D1460" t="inlineStr">
        <is>
          <t>STOCKHOLMS LÄN</t>
        </is>
      </c>
      <c r="E1460" t="inlineStr">
        <is>
          <t>NORRTÄLJE</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60823-2023</t>
        </is>
      </c>
      <c r="B1461" s="1" t="n">
        <v>45260</v>
      </c>
      <c r="C1461" s="1" t="n">
        <v>45475</v>
      </c>
      <c r="D1461" t="inlineStr">
        <is>
          <t>STOCKHOLMS LÄN</t>
        </is>
      </c>
      <c r="E1461" t="inlineStr">
        <is>
          <t>NORRTÄLJE</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60656-2023</t>
        </is>
      </c>
      <c r="B1462" s="1" t="n">
        <v>45260</v>
      </c>
      <c r="C1462" s="1" t="n">
        <v>45475</v>
      </c>
      <c r="D1462" t="inlineStr">
        <is>
          <t>STOCKHOLMS LÄN</t>
        </is>
      </c>
      <c r="E1462" t="inlineStr">
        <is>
          <t>NORRTÄLJE</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60765-2023</t>
        </is>
      </c>
      <c r="B1463" s="1" t="n">
        <v>45260</v>
      </c>
      <c r="C1463" s="1" t="n">
        <v>45475</v>
      </c>
      <c r="D1463" t="inlineStr">
        <is>
          <t>STOCKHOLMS LÄN</t>
        </is>
      </c>
      <c r="E1463" t="inlineStr">
        <is>
          <t>NORRTÄLJE</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61113-2023</t>
        </is>
      </c>
      <c r="B1464" s="1" t="n">
        <v>45261</v>
      </c>
      <c r="C1464" s="1" t="n">
        <v>45475</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62644-2023</t>
        </is>
      </c>
      <c r="B1465" s="1" t="n">
        <v>45271</v>
      </c>
      <c r="C1465" s="1" t="n">
        <v>45475</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62998-2023</t>
        </is>
      </c>
      <c r="B1466" s="1" t="n">
        <v>45272</v>
      </c>
      <c r="C1466" s="1" t="n">
        <v>45475</v>
      </c>
      <c r="D1466" t="inlineStr">
        <is>
          <t>STOCKHOLMS LÄN</t>
        </is>
      </c>
      <c r="E1466" t="inlineStr">
        <is>
          <t>NORRTÄLJE</t>
        </is>
      </c>
      <c r="G1466" t="n">
        <v>16.3</v>
      </c>
      <c r="H1466" t="n">
        <v>0</v>
      </c>
      <c r="I1466" t="n">
        <v>0</v>
      </c>
      <c r="J1466" t="n">
        <v>0</v>
      </c>
      <c r="K1466" t="n">
        <v>0</v>
      </c>
      <c r="L1466" t="n">
        <v>0</v>
      </c>
      <c r="M1466" t="n">
        <v>0</v>
      </c>
      <c r="N1466" t="n">
        <v>0</v>
      </c>
      <c r="O1466" t="n">
        <v>0</v>
      </c>
      <c r="P1466" t="n">
        <v>0</v>
      </c>
      <c r="Q1466" t="n">
        <v>0</v>
      </c>
      <c r="R1466" s="2" t="inlineStr"/>
    </row>
    <row r="1467" ht="15" customHeight="1">
      <c r="A1467" t="inlineStr">
        <is>
          <t>A 63015-2023</t>
        </is>
      </c>
      <c r="B1467" s="1" t="n">
        <v>45272</v>
      </c>
      <c r="C1467" s="1" t="n">
        <v>45475</v>
      </c>
      <c r="D1467" t="inlineStr">
        <is>
          <t>STOCKHOLMS LÄN</t>
        </is>
      </c>
      <c r="E1467" t="inlineStr">
        <is>
          <t>NORRTÄLJE</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62971-2023</t>
        </is>
      </c>
      <c r="B1468" s="1" t="n">
        <v>45272</v>
      </c>
      <c r="C1468" s="1" t="n">
        <v>45475</v>
      </c>
      <c r="D1468" t="inlineStr">
        <is>
          <t>STOCKHOLMS LÄN</t>
        </is>
      </c>
      <c r="E1468" t="inlineStr">
        <is>
          <t>NORRTÄLJE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63013-2023</t>
        </is>
      </c>
      <c r="B1469" s="1" t="n">
        <v>45272</v>
      </c>
      <c r="C1469" s="1" t="n">
        <v>45475</v>
      </c>
      <c r="D1469" t="inlineStr">
        <is>
          <t>STOCKHOLMS LÄN</t>
        </is>
      </c>
      <c r="E1469" t="inlineStr">
        <is>
          <t>NORRTÄLJE</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63161-2023</t>
        </is>
      </c>
      <c r="B1470" s="1" t="n">
        <v>45273</v>
      </c>
      <c r="C1470" s="1" t="n">
        <v>45475</v>
      </c>
      <c r="D1470" t="inlineStr">
        <is>
          <t>STOCKHOLMS LÄN</t>
        </is>
      </c>
      <c r="E1470" t="inlineStr">
        <is>
          <t>NORRTÄLJE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63655-2023</t>
        </is>
      </c>
      <c r="B1471" s="1" t="n">
        <v>45275</v>
      </c>
      <c r="C1471" s="1" t="n">
        <v>45475</v>
      </c>
      <c r="D1471" t="inlineStr">
        <is>
          <t>STOCKHOLMS LÄN</t>
        </is>
      </c>
      <c r="E1471" t="inlineStr">
        <is>
          <t>NORRTÄLJE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64902-2023</t>
        </is>
      </c>
      <c r="B1472" s="1" t="n">
        <v>45282</v>
      </c>
      <c r="C1472" s="1" t="n">
        <v>45475</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64899-2023</t>
        </is>
      </c>
      <c r="B1473" s="1" t="n">
        <v>45282</v>
      </c>
      <c r="C1473" s="1" t="n">
        <v>45475</v>
      </c>
      <c r="D1473" t="inlineStr">
        <is>
          <t>STOCKHOLMS LÄN</t>
        </is>
      </c>
      <c r="E1473" t="inlineStr">
        <is>
          <t>NORRTÄLJE</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9-2024</t>
        </is>
      </c>
      <c r="B1474" s="1" t="n">
        <v>45293</v>
      </c>
      <c r="C1474" s="1" t="n">
        <v>45475</v>
      </c>
      <c r="D1474" t="inlineStr">
        <is>
          <t>STOCKHOLMS LÄN</t>
        </is>
      </c>
      <c r="E1474" t="inlineStr">
        <is>
          <t>NORRTÄLJE</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13-2024</t>
        </is>
      </c>
      <c r="B1475" s="1" t="n">
        <v>45293</v>
      </c>
      <c r="C1475" s="1" t="n">
        <v>45475</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11-2024</t>
        </is>
      </c>
      <c r="B1476" s="1" t="n">
        <v>45293</v>
      </c>
      <c r="C1476" s="1" t="n">
        <v>45475</v>
      </c>
      <c r="D1476" t="inlineStr">
        <is>
          <t>STOCKHOLMS LÄN</t>
        </is>
      </c>
      <c r="E1476" t="inlineStr">
        <is>
          <t>NORRTÄLJE</t>
        </is>
      </c>
      <c r="F1476" t="inlineStr">
        <is>
          <t>Sveaskog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19-2024</t>
        </is>
      </c>
      <c r="B1477" s="1" t="n">
        <v>45293</v>
      </c>
      <c r="C1477" s="1" t="n">
        <v>45475</v>
      </c>
      <c r="D1477" t="inlineStr">
        <is>
          <t>STOCKHOLMS LÄN</t>
        </is>
      </c>
      <c r="E1477" t="inlineStr">
        <is>
          <t>NORRTÄLJE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329-2024</t>
        </is>
      </c>
      <c r="B1478" s="1" t="n">
        <v>45295</v>
      </c>
      <c r="C1478" s="1" t="n">
        <v>45475</v>
      </c>
      <c r="D1478" t="inlineStr">
        <is>
          <t>STOCKHOLMS LÄN</t>
        </is>
      </c>
      <c r="E1478" t="inlineStr">
        <is>
          <t>NORRTÄLJE</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498-2024</t>
        </is>
      </c>
      <c r="B1479" s="1" t="n">
        <v>45299</v>
      </c>
      <c r="C1479" s="1" t="n">
        <v>45475</v>
      </c>
      <c r="D1479" t="inlineStr">
        <is>
          <t>STOCKHOLMS LÄN</t>
        </is>
      </c>
      <c r="E1479" t="inlineStr">
        <is>
          <t>NORRTÄLJE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577-2024</t>
        </is>
      </c>
      <c r="B1480" s="1" t="n">
        <v>45299</v>
      </c>
      <c r="C1480" s="1" t="n">
        <v>45475</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1372-2024</t>
        </is>
      </c>
      <c r="B1481" s="1" t="n">
        <v>45303</v>
      </c>
      <c r="C1481" s="1" t="n">
        <v>45475</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1996-2024</t>
        </is>
      </c>
      <c r="B1482" s="1" t="n">
        <v>45308</v>
      </c>
      <c r="C1482" s="1" t="n">
        <v>45475</v>
      </c>
      <c r="D1482" t="inlineStr">
        <is>
          <t>STOCKHOLMS LÄN</t>
        </is>
      </c>
      <c r="E1482" t="inlineStr">
        <is>
          <t>NORRTÄLJE</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2287-2024</t>
        </is>
      </c>
      <c r="B1483" s="1" t="n">
        <v>45310</v>
      </c>
      <c r="C1483" s="1" t="n">
        <v>45475</v>
      </c>
      <c r="D1483" t="inlineStr">
        <is>
          <t>STOCKHOLMS LÄN</t>
        </is>
      </c>
      <c r="E1483" t="inlineStr">
        <is>
          <t>NORRTÄLJE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2281-2024</t>
        </is>
      </c>
      <c r="B1484" s="1" t="n">
        <v>45310</v>
      </c>
      <c r="C1484" s="1" t="n">
        <v>45475</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2613-2024</t>
        </is>
      </c>
      <c r="B1485" s="1" t="n">
        <v>45313</v>
      </c>
      <c r="C1485" s="1" t="n">
        <v>45475</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2611-2024</t>
        </is>
      </c>
      <c r="B1486" s="1" t="n">
        <v>45313</v>
      </c>
      <c r="C1486" s="1" t="n">
        <v>45475</v>
      </c>
      <c r="D1486" t="inlineStr">
        <is>
          <t>STOCKHOLMS LÄN</t>
        </is>
      </c>
      <c r="E1486" t="inlineStr">
        <is>
          <t>NORRTÄLJE</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3084-2024</t>
        </is>
      </c>
      <c r="B1487" s="1" t="n">
        <v>45316</v>
      </c>
      <c r="C1487" s="1" t="n">
        <v>45475</v>
      </c>
      <c r="D1487" t="inlineStr">
        <is>
          <t>STOCKHOLMS LÄN</t>
        </is>
      </c>
      <c r="E1487" t="inlineStr">
        <is>
          <t>NORRTÄLJE</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3152-2024</t>
        </is>
      </c>
      <c r="B1488" s="1" t="n">
        <v>45316</v>
      </c>
      <c r="C1488" s="1" t="n">
        <v>45475</v>
      </c>
      <c r="D1488" t="inlineStr">
        <is>
          <t>STOCKHOLMS LÄN</t>
        </is>
      </c>
      <c r="E1488" t="inlineStr">
        <is>
          <t>NORRTÄLJE</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3381-2024</t>
        </is>
      </c>
      <c r="B1489" s="1" t="n">
        <v>45317</v>
      </c>
      <c r="C1489" s="1" t="n">
        <v>45475</v>
      </c>
      <c r="D1489" t="inlineStr">
        <is>
          <t>STOCKHOLMS LÄN</t>
        </is>
      </c>
      <c r="E1489" t="inlineStr">
        <is>
          <t>NORRTÄLJE</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3942-2024</t>
        </is>
      </c>
      <c r="B1490" s="1" t="n">
        <v>45322</v>
      </c>
      <c r="C1490" s="1" t="n">
        <v>45475</v>
      </c>
      <c r="D1490" t="inlineStr">
        <is>
          <t>STOCKHOLMS LÄN</t>
        </is>
      </c>
      <c r="E1490" t="inlineStr">
        <is>
          <t>NORRTÄLJE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3966-2024</t>
        </is>
      </c>
      <c r="B1491" s="1" t="n">
        <v>45322</v>
      </c>
      <c r="C1491" s="1" t="n">
        <v>45475</v>
      </c>
      <c r="D1491" t="inlineStr">
        <is>
          <t>STOCKHOLMS LÄN</t>
        </is>
      </c>
      <c r="E1491" t="inlineStr">
        <is>
          <t>NORRTÄLJE</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4051-2024</t>
        </is>
      </c>
      <c r="B1492" s="1" t="n">
        <v>45323</v>
      </c>
      <c r="C1492" s="1" t="n">
        <v>45475</v>
      </c>
      <c r="D1492" t="inlineStr">
        <is>
          <t>STOCKHOLMS LÄN</t>
        </is>
      </c>
      <c r="E1492" t="inlineStr">
        <is>
          <t>NORRTÄLJE</t>
        </is>
      </c>
      <c r="F1492" t="inlineStr">
        <is>
          <t>Kyrkan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4542-2024</t>
        </is>
      </c>
      <c r="B1493" s="1" t="n">
        <v>45327</v>
      </c>
      <c r="C1493" s="1" t="n">
        <v>45475</v>
      </c>
      <c r="D1493" t="inlineStr">
        <is>
          <t>STOCKHOLMS LÄN</t>
        </is>
      </c>
      <c r="E1493" t="inlineStr">
        <is>
          <t>NORRTÄLJE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4658-2024</t>
        </is>
      </c>
      <c r="B1494" s="1" t="n">
        <v>45328</v>
      </c>
      <c r="C1494" s="1" t="n">
        <v>45475</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4730-2024</t>
        </is>
      </c>
      <c r="B1495" s="1" t="n">
        <v>45328</v>
      </c>
      <c r="C1495" s="1" t="n">
        <v>45475</v>
      </c>
      <c r="D1495" t="inlineStr">
        <is>
          <t>STOCKHOLMS LÄN</t>
        </is>
      </c>
      <c r="E1495" t="inlineStr">
        <is>
          <t>NORRTÄLJE</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5158-2024</t>
        </is>
      </c>
      <c r="B1496" s="1" t="n">
        <v>45330</v>
      </c>
      <c r="C1496" s="1" t="n">
        <v>45475</v>
      </c>
      <c r="D1496" t="inlineStr">
        <is>
          <t>STOCKHOLMS LÄN</t>
        </is>
      </c>
      <c r="E1496" t="inlineStr">
        <is>
          <t>NORRTÄLJE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5670-2024</t>
        </is>
      </c>
      <c r="B1497" s="1" t="n">
        <v>45334</v>
      </c>
      <c r="C1497" s="1" t="n">
        <v>45475</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5664-2024</t>
        </is>
      </c>
      <c r="B1498" s="1" t="n">
        <v>45334</v>
      </c>
      <c r="C1498" s="1" t="n">
        <v>45475</v>
      </c>
      <c r="D1498" t="inlineStr">
        <is>
          <t>STOCKHOLMS LÄN</t>
        </is>
      </c>
      <c r="E1498" t="inlineStr">
        <is>
          <t>NORRTÄLJE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5683-2024</t>
        </is>
      </c>
      <c r="B1499" s="1" t="n">
        <v>45334</v>
      </c>
      <c r="C1499" s="1" t="n">
        <v>45475</v>
      </c>
      <c r="D1499" t="inlineStr">
        <is>
          <t>STOCKHOLMS LÄN</t>
        </is>
      </c>
      <c r="E1499" t="inlineStr">
        <is>
          <t>NORRTÄLJE</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5625-2024</t>
        </is>
      </c>
      <c r="B1500" s="1" t="n">
        <v>45334</v>
      </c>
      <c r="C1500" s="1" t="n">
        <v>45475</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5862-2024</t>
        </is>
      </c>
      <c r="B1501" s="1" t="n">
        <v>45335</v>
      </c>
      <c r="C1501" s="1" t="n">
        <v>45475</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5831-2024</t>
        </is>
      </c>
      <c r="B1502" s="1" t="n">
        <v>45335</v>
      </c>
      <c r="C1502" s="1" t="n">
        <v>45475</v>
      </c>
      <c r="D1502" t="inlineStr">
        <is>
          <t>STOCKHOLMS LÄN</t>
        </is>
      </c>
      <c r="E1502" t="inlineStr">
        <is>
          <t>NORRTÄLJE</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5894-2024</t>
        </is>
      </c>
      <c r="B1503" s="1" t="n">
        <v>45335</v>
      </c>
      <c r="C1503" s="1" t="n">
        <v>45475</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6401-2024</t>
        </is>
      </c>
      <c r="B1504" s="1" t="n">
        <v>45338</v>
      </c>
      <c r="C1504" s="1" t="n">
        <v>45475</v>
      </c>
      <c r="D1504" t="inlineStr">
        <is>
          <t>STOCKHOLMS LÄN</t>
        </is>
      </c>
      <c r="E1504" t="inlineStr">
        <is>
          <t>NORRTÄLJE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6537-2024</t>
        </is>
      </c>
      <c r="B1505" s="1" t="n">
        <v>45341</v>
      </c>
      <c r="C1505" s="1" t="n">
        <v>45475</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7009-2024</t>
        </is>
      </c>
      <c r="B1506" s="1" t="n">
        <v>45343</v>
      </c>
      <c r="C1506" s="1" t="n">
        <v>45475</v>
      </c>
      <c r="D1506" t="inlineStr">
        <is>
          <t>STOCKHOLMS LÄN</t>
        </is>
      </c>
      <c r="E1506" t="inlineStr">
        <is>
          <t>NORRTÄLJE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7186-2024</t>
        </is>
      </c>
      <c r="B1507" s="1" t="n">
        <v>45344</v>
      </c>
      <c r="C1507" s="1" t="n">
        <v>45475</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7408-2024</t>
        </is>
      </c>
      <c r="B1508" s="1" t="n">
        <v>45345</v>
      </c>
      <c r="C1508" s="1" t="n">
        <v>45475</v>
      </c>
      <c r="D1508" t="inlineStr">
        <is>
          <t>STOCKHOLMS LÄN</t>
        </is>
      </c>
      <c r="E1508" t="inlineStr">
        <is>
          <t>NORRTÄLJE</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7573-2024</t>
        </is>
      </c>
      <c r="B1509" s="1" t="n">
        <v>45345</v>
      </c>
      <c r="C1509" s="1" t="n">
        <v>45475</v>
      </c>
      <c r="D1509" t="inlineStr">
        <is>
          <t>STOCKHOLMS LÄN</t>
        </is>
      </c>
      <c r="E1509" t="inlineStr">
        <is>
          <t>NORRTÄLJE</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7425-2024</t>
        </is>
      </c>
      <c r="B1510" s="1" t="n">
        <v>45345</v>
      </c>
      <c r="C1510" s="1" t="n">
        <v>45475</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7413-2024</t>
        </is>
      </c>
      <c r="B1511" s="1" t="n">
        <v>45345</v>
      </c>
      <c r="C1511" s="1" t="n">
        <v>45475</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7385-2024</t>
        </is>
      </c>
      <c r="B1512" s="1" t="n">
        <v>45345</v>
      </c>
      <c r="C1512" s="1" t="n">
        <v>45475</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7329-2024</t>
        </is>
      </c>
      <c r="B1513" s="1" t="n">
        <v>45345</v>
      </c>
      <c r="C1513" s="1" t="n">
        <v>45475</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7483-2024</t>
        </is>
      </c>
      <c r="B1514" s="1" t="n">
        <v>45346</v>
      </c>
      <c r="C1514" s="1" t="n">
        <v>45475</v>
      </c>
      <c r="D1514" t="inlineStr">
        <is>
          <t>STOCKHOLMS LÄN</t>
        </is>
      </c>
      <c r="E1514" t="inlineStr">
        <is>
          <t>NORRTÄLJE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7571-2024</t>
        </is>
      </c>
      <c r="B1515" s="1" t="n">
        <v>45348</v>
      </c>
      <c r="C1515" s="1" t="n">
        <v>45475</v>
      </c>
      <c r="D1515" t="inlineStr">
        <is>
          <t>STOCKHOLMS LÄN</t>
        </is>
      </c>
      <c r="E1515" t="inlineStr">
        <is>
          <t>NORRTÄLJE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8270-2024</t>
        </is>
      </c>
      <c r="B1516" s="1" t="n">
        <v>45352</v>
      </c>
      <c r="C1516" s="1" t="n">
        <v>45475</v>
      </c>
      <c r="D1516" t="inlineStr">
        <is>
          <t>STOCKHOLMS LÄN</t>
        </is>
      </c>
      <c r="E1516" t="inlineStr">
        <is>
          <t>NORRTÄLJE</t>
        </is>
      </c>
      <c r="F1516" t="inlineStr">
        <is>
          <t>Kyrkan</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8399-2024</t>
        </is>
      </c>
      <c r="B1517" s="1" t="n">
        <v>45352</v>
      </c>
      <c r="C1517" s="1" t="n">
        <v>45475</v>
      </c>
      <c r="D1517" t="inlineStr">
        <is>
          <t>STOCKHOLMS LÄN</t>
        </is>
      </c>
      <c r="E1517" t="inlineStr">
        <is>
          <t>NORRTÄLJE</t>
        </is>
      </c>
      <c r="G1517" t="n">
        <v>11.4</v>
      </c>
      <c r="H1517" t="n">
        <v>0</v>
      </c>
      <c r="I1517" t="n">
        <v>0</v>
      </c>
      <c r="J1517" t="n">
        <v>0</v>
      </c>
      <c r="K1517" t="n">
        <v>0</v>
      </c>
      <c r="L1517" t="n">
        <v>0</v>
      </c>
      <c r="M1517" t="n">
        <v>0</v>
      </c>
      <c r="N1517" t="n">
        <v>0</v>
      </c>
      <c r="O1517" t="n">
        <v>0</v>
      </c>
      <c r="P1517" t="n">
        <v>0</v>
      </c>
      <c r="Q1517" t="n">
        <v>0</v>
      </c>
      <c r="R1517" s="2" t="inlineStr"/>
    </row>
    <row r="1518" ht="15" customHeight="1">
      <c r="A1518" t="inlineStr">
        <is>
          <t>A 8365-2024</t>
        </is>
      </c>
      <c r="B1518" s="1" t="n">
        <v>45352</v>
      </c>
      <c r="C1518" s="1" t="n">
        <v>45475</v>
      </c>
      <c r="D1518" t="inlineStr">
        <is>
          <t>STOCKHOLMS LÄN</t>
        </is>
      </c>
      <c r="E1518" t="inlineStr">
        <is>
          <t>NORRTÄLJE</t>
        </is>
      </c>
      <c r="F1518" t="inlineStr">
        <is>
          <t>Naturvårdsverket</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8400-2024</t>
        </is>
      </c>
      <c r="B1519" s="1" t="n">
        <v>45352</v>
      </c>
      <c r="C1519" s="1" t="n">
        <v>45475</v>
      </c>
      <c r="D1519" t="inlineStr">
        <is>
          <t>STOCKHOLMS LÄN</t>
        </is>
      </c>
      <c r="E1519" t="inlineStr">
        <is>
          <t>NORRTÄLJE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8401-2024</t>
        </is>
      </c>
      <c r="B1520" s="1" t="n">
        <v>45352</v>
      </c>
      <c r="C1520" s="1" t="n">
        <v>45475</v>
      </c>
      <c r="D1520" t="inlineStr">
        <is>
          <t>STOCKHOLMS LÄN</t>
        </is>
      </c>
      <c r="E1520" t="inlineStr">
        <is>
          <t>NORRTÄLJE</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8739-2024</t>
        </is>
      </c>
      <c r="B1521" s="1" t="n">
        <v>45356</v>
      </c>
      <c r="C1521" s="1" t="n">
        <v>45475</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8736-2024</t>
        </is>
      </c>
      <c r="B1522" s="1" t="n">
        <v>45356</v>
      </c>
      <c r="C1522" s="1" t="n">
        <v>45475</v>
      </c>
      <c r="D1522" t="inlineStr">
        <is>
          <t>STOCKHOLMS LÄN</t>
        </is>
      </c>
      <c r="E1522" t="inlineStr">
        <is>
          <t>NORRTÄLJE</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9246-2024</t>
        </is>
      </c>
      <c r="B1523" s="1" t="n">
        <v>45357</v>
      </c>
      <c r="C1523" s="1" t="n">
        <v>45475</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9300-2024</t>
        </is>
      </c>
      <c r="B1524" s="1" t="n">
        <v>45358</v>
      </c>
      <c r="C1524" s="1" t="n">
        <v>45475</v>
      </c>
      <c r="D1524" t="inlineStr">
        <is>
          <t>STOCKHOLMS LÄN</t>
        </is>
      </c>
      <c r="E1524" t="inlineStr">
        <is>
          <t>NORRTÄLJE</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9297-2024</t>
        </is>
      </c>
      <c r="B1525" s="1" t="n">
        <v>45358</v>
      </c>
      <c r="C1525" s="1" t="n">
        <v>45475</v>
      </c>
      <c r="D1525" t="inlineStr">
        <is>
          <t>STOCKHOLMS LÄN</t>
        </is>
      </c>
      <c r="E1525" t="inlineStr">
        <is>
          <t>NORRTÄLJE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9301-2024</t>
        </is>
      </c>
      <c r="B1526" s="1" t="n">
        <v>45358</v>
      </c>
      <c r="C1526" s="1" t="n">
        <v>45475</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9305-2024</t>
        </is>
      </c>
      <c r="B1527" s="1" t="n">
        <v>45358</v>
      </c>
      <c r="C1527" s="1" t="n">
        <v>45475</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9765-2024</t>
        </is>
      </c>
      <c r="B1528" s="1" t="n">
        <v>45362</v>
      </c>
      <c r="C1528" s="1" t="n">
        <v>45475</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9959-2024</t>
        </is>
      </c>
      <c r="B1529" s="1" t="n">
        <v>45363</v>
      </c>
      <c r="C1529" s="1" t="n">
        <v>45475</v>
      </c>
      <c r="D1529" t="inlineStr">
        <is>
          <t>STOCKHOLMS LÄN</t>
        </is>
      </c>
      <c r="E1529" t="inlineStr">
        <is>
          <t>NORRTÄLJE</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10258-2024</t>
        </is>
      </c>
      <c r="B1530" s="1" t="n">
        <v>45365</v>
      </c>
      <c r="C1530" s="1" t="n">
        <v>45475</v>
      </c>
      <c r="D1530" t="inlineStr">
        <is>
          <t>STOCKHOLMS LÄN</t>
        </is>
      </c>
      <c r="E1530" t="inlineStr">
        <is>
          <t>NORRTÄLJE</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10279-2024</t>
        </is>
      </c>
      <c r="B1531" s="1" t="n">
        <v>45365</v>
      </c>
      <c r="C1531" s="1" t="n">
        <v>45475</v>
      </c>
      <c r="D1531" t="inlineStr">
        <is>
          <t>STOCKHOLMS LÄN</t>
        </is>
      </c>
      <c r="E1531" t="inlineStr">
        <is>
          <t>NORRTÄLJE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10643-2024</t>
        </is>
      </c>
      <c r="B1532" s="1" t="n">
        <v>45367</v>
      </c>
      <c r="C1532" s="1" t="n">
        <v>45475</v>
      </c>
      <c r="D1532" t="inlineStr">
        <is>
          <t>STOCKHOLMS LÄN</t>
        </is>
      </c>
      <c r="E1532" t="inlineStr">
        <is>
          <t>NORRTÄLJE</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10840-2024</t>
        </is>
      </c>
      <c r="B1533" s="1" t="n">
        <v>45369</v>
      </c>
      <c r="C1533" s="1" t="n">
        <v>45475</v>
      </c>
      <c r="D1533" t="inlineStr">
        <is>
          <t>STOCKHOLMS LÄN</t>
        </is>
      </c>
      <c r="E1533" t="inlineStr">
        <is>
          <t>NORRTÄLJE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10810-2024</t>
        </is>
      </c>
      <c r="B1534" s="1" t="n">
        <v>45369</v>
      </c>
      <c r="C1534" s="1" t="n">
        <v>45475</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10930-2024</t>
        </is>
      </c>
      <c r="B1535" s="1" t="n">
        <v>45370</v>
      </c>
      <c r="C1535" s="1" t="n">
        <v>45475</v>
      </c>
      <c r="D1535" t="inlineStr">
        <is>
          <t>STOCKHOLMS LÄN</t>
        </is>
      </c>
      <c r="E1535" t="inlineStr">
        <is>
          <t>NORRTÄLJE</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11062-2024</t>
        </is>
      </c>
      <c r="B1536" s="1" t="n">
        <v>45370</v>
      </c>
      <c r="C1536" s="1" t="n">
        <v>45475</v>
      </c>
      <c r="D1536" t="inlineStr">
        <is>
          <t>STOCKHOLMS LÄN</t>
        </is>
      </c>
      <c r="E1536" t="inlineStr">
        <is>
          <t>NORRTÄLJE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10968-2024</t>
        </is>
      </c>
      <c r="B1537" s="1" t="n">
        <v>45370</v>
      </c>
      <c r="C1537" s="1" t="n">
        <v>45475</v>
      </c>
      <c r="D1537" t="inlineStr">
        <is>
          <t>STOCKHOLMS LÄN</t>
        </is>
      </c>
      <c r="E1537" t="inlineStr">
        <is>
          <t>NORRTÄLJE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11902-2024</t>
        </is>
      </c>
      <c r="B1538" s="1" t="n">
        <v>45376</v>
      </c>
      <c r="C1538" s="1" t="n">
        <v>45475</v>
      </c>
      <c r="D1538" t="inlineStr">
        <is>
          <t>STOCKHOLMS LÄN</t>
        </is>
      </c>
      <c r="E1538" t="inlineStr">
        <is>
          <t>NORRTÄLJE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11926-2024</t>
        </is>
      </c>
      <c r="B1539" s="1" t="n">
        <v>45376</v>
      </c>
      <c r="C1539" s="1" t="n">
        <v>45475</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11896-2024</t>
        </is>
      </c>
      <c r="B1540" s="1" t="n">
        <v>45376</v>
      </c>
      <c r="C1540" s="1" t="n">
        <v>45475</v>
      </c>
      <c r="D1540" t="inlineStr">
        <is>
          <t>STOCKHOLMS LÄN</t>
        </is>
      </c>
      <c r="E1540" t="inlineStr">
        <is>
          <t>NORRTÄLJE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11900-2024</t>
        </is>
      </c>
      <c r="B1541" s="1" t="n">
        <v>45376</v>
      </c>
      <c r="C1541" s="1" t="n">
        <v>45475</v>
      </c>
      <c r="D1541" t="inlineStr">
        <is>
          <t>STOCKHOLMS LÄN</t>
        </is>
      </c>
      <c r="E1541" t="inlineStr">
        <is>
          <t>NORRTÄLJE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11924-2024</t>
        </is>
      </c>
      <c r="B1542" s="1" t="n">
        <v>45376</v>
      </c>
      <c r="C1542" s="1" t="n">
        <v>45475</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11893-2024</t>
        </is>
      </c>
      <c r="B1543" s="1" t="n">
        <v>45376</v>
      </c>
      <c r="C1543" s="1" t="n">
        <v>45475</v>
      </c>
      <c r="D1543" t="inlineStr">
        <is>
          <t>STOCKHOLMS LÄN</t>
        </is>
      </c>
      <c r="E1543" t="inlineStr">
        <is>
          <t>NORRTÄLJE</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11901-2024</t>
        </is>
      </c>
      <c r="B1544" s="1" t="n">
        <v>45376</v>
      </c>
      <c r="C1544" s="1" t="n">
        <v>45475</v>
      </c>
      <c r="D1544" t="inlineStr">
        <is>
          <t>STOCKHOLMS LÄN</t>
        </is>
      </c>
      <c r="E1544" t="inlineStr">
        <is>
          <t>NORRTÄLJE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11929-2024</t>
        </is>
      </c>
      <c r="B1545" s="1" t="n">
        <v>45376</v>
      </c>
      <c r="C1545" s="1" t="n">
        <v>45475</v>
      </c>
      <c r="D1545" t="inlineStr">
        <is>
          <t>STOCKHOLMS LÄN</t>
        </is>
      </c>
      <c r="E1545" t="inlineStr">
        <is>
          <t>NORRTÄLJE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11996-2024</t>
        </is>
      </c>
      <c r="B1546" s="1" t="n">
        <v>45376</v>
      </c>
      <c r="C1546" s="1" t="n">
        <v>45475</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11997-2024</t>
        </is>
      </c>
      <c r="B1547" s="1" t="n">
        <v>45377</v>
      </c>
      <c r="C1547" s="1" t="n">
        <v>45475</v>
      </c>
      <c r="D1547" t="inlineStr">
        <is>
          <t>STOCKHOLMS LÄN</t>
        </is>
      </c>
      <c r="E1547" t="inlineStr">
        <is>
          <t>NORRTÄLJE</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12135-2024</t>
        </is>
      </c>
      <c r="B1548" s="1" t="n">
        <v>45377</v>
      </c>
      <c r="C1548" s="1" t="n">
        <v>45475</v>
      </c>
      <c r="D1548" t="inlineStr">
        <is>
          <t>STOCKHOLMS LÄN</t>
        </is>
      </c>
      <c r="E1548" t="inlineStr">
        <is>
          <t>NORRTÄLJE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12022-2024</t>
        </is>
      </c>
      <c r="B1549" s="1" t="n">
        <v>45377</v>
      </c>
      <c r="C1549" s="1" t="n">
        <v>45475</v>
      </c>
      <c r="D1549" t="inlineStr">
        <is>
          <t>STOCKHOLMS LÄN</t>
        </is>
      </c>
      <c r="E1549" t="inlineStr">
        <is>
          <t>NORRTÄLJE</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12323-2024</t>
        </is>
      </c>
      <c r="B1550" s="1" t="n">
        <v>45378</v>
      </c>
      <c r="C1550" s="1" t="n">
        <v>45475</v>
      </c>
      <c r="D1550" t="inlineStr">
        <is>
          <t>STOCKHOLMS LÄN</t>
        </is>
      </c>
      <c r="E1550" t="inlineStr">
        <is>
          <t>NORRTÄLJE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12470-2024</t>
        </is>
      </c>
      <c r="B1551" s="1" t="n">
        <v>45379</v>
      </c>
      <c r="C1551" s="1" t="n">
        <v>45475</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12560-2024</t>
        </is>
      </c>
      <c r="B1552" s="1" t="n">
        <v>45379</v>
      </c>
      <c r="C1552" s="1" t="n">
        <v>45475</v>
      </c>
      <c r="D1552" t="inlineStr">
        <is>
          <t>STOCKHOLMS LÄN</t>
        </is>
      </c>
      <c r="E1552" t="inlineStr">
        <is>
          <t>NORRTÄLJE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12629-2024</t>
        </is>
      </c>
      <c r="B1553" s="1" t="n">
        <v>45383</v>
      </c>
      <c r="C1553" s="1" t="n">
        <v>45475</v>
      </c>
      <c r="D1553" t="inlineStr">
        <is>
          <t>STOCKHOLMS LÄN</t>
        </is>
      </c>
      <c r="E1553" t="inlineStr">
        <is>
          <t>NORRTÄLJE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12896-2024</t>
        </is>
      </c>
      <c r="B1554" s="1" t="n">
        <v>45385</v>
      </c>
      <c r="C1554" s="1" t="n">
        <v>45475</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12904-2024</t>
        </is>
      </c>
      <c r="B1555" s="1" t="n">
        <v>45385</v>
      </c>
      <c r="C1555" s="1" t="n">
        <v>45475</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12901-2024</t>
        </is>
      </c>
      <c r="B1556" s="1" t="n">
        <v>45385</v>
      </c>
      <c r="C1556" s="1" t="n">
        <v>45475</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12890-2024</t>
        </is>
      </c>
      <c r="B1557" s="1" t="n">
        <v>45385</v>
      </c>
      <c r="C1557" s="1" t="n">
        <v>45475</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12902-2024</t>
        </is>
      </c>
      <c r="B1558" s="1" t="n">
        <v>45385</v>
      </c>
      <c r="C1558" s="1" t="n">
        <v>45475</v>
      </c>
      <c r="D1558" t="inlineStr">
        <is>
          <t>STOCKHOLMS LÄN</t>
        </is>
      </c>
      <c r="E1558" t="inlineStr">
        <is>
          <t>NORRTÄLJE</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13115-2024</t>
        </is>
      </c>
      <c r="B1559" s="1" t="n">
        <v>45385</v>
      </c>
      <c r="C1559" s="1" t="n">
        <v>45475</v>
      </c>
      <c r="D1559" t="inlineStr">
        <is>
          <t>STOCKHOLMS LÄN</t>
        </is>
      </c>
      <c r="E1559" t="inlineStr">
        <is>
          <t>NORRTÄLJE</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13137-2024</t>
        </is>
      </c>
      <c r="B1560" s="1" t="n">
        <v>45386</v>
      </c>
      <c r="C1560" s="1" t="n">
        <v>45475</v>
      </c>
      <c r="D1560" t="inlineStr">
        <is>
          <t>STOCKHOLMS LÄN</t>
        </is>
      </c>
      <c r="E1560" t="inlineStr">
        <is>
          <t>NORRTÄLJE</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13241-2024</t>
        </is>
      </c>
      <c r="B1561" s="1" t="n">
        <v>45386</v>
      </c>
      <c r="C1561" s="1" t="n">
        <v>45475</v>
      </c>
      <c r="D1561" t="inlineStr">
        <is>
          <t>STOCKHOLMS LÄN</t>
        </is>
      </c>
      <c r="E1561" t="inlineStr">
        <is>
          <t>NORRTÄLJE</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13391-2024</t>
        </is>
      </c>
      <c r="B1562" s="1" t="n">
        <v>45387</v>
      </c>
      <c r="C1562" s="1" t="n">
        <v>45475</v>
      </c>
      <c r="D1562" t="inlineStr">
        <is>
          <t>STOCKHOLMS LÄN</t>
        </is>
      </c>
      <c r="E1562" t="inlineStr">
        <is>
          <t>NORRTÄLJE</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13785-2024</t>
        </is>
      </c>
      <c r="B1563" s="1" t="n">
        <v>45391</v>
      </c>
      <c r="C1563" s="1" t="n">
        <v>45475</v>
      </c>
      <c r="D1563" t="inlineStr">
        <is>
          <t>STOCKHOLMS LÄN</t>
        </is>
      </c>
      <c r="E1563" t="inlineStr">
        <is>
          <t>NORRTÄLJE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14530-2024</t>
        </is>
      </c>
      <c r="B1564" s="1" t="n">
        <v>45394</v>
      </c>
      <c r="C1564" s="1" t="n">
        <v>45475</v>
      </c>
      <c r="D1564" t="inlineStr">
        <is>
          <t>STOCKHOLMS LÄN</t>
        </is>
      </c>
      <c r="E1564" t="inlineStr">
        <is>
          <t>NORRTÄLJE</t>
        </is>
      </c>
      <c r="F1564" t="inlineStr">
        <is>
          <t>Kyrkan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14498-2024</t>
        </is>
      </c>
      <c r="B1565" s="1" t="n">
        <v>45394</v>
      </c>
      <c r="C1565" s="1" t="n">
        <v>45475</v>
      </c>
      <c r="D1565" t="inlineStr">
        <is>
          <t>STOCKHOLMS LÄN</t>
        </is>
      </c>
      <c r="E1565" t="inlineStr">
        <is>
          <t>NORRTÄLJE</t>
        </is>
      </c>
      <c r="F1565" t="inlineStr">
        <is>
          <t>Kyrkan</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14559-2024</t>
        </is>
      </c>
      <c r="B1566" s="1" t="n">
        <v>45394</v>
      </c>
      <c r="C1566" s="1" t="n">
        <v>45475</v>
      </c>
      <c r="D1566" t="inlineStr">
        <is>
          <t>STOCKHOLMS LÄN</t>
        </is>
      </c>
      <c r="E1566" t="inlineStr">
        <is>
          <t>NORRTÄLJE</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14751-2024</t>
        </is>
      </c>
      <c r="B1567" s="1" t="n">
        <v>45397</v>
      </c>
      <c r="C1567" s="1" t="n">
        <v>45475</v>
      </c>
      <c r="D1567" t="inlineStr">
        <is>
          <t>STOCKHOLMS LÄN</t>
        </is>
      </c>
      <c r="E1567" t="inlineStr">
        <is>
          <t>NORRTÄLJE</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14762-2024</t>
        </is>
      </c>
      <c r="B1568" s="1" t="n">
        <v>45397</v>
      </c>
      <c r="C1568" s="1" t="n">
        <v>45475</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15278-2024</t>
        </is>
      </c>
      <c r="B1569" s="1" t="n">
        <v>45400</v>
      </c>
      <c r="C1569" s="1" t="n">
        <v>45475</v>
      </c>
      <c r="D1569" t="inlineStr">
        <is>
          <t>STOCKHOLMS LÄN</t>
        </is>
      </c>
      <c r="E1569" t="inlineStr">
        <is>
          <t>NORRTÄLJE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15347-2024</t>
        </is>
      </c>
      <c r="B1570" s="1" t="n">
        <v>45400</v>
      </c>
      <c r="C1570" s="1" t="n">
        <v>45475</v>
      </c>
      <c r="D1570" t="inlineStr">
        <is>
          <t>STOCKHOLMS LÄN</t>
        </is>
      </c>
      <c r="E1570" t="inlineStr">
        <is>
          <t>NORRTÄLJE</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15317-2024</t>
        </is>
      </c>
      <c r="B1571" s="1" t="n">
        <v>45400</v>
      </c>
      <c r="C1571" s="1" t="n">
        <v>45475</v>
      </c>
      <c r="D1571" t="inlineStr">
        <is>
          <t>STOCKHOLMS LÄN</t>
        </is>
      </c>
      <c r="E1571" t="inlineStr">
        <is>
          <t>NORRTÄLJE</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15429-2024</t>
        </is>
      </c>
      <c r="B1572" s="1" t="n">
        <v>45401</v>
      </c>
      <c r="C1572" s="1" t="n">
        <v>45475</v>
      </c>
      <c r="D1572" t="inlineStr">
        <is>
          <t>STOCKHOLMS LÄN</t>
        </is>
      </c>
      <c r="E1572" t="inlineStr">
        <is>
          <t>NORRTÄLJE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15422-2024</t>
        </is>
      </c>
      <c r="B1573" s="1" t="n">
        <v>45401</v>
      </c>
      <c r="C1573" s="1" t="n">
        <v>45475</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15470-2024</t>
        </is>
      </c>
      <c r="B1574" s="1" t="n">
        <v>45401</v>
      </c>
      <c r="C1574" s="1" t="n">
        <v>45475</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15428-2024</t>
        </is>
      </c>
      <c r="B1575" s="1" t="n">
        <v>45401</v>
      </c>
      <c r="C1575" s="1" t="n">
        <v>45475</v>
      </c>
      <c r="D1575" t="inlineStr">
        <is>
          <t>STOCKHOLMS LÄN</t>
        </is>
      </c>
      <c r="E1575" t="inlineStr">
        <is>
          <t>NORRTÄLJE</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15415-2024</t>
        </is>
      </c>
      <c r="B1576" s="1" t="n">
        <v>45401</v>
      </c>
      <c r="C1576" s="1" t="n">
        <v>45475</v>
      </c>
      <c r="D1576" t="inlineStr">
        <is>
          <t>STOCKHOLMS LÄN</t>
        </is>
      </c>
      <c r="E1576" t="inlineStr">
        <is>
          <t>NORRTÄLJE</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15956-2024</t>
        </is>
      </c>
      <c r="B1577" s="1" t="n">
        <v>45405</v>
      </c>
      <c r="C1577" s="1" t="n">
        <v>45475</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15978-2024</t>
        </is>
      </c>
      <c r="B1578" s="1" t="n">
        <v>45405</v>
      </c>
      <c r="C1578" s="1" t="n">
        <v>45475</v>
      </c>
      <c r="D1578" t="inlineStr">
        <is>
          <t>STOCKHOLMS LÄN</t>
        </is>
      </c>
      <c r="E1578" t="inlineStr">
        <is>
          <t>NORRTÄLJE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16072-2024</t>
        </is>
      </c>
      <c r="B1579" s="1" t="n">
        <v>45406</v>
      </c>
      <c r="C1579" s="1" t="n">
        <v>45475</v>
      </c>
      <c r="D1579" t="inlineStr">
        <is>
          <t>STOCKHOLMS LÄN</t>
        </is>
      </c>
      <c r="E1579" t="inlineStr">
        <is>
          <t>NORRTÄLJE</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16071-2024</t>
        </is>
      </c>
      <c r="B1580" s="1" t="n">
        <v>45406</v>
      </c>
      <c r="C1580" s="1" t="n">
        <v>45475</v>
      </c>
      <c r="D1580" t="inlineStr">
        <is>
          <t>STOCKHOLMS LÄN</t>
        </is>
      </c>
      <c r="E1580" t="inlineStr">
        <is>
          <t>NORRTÄLJE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16075-2024</t>
        </is>
      </c>
      <c r="B1581" s="1" t="n">
        <v>45406</v>
      </c>
      <c r="C1581" s="1" t="n">
        <v>45475</v>
      </c>
      <c r="D1581" t="inlineStr">
        <is>
          <t>STOCKHOLMS LÄN</t>
        </is>
      </c>
      <c r="E1581" t="inlineStr">
        <is>
          <t>NORRTÄLJE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16620-2024</t>
        </is>
      </c>
      <c r="B1582" s="1" t="n">
        <v>45408</v>
      </c>
      <c r="C1582" s="1" t="n">
        <v>45475</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16852-2024</t>
        </is>
      </c>
      <c r="B1583" s="1" t="n">
        <v>45411</v>
      </c>
      <c r="C1583" s="1" t="n">
        <v>45475</v>
      </c>
      <c r="D1583" t="inlineStr">
        <is>
          <t>STOCKHOLMS LÄN</t>
        </is>
      </c>
      <c r="E1583" t="inlineStr">
        <is>
          <t>NORRTÄLJE</t>
        </is>
      </c>
      <c r="F1583" t="inlineStr">
        <is>
          <t>Holmen skog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17013-2024</t>
        </is>
      </c>
      <c r="B1584" s="1" t="n">
        <v>45412</v>
      </c>
      <c r="C1584" s="1" t="n">
        <v>45475</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17039-2024</t>
        </is>
      </c>
      <c r="B1585" s="1" t="n">
        <v>45412</v>
      </c>
      <c r="C1585" s="1" t="n">
        <v>45475</v>
      </c>
      <c r="D1585" t="inlineStr">
        <is>
          <t>STOCKHOLMS LÄN</t>
        </is>
      </c>
      <c r="E1585" t="inlineStr">
        <is>
          <t>NORRTÄLJE</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17348-2024</t>
        </is>
      </c>
      <c r="B1586" s="1" t="n">
        <v>45414</v>
      </c>
      <c r="C1586" s="1" t="n">
        <v>45475</v>
      </c>
      <c r="D1586" t="inlineStr">
        <is>
          <t>STOCKHOLMS LÄN</t>
        </is>
      </c>
      <c r="E1586" t="inlineStr">
        <is>
          <t>NORRTÄLJE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17304-2024</t>
        </is>
      </c>
      <c r="B1587" s="1" t="n">
        <v>45414</v>
      </c>
      <c r="C1587" s="1" t="n">
        <v>45475</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17354-2024</t>
        </is>
      </c>
      <c r="B1588" s="1" t="n">
        <v>45414</v>
      </c>
      <c r="C1588" s="1" t="n">
        <v>45475</v>
      </c>
      <c r="D1588" t="inlineStr">
        <is>
          <t>STOCKHOLMS LÄN</t>
        </is>
      </c>
      <c r="E1588" t="inlineStr">
        <is>
          <t>NORRTÄLJE</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17385-2024</t>
        </is>
      </c>
      <c r="B1589" s="1" t="n">
        <v>45414</v>
      </c>
      <c r="C1589" s="1" t="n">
        <v>45475</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17382-2024</t>
        </is>
      </c>
      <c r="B1590" s="1" t="n">
        <v>45414</v>
      </c>
      <c r="C1590" s="1" t="n">
        <v>45475</v>
      </c>
      <c r="D1590" t="inlineStr">
        <is>
          <t>STOCKHOLMS LÄN</t>
        </is>
      </c>
      <c r="E1590" t="inlineStr">
        <is>
          <t>NORRTÄLJE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17397-2024</t>
        </is>
      </c>
      <c r="B1591" s="1" t="n">
        <v>45414</v>
      </c>
      <c r="C1591" s="1" t="n">
        <v>45475</v>
      </c>
      <c r="D1591" t="inlineStr">
        <is>
          <t>STOCKHOLMS LÄN</t>
        </is>
      </c>
      <c r="E1591" t="inlineStr">
        <is>
          <t>NORRTÄLJE</t>
        </is>
      </c>
      <c r="F1591" t="inlineStr">
        <is>
          <t>Holmen skog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17554-2024</t>
        </is>
      </c>
      <c r="B1592" s="1" t="n">
        <v>45415</v>
      </c>
      <c r="C1592" s="1" t="n">
        <v>45475</v>
      </c>
      <c r="D1592" t="inlineStr">
        <is>
          <t>STOCKHOLMS LÄN</t>
        </is>
      </c>
      <c r="E1592" t="inlineStr">
        <is>
          <t>NORRTÄLJE</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17775-2024</t>
        </is>
      </c>
      <c r="B1593" s="1" t="n">
        <v>45418</v>
      </c>
      <c r="C1593" s="1" t="n">
        <v>45475</v>
      </c>
      <c r="D1593" t="inlineStr">
        <is>
          <t>STOCKHOLMS LÄN</t>
        </is>
      </c>
      <c r="E1593" t="inlineStr">
        <is>
          <t>NORRTÄLJE</t>
        </is>
      </c>
      <c r="F1593" t="inlineStr">
        <is>
          <t>Holmen skog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17785-2024</t>
        </is>
      </c>
      <c r="B1594" s="1" t="n">
        <v>45418</v>
      </c>
      <c r="C1594" s="1" t="n">
        <v>45475</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17843-2024</t>
        </is>
      </c>
      <c r="B1595" s="1" t="n">
        <v>45418</v>
      </c>
      <c r="C1595" s="1" t="n">
        <v>45475</v>
      </c>
      <c r="D1595" t="inlineStr">
        <is>
          <t>STOCKHOLMS LÄN</t>
        </is>
      </c>
      <c r="E1595" t="inlineStr">
        <is>
          <t>NORRTÄLJE</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18331-2024</t>
        </is>
      </c>
      <c r="B1596" s="1" t="n">
        <v>45422</v>
      </c>
      <c r="C1596" s="1" t="n">
        <v>45475</v>
      </c>
      <c r="D1596" t="inlineStr">
        <is>
          <t>STOCKHOLMS LÄN</t>
        </is>
      </c>
      <c r="E1596" t="inlineStr">
        <is>
          <t>NORRTÄLJE</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18285-2024</t>
        </is>
      </c>
      <c r="B1597" s="1" t="n">
        <v>45422</v>
      </c>
      <c r="C1597" s="1" t="n">
        <v>45475</v>
      </c>
      <c r="D1597" t="inlineStr">
        <is>
          <t>STOCKHOLMS LÄN</t>
        </is>
      </c>
      <c r="E1597" t="inlineStr">
        <is>
          <t>NORRTÄLJE</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18287-2024</t>
        </is>
      </c>
      <c r="B1598" s="1" t="n">
        <v>45422</v>
      </c>
      <c r="C1598" s="1" t="n">
        <v>45475</v>
      </c>
      <c r="D1598" t="inlineStr">
        <is>
          <t>STOCKHOLMS LÄN</t>
        </is>
      </c>
      <c r="E1598" t="inlineStr">
        <is>
          <t>NORRTÄLJE</t>
        </is>
      </c>
      <c r="F1598" t="inlineStr">
        <is>
          <t>Sveaskog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19058-2024</t>
        </is>
      </c>
      <c r="B1599" s="1" t="n">
        <v>45427</v>
      </c>
      <c r="C1599" s="1" t="n">
        <v>45475</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19057-2024</t>
        </is>
      </c>
      <c r="B1600" s="1" t="n">
        <v>45427</v>
      </c>
      <c r="C1600" s="1" t="n">
        <v>45475</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19150-2024</t>
        </is>
      </c>
      <c r="B1601" s="1" t="n">
        <v>45428</v>
      </c>
      <c r="C1601" s="1" t="n">
        <v>45475</v>
      </c>
      <c r="D1601" t="inlineStr">
        <is>
          <t>STOCKHOLMS LÄN</t>
        </is>
      </c>
      <c r="E1601" t="inlineStr">
        <is>
          <t>NORRTÄLJE</t>
        </is>
      </c>
      <c r="F1601" t="inlineStr">
        <is>
          <t>Holmen skog AB</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19915-2024</t>
        </is>
      </c>
      <c r="B1602" s="1" t="n">
        <v>45433</v>
      </c>
      <c r="C1602" s="1" t="n">
        <v>45475</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19919-2024</t>
        </is>
      </c>
      <c r="B1603" s="1" t="n">
        <v>45433</v>
      </c>
      <c r="C1603" s="1" t="n">
        <v>45475</v>
      </c>
      <c r="D1603" t="inlineStr">
        <is>
          <t>STOCKHOLMS LÄN</t>
        </is>
      </c>
      <c r="E1603" t="inlineStr">
        <is>
          <t>NORRTÄLJE</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20336-2024</t>
        </is>
      </c>
      <c r="B1604" s="1" t="n">
        <v>45435</v>
      </c>
      <c r="C1604" s="1" t="n">
        <v>45475</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20345-2024</t>
        </is>
      </c>
      <c r="B1605" s="1" t="n">
        <v>45435</v>
      </c>
      <c r="C1605" s="1" t="n">
        <v>45475</v>
      </c>
      <c r="D1605" t="inlineStr">
        <is>
          <t>STOCKHOLMS LÄN</t>
        </is>
      </c>
      <c r="E1605" t="inlineStr">
        <is>
          <t>NORRTÄLJE</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20343-2024</t>
        </is>
      </c>
      <c r="B1606" s="1" t="n">
        <v>45435</v>
      </c>
      <c r="C1606" s="1" t="n">
        <v>45475</v>
      </c>
      <c r="D1606" t="inlineStr">
        <is>
          <t>STOCKHOLMS LÄN</t>
        </is>
      </c>
      <c r="E1606" t="inlineStr">
        <is>
          <t>NORRTÄLJE</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20393-2024</t>
        </is>
      </c>
      <c r="B1607" s="1" t="n">
        <v>45435</v>
      </c>
      <c r="C1607" s="1" t="n">
        <v>45475</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20445-2024</t>
        </is>
      </c>
      <c r="B1608" s="1" t="n">
        <v>45435</v>
      </c>
      <c r="C1608" s="1" t="n">
        <v>45475</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20428-2024</t>
        </is>
      </c>
      <c r="B1609" s="1" t="n">
        <v>45435</v>
      </c>
      <c r="C1609" s="1" t="n">
        <v>45475</v>
      </c>
      <c r="D1609" t="inlineStr">
        <is>
          <t>STOCKHOLMS LÄN</t>
        </is>
      </c>
      <c r="E1609" t="inlineStr">
        <is>
          <t>NORRTÄLJE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20460-2024</t>
        </is>
      </c>
      <c r="B1610" s="1" t="n">
        <v>45435</v>
      </c>
      <c r="C1610" s="1" t="n">
        <v>45475</v>
      </c>
      <c r="D1610" t="inlineStr">
        <is>
          <t>STOCKHOLMS LÄN</t>
        </is>
      </c>
      <c r="E1610" t="inlineStr">
        <is>
          <t>NORRTÄLJE</t>
        </is>
      </c>
      <c r="G1610" t="n">
        <v>11.2</v>
      </c>
      <c r="H1610" t="n">
        <v>0</v>
      </c>
      <c r="I1610" t="n">
        <v>0</v>
      </c>
      <c r="J1610" t="n">
        <v>0</v>
      </c>
      <c r="K1610" t="n">
        <v>0</v>
      </c>
      <c r="L1610" t="n">
        <v>0</v>
      </c>
      <c r="M1610" t="n">
        <v>0</v>
      </c>
      <c r="N1610" t="n">
        <v>0</v>
      </c>
      <c r="O1610" t="n">
        <v>0</v>
      </c>
      <c r="P1610" t="n">
        <v>0</v>
      </c>
      <c r="Q1610" t="n">
        <v>0</v>
      </c>
      <c r="R1610" s="2" t="inlineStr"/>
    </row>
    <row r="1611" ht="15" customHeight="1">
      <c r="A1611" t="inlineStr">
        <is>
          <t>A 20464-2024</t>
        </is>
      </c>
      <c r="B1611" s="1" t="n">
        <v>45435</v>
      </c>
      <c r="C1611" s="1" t="n">
        <v>45475</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20431-2024</t>
        </is>
      </c>
      <c r="B1612" s="1" t="n">
        <v>45435</v>
      </c>
      <c r="C1612" s="1" t="n">
        <v>45475</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20680-2024</t>
        </is>
      </c>
      <c r="B1613" s="1" t="n">
        <v>45436</v>
      </c>
      <c r="C1613" s="1" t="n">
        <v>45475</v>
      </c>
      <c r="D1613" t="inlineStr">
        <is>
          <t>STOCKHOLMS LÄN</t>
        </is>
      </c>
      <c r="E1613" t="inlineStr">
        <is>
          <t>NORRTÄLJE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20698-2024</t>
        </is>
      </c>
      <c r="B1614" s="1" t="n">
        <v>45436</v>
      </c>
      <c r="C1614" s="1" t="n">
        <v>45475</v>
      </c>
      <c r="D1614" t="inlineStr">
        <is>
          <t>STOCKHOLMS LÄN</t>
        </is>
      </c>
      <c r="E1614" t="inlineStr">
        <is>
          <t>NORRTÄLJE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20730-2024</t>
        </is>
      </c>
      <c r="B1615" s="1" t="n">
        <v>45436</v>
      </c>
      <c r="C1615" s="1" t="n">
        <v>45475</v>
      </c>
      <c r="D1615" t="inlineStr">
        <is>
          <t>STOCKHOLMS LÄN</t>
        </is>
      </c>
      <c r="E1615" t="inlineStr">
        <is>
          <t>NORRTÄLJE</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20825-2024</t>
        </is>
      </c>
      <c r="B1616" s="1" t="n">
        <v>45439</v>
      </c>
      <c r="C1616" s="1" t="n">
        <v>45475</v>
      </c>
      <c r="D1616" t="inlineStr">
        <is>
          <t>STOCKHOLMS LÄN</t>
        </is>
      </c>
      <c r="E1616" t="inlineStr">
        <is>
          <t>NORRTÄLJE</t>
        </is>
      </c>
      <c r="F1616" t="inlineStr">
        <is>
          <t>Holmen skog AB</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20836-2024</t>
        </is>
      </c>
      <c r="B1617" s="1" t="n">
        <v>45439</v>
      </c>
      <c r="C1617" s="1" t="n">
        <v>45475</v>
      </c>
      <c r="D1617" t="inlineStr">
        <is>
          <t>STOCKHOLMS LÄN</t>
        </is>
      </c>
      <c r="E1617" t="inlineStr">
        <is>
          <t>NORRTÄLJE</t>
        </is>
      </c>
      <c r="F1617" t="inlineStr">
        <is>
          <t>Holmen skog AB</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21066-2024</t>
        </is>
      </c>
      <c r="B1618" s="1" t="n">
        <v>45439</v>
      </c>
      <c r="C1618" s="1" t="n">
        <v>45475</v>
      </c>
      <c r="D1618" t="inlineStr">
        <is>
          <t>STOCKHOLMS LÄN</t>
        </is>
      </c>
      <c r="E1618" t="inlineStr">
        <is>
          <t>NORRTÄLJE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21729-2024</t>
        </is>
      </c>
      <c r="B1619" s="1" t="n">
        <v>45442</v>
      </c>
      <c r="C1619" s="1" t="n">
        <v>45475</v>
      </c>
      <c r="D1619" t="inlineStr">
        <is>
          <t>STOCKHOLMS LÄN</t>
        </is>
      </c>
      <c r="E1619" t="inlineStr">
        <is>
          <t>NORRTÄLJE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21696-2024</t>
        </is>
      </c>
      <c r="B1620" s="1" t="n">
        <v>45442</v>
      </c>
      <c r="C1620" s="1" t="n">
        <v>45475</v>
      </c>
      <c r="D1620" t="inlineStr">
        <is>
          <t>STOCKHOLMS LÄN</t>
        </is>
      </c>
      <c r="E1620" t="inlineStr">
        <is>
          <t>NORRTÄLJE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22008-2024</t>
        </is>
      </c>
      <c r="B1621" s="1" t="n">
        <v>45443</v>
      </c>
      <c r="C1621" s="1" t="n">
        <v>45475</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22190-2024</t>
        </is>
      </c>
      <c r="B1622" s="1" t="n">
        <v>45446</v>
      </c>
      <c r="C1622" s="1" t="n">
        <v>45475</v>
      </c>
      <c r="D1622" t="inlineStr">
        <is>
          <t>STOCKHOLMS LÄN</t>
        </is>
      </c>
      <c r="E1622" t="inlineStr">
        <is>
          <t>NORRTÄLJE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45475</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22231-2024</t>
        </is>
      </c>
      <c r="B1624" s="1" t="n">
        <v>45446</v>
      </c>
      <c r="C1624" s="1" t="n">
        <v>45475</v>
      </c>
      <c r="D1624" t="inlineStr">
        <is>
          <t>STOCKHOLMS LÄN</t>
        </is>
      </c>
      <c r="E1624" t="inlineStr">
        <is>
          <t>NORRTÄLJE</t>
        </is>
      </c>
      <c r="F1624" t="inlineStr">
        <is>
          <t>Holmen skog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22833-2024</t>
        </is>
      </c>
      <c r="B1625" s="1" t="n">
        <v>45448</v>
      </c>
      <c r="C1625" s="1" t="n">
        <v>45475</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23018-2024</t>
        </is>
      </c>
      <c r="B1626" s="1" t="n">
        <v>45450</v>
      </c>
      <c r="C1626" s="1" t="n">
        <v>45475</v>
      </c>
      <c r="D1626" t="inlineStr">
        <is>
          <t>STOCKHOLMS LÄN</t>
        </is>
      </c>
      <c r="E1626" t="inlineStr">
        <is>
          <t>NORRTÄLJE</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23149-2024</t>
        </is>
      </c>
      <c r="B1627" s="1" t="n">
        <v>45450</v>
      </c>
      <c r="C1627" s="1" t="n">
        <v>45475</v>
      </c>
      <c r="D1627" t="inlineStr">
        <is>
          <t>STOCKHOLMS LÄN</t>
        </is>
      </c>
      <c r="E1627" t="inlineStr">
        <is>
          <t>NORRTÄLJE</t>
        </is>
      </c>
      <c r="F1627" t="inlineStr">
        <is>
          <t>Kommuner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23150-2024</t>
        </is>
      </c>
      <c r="B1628" s="1" t="n">
        <v>45450</v>
      </c>
      <c r="C1628" s="1" t="n">
        <v>45475</v>
      </c>
      <c r="D1628" t="inlineStr">
        <is>
          <t>STOCKHOLMS LÄN</t>
        </is>
      </c>
      <c r="E1628" t="inlineStr">
        <is>
          <t>NORRTÄLJE</t>
        </is>
      </c>
      <c r="F1628" t="inlineStr">
        <is>
          <t>Kommuner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23151-2024</t>
        </is>
      </c>
      <c r="B1629" s="1" t="n">
        <v>45450</v>
      </c>
      <c r="C1629" s="1" t="n">
        <v>45475</v>
      </c>
      <c r="D1629" t="inlineStr">
        <is>
          <t>STOCKHOLMS LÄN</t>
        </is>
      </c>
      <c r="E1629" t="inlineStr">
        <is>
          <t>NORRTÄLJE</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23307-2024</t>
        </is>
      </c>
      <c r="B1630" s="1" t="n">
        <v>45453</v>
      </c>
      <c r="C1630" s="1" t="n">
        <v>45475</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23583-2024</t>
        </is>
      </c>
      <c r="B1631" s="1" t="n">
        <v>45454</v>
      </c>
      <c r="C1631" s="1" t="n">
        <v>45475</v>
      </c>
      <c r="D1631" t="inlineStr">
        <is>
          <t>STOCKHOLMS LÄN</t>
        </is>
      </c>
      <c r="E1631" t="inlineStr">
        <is>
          <t>NORRTÄLJE</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23692-2024</t>
        </is>
      </c>
      <c r="B1632" s="1" t="n">
        <v>45454</v>
      </c>
      <c r="C1632" s="1" t="n">
        <v>45475</v>
      </c>
      <c r="D1632" t="inlineStr">
        <is>
          <t>STOCKHOLMS LÄN</t>
        </is>
      </c>
      <c r="E1632" t="inlineStr">
        <is>
          <t>NORRTÄLJE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23572-2024</t>
        </is>
      </c>
      <c r="B1633" s="1" t="n">
        <v>45454</v>
      </c>
      <c r="C1633" s="1" t="n">
        <v>45475</v>
      </c>
      <c r="D1633" t="inlineStr">
        <is>
          <t>STOCKHOLMS LÄN</t>
        </is>
      </c>
      <c r="E1633" t="inlineStr">
        <is>
          <t>NORRTÄLJE</t>
        </is>
      </c>
      <c r="F1633" t="inlineStr">
        <is>
          <t>Kyrkan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23683-2024</t>
        </is>
      </c>
      <c r="B1634" s="1" t="n">
        <v>45454</v>
      </c>
      <c r="C1634" s="1" t="n">
        <v>45475</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23749-2024</t>
        </is>
      </c>
      <c r="B1635" s="1" t="n">
        <v>45455</v>
      </c>
      <c r="C1635" s="1" t="n">
        <v>45475</v>
      </c>
      <c r="D1635" t="inlineStr">
        <is>
          <t>STOCKHOLMS LÄN</t>
        </is>
      </c>
      <c r="E1635" t="inlineStr">
        <is>
          <t>NORRTÄLJE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23755-2024</t>
        </is>
      </c>
      <c r="B1636" s="1" t="n">
        <v>45455</v>
      </c>
      <c r="C1636" s="1" t="n">
        <v>45475</v>
      </c>
      <c r="D1636" t="inlineStr">
        <is>
          <t>STOCKHOLMS LÄN</t>
        </is>
      </c>
      <c r="E1636" t="inlineStr">
        <is>
          <t>NORRTÄLJE</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23991-2024</t>
        </is>
      </c>
      <c r="B1637" s="1" t="n">
        <v>45456</v>
      </c>
      <c r="C1637" s="1" t="n">
        <v>45475</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24022-2024</t>
        </is>
      </c>
      <c r="B1638" s="1" t="n">
        <v>45456</v>
      </c>
      <c r="C1638" s="1" t="n">
        <v>45475</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24021-2024</t>
        </is>
      </c>
      <c r="B1639" s="1" t="n">
        <v>45456</v>
      </c>
      <c r="C1639" s="1" t="n">
        <v>45475</v>
      </c>
      <c r="D1639" t="inlineStr">
        <is>
          <t>STOCKHOLMS LÄN</t>
        </is>
      </c>
      <c r="E1639" t="inlineStr">
        <is>
          <t>NORRTÄLJE</t>
        </is>
      </c>
      <c r="G1639" t="n">
        <v>17.5</v>
      </c>
      <c r="H1639" t="n">
        <v>0</v>
      </c>
      <c r="I1639" t="n">
        <v>0</v>
      </c>
      <c r="J1639" t="n">
        <v>0</v>
      </c>
      <c r="K1639" t="n">
        <v>0</v>
      </c>
      <c r="L1639" t="n">
        <v>0</v>
      </c>
      <c r="M1639" t="n">
        <v>0</v>
      </c>
      <c r="N1639" t="n">
        <v>0</v>
      </c>
      <c r="O1639" t="n">
        <v>0</v>
      </c>
      <c r="P1639" t="n">
        <v>0</v>
      </c>
      <c r="Q1639" t="n">
        <v>0</v>
      </c>
      <c r="R1639" s="2" t="inlineStr"/>
    </row>
    <row r="1640" ht="15" customHeight="1">
      <c r="A1640" t="inlineStr">
        <is>
          <t>A 23998-2024</t>
        </is>
      </c>
      <c r="B1640" s="1" t="n">
        <v>45456</v>
      </c>
      <c r="C1640" s="1" t="n">
        <v>45475</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24027-2024</t>
        </is>
      </c>
      <c r="B1641" s="1" t="n">
        <v>45456</v>
      </c>
      <c r="C1641" s="1" t="n">
        <v>45475</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24024-2024</t>
        </is>
      </c>
      <c r="B1642" s="1" t="n">
        <v>45456</v>
      </c>
      <c r="C1642" s="1" t="n">
        <v>45475</v>
      </c>
      <c r="D1642" t="inlineStr">
        <is>
          <t>STOCKHOLMS LÄN</t>
        </is>
      </c>
      <c r="E1642" t="inlineStr">
        <is>
          <t>NORRTÄLJE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24245-2024</t>
        </is>
      </c>
      <c r="B1643" s="1" t="n">
        <v>45457</v>
      </c>
      <c r="C1643" s="1" t="n">
        <v>45475</v>
      </c>
      <c r="D1643" t="inlineStr">
        <is>
          <t>STOCKHOLMS LÄN</t>
        </is>
      </c>
      <c r="E1643" t="inlineStr">
        <is>
          <t>NORRTÄLJE</t>
        </is>
      </c>
      <c r="F1643" t="inlineStr">
        <is>
          <t>Holmen skog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24357-2024</t>
        </is>
      </c>
      <c r="B1644" s="1" t="n">
        <v>45457</v>
      </c>
      <c r="C1644" s="1" t="n">
        <v>45475</v>
      </c>
      <c r="D1644" t="inlineStr">
        <is>
          <t>STOCKHOLMS LÄN</t>
        </is>
      </c>
      <c r="E1644" t="inlineStr">
        <is>
          <t>NORRTÄLJE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24610-2024</t>
        </is>
      </c>
      <c r="B1645" s="1" t="n">
        <v>45460</v>
      </c>
      <c r="C1645" s="1" t="n">
        <v>45475</v>
      </c>
      <c r="D1645" t="inlineStr">
        <is>
          <t>STOCKHOLMS LÄN</t>
        </is>
      </c>
      <c r="E1645" t="inlineStr">
        <is>
          <t>NORRTÄLJE</t>
        </is>
      </c>
      <c r="G1645" t="n">
        <v>18.4</v>
      </c>
      <c r="H1645" t="n">
        <v>0</v>
      </c>
      <c r="I1645" t="n">
        <v>0</v>
      </c>
      <c r="J1645" t="n">
        <v>0</v>
      </c>
      <c r="K1645" t="n">
        <v>0</v>
      </c>
      <c r="L1645" t="n">
        <v>0</v>
      </c>
      <c r="M1645" t="n">
        <v>0</v>
      </c>
      <c r="N1645" t="n">
        <v>0</v>
      </c>
      <c r="O1645" t="n">
        <v>0</v>
      </c>
      <c r="P1645" t="n">
        <v>0</v>
      </c>
      <c r="Q1645" t="n">
        <v>0</v>
      </c>
      <c r="R1645" s="2" t="inlineStr"/>
    </row>
    <row r="1646" ht="15" customHeight="1">
      <c r="A1646" t="inlineStr">
        <is>
          <t>A 24730-2024</t>
        </is>
      </c>
      <c r="B1646" s="1" t="n">
        <v>45460</v>
      </c>
      <c r="C1646" s="1" t="n">
        <v>45475</v>
      </c>
      <c r="D1646" t="inlineStr">
        <is>
          <t>STOCKHOLMS LÄN</t>
        </is>
      </c>
      <c r="E1646" t="inlineStr">
        <is>
          <t>NORRTÄLJE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24563-2024</t>
        </is>
      </c>
      <c r="B1647" s="1" t="n">
        <v>45460</v>
      </c>
      <c r="C1647" s="1" t="n">
        <v>45475</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24575-2024</t>
        </is>
      </c>
      <c r="B1648" s="1" t="n">
        <v>45460</v>
      </c>
      <c r="C1648" s="1" t="n">
        <v>45475</v>
      </c>
      <c r="D1648" t="inlineStr">
        <is>
          <t>STOCKHOLMS LÄN</t>
        </is>
      </c>
      <c r="E1648" t="inlineStr">
        <is>
          <t>NORRTÄLJE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45475</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25055-2024</t>
        </is>
      </c>
      <c r="B1650" s="1" t="n">
        <v>45462</v>
      </c>
      <c r="C1650" s="1" t="n">
        <v>45475</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45475</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25565-2024</t>
        </is>
      </c>
      <c r="B1652" s="1" t="n">
        <v>45463</v>
      </c>
      <c r="C1652" s="1" t="n">
        <v>45475</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25681-2024</t>
        </is>
      </c>
      <c r="B1653" s="1" t="n">
        <v>45463</v>
      </c>
      <c r="C1653" s="1" t="n">
        <v>45475</v>
      </c>
      <c r="D1653" t="inlineStr">
        <is>
          <t>STOCKHOLMS LÄN</t>
        </is>
      </c>
      <c r="E1653" t="inlineStr">
        <is>
          <t>NORRTÄLJE</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25817-2024</t>
        </is>
      </c>
      <c r="B1654" s="1" t="n">
        <v>45467</v>
      </c>
      <c r="C1654" s="1" t="n">
        <v>45475</v>
      </c>
      <c r="D1654" t="inlineStr">
        <is>
          <t>STOCKHOLMS LÄN</t>
        </is>
      </c>
      <c r="E1654" t="inlineStr">
        <is>
          <t>NORRTÄLJE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26067-2024</t>
        </is>
      </c>
      <c r="B1655" s="1" t="n">
        <v>45468</v>
      </c>
      <c r="C1655" s="1" t="n">
        <v>45475</v>
      </c>
      <c r="D1655" t="inlineStr">
        <is>
          <t>STOCKHOLMS LÄN</t>
        </is>
      </c>
      <c r="E1655" t="inlineStr">
        <is>
          <t>NORRTÄLJE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26115-2024</t>
        </is>
      </c>
      <c r="B1656" s="1" t="n">
        <v>45468</v>
      </c>
      <c r="C1656" s="1" t="n">
        <v>45475</v>
      </c>
      <c r="D1656" t="inlineStr">
        <is>
          <t>STOCKHOLMS LÄN</t>
        </is>
      </c>
      <c r="E1656" t="inlineStr">
        <is>
          <t>NORRTÄLJE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26116-2024</t>
        </is>
      </c>
      <c r="B1657" s="1" t="n">
        <v>45468</v>
      </c>
      <c r="C1657" s="1" t="n">
        <v>45475</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26090-2024</t>
        </is>
      </c>
      <c r="B1658" s="1" t="n">
        <v>45468</v>
      </c>
      <c r="C1658" s="1" t="n">
        <v>45475</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26113-2024</t>
        </is>
      </c>
      <c r="B1659" s="1" t="n">
        <v>45468</v>
      </c>
      <c r="C1659" s="1" t="n">
        <v>45475</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26117-2024</t>
        </is>
      </c>
      <c r="B1660" s="1" t="n">
        <v>45468</v>
      </c>
      <c r="C1660" s="1" t="n">
        <v>45475</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26355-2024</t>
        </is>
      </c>
      <c r="B1661" s="1" t="n">
        <v>45469</v>
      </c>
      <c r="C1661" s="1" t="n">
        <v>45475</v>
      </c>
      <c r="D1661" t="inlineStr">
        <is>
          <t>STOCKHOLMS LÄN</t>
        </is>
      </c>
      <c r="E1661" t="inlineStr">
        <is>
          <t>NORRTÄLJE</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26359-2024</t>
        </is>
      </c>
      <c r="B1662" s="1" t="n">
        <v>45469</v>
      </c>
      <c r="C1662" s="1" t="n">
        <v>45475</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26365-2024</t>
        </is>
      </c>
      <c r="B1663" s="1" t="n">
        <v>45469</v>
      </c>
      <c r="C1663" s="1" t="n">
        <v>45475</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26407-2024</t>
        </is>
      </c>
      <c r="B1664" s="1" t="n">
        <v>45469</v>
      </c>
      <c r="C1664" s="1" t="n">
        <v>45475</v>
      </c>
      <c r="D1664" t="inlineStr">
        <is>
          <t>STOCKHOLMS LÄN</t>
        </is>
      </c>
      <c r="E1664" t="inlineStr">
        <is>
          <t>NORRTÄLJE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26600-2024</t>
        </is>
      </c>
      <c r="B1665" s="1" t="n">
        <v>45469</v>
      </c>
      <c r="C1665" s="1" t="n">
        <v>45475</v>
      </c>
      <c r="D1665" t="inlineStr">
        <is>
          <t>STOCKHOLMS LÄN</t>
        </is>
      </c>
      <c r="E1665" t="inlineStr">
        <is>
          <t>NORRTÄLJE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26526-2024</t>
        </is>
      </c>
      <c r="B1666" s="1" t="n">
        <v>45469</v>
      </c>
      <c r="C1666" s="1" t="n">
        <v>45475</v>
      </c>
      <c r="D1666" t="inlineStr">
        <is>
          <t>STOCKHOLMS LÄN</t>
        </is>
      </c>
      <c r="E1666" t="inlineStr">
        <is>
          <t>NORRTÄLJE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26612-2024</t>
        </is>
      </c>
      <c r="B1667" s="1" t="n">
        <v>45469</v>
      </c>
      <c r="C1667" s="1" t="n">
        <v>45475</v>
      </c>
      <c r="D1667" t="inlineStr">
        <is>
          <t>STOCKHOLMS LÄN</t>
        </is>
      </c>
      <c r="E1667" t="inlineStr">
        <is>
          <t>NORRTÄLJE</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26644-2024</t>
        </is>
      </c>
      <c r="B1668" s="1" t="n">
        <v>45469</v>
      </c>
      <c r="C1668" s="1" t="n">
        <v>45475</v>
      </c>
      <c r="D1668" t="inlineStr">
        <is>
          <t>STOCKHOLMS LÄN</t>
        </is>
      </c>
      <c r="E1668" t="inlineStr">
        <is>
          <t>NORRTÄLJE</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26668-2024</t>
        </is>
      </c>
      <c r="B1669" s="1" t="n">
        <v>45469</v>
      </c>
      <c r="C1669" s="1" t="n">
        <v>45475</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26698-2024</t>
        </is>
      </c>
      <c r="B1670" s="1" t="n">
        <v>45470</v>
      </c>
      <c r="C1670" s="1" t="n">
        <v>45475</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27059-2024</t>
        </is>
      </c>
      <c r="B1671" s="1" t="n">
        <v>45471</v>
      </c>
      <c r="C1671" s="1" t="n">
        <v>45475</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27248-2024</t>
        </is>
      </c>
      <c r="B1672" s="1" t="n">
        <v>45471</v>
      </c>
      <c r="C1672" s="1" t="n">
        <v>45475</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c r="A1673" t="inlineStr">
        <is>
          <t>A 27381-2024</t>
        </is>
      </c>
      <c r="B1673" s="1" t="n">
        <v>45474</v>
      </c>
      <c r="C1673" s="1" t="n">
        <v>45475</v>
      </c>
      <c r="D1673" t="inlineStr">
        <is>
          <t>STOCKHOLMS LÄN</t>
        </is>
      </c>
      <c r="E1673" t="inlineStr">
        <is>
          <t>NORRTÄLJE</t>
        </is>
      </c>
      <c r="G1673" t="n">
        <v>4.5</v>
      </c>
      <c r="H1673" t="n">
        <v>0</v>
      </c>
      <c r="I1673" t="n">
        <v>0</v>
      </c>
      <c r="J1673" t="n">
        <v>0</v>
      </c>
      <c r="K1673" t="n">
        <v>0</v>
      </c>
      <c r="L1673" t="n">
        <v>0</v>
      </c>
      <c r="M1673" t="n">
        <v>0</v>
      </c>
      <c r="N1673" t="n">
        <v>0</v>
      </c>
      <c r="O1673" t="n">
        <v>0</v>
      </c>
      <c r="P1673" t="n">
        <v>0</v>
      </c>
      <c r="Q1673" t="n">
        <v>0</v>
      </c>
      <c r="R1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2024-07-02T10:38:10Z</dcterms:created>
  <dcterms:modified xmlns:dcterms="http://purl.org/dc/terms/" xmlns:xsi="http://www.w3.org/2001/XMLSchema-instance" xsi:type="dcterms:W3CDTF">2024-07-02T10:38:11Z</dcterms:modified>
</cp:coreProperties>
</file>