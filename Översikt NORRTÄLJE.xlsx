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45662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45662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45662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45662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45662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45662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45662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45662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45662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45662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45662</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45662</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45662</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45662</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45662</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45662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45662</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45662</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45662</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45662</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45662</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45662</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45662</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45662</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45662</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45662</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45662</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45662</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45662</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45662</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45662</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45662</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45662</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45662</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45662</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45662</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45662</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45662</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45662</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45662</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45662</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45662</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45662</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45662</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45662</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45662</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45662</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45662</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45662</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45662</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45662</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45662</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45662</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45662</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45662</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45662</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45662</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45662</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45662</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45662</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45662</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45662</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45662</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45662</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45662</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45662</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45662</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45662</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45662</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45662</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45662</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45662</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45662</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45662</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45662</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45662</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45662</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45662</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45662</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45662</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45662</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45662</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45662</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45662</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45662</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45662</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45662</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45662</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45662</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45662</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45662</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45662</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45662</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45662</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45662</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45662</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45662</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45662</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45662</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45662</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45662</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45662</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45662</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45662</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45662</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45662</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45662</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45662</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45662</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45662</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45662</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45662</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45662</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45662</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45662</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45662</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45662</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45662</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45662</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45662</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45662</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45662</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45662</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45662</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45662</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45662</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45662</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45662</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45662</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45662</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45662</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45662</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45662</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45662</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45662</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45662</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45662</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45662</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45662</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45662</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45662</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45662</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45662</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45662</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45662</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45662</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45662</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45662</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45662</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45662</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45662</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45662</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45662</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45662</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45662</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45662</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45662</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45662</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45662</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45662</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45662</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45662</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45662</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45662</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45662</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45662</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45662</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45662</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45662</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45662</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39255-2023</t>
        </is>
      </c>
      <c r="B173" s="1" t="n">
        <v>45166</v>
      </c>
      <c r="C173" s="1" t="n">
        <v>45662</v>
      </c>
      <c r="D173" t="inlineStr">
        <is>
          <t>STOCKHOLMS LÄN</t>
        </is>
      </c>
      <c r="E173" t="inlineStr">
        <is>
          <t>NORRTÄLJE</t>
        </is>
      </c>
      <c r="G173" t="n">
        <v>14.2</v>
      </c>
      <c r="H173" t="n">
        <v>1</v>
      </c>
      <c r="I173" t="n">
        <v>0</v>
      </c>
      <c r="J173" t="n">
        <v>0</v>
      </c>
      <c r="K173" t="n">
        <v>0</v>
      </c>
      <c r="L173" t="n">
        <v>0</v>
      </c>
      <c r="M173" t="n">
        <v>0</v>
      </c>
      <c r="N173" t="n">
        <v>0</v>
      </c>
      <c r="O173" t="n">
        <v>0</v>
      </c>
      <c r="P173" t="n">
        <v>0</v>
      </c>
      <c r="Q173" t="n">
        <v>1</v>
      </c>
      <c r="R173" s="2" t="inlineStr">
        <is>
          <t>Lopplummer</t>
        </is>
      </c>
      <c r="S173">
        <f>HYPERLINK("https://klasma.github.io/Logging_0188/artfynd/A 39255-2023 artfynd.xlsx", "A 39255-2023")</f>
        <v/>
      </c>
      <c r="T173">
        <f>HYPERLINK("https://klasma.github.io/Logging_0188/kartor/A 39255-2023 karta.png", "A 39255-2023")</f>
        <v/>
      </c>
      <c r="V173">
        <f>HYPERLINK("https://klasma.github.io/Logging_0188/klagomål/A 39255-2023 FSC-klagomål.docx", "A 39255-2023")</f>
        <v/>
      </c>
      <c r="W173">
        <f>HYPERLINK("https://klasma.github.io/Logging_0188/klagomålsmail/A 39255-2023 FSC-klagomål mail.docx", "A 39255-2023")</f>
        <v/>
      </c>
      <c r="X173">
        <f>HYPERLINK("https://klasma.github.io/Logging_0188/tillsyn/A 39255-2023 tillsynsbegäran.docx", "A 39255-2023")</f>
        <v/>
      </c>
      <c r="Y173">
        <f>HYPERLINK("https://klasma.github.io/Logging_0188/tillsynsmail/A 39255-2023 tillsynsbegäran mail.docx", "A 39255-2023")</f>
        <v/>
      </c>
    </row>
    <row r="174" ht="15" customHeight="1">
      <c r="A174" t="inlineStr">
        <is>
          <t>A 43178-2023</t>
        </is>
      </c>
      <c r="B174" s="1" t="n">
        <v>45183</v>
      </c>
      <c r="C174" s="1" t="n">
        <v>45662</v>
      </c>
      <c r="D174" t="inlineStr">
        <is>
          <t>STOCKHOLMS LÄN</t>
        </is>
      </c>
      <c r="E174" t="inlineStr">
        <is>
          <t>NORRTÄLJE</t>
        </is>
      </c>
      <c r="F174" t="inlineStr">
        <is>
          <t>Kyrkan</t>
        </is>
      </c>
      <c r="G174" t="n">
        <v>1.5</v>
      </c>
      <c r="H174" t="n">
        <v>0</v>
      </c>
      <c r="I174" t="n">
        <v>0</v>
      </c>
      <c r="J174" t="n">
        <v>1</v>
      </c>
      <c r="K174" t="n">
        <v>0</v>
      </c>
      <c r="L174" t="n">
        <v>0</v>
      </c>
      <c r="M174" t="n">
        <v>0</v>
      </c>
      <c r="N174" t="n">
        <v>0</v>
      </c>
      <c r="O174" t="n">
        <v>1</v>
      </c>
      <c r="P174" t="n">
        <v>0</v>
      </c>
      <c r="Q174" t="n">
        <v>1</v>
      </c>
      <c r="R174" s="2" t="inlineStr">
        <is>
          <t>Mindre bastardsvärmare</t>
        </is>
      </c>
      <c r="S174">
        <f>HYPERLINK("https://klasma.github.io/Logging_0188/artfynd/A 43178-2023 artfynd.xlsx", "A 43178-2023")</f>
        <v/>
      </c>
      <c r="T174">
        <f>HYPERLINK("https://klasma.github.io/Logging_0188/kartor/A 43178-2023 karta.png", "A 43178-2023")</f>
        <v/>
      </c>
      <c r="V174">
        <f>HYPERLINK("https://klasma.github.io/Logging_0188/klagomål/A 43178-2023 FSC-klagomål.docx", "A 43178-2023")</f>
        <v/>
      </c>
      <c r="W174">
        <f>HYPERLINK("https://klasma.github.io/Logging_0188/klagomålsmail/A 43178-2023 FSC-klagomål mail.docx", "A 43178-2023")</f>
        <v/>
      </c>
      <c r="X174">
        <f>HYPERLINK("https://klasma.github.io/Logging_0188/tillsyn/A 43178-2023 tillsynsbegäran.docx", "A 43178-2023")</f>
        <v/>
      </c>
      <c r="Y174">
        <f>HYPERLINK("https://klasma.github.io/Logging_0188/tillsynsmail/A 43178-2023 tillsynsbegäran mail.docx", "A 43178-2023")</f>
        <v/>
      </c>
    </row>
    <row r="175" ht="15" customHeight="1">
      <c r="A175" t="inlineStr">
        <is>
          <t>A 43171-2023</t>
        </is>
      </c>
      <c r="B175" s="1" t="n">
        <v>45183</v>
      </c>
      <c r="C175" s="1" t="n">
        <v>45662</v>
      </c>
      <c r="D175" t="inlineStr">
        <is>
          <t>STOCKHOLMS LÄN</t>
        </is>
      </c>
      <c r="E175" t="inlineStr">
        <is>
          <t>NORRTÄLJE</t>
        </is>
      </c>
      <c r="F175" t="inlineStr">
        <is>
          <t>Kyrkan</t>
        </is>
      </c>
      <c r="G175" t="n">
        <v>1.3</v>
      </c>
      <c r="H175" t="n">
        <v>0</v>
      </c>
      <c r="I175" t="n">
        <v>0</v>
      </c>
      <c r="J175" t="n">
        <v>0</v>
      </c>
      <c r="K175" t="n">
        <v>0</v>
      </c>
      <c r="L175" t="n">
        <v>1</v>
      </c>
      <c r="M175" t="n">
        <v>0</v>
      </c>
      <c r="N175" t="n">
        <v>0</v>
      </c>
      <c r="O175" t="n">
        <v>1</v>
      </c>
      <c r="P175" t="n">
        <v>1</v>
      </c>
      <c r="Q175" t="n">
        <v>1</v>
      </c>
      <c r="R175" s="2" t="inlineStr">
        <is>
          <t>Ryl</t>
        </is>
      </c>
      <c r="S175">
        <f>HYPERLINK("https://klasma.github.io/Logging_0188/artfynd/A 43171-2023 artfynd.xlsx", "A 43171-2023")</f>
        <v/>
      </c>
      <c r="T175">
        <f>HYPERLINK("https://klasma.github.io/Logging_0188/kartor/A 43171-2023 karta.png", "A 43171-2023")</f>
        <v/>
      </c>
      <c r="U175">
        <f>HYPERLINK("https://klasma.github.io/Logging_0188/knärot/A 43171-2023 karta knärot.png", "A 43171-2023")</f>
        <v/>
      </c>
      <c r="V175">
        <f>HYPERLINK("https://klasma.github.io/Logging_0188/klagomål/A 43171-2023 FSC-klagomål.docx", "A 43171-2023")</f>
        <v/>
      </c>
      <c r="W175">
        <f>HYPERLINK("https://klasma.github.io/Logging_0188/klagomålsmail/A 43171-2023 FSC-klagomål mail.docx", "A 43171-2023")</f>
        <v/>
      </c>
      <c r="X175">
        <f>HYPERLINK("https://klasma.github.io/Logging_0188/tillsyn/A 43171-2023 tillsynsbegäran.docx", "A 43171-2023")</f>
        <v/>
      </c>
      <c r="Y175">
        <f>HYPERLINK("https://klasma.github.io/Logging_0188/tillsynsmail/A 43171-2023 tillsynsbegäran mail.docx", "A 43171-2023")</f>
        <v/>
      </c>
    </row>
    <row r="176" ht="15" customHeight="1">
      <c r="A176" t="inlineStr">
        <is>
          <t>A 43350-2023</t>
        </is>
      </c>
      <c r="B176" s="1" t="n">
        <v>45183</v>
      </c>
      <c r="C176" s="1" t="n">
        <v>45662</v>
      </c>
      <c r="D176" t="inlineStr">
        <is>
          <t>STOCKHOLMS LÄN</t>
        </is>
      </c>
      <c r="E176" t="inlineStr">
        <is>
          <t>NORRTÄLJE</t>
        </is>
      </c>
      <c r="F176" t="inlineStr">
        <is>
          <t>Holmen skog AB</t>
        </is>
      </c>
      <c r="G176" t="n">
        <v>4.2</v>
      </c>
      <c r="H176" t="n">
        <v>1</v>
      </c>
      <c r="I176" t="n">
        <v>0</v>
      </c>
      <c r="J176" t="n">
        <v>0</v>
      </c>
      <c r="K176" t="n">
        <v>0</v>
      </c>
      <c r="L176" t="n">
        <v>0</v>
      </c>
      <c r="M176" t="n">
        <v>0</v>
      </c>
      <c r="N176" t="n">
        <v>0</v>
      </c>
      <c r="O176" t="n">
        <v>0</v>
      </c>
      <c r="P176" t="n">
        <v>0</v>
      </c>
      <c r="Q176" t="n">
        <v>1</v>
      </c>
      <c r="R176" s="2" t="inlineStr">
        <is>
          <t>Revlummer</t>
        </is>
      </c>
      <c r="S176">
        <f>HYPERLINK("https://klasma.github.io/Logging_0188/artfynd/A 43350-2023 artfynd.xlsx", "A 43350-2023")</f>
        <v/>
      </c>
      <c r="T176">
        <f>HYPERLINK("https://klasma.github.io/Logging_0188/kartor/A 43350-2023 karta.png", "A 43350-2023")</f>
        <v/>
      </c>
      <c r="V176">
        <f>HYPERLINK("https://klasma.github.io/Logging_0188/klagomål/A 43350-2023 FSC-klagomål.docx", "A 43350-2023")</f>
        <v/>
      </c>
      <c r="W176">
        <f>HYPERLINK("https://klasma.github.io/Logging_0188/klagomålsmail/A 43350-2023 FSC-klagomål mail.docx", "A 43350-2023")</f>
        <v/>
      </c>
      <c r="X176">
        <f>HYPERLINK("https://klasma.github.io/Logging_0188/tillsyn/A 43350-2023 tillsynsbegäran.docx", "A 43350-2023")</f>
        <v/>
      </c>
      <c r="Y176">
        <f>HYPERLINK("https://klasma.github.io/Logging_0188/tillsynsmail/A 43350-2023 tillsynsbegäran mail.docx", "A 43350-2023")</f>
        <v/>
      </c>
    </row>
    <row r="177" ht="15" customHeight="1">
      <c r="A177" t="inlineStr">
        <is>
          <t>A 43354-2023</t>
        </is>
      </c>
      <c r="B177" s="1" t="n">
        <v>45183</v>
      </c>
      <c r="C177" s="1" t="n">
        <v>45662</v>
      </c>
      <c r="D177" t="inlineStr">
        <is>
          <t>STOCKHOLMS LÄN</t>
        </is>
      </c>
      <c r="E177" t="inlineStr">
        <is>
          <t>NORRTÄLJE</t>
        </is>
      </c>
      <c r="F177" t="inlineStr">
        <is>
          <t>Holmen skog AB</t>
        </is>
      </c>
      <c r="G177" t="n">
        <v>9.9</v>
      </c>
      <c r="H177" t="n">
        <v>0</v>
      </c>
      <c r="I177" t="n">
        <v>1</v>
      </c>
      <c r="J177" t="n">
        <v>0</v>
      </c>
      <c r="K177" t="n">
        <v>0</v>
      </c>
      <c r="L177" t="n">
        <v>0</v>
      </c>
      <c r="M177" t="n">
        <v>0</v>
      </c>
      <c r="N177" t="n">
        <v>0</v>
      </c>
      <c r="O177" t="n">
        <v>0</v>
      </c>
      <c r="P177" t="n">
        <v>0</v>
      </c>
      <c r="Q177" t="n">
        <v>1</v>
      </c>
      <c r="R177" s="2" t="inlineStr">
        <is>
          <t>Tibast</t>
        </is>
      </c>
      <c r="S177">
        <f>HYPERLINK("https://klasma.github.io/Logging_0188/artfynd/A 43354-2023 artfynd.xlsx", "A 43354-2023")</f>
        <v/>
      </c>
      <c r="T177">
        <f>HYPERLINK("https://klasma.github.io/Logging_0188/kartor/A 43354-2023 karta.png", "A 43354-2023")</f>
        <v/>
      </c>
      <c r="V177">
        <f>HYPERLINK("https://klasma.github.io/Logging_0188/klagomål/A 43354-2023 FSC-klagomål.docx", "A 43354-2023")</f>
        <v/>
      </c>
      <c r="W177">
        <f>HYPERLINK("https://klasma.github.io/Logging_0188/klagomålsmail/A 43354-2023 FSC-klagomål mail.docx", "A 43354-2023")</f>
        <v/>
      </c>
      <c r="X177">
        <f>HYPERLINK("https://klasma.github.io/Logging_0188/tillsyn/A 43354-2023 tillsynsbegäran.docx", "A 43354-2023")</f>
        <v/>
      </c>
      <c r="Y177">
        <f>HYPERLINK("https://klasma.github.io/Logging_0188/tillsynsmail/A 43354-2023 tillsynsbegäran mail.docx", "A 43354-2023")</f>
        <v/>
      </c>
    </row>
    <row r="178" ht="15" customHeight="1">
      <c r="A178" t="inlineStr">
        <is>
          <t>A 45172-2023</t>
        </is>
      </c>
      <c r="B178" s="1" t="n">
        <v>45191</v>
      </c>
      <c r="C178" s="1" t="n">
        <v>45662</v>
      </c>
      <c r="D178" t="inlineStr">
        <is>
          <t>STOCKHOLMS LÄN</t>
        </is>
      </c>
      <c r="E178" t="inlineStr">
        <is>
          <t>NORRTÄLJE</t>
        </is>
      </c>
      <c r="F178" t="inlineStr">
        <is>
          <t>Sveaskog</t>
        </is>
      </c>
      <c r="G178" t="n">
        <v>3.8</v>
      </c>
      <c r="H178" t="n">
        <v>1</v>
      </c>
      <c r="I178" t="n">
        <v>0</v>
      </c>
      <c r="J178" t="n">
        <v>1</v>
      </c>
      <c r="K178" t="n">
        <v>0</v>
      </c>
      <c r="L178" t="n">
        <v>0</v>
      </c>
      <c r="M178" t="n">
        <v>0</v>
      </c>
      <c r="N178" t="n">
        <v>0</v>
      </c>
      <c r="O178" t="n">
        <v>1</v>
      </c>
      <c r="P178" t="n">
        <v>0</v>
      </c>
      <c r="Q178" t="n">
        <v>1</v>
      </c>
      <c r="R178" s="2" t="inlineStr">
        <is>
          <t>Slaguggla</t>
        </is>
      </c>
      <c r="S178">
        <f>HYPERLINK("https://klasma.github.io/Logging_0188/artfynd/A 45172-2023 artfynd.xlsx", "A 45172-2023")</f>
        <v/>
      </c>
      <c r="T178">
        <f>HYPERLINK("https://klasma.github.io/Logging_0188/kartor/A 45172-2023 karta.png", "A 45172-2023")</f>
        <v/>
      </c>
      <c r="V178">
        <f>HYPERLINK("https://klasma.github.io/Logging_0188/klagomål/A 45172-2023 FSC-klagomål.docx", "A 45172-2023")</f>
        <v/>
      </c>
      <c r="W178">
        <f>HYPERLINK("https://klasma.github.io/Logging_0188/klagomålsmail/A 45172-2023 FSC-klagomål mail.docx", "A 45172-2023")</f>
        <v/>
      </c>
      <c r="X178">
        <f>HYPERLINK("https://klasma.github.io/Logging_0188/tillsyn/A 45172-2023 tillsynsbegäran.docx", "A 45172-2023")</f>
        <v/>
      </c>
      <c r="Y178">
        <f>HYPERLINK("https://klasma.github.io/Logging_0188/tillsynsmail/A 45172-2023 tillsynsbegäran mail.docx", "A 45172-2023")</f>
        <v/>
      </c>
      <c r="Z178">
        <f>HYPERLINK("https://klasma.github.io/Logging_0188/fåglar/A 45172-2023 prioriterade fågelarter.docx", "A 45172-2023")</f>
        <v/>
      </c>
    </row>
    <row r="179" ht="15" customHeight="1">
      <c r="A179" t="inlineStr">
        <is>
          <t>A 48131-2023</t>
        </is>
      </c>
      <c r="B179" s="1" t="n">
        <v>45205</v>
      </c>
      <c r="C179" s="1" t="n">
        <v>45662</v>
      </c>
      <c r="D179" t="inlineStr">
        <is>
          <t>STOCKHOLMS LÄN</t>
        </is>
      </c>
      <c r="E179" t="inlineStr">
        <is>
          <t>NORRTÄLJE</t>
        </is>
      </c>
      <c r="G179" t="n">
        <v>2.3</v>
      </c>
      <c r="H179" t="n">
        <v>0</v>
      </c>
      <c r="I179" t="n">
        <v>0</v>
      </c>
      <c r="J179" t="n">
        <v>1</v>
      </c>
      <c r="K179" t="n">
        <v>0</v>
      </c>
      <c r="L179" t="n">
        <v>0</v>
      </c>
      <c r="M179" t="n">
        <v>0</v>
      </c>
      <c r="N179" t="n">
        <v>0</v>
      </c>
      <c r="O179" t="n">
        <v>1</v>
      </c>
      <c r="P179" t="n">
        <v>0</v>
      </c>
      <c r="Q179" t="n">
        <v>1</v>
      </c>
      <c r="R179" s="2" t="inlineStr">
        <is>
          <t>Slåtterfibbla</t>
        </is>
      </c>
      <c r="S179">
        <f>HYPERLINK("https://klasma.github.io/Logging_0188/artfynd/A 48131-2023 artfynd.xlsx", "A 48131-2023")</f>
        <v/>
      </c>
      <c r="T179">
        <f>HYPERLINK("https://klasma.github.io/Logging_0188/kartor/A 48131-2023 karta.png", "A 48131-2023")</f>
        <v/>
      </c>
      <c r="V179">
        <f>HYPERLINK("https://klasma.github.io/Logging_0188/klagomål/A 48131-2023 FSC-klagomål.docx", "A 48131-2023")</f>
        <v/>
      </c>
      <c r="W179">
        <f>HYPERLINK("https://klasma.github.io/Logging_0188/klagomålsmail/A 48131-2023 FSC-klagomål mail.docx", "A 48131-2023")</f>
        <v/>
      </c>
      <c r="X179">
        <f>HYPERLINK("https://klasma.github.io/Logging_0188/tillsyn/A 48131-2023 tillsynsbegäran.docx", "A 48131-2023")</f>
        <v/>
      </c>
      <c r="Y179">
        <f>HYPERLINK("https://klasma.github.io/Logging_0188/tillsynsmail/A 48131-2023 tillsynsbegäran mail.docx", "A 48131-2023")</f>
        <v/>
      </c>
    </row>
    <row r="180" ht="15" customHeight="1">
      <c r="A180" t="inlineStr">
        <is>
          <t>A 51695-2023</t>
        </is>
      </c>
      <c r="B180" s="1" t="n">
        <v>45222</v>
      </c>
      <c r="C180" s="1" t="n">
        <v>45662</v>
      </c>
      <c r="D180" t="inlineStr">
        <is>
          <t>STOCKHOLMS LÄN</t>
        </is>
      </c>
      <c r="E180" t="inlineStr">
        <is>
          <t>NORRTÄLJE</t>
        </is>
      </c>
      <c r="G180" t="n">
        <v>4.9</v>
      </c>
      <c r="H180" t="n">
        <v>0</v>
      </c>
      <c r="I180" t="n">
        <v>1</v>
      </c>
      <c r="J180" t="n">
        <v>0</v>
      </c>
      <c r="K180" t="n">
        <v>0</v>
      </c>
      <c r="L180" t="n">
        <v>0</v>
      </c>
      <c r="M180" t="n">
        <v>0</v>
      </c>
      <c r="N180" t="n">
        <v>0</v>
      </c>
      <c r="O180" t="n">
        <v>0</v>
      </c>
      <c r="P180" t="n">
        <v>0</v>
      </c>
      <c r="Q180" t="n">
        <v>1</v>
      </c>
      <c r="R180" s="2" t="inlineStr">
        <is>
          <t>Fjällig taggsvamp s.str.</t>
        </is>
      </c>
      <c r="S180">
        <f>HYPERLINK("https://klasma.github.io/Logging_0188/artfynd/A 51695-2023 artfynd.xlsx", "A 51695-2023")</f>
        <v/>
      </c>
      <c r="T180">
        <f>HYPERLINK("https://klasma.github.io/Logging_0188/kartor/A 51695-2023 karta.png", "A 51695-2023")</f>
        <v/>
      </c>
      <c r="V180">
        <f>HYPERLINK("https://klasma.github.io/Logging_0188/klagomål/A 51695-2023 FSC-klagomål.docx", "A 51695-2023")</f>
        <v/>
      </c>
      <c r="W180">
        <f>HYPERLINK("https://klasma.github.io/Logging_0188/klagomålsmail/A 51695-2023 FSC-klagomål mail.docx", "A 51695-2023")</f>
        <v/>
      </c>
      <c r="X180">
        <f>HYPERLINK("https://klasma.github.io/Logging_0188/tillsyn/A 51695-2023 tillsynsbegäran.docx", "A 51695-2023")</f>
        <v/>
      </c>
      <c r="Y180">
        <f>HYPERLINK("https://klasma.github.io/Logging_0188/tillsynsmail/A 51695-2023 tillsynsbegäran mail.docx", "A 51695-2023")</f>
        <v/>
      </c>
    </row>
    <row r="181" ht="15" customHeight="1">
      <c r="A181" t="inlineStr">
        <is>
          <t>A 51909-2023</t>
        </is>
      </c>
      <c r="B181" s="1" t="n">
        <v>45223</v>
      </c>
      <c r="C181" s="1" t="n">
        <v>45662</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45662</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45662</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45662</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63851-2023</t>
        </is>
      </c>
      <c r="B185" s="1" t="n">
        <v>45278</v>
      </c>
      <c r="C185" s="1" t="n">
        <v>45662</v>
      </c>
      <c r="D185" t="inlineStr">
        <is>
          <t>STOCKHOLMS LÄN</t>
        </is>
      </c>
      <c r="E185" t="inlineStr">
        <is>
          <t>NORRTÄLJE</t>
        </is>
      </c>
      <c r="G185" t="n">
        <v>5.6</v>
      </c>
      <c r="H185" t="n">
        <v>1</v>
      </c>
      <c r="I185" t="n">
        <v>0</v>
      </c>
      <c r="J185" t="n">
        <v>0</v>
      </c>
      <c r="K185" t="n">
        <v>0</v>
      </c>
      <c r="L185" t="n">
        <v>0</v>
      </c>
      <c r="M185" t="n">
        <v>0</v>
      </c>
      <c r="N185" t="n">
        <v>0</v>
      </c>
      <c r="O185" t="n">
        <v>0</v>
      </c>
      <c r="P185" t="n">
        <v>0</v>
      </c>
      <c r="Q185" t="n">
        <v>1</v>
      </c>
      <c r="R185" s="2" t="inlineStr">
        <is>
          <t>Tjäder</t>
        </is>
      </c>
      <c r="S185">
        <f>HYPERLINK("https://klasma.github.io/Logging_0188/artfynd/A 63851-2023 artfynd.xlsx", "A 63851-2023")</f>
        <v/>
      </c>
      <c r="T185">
        <f>HYPERLINK("https://klasma.github.io/Logging_0188/kartor/A 63851-2023 karta.png", "A 63851-2023")</f>
        <v/>
      </c>
      <c r="V185">
        <f>HYPERLINK("https://klasma.github.io/Logging_0188/klagomål/A 63851-2023 FSC-klagomål.docx", "A 63851-2023")</f>
        <v/>
      </c>
      <c r="W185">
        <f>HYPERLINK("https://klasma.github.io/Logging_0188/klagomålsmail/A 63851-2023 FSC-klagomål mail.docx", "A 63851-2023")</f>
        <v/>
      </c>
      <c r="X185">
        <f>HYPERLINK("https://klasma.github.io/Logging_0188/tillsyn/A 63851-2023 tillsynsbegäran.docx", "A 63851-2023")</f>
        <v/>
      </c>
      <c r="Y185">
        <f>HYPERLINK("https://klasma.github.io/Logging_0188/tillsynsmail/A 63851-2023 tillsynsbegäran mail.docx", "A 63851-2023")</f>
        <v/>
      </c>
      <c r="Z185">
        <f>HYPERLINK("https://klasma.github.io/Logging_0188/fåglar/A 63851-2023 prioriterade fågelarter.docx", "A 63851-2023")</f>
        <v/>
      </c>
    </row>
    <row r="186" ht="15" customHeight="1">
      <c r="A186" t="inlineStr">
        <is>
          <t>A 64456-2023</t>
        </is>
      </c>
      <c r="B186" s="1" t="n">
        <v>45280</v>
      </c>
      <c r="C186" s="1" t="n">
        <v>45662</v>
      </c>
      <c r="D186" t="inlineStr">
        <is>
          <t>STOCKHOLMS LÄN</t>
        </is>
      </c>
      <c r="E186" t="inlineStr">
        <is>
          <t>NORRTÄLJE</t>
        </is>
      </c>
      <c r="G186" t="n">
        <v>2.5</v>
      </c>
      <c r="H186" t="n">
        <v>0</v>
      </c>
      <c r="I186" t="n">
        <v>1</v>
      </c>
      <c r="J186" t="n">
        <v>0</v>
      </c>
      <c r="K186" t="n">
        <v>0</v>
      </c>
      <c r="L186" t="n">
        <v>0</v>
      </c>
      <c r="M186" t="n">
        <v>0</v>
      </c>
      <c r="N186" t="n">
        <v>0</v>
      </c>
      <c r="O186" t="n">
        <v>0</v>
      </c>
      <c r="P186" t="n">
        <v>0</v>
      </c>
      <c r="Q186" t="n">
        <v>1</v>
      </c>
      <c r="R186" s="2" t="inlineStr">
        <is>
          <t>Rödgul trumpetsvamp</t>
        </is>
      </c>
      <c r="S186">
        <f>HYPERLINK("https://klasma.github.io/Logging_0188/artfynd/A 64456-2023 artfynd.xlsx", "A 64456-2023")</f>
        <v/>
      </c>
      <c r="T186">
        <f>HYPERLINK("https://klasma.github.io/Logging_0188/kartor/A 64456-2023 karta.png", "A 64456-2023")</f>
        <v/>
      </c>
      <c r="V186">
        <f>HYPERLINK("https://klasma.github.io/Logging_0188/klagomål/A 64456-2023 FSC-klagomål.docx", "A 64456-2023")</f>
        <v/>
      </c>
      <c r="W186">
        <f>HYPERLINK("https://klasma.github.io/Logging_0188/klagomålsmail/A 64456-2023 FSC-klagomål mail.docx", "A 64456-2023")</f>
        <v/>
      </c>
      <c r="X186">
        <f>HYPERLINK("https://klasma.github.io/Logging_0188/tillsyn/A 64456-2023 tillsynsbegäran.docx", "A 64456-2023")</f>
        <v/>
      </c>
      <c r="Y186">
        <f>HYPERLINK("https://klasma.github.io/Logging_0188/tillsynsmail/A 64456-2023 tillsynsbegäran mail.docx", "A 64456-2023")</f>
        <v/>
      </c>
    </row>
    <row r="187" ht="15" customHeight="1">
      <c r="A187" t="inlineStr">
        <is>
          <t>A 6950-2024</t>
        </is>
      </c>
      <c r="B187" s="1" t="n">
        <v>45343</v>
      </c>
      <c r="C187" s="1" t="n">
        <v>45662</v>
      </c>
      <c r="D187" t="inlineStr">
        <is>
          <t>STOCKHOLMS LÄN</t>
        </is>
      </c>
      <c r="E187" t="inlineStr">
        <is>
          <t>NORRTÄLJE</t>
        </is>
      </c>
      <c r="G187" t="n">
        <v>26.8</v>
      </c>
      <c r="H187" t="n">
        <v>1</v>
      </c>
      <c r="I187" t="n">
        <v>0</v>
      </c>
      <c r="J187" t="n">
        <v>0</v>
      </c>
      <c r="K187" t="n">
        <v>0</v>
      </c>
      <c r="L187" t="n">
        <v>0</v>
      </c>
      <c r="M187" t="n">
        <v>0</v>
      </c>
      <c r="N187" t="n">
        <v>0</v>
      </c>
      <c r="O187" t="n">
        <v>0</v>
      </c>
      <c r="P187" t="n">
        <v>0</v>
      </c>
      <c r="Q187" t="n">
        <v>1</v>
      </c>
      <c r="R187" s="2" t="inlineStr">
        <is>
          <t>Blåsippa</t>
        </is>
      </c>
      <c r="S187">
        <f>HYPERLINK("https://klasma.github.io/Logging_0188/artfynd/A 6950-2024 artfynd.xlsx", "A 6950-2024")</f>
        <v/>
      </c>
      <c r="T187">
        <f>HYPERLINK("https://klasma.github.io/Logging_0188/kartor/A 6950-2024 karta.png", "A 6950-2024")</f>
        <v/>
      </c>
      <c r="V187">
        <f>HYPERLINK("https://klasma.github.io/Logging_0188/klagomål/A 6950-2024 FSC-klagomål.docx", "A 6950-2024")</f>
        <v/>
      </c>
      <c r="W187">
        <f>HYPERLINK("https://klasma.github.io/Logging_0188/klagomålsmail/A 6950-2024 FSC-klagomål mail.docx", "A 6950-2024")</f>
        <v/>
      </c>
      <c r="X187">
        <f>HYPERLINK("https://klasma.github.io/Logging_0188/tillsyn/A 6950-2024 tillsynsbegäran.docx", "A 6950-2024")</f>
        <v/>
      </c>
      <c r="Y187">
        <f>HYPERLINK("https://klasma.github.io/Logging_0188/tillsynsmail/A 6950-2024 tillsynsbegäran mail.docx", "A 6950-2024")</f>
        <v/>
      </c>
    </row>
    <row r="188" ht="15" customHeight="1">
      <c r="A188" t="inlineStr">
        <is>
          <t>A 20468-2024</t>
        </is>
      </c>
      <c r="B188" s="1" t="n">
        <v>45435</v>
      </c>
      <c r="C188" s="1" t="n">
        <v>45662</v>
      </c>
      <c r="D188" t="inlineStr">
        <is>
          <t>STOCKHOLMS LÄN</t>
        </is>
      </c>
      <c r="E188" t="inlineStr">
        <is>
          <t>NORRTÄLJE</t>
        </is>
      </c>
      <c r="G188" t="n">
        <v>2.2</v>
      </c>
      <c r="H188" t="n">
        <v>0</v>
      </c>
      <c r="I188" t="n">
        <v>0</v>
      </c>
      <c r="J188" t="n">
        <v>0</v>
      </c>
      <c r="K188" t="n">
        <v>0</v>
      </c>
      <c r="L188" t="n">
        <v>1</v>
      </c>
      <c r="M188" t="n">
        <v>0</v>
      </c>
      <c r="N188" t="n">
        <v>0</v>
      </c>
      <c r="O188" t="n">
        <v>1</v>
      </c>
      <c r="P188" t="n">
        <v>1</v>
      </c>
      <c r="Q188" t="n">
        <v>1</v>
      </c>
      <c r="R188" s="2" t="inlineStr">
        <is>
          <t>Fältgentiana</t>
        </is>
      </c>
      <c r="S188">
        <f>HYPERLINK("https://klasma.github.io/Logging_0188/artfynd/A 20468-2024 artfynd.xlsx", "A 20468-2024")</f>
        <v/>
      </c>
      <c r="T188">
        <f>HYPERLINK("https://klasma.github.io/Logging_0188/kartor/A 20468-2024 karta.png", "A 20468-2024")</f>
        <v/>
      </c>
      <c r="V188">
        <f>HYPERLINK("https://klasma.github.io/Logging_0188/klagomål/A 20468-2024 FSC-klagomål.docx", "A 20468-2024")</f>
        <v/>
      </c>
      <c r="W188">
        <f>HYPERLINK("https://klasma.github.io/Logging_0188/klagomålsmail/A 20468-2024 FSC-klagomål mail.docx", "A 20468-2024")</f>
        <v/>
      </c>
      <c r="X188">
        <f>HYPERLINK("https://klasma.github.io/Logging_0188/tillsyn/A 20468-2024 tillsynsbegäran.docx", "A 20468-2024")</f>
        <v/>
      </c>
      <c r="Y188">
        <f>HYPERLINK("https://klasma.github.io/Logging_0188/tillsynsmail/A 20468-2024 tillsynsbegäran mail.docx", "A 20468-2024")</f>
        <v/>
      </c>
    </row>
    <row r="189" ht="15" customHeight="1">
      <c r="A189" t="inlineStr">
        <is>
          <t>A 23146-2024</t>
        </is>
      </c>
      <c r="B189" s="1" t="n">
        <v>45450</v>
      </c>
      <c r="C189" s="1" t="n">
        <v>45662</v>
      </c>
      <c r="D189" t="inlineStr">
        <is>
          <t>STOCKHOLMS LÄN</t>
        </is>
      </c>
      <c r="E189" t="inlineStr">
        <is>
          <t>NORRTÄLJE</t>
        </is>
      </c>
      <c r="F189" t="inlineStr">
        <is>
          <t>Kommuner</t>
        </is>
      </c>
      <c r="G189" t="n">
        <v>6</v>
      </c>
      <c r="H189" t="n">
        <v>0</v>
      </c>
      <c r="I189" t="n">
        <v>0</v>
      </c>
      <c r="J189" t="n">
        <v>1</v>
      </c>
      <c r="K189" t="n">
        <v>0</v>
      </c>
      <c r="L189" t="n">
        <v>0</v>
      </c>
      <c r="M189" t="n">
        <v>0</v>
      </c>
      <c r="N189" t="n">
        <v>0</v>
      </c>
      <c r="O189" t="n">
        <v>1</v>
      </c>
      <c r="P189" t="n">
        <v>0</v>
      </c>
      <c r="Q189" t="n">
        <v>1</v>
      </c>
      <c r="R189" s="2" t="inlineStr">
        <is>
          <t>Motaggsvamp</t>
        </is>
      </c>
      <c r="S189">
        <f>HYPERLINK("https://klasma.github.io/Logging_0188/artfynd/A 23146-2024 artfynd.xlsx", "A 23146-2024")</f>
        <v/>
      </c>
      <c r="T189">
        <f>HYPERLINK("https://klasma.github.io/Logging_0188/kartor/A 23146-2024 karta.png", "A 23146-2024")</f>
        <v/>
      </c>
      <c r="V189">
        <f>HYPERLINK("https://klasma.github.io/Logging_0188/klagomål/A 23146-2024 FSC-klagomål.docx", "A 23146-2024")</f>
        <v/>
      </c>
      <c r="W189">
        <f>HYPERLINK("https://klasma.github.io/Logging_0188/klagomålsmail/A 23146-2024 FSC-klagomål mail.docx", "A 23146-2024")</f>
        <v/>
      </c>
      <c r="X189">
        <f>HYPERLINK("https://klasma.github.io/Logging_0188/tillsyn/A 23146-2024 tillsynsbegäran.docx", "A 23146-2024")</f>
        <v/>
      </c>
      <c r="Y189">
        <f>HYPERLINK("https://klasma.github.io/Logging_0188/tillsynsmail/A 23146-2024 tillsynsbegäran mail.docx", "A 23146-2024")</f>
        <v/>
      </c>
    </row>
    <row r="190" ht="15" customHeight="1">
      <c r="A190" t="inlineStr">
        <is>
          <t>A 24577-2024</t>
        </is>
      </c>
      <c r="B190" s="1" t="n">
        <v>45460</v>
      </c>
      <c r="C190" s="1" t="n">
        <v>45662</v>
      </c>
      <c r="D190" t="inlineStr">
        <is>
          <t>STOCKHOLMS LÄN</t>
        </is>
      </c>
      <c r="E190" t="inlineStr">
        <is>
          <t>NORRTÄLJE</t>
        </is>
      </c>
      <c r="G190" t="n">
        <v>3.8</v>
      </c>
      <c r="H190" t="n">
        <v>0</v>
      </c>
      <c r="I190" t="n">
        <v>1</v>
      </c>
      <c r="J190" t="n">
        <v>0</v>
      </c>
      <c r="K190" t="n">
        <v>0</v>
      </c>
      <c r="L190" t="n">
        <v>0</v>
      </c>
      <c r="M190" t="n">
        <v>0</v>
      </c>
      <c r="N190" t="n">
        <v>0</v>
      </c>
      <c r="O190" t="n">
        <v>0</v>
      </c>
      <c r="P190" t="n">
        <v>0</v>
      </c>
      <c r="Q190" t="n">
        <v>1</v>
      </c>
      <c r="R190" s="2" t="inlineStr">
        <is>
          <t>Rostfläck</t>
        </is>
      </c>
      <c r="S190">
        <f>HYPERLINK("https://klasma.github.io/Logging_0188/artfynd/A 24577-2024 artfynd.xlsx", "A 24577-2024")</f>
        <v/>
      </c>
      <c r="T190">
        <f>HYPERLINK("https://klasma.github.io/Logging_0188/kartor/A 24577-2024 karta.png", "A 24577-2024")</f>
        <v/>
      </c>
      <c r="V190">
        <f>HYPERLINK("https://klasma.github.io/Logging_0188/klagomål/A 24577-2024 FSC-klagomål.docx", "A 24577-2024")</f>
        <v/>
      </c>
      <c r="W190">
        <f>HYPERLINK("https://klasma.github.io/Logging_0188/klagomålsmail/A 24577-2024 FSC-klagomål mail.docx", "A 24577-2024")</f>
        <v/>
      </c>
      <c r="X190">
        <f>HYPERLINK("https://klasma.github.io/Logging_0188/tillsyn/A 24577-2024 tillsynsbegäran.docx", "A 24577-2024")</f>
        <v/>
      </c>
      <c r="Y190">
        <f>HYPERLINK("https://klasma.github.io/Logging_0188/tillsynsmail/A 24577-2024 tillsynsbegäran mail.docx", "A 24577-2024")</f>
        <v/>
      </c>
    </row>
    <row r="191" ht="15" customHeight="1">
      <c r="A191" t="inlineStr">
        <is>
          <t>A 24528-2024</t>
        </is>
      </c>
      <c r="B191" s="1" t="n">
        <v>45460</v>
      </c>
      <c r="C191" s="1" t="n">
        <v>45662</v>
      </c>
      <c r="D191" t="inlineStr">
        <is>
          <t>STOCKHOLMS LÄN</t>
        </is>
      </c>
      <c r="E191" t="inlineStr">
        <is>
          <t>NORRTÄLJE</t>
        </is>
      </c>
      <c r="G191" t="n">
        <v>1.4</v>
      </c>
      <c r="H191" t="n">
        <v>1</v>
      </c>
      <c r="I191" t="n">
        <v>0</v>
      </c>
      <c r="J191" t="n">
        <v>0</v>
      </c>
      <c r="K191" t="n">
        <v>1</v>
      </c>
      <c r="L191" t="n">
        <v>0</v>
      </c>
      <c r="M191" t="n">
        <v>0</v>
      </c>
      <c r="N191" t="n">
        <v>0</v>
      </c>
      <c r="O191" t="n">
        <v>1</v>
      </c>
      <c r="P191" t="n">
        <v>1</v>
      </c>
      <c r="Q191" t="n">
        <v>1</v>
      </c>
      <c r="R191" s="2" t="inlineStr">
        <is>
          <t>Hällebräcka</t>
        </is>
      </c>
      <c r="S191">
        <f>HYPERLINK("https://klasma.github.io/Logging_0188/artfynd/A 24528-2024 artfynd.xlsx", "A 24528-2024")</f>
        <v/>
      </c>
      <c r="T191">
        <f>HYPERLINK("https://klasma.github.io/Logging_0188/kartor/A 24528-2024 karta.png", "A 24528-2024")</f>
        <v/>
      </c>
      <c r="V191">
        <f>HYPERLINK("https://klasma.github.io/Logging_0188/klagomål/A 24528-2024 FSC-klagomål.docx", "A 24528-2024")</f>
        <v/>
      </c>
      <c r="W191">
        <f>HYPERLINK("https://klasma.github.io/Logging_0188/klagomålsmail/A 24528-2024 FSC-klagomål mail.docx", "A 24528-2024")</f>
        <v/>
      </c>
      <c r="X191">
        <f>HYPERLINK("https://klasma.github.io/Logging_0188/tillsyn/A 24528-2024 tillsynsbegäran.docx", "A 24528-2024")</f>
        <v/>
      </c>
      <c r="Y191">
        <f>HYPERLINK("https://klasma.github.io/Logging_0188/tillsynsmail/A 24528-2024 tillsynsbegäran mail.docx", "A 24528-2024")</f>
        <v/>
      </c>
    </row>
    <row r="192" ht="15" customHeight="1">
      <c r="A192" t="inlineStr">
        <is>
          <t>A 26120-2024</t>
        </is>
      </c>
      <c r="B192" s="1" t="n">
        <v>45468</v>
      </c>
      <c r="C192" s="1" t="n">
        <v>45662</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27538-2024</t>
        </is>
      </c>
      <c r="B193" s="1" t="n">
        <v>45474</v>
      </c>
      <c r="C193" s="1" t="n">
        <v>45662</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35764-2024</t>
        </is>
      </c>
      <c r="B194" s="1" t="n">
        <v>45532</v>
      </c>
      <c r="C194" s="1" t="n">
        <v>45662</v>
      </c>
      <c r="D194" t="inlineStr">
        <is>
          <t>STOCKHOLMS LÄN</t>
        </is>
      </c>
      <c r="E194" t="inlineStr">
        <is>
          <t>NORRTÄLJE</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HYPERLINK("https://klasma.github.io/Logging_0188/artfynd/A 35764-2024 artfynd.xlsx", "A 35764-2024")</f>
        <v/>
      </c>
      <c r="T194">
        <f>HYPERLINK("https://klasma.github.io/Logging_0188/kartor/A 35764-2024 karta.png", "A 35764-2024")</f>
        <v/>
      </c>
      <c r="U194">
        <f>HYPERLINK("https://klasma.github.io/Logging_0188/knärot/A 35764-2024 karta knärot.png", "A 35764-2024")</f>
        <v/>
      </c>
      <c r="V194">
        <f>HYPERLINK("https://klasma.github.io/Logging_0188/klagomål/A 35764-2024 FSC-klagomål.docx", "A 35764-2024")</f>
        <v/>
      </c>
      <c r="W194">
        <f>HYPERLINK("https://klasma.github.io/Logging_0188/klagomålsmail/A 35764-2024 FSC-klagomål mail.docx", "A 35764-2024")</f>
        <v/>
      </c>
      <c r="X194">
        <f>HYPERLINK("https://klasma.github.io/Logging_0188/tillsyn/A 35764-2024 tillsynsbegäran.docx", "A 35764-2024")</f>
        <v/>
      </c>
      <c r="Y194">
        <f>HYPERLINK("https://klasma.github.io/Logging_0188/tillsynsmail/A 35764-2024 tillsynsbegäran mail.docx", "A 35764-2024")</f>
        <v/>
      </c>
    </row>
    <row r="195" ht="15" customHeight="1">
      <c r="A195" t="inlineStr">
        <is>
          <t>A 37918-2024</t>
        </is>
      </c>
      <c r="B195" s="1" t="n">
        <v>45544</v>
      </c>
      <c r="C195" s="1" t="n">
        <v>45662</v>
      </c>
      <c r="D195" t="inlineStr">
        <is>
          <t>STOCKHOLMS LÄN</t>
        </is>
      </c>
      <c r="E195" t="inlineStr">
        <is>
          <t>NORRTÄLJE</t>
        </is>
      </c>
      <c r="F195" t="inlineStr">
        <is>
          <t>Holmen skog AB</t>
        </is>
      </c>
      <c r="G195" t="n">
        <v>8.4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37918-2024 artfynd.xlsx", "A 37918-2024")</f>
        <v/>
      </c>
      <c r="T195">
        <f>HYPERLINK("https://klasma.github.io/Logging_0188/kartor/A 37918-2024 karta.png", "A 37918-2024")</f>
        <v/>
      </c>
      <c r="V195">
        <f>HYPERLINK("https://klasma.github.io/Logging_0188/klagomål/A 37918-2024 FSC-klagomål.docx", "A 37918-2024")</f>
        <v/>
      </c>
      <c r="W195">
        <f>HYPERLINK("https://klasma.github.io/Logging_0188/klagomålsmail/A 37918-2024 FSC-klagomål mail.docx", "A 37918-2024")</f>
        <v/>
      </c>
      <c r="X195">
        <f>HYPERLINK("https://klasma.github.io/Logging_0188/tillsyn/A 37918-2024 tillsynsbegäran.docx", "A 37918-2024")</f>
        <v/>
      </c>
      <c r="Y195">
        <f>HYPERLINK("https://klasma.github.io/Logging_0188/tillsynsmail/A 37918-2024 tillsynsbegäran mail.docx", "A 37918-2024")</f>
        <v/>
      </c>
    </row>
    <row r="196" ht="15" customHeight="1">
      <c r="A196" t="inlineStr">
        <is>
          <t>A 44547-2024</t>
        </is>
      </c>
      <c r="B196" s="1" t="n">
        <v>45574</v>
      </c>
      <c r="C196" s="1" t="n">
        <v>45662</v>
      </c>
      <c r="D196" t="inlineStr">
        <is>
          <t>STOCKHOLMS LÄN</t>
        </is>
      </c>
      <c r="E196" t="inlineStr">
        <is>
          <t>NORRTÄLJE</t>
        </is>
      </c>
      <c r="G196" t="n">
        <v>11.1</v>
      </c>
      <c r="H196" t="n">
        <v>0</v>
      </c>
      <c r="I196" t="n">
        <v>0</v>
      </c>
      <c r="J196" t="n">
        <v>1</v>
      </c>
      <c r="K196" t="n">
        <v>0</v>
      </c>
      <c r="L196" t="n">
        <v>0</v>
      </c>
      <c r="M196" t="n">
        <v>0</v>
      </c>
      <c r="N196" t="n">
        <v>0</v>
      </c>
      <c r="O196" t="n">
        <v>1</v>
      </c>
      <c r="P196" t="n">
        <v>0</v>
      </c>
      <c r="Q196" t="n">
        <v>1</v>
      </c>
      <c r="R196" s="2" t="inlineStr">
        <is>
          <t>Skogsklocka</t>
        </is>
      </c>
      <c r="S196">
        <f>HYPERLINK("https://klasma.github.io/Logging_0188/artfynd/A 44547-2024 artfynd.xlsx", "A 44547-2024")</f>
        <v/>
      </c>
      <c r="T196">
        <f>HYPERLINK("https://klasma.github.io/Logging_0188/kartor/A 44547-2024 karta.png", "A 44547-2024")</f>
        <v/>
      </c>
      <c r="V196">
        <f>HYPERLINK("https://klasma.github.io/Logging_0188/klagomål/A 44547-2024 FSC-klagomål.docx", "A 44547-2024")</f>
        <v/>
      </c>
      <c r="W196">
        <f>HYPERLINK("https://klasma.github.io/Logging_0188/klagomålsmail/A 44547-2024 FSC-klagomål mail.docx", "A 44547-2024")</f>
        <v/>
      </c>
      <c r="X196">
        <f>HYPERLINK("https://klasma.github.io/Logging_0188/tillsyn/A 44547-2024 tillsynsbegäran.docx", "A 44547-2024")</f>
        <v/>
      </c>
      <c r="Y196">
        <f>HYPERLINK("https://klasma.github.io/Logging_0188/tillsynsmail/A 44547-2024 tillsynsbegäran mail.docx", "A 44547-2024")</f>
        <v/>
      </c>
    </row>
    <row r="197" ht="15" customHeight="1">
      <c r="A197" t="inlineStr">
        <is>
          <t>A 52363-2024</t>
        </is>
      </c>
      <c r="B197" s="1" t="n">
        <v>45609</v>
      </c>
      <c r="C197" s="1" t="n">
        <v>45662</v>
      </c>
      <c r="D197" t="inlineStr">
        <is>
          <t>STOCKHOLMS LÄN</t>
        </is>
      </c>
      <c r="E197" t="inlineStr">
        <is>
          <t>NORRTÄLJE</t>
        </is>
      </c>
      <c r="G197" t="n">
        <v>9.199999999999999</v>
      </c>
      <c r="H197" t="n">
        <v>1</v>
      </c>
      <c r="I197" t="n">
        <v>0</v>
      </c>
      <c r="J197" t="n">
        <v>0</v>
      </c>
      <c r="K197" t="n">
        <v>0</v>
      </c>
      <c r="L197" t="n">
        <v>0</v>
      </c>
      <c r="M197" t="n">
        <v>0</v>
      </c>
      <c r="N197" t="n">
        <v>0</v>
      </c>
      <c r="O197" t="n">
        <v>0</v>
      </c>
      <c r="P197" t="n">
        <v>0</v>
      </c>
      <c r="Q197" t="n">
        <v>1</v>
      </c>
      <c r="R197" s="2" t="inlineStr">
        <is>
          <t>Revlummer</t>
        </is>
      </c>
      <c r="S197">
        <f>HYPERLINK("https://klasma.github.io/Logging_0188/artfynd/A 52363-2024 artfynd.xlsx", "A 52363-2024")</f>
        <v/>
      </c>
      <c r="T197">
        <f>HYPERLINK("https://klasma.github.io/Logging_0188/kartor/A 52363-2024 karta.png", "A 52363-2024")</f>
        <v/>
      </c>
      <c r="V197">
        <f>HYPERLINK("https://klasma.github.io/Logging_0188/klagomål/A 52363-2024 FSC-klagomål.docx", "A 52363-2024")</f>
        <v/>
      </c>
      <c r="W197">
        <f>HYPERLINK("https://klasma.github.io/Logging_0188/klagomålsmail/A 52363-2024 FSC-klagomål mail.docx", "A 52363-2024")</f>
        <v/>
      </c>
      <c r="X197">
        <f>HYPERLINK("https://klasma.github.io/Logging_0188/tillsyn/A 52363-2024 tillsynsbegäran.docx", "A 52363-2024")</f>
        <v/>
      </c>
      <c r="Y197">
        <f>HYPERLINK("https://klasma.github.io/Logging_0188/tillsynsmail/A 52363-2024 tillsynsbegäran mail.docx", "A 52363-2024")</f>
        <v/>
      </c>
    </row>
    <row r="198" ht="15" customHeight="1">
      <c r="A198" t="inlineStr">
        <is>
          <t>A 52611-2024</t>
        </is>
      </c>
      <c r="B198" s="1" t="n">
        <v>45609</v>
      </c>
      <c r="C198" s="1" t="n">
        <v>45662</v>
      </c>
      <c r="D198" t="inlineStr">
        <is>
          <t>STOCKHOLMS LÄN</t>
        </is>
      </c>
      <c r="E198" t="inlineStr">
        <is>
          <t>NORRTÄLJE</t>
        </is>
      </c>
      <c r="G198" t="n">
        <v>10.6</v>
      </c>
      <c r="H198" t="n">
        <v>1</v>
      </c>
      <c r="I198" t="n">
        <v>0</v>
      </c>
      <c r="J198" t="n">
        <v>0</v>
      </c>
      <c r="K198" t="n">
        <v>0</v>
      </c>
      <c r="L198" t="n">
        <v>0</v>
      </c>
      <c r="M198" t="n">
        <v>0</v>
      </c>
      <c r="N198" t="n">
        <v>0</v>
      </c>
      <c r="O198" t="n">
        <v>0</v>
      </c>
      <c r="P198" t="n">
        <v>0</v>
      </c>
      <c r="Q198" t="n">
        <v>1</v>
      </c>
      <c r="R198" s="2" t="inlineStr">
        <is>
          <t>Blåsippa</t>
        </is>
      </c>
      <c r="S198">
        <f>HYPERLINK("https://klasma.github.io/Logging_0188/artfynd/A 52611-2024 artfynd.xlsx", "A 52611-2024")</f>
        <v/>
      </c>
      <c r="T198">
        <f>HYPERLINK("https://klasma.github.io/Logging_0188/kartor/A 52611-2024 karta.png", "A 52611-2024")</f>
        <v/>
      </c>
      <c r="V198">
        <f>HYPERLINK("https://klasma.github.io/Logging_0188/klagomål/A 52611-2024 FSC-klagomål.docx", "A 52611-2024")</f>
        <v/>
      </c>
      <c r="W198">
        <f>HYPERLINK("https://klasma.github.io/Logging_0188/klagomålsmail/A 52611-2024 FSC-klagomål mail.docx", "A 52611-2024")</f>
        <v/>
      </c>
      <c r="X198">
        <f>HYPERLINK("https://klasma.github.io/Logging_0188/tillsyn/A 52611-2024 tillsynsbegäran.docx", "A 52611-2024")</f>
        <v/>
      </c>
      <c r="Y198">
        <f>HYPERLINK("https://klasma.github.io/Logging_0188/tillsynsmail/A 52611-2024 tillsynsbegäran mail.docx", "A 52611-2024")</f>
        <v/>
      </c>
    </row>
    <row r="199" ht="15" customHeight="1">
      <c r="A199" t="inlineStr">
        <is>
          <t>A 56792-2024</t>
        </is>
      </c>
      <c r="B199" s="1" t="n">
        <v>45628</v>
      </c>
      <c r="C199" s="1" t="n">
        <v>45662</v>
      </c>
      <c r="D199" t="inlineStr">
        <is>
          <t>STOCKHOLMS LÄN</t>
        </is>
      </c>
      <c r="E199" t="inlineStr">
        <is>
          <t>NORRTÄLJE</t>
        </is>
      </c>
      <c r="G199" t="n">
        <v>9.699999999999999</v>
      </c>
      <c r="H199" t="n">
        <v>0</v>
      </c>
      <c r="I199" t="n">
        <v>0</v>
      </c>
      <c r="J199" t="n">
        <v>1</v>
      </c>
      <c r="K199" t="n">
        <v>0</v>
      </c>
      <c r="L199" t="n">
        <v>0</v>
      </c>
      <c r="M199" t="n">
        <v>0</v>
      </c>
      <c r="N199" t="n">
        <v>0</v>
      </c>
      <c r="O199" t="n">
        <v>1</v>
      </c>
      <c r="P199" t="n">
        <v>0</v>
      </c>
      <c r="Q199" t="n">
        <v>1</v>
      </c>
      <c r="R199" s="2" t="inlineStr">
        <is>
          <t>Kandelabersvamp</t>
        </is>
      </c>
      <c r="S199">
        <f>HYPERLINK("https://klasma.github.io/Logging_0188/artfynd/A 56792-2024 artfynd.xlsx", "A 56792-2024")</f>
        <v/>
      </c>
      <c r="T199">
        <f>HYPERLINK("https://klasma.github.io/Logging_0188/kartor/A 56792-2024 karta.png", "A 56792-2024")</f>
        <v/>
      </c>
      <c r="V199">
        <f>HYPERLINK("https://klasma.github.io/Logging_0188/klagomål/A 56792-2024 FSC-klagomål.docx", "A 56792-2024")</f>
        <v/>
      </c>
      <c r="W199">
        <f>HYPERLINK("https://klasma.github.io/Logging_0188/klagomålsmail/A 56792-2024 FSC-klagomål mail.docx", "A 56792-2024")</f>
        <v/>
      </c>
      <c r="X199">
        <f>HYPERLINK("https://klasma.github.io/Logging_0188/tillsyn/A 56792-2024 tillsynsbegäran.docx", "A 56792-2024")</f>
        <v/>
      </c>
      <c r="Y199">
        <f>HYPERLINK("https://klasma.github.io/Logging_0188/tillsynsmail/A 56792-2024 tillsynsbegäran mail.docx", "A 56792-2024")</f>
        <v/>
      </c>
    </row>
    <row r="200" ht="15" customHeight="1">
      <c r="A200" t="inlineStr">
        <is>
          <t>A 17752-2019</t>
        </is>
      </c>
      <c r="B200" s="1" t="n">
        <v>43556</v>
      </c>
      <c r="C200" s="1" t="n">
        <v>45662</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45662</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45662</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45662</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45662</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45662</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45662</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45662</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45662</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45662</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45662</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45662</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45662</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45662</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45662</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45662</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45662</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45662</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45662</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45662</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45662</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45662</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45662</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45662</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45662</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45662</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45662</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45662</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45662</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45662</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45662</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45662</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45662</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45662</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45662</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45662</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45662</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45662</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45662</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45662</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45662</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45662</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45662</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45662</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45662</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45662</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45662</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45662</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45662</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45662</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45662</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45662</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45662</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45662</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45662</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45662</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45662</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45662</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45662</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45662</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45662</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45662</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45662</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45662</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45662</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45662</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45662</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45662</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45662</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45662</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45662</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45662</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45662</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45662</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45662</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45662</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45662</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45662</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45662</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45662</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45662</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45662</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45662</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45662</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45662</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45662</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45662</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45662</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45662</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45662</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45662</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45662</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45662</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45662</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45662</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45662</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45662</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45662</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45662</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45662</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45662</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45662</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45662</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45662</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45662</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45662</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45662</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45662</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45662</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45662</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45662</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45662</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45662</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45662</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45662</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45662</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45662</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45662</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45662</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45662</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45662</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45662</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45662</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45662</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45662</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45662</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45662</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45662</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45662</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45662</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45662</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45662</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45662</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45662</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45662</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45662</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45662</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45662</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45662</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45662</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45662</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45662</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45662</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45662</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45662</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45662</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45662</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45662</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45662</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45662</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45662</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45662</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45662</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45662</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45662</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45662</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45662</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45662</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45662</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45662</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45662</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45662</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45662</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45662</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45662</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45662</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45662</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45662</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45662</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45662</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45662</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45662</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45662</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45662</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45662</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45662</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45662</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45662</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45662</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45662</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45662</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45662</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45662</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45662</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45662</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45662</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45662</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45662</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45662</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45662</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45662</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45662</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45662</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45662</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45662</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45662</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45662</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45662</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45662</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45662</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45662</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45662</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45662</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45662</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45662</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45662</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45662</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45662</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45662</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45662</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45662</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45662</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45662</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45662</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45662</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45662</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45662</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45662</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45662</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45662</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45662</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45662</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45662</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45662</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45662</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45662</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45662</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45662</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45662</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45662</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45662</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45662</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45662</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45662</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45662</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45662</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45662</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45662</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45662</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45662</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45662</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45662</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45662</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45662</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45662</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45662</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45662</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45662</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45662</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45662</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45662</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45662</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45662</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45662</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45662</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45662</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45662</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45662</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45662</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45662</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45662</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45662</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45662</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45662</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45662</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45662</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45662</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45662</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45662</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45662</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45662</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45662</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45662</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45662</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45662</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45662</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45662</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45662</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45662</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45662</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45662</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45662</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45662</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45662</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45662</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45662</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45662</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45662</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45662</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45662</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45662</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45662</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45662</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45662</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45662</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45662</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45662</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45662</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45662</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45662</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45662</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45662</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45662</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45662</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45662</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45662</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45662</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45662</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45662</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45662</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45662</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45662</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45662</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45662</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45662</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45662</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45662</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45662</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45662</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45662</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45662</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45662</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45662</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45662</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45662</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45662</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45662</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45662</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45662</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45662</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45662</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45662</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45662</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45662</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45662</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45662</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45662</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45662</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45662</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45662</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45662</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45662</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45662</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45662</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45662</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45662</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45662</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45662</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45662</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45662</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45662</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45662</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45662</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45662</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45662</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45662</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45662</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45662</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45662</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45662</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45662</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45662</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45662</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45662</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45662</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45662</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45662</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45662</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45662</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45662</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45662</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45662</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45662</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45662</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45662</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45662</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45662</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45662</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45662</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45662</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45662</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45662</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45662</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45662</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45662</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45662</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45662</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45662</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45662</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45662</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45662</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45662</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45662</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45662</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45662</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45662</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45662</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45662</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45662</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45662</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45662</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45662</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45662</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45662</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45662</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45662</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45662</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45662</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45662</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45662</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45662</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45662</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45662</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45662</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45662</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45662</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45662</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45662</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45662</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45662</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45662</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45662</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45662</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45662</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45662</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45662</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45662</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45662</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45662</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45662</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45662</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45662</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45662</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45662</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45662</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45662</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45662</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45662</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45662</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45662</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45662</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45662</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45662</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45662</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45662</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45662</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45662</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45662</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45662</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45662</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45662</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45662</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45662</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45662</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45662</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45662</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45662</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45662</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45662</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45662</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45662</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45662</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45662</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45662</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45662</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45662</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45662</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45662</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45662</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45662</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45662</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45662</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45662</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45662</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45662</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45662</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45662</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45662</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45662</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45662</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45662</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45662</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45662</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45662</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45662</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45662</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45662</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45662</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45662</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45662</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45662</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45662</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45662</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45662</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45662</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45662</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45662</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45662</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45662</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45662</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45662</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45662</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45662</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45662</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45662</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45662</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45662</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45662</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45662</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45662</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45662</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45662</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45662</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45662</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45662</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45662</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45662</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45662</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45662</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45662</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45662</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45662</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45662</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45662</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45662</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45662</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45662</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45662</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45662</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45662</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45662</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45662</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45662</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45662</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45662</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45662</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45662</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45662</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45662</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45662</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45662</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45662</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45662</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45662</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45662</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45662</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45662</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45662</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45662</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45662</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45662</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45662</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45662</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45662</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45662</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45662</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45662</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45662</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45662</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45662</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45662</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45662</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45662</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45662</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45662</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45662</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45662</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45662</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45662</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45662</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45662</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45662</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45662</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45662</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45662</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45662</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45662</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45662</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45662</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45662</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45662</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45662</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45662</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45662</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45662</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45662</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45662</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45662</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45662</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45662</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45662</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45662</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45662</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45662</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45662</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45662</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45662</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45662</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45662</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45662</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45662</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45662</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45662</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45662</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45662</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45662</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45662</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45662</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45662</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45662</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45662</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45662</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45662</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45662</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45662</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45662</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45662</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45662</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45662</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45662</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45662</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45662</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45662</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45662</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45662</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45662</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45662</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45662</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45662</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45662</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45662</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45662</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45662</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45662</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45662</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45662</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45662</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45662</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45662</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45662</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45662</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45662</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45662</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45662</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45662</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45662</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45662</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45662</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45662</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45662</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45662</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45662</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45662</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45662</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45662</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45662</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45662</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45662</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45662</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45662</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45662</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45662</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45662</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45662</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45662</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45662</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45662</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45662</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45662</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45662</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45662</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45662</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45662</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45662</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45662</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45662</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45662</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45662</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45662</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45662</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45662</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45662</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45662</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45662</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45662</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45662</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45662</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45662</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45662</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45662</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45662</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45662</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45662</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45662</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45662</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45662</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45662</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45662</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45662</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45662</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45662</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45662</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45662</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45662</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45662</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45662</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45662</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45662</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45662</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45662</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45662</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45662</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45662</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45662</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45662</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45662</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45662</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45662</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45662</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45662</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45662</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45662</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45662</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45662</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45662</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45662</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45662</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45662</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45662</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45662</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45662</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45662</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45662</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45662</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45662</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45662</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45662</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45662</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45662</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45662</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45662</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45662</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45662</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45662</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45662</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45662</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45662</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45662</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45662</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45662</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45662</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45662</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45662</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45662</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45662</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45662</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45662</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45662</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45662</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45662</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45662</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45662</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45662</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45662</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45662</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45662</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45662</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45662</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45662</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45662</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45662</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45662</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45662</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45662</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45662</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45662</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45662</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45662</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45662</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45662</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45662</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45662</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45662</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45662</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45662</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45662</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45662</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45662</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45662</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45662</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45662</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45662</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45662</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45662</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45662</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45662</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45662</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45662</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45662</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45662</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45662</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45662</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45662</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45662</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45662</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45662</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45662</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45662</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45662</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45662</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45662</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45662</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45662</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45662</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45662</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45662</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45662</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45662</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45662</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45662</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45662</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45662</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45662</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45662</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45662</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45662</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45662</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45662</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45662</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45662</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45662</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45662</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45662</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45662</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45662</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45662</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45662</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45662</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45662</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45662</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45662</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45662</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45662</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45662</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45662</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45662</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45662</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45662</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45662</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45662</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45662</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45662</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45662</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45662</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45662</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45662</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45662</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45662</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45662</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45662</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45662</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45662</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45662</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45662</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45662</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45662</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45662</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45662</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45662</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45662</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45662</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45662</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45662</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45662</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45662</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45662</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45662</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45662</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45662</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45662</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45662</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45662</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45662</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45662</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45662</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45662</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45662</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45662</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45662</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45662</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45662</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45662</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45662</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45662</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45662</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45662</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45662</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45662</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45662</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45662</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45662</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45662</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45662</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45662</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45662</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45662</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45662</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45662</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45662</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45662</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45662</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45662</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45662</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45662</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45662</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45662</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45662</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45662</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45662</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45662</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45662</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45662</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45662</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45662</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45662</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45662</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45662</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45662</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45662</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45662</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45662</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45662</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45662</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45662</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45662</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45662</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45662</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45662</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45662</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45662</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45662</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45662</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45662</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45662</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45662</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45662</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45662</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45662</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45662</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45662</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45662</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45662</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45662</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45662</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45662</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45662</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45662</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45662</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45662</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45662</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45662</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45662</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45662</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45662</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45662</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45662</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45662</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45662</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45662</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45662</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45662</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45662</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45662</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45662</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45662</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45662</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45662</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45662</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45662</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45662</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45662</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45662</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45662</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45662</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45662</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45662</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45662</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45662</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45662</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45662</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45662</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45662</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45662</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45662</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45662</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45662</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45662</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45662</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45662</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45662</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45662</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45662</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45662</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45662</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45662</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45662</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45662</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45662</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45662</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45662</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45662</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45662</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45662</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45662</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45662</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45662</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45662</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45662</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45662</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45662</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45662</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45662</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45662</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45662</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45662</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45662</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45662</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45662</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45662</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45662</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45662</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45662</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45662</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45662</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45662</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45662</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45662</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45662</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45662</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45662</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45662</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45662</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45662</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45662</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45662</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45662</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45662</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45662</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45662</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45662</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45662</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45662</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45662</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45662</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45662</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45662</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45662</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45662</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45662</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45662</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45662</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45662</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45662</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45662</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45662</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45662</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45662</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45662</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45662</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45662</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45662</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45662</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45662</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45662</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45662</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45662</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45662</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45662</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45662</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45662</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45662</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45662</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45662</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45662</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45662</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45662</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45662</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45662</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45662</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45662</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45662</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45662</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45662</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45662</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45662</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45662</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45662</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45662</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45662</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45662</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45662</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45662</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45662</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45662</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45662</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45662</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45662</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45662</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45662</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45662</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45662</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45662</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45662</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45662</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45662</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45662</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45662</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45662</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45662</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45662</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45662</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45662</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45662</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45662</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45662</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45662</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45662</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45662</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45662</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45662</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45662</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45662</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45662</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45662</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45662</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45662</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45662</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45662</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45662</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45662</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45662</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45662</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45662</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45662</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45662</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45662</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45662</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45662</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45662</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45662</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45662</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45662</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45662</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45662</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45662</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45662</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45662</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45662</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45662</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45662</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45662</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45662</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45662</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45662</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45662</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45662</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45662</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45662</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45662</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45662</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45662</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45662</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45662</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45662</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45662</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45662</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45662</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45662</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45662</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45662</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45662</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45662</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45662</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45662</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45662</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45662</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45662</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45662</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45662</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45662</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45662</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45662</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45662</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45662</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45662</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45662</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45662</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45662</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45662</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45662</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45662</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45662</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45662</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45662</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45662</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45662</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45662</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45662</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45662</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45662</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45662</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45662</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45662</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45662</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45662</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45662</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45662</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45662</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45662</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45662</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45662</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45662</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45662</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45662</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45662</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45662</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45662</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45662</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45662</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45662</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45662</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45662</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45662</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45662</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45662</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45662</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45662</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45662</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45662</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45662</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45662</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45662</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45662</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45662</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45662</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45662</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45662</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45662</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45662</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45662</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45662</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45662</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45662</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45662</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45662</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45662</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45662</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45662</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45662</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45662</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45662</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45662</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45662</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45662</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45662</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45662</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45662</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45662</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45662</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45662</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45662</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45662</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45662</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45662</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45662</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45662</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45662</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45662</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45662</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45662</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45662</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45662</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45662</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45662</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45662</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45662</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45662</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45662</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45662</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45662</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45662</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45662</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45662</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45662</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45662</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45662</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45662</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45662</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45662</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45662</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45662</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45662</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45662</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45662</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45662</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45662</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45662</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45662</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45662</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45662</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45662</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45662</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45662</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45662</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45662</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45662</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45662</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45662</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45662</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45662</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45662</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45662</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45662</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45662</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45662</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45662</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45662</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45662</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45662</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45662</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45662</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45662</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45662</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45662</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45662</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45662</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45662</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45662</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45662</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45662</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45662</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45662</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45662</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45662</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45662</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45662</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45662</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45662</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45662</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45662</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45662</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45662</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45662</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45662</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45662</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45662</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45662</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45662</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45662</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45662</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45662</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45662</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45662</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45662</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45662</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45662</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45662</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45662</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45662</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45662</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45662</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45662</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45662</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45662</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45662</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45662</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45662</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45662</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45662</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45662</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45662</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45662</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45662</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45662</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45662</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45662</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45662</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45662</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45662</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45662</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45662</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45662</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45662</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45662</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45662</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45662</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45662</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45662</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45662</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45662</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45662</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45662</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45662</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45662</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45662</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45662</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45662</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45662</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45662</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45662</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45662</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45662</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45662</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45662</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45662</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45662</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45662</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45662</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45662</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45662</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45662</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45662</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45662</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45662</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45662</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45662</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45662</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45662</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45662</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45662</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45662</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45662</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45662</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45662</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45662</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45662</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45662</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45662</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45662</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45662</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45662</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45662</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45662</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45662</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45662</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45662</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45662</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45662</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45662</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45662</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45662</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45662</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45662</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45662</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45662</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45662</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45662</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45662</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45662</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45662</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45662</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45662</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45662</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45662</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45662</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45662</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45662</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45662</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45662</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45662</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45662</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45662</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45662</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45662</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45662</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45662</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45662</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45662</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45662</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45662</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45662</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45662</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45662</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45662</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45662</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45662</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45662</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45662</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45662</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45662</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45662</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45662</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45662</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45662</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45662</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45662</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45662</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45662</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45662</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45662</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45662</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45662</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45662</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45662</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45662</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45662</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45662</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45662</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45662</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45662</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45662</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45662</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45662</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45662</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45662</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45662</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45662</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45662</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45662</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45662</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45662</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45662</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45662</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45662</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45662</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45662</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45662</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45662</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45662</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45662</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45662</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45662</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45662</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45662</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45662</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45662</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45662</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45662</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45662</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45662</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45662</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45662</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45662</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45662</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45662</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45662</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45662</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45662</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45662</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45662</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45662</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45662</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45662</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45662</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45662</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45662</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45662</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45662</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45662</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45662</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45662</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45662</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45662</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45662</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45662</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45662</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45662</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45662</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45662</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45662</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45662</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45662</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45662</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45662</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45662</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45662</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45662</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45662</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45662</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45662</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45662</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45662</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45662</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45662</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45662</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45662</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45662</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45662</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45662</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45662</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45662</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45662</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45662</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45662</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45662</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45662</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45662</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45662</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45662</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45662</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45662</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45662</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45662</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45662</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45662</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45662</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45662</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45662</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45662</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45662</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45662</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45662</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45662</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45662</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45662</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45662</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45662</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45662</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45662</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45662</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45662</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45662</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45662</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45662</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45662</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45662</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45662</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45662</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45662</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45662</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45662</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45662</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45662</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45662</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45662</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45662</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45662</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45662</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45662</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45662</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45662</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45662</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45662</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45662</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45662</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45662</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45662</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59873-2024</t>
        </is>
      </c>
      <c r="B1847" s="1" t="n">
        <v>45640</v>
      </c>
      <c r="C1847" s="1" t="n">
        <v>45662</v>
      </c>
      <c r="D1847" t="inlineStr">
        <is>
          <t>STOCKHOLMS LÄN</t>
        </is>
      </c>
      <c r="E1847" t="inlineStr">
        <is>
          <t>NORRTÄLJE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59877-2024</t>
        </is>
      </c>
      <c r="B1848" s="1" t="n">
        <v>45640</v>
      </c>
      <c r="C1848" s="1" t="n">
        <v>45662</v>
      </c>
      <c r="D1848" t="inlineStr">
        <is>
          <t>STOCKHOLMS LÄN</t>
        </is>
      </c>
      <c r="E1848" t="inlineStr">
        <is>
          <t>NORRTÄLJE</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59874-2024</t>
        </is>
      </c>
      <c r="B1849" s="1" t="n">
        <v>45640</v>
      </c>
      <c r="C1849" s="1" t="n">
        <v>45662</v>
      </c>
      <c r="D1849" t="inlineStr">
        <is>
          <t>STOCKHOLMS LÄN</t>
        </is>
      </c>
      <c r="E1849" t="inlineStr">
        <is>
          <t>NORRTÄLJE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59878-2024</t>
        </is>
      </c>
      <c r="B1850" s="1" t="n">
        <v>45640</v>
      </c>
      <c r="C1850" s="1" t="n">
        <v>45662</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59876-2024</t>
        </is>
      </c>
      <c r="B1851" s="1" t="n">
        <v>45640</v>
      </c>
      <c r="C1851" s="1" t="n">
        <v>45662</v>
      </c>
      <c r="D1851" t="inlineStr">
        <is>
          <t>STOCKHOLMS LÄN</t>
        </is>
      </c>
      <c r="E1851" t="inlineStr">
        <is>
          <t>NORRTÄLJE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59875-2024</t>
        </is>
      </c>
      <c r="B1852" s="1" t="n">
        <v>45640</v>
      </c>
      <c r="C1852" s="1" t="n">
        <v>45662</v>
      </c>
      <c r="D1852" t="inlineStr">
        <is>
          <t>STOCKHOLMS LÄN</t>
        </is>
      </c>
      <c r="E1852" t="inlineStr">
        <is>
          <t>NORRTÄLJE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45662</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45662</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45662</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45662</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45662</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45662</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45662</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45662</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45662</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22-2025</t>
        </is>
      </c>
      <c r="B1862" s="1" t="n">
        <v>45658</v>
      </c>
      <c r="C1862" s="1" t="n">
        <v>45662</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c r="A1863" t="inlineStr">
        <is>
          <t>A 19-2025</t>
        </is>
      </c>
      <c r="B1863" s="1" t="n">
        <v>45658</v>
      </c>
      <c r="C1863" s="1" t="n">
        <v>45662</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2025-01-05T15:57:41Z</dcterms:created>
  <dcterms:modified xmlns:dcterms="http://purl.org/dc/terms/" xmlns:xsi="http://www.w3.org/2001/XMLSchema-instance" xsi:type="dcterms:W3CDTF">2025-01-05T15:57:43Z</dcterms:modified>
</cp:coreProperties>
</file>