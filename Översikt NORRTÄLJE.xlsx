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45996</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45996</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45996</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45996</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45996</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45996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45996</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45996</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45996</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45996</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45996</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45996</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45996</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45996</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3472-2023</t>
        </is>
      </c>
      <c r="B20" s="1" t="n">
        <v>44949</v>
      </c>
      <c r="C20" s="1" t="n">
        <v>45996</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45996</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45996</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45996</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52815-2021</t>
        </is>
      </c>
      <c r="B24" s="1" t="n">
        <v>44467</v>
      </c>
      <c r="C24" s="1" t="n">
        <v>45996</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50326-2024</t>
        </is>
      </c>
      <c r="B25" s="1" t="n">
        <v>45600</v>
      </c>
      <c r="C25" s="1" t="n">
        <v>45996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45996</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45996</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59582-2024</t>
        </is>
      </c>
      <c r="B28" s="1" t="n">
        <v>45638</v>
      </c>
      <c r="C28" s="1" t="n">
        <v>45996</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45996</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47951-2025</t>
        </is>
      </c>
      <c r="B30" s="1" t="n">
        <v>45932.58491898148</v>
      </c>
      <c r="C30" s="1" t="n">
        <v>45996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45996</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45996</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13933-2022</t>
        </is>
      </c>
      <c r="B33" s="1" t="n">
        <v>44650</v>
      </c>
      <c r="C33" s="1" t="n">
        <v>45996</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45996</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47346-2021</t>
        </is>
      </c>
      <c r="B35" s="1" t="n">
        <v>44447</v>
      </c>
      <c r="C35" s="1" t="n">
        <v>45996</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34528-2025</t>
        </is>
      </c>
      <c r="B36" s="1" t="n">
        <v>45847.48436342592</v>
      </c>
      <c r="C36" s="1" t="n">
        <v>45996</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45996</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21922-2023</t>
        </is>
      </c>
      <c r="B38" s="1" t="n">
        <v>45068</v>
      </c>
      <c r="C38" s="1" t="n">
        <v>45996</v>
      </c>
      <c r="D38" t="inlineStr">
        <is>
          <t>STOCKHOLMS LÄN</t>
        </is>
      </c>
      <c r="E38" t="inlineStr">
        <is>
          <t>NORRTÄLJE</t>
        </is>
      </c>
      <c r="G38" t="n">
        <v>4.9</v>
      </c>
      <c r="H38" t="n">
        <v>2</v>
      </c>
      <c r="I38" t="n">
        <v>2</v>
      </c>
      <c r="J38" t="n">
        <v>1</v>
      </c>
      <c r="K38" t="n">
        <v>0</v>
      </c>
      <c r="L38" t="n">
        <v>0</v>
      </c>
      <c r="M38" t="n">
        <v>0</v>
      </c>
      <c r="N38" t="n">
        <v>0</v>
      </c>
      <c r="O38" t="n">
        <v>1</v>
      </c>
      <c r="P38" t="n">
        <v>0</v>
      </c>
      <c r="Q38" t="n">
        <v>5</v>
      </c>
      <c r="R38" s="2" t="inlineStr">
        <is>
          <t>Asppraktbagge
Stor aspticka
Svavelriska
Blåsippa
Gullviva</t>
        </is>
      </c>
      <c r="S38">
        <f>HYPERLINK("https://klasma.github.io/Logging_0188/artfynd/A 21922-2023 artfynd.xlsx", "A 21922-2023")</f>
        <v/>
      </c>
      <c r="T38">
        <f>HYPERLINK("https://klasma.github.io/Logging_0188/kartor/A 21922-2023 karta.png", "A 21922-2023")</f>
        <v/>
      </c>
      <c r="V38">
        <f>HYPERLINK("https://klasma.github.io/Logging_0188/klagomål/A 21922-2023 FSC-klagomål.docx", "A 21922-2023")</f>
        <v/>
      </c>
      <c r="W38">
        <f>HYPERLINK("https://klasma.github.io/Logging_0188/klagomålsmail/A 21922-2023 FSC-klagomål mail.docx", "A 21922-2023")</f>
        <v/>
      </c>
      <c r="X38">
        <f>HYPERLINK("https://klasma.github.io/Logging_0188/tillsyn/A 21922-2023 tillsynsbegäran.docx", "A 21922-2023")</f>
        <v/>
      </c>
      <c r="Y38">
        <f>HYPERLINK("https://klasma.github.io/Logging_0188/tillsynsmail/A 21922-2023 tillsynsbegäran mail.docx", "A 21922-2023")</f>
        <v/>
      </c>
    </row>
    <row r="39" ht="15" customHeight="1">
      <c r="A39" t="inlineStr">
        <is>
          <t>A 3444-2023</t>
        </is>
      </c>
      <c r="B39" s="1" t="n">
        <v>44949</v>
      </c>
      <c r="C39" s="1" t="n">
        <v>45996</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45996</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45996</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45996</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45996</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22071-2022</t>
        </is>
      </c>
      <c r="B44" s="1" t="n">
        <v>44711</v>
      </c>
      <c r="C44" s="1" t="n">
        <v>45996</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25687-2025</t>
        </is>
      </c>
      <c r="B45" s="1" t="n">
        <v>45800</v>
      </c>
      <c r="C45" s="1" t="n">
        <v>45996</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24052-2021</t>
        </is>
      </c>
      <c r="B46" s="1" t="n">
        <v>44336</v>
      </c>
      <c r="C46" s="1" t="n">
        <v>45996</v>
      </c>
      <c r="D46" t="inlineStr">
        <is>
          <t>STOCKHOLMS LÄN</t>
        </is>
      </c>
      <c r="E46" t="inlineStr">
        <is>
          <t>NORRTÄLJE</t>
        </is>
      </c>
      <c r="G46" t="n">
        <v>8.6</v>
      </c>
      <c r="H46" t="n">
        <v>4</v>
      </c>
      <c r="I46" t="n">
        <v>0</v>
      </c>
      <c r="J46" t="n">
        <v>2</v>
      </c>
      <c r="K46" t="n">
        <v>0</v>
      </c>
      <c r="L46" t="n">
        <v>0</v>
      </c>
      <c r="M46" t="n">
        <v>0</v>
      </c>
      <c r="N46" t="n">
        <v>0</v>
      </c>
      <c r="O46" t="n">
        <v>2</v>
      </c>
      <c r="P46" t="n">
        <v>0</v>
      </c>
      <c r="Q46" t="n">
        <v>4</v>
      </c>
      <c r="R46" s="2" t="inlineStr">
        <is>
          <t>Brunlångöra
Nordfladdermus
Dvärgpipistrell
Större brunfladdermus</t>
        </is>
      </c>
      <c r="S46">
        <f>HYPERLINK("https://klasma.github.io/Logging_0188/artfynd/A 24052-2021 artfynd.xlsx", "A 24052-2021")</f>
        <v/>
      </c>
      <c r="T46">
        <f>HYPERLINK("https://klasma.github.io/Logging_0188/kartor/A 24052-2021 karta.png", "A 24052-2021")</f>
        <v/>
      </c>
      <c r="V46">
        <f>HYPERLINK("https://klasma.github.io/Logging_0188/klagomål/A 24052-2021 FSC-klagomål.docx", "A 24052-2021")</f>
        <v/>
      </c>
      <c r="W46">
        <f>HYPERLINK("https://klasma.github.io/Logging_0188/klagomålsmail/A 24052-2021 FSC-klagomål mail.docx", "A 24052-2021")</f>
        <v/>
      </c>
      <c r="X46">
        <f>HYPERLINK("https://klasma.github.io/Logging_0188/tillsyn/A 24052-2021 tillsynsbegäran.docx", "A 24052-2021")</f>
        <v/>
      </c>
      <c r="Y46">
        <f>HYPERLINK("https://klasma.github.io/Logging_0188/tillsynsmail/A 24052-2021 tillsynsbegäran mail.docx", "A 24052-2021")</f>
        <v/>
      </c>
    </row>
    <row r="47" ht="15" customHeight="1">
      <c r="A47" t="inlineStr">
        <is>
          <t>A 34521-2025</t>
        </is>
      </c>
      <c r="B47" s="1" t="n">
        <v>45847.47052083333</v>
      </c>
      <c r="C47" s="1" t="n">
        <v>45996</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72305-2021</t>
        </is>
      </c>
      <c r="B48" s="1" t="n">
        <v>44545</v>
      </c>
      <c r="C48" s="1" t="n">
        <v>45996</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41276-2025</t>
        </is>
      </c>
      <c r="B49" s="1" t="n">
        <v>45898.62723379629</v>
      </c>
      <c r="C49" s="1" t="n">
        <v>45996</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44709-2022</t>
        </is>
      </c>
      <c r="B50" s="1" t="n">
        <v>44839</v>
      </c>
      <c r="C50" s="1" t="n">
        <v>45996</v>
      </c>
      <c r="D50" t="inlineStr">
        <is>
          <t>STOCKHOLMS LÄN</t>
        </is>
      </c>
      <c r="E50" t="inlineStr">
        <is>
          <t>NORRTÄLJE</t>
        </is>
      </c>
      <c r="G50" t="n">
        <v>16.3</v>
      </c>
      <c r="H50" t="n">
        <v>3</v>
      </c>
      <c r="I50" t="n">
        <v>0</v>
      </c>
      <c r="J50" t="n">
        <v>2</v>
      </c>
      <c r="K50" t="n">
        <v>0</v>
      </c>
      <c r="L50" t="n">
        <v>0</v>
      </c>
      <c r="M50" t="n">
        <v>0</v>
      </c>
      <c r="N50" t="n">
        <v>0</v>
      </c>
      <c r="O50" t="n">
        <v>2</v>
      </c>
      <c r="P50" t="n">
        <v>0</v>
      </c>
      <c r="Q50" t="n">
        <v>4</v>
      </c>
      <c r="R50" s="2" t="inlineStr">
        <is>
          <t>Asppraktbagge
Spillkråka
Enkelbeckasin
Orre</t>
        </is>
      </c>
      <c r="S50">
        <f>HYPERLINK("https://klasma.github.io/Logging_0188/artfynd/A 44709-2022 artfynd.xlsx", "A 44709-2022")</f>
        <v/>
      </c>
      <c r="T50">
        <f>HYPERLINK("https://klasma.github.io/Logging_0188/kartor/A 44709-2022 karta.png", "A 44709-2022")</f>
        <v/>
      </c>
      <c r="V50">
        <f>HYPERLINK("https://klasma.github.io/Logging_0188/klagomål/A 44709-2022 FSC-klagomål.docx", "A 44709-2022")</f>
        <v/>
      </c>
      <c r="W50">
        <f>HYPERLINK("https://klasma.github.io/Logging_0188/klagomålsmail/A 44709-2022 FSC-klagomål mail.docx", "A 44709-2022")</f>
        <v/>
      </c>
      <c r="X50">
        <f>HYPERLINK("https://klasma.github.io/Logging_0188/tillsyn/A 44709-2022 tillsynsbegäran.docx", "A 44709-2022")</f>
        <v/>
      </c>
      <c r="Y50">
        <f>HYPERLINK("https://klasma.github.io/Logging_0188/tillsynsmail/A 44709-2022 tillsynsbegäran mail.docx", "A 44709-2022")</f>
        <v/>
      </c>
      <c r="Z50">
        <f>HYPERLINK("https://klasma.github.io/Logging_0188/fåglar/A 44709-2022 prioriterade fågelarter.docx", "A 44709-2022")</f>
        <v/>
      </c>
    </row>
    <row r="51" ht="15" customHeight="1">
      <c r="A51" t="inlineStr">
        <is>
          <t>A 10876-2025</t>
        </is>
      </c>
      <c r="B51" s="1" t="n">
        <v>45722</v>
      </c>
      <c r="C51" s="1" t="n">
        <v>45996</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21730-2025</t>
        </is>
      </c>
      <c r="B52" s="1" t="n">
        <v>45783.58123842593</v>
      </c>
      <c r="C52" s="1" t="n">
        <v>45996</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47212-2025</t>
        </is>
      </c>
      <c r="B53" s="1" t="n">
        <v>45930</v>
      </c>
      <c r="C53" s="1" t="n">
        <v>45996</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17673-2021</t>
        </is>
      </c>
      <c r="B54" s="1" t="n">
        <v>44300</v>
      </c>
      <c r="C54" s="1" t="n">
        <v>45996</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28836-2022</t>
        </is>
      </c>
      <c r="B55" s="1" t="n">
        <v>44749</v>
      </c>
      <c r="C55" s="1" t="n">
        <v>45996</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45996</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45996</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45996</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45996</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45113-2022</t>
        </is>
      </c>
      <c r="B60" s="1" t="n">
        <v>44843</v>
      </c>
      <c r="C60" s="1" t="n">
        <v>45996</v>
      </c>
      <c r="D60" t="inlineStr">
        <is>
          <t>STOCKHOLMS LÄN</t>
        </is>
      </c>
      <c r="E60" t="inlineStr">
        <is>
          <t>NORRTÄLJE</t>
        </is>
      </c>
      <c r="G60" t="n">
        <v>1.7</v>
      </c>
      <c r="H60" t="n">
        <v>0</v>
      </c>
      <c r="I60" t="n">
        <v>1</v>
      </c>
      <c r="J60" t="n">
        <v>1</v>
      </c>
      <c r="K60" t="n">
        <v>1</v>
      </c>
      <c r="L60" t="n">
        <v>0</v>
      </c>
      <c r="M60" t="n">
        <v>0</v>
      </c>
      <c r="N60" t="n">
        <v>0</v>
      </c>
      <c r="O60" t="n">
        <v>2</v>
      </c>
      <c r="P60" t="n">
        <v>1</v>
      </c>
      <c r="Q60" t="n">
        <v>3</v>
      </c>
      <c r="R60" s="2" t="inlineStr">
        <is>
          <t>Violett fingersvamp
Kandelabersvamp
Slät lönnlav</t>
        </is>
      </c>
      <c r="S60">
        <f>HYPERLINK("https://klasma.github.io/Logging_0188/artfynd/A 45113-2022 artfynd.xlsx", "A 45113-2022")</f>
        <v/>
      </c>
      <c r="T60">
        <f>HYPERLINK("https://klasma.github.io/Logging_0188/kartor/A 45113-2022 karta.png", "A 45113-2022")</f>
        <v/>
      </c>
      <c r="V60">
        <f>HYPERLINK("https://klasma.github.io/Logging_0188/klagomål/A 45113-2022 FSC-klagomål.docx", "A 45113-2022")</f>
        <v/>
      </c>
      <c r="W60">
        <f>HYPERLINK("https://klasma.github.io/Logging_0188/klagomålsmail/A 45113-2022 FSC-klagomål mail.docx", "A 45113-2022")</f>
        <v/>
      </c>
      <c r="X60">
        <f>HYPERLINK("https://klasma.github.io/Logging_0188/tillsyn/A 45113-2022 tillsynsbegäran.docx", "A 45113-2022")</f>
        <v/>
      </c>
      <c r="Y60">
        <f>HYPERLINK("https://klasma.github.io/Logging_0188/tillsynsmail/A 45113-2022 tillsynsbegäran mail.docx", "A 45113-2022")</f>
        <v/>
      </c>
    </row>
    <row r="61" ht="15" customHeight="1">
      <c r="A61" t="inlineStr">
        <is>
          <t>A 29185-2025</t>
        </is>
      </c>
      <c r="B61" s="1" t="n">
        <v>45821</v>
      </c>
      <c r="C61" s="1" t="n">
        <v>45996</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34524-2025</t>
        </is>
      </c>
      <c r="B62" s="1" t="n">
        <v>45847.47685185185</v>
      </c>
      <c r="C62" s="1" t="n">
        <v>45996</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2851-2023</t>
        </is>
      </c>
      <c r="B63" s="1" t="n">
        <v>44945</v>
      </c>
      <c r="C63" s="1" t="n">
        <v>45996</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45996</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27870-2022</t>
        </is>
      </c>
      <c r="B65" s="1" t="n">
        <v>44743.64592592593</v>
      </c>
      <c r="C65" s="1" t="n">
        <v>45996</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45996</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52726-2025</t>
        </is>
      </c>
      <c r="B67" s="1" t="n">
        <v>45957.34722222222</v>
      </c>
      <c r="C67" s="1" t="n">
        <v>45996</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52133-2022</t>
        </is>
      </c>
      <c r="B68" s="1" t="n">
        <v>44868</v>
      </c>
      <c r="C68" s="1" t="n">
        <v>45996</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45996</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4634-2021</t>
        </is>
      </c>
      <c r="B70" s="1" t="n">
        <v>44224</v>
      </c>
      <c r="C70" s="1" t="n">
        <v>45996</v>
      </c>
      <c r="D70" t="inlineStr">
        <is>
          <t>STOCKHOLMS LÄN</t>
        </is>
      </c>
      <c r="E70" t="inlineStr">
        <is>
          <t>NORRTÄLJE</t>
        </is>
      </c>
      <c r="G70" t="n">
        <v>3.7</v>
      </c>
      <c r="H70" t="n">
        <v>2</v>
      </c>
      <c r="I70" t="n">
        <v>1</v>
      </c>
      <c r="J70" t="n">
        <v>0</v>
      </c>
      <c r="K70" t="n">
        <v>0</v>
      </c>
      <c r="L70" t="n">
        <v>0</v>
      </c>
      <c r="M70" t="n">
        <v>0</v>
      </c>
      <c r="N70" t="n">
        <v>0</v>
      </c>
      <c r="O70" t="n">
        <v>0</v>
      </c>
      <c r="P70" t="n">
        <v>0</v>
      </c>
      <c r="Q70" t="n">
        <v>2</v>
      </c>
      <c r="R70" s="2" t="inlineStr">
        <is>
          <t>Grön sköldmossa
Tjäder</t>
        </is>
      </c>
      <c r="S70">
        <f>HYPERLINK("https://klasma.github.io/Logging_0188/artfynd/A 4634-2021 artfynd.xlsx", "A 4634-2021")</f>
        <v/>
      </c>
      <c r="T70">
        <f>HYPERLINK("https://klasma.github.io/Logging_0188/kartor/A 4634-2021 karta.png", "A 4634-2021")</f>
        <v/>
      </c>
      <c r="V70">
        <f>HYPERLINK("https://klasma.github.io/Logging_0188/klagomål/A 4634-2021 FSC-klagomål.docx", "A 4634-2021")</f>
        <v/>
      </c>
      <c r="W70">
        <f>HYPERLINK("https://klasma.github.io/Logging_0188/klagomålsmail/A 4634-2021 FSC-klagomål mail.docx", "A 4634-2021")</f>
        <v/>
      </c>
      <c r="X70">
        <f>HYPERLINK("https://klasma.github.io/Logging_0188/tillsyn/A 4634-2021 tillsynsbegäran.docx", "A 4634-2021")</f>
        <v/>
      </c>
      <c r="Y70">
        <f>HYPERLINK("https://klasma.github.io/Logging_0188/tillsynsmail/A 4634-2021 tillsynsbegäran mail.docx", "A 4634-2021")</f>
        <v/>
      </c>
      <c r="Z70">
        <f>HYPERLINK("https://klasma.github.io/Logging_0188/fåglar/A 4634-2021 prioriterade fågelarter.docx", "A 4634-2021")</f>
        <v/>
      </c>
    </row>
    <row r="71" ht="15" customHeight="1">
      <c r="A71" t="inlineStr">
        <is>
          <t>A 58676-2021</t>
        </is>
      </c>
      <c r="B71" s="1" t="n">
        <v>44489</v>
      </c>
      <c r="C71" s="1" t="n">
        <v>45996</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45996</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45996</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52124-2022</t>
        </is>
      </c>
      <c r="B74" s="1" t="n">
        <v>44868</v>
      </c>
      <c r="C74" s="1" t="n">
        <v>45996</v>
      </c>
      <c r="D74" t="inlineStr">
        <is>
          <t>STOCKHOLMS LÄN</t>
        </is>
      </c>
      <c r="E74" t="inlineStr">
        <is>
          <t>NORRTÄLJE</t>
        </is>
      </c>
      <c r="G74" t="n">
        <v>4.8</v>
      </c>
      <c r="H74" t="n">
        <v>1</v>
      </c>
      <c r="I74" t="n">
        <v>0</v>
      </c>
      <c r="J74" t="n">
        <v>1</v>
      </c>
      <c r="K74" t="n">
        <v>0</v>
      </c>
      <c r="L74" t="n">
        <v>0</v>
      </c>
      <c r="M74" t="n">
        <v>0</v>
      </c>
      <c r="N74" t="n">
        <v>0</v>
      </c>
      <c r="O74" t="n">
        <v>1</v>
      </c>
      <c r="P74" t="n">
        <v>0</v>
      </c>
      <c r="Q74" t="n">
        <v>2</v>
      </c>
      <c r="R74" s="2" t="inlineStr">
        <is>
          <t>Kandelabersvamp
Blåsippa</t>
        </is>
      </c>
      <c r="S74">
        <f>HYPERLINK("https://klasma.github.io/Logging_0188/artfynd/A 52124-2022 artfynd.xlsx", "A 52124-2022")</f>
        <v/>
      </c>
      <c r="T74">
        <f>HYPERLINK("https://klasma.github.io/Logging_0188/kartor/A 52124-2022 karta.png", "A 52124-2022")</f>
        <v/>
      </c>
      <c r="V74">
        <f>HYPERLINK("https://klasma.github.io/Logging_0188/klagomål/A 52124-2022 FSC-klagomål.docx", "A 52124-2022")</f>
        <v/>
      </c>
      <c r="W74">
        <f>HYPERLINK("https://klasma.github.io/Logging_0188/klagomålsmail/A 52124-2022 FSC-klagomål mail.docx", "A 52124-2022")</f>
        <v/>
      </c>
      <c r="X74">
        <f>HYPERLINK("https://klasma.github.io/Logging_0188/tillsyn/A 52124-2022 tillsynsbegäran.docx", "A 52124-2022")</f>
        <v/>
      </c>
      <c r="Y74">
        <f>HYPERLINK("https://klasma.github.io/Logging_0188/tillsynsmail/A 52124-2022 tillsynsbegäran mail.docx", "A 52124-2022")</f>
        <v/>
      </c>
    </row>
    <row r="75" ht="15" customHeight="1">
      <c r="A75" t="inlineStr">
        <is>
          <t>A 52825-2023</t>
        </is>
      </c>
      <c r="B75" s="1" t="n">
        <v>45226</v>
      </c>
      <c r="C75" s="1" t="n">
        <v>45996</v>
      </c>
      <c r="D75" t="inlineStr">
        <is>
          <t>STOCKHOLMS LÄN</t>
        </is>
      </c>
      <c r="E75" t="inlineStr">
        <is>
          <t>NORRTÄLJE</t>
        </is>
      </c>
      <c r="G75" t="n">
        <v>1</v>
      </c>
      <c r="H75" t="n">
        <v>0</v>
      </c>
      <c r="I75" t="n">
        <v>2</v>
      </c>
      <c r="J75" t="n">
        <v>0</v>
      </c>
      <c r="K75" t="n">
        <v>0</v>
      </c>
      <c r="L75" t="n">
        <v>0</v>
      </c>
      <c r="M75" t="n">
        <v>0</v>
      </c>
      <c r="N75" t="n">
        <v>0</v>
      </c>
      <c r="O75" t="n">
        <v>0</v>
      </c>
      <c r="P75" t="n">
        <v>0</v>
      </c>
      <c r="Q75" t="n">
        <v>2</v>
      </c>
      <c r="R75" s="2" t="inlineStr">
        <is>
          <t>Fjällig taggsvamp s.str.
Strimspindling</t>
        </is>
      </c>
      <c r="S75">
        <f>HYPERLINK("https://klasma.github.io/Logging_0188/artfynd/A 52825-2023 artfynd.xlsx", "A 52825-2023")</f>
        <v/>
      </c>
      <c r="T75">
        <f>HYPERLINK("https://klasma.github.io/Logging_0188/kartor/A 52825-2023 karta.png", "A 52825-2023")</f>
        <v/>
      </c>
      <c r="V75">
        <f>HYPERLINK("https://klasma.github.io/Logging_0188/klagomål/A 52825-2023 FSC-klagomål.docx", "A 52825-2023")</f>
        <v/>
      </c>
      <c r="W75">
        <f>HYPERLINK("https://klasma.github.io/Logging_0188/klagomålsmail/A 52825-2023 FSC-klagomål mail.docx", "A 52825-2023")</f>
        <v/>
      </c>
      <c r="X75">
        <f>HYPERLINK("https://klasma.github.io/Logging_0188/tillsyn/A 52825-2023 tillsynsbegäran.docx", "A 52825-2023")</f>
        <v/>
      </c>
      <c r="Y75">
        <f>HYPERLINK("https://klasma.github.io/Logging_0188/tillsynsmail/A 52825-2023 tillsynsbegäran mail.docx", "A 52825-2023")</f>
        <v/>
      </c>
    </row>
    <row r="76" ht="15" customHeight="1">
      <c r="A76" t="inlineStr">
        <is>
          <t>A 30693-2022</t>
        </is>
      </c>
      <c r="B76" s="1" t="n">
        <v>44763</v>
      </c>
      <c r="C76" s="1" t="n">
        <v>45996</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16260-2022</t>
        </is>
      </c>
      <c r="B77" s="1" t="n">
        <v>44670</v>
      </c>
      <c r="C77" s="1" t="n">
        <v>45996</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52360-2024</t>
        </is>
      </c>
      <c r="B78" s="1" t="n">
        <v>45609.37094907407</v>
      </c>
      <c r="C78" s="1" t="n">
        <v>45996</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11031-2025</t>
        </is>
      </c>
      <c r="B79" s="1" t="n">
        <v>45723</v>
      </c>
      <c r="C79" s="1" t="n">
        <v>45996</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22190-2024</t>
        </is>
      </c>
      <c r="B80" s="1" t="n">
        <v>45446.35888888889</v>
      </c>
      <c r="C80" s="1" t="n">
        <v>45996</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51980-2022</t>
        </is>
      </c>
      <c r="B81" s="1" t="n">
        <v>44872</v>
      </c>
      <c r="C81" s="1" t="n">
        <v>45996</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53608-2025</t>
        </is>
      </c>
      <c r="B82" s="1" t="n">
        <v>45960</v>
      </c>
      <c r="C82" s="1" t="n">
        <v>45996</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50697-2025</t>
        </is>
      </c>
      <c r="B83" s="1" t="n">
        <v>45945.90854166666</v>
      </c>
      <c r="C83" s="1" t="n">
        <v>45996</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1547-2022</t>
        </is>
      </c>
      <c r="B84" s="1" t="n">
        <v>44573</v>
      </c>
      <c r="C84" s="1" t="n">
        <v>45996</v>
      </c>
      <c r="D84" t="inlineStr">
        <is>
          <t>STOCKHOLMS LÄN</t>
        </is>
      </c>
      <c r="E84" t="inlineStr">
        <is>
          <t>NORRTÄLJE</t>
        </is>
      </c>
      <c r="G84" t="n">
        <v>1.8</v>
      </c>
      <c r="H84" t="n">
        <v>1</v>
      </c>
      <c r="I84" t="n">
        <v>0</v>
      </c>
      <c r="J84" t="n">
        <v>0</v>
      </c>
      <c r="K84" t="n">
        <v>1</v>
      </c>
      <c r="L84" t="n">
        <v>0</v>
      </c>
      <c r="M84" t="n">
        <v>0</v>
      </c>
      <c r="N84" t="n">
        <v>0</v>
      </c>
      <c r="O84" t="n">
        <v>1</v>
      </c>
      <c r="P84" t="n">
        <v>1</v>
      </c>
      <c r="Q84" t="n">
        <v>1</v>
      </c>
      <c r="R84" s="2" t="inlineStr">
        <is>
          <t>Hällebräcka</t>
        </is>
      </c>
      <c r="S84">
        <f>HYPERLINK("https://klasma.github.io/Logging_0188/artfynd/A 1547-2022 artfynd.xlsx", "A 1547-2022")</f>
        <v/>
      </c>
      <c r="T84">
        <f>HYPERLINK("https://klasma.github.io/Logging_0188/kartor/A 1547-2022 karta.png", "A 1547-2022")</f>
        <v/>
      </c>
      <c r="V84">
        <f>HYPERLINK("https://klasma.github.io/Logging_0188/klagomål/A 1547-2022 FSC-klagomål.docx", "A 1547-2022")</f>
        <v/>
      </c>
      <c r="W84">
        <f>HYPERLINK("https://klasma.github.io/Logging_0188/klagomålsmail/A 1547-2022 FSC-klagomål mail.docx", "A 1547-2022")</f>
        <v/>
      </c>
      <c r="X84">
        <f>HYPERLINK("https://klasma.github.io/Logging_0188/tillsyn/A 1547-2022 tillsynsbegäran.docx", "A 1547-2022")</f>
        <v/>
      </c>
      <c r="Y84">
        <f>HYPERLINK("https://klasma.github.io/Logging_0188/tillsynsmail/A 1547-2022 tillsynsbegäran mail.docx", "A 1547-2022")</f>
        <v/>
      </c>
    </row>
    <row r="85" ht="15" customHeight="1">
      <c r="A85" t="inlineStr">
        <is>
          <t>A 188-2022</t>
        </is>
      </c>
      <c r="B85" s="1" t="n">
        <v>44564.66387731482</v>
      </c>
      <c r="C85" s="1" t="n">
        <v>45996</v>
      </c>
      <c r="D85" t="inlineStr">
        <is>
          <t>STOCKHOLMS LÄN</t>
        </is>
      </c>
      <c r="E85" t="inlineStr">
        <is>
          <t>NORRTÄLJE</t>
        </is>
      </c>
      <c r="G85" t="n">
        <v>4.1</v>
      </c>
      <c r="H85" t="n">
        <v>0</v>
      </c>
      <c r="I85" t="n">
        <v>1</v>
      </c>
      <c r="J85" t="n">
        <v>0</v>
      </c>
      <c r="K85" t="n">
        <v>0</v>
      </c>
      <c r="L85" t="n">
        <v>0</v>
      </c>
      <c r="M85" t="n">
        <v>0</v>
      </c>
      <c r="N85" t="n">
        <v>0</v>
      </c>
      <c r="O85" t="n">
        <v>0</v>
      </c>
      <c r="P85" t="n">
        <v>0</v>
      </c>
      <c r="Q85" t="n">
        <v>1</v>
      </c>
      <c r="R85" s="2" t="inlineStr">
        <is>
          <t>Svart trolldruva</t>
        </is>
      </c>
      <c r="S85">
        <f>HYPERLINK("https://klasma.github.io/Logging_0188/artfynd/A 188-2022 artfynd.xlsx", "A 188-2022")</f>
        <v/>
      </c>
      <c r="T85">
        <f>HYPERLINK("https://klasma.github.io/Logging_0188/kartor/A 188-2022 karta.png", "A 188-2022")</f>
        <v/>
      </c>
      <c r="V85">
        <f>HYPERLINK("https://klasma.github.io/Logging_0188/klagomål/A 188-2022 FSC-klagomål.docx", "A 188-2022")</f>
        <v/>
      </c>
      <c r="W85">
        <f>HYPERLINK("https://klasma.github.io/Logging_0188/klagomålsmail/A 188-2022 FSC-klagomål mail.docx", "A 188-2022")</f>
        <v/>
      </c>
      <c r="X85">
        <f>HYPERLINK("https://klasma.github.io/Logging_0188/tillsyn/A 188-2022 tillsynsbegäran.docx", "A 188-2022")</f>
        <v/>
      </c>
      <c r="Y85">
        <f>HYPERLINK("https://klasma.github.io/Logging_0188/tillsynsmail/A 188-2022 tillsynsbegäran mail.docx", "A 188-2022")</f>
        <v/>
      </c>
    </row>
    <row r="86" ht="15" customHeight="1">
      <c r="A86" t="inlineStr">
        <is>
          <t>A 30138-2021</t>
        </is>
      </c>
      <c r="B86" s="1" t="n">
        <v>44363</v>
      </c>
      <c r="C86" s="1" t="n">
        <v>45996</v>
      </c>
      <c r="D86" t="inlineStr">
        <is>
          <t>STOCKHOLMS LÄN</t>
        </is>
      </c>
      <c r="E86" t="inlineStr">
        <is>
          <t>NORRTÄLJE</t>
        </is>
      </c>
      <c r="G86" t="n">
        <v>4.5</v>
      </c>
      <c r="H86" t="n">
        <v>0</v>
      </c>
      <c r="I86" t="n">
        <v>1</v>
      </c>
      <c r="J86" t="n">
        <v>0</v>
      </c>
      <c r="K86" t="n">
        <v>0</v>
      </c>
      <c r="L86" t="n">
        <v>0</v>
      </c>
      <c r="M86" t="n">
        <v>0</v>
      </c>
      <c r="N86" t="n">
        <v>0</v>
      </c>
      <c r="O86" t="n">
        <v>0</v>
      </c>
      <c r="P86" t="n">
        <v>0</v>
      </c>
      <c r="Q86" t="n">
        <v>1</v>
      </c>
      <c r="R86" s="2" t="inlineStr">
        <is>
          <t>Vårärt</t>
        </is>
      </c>
      <c r="S86">
        <f>HYPERLINK("https://klasma.github.io/Logging_0188/artfynd/A 30138-2021 artfynd.xlsx", "A 30138-2021")</f>
        <v/>
      </c>
      <c r="T86">
        <f>HYPERLINK("https://klasma.github.io/Logging_0188/kartor/A 30138-2021 karta.png", "A 30138-2021")</f>
        <v/>
      </c>
      <c r="V86">
        <f>HYPERLINK("https://klasma.github.io/Logging_0188/klagomål/A 30138-2021 FSC-klagomål.docx", "A 30138-2021")</f>
        <v/>
      </c>
      <c r="W86">
        <f>HYPERLINK("https://klasma.github.io/Logging_0188/klagomålsmail/A 30138-2021 FSC-klagomål mail.docx", "A 30138-2021")</f>
        <v/>
      </c>
      <c r="X86">
        <f>HYPERLINK("https://klasma.github.io/Logging_0188/tillsyn/A 30138-2021 tillsynsbegäran.docx", "A 30138-2021")</f>
        <v/>
      </c>
      <c r="Y86">
        <f>HYPERLINK("https://klasma.github.io/Logging_0188/tillsynsmail/A 30138-2021 tillsynsbegäran mail.docx", "A 30138-2021")</f>
        <v/>
      </c>
    </row>
    <row r="87" ht="15" customHeight="1">
      <c r="A87" t="inlineStr">
        <is>
          <t>A 33477-2022</t>
        </is>
      </c>
      <c r="B87" s="1" t="n">
        <v>44788.70217592592</v>
      </c>
      <c r="C87" s="1" t="n">
        <v>45996</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17629-2022</t>
        </is>
      </c>
      <c r="B88" s="1" t="n">
        <v>44680</v>
      </c>
      <c r="C88" s="1" t="n">
        <v>45996</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11429-2023</t>
        </is>
      </c>
      <c r="B89" s="1" t="n">
        <v>44993</v>
      </c>
      <c r="C89" s="1" t="n">
        <v>45996</v>
      </c>
      <c r="D89" t="inlineStr">
        <is>
          <t>STOCKHOLMS LÄN</t>
        </is>
      </c>
      <c r="E89" t="inlineStr">
        <is>
          <t>NORRTÄLJE</t>
        </is>
      </c>
      <c r="G89" t="n">
        <v>2</v>
      </c>
      <c r="H89" t="n">
        <v>0</v>
      </c>
      <c r="I89" t="n">
        <v>0</v>
      </c>
      <c r="J89" t="n">
        <v>1</v>
      </c>
      <c r="K89" t="n">
        <v>0</v>
      </c>
      <c r="L89" t="n">
        <v>0</v>
      </c>
      <c r="M89" t="n">
        <v>0</v>
      </c>
      <c r="N89" t="n">
        <v>0</v>
      </c>
      <c r="O89" t="n">
        <v>1</v>
      </c>
      <c r="P89" t="n">
        <v>0</v>
      </c>
      <c r="Q89" t="n">
        <v>1</v>
      </c>
      <c r="R89" s="2" t="inlineStr">
        <is>
          <t>Skogsklocka</t>
        </is>
      </c>
      <c r="S89">
        <f>HYPERLINK("https://klasma.github.io/Logging_0188/artfynd/A 11429-2023 artfynd.xlsx", "A 11429-2023")</f>
        <v/>
      </c>
      <c r="T89">
        <f>HYPERLINK("https://klasma.github.io/Logging_0188/kartor/A 11429-2023 karta.png", "A 11429-2023")</f>
        <v/>
      </c>
      <c r="V89">
        <f>HYPERLINK("https://klasma.github.io/Logging_0188/klagomål/A 11429-2023 FSC-klagomål.docx", "A 11429-2023")</f>
        <v/>
      </c>
      <c r="W89">
        <f>HYPERLINK("https://klasma.github.io/Logging_0188/klagomålsmail/A 11429-2023 FSC-klagomål mail.docx", "A 11429-2023")</f>
        <v/>
      </c>
      <c r="X89">
        <f>HYPERLINK("https://klasma.github.io/Logging_0188/tillsyn/A 11429-2023 tillsynsbegäran.docx", "A 11429-2023")</f>
        <v/>
      </c>
      <c r="Y89">
        <f>HYPERLINK("https://klasma.github.io/Logging_0188/tillsynsmail/A 11429-2023 tillsynsbegäran mail.docx", "A 11429-2023")</f>
        <v/>
      </c>
    </row>
    <row r="90" ht="15" customHeight="1">
      <c r="A90" t="inlineStr">
        <is>
          <t>A 23905-2025</t>
        </is>
      </c>
      <c r="B90" s="1" t="n">
        <v>45794.63298611111</v>
      </c>
      <c r="C90" s="1" t="n">
        <v>45996</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25669-2025</t>
        </is>
      </c>
      <c r="B91" s="1" t="n">
        <v>45803.62766203703</v>
      </c>
      <c r="C91" s="1" t="n">
        <v>45996</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35764-2024</t>
        </is>
      </c>
      <c r="B92" s="1" t="n">
        <v>45532</v>
      </c>
      <c r="C92" s="1" t="n">
        <v>45996</v>
      </c>
      <c r="D92" t="inlineStr">
        <is>
          <t>STOCKHOLMS LÄN</t>
        </is>
      </c>
      <c r="E92" t="inlineStr">
        <is>
          <t>NORRTÄLJE</t>
        </is>
      </c>
      <c r="G92" t="n">
        <v>14.2</v>
      </c>
      <c r="H92" t="n">
        <v>1</v>
      </c>
      <c r="I92" t="n">
        <v>0</v>
      </c>
      <c r="J92" t="n">
        <v>0</v>
      </c>
      <c r="K92" t="n">
        <v>1</v>
      </c>
      <c r="L92" t="n">
        <v>0</v>
      </c>
      <c r="M92" t="n">
        <v>0</v>
      </c>
      <c r="N92" t="n">
        <v>0</v>
      </c>
      <c r="O92" t="n">
        <v>1</v>
      </c>
      <c r="P92" t="n">
        <v>1</v>
      </c>
      <c r="Q92" t="n">
        <v>1</v>
      </c>
      <c r="R92" s="2" t="inlineStr">
        <is>
          <t>Knärot</t>
        </is>
      </c>
      <c r="S92">
        <f>HYPERLINK("https://klasma.github.io/Logging_0188/artfynd/A 35764-2024 artfynd.xlsx", "A 35764-2024")</f>
        <v/>
      </c>
      <c r="T92">
        <f>HYPERLINK("https://klasma.github.io/Logging_0188/kartor/A 35764-2024 karta.png", "A 35764-2024")</f>
        <v/>
      </c>
      <c r="U92">
        <f>HYPERLINK("https://klasma.github.io/Logging_0188/knärot/A 35764-2024 karta knärot.png", "A 35764-2024")</f>
        <v/>
      </c>
      <c r="V92">
        <f>HYPERLINK("https://klasma.github.io/Logging_0188/klagomål/A 35764-2024 FSC-klagomål.docx", "A 35764-2024")</f>
        <v/>
      </c>
      <c r="W92">
        <f>HYPERLINK("https://klasma.github.io/Logging_0188/klagomålsmail/A 35764-2024 FSC-klagomål mail.docx", "A 35764-2024")</f>
        <v/>
      </c>
      <c r="X92">
        <f>HYPERLINK("https://klasma.github.io/Logging_0188/tillsyn/A 35764-2024 tillsynsbegäran.docx", "A 35764-2024")</f>
        <v/>
      </c>
      <c r="Y92">
        <f>HYPERLINK("https://klasma.github.io/Logging_0188/tillsynsmail/A 35764-2024 tillsynsbegäran mail.docx", "A 35764-2024")</f>
        <v/>
      </c>
    </row>
    <row r="93" ht="15" customHeight="1">
      <c r="A93" t="inlineStr">
        <is>
          <t>A 14365-2025</t>
        </is>
      </c>
      <c r="B93" s="1" t="n">
        <v>45741.38688657407</v>
      </c>
      <c r="C93" s="1" t="n">
        <v>45996</v>
      </c>
      <c r="D93" t="inlineStr">
        <is>
          <t>STOCKHOLMS LÄN</t>
        </is>
      </c>
      <c r="E93" t="inlineStr">
        <is>
          <t>NORRTÄLJE</t>
        </is>
      </c>
      <c r="G93" t="n">
        <v>2.4</v>
      </c>
      <c r="H93" t="n">
        <v>0</v>
      </c>
      <c r="I93" t="n">
        <v>0</v>
      </c>
      <c r="J93" t="n">
        <v>1</v>
      </c>
      <c r="K93" t="n">
        <v>0</v>
      </c>
      <c r="L93" t="n">
        <v>0</v>
      </c>
      <c r="M93" t="n">
        <v>0</v>
      </c>
      <c r="N93" t="n">
        <v>0</v>
      </c>
      <c r="O93" t="n">
        <v>1</v>
      </c>
      <c r="P93" t="n">
        <v>0</v>
      </c>
      <c r="Q93" t="n">
        <v>1</v>
      </c>
      <c r="R93" s="2" t="inlineStr">
        <is>
          <t>Granticka</t>
        </is>
      </c>
      <c r="S93">
        <f>HYPERLINK("https://klasma.github.io/Logging_0188/artfynd/A 14365-2025 artfynd.xlsx", "A 14365-2025")</f>
        <v/>
      </c>
      <c r="T93">
        <f>HYPERLINK("https://klasma.github.io/Logging_0188/kartor/A 14365-2025 karta.png", "A 14365-2025")</f>
        <v/>
      </c>
      <c r="V93">
        <f>HYPERLINK("https://klasma.github.io/Logging_0188/klagomål/A 14365-2025 FSC-klagomål.docx", "A 14365-2025")</f>
        <v/>
      </c>
      <c r="W93">
        <f>HYPERLINK("https://klasma.github.io/Logging_0188/klagomålsmail/A 14365-2025 FSC-klagomål mail.docx", "A 14365-2025")</f>
        <v/>
      </c>
      <c r="X93">
        <f>HYPERLINK("https://klasma.github.io/Logging_0188/tillsyn/A 14365-2025 tillsynsbegäran.docx", "A 14365-2025")</f>
        <v/>
      </c>
      <c r="Y93">
        <f>HYPERLINK("https://klasma.github.io/Logging_0188/tillsynsmail/A 14365-2025 tillsynsbegäran mail.docx", "A 14365-2025")</f>
        <v/>
      </c>
    </row>
    <row r="94" ht="15" customHeight="1">
      <c r="A94" t="inlineStr">
        <is>
          <t>A 32111-2022</t>
        </is>
      </c>
      <c r="B94" s="1" t="n">
        <v>44778.92797453704</v>
      </c>
      <c r="C94" s="1" t="n">
        <v>45996</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35649-2023</t>
        </is>
      </c>
      <c r="B95" s="1" t="n">
        <v>45146</v>
      </c>
      <c r="C95" s="1" t="n">
        <v>45996</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4385-2023</t>
        </is>
      </c>
      <c r="B96" s="1" t="n">
        <v>44955.71322916666</v>
      </c>
      <c r="C96" s="1" t="n">
        <v>45996</v>
      </c>
      <c r="D96" t="inlineStr">
        <is>
          <t>STOCKHOLMS LÄN</t>
        </is>
      </c>
      <c r="E96" t="inlineStr">
        <is>
          <t>NORRTÄLJE</t>
        </is>
      </c>
      <c r="G96" t="n">
        <v>7.8</v>
      </c>
      <c r="H96" t="n">
        <v>1</v>
      </c>
      <c r="I96" t="n">
        <v>1</v>
      </c>
      <c r="J96" t="n">
        <v>0</v>
      </c>
      <c r="K96" t="n">
        <v>0</v>
      </c>
      <c r="L96" t="n">
        <v>0</v>
      </c>
      <c r="M96" t="n">
        <v>0</v>
      </c>
      <c r="N96" t="n">
        <v>0</v>
      </c>
      <c r="O96" t="n">
        <v>0</v>
      </c>
      <c r="P96" t="n">
        <v>0</v>
      </c>
      <c r="Q96" t="n">
        <v>1</v>
      </c>
      <c r="R96" s="2" t="inlineStr">
        <is>
          <t>Skogsknipprot</t>
        </is>
      </c>
      <c r="S96">
        <f>HYPERLINK("https://klasma.github.io/Logging_0188/artfynd/A 4385-2023 artfynd.xlsx", "A 4385-2023")</f>
        <v/>
      </c>
      <c r="T96">
        <f>HYPERLINK("https://klasma.github.io/Logging_0188/kartor/A 4385-2023 karta.png", "A 4385-2023")</f>
        <v/>
      </c>
      <c r="V96">
        <f>HYPERLINK("https://klasma.github.io/Logging_0188/klagomål/A 4385-2023 FSC-klagomål.docx", "A 4385-2023")</f>
        <v/>
      </c>
      <c r="W96">
        <f>HYPERLINK("https://klasma.github.io/Logging_0188/klagomålsmail/A 4385-2023 FSC-klagomål mail.docx", "A 4385-2023")</f>
        <v/>
      </c>
      <c r="X96">
        <f>HYPERLINK("https://klasma.github.io/Logging_0188/tillsyn/A 4385-2023 tillsynsbegäran.docx", "A 4385-2023")</f>
        <v/>
      </c>
      <c r="Y96">
        <f>HYPERLINK("https://klasma.github.io/Logging_0188/tillsynsmail/A 4385-2023 tillsynsbegäran mail.docx", "A 4385-2023")</f>
        <v/>
      </c>
    </row>
    <row r="97" ht="15" customHeight="1">
      <c r="A97" t="inlineStr">
        <is>
          <t>A 4860-2022</t>
        </is>
      </c>
      <c r="B97" s="1" t="n">
        <v>44592</v>
      </c>
      <c r="C97" s="1" t="n">
        <v>45996</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4595-2023</t>
        </is>
      </c>
      <c r="B98" s="1" t="n">
        <v>44956</v>
      </c>
      <c r="C98" s="1" t="n">
        <v>45996</v>
      </c>
      <c r="D98" t="inlineStr">
        <is>
          <t>STOCKHOLMS LÄN</t>
        </is>
      </c>
      <c r="E98" t="inlineStr">
        <is>
          <t>NORRTÄLJE</t>
        </is>
      </c>
      <c r="G98" t="n">
        <v>0.6</v>
      </c>
      <c r="H98" t="n">
        <v>1</v>
      </c>
      <c r="I98" t="n">
        <v>0</v>
      </c>
      <c r="J98" t="n">
        <v>0</v>
      </c>
      <c r="K98" t="n">
        <v>0</v>
      </c>
      <c r="L98" t="n">
        <v>0</v>
      </c>
      <c r="M98" t="n">
        <v>0</v>
      </c>
      <c r="N98" t="n">
        <v>0</v>
      </c>
      <c r="O98" t="n">
        <v>0</v>
      </c>
      <c r="P98" t="n">
        <v>0</v>
      </c>
      <c r="Q98" t="n">
        <v>1</v>
      </c>
      <c r="R98" s="2" t="inlineStr">
        <is>
          <t>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19829-2022</t>
        </is>
      </c>
      <c r="B99" s="1" t="n">
        <v>44695.43527777777</v>
      </c>
      <c r="C99" s="1" t="n">
        <v>45996</v>
      </c>
      <c r="D99" t="inlineStr">
        <is>
          <t>STOCKHOLMS LÄN</t>
        </is>
      </c>
      <c r="E99" t="inlineStr">
        <is>
          <t>NORRTÄLJE</t>
        </is>
      </c>
      <c r="G99" t="n">
        <v>2</v>
      </c>
      <c r="H99" t="n">
        <v>1</v>
      </c>
      <c r="I99" t="n">
        <v>1</v>
      </c>
      <c r="J99" t="n">
        <v>0</v>
      </c>
      <c r="K99" t="n">
        <v>0</v>
      </c>
      <c r="L99" t="n">
        <v>0</v>
      </c>
      <c r="M99" t="n">
        <v>0</v>
      </c>
      <c r="N99" t="n">
        <v>0</v>
      </c>
      <c r="O99" t="n">
        <v>0</v>
      </c>
      <c r="P99" t="n">
        <v>0</v>
      </c>
      <c r="Q99" t="n">
        <v>1</v>
      </c>
      <c r="R99" s="2" t="inlineStr">
        <is>
          <t>Guckusko</t>
        </is>
      </c>
      <c r="S99">
        <f>HYPERLINK("https://klasma.github.io/Logging_0188/artfynd/A 19829-2022 artfynd.xlsx", "A 19829-2022")</f>
        <v/>
      </c>
      <c r="T99">
        <f>HYPERLINK("https://klasma.github.io/Logging_0188/kartor/A 19829-2022 karta.png", "A 19829-2022")</f>
        <v/>
      </c>
      <c r="V99">
        <f>HYPERLINK("https://klasma.github.io/Logging_0188/klagomål/A 19829-2022 FSC-klagomål.docx", "A 19829-2022")</f>
        <v/>
      </c>
      <c r="W99">
        <f>HYPERLINK("https://klasma.github.io/Logging_0188/klagomålsmail/A 19829-2022 FSC-klagomål mail.docx", "A 19829-2022")</f>
        <v/>
      </c>
      <c r="X99">
        <f>HYPERLINK("https://klasma.github.io/Logging_0188/tillsyn/A 19829-2022 tillsynsbegäran.docx", "A 19829-2022")</f>
        <v/>
      </c>
      <c r="Y99">
        <f>HYPERLINK("https://klasma.github.io/Logging_0188/tillsynsmail/A 19829-2022 tillsynsbegäran mail.docx", "A 19829-2022")</f>
        <v/>
      </c>
    </row>
    <row r="100" ht="15" customHeight="1">
      <c r="A100" t="inlineStr">
        <is>
          <t>A 6381-2023</t>
        </is>
      </c>
      <c r="B100" s="1" t="n">
        <v>44965</v>
      </c>
      <c r="C100" s="1" t="n">
        <v>45996</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24535-2023</t>
        </is>
      </c>
      <c r="B101" s="1" t="n">
        <v>45082</v>
      </c>
      <c r="C101" s="1" t="n">
        <v>45996</v>
      </c>
      <c r="D101" t="inlineStr">
        <is>
          <t>STOCKHOLMS LÄN</t>
        </is>
      </c>
      <c r="E101" t="inlineStr">
        <is>
          <t>NORRTÄLJE</t>
        </is>
      </c>
      <c r="F101" t="inlineStr">
        <is>
          <t>Kommuner</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HYPERLINK("https://klasma.github.io/Logging_0188/artfynd/A 24535-2023 artfynd.xlsx", "A 24535-2023")</f>
        <v/>
      </c>
      <c r="T101">
        <f>HYPERLINK("https://klasma.github.io/Logging_0188/kartor/A 24535-2023 karta.png", "A 24535-2023")</f>
        <v/>
      </c>
      <c r="V101">
        <f>HYPERLINK("https://klasma.github.io/Logging_0188/klagomål/A 24535-2023 FSC-klagomål.docx", "A 24535-2023")</f>
        <v/>
      </c>
      <c r="W101">
        <f>HYPERLINK("https://klasma.github.io/Logging_0188/klagomålsmail/A 24535-2023 FSC-klagomål mail.docx", "A 24535-2023")</f>
        <v/>
      </c>
      <c r="X101">
        <f>HYPERLINK("https://klasma.github.io/Logging_0188/tillsyn/A 24535-2023 tillsynsbegäran.docx", "A 24535-2023")</f>
        <v/>
      </c>
      <c r="Y101">
        <f>HYPERLINK("https://klasma.github.io/Logging_0188/tillsynsmail/A 24535-2023 tillsynsbegäran mail.docx", "A 24535-2023")</f>
        <v/>
      </c>
    </row>
    <row r="102" ht="15" customHeight="1">
      <c r="A102" t="inlineStr">
        <is>
          <t>A 29946-2025</t>
        </is>
      </c>
      <c r="B102" s="1" t="n">
        <v>45826.46392361111</v>
      </c>
      <c r="C102" s="1" t="n">
        <v>45996</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4532-2025</t>
        </is>
      </c>
      <c r="B103" s="1" t="n">
        <v>45687.34177083334</v>
      </c>
      <c r="C103" s="1" t="n">
        <v>45996</v>
      </c>
      <c r="D103" t="inlineStr">
        <is>
          <t>STOCKHOLMS LÄN</t>
        </is>
      </c>
      <c r="E103" t="inlineStr">
        <is>
          <t>NORRTÄLJE</t>
        </is>
      </c>
      <c r="F103" t="inlineStr">
        <is>
          <t>Holmen skog AB</t>
        </is>
      </c>
      <c r="G103" t="n">
        <v>6.4</v>
      </c>
      <c r="H103" t="n">
        <v>1</v>
      </c>
      <c r="I103" t="n">
        <v>0</v>
      </c>
      <c r="J103" t="n">
        <v>0</v>
      </c>
      <c r="K103" t="n">
        <v>0</v>
      </c>
      <c r="L103" t="n">
        <v>1</v>
      </c>
      <c r="M103" t="n">
        <v>0</v>
      </c>
      <c r="N103" t="n">
        <v>0</v>
      </c>
      <c r="O103" t="n">
        <v>1</v>
      </c>
      <c r="P103" t="n">
        <v>1</v>
      </c>
      <c r="Q103" t="n">
        <v>1</v>
      </c>
      <c r="R103" s="2" t="inlineStr">
        <is>
          <t>Asknätfjäril</t>
        </is>
      </c>
      <c r="S103">
        <f>HYPERLINK("https://klasma.github.io/Logging_0188/artfynd/A 4532-2025 artfynd.xlsx", "A 4532-2025")</f>
        <v/>
      </c>
      <c r="T103">
        <f>HYPERLINK("https://klasma.github.io/Logging_0188/kartor/A 4532-2025 karta.png", "A 4532-2025")</f>
        <v/>
      </c>
      <c r="V103">
        <f>HYPERLINK("https://klasma.github.io/Logging_0188/klagomål/A 4532-2025 FSC-klagomål.docx", "A 4532-2025")</f>
        <v/>
      </c>
      <c r="W103">
        <f>HYPERLINK("https://klasma.github.io/Logging_0188/klagomålsmail/A 4532-2025 FSC-klagomål mail.docx", "A 4532-2025")</f>
        <v/>
      </c>
      <c r="X103">
        <f>HYPERLINK("https://klasma.github.io/Logging_0188/tillsyn/A 4532-2025 tillsynsbegäran.docx", "A 4532-2025")</f>
        <v/>
      </c>
      <c r="Y103">
        <f>HYPERLINK("https://klasma.github.io/Logging_0188/tillsynsmail/A 4532-2025 tillsynsbegäran mail.docx", "A 4532-2025")</f>
        <v/>
      </c>
    </row>
    <row r="104" ht="15" customHeight="1">
      <c r="A104" t="inlineStr">
        <is>
          <t>A 35691-2023</t>
        </is>
      </c>
      <c r="B104" s="1" t="n">
        <v>45147.65222222222</v>
      </c>
      <c r="C104" s="1" t="n">
        <v>45996</v>
      </c>
      <c r="D104" t="inlineStr">
        <is>
          <t>STOCKHOLMS LÄN</t>
        </is>
      </c>
      <c r="E104" t="inlineStr">
        <is>
          <t>NORRTÄLJE</t>
        </is>
      </c>
      <c r="G104" t="n">
        <v>2.3</v>
      </c>
      <c r="H104" t="n">
        <v>1</v>
      </c>
      <c r="I104" t="n">
        <v>0</v>
      </c>
      <c r="J104" t="n">
        <v>0</v>
      </c>
      <c r="K104" t="n">
        <v>0</v>
      </c>
      <c r="L104" t="n">
        <v>0</v>
      </c>
      <c r="M104" t="n">
        <v>0</v>
      </c>
      <c r="N104" t="n">
        <v>0</v>
      </c>
      <c r="O104" t="n">
        <v>0</v>
      </c>
      <c r="P104" t="n">
        <v>0</v>
      </c>
      <c r="Q104" t="n">
        <v>1</v>
      </c>
      <c r="R104" s="2" t="inlineStr">
        <is>
          <t>Kungsfågel</t>
        </is>
      </c>
      <c r="S104">
        <f>HYPERLINK("https://klasma.github.io/Logging_0188/artfynd/A 35691-2023 artfynd.xlsx", "A 35691-2023")</f>
        <v/>
      </c>
      <c r="T104">
        <f>HYPERLINK("https://klasma.github.io/Logging_0188/kartor/A 35691-2023 karta.png", "A 35691-2023")</f>
        <v/>
      </c>
      <c r="V104">
        <f>HYPERLINK("https://klasma.github.io/Logging_0188/klagomål/A 35691-2023 FSC-klagomål.docx", "A 35691-2023")</f>
        <v/>
      </c>
      <c r="W104">
        <f>HYPERLINK("https://klasma.github.io/Logging_0188/klagomålsmail/A 35691-2023 FSC-klagomål mail.docx", "A 35691-2023")</f>
        <v/>
      </c>
      <c r="X104">
        <f>HYPERLINK("https://klasma.github.io/Logging_0188/tillsyn/A 35691-2023 tillsynsbegäran.docx", "A 35691-2023")</f>
        <v/>
      </c>
      <c r="Y104">
        <f>HYPERLINK("https://klasma.github.io/Logging_0188/tillsynsmail/A 35691-2023 tillsynsbegäran mail.docx", "A 35691-2023")</f>
        <v/>
      </c>
      <c r="Z104">
        <f>HYPERLINK("https://klasma.github.io/Logging_0188/fåglar/A 35691-2023 prioriterade fågelarter.docx", "A 35691-2023")</f>
        <v/>
      </c>
    </row>
    <row r="105" ht="15" customHeight="1">
      <c r="A105" t="inlineStr">
        <is>
          <t>A 35693-2023</t>
        </is>
      </c>
      <c r="B105" s="1" t="n">
        <v>45147.65311342593</v>
      </c>
      <c r="C105" s="1" t="n">
        <v>45996</v>
      </c>
      <c r="D105" t="inlineStr">
        <is>
          <t>STOCKHOLMS LÄN</t>
        </is>
      </c>
      <c r="E105" t="inlineStr">
        <is>
          <t>NORRTÄLJE</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HYPERLINK("https://klasma.github.io/Logging_0188/artfynd/A 35693-2023 artfynd.xlsx", "A 35693-2023")</f>
        <v/>
      </c>
      <c r="T105">
        <f>HYPERLINK("https://klasma.github.io/Logging_0188/kartor/A 35693-2023 karta.png", "A 35693-2023")</f>
        <v/>
      </c>
      <c r="V105">
        <f>HYPERLINK("https://klasma.github.io/Logging_0188/klagomål/A 35693-2023 FSC-klagomål.docx", "A 35693-2023")</f>
        <v/>
      </c>
      <c r="W105">
        <f>HYPERLINK("https://klasma.github.io/Logging_0188/klagomålsmail/A 35693-2023 FSC-klagomål mail.docx", "A 35693-2023")</f>
        <v/>
      </c>
      <c r="X105">
        <f>HYPERLINK("https://klasma.github.io/Logging_0188/tillsyn/A 35693-2023 tillsynsbegäran.docx", "A 35693-2023")</f>
        <v/>
      </c>
      <c r="Y105">
        <f>HYPERLINK("https://klasma.github.io/Logging_0188/tillsynsmail/A 35693-2023 tillsynsbegäran mail.docx", "A 35693-2023")</f>
        <v/>
      </c>
    </row>
    <row r="106" ht="15" customHeight="1">
      <c r="A106" t="inlineStr">
        <is>
          <t>A 33548-2025</t>
        </is>
      </c>
      <c r="B106" s="1" t="n">
        <v>45841.5721875</v>
      </c>
      <c r="C106" s="1" t="n">
        <v>45996</v>
      </c>
      <c r="D106" t="inlineStr">
        <is>
          <t>STOCKHOLMS LÄN</t>
        </is>
      </c>
      <c r="E106" t="inlineStr">
        <is>
          <t>NORRTÄLJE</t>
        </is>
      </c>
      <c r="G106" t="n">
        <v>12.2</v>
      </c>
      <c r="H106" t="n">
        <v>0</v>
      </c>
      <c r="I106" t="n">
        <v>0</v>
      </c>
      <c r="J106" t="n">
        <v>1</v>
      </c>
      <c r="K106" t="n">
        <v>0</v>
      </c>
      <c r="L106" t="n">
        <v>0</v>
      </c>
      <c r="M106" t="n">
        <v>0</v>
      </c>
      <c r="N106" t="n">
        <v>0</v>
      </c>
      <c r="O106" t="n">
        <v>1</v>
      </c>
      <c r="P106" t="n">
        <v>0</v>
      </c>
      <c r="Q106" t="n">
        <v>1</v>
      </c>
      <c r="R106" s="2" t="inlineStr">
        <is>
          <t>Dofttaggsvamp</t>
        </is>
      </c>
      <c r="S106">
        <f>HYPERLINK("https://klasma.github.io/Logging_0188/artfynd/A 33548-2025 artfynd.xlsx", "A 33548-2025")</f>
        <v/>
      </c>
      <c r="T106">
        <f>HYPERLINK("https://klasma.github.io/Logging_0188/kartor/A 33548-2025 karta.png", "A 33548-2025")</f>
        <v/>
      </c>
      <c r="V106">
        <f>HYPERLINK("https://klasma.github.io/Logging_0188/klagomål/A 33548-2025 FSC-klagomål.docx", "A 33548-2025")</f>
        <v/>
      </c>
      <c r="W106">
        <f>HYPERLINK("https://klasma.github.io/Logging_0188/klagomålsmail/A 33548-2025 FSC-klagomål mail.docx", "A 33548-2025")</f>
        <v/>
      </c>
      <c r="X106">
        <f>HYPERLINK("https://klasma.github.io/Logging_0188/tillsyn/A 33548-2025 tillsynsbegäran.docx", "A 33548-2025")</f>
        <v/>
      </c>
      <c r="Y106">
        <f>HYPERLINK("https://klasma.github.io/Logging_0188/tillsynsmail/A 33548-2025 tillsynsbegäran mail.docx", "A 33548-2025")</f>
        <v/>
      </c>
    </row>
    <row r="107" ht="15" customHeight="1">
      <c r="A107" t="inlineStr">
        <is>
          <t>A 33546-2025</t>
        </is>
      </c>
      <c r="B107" s="1" t="n">
        <v>45841.56996527778</v>
      </c>
      <c r="C107" s="1" t="n">
        <v>45996</v>
      </c>
      <c r="D107" t="inlineStr">
        <is>
          <t>STOCKHOLMS LÄN</t>
        </is>
      </c>
      <c r="E107" t="inlineStr">
        <is>
          <t>NORRTÄLJE</t>
        </is>
      </c>
      <c r="G107" t="n">
        <v>7.2</v>
      </c>
      <c r="H107" t="n">
        <v>1</v>
      </c>
      <c r="I107" t="n">
        <v>1</v>
      </c>
      <c r="J107" t="n">
        <v>0</v>
      </c>
      <c r="K107" t="n">
        <v>0</v>
      </c>
      <c r="L107" t="n">
        <v>0</v>
      </c>
      <c r="M107" t="n">
        <v>0</v>
      </c>
      <c r="N107" t="n">
        <v>0</v>
      </c>
      <c r="O107" t="n">
        <v>0</v>
      </c>
      <c r="P107" t="n">
        <v>0</v>
      </c>
      <c r="Q107" t="n">
        <v>1</v>
      </c>
      <c r="R107" s="2" t="inlineStr">
        <is>
          <t>Nästrot</t>
        </is>
      </c>
      <c r="S107">
        <f>HYPERLINK("https://klasma.github.io/Logging_0188/artfynd/A 33546-2025 artfynd.xlsx", "A 33546-2025")</f>
        <v/>
      </c>
      <c r="T107">
        <f>HYPERLINK("https://klasma.github.io/Logging_0188/kartor/A 33546-2025 karta.png", "A 33546-2025")</f>
        <v/>
      </c>
      <c r="V107">
        <f>HYPERLINK("https://klasma.github.io/Logging_0188/klagomål/A 33546-2025 FSC-klagomål.docx", "A 33546-2025")</f>
        <v/>
      </c>
      <c r="W107">
        <f>HYPERLINK("https://klasma.github.io/Logging_0188/klagomålsmail/A 33546-2025 FSC-klagomål mail.docx", "A 33546-2025")</f>
        <v/>
      </c>
      <c r="X107">
        <f>HYPERLINK("https://klasma.github.io/Logging_0188/tillsyn/A 33546-2025 tillsynsbegäran.docx", "A 33546-2025")</f>
        <v/>
      </c>
      <c r="Y107">
        <f>HYPERLINK("https://klasma.github.io/Logging_0188/tillsynsmail/A 33546-2025 tillsynsbegäran mail.docx", "A 33546-2025")</f>
        <v/>
      </c>
    </row>
    <row r="108" ht="15" customHeight="1">
      <c r="A108" t="inlineStr">
        <is>
          <t>A 50854-2022</t>
        </is>
      </c>
      <c r="B108" s="1" t="n">
        <v>44863</v>
      </c>
      <c r="C108" s="1" t="n">
        <v>45996</v>
      </c>
      <c r="D108" t="inlineStr">
        <is>
          <t>STOCKHOLMS LÄN</t>
        </is>
      </c>
      <c r="E108" t="inlineStr">
        <is>
          <t>NORRTÄLJE</t>
        </is>
      </c>
      <c r="G108" t="n">
        <v>2.9</v>
      </c>
      <c r="H108" t="n">
        <v>0</v>
      </c>
      <c r="I108" t="n">
        <v>1</v>
      </c>
      <c r="J108" t="n">
        <v>0</v>
      </c>
      <c r="K108" t="n">
        <v>0</v>
      </c>
      <c r="L108" t="n">
        <v>0</v>
      </c>
      <c r="M108" t="n">
        <v>0</v>
      </c>
      <c r="N108" t="n">
        <v>0</v>
      </c>
      <c r="O108" t="n">
        <v>0</v>
      </c>
      <c r="P108" t="n">
        <v>0</v>
      </c>
      <c r="Q108" t="n">
        <v>1</v>
      </c>
      <c r="R108" s="2" t="inlineStr">
        <is>
          <t>Tibast</t>
        </is>
      </c>
      <c r="S108">
        <f>HYPERLINK("https://klasma.github.io/Logging_0188/artfynd/A 50854-2022 artfynd.xlsx", "A 50854-2022")</f>
        <v/>
      </c>
      <c r="T108">
        <f>HYPERLINK("https://klasma.github.io/Logging_0188/kartor/A 50854-2022 karta.png", "A 50854-2022")</f>
        <v/>
      </c>
      <c r="V108">
        <f>HYPERLINK("https://klasma.github.io/Logging_0188/klagomål/A 50854-2022 FSC-klagomål.docx", "A 50854-2022")</f>
        <v/>
      </c>
      <c r="W108">
        <f>HYPERLINK("https://klasma.github.io/Logging_0188/klagomålsmail/A 50854-2022 FSC-klagomål mail.docx", "A 50854-2022")</f>
        <v/>
      </c>
      <c r="X108">
        <f>HYPERLINK("https://klasma.github.io/Logging_0188/tillsyn/A 50854-2022 tillsynsbegäran.docx", "A 50854-2022")</f>
        <v/>
      </c>
      <c r="Y108">
        <f>HYPERLINK("https://klasma.github.io/Logging_0188/tillsynsmail/A 50854-2022 tillsynsbegäran mail.docx", "A 50854-2022")</f>
        <v/>
      </c>
    </row>
    <row r="109" ht="15" customHeight="1">
      <c r="A109" t="inlineStr">
        <is>
          <t>A 40861-2025</t>
        </is>
      </c>
      <c r="B109" s="1" t="n">
        <v>45897.56356481482</v>
      </c>
      <c r="C109" s="1" t="n">
        <v>45996</v>
      </c>
      <c r="D109" t="inlineStr">
        <is>
          <t>STOCKHOLMS LÄN</t>
        </is>
      </c>
      <c r="E109" t="inlineStr">
        <is>
          <t>NORRTÄLJE</t>
        </is>
      </c>
      <c r="G109" t="n">
        <v>4</v>
      </c>
      <c r="H109" t="n">
        <v>0</v>
      </c>
      <c r="I109" t="n">
        <v>0</v>
      </c>
      <c r="J109" t="n">
        <v>1</v>
      </c>
      <c r="K109" t="n">
        <v>0</v>
      </c>
      <c r="L109" t="n">
        <v>0</v>
      </c>
      <c r="M109" t="n">
        <v>0</v>
      </c>
      <c r="N109" t="n">
        <v>0</v>
      </c>
      <c r="O109" t="n">
        <v>1</v>
      </c>
      <c r="P109" t="n">
        <v>0</v>
      </c>
      <c r="Q109" t="n">
        <v>1</v>
      </c>
      <c r="R109" s="2" t="inlineStr">
        <is>
          <t>Skogsklocka</t>
        </is>
      </c>
      <c r="S109">
        <f>HYPERLINK("https://klasma.github.io/Logging_0188/artfynd/A 40861-2025 artfynd.xlsx", "A 40861-2025")</f>
        <v/>
      </c>
      <c r="T109">
        <f>HYPERLINK("https://klasma.github.io/Logging_0188/kartor/A 40861-2025 karta.png", "A 40861-2025")</f>
        <v/>
      </c>
      <c r="V109">
        <f>HYPERLINK("https://klasma.github.io/Logging_0188/klagomål/A 40861-2025 FSC-klagomål.docx", "A 40861-2025")</f>
        <v/>
      </c>
      <c r="W109">
        <f>HYPERLINK("https://klasma.github.io/Logging_0188/klagomålsmail/A 40861-2025 FSC-klagomål mail.docx", "A 40861-2025")</f>
        <v/>
      </c>
      <c r="X109">
        <f>HYPERLINK("https://klasma.github.io/Logging_0188/tillsyn/A 40861-2025 tillsynsbegäran.docx", "A 40861-2025")</f>
        <v/>
      </c>
      <c r="Y109">
        <f>HYPERLINK("https://klasma.github.io/Logging_0188/tillsynsmail/A 40861-2025 tillsynsbegäran mail.docx", "A 40861-2025")</f>
        <v/>
      </c>
    </row>
    <row r="110" ht="15" customHeight="1">
      <c r="A110" t="inlineStr">
        <is>
          <t>A 13271-2025</t>
        </is>
      </c>
      <c r="B110" s="1" t="n">
        <v>45735.54510416667</v>
      </c>
      <c r="C110" s="1" t="n">
        <v>45996</v>
      </c>
      <c r="D110" t="inlineStr">
        <is>
          <t>STOCKHOLMS LÄN</t>
        </is>
      </c>
      <c r="E110" t="inlineStr">
        <is>
          <t>NORRTÄLJE</t>
        </is>
      </c>
      <c r="G110" t="n">
        <v>7.2</v>
      </c>
      <c r="H110" t="n">
        <v>1</v>
      </c>
      <c r="I110" t="n">
        <v>0</v>
      </c>
      <c r="J110" t="n">
        <v>0</v>
      </c>
      <c r="K110" t="n">
        <v>0</v>
      </c>
      <c r="L110" t="n">
        <v>1</v>
      </c>
      <c r="M110" t="n">
        <v>0</v>
      </c>
      <c r="N110" t="n">
        <v>0</v>
      </c>
      <c r="O110" t="n">
        <v>1</v>
      </c>
      <c r="P110" t="n">
        <v>1</v>
      </c>
      <c r="Q110" t="n">
        <v>1</v>
      </c>
      <c r="R110" s="2" t="inlineStr">
        <is>
          <t>Asknätfjäril</t>
        </is>
      </c>
      <c r="S110">
        <f>HYPERLINK("https://klasma.github.io/Logging_0188/artfynd/A 13271-2025 artfynd.xlsx", "A 13271-2025")</f>
        <v/>
      </c>
      <c r="T110">
        <f>HYPERLINK("https://klasma.github.io/Logging_0188/kartor/A 13271-2025 karta.png", "A 13271-2025")</f>
        <v/>
      </c>
      <c r="V110">
        <f>HYPERLINK("https://klasma.github.io/Logging_0188/klagomål/A 13271-2025 FSC-klagomål.docx", "A 13271-2025")</f>
        <v/>
      </c>
      <c r="W110">
        <f>HYPERLINK("https://klasma.github.io/Logging_0188/klagomålsmail/A 13271-2025 FSC-klagomål mail.docx", "A 13271-2025")</f>
        <v/>
      </c>
      <c r="X110">
        <f>HYPERLINK("https://klasma.github.io/Logging_0188/tillsyn/A 13271-2025 tillsynsbegäran.docx", "A 13271-2025")</f>
        <v/>
      </c>
      <c r="Y110">
        <f>HYPERLINK("https://klasma.github.io/Logging_0188/tillsynsmail/A 13271-2025 tillsynsbegäran mail.docx", "A 13271-2025")</f>
        <v/>
      </c>
    </row>
    <row r="111" ht="15" customHeight="1">
      <c r="A111" t="inlineStr">
        <is>
          <t>A 52508-2023</t>
        </is>
      </c>
      <c r="B111" s="1" t="n">
        <v>45225</v>
      </c>
      <c r="C111" s="1" t="n">
        <v>45996</v>
      </c>
      <c r="D111" t="inlineStr">
        <is>
          <t>STOCKHOLMS LÄN</t>
        </is>
      </c>
      <c r="E111" t="inlineStr">
        <is>
          <t>NORRTÄLJE</t>
        </is>
      </c>
      <c r="G111" t="n">
        <v>19.7</v>
      </c>
      <c r="H111" t="n">
        <v>1</v>
      </c>
      <c r="I111" t="n">
        <v>0</v>
      </c>
      <c r="J111" t="n">
        <v>0</v>
      </c>
      <c r="K111" t="n">
        <v>1</v>
      </c>
      <c r="L111" t="n">
        <v>0</v>
      </c>
      <c r="M111" t="n">
        <v>0</v>
      </c>
      <c r="N111" t="n">
        <v>0</v>
      </c>
      <c r="O111" t="n">
        <v>1</v>
      </c>
      <c r="P111" t="n">
        <v>1</v>
      </c>
      <c r="Q111" t="n">
        <v>1</v>
      </c>
      <c r="R111" s="2" t="inlineStr">
        <is>
          <t>Svärta</t>
        </is>
      </c>
      <c r="S111">
        <f>HYPERLINK("https://klasma.github.io/Logging_0188/artfynd/A 52508-2023 artfynd.xlsx", "A 52508-2023")</f>
        <v/>
      </c>
      <c r="T111">
        <f>HYPERLINK("https://klasma.github.io/Logging_0188/kartor/A 52508-2023 karta.png", "A 52508-2023")</f>
        <v/>
      </c>
      <c r="V111">
        <f>HYPERLINK("https://klasma.github.io/Logging_0188/klagomål/A 52508-2023 FSC-klagomål.docx", "A 52508-2023")</f>
        <v/>
      </c>
      <c r="W111">
        <f>HYPERLINK("https://klasma.github.io/Logging_0188/klagomålsmail/A 52508-2023 FSC-klagomål mail.docx", "A 52508-2023")</f>
        <v/>
      </c>
      <c r="X111">
        <f>HYPERLINK("https://klasma.github.io/Logging_0188/tillsyn/A 52508-2023 tillsynsbegäran.docx", "A 52508-2023")</f>
        <v/>
      </c>
      <c r="Y111">
        <f>HYPERLINK("https://klasma.github.io/Logging_0188/tillsynsmail/A 52508-2023 tillsynsbegäran mail.docx", "A 52508-2023")</f>
        <v/>
      </c>
    </row>
    <row r="112" ht="15" customHeight="1">
      <c r="A112" t="inlineStr">
        <is>
          <t>A 26120-2024</t>
        </is>
      </c>
      <c r="B112" s="1" t="n">
        <v>45468.45995370371</v>
      </c>
      <c r="C112" s="1" t="n">
        <v>45996</v>
      </c>
      <c r="D112" t="inlineStr">
        <is>
          <t>STOCKHOLMS LÄN</t>
        </is>
      </c>
      <c r="E112" t="inlineStr">
        <is>
          <t>NORRTÄLJE</t>
        </is>
      </c>
      <c r="G112" t="n">
        <v>1.8</v>
      </c>
      <c r="H112" t="n">
        <v>0</v>
      </c>
      <c r="I112" t="n">
        <v>0</v>
      </c>
      <c r="J112" t="n">
        <v>1</v>
      </c>
      <c r="K112" t="n">
        <v>0</v>
      </c>
      <c r="L112" t="n">
        <v>0</v>
      </c>
      <c r="M112" t="n">
        <v>0</v>
      </c>
      <c r="N112" t="n">
        <v>0</v>
      </c>
      <c r="O112" t="n">
        <v>1</v>
      </c>
      <c r="P112" t="n">
        <v>0</v>
      </c>
      <c r="Q112" t="n">
        <v>1</v>
      </c>
      <c r="R112" s="2" t="inlineStr">
        <is>
          <t>Majviva</t>
        </is>
      </c>
      <c r="S112">
        <f>HYPERLINK("https://klasma.github.io/Logging_0188/artfynd/A 26120-2024 artfynd.xlsx", "A 26120-2024")</f>
        <v/>
      </c>
      <c r="T112">
        <f>HYPERLINK("https://klasma.github.io/Logging_0188/kartor/A 26120-2024 karta.png", "A 26120-2024")</f>
        <v/>
      </c>
      <c r="V112">
        <f>HYPERLINK("https://klasma.github.io/Logging_0188/klagomål/A 26120-2024 FSC-klagomål.docx", "A 26120-2024")</f>
        <v/>
      </c>
      <c r="W112">
        <f>HYPERLINK("https://klasma.github.io/Logging_0188/klagomålsmail/A 26120-2024 FSC-klagomål mail.docx", "A 26120-2024")</f>
        <v/>
      </c>
      <c r="X112">
        <f>HYPERLINK("https://klasma.github.io/Logging_0188/tillsyn/A 26120-2024 tillsynsbegäran.docx", "A 26120-2024")</f>
        <v/>
      </c>
      <c r="Y112">
        <f>HYPERLINK("https://klasma.github.io/Logging_0188/tillsynsmail/A 26120-2024 tillsynsbegäran mail.docx", "A 26120-2024")</f>
        <v/>
      </c>
    </row>
    <row r="113" ht="15" customHeight="1">
      <c r="A113" t="inlineStr">
        <is>
          <t>A 8371-2025</t>
        </is>
      </c>
      <c r="B113" s="1" t="n">
        <v>45708</v>
      </c>
      <c r="C113" s="1" t="n">
        <v>45996</v>
      </c>
      <c r="D113" t="inlineStr">
        <is>
          <t>STOCKHOLMS LÄN</t>
        </is>
      </c>
      <c r="E113" t="inlineStr">
        <is>
          <t>NORRTÄLJE</t>
        </is>
      </c>
      <c r="F113" t="inlineStr">
        <is>
          <t>Övriga Aktiebolag</t>
        </is>
      </c>
      <c r="G113" t="n">
        <v>2.9</v>
      </c>
      <c r="H113" t="n">
        <v>1</v>
      </c>
      <c r="I113" t="n">
        <v>0</v>
      </c>
      <c r="J113" t="n">
        <v>1</v>
      </c>
      <c r="K113" t="n">
        <v>0</v>
      </c>
      <c r="L113" t="n">
        <v>0</v>
      </c>
      <c r="M113" t="n">
        <v>0</v>
      </c>
      <c r="N113" t="n">
        <v>0</v>
      </c>
      <c r="O113" t="n">
        <v>1</v>
      </c>
      <c r="P113" t="n">
        <v>0</v>
      </c>
      <c r="Q113" t="n">
        <v>1</v>
      </c>
      <c r="R113" s="2" t="inlineStr">
        <is>
          <t>Spillkråka</t>
        </is>
      </c>
      <c r="S113">
        <f>HYPERLINK("https://klasma.github.io/Logging_0188/artfynd/A 8371-2025 artfynd.xlsx", "A 8371-2025")</f>
        <v/>
      </c>
      <c r="T113">
        <f>HYPERLINK("https://klasma.github.io/Logging_0188/kartor/A 8371-2025 karta.png", "A 8371-2025")</f>
        <v/>
      </c>
      <c r="V113">
        <f>HYPERLINK("https://klasma.github.io/Logging_0188/klagomål/A 8371-2025 FSC-klagomål.docx", "A 8371-2025")</f>
        <v/>
      </c>
      <c r="W113">
        <f>HYPERLINK("https://klasma.github.io/Logging_0188/klagomålsmail/A 8371-2025 FSC-klagomål mail.docx", "A 8371-2025")</f>
        <v/>
      </c>
      <c r="X113">
        <f>HYPERLINK("https://klasma.github.io/Logging_0188/tillsyn/A 8371-2025 tillsynsbegäran.docx", "A 8371-2025")</f>
        <v/>
      </c>
      <c r="Y113">
        <f>HYPERLINK("https://klasma.github.io/Logging_0188/tillsynsmail/A 8371-2025 tillsynsbegäran mail.docx", "A 8371-2025")</f>
        <v/>
      </c>
      <c r="Z113">
        <f>HYPERLINK("https://klasma.github.io/Logging_0188/fåglar/A 8371-2025 prioriterade fågelarter.docx", "A 8371-2025")</f>
        <v/>
      </c>
    </row>
    <row r="114" ht="15" customHeight="1">
      <c r="A114" t="inlineStr">
        <is>
          <t>A 64456-2023</t>
        </is>
      </c>
      <c r="B114" s="1" t="n">
        <v>45280</v>
      </c>
      <c r="C114" s="1" t="n">
        <v>45996</v>
      </c>
      <c r="D114" t="inlineStr">
        <is>
          <t>STOCKHOLMS LÄN</t>
        </is>
      </c>
      <c r="E114" t="inlineStr">
        <is>
          <t>NORRTÄLJE</t>
        </is>
      </c>
      <c r="G114" t="n">
        <v>2.5</v>
      </c>
      <c r="H114" t="n">
        <v>0</v>
      </c>
      <c r="I114" t="n">
        <v>1</v>
      </c>
      <c r="J114" t="n">
        <v>0</v>
      </c>
      <c r="K114" t="n">
        <v>0</v>
      </c>
      <c r="L114" t="n">
        <v>0</v>
      </c>
      <c r="M114" t="n">
        <v>0</v>
      </c>
      <c r="N114" t="n">
        <v>0</v>
      </c>
      <c r="O114" t="n">
        <v>0</v>
      </c>
      <c r="P114" t="n">
        <v>0</v>
      </c>
      <c r="Q114" t="n">
        <v>1</v>
      </c>
      <c r="R114" s="2" t="inlineStr">
        <is>
          <t>Rödgul trumpetsvamp</t>
        </is>
      </c>
      <c r="S114">
        <f>HYPERLINK("https://klasma.github.io/Logging_0188/artfynd/A 64456-2023 artfynd.xlsx", "A 64456-2023")</f>
        <v/>
      </c>
      <c r="T114">
        <f>HYPERLINK("https://klasma.github.io/Logging_0188/kartor/A 64456-2023 karta.png", "A 64456-2023")</f>
        <v/>
      </c>
      <c r="V114">
        <f>HYPERLINK("https://klasma.github.io/Logging_0188/klagomål/A 64456-2023 FSC-klagomål.docx", "A 64456-2023")</f>
        <v/>
      </c>
      <c r="W114">
        <f>HYPERLINK("https://klasma.github.io/Logging_0188/klagomålsmail/A 64456-2023 FSC-klagomål mail.docx", "A 64456-2023")</f>
        <v/>
      </c>
      <c r="X114">
        <f>HYPERLINK("https://klasma.github.io/Logging_0188/tillsyn/A 64456-2023 tillsynsbegäran.docx", "A 64456-2023")</f>
        <v/>
      </c>
      <c r="Y114">
        <f>HYPERLINK("https://klasma.github.io/Logging_0188/tillsynsmail/A 64456-2023 tillsynsbegäran mail.docx", "A 64456-2023")</f>
        <v/>
      </c>
    </row>
    <row r="115" ht="15" customHeight="1">
      <c r="A115" t="inlineStr">
        <is>
          <t>A 42313-2025</t>
        </is>
      </c>
      <c r="B115" s="1" t="n">
        <v>45904.6575</v>
      </c>
      <c r="C115" s="1" t="n">
        <v>45996</v>
      </c>
      <c r="D115" t="inlineStr">
        <is>
          <t>STOCKHOLMS LÄN</t>
        </is>
      </c>
      <c r="E115" t="inlineStr">
        <is>
          <t>NORRTÄLJE</t>
        </is>
      </c>
      <c r="G115" t="n">
        <v>1.7</v>
      </c>
      <c r="H115" t="n">
        <v>1</v>
      </c>
      <c r="I115" t="n">
        <v>0</v>
      </c>
      <c r="J115" t="n">
        <v>0</v>
      </c>
      <c r="K115" t="n">
        <v>0</v>
      </c>
      <c r="L115" t="n">
        <v>0</v>
      </c>
      <c r="M115" t="n">
        <v>0</v>
      </c>
      <c r="N115" t="n">
        <v>0</v>
      </c>
      <c r="O115" t="n">
        <v>0</v>
      </c>
      <c r="P115" t="n">
        <v>0</v>
      </c>
      <c r="Q115" t="n">
        <v>1</v>
      </c>
      <c r="R115" s="2" t="inlineStr">
        <is>
          <t>Vanlig padda</t>
        </is>
      </c>
      <c r="S115">
        <f>HYPERLINK("https://klasma.github.io/Logging_0188/artfynd/A 42313-2025 artfynd.xlsx", "A 42313-2025")</f>
        <v/>
      </c>
      <c r="T115">
        <f>HYPERLINK("https://klasma.github.io/Logging_0188/kartor/A 42313-2025 karta.png", "A 42313-2025")</f>
        <v/>
      </c>
      <c r="V115">
        <f>HYPERLINK("https://klasma.github.io/Logging_0188/klagomål/A 42313-2025 FSC-klagomål.docx", "A 42313-2025")</f>
        <v/>
      </c>
      <c r="W115">
        <f>HYPERLINK("https://klasma.github.io/Logging_0188/klagomålsmail/A 42313-2025 FSC-klagomål mail.docx", "A 42313-2025")</f>
        <v/>
      </c>
      <c r="X115">
        <f>HYPERLINK("https://klasma.github.io/Logging_0188/tillsyn/A 42313-2025 tillsynsbegäran.docx", "A 42313-2025")</f>
        <v/>
      </c>
      <c r="Y115">
        <f>HYPERLINK("https://klasma.github.io/Logging_0188/tillsynsmail/A 42313-2025 tillsynsbegäran mail.docx", "A 42313-2025")</f>
        <v/>
      </c>
    </row>
    <row r="116" ht="15" customHeight="1">
      <c r="A116" t="inlineStr">
        <is>
          <t>A 27827-2022</t>
        </is>
      </c>
      <c r="B116" s="1" t="n">
        <v>44743.59504629629</v>
      </c>
      <c r="C116" s="1" t="n">
        <v>45996</v>
      </c>
      <c r="D116" t="inlineStr">
        <is>
          <t>STOCKHOLMS LÄN</t>
        </is>
      </c>
      <c r="E116" t="inlineStr">
        <is>
          <t>NORRTÄLJE</t>
        </is>
      </c>
      <c r="F116" t="inlineStr">
        <is>
          <t>Holmen skog AB</t>
        </is>
      </c>
      <c r="G116" t="n">
        <v>4.7</v>
      </c>
      <c r="H116" t="n">
        <v>1</v>
      </c>
      <c r="I116" t="n">
        <v>0</v>
      </c>
      <c r="J116" t="n">
        <v>1</v>
      </c>
      <c r="K116" t="n">
        <v>0</v>
      </c>
      <c r="L116" t="n">
        <v>0</v>
      </c>
      <c r="M116" t="n">
        <v>0</v>
      </c>
      <c r="N116" t="n">
        <v>0</v>
      </c>
      <c r="O116" t="n">
        <v>1</v>
      </c>
      <c r="P116" t="n">
        <v>0</v>
      </c>
      <c r="Q116" t="n">
        <v>1</v>
      </c>
      <c r="R116" s="2" t="inlineStr">
        <is>
          <t>Nordfladdermus</t>
        </is>
      </c>
      <c r="S116">
        <f>HYPERLINK("https://klasma.github.io/Logging_0188/artfynd/A 27827-2022 artfynd.xlsx", "A 27827-2022")</f>
        <v/>
      </c>
      <c r="T116">
        <f>HYPERLINK("https://klasma.github.io/Logging_0188/kartor/A 27827-2022 karta.png", "A 27827-2022")</f>
        <v/>
      </c>
      <c r="V116">
        <f>HYPERLINK("https://klasma.github.io/Logging_0188/klagomål/A 27827-2022 FSC-klagomål.docx", "A 27827-2022")</f>
        <v/>
      </c>
      <c r="W116">
        <f>HYPERLINK("https://klasma.github.io/Logging_0188/klagomålsmail/A 27827-2022 FSC-klagomål mail.docx", "A 27827-2022")</f>
        <v/>
      </c>
      <c r="X116">
        <f>HYPERLINK("https://klasma.github.io/Logging_0188/tillsyn/A 27827-2022 tillsynsbegäran.docx", "A 27827-2022")</f>
        <v/>
      </c>
      <c r="Y116">
        <f>HYPERLINK("https://klasma.github.io/Logging_0188/tillsynsmail/A 27827-2022 tillsynsbegäran mail.docx", "A 27827-2022")</f>
        <v/>
      </c>
    </row>
    <row r="117" ht="15" customHeight="1">
      <c r="A117" t="inlineStr">
        <is>
          <t>A 24330-2023</t>
        </is>
      </c>
      <c r="B117" s="1" t="n">
        <v>45081</v>
      </c>
      <c r="C117" s="1" t="n">
        <v>45996</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21744-2023</t>
        </is>
      </c>
      <c r="B118" s="1" t="n">
        <v>45065</v>
      </c>
      <c r="C118" s="1" t="n">
        <v>45996</v>
      </c>
      <c r="D118" t="inlineStr">
        <is>
          <t>STOCKHOLMS LÄN</t>
        </is>
      </c>
      <c r="E118" t="inlineStr">
        <is>
          <t>NORRTÄLJE</t>
        </is>
      </c>
      <c r="F118" t="inlineStr">
        <is>
          <t>Holmen skog AB</t>
        </is>
      </c>
      <c r="G118" t="n">
        <v>4.2</v>
      </c>
      <c r="H118" t="n">
        <v>0</v>
      </c>
      <c r="I118" t="n">
        <v>1</v>
      </c>
      <c r="J118" t="n">
        <v>0</v>
      </c>
      <c r="K118" t="n">
        <v>0</v>
      </c>
      <c r="L118" t="n">
        <v>0</v>
      </c>
      <c r="M118" t="n">
        <v>0</v>
      </c>
      <c r="N118" t="n">
        <v>0</v>
      </c>
      <c r="O118" t="n">
        <v>0</v>
      </c>
      <c r="P118" t="n">
        <v>0</v>
      </c>
      <c r="Q118" t="n">
        <v>1</v>
      </c>
      <c r="R118" s="2" t="inlineStr">
        <is>
          <t>Korallblylav</t>
        </is>
      </c>
      <c r="S118">
        <f>HYPERLINK("https://klasma.github.io/Logging_0188/artfynd/A 21744-2023 artfynd.xlsx", "A 21744-2023")</f>
        <v/>
      </c>
      <c r="T118">
        <f>HYPERLINK("https://klasma.github.io/Logging_0188/kartor/A 21744-2023 karta.png", "A 21744-2023")</f>
        <v/>
      </c>
      <c r="V118">
        <f>HYPERLINK("https://klasma.github.io/Logging_0188/klagomål/A 21744-2023 FSC-klagomål.docx", "A 21744-2023")</f>
        <v/>
      </c>
      <c r="W118">
        <f>HYPERLINK("https://klasma.github.io/Logging_0188/klagomålsmail/A 21744-2023 FSC-klagomål mail.docx", "A 21744-2023")</f>
        <v/>
      </c>
      <c r="X118">
        <f>HYPERLINK("https://klasma.github.io/Logging_0188/tillsyn/A 21744-2023 tillsynsbegäran.docx", "A 21744-2023")</f>
        <v/>
      </c>
      <c r="Y118">
        <f>HYPERLINK("https://klasma.github.io/Logging_0188/tillsynsmail/A 21744-2023 tillsynsbegäran mail.docx", "A 21744-2023")</f>
        <v/>
      </c>
    </row>
    <row r="119" ht="15" customHeight="1">
      <c r="A119" t="inlineStr">
        <is>
          <t>A 23146-2024</t>
        </is>
      </c>
      <c r="B119" s="1" t="n">
        <v>45450.63958333333</v>
      </c>
      <c r="C119" s="1" t="n">
        <v>45996</v>
      </c>
      <c r="D119" t="inlineStr">
        <is>
          <t>STOCKHOLMS LÄN</t>
        </is>
      </c>
      <c r="E119" t="inlineStr">
        <is>
          <t>NORRTÄLJE</t>
        </is>
      </c>
      <c r="F119" t="inlineStr">
        <is>
          <t>Kommuner</t>
        </is>
      </c>
      <c r="G119" t="n">
        <v>6</v>
      </c>
      <c r="H119" t="n">
        <v>0</v>
      </c>
      <c r="I119" t="n">
        <v>0</v>
      </c>
      <c r="J119" t="n">
        <v>1</v>
      </c>
      <c r="K119" t="n">
        <v>0</v>
      </c>
      <c r="L119" t="n">
        <v>0</v>
      </c>
      <c r="M119" t="n">
        <v>0</v>
      </c>
      <c r="N119" t="n">
        <v>0</v>
      </c>
      <c r="O119" t="n">
        <v>1</v>
      </c>
      <c r="P119" t="n">
        <v>0</v>
      </c>
      <c r="Q119" t="n">
        <v>1</v>
      </c>
      <c r="R119" s="2" t="inlineStr">
        <is>
          <t>Motaggsvamp</t>
        </is>
      </c>
      <c r="S119">
        <f>HYPERLINK("https://klasma.github.io/Logging_0188/artfynd/A 23146-2024 artfynd.xlsx", "A 23146-2024")</f>
        <v/>
      </c>
      <c r="T119">
        <f>HYPERLINK("https://klasma.github.io/Logging_0188/kartor/A 23146-2024 karta.png", "A 23146-2024")</f>
        <v/>
      </c>
      <c r="V119">
        <f>HYPERLINK("https://klasma.github.io/Logging_0188/klagomål/A 23146-2024 FSC-klagomål.docx", "A 23146-2024")</f>
        <v/>
      </c>
      <c r="W119">
        <f>HYPERLINK("https://klasma.github.io/Logging_0188/klagomålsmail/A 23146-2024 FSC-klagomål mail.docx", "A 23146-2024")</f>
        <v/>
      </c>
      <c r="X119">
        <f>HYPERLINK("https://klasma.github.io/Logging_0188/tillsyn/A 23146-2024 tillsynsbegäran.docx", "A 23146-2024")</f>
        <v/>
      </c>
      <c r="Y119">
        <f>HYPERLINK("https://klasma.github.io/Logging_0188/tillsynsmail/A 23146-2024 tillsynsbegäran mail.docx", "A 23146-2024")</f>
        <v/>
      </c>
    </row>
    <row r="120" ht="15" customHeight="1">
      <c r="A120" t="inlineStr">
        <is>
          <t>A 1162-2021</t>
        </is>
      </c>
      <c r="B120" s="1" t="n">
        <v>44207</v>
      </c>
      <c r="C120" s="1" t="n">
        <v>45996</v>
      </c>
      <c r="D120" t="inlineStr">
        <is>
          <t>STOCKHOLMS LÄN</t>
        </is>
      </c>
      <c r="E120" t="inlineStr">
        <is>
          <t>NORRTÄLJE</t>
        </is>
      </c>
      <c r="G120" t="n">
        <v>2.2</v>
      </c>
      <c r="H120" t="n">
        <v>1</v>
      </c>
      <c r="I120" t="n">
        <v>0</v>
      </c>
      <c r="J120" t="n">
        <v>0</v>
      </c>
      <c r="K120" t="n">
        <v>1</v>
      </c>
      <c r="L120" t="n">
        <v>0</v>
      </c>
      <c r="M120" t="n">
        <v>0</v>
      </c>
      <c r="N120" t="n">
        <v>0</v>
      </c>
      <c r="O120" t="n">
        <v>1</v>
      </c>
      <c r="P120" t="n">
        <v>1</v>
      </c>
      <c r="Q120" t="n">
        <v>1</v>
      </c>
      <c r="R120" s="2" t="inlineStr">
        <is>
          <t>Hällebräcka</t>
        </is>
      </c>
      <c r="S120">
        <f>HYPERLINK("https://klasma.github.io/Logging_0188/artfynd/A 1162-2021 artfynd.xlsx", "A 1162-2021")</f>
        <v/>
      </c>
      <c r="T120">
        <f>HYPERLINK("https://klasma.github.io/Logging_0188/kartor/A 1162-2021 karta.png", "A 1162-2021")</f>
        <v/>
      </c>
      <c r="V120">
        <f>HYPERLINK("https://klasma.github.io/Logging_0188/klagomål/A 1162-2021 FSC-klagomål.docx", "A 1162-2021")</f>
        <v/>
      </c>
      <c r="W120">
        <f>HYPERLINK("https://klasma.github.io/Logging_0188/klagomålsmail/A 1162-2021 FSC-klagomål mail.docx", "A 1162-2021")</f>
        <v/>
      </c>
      <c r="X120">
        <f>HYPERLINK("https://klasma.github.io/Logging_0188/tillsyn/A 1162-2021 tillsynsbegäran.docx", "A 1162-2021")</f>
        <v/>
      </c>
      <c r="Y120">
        <f>HYPERLINK("https://klasma.github.io/Logging_0188/tillsynsmail/A 1162-2021 tillsynsbegäran mail.docx", "A 1162-2021")</f>
        <v/>
      </c>
    </row>
    <row r="121" ht="15" customHeight="1">
      <c r="A121" t="inlineStr">
        <is>
          <t>A 27538-2024</t>
        </is>
      </c>
      <c r="B121" s="1" t="n">
        <v>45474</v>
      </c>
      <c r="C121" s="1" t="n">
        <v>45996</v>
      </c>
      <c r="D121" t="inlineStr">
        <is>
          <t>STOCKHOLMS LÄN</t>
        </is>
      </c>
      <c r="E121" t="inlineStr">
        <is>
          <t>NORRTÄLJE</t>
        </is>
      </c>
      <c r="G121" t="n">
        <v>1.5</v>
      </c>
      <c r="H121" t="n">
        <v>1</v>
      </c>
      <c r="I121" t="n">
        <v>1</v>
      </c>
      <c r="J121" t="n">
        <v>0</v>
      </c>
      <c r="K121" t="n">
        <v>0</v>
      </c>
      <c r="L121" t="n">
        <v>0</v>
      </c>
      <c r="M121" t="n">
        <v>0</v>
      </c>
      <c r="N121" t="n">
        <v>0</v>
      </c>
      <c r="O121" t="n">
        <v>0</v>
      </c>
      <c r="P121" t="n">
        <v>0</v>
      </c>
      <c r="Q121" t="n">
        <v>1</v>
      </c>
      <c r="R121" s="2" t="inlineStr">
        <is>
          <t>Skogsknipprot</t>
        </is>
      </c>
      <c r="S121">
        <f>HYPERLINK("https://klasma.github.io/Logging_0188/artfynd/A 27538-2024 artfynd.xlsx", "A 27538-2024")</f>
        <v/>
      </c>
      <c r="T121">
        <f>HYPERLINK("https://klasma.github.io/Logging_0188/kartor/A 27538-2024 karta.png", "A 27538-2024")</f>
        <v/>
      </c>
      <c r="V121">
        <f>HYPERLINK("https://klasma.github.io/Logging_0188/klagomål/A 27538-2024 FSC-klagomål.docx", "A 27538-2024")</f>
        <v/>
      </c>
      <c r="W121">
        <f>HYPERLINK("https://klasma.github.io/Logging_0188/klagomålsmail/A 27538-2024 FSC-klagomål mail.docx", "A 27538-2024")</f>
        <v/>
      </c>
      <c r="X121">
        <f>HYPERLINK("https://klasma.github.io/Logging_0188/tillsyn/A 27538-2024 tillsynsbegäran.docx", "A 27538-2024")</f>
        <v/>
      </c>
      <c r="Y121">
        <f>HYPERLINK("https://klasma.github.io/Logging_0188/tillsynsmail/A 27538-2024 tillsynsbegäran mail.docx", "A 27538-2024")</f>
        <v/>
      </c>
    </row>
    <row r="122" ht="15" customHeight="1">
      <c r="A122" t="inlineStr">
        <is>
          <t>A 52611-2024</t>
        </is>
      </c>
      <c r="B122" s="1" t="n">
        <v>45609.83747685186</v>
      </c>
      <c r="C122" s="1" t="n">
        <v>45996</v>
      </c>
      <c r="D122" t="inlineStr">
        <is>
          <t>STOCKHOLMS LÄN</t>
        </is>
      </c>
      <c r="E122" t="inlineStr">
        <is>
          <t>NORRTÄLJE</t>
        </is>
      </c>
      <c r="G122" t="n">
        <v>10.6</v>
      </c>
      <c r="H122" t="n">
        <v>1</v>
      </c>
      <c r="I122" t="n">
        <v>0</v>
      </c>
      <c r="J122" t="n">
        <v>0</v>
      </c>
      <c r="K122" t="n">
        <v>0</v>
      </c>
      <c r="L122" t="n">
        <v>0</v>
      </c>
      <c r="M122" t="n">
        <v>0</v>
      </c>
      <c r="N122" t="n">
        <v>0</v>
      </c>
      <c r="O122" t="n">
        <v>0</v>
      </c>
      <c r="P122" t="n">
        <v>0</v>
      </c>
      <c r="Q122" t="n">
        <v>1</v>
      </c>
      <c r="R122" s="2" t="inlineStr">
        <is>
          <t>Blåsippa</t>
        </is>
      </c>
      <c r="S122">
        <f>HYPERLINK("https://klasma.github.io/Logging_0188/artfynd/A 52611-2024 artfynd.xlsx", "A 52611-2024")</f>
        <v/>
      </c>
      <c r="T122">
        <f>HYPERLINK("https://klasma.github.io/Logging_0188/kartor/A 52611-2024 karta.png", "A 52611-2024")</f>
        <v/>
      </c>
      <c r="V122">
        <f>HYPERLINK("https://klasma.github.io/Logging_0188/klagomål/A 52611-2024 FSC-klagomål.docx", "A 52611-2024")</f>
        <v/>
      </c>
      <c r="W122">
        <f>HYPERLINK("https://klasma.github.io/Logging_0188/klagomålsmail/A 52611-2024 FSC-klagomål mail.docx", "A 52611-2024")</f>
        <v/>
      </c>
      <c r="X122">
        <f>HYPERLINK("https://klasma.github.io/Logging_0188/tillsyn/A 52611-2024 tillsynsbegäran.docx", "A 52611-2024")</f>
        <v/>
      </c>
      <c r="Y122">
        <f>HYPERLINK("https://klasma.github.io/Logging_0188/tillsynsmail/A 52611-2024 tillsynsbegäran mail.docx", "A 52611-2024")</f>
        <v/>
      </c>
    </row>
    <row r="123" ht="15" customHeight="1">
      <c r="A123" t="inlineStr">
        <is>
          <t>A 17952-2022</t>
        </is>
      </c>
      <c r="B123" s="1" t="n">
        <v>44683</v>
      </c>
      <c r="C123" s="1" t="n">
        <v>45996</v>
      </c>
      <c r="D123" t="inlineStr">
        <is>
          <t>STOCKHOLMS LÄN</t>
        </is>
      </c>
      <c r="E123" t="inlineStr">
        <is>
          <t>NORRTÄLJE</t>
        </is>
      </c>
      <c r="G123" t="n">
        <v>51.1</v>
      </c>
      <c r="H123" t="n">
        <v>0</v>
      </c>
      <c r="I123" t="n">
        <v>0</v>
      </c>
      <c r="J123" t="n">
        <v>0</v>
      </c>
      <c r="K123" t="n">
        <v>1</v>
      </c>
      <c r="L123" t="n">
        <v>0</v>
      </c>
      <c r="M123" t="n">
        <v>0</v>
      </c>
      <c r="N123" t="n">
        <v>0</v>
      </c>
      <c r="O123" t="n">
        <v>1</v>
      </c>
      <c r="P123" t="n">
        <v>1</v>
      </c>
      <c r="Q123" t="n">
        <v>1</v>
      </c>
      <c r="R123" s="2" t="inlineStr">
        <is>
          <t>Kattunvisslare</t>
        </is>
      </c>
      <c r="S123">
        <f>HYPERLINK("https://klasma.github.io/Logging_0188/artfynd/A 17952-2022 artfynd.xlsx", "A 17952-2022")</f>
        <v/>
      </c>
      <c r="T123">
        <f>HYPERLINK("https://klasma.github.io/Logging_0188/kartor/A 17952-2022 karta.png", "A 17952-2022")</f>
        <v/>
      </c>
      <c r="V123">
        <f>HYPERLINK("https://klasma.github.io/Logging_0188/klagomål/A 17952-2022 FSC-klagomål.docx", "A 17952-2022")</f>
        <v/>
      </c>
      <c r="W123">
        <f>HYPERLINK("https://klasma.github.io/Logging_0188/klagomålsmail/A 17952-2022 FSC-klagomål mail.docx", "A 17952-2022")</f>
        <v/>
      </c>
      <c r="X123">
        <f>HYPERLINK("https://klasma.github.io/Logging_0188/tillsyn/A 17952-2022 tillsynsbegäran.docx", "A 17952-2022")</f>
        <v/>
      </c>
      <c r="Y123">
        <f>HYPERLINK("https://klasma.github.io/Logging_0188/tillsynsmail/A 17952-2022 tillsynsbegäran mail.docx", "A 17952-2022")</f>
        <v/>
      </c>
    </row>
    <row r="124" ht="15" customHeight="1">
      <c r="A124" t="inlineStr">
        <is>
          <t>A 48131-2023</t>
        </is>
      </c>
      <c r="B124" s="1" t="n">
        <v>45205</v>
      </c>
      <c r="C124" s="1" t="n">
        <v>45996</v>
      </c>
      <c r="D124" t="inlineStr">
        <is>
          <t>STOCKHOLMS LÄN</t>
        </is>
      </c>
      <c r="E124" t="inlineStr">
        <is>
          <t>NORRTÄLJE</t>
        </is>
      </c>
      <c r="G124" t="n">
        <v>2.3</v>
      </c>
      <c r="H124" t="n">
        <v>0</v>
      </c>
      <c r="I124" t="n">
        <v>0</v>
      </c>
      <c r="J124" t="n">
        <v>1</v>
      </c>
      <c r="K124" t="n">
        <v>0</v>
      </c>
      <c r="L124" t="n">
        <v>0</v>
      </c>
      <c r="M124" t="n">
        <v>0</v>
      </c>
      <c r="N124" t="n">
        <v>0</v>
      </c>
      <c r="O124" t="n">
        <v>1</v>
      </c>
      <c r="P124" t="n">
        <v>0</v>
      </c>
      <c r="Q124" t="n">
        <v>1</v>
      </c>
      <c r="R124" s="2" t="inlineStr">
        <is>
          <t>Slåtterfibbla</t>
        </is>
      </c>
      <c r="S124">
        <f>HYPERLINK("https://klasma.github.io/Logging_0188/artfynd/A 48131-2023 artfynd.xlsx", "A 48131-2023")</f>
        <v/>
      </c>
      <c r="T124">
        <f>HYPERLINK("https://klasma.github.io/Logging_0188/kartor/A 48131-2023 karta.png", "A 48131-2023")</f>
        <v/>
      </c>
      <c r="V124">
        <f>HYPERLINK("https://klasma.github.io/Logging_0188/klagomål/A 48131-2023 FSC-klagomål.docx", "A 48131-2023")</f>
        <v/>
      </c>
      <c r="W124">
        <f>HYPERLINK("https://klasma.github.io/Logging_0188/klagomålsmail/A 48131-2023 FSC-klagomål mail.docx", "A 48131-2023")</f>
        <v/>
      </c>
      <c r="X124">
        <f>HYPERLINK("https://klasma.github.io/Logging_0188/tillsyn/A 48131-2023 tillsynsbegäran.docx", "A 48131-2023")</f>
        <v/>
      </c>
      <c r="Y124">
        <f>HYPERLINK("https://klasma.github.io/Logging_0188/tillsynsmail/A 48131-2023 tillsynsbegäran mail.docx", "A 48131-2023")</f>
        <v/>
      </c>
    </row>
    <row r="125" ht="15" customHeight="1">
      <c r="A125" t="inlineStr">
        <is>
          <t>A 52775-2025</t>
        </is>
      </c>
      <c r="B125" s="1" t="n">
        <v>45957.41608796296</v>
      </c>
      <c r="C125" s="1" t="n">
        <v>45996</v>
      </c>
      <c r="D125" t="inlineStr">
        <is>
          <t>STOCKHOLMS LÄN</t>
        </is>
      </c>
      <c r="E125" t="inlineStr">
        <is>
          <t>NORRTÄLJE</t>
        </is>
      </c>
      <c r="F125" t="inlineStr">
        <is>
          <t>Sveaskog</t>
        </is>
      </c>
      <c r="G125" t="n">
        <v>5.6</v>
      </c>
      <c r="H125" t="n">
        <v>0</v>
      </c>
      <c r="I125" t="n">
        <v>0</v>
      </c>
      <c r="J125" t="n">
        <v>1</v>
      </c>
      <c r="K125" t="n">
        <v>0</v>
      </c>
      <c r="L125" t="n">
        <v>0</v>
      </c>
      <c r="M125" t="n">
        <v>0</v>
      </c>
      <c r="N125" t="n">
        <v>0</v>
      </c>
      <c r="O125" t="n">
        <v>1</v>
      </c>
      <c r="P125" t="n">
        <v>0</v>
      </c>
      <c r="Q125" t="n">
        <v>1</v>
      </c>
      <c r="R125" s="2" t="inlineStr">
        <is>
          <t>Vedtrappmossa</t>
        </is>
      </c>
      <c r="S125">
        <f>HYPERLINK("https://klasma.github.io/Logging_0188/artfynd/A 52775-2025 artfynd.xlsx", "A 52775-2025")</f>
        <v/>
      </c>
      <c r="T125">
        <f>HYPERLINK("https://klasma.github.io/Logging_0188/kartor/A 52775-2025 karta.png", "A 52775-2025")</f>
        <v/>
      </c>
      <c r="V125">
        <f>HYPERLINK("https://klasma.github.io/Logging_0188/klagomål/A 52775-2025 FSC-klagomål.docx", "A 52775-2025")</f>
        <v/>
      </c>
      <c r="W125">
        <f>HYPERLINK("https://klasma.github.io/Logging_0188/klagomålsmail/A 52775-2025 FSC-klagomål mail.docx", "A 52775-2025")</f>
        <v/>
      </c>
      <c r="X125">
        <f>HYPERLINK("https://klasma.github.io/Logging_0188/tillsyn/A 52775-2025 tillsynsbegäran.docx", "A 52775-2025")</f>
        <v/>
      </c>
      <c r="Y125">
        <f>HYPERLINK("https://klasma.github.io/Logging_0188/tillsynsmail/A 52775-2025 tillsynsbegäran mail.docx", "A 52775-2025")</f>
        <v/>
      </c>
    </row>
    <row r="126" ht="15" customHeight="1">
      <c r="A126" t="inlineStr">
        <is>
          <t>A 53716-2025</t>
        </is>
      </c>
      <c r="B126" s="1" t="n">
        <v>45960.61782407408</v>
      </c>
      <c r="C126" s="1" t="n">
        <v>45996</v>
      </c>
      <c r="D126" t="inlineStr">
        <is>
          <t>STOCKHOLMS LÄN</t>
        </is>
      </c>
      <c r="E126" t="inlineStr">
        <is>
          <t>NORRTÄLJE</t>
        </is>
      </c>
      <c r="G126" t="n">
        <v>3.4</v>
      </c>
      <c r="H126" t="n">
        <v>0</v>
      </c>
      <c r="I126" t="n">
        <v>0</v>
      </c>
      <c r="J126" t="n">
        <v>0</v>
      </c>
      <c r="K126" t="n">
        <v>0</v>
      </c>
      <c r="L126" t="n">
        <v>1</v>
      </c>
      <c r="M126" t="n">
        <v>0</v>
      </c>
      <c r="N126" t="n">
        <v>0</v>
      </c>
      <c r="O126" t="n">
        <v>1</v>
      </c>
      <c r="P126" t="n">
        <v>1</v>
      </c>
      <c r="Q126" t="n">
        <v>1</v>
      </c>
      <c r="R126" s="2" t="inlineStr">
        <is>
          <t>Fältgentiana</t>
        </is>
      </c>
      <c r="S126">
        <f>HYPERLINK("https://klasma.github.io/Logging_0188/artfynd/A 53716-2025 artfynd.xlsx", "A 53716-2025")</f>
        <v/>
      </c>
      <c r="T126">
        <f>HYPERLINK("https://klasma.github.io/Logging_0188/kartor/A 53716-2025 karta.png", "A 53716-2025")</f>
        <v/>
      </c>
      <c r="V126">
        <f>HYPERLINK("https://klasma.github.io/Logging_0188/klagomål/A 53716-2025 FSC-klagomål.docx", "A 53716-2025")</f>
        <v/>
      </c>
      <c r="W126">
        <f>HYPERLINK("https://klasma.github.io/Logging_0188/klagomålsmail/A 53716-2025 FSC-klagomål mail.docx", "A 53716-2025")</f>
        <v/>
      </c>
      <c r="X126">
        <f>HYPERLINK("https://klasma.github.io/Logging_0188/tillsyn/A 53716-2025 tillsynsbegäran.docx", "A 53716-2025")</f>
        <v/>
      </c>
      <c r="Y126">
        <f>HYPERLINK("https://klasma.github.io/Logging_0188/tillsynsmail/A 53716-2025 tillsynsbegäran mail.docx", "A 53716-2025")</f>
        <v/>
      </c>
    </row>
    <row r="127" ht="15" customHeight="1">
      <c r="A127" t="inlineStr">
        <is>
          <t>A 21150-2022</t>
        </is>
      </c>
      <c r="B127" s="1" t="n">
        <v>44704</v>
      </c>
      <c r="C127" s="1" t="n">
        <v>45996</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58888-2021</t>
        </is>
      </c>
      <c r="B128" s="1" t="n">
        <v>44489</v>
      </c>
      <c r="C128" s="1" t="n">
        <v>45996</v>
      </c>
      <c r="D128" t="inlineStr">
        <is>
          <t>STOCKHOLMS LÄN</t>
        </is>
      </c>
      <c r="E128" t="inlineStr">
        <is>
          <t>NORRTÄLJE</t>
        </is>
      </c>
      <c r="F128" t="inlineStr">
        <is>
          <t>Holmen skog AB</t>
        </is>
      </c>
      <c r="G128" t="n">
        <v>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58888-2021 artfynd.xlsx", "A 58888-2021")</f>
        <v/>
      </c>
      <c r="T128">
        <f>HYPERLINK("https://klasma.github.io/Logging_0188/kartor/A 58888-2021 karta.png", "A 58888-2021")</f>
        <v/>
      </c>
      <c r="V128">
        <f>HYPERLINK("https://klasma.github.io/Logging_0188/klagomål/A 58888-2021 FSC-klagomål.docx", "A 58888-2021")</f>
        <v/>
      </c>
      <c r="W128">
        <f>HYPERLINK("https://klasma.github.io/Logging_0188/klagomålsmail/A 58888-2021 FSC-klagomål mail.docx", "A 58888-2021")</f>
        <v/>
      </c>
      <c r="X128">
        <f>HYPERLINK("https://klasma.github.io/Logging_0188/tillsyn/A 58888-2021 tillsynsbegäran.docx", "A 58888-2021")</f>
        <v/>
      </c>
      <c r="Y128">
        <f>HYPERLINK("https://klasma.github.io/Logging_0188/tillsynsmail/A 58888-2021 tillsynsbegäran mail.docx", "A 58888-2021")</f>
        <v/>
      </c>
    </row>
    <row r="129" ht="15" customHeight="1">
      <c r="A129" t="inlineStr">
        <is>
          <t>A 26635-2023</t>
        </is>
      </c>
      <c r="B129" s="1" t="n">
        <v>45092</v>
      </c>
      <c r="C129" s="1" t="n">
        <v>45996</v>
      </c>
      <c r="D129" t="inlineStr">
        <is>
          <t>STOCKHOLMS LÄN</t>
        </is>
      </c>
      <c r="E129" t="inlineStr">
        <is>
          <t>NORRTÄLJE</t>
        </is>
      </c>
      <c r="G129" t="n">
        <v>3.1</v>
      </c>
      <c r="H129" t="n">
        <v>1</v>
      </c>
      <c r="I129" t="n">
        <v>0</v>
      </c>
      <c r="J129" t="n">
        <v>0</v>
      </c>
      <c r="K129" t="n">
        <v>0</v>
      </c>
      <c r="L129" t="n">
        <v>0</v>
      </c>
      <c r="M129" t="n">
        <v>0</v>
      </c>
      <c r="N129" t="n">
        <v>0</v>
      </c>
      <c r="O129" t="n">
        <v>0</v>
      </c>
      <c r="P129" t="n">
        <v>0</v>
      </c>
      <c r="Q129" t="n">
        <v>1</v>
      </c>
      <c r="R129" s="2" t="inlineStr">
        <is>
          <t>Fläcknycklar</t>
        </is>
      </c>
      <c r="S129">
        <f>HYPERLINK("https://klasma.github.io/Logging_0188/artfynd/A 26635-2023 artfynd.xlsx", "A 26635-2023")</f>
        <v/>
      </c>
      <c r="T129">
        <f>HYPERLINK("https://klasma.github.io/Logging_0188/kartor/A 26635-2023 karta.png", "A 26635-2023")</f>
        <v/>
      </c>
      <c r="V129">
        <f>HYPERLINK("https://klasma.github.io/Logging_0188/klagomål/A 26635-2023 FSC-klagomål.docx", "A 26635-2023")</f>
        <v/>
      </c>
      <c r="W129">
        <f>HYPERLINK("https://klasma.github.io/Logging_0188/klagomålsmail/A 26635-2023 FSC-klagomål mail.docx", "A 26635-2023")</f>
        <v/>
      </c>
      <c r="X129">
        <f>HYPERLINK("https://klasma.github.io/Logging_0188/tillsyn/A 26635-2023 tillsynsbegäran.docx", "A 26635-2023")</f>
        <v/>
      </c>
      <c r="Y129">
        <f>HYPERLINK("https://klasma.github.io/Logging_0188/tillsynsmail/A 26635-2023 tillsynsbegäran mail.docx", "A 26635-2023")</f>
        <v/>
      </c>
    </row>
    <row r="130" ht="15" customHeight="1">
      <c r="A130" t="inlineStr">
        <is>
          <t>A 9955-2022</t>
        </is>
      </c>
      <c r="B130" s="1" t="n">
        <v>44620</v>
      </c>
      <c r="C130" s="1" t="n">
        <v>45996</v>
      </c>
      <c r="D130" t="inlineStr">
        <is>
          <t>STOCKHOLMS LÄN</t>
        </is>
      </c>
      <c r="E130" t="inlineStr">
        <is>
          <t>NORRTÄLJE</t>
        </is>
      </c>
      <c r="G130" t="n">
        <v>7.8</v>
      </c>
      <c r="H130" t="n">
        <v>1</v>
      </c>
      <c r="I130" t="n">
        <v>0</v>
      </c>
      <c r="J130" t="n">
        <v>0</v>
      </c>
      <c r="K130" t="n">
        <v>0</v>
      </c>
      <c r="L130" t="n">
        <v>0</v>
      </c>
      <c r="M130" t="n">
        <v>0</v>
      </c>
      <c r="N130" t="n">
        <v>0</v>
      </c>
      <c r="O130" t="n">
        <v>0</v>
      </c>
      <c r="P130" t="n">
        <v>0</v>
      </c>
      <c r="Q130" t="n">
        <v>1</v>
      </c>
      <c r="R130" s="2" t="inlineStr">
        <is>
          <t>Åkergroda</t>
        </is>
      </c>
      <c r="S130">
        <f>HYPERLINK("https://klasma.github.io/Logging_0188/artfynd/A 9955-2022 artfynd.xlsx", "A 9955-2022")</f>
        <v/>
      </c>
      <c r="T130">
        <f>HYPERLINK("https://klasma.github.io/Logging_0188/kartor/A 9955-2022 karta.png", "A 9955-2022")</f>
        <v/>
      </c>
      <c r="V130">
        <f>HYPERLINK("https://klasma.github.io/Logging_0188/klagomål/A 9955-2022 FSC-klagomål.docx", "A 9955-2022")</f>
        <v/>
      </c>
      <c r="W130">
        <f>HYPERLINK("https://klasma.github.io/Logging_0188/klagomålsmail/A 9955-2022 FSC-klagomål mail.docx", "A 9955-2022")</f>
        <v/>
      </c>
      <c r="X130">
        <f>HYPERLINK("https://klasma.github.io/Logging_0188/tillsyn/A 9955-2022 tillsynsbegäran.docx", "A 9955-2022")</f>
        <v/>
      </c>
      <c r="Y130">
        <f>HYPERLINK("https://klasma.github.io/Logging_0188/tillsynsmail/A 9955-2022 tillsynsbegäran mail.docx", "A 9955-2022")</f>
        <v/>
      </c>
    </row>
    <row r="131" ht="15" customHeight="1">
      <c r="A131" t="inlineStr">
        <is>
          <t>A 47898-2022</t>
        </is>
      </c>
      <c r="B131" s="1" t="n">
        <v>44855</v>
      </c>
      <c r="C131" s="1" t="n">
        <v>45996</v>
      </c>
      <c r="D131" t="inlineStr">
        <is>
          <t>STOCKHOLMS LÄN</t>
        </is>
      </c>
      <c r="E131" t="inlineStr">
        <is>
          <t>NORRTÄLJE</t>
        </is>
      </c>
      <c r="G131" t="n">
        <v>6.7</v>
      </c>
      <c r="H131" t="n">
        <v>1</v>
      </c>
      <c r="I131" t="n">
        <v>1</v>
      </c>
      <c r="J131" t="n">
        <v>0</v>
      </c>
      <c r="K131" t="n">
        <v>0</v>
      </c>
      <c r="L131" t="n">
        <v>0</v>
      </c>
      <c r="M131" t="n">
        <v>0</v>
      </c>
      <c r="N131" t="n">
        <v>0</v>
      </c>
      <c r="O131" t="n">
        <v>0</v>
      </c>
      <c r="P131" t="n">
        <v>0</v>
      </c>
      <c r="Q131" t="n">
        <v>1</v>
      </c>
      <c r="R131" s="2" t="inlineStr">
        <is>
          <t>Guckusko</t>
        </is>
      </c>
      <c r="S131">
        <f>HYPERLINK("https://klasma.github.io/Logging_0188/artfynd/A 47898-2022 artfynd.xlsx", "A 47898-2022")</f>
        <v/>
      </c>
      <c r="T131">
        <f>HYPERLINK("https://klasma.github.io/Logging_0188/kartor/A 47898-2022 karta.png", "A 47898-2022")</f>
        <v/>
      </c>
      <c r="V131">
        <f>HYPERLINK("https://klasma.github.io/Logging_0188/klagomål/A 47898-2022 FSC-klagomål.docx", "A 47898-2022")</f>
        <v/>
      </c>
      <c r="W131">
        <f>HYPERLINK("https://klasma.github.io/Logging_0188/klagomålsmail/A 47898-2022 FSC-klagomål mail.docx", "A 47898-2022")</f>
        <v/>
      </c>
      <c r="X131">
        <f>HYPERLINK("https://klasma.github.io/Logging_0188/tillsyn/A 47898-2022 tillsynsbegäran.docx", "A 47898-2022")</f>
        <v/>
      </c>
      <c r="Y131">
        <f>HYPERLINK("https://klasma.github.io/Logging_0188/tillsynsmail/A 47898-2022 tillsynsbegäran mail.docx", "A 47898-2022")</f>
        <v/>
      </c>
    </row>
    <row r="132" ht="15" customHeight="1">
      <c r="A132" t="inlineStr">
        <is>
          <t>A 39158-2025</t>
        </is>
      </c>
      <c r="B132" s="1" t="n">
        <v>45888</v>
      </c>
      <c r="C132" s="1" t="n">
        <v>45996</v>
      </c>
      <c r="D132" t="inlineStr">
        <is>
          <t>STOCKHOLMS LÄN</t>
        </is>
      </c>
      <c r="E132" t="inlineStr">
        <is>
          <t>NORRTÄLJE</t>
        </is>
      </c>
      <c r="G132" t="n">
        <v>1.5</v>
      </c>
      <c r="H132" t="n">
        <v>1</v>
      </c>
      <c r="I132" t="n">
        <v>0</v>
      </c>
      <c r="J132" t="n">
        <v>0</v>
      </c>
      <c r="K132" t="n">
        <v>0</v>
      </c>
      <c r="L132" t="n">
        <v>0</v>
      </c>
      <c r="M132" t="n">
        <v>0</v>
      </c>
      <c r="N132" t="n">
        <v>0</v>
      </c>
      <c r="O132" t="n">
        <v>0</v>
      </c>
      <c r="P132" t="n">
        <v>0</v>
      </c>
      <c r="Q132" t="n">
        <v>1</v>
      </c>
      <c r="R132" s="2" t="inlineStr">
        <is>
          <t>Blåsippa</t>
        </is>
      </c>
      <c r="S132">
        <f>HYPERLINK("https://klasma.github.io/Logging_0188/artfynd/A 39158-2025 artfynd.xlsx", "A 39158-2025")</f>
        <v/>
      </c>
      <c r="T132">
        <f>HYPERLINK("https://klasma.github.io/Logging_0188/kartor/A 39158-2025 karta.png", "A 39158-2025")</f>
        <v/>
      </c>
      <c r="V132">
        <f>HYPERLINK("https://klasma.github.io/Logging_0188/klagomål/A 39158-2025 FSC-klagomål.docx", "A 39158-2025")</f>
        <v/>
      </c>
      <c r="W132">
        <f>HYPERLINK("https://klasma.github.io/Logging_0188/klagomålsmail/A 39158-2025 FSC-klagomål mail.docx", "A 39158-2025")</f>
        <v/>
      </c>
      <c r="X132">
        <f>HYPERLINK("https://klasma.github.io/Logging_0188/tillsyn/A 39158-2025 tillsynsbegäran.docx", "A 39158-2025")</f>
        <v/>
      </c>
      <c r="Y132">
        <f>HYPERLINK("https://klasma.github.io/Logging_0188/tillsynsmail/A 39158-2025 tillsynsbegäran mail.docx", "A 39158-2025")</f>
        <v/>
      </c>
    </row>
    <row r="133" ht="15" customHeight="1">
      <c r="A133" t="inlineStr">
        <is>
          <t>A 59682-2025</t>
        </is>
      </c>
      <c r="B133" s="1" t="n">
        <v>45992.47116898148</v>
      </c>
      <c r="C133" s="1" t="n">
        <v>45996</v>
      </c>
      <c r="D133" t="inlineStr">
        <is>
          <t>STOCKHOLMS LÄN</t>
        </is>
      </c>
      <c r="E133" t="inlineStr">
        <is>
          <t>NORRTÄLJE</t>
        </is>
      </c>
      <c r="G133" t="n">
        <v>1.6</v>
      </c>
      <c r="H133" t="n">
        <v>0</v>
      </c>
      <c r="I133" t="n">
        <v>1</v>
      </c>
      <c r="J133" t="n">
        <v>0</v>
      </c>
      <c r="K133" t="n">
        <v>0</v>
      </c>
      <c r="L133" t="n">
        <v>0</v>
      </c>
      <c r="M133" t="n">
        <v>0</v>
      </c>
      <c r="N133" t="n">
        <v>0</v>
      </c>
      <c r="O133" t="n">
        <v>0</v>
      </c>
      <c r="P133" t="n">
        <v>0</v>
      </c>
      <c r="Q133" t="n">
        <v>1</v>
      </c>
      <c r="R133" s="2" t="inlineStr">
        <is>
          <t>Grönpyrola</t>
        </is>
      </c>
      <c r="S133">
        <f>HYPERLINK("https://klasma.github.io/Logging_0188/artfynd/A 59682-2025 artfynd.xlsx", "A 59682-2025")</f>
        <v/>
      </c>
      <c r="T133">
        <f>HYPERLINK("https://klasma.github.io/Logging_0188/kartor/A 59682-2025 karta.png", "A 59682-2025")</f>
        <v/>
      </c>
      <c r="V133">
        <f>HYPERLINK("https://klasma.github.io/Logging_0188/klagomål/A 59682-2025 FSC-klagomål.docx", "A 59682-2025")</f>
        <v/>
      </c>
      <c r="W133">
        <f>HYPERLINK("https://klasma.github.io/Logging_0188/klagomålsmail/A 59682-2025 FSC-klagomål mail.docx", "A 59682-2025")</f>
        <v/>
      </c>
      <c r="X133">
        <f>HYPERLINK("https://klasma.github.io/Logging_0188/tillsyn/A 59682-2025 tillsynsbegäran.docx", "A 59682-2025")</f>
        <v/>
      </c>
      <c r="Y133">
        <f>HYPERLINK("https://klasma.github.io/Logging_0188/tillsynsmail/A 59682-2025 tillsynsbegäran mail.docx", "A 59682-2025")</f>
        <v/>
      </c>
    </row>
    <row r="134" ht="15" customHeight="1">
      <c r="A134" t="inlineStr">
        <is>
          <t>A 16870-2025</t>
        </is>
      </c>
      <c r="B134" s="1" t="n">
        <v>45754</v>
      </c>
      <c r="C134" s="1" t="n">
        <v>45996</v>
      </c>
      <c r="D134" t="inlineStr">
        <is>
          <t>STOCKHOLMS LÄN</t>
        </is>
      </c>
      <c r="E134" t="inlineStr">
        <is>
          <t>NORRTÄLJE</t>
        </is>
      </c>
      <c r="G134" t="n">
        <v>24.6</v>
      </c>
      <c r="H134" t="n">
        <v>1</v>
      </c>
      <c r="I134" t="n">
        <v>0</v>
      </c>
      <c r="J134" t="n">
        <v>0</v>
      </c>
      <c r="K134" t="n">
        <v>0</v>
      </c>
      <c r="L134" t="n">
        <v>0</v>
      </c>
      <c r="M134" t="n">
        <v>0</v>
      </c>
      <c r="N134" t="n">
        <v>0</v>
      </c>
      <c r="O134" t="n">
        <v>0</v>
      </c>
      <c r="P134" t="n">
        <v>0</v>
      </c>
      <c r="Q134" t="n">
        <v>1</v>
      </c>
      <c r="R134" s="2" t="inlineStr">
        <is>
          <t>Vanlig groda</t>
        </is>
      </c>
      <c r="S134">
        <f>HYPERLINK("https://klasma.github.io/Logging_0188/artfynd/A 16870-2025 artfynd.xlsx", "A 16870-2025")</f>
        <v/>
      </c>
      <c r="T134">
        <f>HYPERLINK("https://klasma.github.io/Logging_0188/kartor/A 16870-2025 karta.png", "A 16870-2025")</f>
        <v/>
      </c>
      <c r="V134">
        <f>HYPERLINK("https://klasma.github.io/Logging_0188/klagomål/A 16870-2025 FSC-klagomål.docx", "A 16870-2025")</f>
        <v/>
      </c>
      <c r="W134">
        <f>HYPERLINK("https://klasma.github.io/Logging_0188/klagomålsmail/A 16870-2025 FSC-klagomål mail.docx", "A 16870-2025")</f>
        <v/>
      </c>
      <c r="X134">
        <f>HYPERLINK("https://klasma.github.io/Logging_0188/tillsyn/A 16870-2025 tillsynsbegäran.docx", "A 16870-2025")</f>
        <v/>
      </c>
      <c r="Y134">
        <f>HYPERLINK("https://klasma.github.io/Logging_0188/tillsynsmail/A 16870-2025 tillsynsbegäran mail.docx", "A 16870-2025")</f>
        <v/>
      </c>
    </row>
    <row r="135" ht="15" customHeight="1">
      <c r="A135" t="inlineStr">
        <is>
          <t>A 1970-2021</t>
        </is>
      </c>
      <c r="B135" s="1" t="n">
        <v>44210</v>
      </c>
      <c r="C135" s="1" t="n">
        <v>45996</v>
      </c>
      <c r="D135" t="inlineStr">
        <is>
          <t>STOCKHOLMS LÄN</t>
        </is>
      </c>
      <c r="E135" t="inlineStr">
        <is>
          <t>NORRTÄLJE</t>
        </is>
      </c>
      <c r="G135" t="n">
        <v>3.1</v>
      </c>
      <c r="H135" t="n">
        <v>0</v>
      </c>
      <c r="I135" t="n">
        <v>0</v>
      </c>
      <c r="J135" t="n">
        <v>0</v>
      </c>
      <c r="K135" t="n">
        <v>0</v>
      </c>
      <c r="L135" t="n">
        <v>0</v>
      </c>
      <c r="M135" t="n">
        <v>0</v>
      </c>
      <c r="N135" t="n">
        <v>0</v>
      </c>
      <c r="O135" t="n">
        <v>0</v>
      </c>
      <c r="P135" t="n">
        <v>0</v>
      </c>
      <c r="Q135" t="n">
        <v>0</v>
      </c>
      <c r="R135" s="2" t="inlineStr"/>
    </row>
    <row r="136" ht="15" customHeight="1">
      <c r="A136" t="inlineStr">
        <is>
          <t>A 1637-2021</t>
        </is>
      </c>
      <c r="B136" s="1" t="n">
        <v>44209</v>
      </c>
      <c r="C136" s="1" t="n">
        <v>45996</v>
      </c>
      <c r="D136" t="inlineStr">
        <is>
          <t>STOCKHOLMS LÄN</t>
        </is>
      </c>
      <c r="E136" t="inlineStr">
        <is>
          <t>NORRTÄLJE</t>
        </is>
      </c>
      <c r="G136" t="n">
        <v>1.6</v>
      </c>
      <c r="H136" t="n">
        <v>0</v>
      </c>
      <c r="I136" t="n">
        <v>0</v>
      </c>
      <c r="J136" t="n">
        <v>0</v>
      </c>
      <c r="K136" t="n">
        <v>0</v>
      </c>
      <c r="L136" t="n">
        <v>0</v>
      </c>
      <c r="M136" t="n">
        <v>0</v>
      </c>
      <c r="N136" t="n">
        <v>0</v>
      </c>
      <c r="O136" t="n">
        <v>0</v>
      </c>
      <c r="P136" t="n">
        <v>0</v>
      </c>
      <c r="Q136" t="n">
        <v>0</v>
      </c>
      <c r="R136" s="2" t="inlineStr"/>
    </row>
    <row r="137" ht="15" customHeight="1">
      <c r="A137" t="inlineStr">
        <is>
          <t>A 18580-2021</t>
        </is>
      </c>
      <c r="B137" s="1" t="n">
        <v>44306</v>
      </c>
      <c r="C137" s="1" t="n">
        <v>45996</v>
      </c>
      <c r="D137" t="inlineStr">
        <is>
          <t>STOCKHOLMS LÄN</t>
        </is>
      </c>
      <c r="E137" t="inlineStr">
        <is>
          <t>NORRTÄLJE</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71543-2021</t>
        </is>
      </c>
      <c r="B138" s="1" t="n">
        <v>44540</v>
      </c>
      <c r="C138" s="1" t="n">
        <v>45996</v>
      </c>
      <c r="D138" t="inlineStr">
        <is>
          <t>STOCKHOLMS LÄN</t>
        </is>
      </c>
      <c r="E138" t="inlineStr">
        <is>
          <t>NORRTÄLJE</t>
        </is>
      </c>
      <c r="G138" t="n">
        <v>1.8</v>
      </c>
      <c r="H138" t="n">
        <v>0</v>
      </c>
      <c r="I138" t="n">
        <v>0</v>
      </c>
      <c r="J138" t="n">
        <v>0</v>
      </c>
      <c r="K138" t="n">
        <v>0</v>
      </c>
      <c r="L138" t="n">
        <v>0</v>
      </c>
      <c r="M138" t="n">
        <v>0</v>
      </c>
      <c r="N138" t="n">
        <v>0</v>
      </c>
      <c r="O138" t="n">
        <v>0</v>
      </c>
      <c r="P138" t="n">
        <v>0</v>
      </c>
      <c r="Q138" t="n">
        <v>0</v>
      </c>
      <c r="R138" s="2" t="inlineStr"/>
    </row>
    <row r="139" ht="15" customHeight="1">
      <c r="A139" t="inlineStr">
        <is>
          <t>A 14036-2022</t>
        </is>
      </c>
      <c r="B139" s="1" t="n">
        <v>44650.8699537037</v>
      </c>
      <c r="C139" s="1" t="n">
        <v>45996</v>
      </c>
      <c r="D139" t="inlineStr">
        <is>
          <t>STOCKHOLMS LÄN</t>
        </is>
      </c>
      <c r="E139" t="inlineStr">
        <is>
          <t>NORRTÄLJE</t>
        </is>
      </c>
      <c r="G139" t="n">
        <v>1.1</v>
      </c>
      <c r="H139" t="n">
        <v>0</v>
      </c>
      <c r="I139" t="n">
        <v>0</v>
      </c>
      <c r="J139" t="n">
        <v>0</v>
      </c>
      <c r="K139" t="n">
        <v>0</v>
      </c>
      <c r="L139" t="n">
        <v>0</v>
      </c>
      <c r="M139" t="n">
        <v>0</v>
      </c>
      <c r="N139" t="n">
        <v>0</v>
      </c>
      <c r="O139" t="n">
        <v>0</v>
      </c>
      <c r="P139" t="n">
        <v>0</v>
      </c>
      <c r="Q139" t="n">
        <v>0</v>
      </c>
      <c r="R139" s="2" t="inlineStr"/>
    </row>
    <row r="140" ht="15" customHeight="1">
      <c r="A140" t="inlineStr">
        <is>
          <t>A 47344-2021</t>
        </is>
      </c>
      <c r="B140" s="1" t="n">
        <v>44447</v>
      </c>
      <c r="C140" s="1" t="n">
        <v>45996</v>
      </c>
      <c r="D140" t="inlineStr">
        <is>
          <t>STOCKHOLMS LÄN</t>
        </is>
      </c>
      <c r="E140" t="inlineStr">
        <is>
          <t>NORRTÄLJE</t>
        </is>
      </c>
      <c r="G140" t="n">
        <v>3.3</v>
      </c>
      <c r="H140" t="n">
        <v>0</v>
      </c>
      <c r="I140" t="n">
        <v>0</v>
      </c>
      <c r="J140" t="n">
        <v>0</v>
      </c>
      <c r="K140" t="n">
        <v>0</v>
      </c>
      <c r="L140" t="n">
        <v>0</v>
      </c>
      <c r="M140" t="n">
        <v>0</v>
      </c>
      <c r="N140" t="n">
        <v>0</v>
      </c>
      <c r="O140" t="n">
        <v>0</v>
      </c>
      <c r="P140" t="n">
        <v>0</v>
      </c>
      <c r="Q140" t="n">
        <v>0</v>
      </c>
      <c r="R140" s="2" t="inlineStr"/>
    </row>
    <row r="141" ht="15" customHeight="1">
      <c r="A141" t="inlineStr">
        <is>
          <t>A 43036-2022</t>
        </is>
      </c>
      <c r="B141" s="1" t="n">
        <v>44833</v>
      </c>
      <c r="C141" s="1" t="n">
        <v>45996</v>
      </c>
      <c r="D141" t="inlineStr">
        <is>
          <t>STOCKHOLMS LÄN</t>
        </is>
      </c>
      <c r="E141" t="inlineStr">
        <is>
          <t>NORRTÄLJE</t>
        </is>
      </c>
      <c r="F141" t="inlineStr">
        <is>
          <t>Kyrkan</t>
        </is>
      </c>
      <c r="G141" t="n">
        <v>1.7</v>
      </c>
      <c r="H141" t="n">
        <v>0</v>
      </c>
      <c r="I141" t="n">
        <v>0</v>
      </c>
      <c r="J141" t="n">
        <v>0</v>
      </c>
      <c r="K141" t="n">
        <v>0</v>
      </c>
      <c r="L141" t="n">
        <v>0</v>
      </c>
      <c r="M141" t="n">
        <v>0</v>
      </c>
      <c r="N141" t="n">
        <v>0</v>
      </c>
      <c r="O141" t="n">
        <v>0</v>
      </c>
      <c r="P141" t="n">
        <v>0</v>
      </c>
      <c r="Q141" t="n">
        <v>0</v>
      </c>
      <c r="R141" s="2" t="inlineStr"/>
    </row>
    <row r="142" ht="15" customHeight="1">
      <c r="A142" t="inlineStr">
        <is>
          <t>A 12877-2022</t>
        </is>
      </c>
      <c r="B142" s="1" t="n">
        <v>44642</v>
      </c>
      <c r="C142" s="1" t="n">
        <v>45996</v>
      </c>
      <c r="D142" t="inlineStr">
        <is>
          <t>STOCKHOLMS LÄN</t>
        </is>
      </c>
      <c r="E142" t="inlineStr">
        <is>
          <t>NORRTÄLJE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15289-2021</t>
        </is>
      </c>
      <c r="B143" s="1" t="n">
        <v>44284.59546296296</v>
      </c>
      <c r="C143" s="1" t="n">
        <v>45996</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40542-2021</t>
        </is>
      </c>
      <c r="B144" s="1" t="n">
        <v>44420</v>
      </c>
      <c r="C144" s="1" t="n">
        <v>45996</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40546-2021</t>
        </is>
      </c>
      <c r="B145" s="1" t="n">
        <v>44420</v>
      </c>
      <c r="C145" s="1" t="n">
        <v>45996</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23096-2021</t>
        </is>
      </c>
      <c r="B146" s="1" t="n">
        <v>44330</v>
      </c>
      <c r="C146" s="1" t="n">
        <v>45996</v>
      </c>
      <c r="D146" t="inlineStr">
        <is>
          <t>STOCKHOLMS LÄN</t>
        </is>
      </c>
      <c r="E146" t="inlineStr">
        <is>
          <t>NORRTÄLJE</t>
        </is>
      </c>
      <c r="G146" t="n">
        <v>0.3</v>
      </c>
      <c r="H146" t="n">
        <v>0</v>
      </c>
      <c r="I146" t="n">
        <v>0</v>
      </c>
      <c r="J146" t="n">
        <v>0</v>
      </c>
      <c r="K146" t="n">
        <v>0</v>
      </c>
      <c r="L146" t="n">
        <v>0</v>
      </c>
      <c r="M146" t="n">
        <v>0</v>
      </c>
      <c r="N146" t="n">
        <v>0</v>
      </c>
      <c r="O146" t="n">
        <v>0</v>
      </c>
      <c r="P146" t="n">
        <v>0</v>
      </c>
      <c r="Q146" t="n">
        <v>0</v>
      </c>
      <c r="R146" s="2" t="inlineStr"/>
    </row>
    <row r="147" ht="15" customHeight="1">
      <c r="A147" t="inlineStr">
        <is>
          <t>A 31934-2022</t>
        </is>
      </c>
      <c r="B147" s="1" t="n">
        <v>44777</v>
      </c>
      <c r="C147" s="1" t="n">
        <v>45996</v>
      </c>
      <c r="D147" t="inlineStr">
        <is>
          <t>STOCKHOLMS LÄN</t>
        </is>
      </c>
      <c r="E147" t="inlineStr">
        <is>
          <t>NORRTÄLJE</t>
        </is>
      </c>
      <c r="G147" t="n">
        <v>1.2</v>
      </c>
      <c r="H147" t="n">
        <v>0</v>
      </c>
      <c r="I147" t="n">
        <v>0</v>
      </c>
      <c r="J147" t="n">
        <v>0</v>
      </c>
      <c r="K147" t="n">
        <v>0</v>
      </c>
      <c r="L147" t="n">
        <v>0</v>
      </c>
      <c r="M147" t="n">
        <v>0</v>
      </c>
      <c r="N147" t="n">
        <v>0</v>
      </c>
      <c r="O147" t="n">
        <v>0</v>
      </c>
      <c r="P147" t="n">
        <v>0</v>
      </c>
      <c r="Q147" t="n">
        <v>0</v>
      </c>
      <c r="R147" s="2" t="inlineStr"/>
    </row>
    <row r="148" ht="15" customHeight="1">
      <c r="A148" t="inlineStr">
        <is>
          <t>A 24977-2022</t>
        </is>
      </c>
      <c r="B148" s="1" t="n">
        <v>44728.73465277778</v>
      </c>
      <c r="C148" s="1" t="n">
        <v>45996</v>
      </c>
      <c r="D148" t="inlineStr">
        <is>
          <t>STOCKHOLMS LÄN</t>
        </is>
      </c>
      <c r="E148" t="inlineStr">
        <is>
          <t>NORRTÄLJE</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37815-2022</t>
        </is>
      </c>
      <c r="B149" s="1" t="n">
        <v>44810.85092592592</v>
      </c>
      <c r="C149" s="1" t="n">
        <v>45996</v>
      </c>
      <c r="D149" t="inlineStr">
        <is>
          <t>STOCKHOLMS LÄN</t>
        </is>
      </c>
      <c r="E149" t="inlineStr">
        <is>
          <t>NORRTÄLJE</t>
        </is>
      </c>
      <c r="G149" t="n">
        <v>1.3</v>
      </c>
      <c r="H149" t="n">
        <v>0</v>
      </c>
      <c r="I149" t="n">
        <v>0</v>
      </c>
      <c r="J149" t="n">
        <v>0</v>
      </c>
      <c r="K149" t="n">
        <v>0</v>
      </c>
      <c r="L149" t="n">
        <v>0</v>
      </c>
      <c r="M149" t="n">
        <v>0</v>
      </c>
      <c r="N149" t="n">
        <v>0</v>
      </c>
      <c r="O149" t="n">
        <v>0</v>
      </c>
      <c r="P149" t="n">
        <v>0</v>
      </c>
      <c r="Q149" t="n">
        <v>0</v>
      </c>
      <c r="R149" s="2" t="inlineStr"/>
    </row>
    <row r="150" ht="15" customHeight="1">
      <c r="A150" t="inlineStr">
        <is>
          <t>A 74468-2021</t>
        </is>
      </c>
      <c r="B150" s="1" t="n">
        <v>44560</v>
      </c>
      <c r="C150" s="1" t="n">
        <v>45996</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11821-2022</t>
        </is>
      </c>
      <c r="B151" s="1" t="n">
        <v>44634</v>
      </c>
      <c r="C151" s="1" t="n">
        <v>45996</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2977-2022</t>
        </is>
      </c>
      <c r="B152" s="1" t="n">
        <v>44581.75819444445</v>
      </c>
      <c r="C152" s="1" t="n">
        <v>45996</v>
      </c>
      <c r="D152" t="inlineStr">
        <is>
          <t>STOCKHOLMS LÄN</t>
        </is>
      </c>
      <c r="E152" t="inlineStr">
        <is>
          <t>NORRTÄLJE</t>
        </is>
      </c>
      <c r="G152" t="n">
        <v>0.9</v>
      </c>
      <c r="H152" t="n">
        <v>0</v>
      </c>
      <c r="I152" t="n">
        <v>0</v>
      </c>
      <c r="J152" t="n">
        <v>0</v>
      </c>
      <c r="K152" t="n">
        <v>0</v>
      </c>
      <c r="L152" t="n">
        <v>0</v>
      </c>
      <c r="M152" t="n">
        <v>0</v>
      </c>
      <c r="N152" t="n">
        <v>0</v>
      </c>
      <c r="O152" t="n">
        <v>0</v>
      </c>
      <c r="P152" t="n">
        <v>0</v>
      </c>
      <c r="Q152" t="n">
        <v>0</v>
      </c>
      <c r="R152" s="2" t="inlineStr"/>
    </row>
    <row r="153" ht="15" customHeight="1">
      <c r="A153" t="inlineStr">
        <is>
          <t>A 54272-2021</t>
        </is>
      </c>
      <c r="B153" s="1" t="n">
        <v>44470.72148148148</v>
      </c>
      <c r="C153" s="1" t="n">
        <v>45996</v>
      </c>
      <c r="D153" t="inlineStr">
        <is>
          <t>STOCKHOLMS LÄN</t>
        </is>
      </c>
      <c r="E153" t="inlineStr">
        <is>
          <t>NORRTÄLJE</t>
        </is>
      </c>
      <c r="G153" t="n">
        <v>5.8</v>
      </c>
      <c r="H153" t="n">
        <v>0</v>
      </c>
      <c r="I153" t="n">
        <v>0</v>
      </c>
      <c r="J153" t="n">
        <v>0</v>
      </c>
      <c r="K153" t="n">
        <v>0</v>
      </c>
      <c r="L153" t="n">
        <v>0</v>
      </c>
      <c r="M153" t="n">
        <v>0</v>
      </c>
      <c r="N153" t="n">
        <v>0</v>
      </c>
      <c r="O153" t="n">
        <v>0</v>
      </c>
      <c r="P153" t="n">
        <v>0</v>
      </c>
      <c r="Q153" t="n">
        <v>0</v>
      </c>
      <c r="R153" s="2" t="inlineStr"/>
    </row>
    <row r="154" ht="15" customHeight="1">
      <c r="A154" t="inlineStr">
        <is>
          <t>A 31283-2022</t>
        </is>
      </c>
      <c r="B154" s="1" t="n">
        <v>44771</v>
      </c>
      <c r="C154" s="1" t="n">
        <v>45996</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56225-2021</t>
        </is>
      </c>
      <c r="B155" s="1" t="n">
        <v>44477.94327546296</v>
      </c>
      <c r="C155" s="1" t="n">
        <v>45996</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34436-2021</t>
        </is>
      </c>
      <c r="B156" s="1" t="n">
        <v>44380</v>
      </c>
      <c r="C156" s="1" t="n">
        <v>45996</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67525-2021</t>
        </is>
      </c>
      <c r="B157" s="1" t="n">
        <v>44524</v>
      </c>
      <c r="C157" s="1" t="n">
        <v>45996</v>
      </c>
      <c r="D157" t="inlineStr">
        <is>
          <t>STOCKHOLMS LÄN</t>
        </is>
      </c>
      <c r="E157" t="inlineStr">
        <is>
          <t>NORRTÄLJE</t>
        </is>
      </c>
      <c r="G157" t="n">
        <v>0.8</v>
      </c>
      <c r="H157" t="n">
        <v>0</v>
      </c>
      <c r="I157" t="n">
        <v>0</v>
      </c>
      <c r="J157" t="n">
        <v>0</v>
      </c>
      <c r="K157" t="n">
        <v>0</v>
      </c>
      <c r="L157" t="n">
        <v>0</v>
      </c>
      <c r="M157" t="n">
        <v>0</v>
      </c>
      <c r="N157" t="n">
        <v>0</v>
      </c>
      <c r="O157" t="n">
        <v>0</v>
      </c>
      <c r="P157" t="n">
        <v>0</v>
      </c>
      <c r="Q157" t="n">
        <v>0</v>
      </c>
      <c r="R157" s="2" t="inlineStr"/>
    </row>
    <row r="158" ht="15" customHeight="1">
      <c r="A158" t="inlineStr">
        <is>
          <t>A 1704-2022</t>
        </is>
      </c>
      <c r="B158" s="1" t="n">
        <v>44574.42978009259</v>
      </c>
      <c r="C158" s="1" t="n">
        <v>45996</v>
      </c>
      <c r="D158" t="inlineStr">
        <is>
          <t>STOCKHOLMS LÄN</t>
        </is>
      </c>
      <c r="E158" t="inlineStr">
        <is>
          <t>NORRTÄLJE</t>
        </is>
      </c>
      <c r="G158" t="n">
        <v>6.2</v>
      </c>
      <c r="H158" t="n">
        <v>0</v>
      </c>
      <c r="I158" t="n">
        <v>0</v>
      </c>
      <c r="J158" t="n">
        <v>0</v>
      </c>
      <c r="K158" t="n">
        <v>0</v>
      </c>
      <c r="L158" t="n">
        <v>0</v>
      </c>
      <c r="M158" t="n">
        <v>0</v>
      </c>
      <c r="N158" t="n">
        <v>0</v>
      </c>
      <c r="O158" t="n">
        <v>0</v>
      </c>
      <c r="P158" t="n">
        <v>0</v>
      </c>
      <c r="Q158" t="n">
        <v>0</v>
      </c>
      <c r="R158" s="2" t="inlineStr"/>
    </row>
    <row r="159" ht="15" customHeight="1">
      <c r="A159" t="inlineStr">
        <is>
          <t>A 65737-2021</t>
        </is>
      </c>
      <c r="B159" s="1" t="n">
        <v>44516.72827546296</v>
      </c>
      <c r="C159" s="1" t="n">
        <v>45996</v>
      </c>
      <c r="D159" t="inlineStr">
        <is>
          <t>STOCKHOLMS LÄN</t>
        </is>
      </c>
      <c r="E159" t="inlineStr">
        <is>
          <t>NORRTÄLJE</t>
        </is>
      </c>
      <c r="G159" t="n">
        <v>3</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45996</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43374-2022</t>
        </is>
      </c>
      <c r="B161" s="1" t="n">
        <v>44834</v>
      </c>
      <c r="C161" s="1" t="n">
        <v>45996</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19283-2021</t>
        </is>
      </c>
      <c r="B162" s="1" t="n">
        <v>44309.47061342592</v>
      </c>
      <c r="C162" s="1" t="n">
        <v>45996</v>
      </c>
      <c r="D162" t="inlineStr">
        <is>
          <t>STOCKHOLMS LÄN</t>
        </is>
      </c>
      <c r="E162" t="inlineStr">
        <is>
          <t>NORRTÄLJE</t>
        </is>
      </c>
      <c r="F162" t="inlineStr">
        <is>
          <t>Holmen skog AB</t>
        </is>
      </c>
      <c r="G162" t="n">
        <v>0.6</v>
      </c>
      <c r="H162" t="n">
        <v>0</v>
      </c>
      <c r="I162" t="n">
        <v>0</v>
      </c>
      <c r="J162" t="n">
        <v>0</v>
      </c>
      <c r="K162" t="n">
        <v>0</v>
      </c>
      <c r="L162" t="n">
        <v>0</v>
      </c>
      <c r="M162" t="n">
        <v>0</v>
      </c>
      <c r="N162" t="n">
        <v>0</v>
      </c>
      <c r="O162" t="n">
        <v>0</v>
      </c>
      <c r="P162" t="n">
        <v>0</v>
      </c>
      <c r="Q162" t="n">
        <v>0</v>
      </c>
      <c r="R162" s="2" t="inlineStr"/>
    </row>
    <row r="163" ht="15" customHeight="1">
      <c r="A163" t="inlineStr">
        <is>
          <t>A 37712-2021</t>
        </is>
      </c>
      <c r="B163" s="1" t="n">
        <v>44400</v>
      </c>
      <c r="C163" s="1" t="n">
        <v>45996</v>
      </c>
      <c r="D163" t="inlineStr">
        <is>
          <t>STOCKHOLMS LÄN</t>
        </is>
      </c>
      <c r="E163" t="inlineStr">
        <is>
          <t>NORRTÄLJE</t>
        </is>
      </c>
      <c r="G163" t="n">
        <v>22.9</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45996</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45996</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45996</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45996</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60822-2021</t>
        </is>
      </c>
      <c r="B168" s="1" t="n">
        <v>44496</v>
      </c>
      <c r="C168" s="1" t="n">
        <v>45996</v>
      </c>
      <c r="D168" t="inlineStr">
        <is>
          <t>STOCKHOLMS LÄN</t>
        </is>
      </c>
      <c r="E168" t="inlineStr">
        <is>
          <t>NORRTÄLJE</t>
        </is>
      </c>
      <c r="G168" t="n">
        <v>7.6</v>
      </c>
      <c r="H168" t="n">
        <v>0</v>
      </c>
      <c r="I168" t="n">
        <v>0</v>
      </c>
      <c r="J168" t="n">
        <v>0</v>
      </c>
      <c r="K168" t="n">
        <v>0</v>
      </c>
      <c r="L168" t="n">
        <v>0</v>
      </c>
      <c r="M168" t="n">
        <v>0</v>
      </c>
      <c r="N168" t="n">
        <v>0</v>
      </c>
      <c r="O168" t="n">
        <v>0</v>
      </c>
      <c r="P168" t="n">
        <v>0</v>
      </c>
      <c r="Q168" t="n">
        <v>0</v>
      </c>
      <c r="R168" s="2" t="inlineStr"/>
    </row>
    <row r="169" ht="15" customHeight="1">
      <c r="A169" t="inlineStr">
        <is>
          <t>A 18905-2022</t>
        </is>
      </c>
      <c r="B169" s="1" t="n">
        <v>44690</v>
      </c>
      <c r="C169" s="1" t="n">
        <v>45996</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10711-2022</t>
        </is>
      </c>
      <c r="B170" s="1" t="n">
        <v>44626</v>
      </c>
      <c r="C170" s="1" t="n">
        <v>45996</v>
      </c>
      <c r="D170" t="inlineStr">
        <is>
          <t>STOCKHOLMS LÄN</t>
        </is>
      </c>
      <c r="E170" t="inlineStr">
        <is>
          <t>NORRTÄLJE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45996</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45996</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45996</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45996</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66907-2020</t>
        </is>
      </c>
      <c r="B175" s="1" t="n">
        <v>44176</v>
      </c>
      <c r="C175" s="1" t="n">
        <v>45996</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28209-2022</t>
        </is>
      </c>
      <c r="B176" s="1" t="n">
        <v>44746</v>
      </c>
      <c r="C176" s="1" t="n">
        <v>45996</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2447-2021</t>
        </is>
      </c>
      <c r="B177" s="1" t="n">
        <v>44214</v>
      </c>
      <c r="C177" s="1" t="n">
        <v>45996</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18609-2021</t>
        </is>
      </c>
      <c r="B178" s="1" t="n">
        <v>44306</v>
      </c>
      <c r="C178" s="1" t="n">
        <v>45996</v>
      </c>
      <c r="D178" t="inlineStr">
        <is>
          <t>STOCKHOLMS LÄN</t>
        </is>
      </c>
      <c r="E178" t="inlineStr">
        <is>
          <t>NORRTÄLJE</t>
        </is>
      </c>
      <c r="G178" t="n">
        <v>9.5</v>
      </c>
      <c r="H178" t="n">
        <v>0</v>
      </c>
      <c r="I178" t="n">
        <v>0</v>
      </c>
      <c r="J178" t="n">
        <v>0</v>
      </c>
      <c r="K178" t="n">
        <v>0</v>
      </c>
      <c r="L178" t="n">
        <v>0</v>
      </c>
      <c r="M178" t="n">
        <v>0</v>
      </c>
      <c r="N178" t="n">
        <v>0</v>
      </c>
      <c r="O178" t="n">
        <v>0</v>
      </c>
      <c r="P178" t="n">
        <v>0</v>
      </c>
      <c r="Q178" t="n">
        <v>0</v>
      </c>
      <c r="R178" s="2" t="inlineStr"/>
    </row>
    <row r="179" ht="15" customHeight="1">
      <c r="A179" t="inlineStr">
        <is>
          <t>A 24534-2022</t>
        </is>
      </c>
      <c r="B179" s="1" t="n">
        <v>44727</v>
      </c>
      <c r="C179" s="1" t="n">
        <v>45996</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71876-2021</t>
        </is>
      </c>
      <c r="B180" s="1" t="n">
        <v>44543</v>
      </c>
      <c r="C180" s="1" t="n">
        <v>45996</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45996</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45996</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45996</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45996</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45996</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45996</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45996</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20073-2021</t>
        </is>
      </c>
      <c r="B188" s="1" t="n">
        <v>44314</v>
      </c>
      <c r="C188" s="1" t="n">
        <v>45996</v>
      </c>
      <c r="D188" t="inlineStr">
        <is>
          <t>STOCKHOLMS LÄN</t>
        </is>
      </c>
      <c r="E188" t="inlineStr">
        <is>
          <t>NORRTÄLJE</t>
        </is>
      </c>
      <c r="G188" t="n">
        <v>4.6</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45996</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45996</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45996</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45996</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45996</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45996</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45996</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45996</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45996</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45996</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45996</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45996</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44274-2021</t>
        </is>
      </c>
      <c r="B201" s="1" t="n">
        <v>44435</v>
      </c>
      <c r="C201" s="1" t="n">
        <v>45996</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50970-2022</t>
        </is>
      </c>
      <c r="B202" s="1" t="n">
        <v>44867</v>
      </c>
      <c r="C202" s="1" t="n">
        <v>45996</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45996</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45996</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45996</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45996</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348-2021</t>
        </is>
      </c>
      <c r="B207" s="1" t="n">
        <v>44201</v>
      </c>
      <c r="C207" s="1" t="n">
        <v>45996</v>
      </c>
      <c r="D207" t="inlineStr">
        <is>
          <t>STOCKHOLMS LÄN</t>
        </is>
      </c>
      <c r="E207" t="inlineStr">
        <is>
          <t>NORRTÄLJE</t>
        </is>
      </c>
      <c r="G207" t="n">
        <v>0.1</v>
      </c>
      <c r="H207" t="n">
        <v>0</v>
      </c>
      <c r="I207" t="n">
        <v>0</v>
      </c>
      <c r="J207" t="n">
        <v>0</v>
      </c>
      <c r="K207" t="n">
        <v>0</v>
      </c>
      <c r="L207" t="n">
        <v>0</v>
      </c>
      <c r="M207" t="n">
        <v>0</v>
      </c>
      <c r="N207" t="n">
        <v>0</v>
      </c>
      <c r="O207" t="n">
        <v>0</v>
      </c>
      <c r="P207" t="n">
        <v>0</v>
      </c>
      <c r="Q207" t="n">
        <v>0</v>
      </c>
      <c r="R207" s="2" t="inlineStr"/>
    </row>
    <row r="208" ht="15" customHeight="1">
      <c r="A208" t="inlineStr">
        <is>
          <t>A 367-2021</t>
        </is>
      </c>
      <c r="B208" s="1" t="n">
        <v>44201</v>
      </c>
      <c r="C208" s="1" t="n">
        <v>45996</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45996</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45996</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45996</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45996</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45996</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45996</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45996</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45996</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45996</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45996</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45996</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45996</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45996</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45996</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45996</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45996</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45996</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45996</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45996</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45996</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45996</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45996</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45996</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23453-2021</t>
        </is>
      </c>
      <c r="B232" s="1" t="n">
        <v>44333</v>
      </c>
      <c r="C232" s="1" t="n">
        <v>45996</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28042-2022</t>
        </is>
      </c>
      <c r="B233" s="1" t="n">
        <v>44744</v>
      </c>
      <c r="C233" s="1" t="n">
        <v>45996</v>
      </c>
      <c r="D233" t="inlineStr">
        <is>
          <t>STOCKHOLMS LÄN</t>
        </is>
      </c>
      <c r="E233" t="inlineStr">
        <is>
          <t>NORRTÄLJE</t>
        </is>
      </c>
      <c r="G233" t="n">
        <v>0.2</v>
      </c>
      <c r="H233" t="n">
        <v>0</v>
      </c>
      <c r="I233" t="n">
        <v>0</v>
      </c>
      <c r="J233" t="n">
        <v>0</v>
      </c>
      <c r="K233" t="n">
        <v>0</v>
      </c>
      <c r="L233" t="n">
        <v>0</v>
      </c>
      <c r="M233" t="n">
        <v>0</v>
      </c>
      <c r="N233" t="n">
        <v>0</v>
      </c>
      <c r="O233" t="n">
        <v>0</v>
      </c>
      <c r="P233" t="n">
        <v>0</v>
      </c>
      <c r="Q233" t="n">
        <v>0</v>
      </c>
      <c r="R233" s="2" t="inlineStr"/>
    </row>
    <row r="234" ht="15" customHeight="1">
      <c r="A234" t="inlineStr">
        <is>
          <t>A 27214-2021</t>
        </is>
      </c>
      <c r="B234" s="1" t="n">
        <v>44350</v>
      </c>
      <c r="C234" s="1" t="n">
        <v>45996</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55243-2023</t>
        </is>
      </c>
      <c r="B235" s="1" t="n">
        <v>45237</v>
      </c>
      <c r="C235" s="1" t="n">
        <v>45996</v>
      </c>
      <c r="D235" t="inlineStr">
        <is>
          <t>STOCKHOLMS LÄN</t>
        </is>
      </c>
      <c r="E235" t="inlineStr">
        <is>
          <t>NORRTÄLJE</t>
        </is>
      </c>
      <c r="G235" t="n">
        <v>6.5</v>
      </c>
      <c r="H235" t="n">
        <v>0</v>
      </c>
      <c r="I235" t="n">
        <v>0</v>
      </c>
      <c r="J235" t="n">
        <v>0</v>
      </c>
      <c r="K235" t="n">
        <v>0</v>
      </c>
      <c r="L235" t="n">
        <v>0</v>
      </c>
      <c r="M235" t="n">
        <v>0</v>
      </c>
      <c r="N235" t="n">
        <v>0</v>
      </c>
      <c r="O235" t="n">
        <v>0</v>
      </c>
      <c r="P235" t="n">
        <v>0</v>
      </c>
      <c r="Q235" t="n">
        <v>0</v>
      </c>
      <c r="R235" s="2" t="inlineStr"/>
    </row>
    <row r="236" ht="15" customHeight="1">
      <c r="A236" t="inlineStr">
        <is>
          <t>A 12355-2022</t>
        </is>
      </c>
      <c r="B236" s="1" t="n">
        <v>44637</v>
      </c>
      <c r="C236" s="1" t="n">
        <v>45996</v>
      </c>
      <c r="D236" t="inlineStr">
        <is>
          <t>STOCKHOLMS LÄN</t>
        </is>
      </c>
      <c r="E236" t="inlineStr">
        <is>
          <t>NORRTÄLJE</t>
        </is>
      </c>
      <c r="G236" t="n">
        <v>10.4</v>
      </c>
      <c r="H236" t="n">
        <v>0</v>
      </c>
      <c r="I236" t="n">
        <v>0</v>
      </c>
      <c r="J236" t="n">
        <v>0</v>
      </c>
      <c r="K236" t="n">
        <v>0</v>
      </c>
      <c r="L236" t="n">
        <v>0</v>
      </c>
      <c r="M236" t="n">
        <v>0</v>
      </c>
      <c r="N236" t="n">
        <v>0</v>
      </c>
      <c r="O236" t="n">
        <v>0</v>
      </c>
      <c r="P236" t="n">
        <v>0</v>
      </c>
      <c r="Q236" t="n">
        <v>0</v>
      </c>
      <c r="R236" s="2" t="inlineStr"/>
    </row>
    <row r="237" ht="15" customHeight="1">
      <c r="A237" t="inlineStr">
        <is>
          <t>A 41398-2022</t>
        </is>
      </c>
      <c r="B237" s="1" t="n">
        <v>44826</v>
      </c>
      <c r="C237" s="1" t="n">
        <v>45996</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22369-2021</t>
        </is>
      </c>
      <c r="B238" s="1" t="n">
        <v>44326</v>
      </c>
      <c r="C238" s="1" t="n">
        <v>45996</v>
      </c>
      <c r="D238" t="inlineStr">
        <is>
          <t>STOCKHOLMS LÄN</t>
        </is>
      </c>
      <c r="E238" t="inlineStr">
        <is>
          <t>NORRTÄLJE</t>
        </is>
      </c>
      <c r="F238" t="inlineStr">
        <is>
          <t>Holmen skog AB</t>
        </is>
      </c>
      <c r="G238" t="n">
        <v>3.4</v>
      </c>
      <c r="H238" t="n">
        <v>0</v>
      </c>
      <c r="I238" t="n">
        <v>0</v>
      </c>
      <c r="J238" t="n">
        <v>0</v>
      </c>
      <c r="K238" t="n">
        <v>0</v>
      </c>
      <c r="L238" t="n">
        <v>0</v>
      </c>
      <c r="M238" t="n">
        <v>0</v>
      </c>
      <c r="N238" t="n">
        <v>0</v>
      </c>
      <c r="O238" t="n">
        <v>0</v>
      </c>
      <c r="P238" t="n">
        <v>0</v>
      </c>
      <c r="Q238" t="n">
        <v>0</v>
      </c>
      <c r="R238" s="2" t="inlineStr"/>
    </row>
    <row r="239" ht="15" customHeight="1">
      <c r="A239" t="inlineStr">
        <is>
          <t>A 52260-2022</t>
        </is>
      </c>
      <c r="B239" s="1" t="n">
        <v>44869</v>
      </c>
      <c r="C239" s="1" t="n">
        <v>45996</v>
      </c>
      <c r="D239" t="inlineStr">
        <is>
          <t>STOCKHOLMS LÄN</t>
        </is>
      </c>
      <c r="E239" t="inlineStr">
        <is>
          <t>NORRTÄLJE</t>
        </is>
      </c>
      <c r="G239" t="n">
        <v>3.1</v>
      </c>
      <c r="H239" t="n">
        <v>0</v>
      </c>
      <c r="I239" t="n">
        <v>0</v>
      </c>
      <c r="J239" t="n">
        <v>0</v>
      </c>
      <c r="K239" t="n">
        <v>0</v>
      </c>
      <c r="L239" t="n">
        <v>0</v>
      </c>
      <c r="M239" t="n">
        <v>0</v>
      </c>
      <c r="N239" t="n">
        <v>0</v>
      </c>
      <c r="O239" t="n">
        <v>0</v>
      </c>
      <c r="P239" t="n">
        <v>0</v>
      </c>
      <c r="Q239" t="n">
        <v>0</v>
      </c>
      <c r="R239" s="2" t="inlineStr"/>
    </row>
    <row r="240" ht="15" customHeight="1">
      <c r="A240" t="inlineStr">
        <is>
          <t>A 7565-2022</t>
        </is>
      </c>
      <c r="B240" s="1" t="n">
        <v>44607</v>
      </c>
      <c r="C240" s="1" t="n">
        <v>45996</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25557-2023</t>
        </is>
      </c>
      <c r="B241" s="1" t="n">
        <v>45089</v>
      </c>
      <c r="C241" s="1" t="n">
        <v>45996</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27715-2022</t>
        </is>
      </c>
      <c r="B242" s="1" t="n">
        <v>44743.47407407407</v>
      </c>
      <c r="C242" s="1" t="n">
        <v>45996</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41822-2021</t>
        </is>
      </c>
      <c r="B243" s="1" t="n">
        <v>44425</v>
      </c>
      <c r="C243" s="1" t="n">
        <v>45996</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41823-2021</t>
        </is>
      </c>
      <c r="B244" s="1" t="n">
        <v>44425</v>
      </c>
      <c r="C244" s="1" t="n">
        <v>45996</v>
      </c>
      <c r="D244" t="inlineStr">
        <is>
          <t>STOCKHOLMS LÄN</t>
        </is>
      </c>
      <c r="E244" t="inlineStr">
        <is>
          <t>NORRTÄLJE</t>
        </is>
      </c>
      <c r="G244" t="n">
        <v>2.4</v>
      </c>
      <c r="H244" t="n">
        <v>0</v>
      </c>
      <c r="I244" t="n">
        <v>0</v>
      </c>
      <c r="J244" t="n">
        <v>0</v>
      </c>
      <c r="K244" t="n">
        <v>0</v>
      </c>
      <c r="L244" t="n">
        <v>0</v>
      </c>
      <c r="M244" t="n">
        <v>0</v>
      </c>
      <c r="N244" t="n">
        <v>0</v>
      </c>
      <c r="O244" t="n">
        <v>0</v>
      </c>
      <c r="P244" t="n">
        <v>0</v>
      </c>
      <c r="Q244" t="n">
        <v>0</v>
      </c>
      <c r="R244" s="2" t="inlineStr"/>
    </row>
    <row r="245" ht="15" customHeight="1">
      <c r="A245" t="inlineStr">
        <is>
          <t>A 52449-2021</t>
        </is>
      </c>
      <c r="B245" s="1" t="n">
        <v>44466.37496527778</v>
      </c>
      <c r="C245" s="1" t="n">
        <v>45996</v>
      </c>
      <c r="D245" t="inlineStr">
        <is>
          <t>STOCKHOLMS LÄN</t>
        </is>
      </c>
      <c r="E245" t="inlineStr">
        <is>
          <t>NORRTÄLJE</t>
        </is>
      </c>
      <c r="F245" t="inlineStr">
        <is>
          <t>Holmen skog AB</t>
        </is>
      </c>
      <c r="G245" t="n">
        <v>1.8</v>
      </c>
      <c r="H245" t="n">
        <v>0</v>
      </c>
      <c r="I245" t="n">
        <v>0</v>
      </c>
      <c r="J245" t="n">
        <v>0</v>
      </c>
      <c r="K245" t="n">
        <v>0</v>
      </c>
      <c r="L245" t="n">
        <v>0</v>
      </c>
      <c r="M245" t="n">
        <v>0</v>
      </c>
      <c r="N245" t="n">
        <v>0</v>
      </c>
      <c r="O245" t="n">
        <v>0</v>
      </c>
      <c r="P245" t="n">
        <v>0</v>
      </c>
      <c r="Q245" t="n">
        <v>0</v>
      </c>
      <c r="R245" s="2" t="inlineStr"/>
    </row>
    <row r="246" ht="15" customHeight="1">
      <c r="A246" t="inlineStr">
        <is>
          <t>A 33046-2021</t>
        </is>
      </c>
      <c r="B246" s="1" t="n">
        <v>44376</v>
      </c>
      <c r="C246" s="1" t="n">
        <v>45996</v>
      </c>
      <c r="D246" t="inlineStr">
        <is>
          <t>STOCKHOLMS LÄN</t>
        </is>
      </c>
      <c r="E246" t="inlineStr">
        <is>
          <t>NORRTÄLJE</t>
        </is>
      </c>
      <c r="G246" t="n">
        <v>2.1</v>
      </c>
      <c r="H246" t="n">
        <v>0</v>
      </c>
      <c r="I246" t="n">
        <v>0</v>
      </c>
      <c r="J246" t="n">
        <v>0</v>
      </c>
      <c r="K246" t="n">
        <v>0</v>
      </c>
      <c r="L246" t="n">
        <v>0</v>
      </c>
      <c r="M246" t="n">
        <v>0</v>
      </c>
      <c r="N246" t="n">
        <v>0</v>
      </c>
      <c r="O246" t="n">
        <v>0</v>
      </c>
      <c r="P246" t="n">
        <v>0</v>
      </c>
      <c r="Q246" t="n">
        <v>0</v>
      </c>
      <c r="R246" s="2" t="inlineStr"/>
    </row>
    <row r="247" ht="15" customHeight="1">
      <c r="A247" t="inlineStr">
        <is>
          <t>A 19398-2021</t>
        </is>
      </c>
      <c r="B247" s="1" t="n">
        <v>44309</v>
      </c>
      <c r="C247" s="1" t="n">
        <v>45996</v>
      </c>
      <c r="D247" t="inlineStr">
        <is>
          <t>STOCKHOLMS LÄN</t>
        </is>
      </c>
      <c r="E247" t="inlineStr">
        <is>
          <t>NORRTÄLJE</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55696-2022</t>
        </is>
      </c>
      <c r="B248" s="1" t="n">
        <v>44888</v>
      </c>
      <c r="C248" s="1" t="n">
        <v>45996</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45541-2022</t>
        </is>
      </c>
      <c r="B249" s="1" t="n">
        <v>44845.47672453704</v>
      </c>
      <c r="C249" s="1" t="n">
        <v>45996</v>
      </c>
      <c r="D249" t="inlineStr">
        <is>
          <t>STOCKHOLMS LÄN</t>
        </is>
      </c>
      <c r="E249" t="inlineStr">
        <is>
          <t>NORRTÄLJE</t>
        </is>
      </c>
      <c r="G249" t="n">
        <v>0.4</v>
      </c>
      <c r="H249" t="n">
        <v>0</v>
      </c>
      <c r="I249" t="n">
        <v>0</v>
      </c>
      <c r="J249" t="n">
        <v>0</v>
      </c>
      <c r="K249" t="n">
        <v>0</v>
      </c>
      <c r="L249" t="n">
        <v>0</v>
      </c>
      <c r="M249" t="n">
        <v>0</v>
      </c>
      <c r="N249" t="n">
        <v>0</v>
      </c>
      <c r="O249" t="n">
        <v>0</v>
      </c>
      <c r="P249" t="n">
        <v>0</v>
      </c>
      <c r="Q249" t="n">
        <v>0</v>
      </c>
      <c r="R249" s="2" t="inlineStr"/>
    </row>
    <row r="250" ht="15" customHeight="1">
      <c r="A250" t="inlineStr">
        <is>
          <t>A 22412-2021</t>
        </is>
      </c>
      <c r="B250" s="1" t="n">
        <v>44326.61967592593</v>
      </c>
      <c r="C250" s="1" t="n">
        <v>45996</v>
      </c>
      <c r="D250" t="inlineStr">
        <is>
          <t>STOCKHOLMS LÄN</t>
        </is>
      </c>
      <c r="E250" t="inlineStr">
        <is>
          <t>NORRTÄLJE</t>
        </is>
      </c>
      <c r="G250" t="n">
        <v>1.7</v>
      </c>
      <c r="H250" t="n">
        <v>0</v>
      </c>
      <c r="I250" t="n">
        <v>0</v>
      </c>
      <c r="J250" t="n">
        <v>0</v>
      </c>
      <c r="K250" t="n">
        <v>0</v>
      </c>
      <c r="L250" t="n">
        <v>0</v>
      </c>
      <c r="M250" t="n">
        <v>0</v>
      </c>
      <c r="N250" t="n">
        <v>0</v>
      </c>
      <c r="O250" t="n">
        <v>0</v>
      </c>
      <c r="P250" t="n">
        <v>0</v>
      </c>
      <c r="Q250" t="n">
        <v>0</v>
      </c>
      <c r="R250" s="2" t="inlineStr"/>
    </row>
    <row r="251" ht="15" customHeight="1">
      <c r="A251" t="inlineStr">
        <is>
          <t>A 12779-2021</t>
        </is>
      </c>
      <c r="B251" s="1" t="n">
        <v>44270</v>
      </c>
      <c r="C251" s="1" t="n">
        <v>45996</v>
      </c>
      <c r="D251" t="inlineStr">
        <is>
          <t>STOCKHOLMS LÄN</t>
        </is>
      </c>
      <c r="E251" t="inlineStr">
        <is>
          <t>NORRTÄLJE</t>
        </is>
      </c>
      <c r="G251" t="n">
        <v>10.8</v>
      </c>
      <c r="H251" t="n">
        <v>0</v>
      </c>
      <c r="I251" t="n">
        <v>0</v>
      </c>
      <c r="J251" t="n">
        <v>0</v>
      </c>
      <c r="K251" t="n">
        <v>0</v>
      </c>
      <c r="L251" t="n">
        <v>0</v>
      </c>
      <c r="M251" t="n">
        <v>0</v>
      </c>
      <c r="N251" t="n">
        <v>0</v>
      </c>
      <c r="O251" t="n">
        <v>0</v>
      </c>
      <c r="P251" t="n">
        <v>0</v>
      </c>
      <c r="Q251" t="n">
        <v>0</v>
      </c>
      <c r="R251" s="2" t="inlineStr"/>
    </row>
    <row r="252" ht="15" customHeight="1">
      <c r="A252" t="inlineStr">
        <is>
          <t>A 12782-2021</t>
        </is>
      </c>
      <c r="B252" s="1" t="n">
        <v>44270</v>
      </c>
      <c r="C252" s="1" t="n">
        <v>45996</v>
      </c>
      <c r="D252" t="inlineStr">
        <is>
          <t>STOCKHOLMS LÄN</t>
        </is>
      </c>
      <c r="E252" t="inlineStr">
        <is>
          <t>NORRTÄLJE</t>
        </is>
      </c>
      <c r="G252" t="n">
        <v>3.8</v>
      </c>
      <c r="H252" t="n">
        <v>0</v>
      </c>
      <c r="I252" t="n">
        <v>0</v>
      </c>
      <c r="J252" t="n">
        <v>0</v>
      </c>
      <c r="K252" t="n">
        <v>0</v>
      </c>
      <c r="L252" t="n">
        <v>0</v>
      </c>
      <c r="M252" t="n">
        <v>0</v>
      </c>
      <c r="N252" t="n">
        <v>0</v>
      </c>
      <c r="O252" t="n">
        <v>0</v>
      </c>
      <c r="P252" t="n">
        <v>0</v>
      </c>
      <c r="Q252" t="n">
        <v>0</v>
      </c>
      <c r="R252" s="2" t="inlineStr"/>
    </row>
    <row r="253" ht="15" customHeight="1">
      <c r="A253" t="inlineStr">
        <is>
          <t>A 20295-2022</t>
        </is>
      </c>
      <c r="B253" s="1" t="n">
        <v>44698</v>
      </c>
      <c r="C253" s="1" t="n">
        <v>45996</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37415-2021</t>
        </is>
      </c>
      <c r="B254" s="1" t="n">
        <v>44397</v>
      </c>
      <c r="C254" s="1" t="n">
        <v>45996</v>
      </c>
      <c r="D254" t="inlineStr">
        <is>
          <t>STOCKHOLMS LÄN</t>
        </is>
      </c>
      <c r="E254" t="inlineStr">
        <is>
          <t>NORRTÄLJE</t>
        </is>
      </c>
      <c r="F254" t="inlineStr">
        <is>
          <t>Övriga Aktiebolag</t>
        </is>
      </c>
      <c r="G254" t="n">
        <v>3</v>
      </c>
      <c r="H254" t="n">
        <v>0</v>
      </c>
      <c r="I254" t="n">
        <v>0</v>
      </c>
      <c r="J254" t="n">
        <v>0</v>
      </c>
      <c r="K254" t="n">
        <v>0</v>
      </c>
      <c r="L254" t="n">
        <v>0</v>
      </c>
      <c r="M254" t="n">
        <v>0</v>
      </c>
      <c r="N254" t="n">
        <v>0</v>
      </c>
      <c r="O254" t="n">
        <v>0</v>
      </c>
      <c r="P254" t="n">
        <v>0</v>
      </c>
      <c r="Q254" t="n">
        <v>0</v>
      </c>
      <c r="R254" s="2" t="inlineStr"/>
    </row>
    <row r="255" ht="15" customHeight="1">
      <c r="A255" t="inlineStr">
        <is>
          <t>A 13053-2022</t>
        </is>
      </c>
      <c r="B255" s="1" t="n">
        <v>44643</v>
      </c>
      <c r="C255" s="1" t="n">
        <v>45996</v>
      </c>
      <c r="D255" t="inlineStr">
        <is>
          <t>STOCKHOLMS LÄN</t>
        </is>
      </c>
      <c r="E255" t="inlineStr">
        <is>
          <t>NORRTÄLJE</t>
        </is>
      </c>
      <c r="G255" t="n">
        <v>2.8</v>
      </c>
      <c r="H255" t="n">
        <v>0</v>
      </c>
      <c r="I255" t="n">
        <v>0</v>
      </c>
      <c r="J255" t="n">
        <v>0</v>
      </c>
      <c r="K255" t="n">
        <v>0</v>
      </c>
      <c r="L255" t="n">
        <v>0</v>
      </c>
      <c r="M255" t="n">
        <v>0</v>
      </c>
      <c r="N255" t="n">
        <v>0</v>
      </c>
      <c r="O255" t="n">
        <v>0</v>
      </c>
      <c r="P255" t="n">
        <v>0</v>
      </c>
      <c r="Q255" t="n">
        <v>0</v>
      </c>
      <c r="R255" s="2" t="inlineStr"/>
    </row>
    <row r="256" ht="15" customHeight="1">
      <c r="A256" t="inlineStr">
        <is>
          <t>A 15915-2023</t>
        </is>
      </c>
      <c r="B256" s="1" t="n">
        <v>45022</v>
      </c>
      <c r="C256" s="1" t="n">
        <v>45996</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45996</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26328-2022</t>
        </is>
      </c>
      <c r="B258" s="1" t="n">
        <v>44735</v>
      </c>
      <c r="C258" s="1" t="n">
        <v>45996</v>
      </c>
      <c r="D258" t="inlineStr">
        <is>
          <t>STOCKHOLMS LÄN</t>
        </is>
      </c>
      <c r="E258" t="inlineStr">
        <is>
          <t>NORRTÄLJE</t>
        </is>
      </c>
      <c r="G258" t="n">
        <v>2.8</v>
      </c>
      <c r="H258" t="n">
        <v>0</v>
      </c>
      <c r="I258" t="n">
        <v>0</v>
      </c>
      <c r="J258" t="n">
        <v>0</v>
      </c>
      <c r="K258" t="n">
        <v>0</v>
      </c>
      <c r="L258" t="n">
        <v>0</v>
      </c>
      <c r="M258" t="n">
        <v>0</v>
      </c>
      <c r="N258" t="n">
        <v>0</v>
      </c>
      <c r="O258" t="n">
        <v>0</v>
      </c>
      <c r="P258" t="n">
        <v>0</v>
      </c>
      <c r="Q258" t="n">
        <v>0</v>
      </c>
      <c r="R258" s="2" t="inlineStr"/>
    </row>
    <row r="259" ht="15" customHeight="1">
      <c r="A259" t="inlineStr">
        <is>
          <t>A 66372-2020</t>
        </is>
      </c>
      <c r="B259" s="1" t="n">
        <v>44176</v>
      </c>
      <c r="C259" s="1" t="n">
        <v>45996</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30286-2022</t>
        </is>
      </c>
      <c r="B260" s="1" t="n">
        <v>44760</v>
      </c>
      <c r="C260" s="1" t="n">
        <v>45996</v>
      </c>
      <c r="D260" t="inlineStr">
        <is>
          <t>STOCKHOLMS LÄN</t>
        </is>
      </c>
      <c r="E260" t="inlineStr">
        <is>
          <t>NORRTÄLJE</t>
        </is>
      </c>
      <c r="G260" t="n">
        <v>0.3</v>
      </c>
      <c r="H260" t="n">
        <v>0</v>
      </c>
      <c r="I260" t="n">
        <v>0</v>
      </c>
      <c r="J260" t="n">
        <v>0</v>
      </c>
      <c r="K260" t="n">
        <v>0</v>
      </c>
      <c r="L260" t="n">
        <v>0</v>
      </c>
      <c r="M260" t="n">
        <v>0</v>
      </c>
      <c r="N260" t="n">
        <v>0</v>
      </c>
      <c r="O260" t="n">
        <v>0</v>
      </c>
      <c r="P260" t="n">
        <v>0</v>
      </c>
      <c r="Q260" t="n">
        <v>0</v>
      </c>
      <c r="R260" s="2" t="inlineStr"/>
    </row>
    <row r="261" ht="15" customHeight="1">
      <c r="A261" t="inlineStr">
        <is>
          <t>A 8160-2022</t>
        </is>
      </c>
      <c r="B261" s="1" t="n">
        <v>44609</v>
      </c>
      <c r="C261" s="1" t="n">
        <v>45996</v>
      </c>
      <c r="D261" t="inlineStr">
        <is>
          <t>STOCKHOLMS LÄN</t>
        </is>
      </c>
      <c r="E261" t="inlineStr">
        <is>
          <t>NORRTÄLJE</t>
        </is>
      </c>
      <c r="G261" t="n">
        <v>3.9</v>
      </c>
      <c r="H261" t="n">
        <v>0</v>
      </c>
      <c r="I261" t="n">
        <v>0</v>
      </c>
      <c r="J261" t="n">
        <v>0</v>
      </c>
      <c r="K261" t="n">
        <v>0</v>
      </c>
      <c r="L261" t="n">
        <v>0</v>
      </c>
      <c r="M261" t="n">
        <v>0</v>
      </c>
      <c r="N261" t="n">
        <v>0</v>
      </c>
      <c r="O261" t="n">
        <v>0</v>
      </c>
      <c r="P261" t="n">
        <v>0</v>
      </c>
      <c r="Q261" t="n">
        <v>0</v>
      </c>
      <c r="R261" s="2" t="inlineStr"/>
    </row>
    <row r="262" ht="15" customHeight="1">
      <c r="A262" t="inlineStr">
        <is>
          <t>A 39319-2022</t>
        </is>
      </c>
      <c r="B262" s="1" t="n">
        <v>44817.70516203704</v>
      </c>
      <c r="C262" s="1" t="n">
        <v>45996</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5562-2021</t>
        </is>
      </c>
      <c r="B263" s="1" t="n">
        <v>44230</v>
      </c>
      <c r="C263" s="1" t="n">
        <v>45996</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5566-2021</t>
        </is>
      </c>
      <c r="B264" s="1" t="n">
        <v>44230</v>
      </c>
      <c r="C264" s="1" t="n">
        <v>45996</v>
      </c>
      <c r="D264" t="inlineStr">
        <is>
          <t>STOCKHOLMS LÄN</t>
        </is>
      </c>
      <c r="E264" t="inlineStr">
        <is>
          <t>NORRTÄLJE</t>
        </is>
      </c>
      <c r="G264" t="n">
        <v>3.1</v>
      </c>
      <c r="H264" t="n">
        <v>0</v>
      </c>
      <c r="I264" t="n">
        <v>0</v>
      </c>
      <c r="J264" t="n">
        <v>0</v>
      </c>
      <c r="K264" t="n">
        <v>0</v>
      </c>
      <c r="L264" t="n">
        <v>0</v>
      </c>
      <c r="M264" t="n">
        <v>0</v>
      </c>
      <c r="N264" t="n">
        <v>0</v>
      </c>
      <c r="O264" t="n">
        <v>0</v>
      </c>
      <c r="P264" t="n">
        <v>0</v>
      </c>
      <c r="Q264" t="n">
        <v>0</v>
      </c>
      <c r="R264" s="2" t="inlineStr"/>
    </row>
    <row r="265" ht="15" customHeight="1">
      <c r="A265" t="inlineStr">
        <is>
          <t>A 56219-2021</t>
        </is>
      </c>
      <c r="B265" s="1" t="n">
        <v>44477</v>
      </c>
      <c r="C265" s="1" t="n">
        <v>45996</v>
      </c>
      <c r="D265" t="inlineStr">
        <is>
          <t>STOCKHOLMS LÄN</t>
        </is>
      </c>
      <c r="E265" t="inlineStr">
        <is>
          <t>NORRTÄLJE</t>
        </is>
      </c>
      <c r="F265" t="inlineStr">
        <is>
          <t>Kommuner</t>
        </is>
      </c>
      <c r="G265" t="n">
        <v>2.3</v>
      </c>
      <c r="H265" t="n">
        <v>0</v>
      </c>
      <c r="I265" t="n">
        <v>0</v>
      </c>
      <c r="J265" t="n">
        <v>0</v>
      </c>
      <c r="K265" t="n">
        <v>0</v>
      </c>
      <c r="L265" t="n">
        <v>0</v>
      </c>
      <c r="M265" t="n">
        <v>0</v>
      </c>
      <c r="N265" t="n">
        <v>0</v>
      </c>
      <c r="O265" t="n">
        <v>0</v>
      </c>
      <c r="P265" t="n">
        <v>0</v>
      </c>
      <c r="Q265" t="n">
        <v>0</v>
      </c>
      <c r="R265" s="2" t="inlineStr"/>
    </row>
    <row r="266" ht="15" customHeight="1">
      <c r="A266" t="inlineStr">
        <is>
          <t>A 29972-2024</t>
        </is>
      </c>
      <c r="B266" s="1" t="n">
        <v>45485</v>
      </c>
      <c r="C266" s="1" t="n">
        <v>45996</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row>
    <row r="267" ht="15" customHeight="1">
      <c r="A267" t="inlineStr">
        <is>
          <t>A 48716-2023</t>
        </is>
      </c>
      <c r="B267" s="1" t="n">
        <v>45208.69671296296</v>
      </c>
      <c r="C267" s="1" t="n">
        <v>45996</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5027-2025</t>
        </is>
      </c>
      <c r="B268" s="1" t="n">
        <v>45691.41101851852</v>
      </c>
      <c r="C268" s="1" t="n">
        <v>45996</v>
      </c>
      <c r="D268" t="inlineStr">
        <is>
          <t>STOCKHOLMS LÄN</t>
        </is>
      </c>
      <c r="E268" t="inlineStr">
        <is>
          <t>NORRTÄLJE</t>
        </is>
      </c>
      <c r="G268" t="n">
        <v>0.8</v>
      </c>
      <c r="H268" t="n">
        <v>0</v>
      </c>
      <c r="I268" t="n">
        <v>0</v>
      </c>
      <c r="J268" t="n">
        <v>0</v>
      </c>
      <c r="K268" t="n">
        <v>0</v>
      </c>
      <c r="L268" t="n">
        <v>0</v>
      </c>
      <c r="M268" t="n">
        <v>0</v>
      </c>
      <c r="N268" t="n">
        <v>0</v>
      </c>
      <c r="O268" t="n">
        <v>0</v>
      </c>
      <c r="P268" t="n">
        <v>0</v>
      </c>
      <c r="Q268" t="n">
        <v>0</v>
      </c>
      <c r="R268" s="2" t="inlineStr"/>
    </row>
    <row r="269" ht="15" customHeight="1">
      <c r="A269" t="inlineStr">
        <is>
          <t>A 52139-2022</t>
        </is>
      </c>
      <c r="B269" s="1" t="n">
        <v>44868</v>
      </c>
      <c r="C269" s="1" t="n">
        <v>45996</v>
      </c>
      <c r="D269" t="inlineStr">
        <is>
          <t>STOCKHOLMS LÄN</t>
        </is>
      </c>
      <c r="E269" t="inlineStr">
        <is>
          <t>NORRTÄLJE</t>
        </is>
      </c>
      <c r="G269" t="n">
        <v>3.2</v>
      </c>
      <c r="H269" t="n">
        <v>0</v>
      </c>
      <c r="I269" t="n">
        <v>0</v>
      </c>
      <c r="J269" t="n">
        <v>0</v>
      </c>
      <c r="K269" t="n">
        <v>0</v>
      </c>
      <c r="L269" t="n">
        <v>0</v>
      </c>
      <c r="M269" t="n">
        <v>0</v>
      </c>
      <c r="N269" t="n">
        <v>0</v>
      </c>
      <c r="O269" t="n">
        <v>0</v>
      </c>
      <c r="P269" t="n">
        <v>0</v>
      </c>
      <c r="Q269" t="n">
        <v>0</v>
      </c>
      <c r="R269" s="2" t="inlineStr"/>
      <c r="U269">
        <f>HYPERLINK("https://klasma.github.io/Logging_0188/knärot/A 52139-2022 karta knärot.png", "A 52139-2022")</f>
        <v/>
      </c>
      <c r="V269">
        <f>HYPERLINK("https://klasma.github.io/Logging_0188/klagomål/A 52139-2022 FSC-klagomål.docx", "A 52139-2022")</f>
        <v/>
      </c>
      <c r="W269">
        <f>HYPERLINK("https://klasma.github.io/Logging_0188/klagomålsmail/A 52139-2022 FSC-klagomål mail.docx", "A 52139-2022")</f>
        <v/>
      </c>
      <c r="X269">
        <f>HYPERLINK("https://klasma.github.io/Logging_0188/tillsyn/A 52139-2022 tillsynsbegäran.docx", "A 52139-2022")</f>
        <v/>
      </c>
      <c r="Y269">
        <f>HYPERLINK("https://klasma.github.io/Logging_0188/tillsynsmail/A 52139-2022 tillsynsbegäran mail.docx", "A 52139-2022")</f>
        <v/>
      </c>
    </row>
    <row r="270" ht="15" customHeight="1">
      <c r="A270" t="inlineStr">
        <is>
          <t>A 9446-2021</t>
        </is>
      </c>
      <c r="B270" s="1" t="n">
        <v>44251</v>
      </c>
      <c r="C270" s="1" t="n">
        <v>45996</v>
      </c>
      <c r="D270" t="inlineStr">
        <is>
          <t>STOCKHOLMS LÄN</t>
        </is>
      </c>
      <c r="E270" t="inlineStr">
        <is>
          <t>NORRTÄLJE</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64137-2021</t>
        </is>
      </c>
      <c r="B271" s="1" t="n">
        <v>44510.51422453704</v>
      </c>
      <c r="C271" s="1" t="n">
        <v>45996</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15226-2022</t>
        </is>
      </c>
      <c r="B272" s="1" t="n">
        <v>44658</v>
      </c>
      <c r="C272" s="1" t="n">
        <v>45996</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17673-2021</t>
        </is>
      </c>
      <c r="B273" s="1" t="n">
        <v>44300</v>
      </c>
      <c r="C273" s="1" t="n">
        <v>45996</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c r="T273">
        <f>HYPERLINK("https://klasma.github.io/Logging_0188/kartor/A 17673-2021 karta.png", "A 17673-2021")</f>
        <v/>
      </c>
      <c r="V273">
        <f>HYPERLINK("https://klasma.github.io/Logging_0188/klagomål/A 17673-2021 FSC-klagomål.docx", "A 17673-2021")</f>
        <v/>
      </c>
      <c r="W273">
        <f>HYPERLINK("https://klasma.github.io/Logging_0188/klagomålsmail/A 17673-2021 FSC-klagomål mail.docx", "A 17673-2021")</f>
        <v/>
      </c>
      <c r="X273">
        <f>HYPERLINK("https://klasma.github.io/Logging_0188/tillsyn/A 17673-2021 tillsynsbegäran.docx", "A 17673-2021")</f>
        <v/>
      </c>
      <c r="Y273">
        <f>HYPERLINK("https://klasma.github.io/Logging_0188/tillsynsmail/A 17673-2021 tillsynsbegäran mail.docx", "A 17673-2021")</f>
        <v/>
      </c>
      <c r="Z273">
        <f>HYPERLINK("https://klasma.github.io/Logging_0188/fåglar/A 17673-2021 prioriterade fågelarter.docx", "A 17673-2021")</f>
        <v/>
      </c>
    </row>
    <row r="274" ht="15" customHeight="1">
      <c r="A274" t="inlineStr">
        <is>
          <t>A 3300-2022</t>
        </is>
      </c>
      <c r="B274" s="1" t="n">
        <v>44584.91538194445</v>
      </c>
      <c r="C274" s="1" t="n">
        <v>45996</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45996</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45996</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45996</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10521-2022</t>
        </is>
      </c>
      <c r="B278" s="1" t="n">
        <v>44623</v>
      </c>
      <c r="C278" s="1" t="n">
        <v>45996</v>
      </c>
      <c r="D278" t="inlineStr">
        <is>
          <t>STOCKHOLMS LÄN</t>
        </is>
      </c>
      <c r="E278" t="inlineStr">
        <is>
          <t>NORRTÄLJE</t>
        </is>
      </c>
      <c r="G278" t="n">
        <v>2.9</v>
      </c>
      <c r="H278" t="n">
        <v>0</v>
      </c>
      <c r="I278" t="n">
        <v>0</v>
      </c>
      <c r="J278" t="n">
        <v>0</v>
      </c>
      <c r="K278" t="n">
        <v>0</v>
      </c>
      <c r="L278" t="n">
        <v>0</v>
      </c>
      <c r="M278" t="n">
        <v>0</v>
      </c>
      <c r="N278" t="n">
        <v>0</v>
      </c>
      <c r="O278" t="n">
        <v>0</v>
      </c>
      <c r="P278" t="n">
        <v>0</v>
      </c>
      <c r="Q278" t="n">
        <v>0</v>
      </c>
      <c r="R278" s="2" t="inlineStr"/>
    </row>
    <row r="279" ht="15" customHeight="1">
      <c r="A279" t="inlineStr">
        <is>
          <t>A 15441-2021</t>
        </is>
      </c>
      <c r="B279" s="1" t="n">
        <v>44284</v>
      </c>
      <c r="C279" s="1" t="n">
        <v>45996</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27217-2021</t>
        </is>
      </c>
      <c r="B280" s="1" t="n">
        <v>44350</v>
      </c>
      <c r="C280" s="1" t="n">
        <v>45996</v>
      </c>
      <c r="D280" t="inlineStr">
        <is>
          <t>STOCKHOLMS LÄN</t>
        </is>
      </c>
      <c r="E280" t="inlineStr">
        <is>
          <t>NORRTÄLJE</t>
        </is>
      </c>
      <c r="G280" t="n">
        <v>5.5</v>
      </c>
      <c r="H280" t="n">
        <v>0</v>
      </c>
      <c r="I280" t="n">
        <v>0</v>
      </c>
      <c r="J280" t="n">
        <v>0</v>
      </c>
      <c r="K280" t="n">
        <v>0</v>
      </c>
      <c r="L280" t="n">
        <v>0</v>
      </c>
      <c r="M280" t="n">
        <v>0</v>
      </c>
      <c r="N280" t="n">
        <v>0</v>
      </c>
      <c r="O280" t="n">
        <v>0</v>
      </c>
      <c r="P280" t="n">
        <v>0</v>
      </c>
      <c r="Q280" t="n">
        <v>0</v>
      </c>
      <c r="R280" s="2" t="inlineStr"/>
    </row>
    <row r="281" ht="15" customHeight="1">
      <c r="A281" t="inlineStr">
        <is>
          <t>A 16117-2022</t>
        </is>
      </c>
      <c r="B281" s="1" t="n">
        <v>44665.65474537037</v>
      </c>
      <c r="C281" s="1" t="n">
        <v>45996</v>
      </c>
      <c r="D281" t="inlineStr">
        <is>
          <t>STOCKHOLMS LÄN</t>
        </is>
      </c>
      <c r="E281" t="inlineStr">
        <is>
          <t>NORRTÄLJE</t>
        </is>
      </c>
      <c r="G281" t="n">
        <v>8.1</v>
      </c>
      <c r="H281" t="n">
        <v>0</v>
      </c>
      <c r="I281" t="n">
        <v>0</v>
      </c>
      <c r="J281" t="n">
        <v>0</v>
      </c>
      <c r="K281" t="n">
        <v>0</v>
      </c>
      <c r="L281" t="n">
        <v>0</v>
      </c>
      <c r="M281" t="n">
        <v>0</v>
      </c>
      <c r="N281" t="n">
        <v>0</v>
      </c>
      <c r="O281" t="n">
        <v>0</v>
      </c>
      <c r="P281" t="n">
        <v>0</v>
      </c>
      <c r="Q281" t="n">
        <v>0</v>
      </c>
      <c r="R281" s="2" t="inlineStr"/>
    </row>
    <row r="282" ht="15" customHeight="1">
      <c r="A282" t="inlineStr">
        <is>
          <t>A 16132-2022</t>
        </is>
      </c>
      <c r="B282" s="1" t="n">
        <v>44665.78351851852</v>
      </c>
      <c r="C282" s="1" t="n">
        <v>45996</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62030-2021</t>
        </is>
      </c>
      <c r="B283" s="1" t="n">
        <v>44502</v>
      </c>
      <c r="C283" s="1" t="n">
        <v>45996</v>
      </c>
      <c r="D283" t="inlineStr">
        <is>
          <t>STOCKHOLMS LÄN</t>
        </is>
      </c>
      <c r="E283" t="inlineStr">
        <is>
          <t>NORRTÄLJE</t>
        </is>
      </c>
      <c r="G283" t="n">
        <v>4.7</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45996</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12875-2022</t>
        </is>
      </c>
      <c r="B285" s="1" t="n">
        <v>44642.55565972222</v>
      </c>
      <c r="C285" s="1" t="n">
        <v>45996</v>
      </c>
      <c r="D285" t="inlineStr">
        <is>
          <t>STOCKHOLMS LÄN</t>
        </is>
      </c>
      <c r="E285" t="inlineStr">
        <is>
          <t>NORRTÄLJE</t>
        </is>
      </c>
      <c r="G285" t="n">
        <v>1.6</v>
      </c>
      <c r="H285" t="n">
        <v>0</v>
      </c>
      <c r="I285" t="n">
        <v>0</v>
      </c>
      <c r="J285" t="n">
        <v>0</v>
      </c>
      <c r="K285" t="n">
        <v>0</v>
      </c>
      <c r="L285" t="n">
        <v>0</v>
      </c>
      <c r="M285" t="n">
        <v>0</v>
      </c>
      <c r="N285" t="n">
        <v>0</v>
      </c>
      <c r="O285" t="n">
        <v>0</v>
      </c>
      <c r="P285" t="n">
        <v>0</v>
      </c>
      <c r="Q285" t="n">
        <v>0</v>
      </c>
      <c r="R285" s="2" t="inlineStr"/>
    </row>
    <row r="286" ht="15" customHeight="1">
      <c r="A286" t="inlineStr">
        <is>
          <t>A 25463-2021</t>
        </is>
      </c>
      <c r="B286" s="1" t="n">
        <v>44342</v>
      </c>
      <c r="C286" s="1" t="n">
        <v>45996</v>
      </c>
      <c r="D286" t="inlineStr">
        <is>
          <t>STOCKHOLMS LÄN</t>
        </is>
      </c>
      <c r="E286" t="inlineStr">
        <is>
          <t>NORRTÄLJE</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11122-2021</t>
        </is>
      </c>
      <c r="B287" s="1" t="n">
        <v>44260</v>
      </c>
      <c r="C287" s="1" t="n">
        <v>45996</v>
      </c>
      <c r="D287" t="inlineStr">
        <is>
          <t>STOCKHOLMS LÄN</t>
        </is>
      </c>
      <c r="E287" t="inlineStr">
        <is>
          <t>NORRTÄLJE</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67598-2021</t>
        </is>
      </c>
      <c r="B288" s="1" t="n">
        <v>44524</v>
      </c>
      <c r="C288" s="1" t="n">
        <v>45996</v>
      </c>
      <c r="D288" t="inlineStr">
        <is>
          <t>STOCKHOLMS LÄN</t>
        </is>
      </c>
      <c r="E288" t="inlineStr">
        <is>
          <t>NORRTÄLJE</t>
        </is>
      </c>
      <c r="G288" t="n">
        <v>1.2</v>
      </c>
      <c r="H288" t="n">
        <v>0</v>
      </c>
      <c r="I288" t="n">
        <v>0</v>
      </c>
      <c r="J288" t="n">
        <v>0</v>
      </c>
      <c r="K288" t="n">
        <v>0</v>
      </c>
      <c r="L288" t="n">
        <v>0</v>
      </c>
      <c r="M288" t="n">
        <v>0</v>
      </c>
      <c r="N288" t="n">
        <v>0</v>
      </c>
      <c r="O288" t="n">
        <v>0</v>
      </c>
      <c r="P288" t="n">
        <v>0</v>
      </c>
      <c r="Q288" t="n">
        <v>0</v>
      </c>
      <c r="R288" s="2" t="inlineStr"/>
    </row>
    <row r="289" ht="15" customHeight="1">
      <c r="A289" t="inlineStr">
        <is>
          <t>A 21102-2022</t>
        </is>
      </c>
      <c r="B289" s="1" t="n">
        <v>44704</v>
      </c>
      <c r="C289" s="1" t="n">
        <v>45996</v>
      </c>
      <c r="D289" t="inlineStr">
        <is>
          <t>STOCKHOLMS LÄN</t>
        </is>
      </c>
      <c r="E289" t="inlineStr">
        <is>
          <t>NORRTÄLJE</t>
        </is>
      </c>
      <c r="G289" t="n">
        <v>0.2</v>
      </c>
      <c r="H289" t="n">
        <v>0</v>
      </c>
      <c r="I289" t="n">
        <v>0</v>
      </c>
      <c r="J289" t="n">
        <v>0</v>
      </c>
      <c r="K289" t="n">
        <v>0</v>
      </c>
      <c r="L289" t="n">
        <v>0</v>
      </c>
      <c r="M289" t="n">
        <v>0</v>
      </c>
      <c r="N289" t="n">
        <v>0</v>
      </c>
      <c r="O289" t="n">
        <v>0</v>
      </c>
      <c r="P289" t="n">
        <v>0</v>
      </c>
      <c r="Q289" t="n">
        <v>0</v>
      </c>
      <c r="R289" s="2" t="inlineStr"/>
    </row>
    <row r="290" ht="15" customHeight="1">
      <c r="A290" t="inlineStr">
        <is>
          <t>A 71880-2021</t>
        </is>
      </c>
      <c r="B290" s="1" t="n">
        <v>44543</v>
      </c>
      <c r="C290" s="1" t="n">
        <v>45996</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17772-2022</t>
        </is>
      </c>
      <c r="B291" s="1" t="n">
        <v>44682.76528935185</v>
      </c>
      <c r="C291" s="1" t="n">
        <v>45996</v>
      </c>
      <c r="D291" t="inlineStr">
        <is>
          <t>STOCKHOLMS LÄN</t>
        </is>
      </c>
      <c r="E291" t="inlineStr">
        <is>
          <t>NORRTÄLJE</t>
        </is>
      </c>
      <c r="G291" t="n">
        <v>4</v>
      </c>
      <c r="H291" t="n">
        <v>0</v>
      </c>
      <c r="I291" t="n">
        <v>0</v>
      </c>
      <c r="J291" t="n">
        <v>0</v>
      </c>
      <c r="K291" t="n">
        <v>0</v>
      </c>
      <c r="L291" t="n">
        <v>0</v>
      </c>
      <c r="M291" t="n">
        <v>0</v>
      </c>
      <c r="N291" t="n">
        <v>0</v>
      </c>
      <c r="O291" t="n">
        <v>0</v>
      </c>
      <c r="P291" t="n">
        <v>0</v>
      </c>
      <c r="Q291" t="n">
        <v>0</v>
      </c>
      <c r="R291" s="2" t="inlineStr"/>
    </row>
    <row r="292" ht="15" customHeight="1">
      <c r="A292" t="inlineStr">
        <is>
          <t>A 34520-2021</t>
        </is>
      </c>
      <c r="B292" s="1" t="n">
        <v>44379</v>
      </c>
      <c r="C292" s="1" t="n">
        <v>45996</v>
      </c>
      <c r="D292" t="inlineStr">
        <is>
          <t>STOCKHOLMS LÄN</t>
        </is>
      </c>
      <c r="E292" t="inlineStr">
        <is>
          <t>NORRTÄLJE</t>
        </is>
      </c>
      <c r="G292" t="n">
        <v>1.7</v>
      </c>
      <c r="H292" t="n">
        <v>0</v>
      </c>
      <c r="I292" t="n">
        <v>0</v>
      </c>
      <c r="J292" t="n">
        <v>0</v>
      </c>
      <c r="K292" t="n">
        <v>0</v>
      </c>
      <c r="L292" t="n">
        <v>0</v>
      </c>
      <c r="M292" t="n">
        <v>0</v>
      </c>
      <c r="N292" t="n">
        <v>0</v>
      </c>
      <c r="O292" t="n">
        <v>0</v>
      </c>
      <c r="P292" t="n">
        <v>0</v>
      </c>
      <c r="Q292" t="n">
        <v>0</v>
      </c>
      <c r="R292" s="2" t="inlineStr"/>
    </row>
    <row r="293" ht="15" customHeight="1">
      <c r="A293" t="inlineStr">
        <is>
          <t>A 67285-2021</t>
        </is>
      </c>
      <c r="B293" s="1" t="n">
        <v>44523.61635416667</v>
      </c>
      <c r="C293" s="1" t="n">
        <v>45996</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45996</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45996</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24101-2022</t>
        </is>
      </c>
      <c r="B296" s="1" t="n">
        <v>44725</v>
      </c>
      <c r="C296" s="1" t="n">
        <v>45996</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72704-2021</t>
        </is>
      </c>
      <c r="B297" s="1" t="n">
        <v>44546</v>
      </c>
      <c r="C297" s="1" t="n">
        <v>45996</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52743-2024</t>
        </is>
      </c>
      <c r="B298" s="1" t="n">
        <v>45610.47414351852</v>
      </c>
      <c r="C298" s="1" t="n">
        <v>45996</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16852-2024</t>
        </is>
      </c>
      <c r="B299" s="1" t="n">
        <v>45411.54768518519</v>
      </c>
      <c r="C299" s="1" t="n">
        <v>45996</v>
      </c>
      <c r="D299" t="inlineStr">
        <is>
          <t>STOCKHOLMS LÄN</t>
        </is>
      </c>
      <c r="E299" t="inlineStr">
        <is>
          <t>NORRTÄLJE</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38721-2022</t>
        </is>
      </c>
      <c r="B300" s="1" t="n">
        <v>44815</v>
      </c>
      <c r="C300" s="1" t="n">
        <v>45996</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60184-2021</t>
        </is>
      </c>
      <c r="B301" s="1" t="n">
        <v>44495</v>
      </c>
      <c r="C301" s="1" t="n">
        <v>45996</v>
      </c>
      <c r="D301" t="inlineStr">
        <is>
          <t>STOCKHOLMS LÄN</t>
        </is>
      </c>
      <c r="E301" t="inlineStr">
        <is>
          <t>NORRTÄLJE</t>
        </is>
      </c>
      <c r="G301" t="n">
        <v>1.8</v>
      </c>
      <c r="H301" t="n">
        <v>0</v>
      </c>
      <c r="I301" t="n">
        <v>0</v>
      </c>
      <c r="J301" t="n">
        <v>0</v>
      </c>
      <c r="K301" t="n">
        <v>0</v>
      </c>
      <c r="L301" t="n">
        <v>0</v>
      </c>
      <c r="M301" t="n">
        <v>0</v>
      </c>
      <c r="N301" t="n">
        <v>0</v>
      </c>
      <c r="O301" t="n">
        <v>0</v>
      </c>
      <c r="P301" t="n">
        <v>0</v>
      </c>
      <c r="Q301" t="n">
        <v>0</v>
      </c>
      <c r="R301" s="2" t="inlineStr"/>
    </row>
    <row r="302" ht="15" customHeight="1">
      <c r="A302" t="inlineStr">
        <is>
          <t>A 12268-2022</t>
        </is>
      </c>
      <c r="B302" s="1" t="n">
        <v>44637</v>
      </c>
      <c r="C302" s="1" t="n">
        <v>45996</v>
      </c>
      <c r="D302" t="inlineStr">
        <is>
          <t>STOCKHOLMS LÄN</t>
        </is>
      </c>
      <c r="E302" t="inlineStr">
        <is>
          <t>NORRTÄLJE</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20015-2023</t>
        </is>
      </c>
      <c r="B303" s="1" t="n">
        <v>45054</v>
      </c>
      <c r="C303" s="1" t="n">
        <v>45996</v>
      </c>
      <c r="D303" t="inlineStr">
        <is>
          <t>STOCKHOLMS LÄN</t>
        </is>
      </c>
      <c r="E303" t="inlineStr">
        <is>
          <t>NORRTÄLJE</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3273-2025</t>
        </is>
      </c>
      <c r="B304" s="1" t="n">
        <v>45679</v>
      </c>
      <c r="C304" s="1" t="n">
        <v>45996</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24245-2024</t>
        </is>
      </c>
      <c r="B305" s="1" t="n">
        <v>45457</v>
      </c>
      <c r="C305" s="1" t="n">
        <v>45996</v>
      </c>
      <c r="D305" t="inlineStr">
        <is>
          <t>STOCKHOLMS LÄN</t>
        </is>
      </c>
      <c r="E305" t="inlineStr">
        <is>
          <t>NORRTÄLJE</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27828-2022</t>
        </is>
      </c>
      <c r="B306" s="1" t="n">
        <v>44743.59765046297</v>
      </c>
      <c r="C306" s="1" t="n">
        <v>45996</v>
      </c>
      <c r="D306" t="inlineStr">
        <is>
          <t>STOCKHOLMS LÄN</t>
        </is>
      </c>
      <c r="E306" t="inlineStr">
        <is>
          <t>NORRTÄLJE</t>
        </is>
      </c>
      <c r="F306" t="inlineStr">
        <is>
          <t>Kommuner</t>
        </is>
      </c>
      <c r="G306" t="n">
        <v>1.6</v>
      </c>
      <c r="H306" t="n">
        <v>0</v>
      </c>
      <c r="I306" t="n">
        <v>0</v>
      </c>
      <c r="J306" t="n">
        <v>0</v>
      </c>
      <c r="K306" t="n">
        <v>0</v>
      </c>
      <c r="L306" t="n">
        <v>0</v>
      </c>
      <c r="M306" t="n">
        <v>0</v>
      </c>
      <c r="N306" t="n">
        <v>0</v>
      </c>
      <c r="O306" t="n">
        <v>0</v>
      </c>
      <c r="P306" t="n">
        <v>0</v>
      </c>
      <c r="Q306" t="n">
        <v>0</v>
      </c>
      <c r="R306" s="2" t="inlineStr"/>
    </row>
    <row r="307" ht="15" customHeight="1">
      <c r="A307" t="inlineStr">
        <is>
          <t>A 16229-2022</t>
        </is>
      </c>
      <c r="B307" s="1" t="n">
        <v>44670.4190162037</v>
      </c>
      <c r="C307" s="1" t="n">
        <v>45996</v>
      </c>
      <c r="D307" t="inlineStr">
        <is>
          <t>STOCKHOLMS LÄN</t>
        </is>
      </c>
      <c r="E307" t="inlineStr">
        <is>
          <t>NORRTÄLJE</t>
        </is>
      </c>
      <c r="G307" t="n">
        <v>7.4</v>
      </c>
      <c r="H307" t="n">
        <v>0</v>
      </c>
      <c r="I307" t="n">
        <v>0</v>
      </c>
      <c r="J307" t="n">
        <v>0</v>
      </c>
      <c r="K307" t="n">
        <v>0</v>
      </c>
      <c r="L307" t="n">
        <v>0</v>
      </c>
      <c r="M307" t="n">
        <v>0</v>
      </c>
      <c r="N307" t="n">
        <v>0</v>
      </c>
      <c r="O307" t="n">
        <v>0</v>
      </c>
      <c r="P307" t="n">
        <v>0</v>
      </c>
      <c r="Q307" t="n">
        <v>0</v>
      </c>
      <c r="R307" s="2" t="inlineStr"/>
    </row>
    <row r="308" ht="15" customHeight="1">
      <c r="A308" t="inlineStr">
        <is>
          <t>A 21291-2021</t>
        </is>
      </c>
      <c r="B308" s="1" t="n">
        <v>44319</v>
      </c>
      <c r="C308" s="1" t="n">
        <v>45996</v>
      </c>
      <c r="D308" t="inlineStr">
        <is>
          <t>STOCKHOLMS LÄN</t>
        </is>
      </c>
      <c r="E308" t="inlineStr">
        <is>
          <t>NORRTÄLJE</t>
        </is>
      </c>
      <c r="G308" t="n">
        <v>12.7</v>
      </c>
      <c r="H308" t="n">
        <v>0</v>
      </c>
      <c r="I308" t="n">
        <v>0</v>
      </c>
      <c r="J308" t="n">
        <v>0</v>
      </c>
      <c r="K308" t="n">
        <v>0</v>
      </c>
      <c r="L308" t="n">
        <v>0</v>
      </c>
      <c r="M308" t="n">
        <v>0</v>
      </c>
      <c r="N308" t="n">
        <v>0</v>
      </c>
      <c r="O308" t="n">
        <v>0</v>
      </c>
      <c r="P308" t="n">
        <v>0</v>
      </c>
      <c r="Q308" t="n">
        <v>0</v>
      </c>
      <c r="R308" s="2" t="inlineStr"/>
    </row>
    <row r="309" ht="15" customHeight="1">
      <c r="A309" t="inlineStr">
        <is>
          <t>A 33226-2024</t>
        </is>
      </c>
      <c r="B309" s="1" t="n">
        <v>45518</v>
      </c>
      <c r="C309" s="1" t="n">
        <v>45996</v>
      </c>
      <c r="D309" t="inlineStr">
        <is>
          <t>STOCKHOLMS LÄN</t>
        </is>
      </c>
      <c r="E309" t="inlineStr">
        <is>
          <t>NORRTÄLJE</t>
        </is>
      </c>
      <c r="G309" t="n">
        <v>13.8</v>
      </c>
      <c r="H309" t="n">
        <v>0</v>
      </c>
      <c r="I309" t="n">
        <v>0</v>
      </c>
      <c r="J309" t="n">
        <v>0</v>
      </c>
      <c r="K309" t="n">
        <v>0</v>
      </c>
      <c r="L309" t="n">
        <v>0</v>
      </c>
      <c r="M309" t="n">
        <v>0</v>
      </c>
      <c r="N309" t="n">
        <v>0</v>
      </c>
      <c r="O309" t="n">
        <v>0</v>
      </c>
      <c r="P309" t="n">
        <v>0</v>
      </c>
      <c r="Q309" t="n">
        <v>0</v>
      </c>
      <c r="R309" s="2" t="inlineStr"/>
    </row>
    <row r="310" ht="15" customHeight="1">
      <c r="A310" t="inlineStr">
        <is>
          <t>A 15256-2023</t>
        </is>
      </c>
      <c r="B310" s="1" t="n">
        <v>45019.3959837963</v>
      </c>
      <c r="C310" s="1" t="n">
        <v>45996</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22008-2024</t>
        </is>
      </c>
      <c r="B311" s="1" t="n">
        <v>45443</v>
      </c>
      <c r="C311" s="1" t="n">
        <v>45996</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45996</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62998-2023</t>
        </is>
      </c>
      <c r="B313" s="1" t="n">
        <v>45272.64479166667</v>
      </c>
      <c r="C313" s="1" t="n">
        <v>45996</v>
      </c>
      <c r="D313" t="inlineStr">
        <is>
          <t>STOCKHOLMS LÄN</t>
        </is>
      </c>
      <c r="E313" t="inlineStr">
        <is>
          <t>NORRTÄLJE</t>
        </is>
      </c>
      <c r="G313" t="n">
        <v>16.3</v>
      </c>
      <c r="H313" t="n">
        <v>0</v>
      </c>
      <c r="I313" t="n">
        <v>0</v>
      </c>
      <c r="J313" t="n">
        <v>0</v>
      </c>
      <c r="K313" t="n">
        <v>0</v>
      </c>
      <c r="L313" t="n">
        <v>0</v>
      </c>
      <c r="M313" t="n">
        <v>0</v>
      </c>
      <c r="N313" t="n">
        <v>0</v>
      </c>
      <c r="O313" t="n">
        <v>0</v>
      </c>
      <c r="P313" t="n">
        <v>0</v>
      </c>
      <c r="Q313" t="n">
        <v>0</v>
      </c>
      <c r="R313" s="2" t="inlineStr"/>
    </row>
    <row r="314" ht="15" customHeight="1">
      <c r="A314" t="inlineStr">
        <is>
          <t>A 63015-2023</t>
        </is>
      </c>
      <c r="B314" s="1" t="n">
        <v>45272</v>
      </c>
      <c r="C314" s="1" t="n">
        <v>45996</v>
      </c>
      <c r="D314" t="inlineStr">
        <is>
          <t>STOCKHOLMS LÄN</t>
        </is>
      </c>
      <c r="E314" t="inlineStr">
        <is>
          <t>NORRTÄLJE</t>
        </is>
      </c>
      <c r="G314" t="n">
        <v>13.1</v>
      </c>
      <c r="H314" t="n">
        <v>0</v>
      </c>
      <c r="I314" t="n">
        <v>0</v>
      </c>
      <c r="J314" t="n">
        <v>0</v>
      </c>
      <c r="K314" t="n">
        <v>0</v>
      </c>
      <c r="L314" t="n">
        <v>0</v>
      </c>
      <c r="M314" t="n">
        <v>0</v>
      </c>
      <c r="N314" t="n">
        <v>0</v>
      </c>
      <c r="O314" t="n">
        <v>0</v>
      </c>
      <c r="P314" t="n">
        <v>0</v>
      </c>
      <c r="Q314" t="n">
        <v>0</v>
      </c>
      <c r="R314" s="2" t="inlineStr"/>
    </row>
    <row r="315" ht="15" customHeight="1">
      <c r="A315" t="inlineStr">
        <is>
          <t>A 27831-2024</t>
        </is>
      </c>
      <c r="B315" s="1" t="n">
        <v>45475.61896990741</v>
      </c>
      <c r="C315" s="1" t="n">
        <v>45996</v>
      </c>
      <c r="D315" t="inlineStr">
        <is>
          <t>STOCKHOLMS LÄN</t>
        </is>
      </c>
      <c r="E315" t="inlineStr">
        <is>
          <t>NORRTÄLJE</t>
        </is>
      </c>
      <c r="G315" t="n">
        <v>3.8</v>
      </c>
      <c r="H315" t="n">
        <v>0</v>
      </c>
      <c r="I315" t="n">
        <v>0</v>
      </c>
      <c r="J315" t="n">
        <v>0</v>
      </c>
      <c r="K315" t="n">
        <v>0</v>
      </c>
      <c r="L315" t="n">
        <v>0</v>
      </c>
      <c r="M315" t="n">
        <v>0</v>
      </c>
      <c r="N315" t="n">
        <v>0</v>
      </c>
      <c r="O315" t="n">
        <v>0</v>
      </c>
      <c r="P315" t="n">
        <v>0</v>
      </c>
      <c r="Q315" t="n">
        <v>0</v>
      </c>
      <c r="R315" s="2" t="inlineStr"/>
    </row>
    <row r="316" ht="15" customHeight="1">
      <c r="A316" t="inlineStr">
        <is>
          <t>A 1968-2022</t>
        </is>
      </c>
      <c r="B316" s="1" t="n">
        <v>44575.52831018518</v>
      </c>
      <c r="C316" s="1" t="n">
        <v>45996</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13172-2025</t>
        </is>
      </c>
      <c r="B317" s="1" t="n">
        <v>45735.36873842592</v>
      </c>
      <c r="C317" s="1" t="n">
        <v>45996</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33175-2024</t>
        </is>
      </c>
      <c r="B318" s="1" t="n">
        <v>45518</v>
      </c>
      <c r="C318" s="1" t="n">
        <v>45996</v>
      </c>
      <c r="D318" t="inlineStr">
        <is>
          <t>STOCKHOLMS LÄN</t>
        </is>
      </c>
      <c r="E318" t="inlineStr">
        <is>
          <t>NORRTÄLJE</t>
        </is>
      </c>
      <c r="G318" t="n">
        <v>2.1</v>
      </c>
      <c r="H318" t="n">
        <v>0</v>
      </c>
      <c r="I318" t="n">
        <v>0</v>
      </c>
      <c r="J318" t="n">
        <v>0</v>
      </c>
      <c r="K318" t="n">
        <v>0</v>
      </c>
      <c r="L318" t="n">
        <v>0</v>
      </c>
      <c r="M318" t="n">
        <v>0</v>
      </c>
      <c r="N318" t="n">
        <v>0</v>
      </c>
      <c r="O318" t="n">
        <v>0</v>
      </c>
      <c r="P318" t="n">
        <v>0</v>
      </c>
      <c r="Q318" t="n">
        <v>0</v>
      </c>
      <c r="R318" s="2" t="inlineStr"/>
    </row>
    <row r="319" ht="15" customHeight="1">
      <c r="A319" t="inlineStr">
        <is>
          <t>A 55755-2023</t>
        </is>
      </c>
      <c r="B319" s="1" t="n">
        <v>45239</v>
      </c>
      <c r="C319" s="1" t="n">
        <v>45996</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21803-2022</t>
        </is>
      </c>
      <c r="B320" s="1" t="n">
        <v>44708.67822916667</v>
      </c>
      <c r="C320" s="1" t="n">
        <v>45996</v>
      </c>
      <c r="D320" t="inlineStr">
        <is>
          <t>STOCKHOLMS LÄN</t>
        </is>
      </c>
      <c r="E320" t="inlineStr">
        <is>
          <t>NORRTÄLJE</t>
        </is>
      </c>
      <c r="G320" t="n">
        <v>1.8</v>
      </c>
      <c r="H320" t="n">
        <v>0</v>
      </c>
      <c r="I320" t="n">
        <v>0</v>
      </c>
      <c r="J320" t="n">
        <v>0</v>
      </c>
      <c r="K320" t="n">
        <v>0</v>
      </c>
      <c r="L320" t="n">
        <v>0</v>
      </c>
      <c r="M320" t="n">
        <v>0</v>
      </c>
      <c r="N320" t="n">
        <v>0</v>
      </c>
      <c r="O320" t="n">
        <v>0</v>
      </c>
      <c r="P320" t="n">
        <v>0</v>
      </c>
      <c r="Q320" t="n">
        <v>0</v>
      </c>
      <c r="R320" s="2" t="inlineStr"/>
    </row>
    <row r="321" ht="15" customHeight="1">
      <c r="A321" t="inlineStr">
        <is>
          <t>A 20730-2024</t>
        </is>
      </c>
      <c r="B321" s="1" t="n">
        <v>45436</v>
      </c>
      <c r="C321" s="1" t="n">
        <v>45996</v>
      </c>
      <c r="D321" t="inlineStr">
        <is>
          <t>STOCKHOLMS LÄN</t>
        </is>
      </c>
      <c r="E321" t="inlineStr">
        <is>
          <t>NORRTÄLJE</t>
        </is>
      </c>
      <c r="G321" t="n">
        <v>7.3</v>
      </c>
      <c r="H321" t="n">
        <v>0</v>
      </c>
      <c r="I321" t="n">
        <v>0</v>
      </c>
      <c r="J321" t="n">
        <v>0</v>
      </c>
      <c r="K321" t="n">
        <v>0</v>
      </c>
      <c r="L321" t="n">
        <v>0</v>
      </c>
      <c r="M321" t="n">
        <v>0</v>
      </c>
      <c r="N321" t="n">
        <v>0</v>
      </c>
      <c r="O321" t="n">
        <v>0</v>
      </c>
      <c r="P321" t="n">
        <v>0</v>
      </c>
      <c r="Q321" t="n">
        <v>0</v>
      </c>
      <c r="R321" s="2" t="inlineStr"/>
    </row>
    <row r="322" ht="15" customHeight="1">
      <c r="A322" t="inlineStr">
        <is>
          <t>A 64145-2021</t>
        </is>
      </c>
      <c r="B322" s="1" t="n">
        <v>44510</v>
      </c>
      <c r="C322" s="1" t="n">
        <v>45996</v>
      </c>
      <c r="D322" t="inlineStr">
        <is>
          <t>STOCKHOLMS LÄN</t>
        </is>
      </c>
      <c r="E322" t="inlineStr">
        <is>
          <t>NORRTÄLJE</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1740-2023</t>
        </is>
      </c>
      <c r="B323" s="1" t="n">
        <v>44938</v>
      </c>
      <c r="C323" s="1" t="n">
        <v>45996</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4596-2023</t>
        </is>
      </c>
      <c r="B324" s="1" t="n">
        <v>44956</v>
      </c>
      <c r="C324" s="1" t="n">
        <v>45996</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12901-2024</t>
        </is>
      </c>
      <c r="B325" s="1" t="n">
        <v>45385.37922453704</v>
      </c>
      <c r="C325" s="1" t="n">
        <v>45996</v>
      </c>
      <c r="D325" t="inlineStr">
        <is>
          <t>STOCKHOLMS LÄN</t>
        </is>
      </c>
      <c r="E325" t="inlineStr">
        <is>
          <t>NORRTÄLJE</t>
        </is>
      </c>
      <c r="G325" t="n">
        <v>2.7</v>
      </c>
      <c r="H325" t="n">
        <v>0</v>
      </c>
      <c r="I325" t="n">
        <v>0</v>
      </c>
      <c r="J325" t="n">
        <v>0</v>
      </c>
      <c r="K325" t="n">
        <v>0</v>
      </c>
      <c r="L325" t="n">
        <v>0</v>
      </c>
      <c r="M325" t="n">
        <v>0</v>
      </c>
      <c r="N325" t="n">
        <v>0</v>
      </c>
      <c r="O325" t="n">
        <v>0</v>
      </c>
      <c r="P325" t="n">
        <v>0</v>
      </c>
      <c r="Q325" t="n">
        <v>0</v>
      </c>
      <c r="R325" s="2" t="inlineStr"/>
    </row>
    <row r="326" ht="15" customHeight="1">
      <c r="A326" t="inlineStr">
        <is>
          <t>A 8950-2025</t>
        </is>
      </c>
      <c r="B326" s="1" t="n">
        <v>45713</v>
      </c>
      <c r="C326" s="1" t="n">
        <v>45996</v>
      </c>
      <c r="D326" t="inlineStr">
        <is>
          <t>STOCKHOLMS LÄN</t>
        </is>
      </c>
      <c r="E326" t="inlineStr">
        <is>
          <t>NORRTÄLJE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12301-2025</t>
        </is>
      </c>
      <c r="B327" s="1" t="n">
        <v>45729.7271875</v>
      </c>
      <c r="C327" s="1" t="n">
        <v>45996</v>
      </c>
      <c r="D327" t="inlineStr">
        <is>
          <t>STOCKHOLMS LÄN</t>
        </is>
      </c>
      <c r="E327" t="inlineStr">
        <is>
          <t>NORRTÄLJE</t>
        </is>
      </c>
      <c r="G327" t="n">
        <v>3.2</v>
      </c>
      <c r="H327" t="n">
        <v>0</v>
      </c>
      <c r="I327" t="n">
        <v>0</v>
      </c>
      <c r="J327" t="n">
        <v>0</v>
      </c>
      <c r="K327" t="n">
        <v>0</v>
      </c>
      <c r="L327" t="n">
        <v>0</v>
      </c>
      <c r="M327" t="n">
        <v>0</v>
      </c>
      <c r="N327" t="n">
        <v>0</v>
      </c>
      <c r="O327" t="n">
        <v>0</v>
      </c>
      <c r="P327" t="n">
        <v>0</v>
      </c>
      <c r="Q327" t="n">
        <v>0</v>
      </c>
      <c r="R327" s="2" t="inlineStr"/>
    </row>
    <row r="328" ht="15" customHeight="1">
      <c r="A328" t="inlineStr">
        <is>
          <t>A 17348-2024</t>
        </is>
      </c>
      <c r="B328" s="1" t="n">
        <v>45414.58650462963</v>
      </c>
      <c r="C328" s="1" t="n">
        <v>45996</v>
      </c>
      <c r="D328" t="inlineStr">
        <is>
          <t>STOCKHOLMS LÄN</t>
        </is>
      </c>
      <c r="E328" t="inlineStr">
        <is>
          <t>NORRTÄLJE</t>
        </is>
      </c>
      <c r="G328" t="n">
        <v>2.3</v>
      </c>
      <c r="H328" t="n">
        <v>0</v>
      </c>
      <c r="I328" t="n">
        <v>0</v>
      </c>
      <c r="J328" t="n">
        <v>0</v>
      </c>
      <c r="K328" t="n">
        <v>0</v>
      </c>
      <c r="L328" t="n">
        <v>0</v>
      </c>
      <c r="M328" t="n">
        <v>0</v>
      </c>
      <c r="N328" t="n">
        <v>0</v>
      </c>
      <c r="O328" t="n">
        <v>0</v>
      </c>
      <c r="P328" t="n">
        <v>0</v>
      </c>
      <c r="Q328" t="n">
        <v>0</v>
      </c>
      <c r="R328" s="2" t="inlineStr"/>
    </row>
    <row r="329" ht="15" customHeight="1">
      <c r="A329" t="inlineStr">
        <is>
          <t>A 24351-2025</t>
        </is>
      </c>
      <c r="B329" s="1" t="n">
        <v>45797.58399305555</v>
      </c>
      <c r="C329" s="1" t="n">
        <v>45996</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13283-2025</t>
        </is>
      </c>
      <c r="B330" s="1" t="n">
        <v>45735</v>
      </c>
      <c r="C330" s="1" t="n">
        <v>45996</v>
      </c>
      <c r="D330" t="inlineStr">
        <is>
          <t>STOCKHOLMS LÄN</t>
        </is>
      </c>
      <c r="E330" t="inlineStr">
        <is>
          <t>NORRTÄLJE</t>
        </is>
      </c>
      <c r="G330" t="n">
        <v>4.9</v>
      </c>
      <c r="H330" t="n">
        <v>0</v>
      </c>
      <c r="I330" t="n">
        <v>0</v>
      </c>
      <c r="J330" t="n">
        <v>0</v>
      </c>
      <c r="K330" t="n">
        <v>0</v>
      </c>
      <c r="L330" t="n">
        <v>0</v>
      </c>
      <c r="M330" t="n">
        <v>0</v>
      </c>
      <c r="N330" t="n">
        <v>0</v>
      </c>
      <c r="O330" t="n">
        <v>0</v>
      </c>
      <c r="P330" t="n">
        <v>0</v>
      </c>
      <c r="Q330" t="n">
        <v>0</v>
      </c>
      <c r="R330" s="2" t="inlineStr"/>
    </row>
    <row r="331" ht="15" customHeight="1">
      <c r="A331" t="inlineStr">
        <is>
          <t>A 10676-2025</t>
        </is>
      </c>
      <c r="B331" s="1" t="n">
        <v>45721.88684027778</v>
      </c>
      <c r="C331" s="1" t="n">
        <v>45996</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20852-2023</t>
        </is>
      </c>
      <c r="B332" s="1" t="n">
        <v>45058.78607638889</v>
      </c>
      <c r="C332" s="1" t="n">
        <v>45996</v>
      </c>
      <c r="D332" t="inlineStr">
        <is>
          <t>STOCKHOLMS LÄN</t>
        </is>
      </c>
      <c r="E332" t="inlineStr">
        <is>
          <t>NORRTÄLJE</t>
        </is>
      </c>
      <c r="G332" t="n">
        <v>3.5</v>
      </c>
      <c r="H332" t="n">
        <v>0</v>
      </c>
      <c r="I332" t="n">
        <v>0</v>
      </c>
      <c r="J332" t="n">
        <v>0</v>
      </c>
      <c r="K332" t="n">
        <v>0</v>
      </c>
      <c r="L332" t="n">
        <v>0</v>
      </c>
      <c r="M332" t="n">
        <v>0</v>
      </c>
      <c r="N332" t="n">
        <v>0</v>
      </c>
      <c r="O332" t="n">
        <v>0</v>
      </c>
      <c r="P332" t="n">
        <v>0</v>
      </c>
      <c r="Q332" t="n">
        <v>0</v>
      </c>
      <c r="R332" s="2" t="inlineStr"/>
    </row>
    <row r="333" ht="15" customHeight="1">
      <c r="A333" t="inlineStr">
        <is>
          <t>A 22456-2023</t>
        </is>
      </c>
      <c r="B333" s="1" t="n">
        <v>45070</v>
      </c>
      <c r="C333" s="1" t="n">
        <v>45996</v>
      </c>
      <c r="D333" t="inlineStr">
        <is>
          <t>STOCKHOLMS LÄN</t>
        </is>
      </c>
      <c r="E333" t="inlineStr">
        <is>
          <t>NORRTÄLJE</t>
        </is>
      </c>
      <c r="G333" t="n">
        <v>3.1</v>
      </c>
      <c r="H333" t="n">
        <v>0</v>
      </c>
      <c r="I333" t="n">
        <v>0</v>
      </c>
      <c r="J333" t="n">
        <v>0</v>
      </c>
      <c r="K333" t="n">
        <v>0</v>
      </c>
      <c r="L333" t="n">
        <v>0</v>
      </c>
      <c r="M333" t="n">
        <v>0</v>
      </c>
      <c r="N333" t="n">
        <v>0</v>
      </c>
      <c r="O333" t="n">
        <v>0</v>
      </c>
      <c r="P333" t="n">
        <v>0</v>
      </c>
      <c r="Q333" t="n">
        <v>0</v>
      </c>
      <c r="R333" s="2" t="inlineStr"/>
    </row>
    <row r="334" ht="15" customHeight="1">
      <c r="A334" t="inlineStr">
        <is>
          <t>A 17785-2024</t>
        </is>
      </c>
      <c r="B334" s="1" t="n">
        <v>45418.6968287037</v>
      </c>
      <c r="C334" s="1" t="n">
        <v>45996</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24687-2025</t>
        </is>
      </c>
      <c r="B335" s="1" t="n">
        <v>45798.66767361111</v>
      </c>
      <c r="C335" s="1" t="n">
        <v>45996</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1229-2022</t>
        </is>
      </c>
      <c r="B336" s="1" t="n">
        <v>44572</v>
      </c>
      <c r="C336" s="1" t="n">
        <v>45996</v>
      </c>
      <c r="D336" t="inlineStr">
        <is>
          <t>STOCKHOLMS LÄN</t>
        </is>
      </c>
      <c r="E336" t="inlineStr">
        <is>
          <t>NORRTÄLJE</t>
        </is>
      </c>
      <c r="G336" t="n">
        <v>11.5</v>
      </c>
      <c r="H336" t="n">
        <v>0</v>
      </c>
      <c r="I336" t="n">
        <v>0</v>
      </c>
      <c r="J336" t="n">
        <v>0</v>
      </c>
      <c r="K336" t="n">
        <v>0</v>
      </c>
      <c r="L336" t="n">
        <v>0</v>
      </c>
      <c r="M336" t="n">
        <v>0</v>
      </c>
      <c r="N336" t="n">
        <v>0</v>
      </c>
      <c r="O336" t="n">
        <v>0</v>
      </c>
      <c r="P336" t="n">
        <v>0</v>
      </c>
      <c r="Q336" t="n">
        <v>0</v>
      </c>
      <c r="R336" s="2" t="inlineStr"/>
    </row>
    <row r="337" ht="15" customHeight="1">
      <c r="A337" t="inlineStr">
        <is>
          <t>A 6678-2025</t>
        </is>
      </c>
      <c r="B337" s="1" t="n">
        <v>45700</v>
      </c>
      <c r="C337" s="1" t="n">
        <v>45996</v>
      </c>
      <c r="D337" t="inlineStr">
        <is>
          <t>STOCKHOLMS LÄN</t>
        </is>
      </c>
      <c r="E337" t="inlineStr">
        <is>
          <t>NORRTÄLJE</t>
        </is>
      </c>
      <c r="F337" t="inlineStr">
        <is>
          <t>Övriga Aktiebolag</t>
        </is>
      </c>
      <c r="G337" t="n">
        <v>6.6</v>
      </c>
      <c r="H337" t="n">
        <v>0</v>
      </c>
      <c r="I337" t="n">
        <v>0</v>
      </c>
      <c r="J337" t="n">
        <v>0</v>
      </c>
      <c r="K337" t="n">
        <v>0</v>
      </c>
      <c r="L337" t="n">
        <v>0</v>
      </c>
      <c r="M337" t="n">
        <v>0</v>
      </c>
      <c r="N337" t="n">
        <v>0</v>
      </c>
      <c r="O337" t="n">
        <v>0</v>
      </c>
      <c r="P337" t="n">
        <v>0</v>
      </c>
      <c r="Q337" t="n">
        <v>0</v>
      </c>
      <c r="R337" s="2" t="inlineStr"/>
    </row>
    <row r="338" ht="15" customHeight="1">
      <c r="A338" t="inlineStr">
        <is>
          <t>A 24638-2025</t>
        </is>
      </c>
      <c r="B338" s="1" t="n">
        <v>45798</v>
      </c>
      <c r="C338" s="1" t="n">
        <v>45996</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14051-2022</t>
        </is>
      </c>
      <c r="B339" s="1" t="n">
        <v>44650.92714120371</v>
      </c>
      <c r="C339" s="1" t="n">
        <v>45996</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13089-2022</t>
        </is>
      </c>
      <c r="B340" s="1" t="n">
        <v>44643</v>
      </c>
      <c r="C340" s="1" t="n">
        <v>45996</v>
      </c>
      <c r="D340" t="inlineStr">
        <is>
          <t>STOCKHOLMS LÄN</t>
        </is>
      </c>
      <c r="E340" t="inlineStr">
        <is>
          <t>NORRTÄLJE</t>
        </is>
      </c>
      <c r="G340" t="n">
        <v>4.5</v>
      </c>
      <c r="H340" t="n">
        <v>0</v>
      </c>
      <c r="I340" t="n">
        <v>0</v>
      </c>
      <c r="J340" t="n">
        <v>0</v>
      </c>
      <c r="K340" t="n">
        <v>0</v>
      </c>
      <c r="L340" t="n">
        <v>0</v>
      </c>
      <c r="M340" t="n">
        <v>0</v>
      </c>
      <c r="N340" t="n">
        <v>0</v>
      </c>
      <c r="O340" t="n">
        <v>0</v>
      </c>
      <c r="P340" t="n">
        <v>0</v>
      </c>
      <c r="Q340" t="n">
        <v>0</v>
      </c>
      <c r="R340" s="2" t="inlineStr"/>
    </row>
    <row r="341" ht="15" customHeight="1">
      <c r="A341" t="inlineStr">
        <is>
          <t>A 48145-2024</t>
        </is>
      </c>
      <c r="B341" s="1" t="n">
        <v>45589.6756712963</v>
      </c>
      <c r="C341" s="1" t="n">
        <v>45996</v>
      </c>
      <c r="D341" t="inlineStr">
        <is>
          <t>STOCKHOLMS LÄN</t>
        </is>
      </c>
      <c r="E341" t="inlineStr">
        <is>
          <t>NORRTÄLJE</t>
        </is>
      </c>
      <c r="G341" t="n">
        <v>3.4</v>
      </c>
      <c r="H341" t="n">
        <v>0</v>
      </c>
      <c r="I341" t="n">
        <v>0</v>
      </c>
      <c r="J341" t="n">
        <v>0</v>
      </c>
      <c r="K341" t="n">
        <v>0</v>
      </c>
      <c r="L341" t="n">
        <v>0</v>
      </c>
      <c r="M341" t="n">
        <v>0</v>
      </c>
      <c r="N341" t="n">
        <v>0</v>
      </c>
      <c r="O341" t="n">
        <v>0</v>
      </c>
      <c r="P341" t="n">
        <v>0</v>
      </c>
      <c r="Q341" t="n">
        <v>0</v>
      </c>
      <c r="R341" s="2" t="inlineStr"/>
    </row>
    <row r="342" ht="15" customHeight="1">
      <c r="A342" t="inlineStr">
        <is>
          <t>A 23998-2024</t>
        </is>
      </c>
      <c r="B342" s="1" t="n">
        <v>45456</v>
      </c>
      <c r="C342" s="1" t="n">
        <v>45996</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28603-2024</t>
        </is>
      </c>
      <c r="B343" s="1" t="n">
        <v>45478.42887731481</v>
      </c>
      <c r="C343" s="1" t="n">
        <v>45996</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15447-2023</t>
        </is>
      </c>
      <c r="B344" s="1" t="n">
        <v>45020</v>
      </c>
      <c r="C344" s="1" t="n">
        <v>45996</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19982-2022</t>
        </is>
      </c>
      <c r="B345" s="1" t="n">
        <v>44697</v>
      </c>
      <c r="C345" s="1" t="n">
        <v>45996</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42075-2023</t>
        </is>
      </c>
      <c r="B346" s="1" t="n">
        <v>45177</v>
      </c>
      <c r="C346" s="1" t="n">
        <v>45996</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24690-2025</t>
        </is>
      </c>
      <c r="B347" s="1" t="n">
        <v>45798.67082175926</v>
      </c>
      <c r="C347" s="1" t="n">
        <v>45996</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50108-2021</t>
        </is>
      </c>
      <c r="B348" s="1" t="n">
        <v>44456</v>
      </c>
      <c r="C348" s="1" t="n">
        <v>45996</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54358-2022</t>
        </is>
      </c>
      <c r="B349" s="1" t="n">
        <v>44882</v>
      </c>
      <c r="C349" s="1" t="n">
        <v>45996</v>
      </c>
      <c r="D349" t="inlineStr">
        <is>
          <t>STOCKHOLMS LÄN</t>
        </is>
      </c>
      <c r="E349" t="inlineStr">
        <is>
          <t>NORRTÄLJE</t>
        </is>
      </c>
      <c r="G349" t="n">
        <v>3.3</v>
      </c>
      <c r="H349" t="n">
        <v>0</v>
      </c>
      <c r="I349" t="n">
        <v>0</v>
      </c>
      <c r="J349" t="n">
        <v>0</v>
      </c>
      <c r="K349" t="n">
        <v>0</v>
      </c>
      <c r="L349" t="n">
        <v>0</v>
      </c>
      <c r="M349" t="n">
        <v>0</v>
      </c>
      <c r="N349" t="n">
        <v>0</v>
      </c>
      <c r="O349" t="n">
        <v>0</v>
      </c>
      <c r="P349" t="n">
        <v>0</v>
      </c>
      <c r="Q349" t="n">
        <v>0</v>
      </c>
      <c r="R349" s="2" t="inlineStr"/>
    </row>
    <row r="350" ht="15" customHeight="1">
      <c r="A350" t="inlineStr">
        <is>
          <t>A 47259-2024</t>
        </is>
      </c>
      <c r="B350" s="1" t="n">
        <v>45586</v>
      </c>
      <c r="C350" s="1" t="n">
        <v>45996</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24167-2022</t>
        </is>
      </c>
      <c r="B351" s="1" t="n">
        <v>44725.49491898148</v>
      </c>
      <c r="C351" s="1" t="n">
        <v>45996</v>
      </c>
      <c r="D351" t="inlineStr">
        <is>
          <t>STOCKHOLMS LÄN</t>
        </is>
      </c>
      <c r="E351" t="inlineStr">
        <is>
          <t>NORRTÄLJE</t>
        </is>
      </c>
      <c r="G351" t="n">
        <v>3.4</v>
      </c>
      <c r="H351" t="n">
        <v>0</v>
      </c>
      <c r="I351" t="n">
        <v>0</v>
      </c>
      <c r="J351" t="n">
        <v>0</v>
      </c>
      <c r="K351" t="n">
        <v>0</v>
      </c>
      <c r="L351" t="n">
        <v>0</v>
      </c>
      <c r="M351" t="n">
        <v>0</v>
      </c>
      <c r="N351" t="n">
        <v>0</v>
      </c>
      <c r="O351" t="n">
        <v>0</v>
      </c>
      <c r="P351" t="n">
        <v>0</v>
      </c>
      <c r="Q351" t="n">
        <v>0</v>
      </c>
      <c r="R351" s="2" t="inlineStr"/>
    </row>
    <row r="352" ht="15" customHeight="1">
      <c r="A352" t="inlineStr">
        <is>
          <t>A 42396-2021</t>
        </is>
      </c>
      <c r="B352" s="1" t="n">
        <v>44427</v>
      </c>
      <c r="C352" s="1" t="n">
        <v>45996</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25702-2025</t>
        </is>
      </c>
      <c r="B353" s="1" t="n">
        <v>45800</v>
      </c>
      <c r="C353" s="1" t="n">
        <v>45996</v>
      </c>
      <c r="D353" t="inlineStr">
        <is>
          <t>STOCKHOLMS LÄN</t>
        </is>
      </c>
      <c r="E353" t="inlineStr">
        <is>
          <t>NORRTÄLJE</t>
        </is>
      </c>
      <c r="G353" t="n">
        <v>5.3</v>
      </c>
      <c r="H353" t="n">
        <v>0</v>
      </c>
      <c r="I353" t="n">
        <v>0</v>
      </c>
      <c r="J353" t="n">
        <v>0</v>
      </c>
      <c r="K353" t="n">
        <v>0</v>
      </c>
      <c r="L353" t="n">
        <v>0</v>
      </c>
      <c r="M353" t="n">
        <v>0</v>
      </c>
      <c r="N353" t="n">
        <v>0</v>
      </c>
      <c r="O353" t="n">
        <v>0</v>
      </c>
      <c r="P353" t="n">
        <v>0</v>
      </c>
      <c r="Q353" t="n">
        <v>0</v>
      </c>
      <c r="R353" s="2" t="inlineStr"/>
    </row>
    <row r="354" ht="15" customHeight="1">
      <c r="A354" t="inlineStr">
        <is>
          <t>A 23263-2023</t>
        </is>
      </c>
      <c r="B354" s="1" t="n">
        <v>45075</v>
      </c>
      <c r="C354" s="1" t="n">
        <v>45996</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23264-2023</t>
        </is>
      </c>
      <c r="B355" s="1" t="n">
        <v>45075</v>
      </c>
      <c r="C355" s="1" t="n">
        <v>45996</v>
      </c>
      <c r="D355" t="inlineStr">
        <is>
          <t>STOCKHOLMS LÄN</t>
        </is>
      </c>
      <c r="E355" t="inlineStr">
        <is>
          <t>NORRTÄLJE</t>
        </is>
      </c>
      <c r="G355" t="n">
        <v>2.9</v>
      </c>
      <c r="H355" t="n">
        <v>0</v>
      </c>
      <c r="I355" t="n">
        <v>0</v>
      </c>
      <c r="J355" t="n">
        <v>0</v>
      </c>
      <c r="K355" t="n">
        <v>0</v>
      </c>
      <c r="L355" t="n">
        <v>0</v>
      </c>
      <c r="M355" t="n">
        <v>0</v>
      </c>
      <c r="N355" t="n">
        <v>0</v>
      </c>
      <c r="O355" t="n">
        <v>0</v>
      </c>
      <c r="P355" t="n">
        <v>0</v>
      </c>
      <c r="Q355" t="n">
        <v>0</v>
      </c>
      <c r="R355" s="2" t="inlineStr"/>
    </row>
    <row r="356" ht="15" customHeight="1">
      <c r="A356" t="inlineStr">
        <is>
          <t>A 23267-2023</t>
        </is>
      </c>
      <c r="B356" s="1" t="n">
        <v>45075.90934027778</v>
      </c>
      <c r="C356" s="1" t="n">
        <v>45996</v>
      </c>
      <c r="D356" t="inlineStr">
        <is>
          <t>STOCKHOLMS LÄN</t>
        </is>
      </c>
      <c r="E356" t="inlineStr">
        <is>
          <t>NORRTÄLJE</t>
        </is>
      </c>
      <c r="G356" t="n">
        <v>0.5</v>
      </c>
      <c r="H356" t="n">
        <v>0</v>
      </c>
      <c r="I356" t="n">
        <v>0</v>
      </c>
      <c r="J356" t="n">
        <v>0</v>
      </c>
      <c r="K356" t="n">
        <v>0</v>
      </c>
      <c r="L356" t="n">
        <v>0</v>
      </c>
      <c r="M356" t="n">
        <v>0</v>
      </c>
      <c r="N356" t="n">
        <v>0</v>
      </c>
      <c r="O356" t="n">
        <v>0</v>
      </c>
      <c r="P356" t="n">
        <v>0</v>
      </c>
      <c r="Q356" t="n">
        <v>0</v>
      </c>
      <c r="R356" s="2" t="inlineStr"/>
    </row>
    <row r="357" ht="15" customHeight="1">
      <c r="A357" t="inlineStr">
        <is>
          <t>A 23269-2023</t>
        </is>
      </c>
      <c r="B357" s="1" t="n">
        <v>45075.91148148148</v>
      </c>
      <c r="C357" s="1" t="n">
        <v>45996</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19911-2025</t>
        </is>
      </c>
      <c r="B358" s="1" t="n">
        <v>45771</v>
      </c>
      <c r="C358" s="1" t="n">
        <v>45996</v>
      </c>
      <c r="D358" t="inlineStr">
        <is>
          <t>STOCKHOLMS LÄN</t>
        </is>
      </c>
      <c r="E358" t="inlineStr">
        <is>
          <t>NORRTÄLJE</t>
        </is>
      </c>
      <c r="G358" t="n">
        <v>1.4</v>
      </c>
      <c r="H358" t="n">
        <v>0</v>
      </c>
      <c r="I358" t="n">
        <v>0</v>
      </c>
      <c r="J358" t="n">
        <v>0</v>
      </c>
      <c r="K358" t="n">
        <v>0</v>
      </c>
      <c r="L358" t="n">
        <v>0</v>
      </c>
      <c r="M358" t="n">
        <v>0</v>
      </c>
      <c r="N358" t="n">
        <v>0</v>
      </c>
      <c r="O358" t="n">
        <v>0</v>
      </c>
      <c r="P358" t="n">
        <v>0</v>
      </c>
      <c r="Q358" t="n">
        <v>0</v>
      </c>
      <c r="R358" s="2" t="inlineStr"/>
    </row>
    <row r="359" ht="15" customHeight="1">
      <c r="A359" t="inlineStr">
        <is>
          <t>A 25712-2025</t>
        </is>
      </c>
      <c r="B359" s="1" t="n">
        <v>45803.69228009259</v>
      </c>
      <c r="C359" s="1" t="n">
        <v>45996</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25725-2025</t>
        </is>
      </c>
      <c r="B360" s="1" t="n">
        <v>45800</v>
      </c>
      <c r="C360" s="1" t="n">
        <v>45996</v>
      </c>
      <c r="D360" t="inlineStr">
        <is>
          <t>STOCKHOLMS LÄN</t>
        </is>
      </c>
      <c r="E360" t="inlineStr">
        <is>
          <t>NORRTÄLJE</t>
        </is>
      </c>
      <c r="G360" t="n">
        <v>5.2</v>
      </c>
      <c r="H360" t="n">
        <v>0</v>
      </c>
      <c r="I360" t="n">
        <v>0</v>
      </c>
      <c r="J360" t="n">
        <v>0</v>
      </c>
      <c r="K360" t="n">
        <v>0</v>
      </c>
      <c r="L360" t="n">
        <v>0</v>
      </c>
      <c r="M360" t="n">
        <v>0</v>
      </c>
      <c r="N360" t="n">
        <v>0</v>
      </c>
      <c r="O360" t="n">
        <v>0</v>
      </c>
      <c r="P360" t="n">
        <v>0</v>
      </c>
      <c r="Q360" t="n">
        <v>0</v>
      </c>
      <c r="R360" s="2" t="inlineStr"/>
    </row>
    <row r="361" ht="15" customHeight="1">
      <c r="A361" t="inlineStr">
        <is>
          <t>A 5831-2022</t>
        </is>
      </c>
      <c r="B361" s="1" t="n">
        <v>44596</v>
      </c>
      <c r="C361" s="1" t="n">
        <v>45996</v>
      </c>
      <c r="D361" t="inlineStr">
        <is>
          <t>STOCKHOLMS LÄN</t>
        </is>
      </c>
      <c r="E361" t="inlineStr">
        <is>
          <t>NORRTÄLJE</t>
        </is>
      </c>
      <c r="G361" t="n">
        <v>4.8</v>
      </c>
      <c r="H361" t="n">
        <v>0</v>
      </c>
      <c r="I361" t="n">
        <v>0</v>
      </c>
      <c r="J361" t="n">
        <v>0</v>
      </c>
      <c r="K361" t="n">
        <v>0</v>
      </c>
      <c r="L361" t="n">
        <v>0</v>
      </c>
      <c r="M361" t="n">
        <v>0</v>
      </c>
      <c r="N361" t="n">
        <v>0</v>
      </c>
      <c r="O361" t="n">
        <v>0</v>
      </c>
      <c r="P361" t="n">
        <v>0</v>
      </c>
      <c r="Q361" t="n">
        <v>0</v>
      </c>
      <c r="R361" s="2" t="inlineStr"/>
    </row>
    <row r="362" ht="15" customHeight="1">
      <c r="A362" t="inlineStr">
        <is>
          <t>A 5867-2022</t>
        </is>
      </c>
      <c r="B362" s="1" t="n">
        <v>44596.66335648148</v>
      </c>
      <c r="C362" s="1" t="n">
        <v>45996</v>
      </c>
      <c r="D362" t="inlineStr">
        <is>
          <t>STOCKHOLMS LÄN</t>
        </is>
      </c>
      <c r="E362" t="inlineStr">
        <is>
          <t>NORRTÄLJE</t>
        </is>
      </c>
      <c r="F362" t="inlineStr">
        <is>
          <t>Naturvårdsverket</t>
        </is>
      </c>
      <c r="G362" t="n">
        <v>1.6</v>
      </c>
      <c r="H362" t="n">
        <v>0</v>
      </c>
      <c r="I362" t="n">
        <v>0</v>
      </c>
      <c r="J362" t="n">
        <v>0</v>
      </c>
      <c r="K362" t="n">
        <v>0</v>
      </c>
      <c r="L362" t="n">
        <v>0</v>
      </c>
      <c r="M362" t="n">
        <v>0</v>
      </c>
      <c r="N362" t="n">
        <v>0</v>
      </c>
      <c r="O362" t="n">
        <v>0</v>
      </c>
      <c r="P362" t="n">
        <v>0</v>
      </c>
      <c r="Q362" t="n">
        <v>0</v>
      </c>
      <c r="R362" s="2" t="inlineStr"/>
    </row>
    <row r="363" ht="15" customHeight="1">
      <c r="A363" t="inlineStr">
        <is>
          <t>A 25733-2025</t>
        </is>
      </c>
      <c r="B363" s="1" t="n">
        <v>45800</v>
      </c>
      <c r="C363" s="1" t="n">
        <v>45996</v>
      </c>
      <c r="D363" t="inlineStr">
        <is>
          <t>STOCKHOLMS LÄN</t>
        </is>
      </c>
      <c r="E363" t="inlineStr">
        <is>
          <t>NORRTÄLJE</t>
        </is>
      </c>
      <c r="G363" t="n">
        <v>2.2</v>
      </c>
      <c r="H363" t="n">
        <v>0</v>
      </c>
      <c r="I363" t="n">
        <v>0</v>
      </c>
      <c r="J363" t="n">
        <v>0</v>
      </c>
      <c r="K363" t="n">
        <v>0</v>
      </c>
      <c r="L363" t="n">
        <v>0</v>
      </c>
      <c r="M363" t="n">
        <v>0</v>
      </c>
      <c r="N363" t="n">
        <v>0</v>
      </c>
      <c r="O363" t="n">
        <v>0</v>
      </c>
      <c r="P363" t="n">
        <v>0</v>
      </c>
      <c r="Q363" t="n">
        <v>0</v>
      </c>
      <c r="R363" s="2" t="inlineStr"/>
    </row>
    <row r="364" ht="15" customHeight="1">
      <c r="A364" t="inlineStr">
        <is>
          <t>A 39238-2024</t>
        </is>
      </c>
      <c r="B364" s="1" t="n">
        <v>45549</v>
      </c>
      <c r="C364" s="1" t="n">
        <v>45996</v>
      </c>
      <c r="D364" t="inlineStr">
        <is>
          <t>STOCKHOLMS LÄN</t>
        </is>
      </c>
      <c r="E364" t="inlineStr">
        <is>
          <t>NORRTÄLJE</t>
        </is>
      </c>
      <c r="G364" t="n">
        <v>3.6</v>
      </c>
      <c r="H364" t="n">
        <v>0</v>
      </c>
      <c r="I364" t="n">
        <v>0</v>
      </c>
      <c r="J364" t="n">
        <v>0</v>
      </c>
      <c r="K364" t="n">
        <v>0</v>
      </c>
      <c r="L364" t="n">
        <v>0</v>
      </c>
      <c r="M364" t="n">
        <v>0</v>
      </c>
      <c r="N364" t="n">
        <v>0</v>
      </c>
      <c r="O364" t="n">
        <v>0</v>
      </c>
      <c r="P364" t="n">
        <v>0</v>
      </c>
      <c r="Q364" t="n">
        <v>0</v>
      </c>
      <c r="R364" s="2" t="inlineStr"/>
    </row>
    <row r="365" ht="15" customHeight="1">
      <c r="A365" t="inlineStr">
        <is>
          <t>A 25571-2025</t>
        </is>
      </c>
      <c r="B365" s="1" t="n">
        <v>45803.4675</v>
      </c>
      <c r="C365" s="1" t="n">
        <v>45996</v>
      </c>
      <c r="D365" t="inlineStr">
        <is>
          <t>STOCKHOLMS LÄN</t>
        </is>
      </c>
      <c r="E365" t="inlineStr">
        <is>
          <t>NORRTÄLJE</t>
        </is>
      </c>
      <c r="G365" t="n">
        <v>5.4</v>
      </c>
      <c r="H365" t="n">
        <v>0</v>
      </c>
      <c r="I365" t="n">
        <v>0</v>
      </c>
      <c r="J365" t="n">
        <v>0</v>
      </c>
      <c r="K365" t="n">
        <v>0</v>
      </c>
      <c r="L365" t="n">
        <v>0</v>
      </c>
      <c r="M365" t="n">
        <v>0</v>
      </c>
      <c r="N365" t="n">
        <v>0</v>
      </c>
      <c r="O365" t="n">
        <v>0</v>
      </c>
      <c r="P365" t="n">
        <v>0</v>
      </c>
      <c r="Q365" t="n">
        <v>0</v>
      </c>
      <c r="R365" s="2" t="inlineStr"/>
    </row>
    <row r="366" ht="15" customHeight="1">
      <c r="A366" t="inlineStr">
        <is>
          <t>A 25721-2025</t>
        </is>
      </c>
      <c r="B366" s="1" t="n">
        <v>45800</v>
      </c>
      <c r="C366" s="1" t="n">
        <v>45996</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50355-2024</t>
        </is>
      </c>
      <c r="B367" s="1" t="n">
        <v>45600.86128472222</v>
      </c>
      <c r="C367" s="1" t="n">
        <v>45996</v>
      </c>
      <c r="D367" t="inlineStr">
        <is>
          <t>STOCKHOLMS LÄN</t>
        </is>
      </c>
      <c r="E367" t="inlineStr">
        <is>
          <t>NORRTÄLJE</t>
        </is>
      </c>
      <c r="F367" t="inlineStr">
        <is>
          <t>Kommuner</t>
        </is>
      </c>
      <c r="G367" t="n">
        <v>1</v>
      </c>
      <c r="H367" t="n">
        <v>0</v>
      </c>
      <c r="I367" t="n">
        <v>0</v>
      </c>
      <c r="J367" t="n">
        <v>0</v>
      </c>
      <c r="K367" t="n">
        <v>0</v>
      </c>
      <c r="L367" t="n">
        <v>0</v>
      </c>
      <c r="M367" t="n">
        <v>0</v>
      </c>
      <c r="N367" t="n">
        <v>0</v>
      </c>
      <c r="O367" t="n">
        <v>0</v>
      </c>
      <c r="P367" t="n">
        <v>0</v>
      </c>
      <c r="Q367" t="n">
        <v>0</v>
      </c>
      <c r="R367" s="2" t="inlineStr"/>
    </row>
    <row r="368" ht="15" customHeight="1">
      <c r="A368" t="inlineStr">
        <is>
          <t>A 25697-2025</t>
        </is>
      </c>
      <c r="B368" s="1" t="n">
        <v>45803.66587962963</v>
      </c>
      <c r="C368" s="1" t="n">
        <v>45996</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41218-2024</t>
        </is>
      </c>
      <c r="B369" s="1" t="n">
        <v>45559.54706018518</v>
      </c>
      <c r="C369" s="1" t="n">
        <v>45996</v>
      </c>
      <c r="D369" t="inlineStr">
        <is>
          <t>STOCKHOLMS LÄN</t>
        </is>
      </c>
      <c r="E369" t="inlineStr">
        <is>
          <t>NORRTÄLJE</t>
        </is>
      </c>
      <c r="G369" t="n">
        <v>6</v>
      </c>
      <c r="H369" t="n">
        <v>0</v>
      </c>
      <c r="I369" t="n">
        <v>0</v>
      </c>
      <c r="J369" t="n">
        <v>0</v>
      </c>
      <c r="K369" t="n">
        <v>0</v>
      </c>
      <c r="L369" t="n">
        <v>0</v>
      </c>
      <c r="M369" t="n">
        <v>0</v>
      </c>
      <c r="N369" t="n">
        <v>0</v>
      </c>
      <c r="O369" t="n">
        <v>0</v>
      </c>
      <c r="P369" t="n">
        <v>0</v>
      </c>
      <c r="Q369" t="n">
        <v>0</v>
      </c>
      <c r="R369" s="2" t="inlineStr"/>
    </row>
    <row r="370" ht="15" customHeight="1">
      <c r="A370" t="inlineStr">
        <is>
          <t>A 20244-2025</t>
        </is>
      </c>
      <c r="B370" s="1" t="n">
        <v>45772.71221064815</v>
      </c>
      <c r="C370" s="1" t="n">
        <v>45996</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48633-2023</t>
        </is>
      </c>
      <c r="B371" s="1" t="n">
        <v>45208.58004629629</v>
      </c>
      <c r="C371" s="1" t="n">
        <v>45996</v>
      </c>
      <c r="D371" t="inlineStr">
        <is>
          <t>STOCKHOLMS LÄN</t>
        </is>
      </c>
      <c r="E371" t="inlineStr">
        <is>
          <t>NORRTÄLJE</t>
        </is>
      </c>
      <c r="G371" t="n">
        <v>3.3</v>
      </c>
      <c r="H371" t="n">
        <v>0</v>
      </c>
      <c r="I371" t="n">
        <v>0</v>
      </c>
      <c r="J371" t="n">
        <v>0</v>
      </c>
      <c r="K371" t="n">
        <v>0</v>
      </c>
      <c r="L371" t="n">
        <v>0</v>
      </c>
      <c r="M371" t="n">
        <v>0</v>
      </c>
      <c r="N371" t="n">
        <v>0</v>
      </c>
      <c r="O371" t="n">
        <v>0</v>
      </c>
      <c r="P371" t="n">
        <v>0</v>
      </c>
      <c r="Q371" t="n">
        <v>0</v>
      </c>
      <c r="R371" s="2" t="inlineStr"/>
    </row>
    <row r="372" ht="15" customHeight="1">
      <c r="A372" t="inlineStr">
        <is>
          <t>A 68081-2020</t>
        </is>
      </c>
      <c r="B372" s="1" t="n">
        <v>44183</v>
      </c>
      <c r="C372" s="1" t="n">
        <v>45996</v>
      </c>
      <c r="D372" t="inlineStr">
        <is>
          <t>STOCKHOLMS LÄN</t>
        </is>
      </c>
      <c r="E372" t="inlineStr">
        <is>
          <t>NORRTÄLJE</t>
        </is>
      </c>
      <c r="G372" t="n">
        <v>2.1</v>
      </c>
      <c r="H372" t="n">
        <v>0</v>
      </c>
      <c r="I372" t="n">
        <v>0</v>
      </c>
      <c r="J372" t="n">
        <v>0</v>
      </c>
      <c r="K372" t="n">
        <v>0</v>
      </c>
      <c r="L372" t="n">
        <v>0</v>
      </c>
      <c r="M372" t="n">
        <v>0</v>
      </c>
      <c r="N372" t="n">
        <v>0</v>
      </c>
      <c r="O372" t="n">
        <v>0</v>
      </c>
      <c r="P372" t="n">
        <v>0</v>
      </c>
      <c r="Q372" t="n">
        <v>0</v>
      </c>
      <c r="R372" s="2" t="inlineStr"/>
    </row>
    <row r="373" ht="15" customHeight="1">
      <c r="A373" t="inlineStr">
        <is>
          <t>A 44917-2022</t>
        </is>
      </c>
      <c r="B373" s="1" t="n">
        <v>44841.52804398148</v>
      </c>
      <c r="C373" s="1" t="n">
        <v>45996</v>
      </c>
      <c r="D373" t="inlineStr">
        <is>
          <t>STOCKHOLMS LÄN</t>
        </is>
      </c>
      <c r="E373" t="inlineStr">
        <is>
          <t>NORRTÄLJE</t>
        </is>
      </c>
      <c r="F373" t="inlineStr">
        <is>
          <t>Holmen skog AB</t>
        </is>
      </c>
      <c r="G373" t="n">
        <v>3.3</v>
      </c>
      <c r="H373" t="n">
        <v>0</v>
      </c>
      <c r="I373" t="n">
        <v>0</v>
      </c>
      <c r="J373" t="n">
        <v>0</v>
      </c>
      <c r="K373" t="n">
        <v>0</v>
      </c>
      <c r="L373" t="n">
        <v>0</v>
      </c>
      <c r="M373" t="n">
        <v>0</v>
      </c>
      <c r="N373" t="n">
        <v>0</v>
      </c>
      <c r="O373" t="n">
        <v>0</v>
      </c>
      <c r="P373" t="n">
        <v>0</v>
      </c>
      <c r="Q373" t="n">
        <v>0</v>
      </c>
      <c r="R373" s="2" t="inlineStr"/>
    </row>
    <row r="374" ht="15" customHeight="1">
      <c r="A374" t="inlineStr">
        <is>
          <t>A 25709-2025</t>
        </is>
      </c>
      <c r="B374" s="1" t="n">
        <v>45800</v>
      </c>
      <c r="C374" s="1" t="n">
        <v>45996</v>
      </c>
      <c r="D374" t="inlineStr">
        <is>
          <t>STOCKHOLMS LÄN</t>
        </is>
      </c>
      <c r="E374" t="inlineStr">
        <is>
          <t>NORRTÄLJE</t>
        </is>
      </c>
      <c r="G374" t="n">
        <v>4.6</v>
      </c>
      <c r="H374" t="n">
        <v>0</v>
      </c>
      <c r="I374" t="n">
        <v>0</v>
      </c>
      <c r="J374" t="n">
        <v>0</v>
      </c>
      <c r="K374" t="n">
        <v>0</v>
      </c>
      <c r="L374" t="n">
        <v>0</v>
      </c>
      <c r="M374" t="n">
        <v>0</v>
      </c>
      <c r="N374" t="n">
        <v>0</v>
      </c>
      <c r="O374" t="n">
        <v>0</v>
      </c>
      <c r="P374" t="n">
        <v>0</v>
      </c>
      <c r="Q374" t="n">
        <v>0</v>
      </c>
      <c r="R374" s="2" t="inlineStr"/>
    </row>
    <row r="375" ht="15" customHeight="1">
      <c r="A375" t="inlineStr">
        <is>
          <t>A 39669-2024</t>
        </is>
      </c>
      <c r="B375" s="1" t="n">
        <v>45552.52827546297</v>
      </c>
      <c r="C375" s="1" t="n">
        <v>45996</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38449-2022</t>
        </is>
      </c>
      <c r="B376" s="1" t="n">
        <v>44813</v>
      </c>
      <c r="C376" s="1" t="n">
        <v>45996</v>
      </c>
      <c r="D376" t="inlineStr">
        <is>
          <t>STOCKHOLMS LÄN</t>
        </is>
      </c>
      <c r="E376" t="inlineStr">
        <is>
          <t>NORRTÄLJE</t>
        </is>
      </c>
      <c r="G376" t="n">
        <v>4.2</v>
      </c>
      <c r="H376" t="n">
        <v>0</v>
      </c>
      <c r="I376" t="n">
        <v>0</v>
      </c>
      <c r="J376" t="n">
        <v>0</v>
      </c>
      <c r="K376" t="n">
        <v>0</v>
      </c>
      <c r="L376" t="n">
        <v>0</v>
      </c>
      <c r="M376" t="n">
        <v>0</v>
      </c>
      <c r="N376" t="n">
        <v>0</v>
      </c>
      <c r="O376" t="n">
        <v>0</v>
      </c>
      <c r="P376" t="n">
        <v>0</v>
      </c>
      <c r="Q376" t="n">
        <v>0</v>
      </c>
      <c r="R376" s="2" t="inlineStr"/>
    </row>
    <row r="377" ht="15" customHeight="1">
      <c r="A377" t="inlineStr">
        <is>
          <t>A 55058-2021</t>
        </is>
      </c>
      <c r="B377" s="1" t="n">
        <v>44474.62141203704</v>
      </c>
      <c r="C377" s="1" t="n">
        <v>45996</v>
      </c>
      <c r="D377" t="inlineStr">
        <is>
          <t>STOCKHOLMS LÄN</t>
        </is>
      </c>
      <c r="E377" t="inlineStr">
        <is>
          <t>NORRTÄLJE</t>
        </is>
      </c>
      <c r="G377" t="n">
        <v>1.9</v>
      </c>
      <c r="H377" t="n">
        <v>0</v>
      </c>
      <c r="I377" t="n">
        <v>0</v>
      </c>
      <c r="J377" t="n">
        <v>0</v>
      </c>
      <c r="K377" t="n">
        <v>0</v>
      </c>
      <c r="L377" t="n">
        <v>0</v>
      </c>
      <c r="M377" t="n">
        <v>0</v>
      </c>
      <c r="N377" t="n">
        <v>0</v>
      </c>
      <c r="O377" t="n">
        <v>0</v>
      </c>
      <c r="P377" t="n">
        <v>0</v>
      </c>
      <c r="Q377" t="n">
        <v>0</v>
      </c>
      <c r="R377" s="2" t="inlineStr"/>
    </row>
    <row r="378" ht="15" customHeight="1">
      <c r="A378" t="inlineStr">
        <is>
          <t>A 34478-2025</t>
        </is>
      </c>
      <c r="B378" s="1" t="n">
        <v>45847.37414351852</v>
      </c>
      <c r="C378" s="1" t="n">
        <v>45996</v>
      </c>
      <c r="D378" t="inlineStr">
        <is>
          <t>STOCKHOLMS LÄN</t>
        </is>
      </c>
      <c r="E378" t="inlineStr">
        <is>
          <t>NORRTÄLJE</t>
        </is>
      </c>
      <c r="F378" t="inlineStr">
        <is>
          <t>Övriga Aktiebolag</t>
        </is>
      </c>
      <c r="G378" t="n">
        <v>10.8</v>
      </c>
      <c r="H378" t="n">
        <v>0</v>
      </c>
      <c r="I378" t="n">
        <v>0</v>
      </c>
      <c r="J378" t="n">
        <v>0</v>
      </c>
      <c r="K378" t="n">
        <v>0</v>
      </c>
      <c r="L378" t="n">
        <v>0</v>
      </c>
      <c r="M378" t="n">
        <v>0</v>
      </c>
      <c r="N378" t="n">
        <v>0</v>
      </c>
      <c r="O378" t="n">
        <v>0</v>
      </c>
      <c r="P378" t="n">
        <v>0</v>
      </c>
      <c r="Q378" t="n">
        <v>0</v>
      </c>
      <c r="R378" s="2" t="inlineStr"/>
    </row>
    <row r="379" ht="15" customHeight="1">
      <c r="A379" t="inlineStr">
        <is>
          <t>A 55012-2024</t>
        </is>
      </c>
      <c r="B379" s="1" t="n">
        <v>45621.34813657407</v>
      </c>
      <c r="C379" s="1" t="n">
        <v>45996</v>
      </c>
      <c r="D379" t="inlineStr">
        <is>
          <t>STOCKHOLMS LÄN</t>
        </is>
      </c>
      <c r="E379" t="inlineStr">
        <is>
          <t>NORRTÄLJE</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2732-2022</t>
        </is>
      </c>
      <c r="B380" s="1" t="n">
        <v>44580</v>
      </c>
      <c r="C380" s="1" t="n">
        <v>45996</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53561-2023</t>
        </is>
      </c>
      <c r="B381" s="1" t="n">
        <v>45224</v>
      </c>
      <c r="C381" s="1" t="n">
        <v>45996</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16119-2022</t>
        </is>
      </c>
      <c r="B382" s="1" t="n">
        <v>44665.66407407408</v>
      </c>
      <c r="C382" s="1" t="n">
        <v>45996</v>
      </c>
      <c r="D382" t="inlineStr">
        <is>
          <t>STOCKHOLMS LÄN</t>
        </is>
      </c>
      <c r="E382" t="inlineStr">
        <is>
          <t>NORRTÄLJE</t>
        </is>
      </c>
      <c r="G382" t="n">
        <v>3.9</v>
      </c>
      <c r="H382" t="n">
        <v>0</v>
      </c>
      <c r="I382" t="n">
        <v>0</v>
      </c>
      <c r="J382" t="n">
        <v>0</v>
      </c>
      <c r="K382" t="n">
        <v>0</v>
      </c>
      <c r="L382" t="n">
        <v>0</v>
      </c>
      <c r="M382" t="n">
        <v>0</v>
      </c>
      <c r="N382" t="n">
        <v>0</v>
      </c>
      <c r="O382" t="n">
        <v>0</v>
      </c>
      <c r="P382" t="n">
        <v>0</v>
      </c>
      <c r="Q382" t="n">
        <v>0</v>
      </c>
      <c r="R382" s="2" t="inlineStr"/>
    </row>
    <row r="383" ht="15" customHeight="1">
      <c r="A383" t="inlineStr">
        <is>
          <t>A 43170-2023</t>
        </is>
      </c>
      <c r="B383" s="1" t="n">
        <v>45183</v>
      </c>
      <c r="C383" s="1" t="n">
        <v>45996</v>
      </c>
      <c r="D383" t="inlineStr">
        <is>
          <t>STOCKHOLMS LÄN</t>
        </is>
      </c>
      <c r="E383" t="inlineStr">
        <is>
          <t>NORRTÄLJE</t>
        </is>
      </c>
      <c r="G383" t="n">
        <v>1.3</v>
      </c>
      <c r="H383" t="n">
        <v>0</v>
      </c>
      <c r="I383" t="n">
        <v>0</v>
      </c>
      <c r="J383" t="n">
        <v>0</v>
      </c>
      <c r="K383" t="n">
        <v>0</v>
      </c>
      <c r="L383" t="n">
        <v>0</v>
      </c>
      <c r="M383" t="n">
        <v>0</v>
      </c>
      <c r="N383" t="n">
        <v>0</v>
      </c>
      <c r="O383" t="n">
        <v>0</v>
      </c>
      <c r="P383" t="n">
        <v>0</v>
      </c>
      <c r="Q383" t="n">
        <v>0</v>
      </c>
      <c r="R383" s="2" t="inlineStr"/>
    </row>
    <row r="384" ht="15" customHeight="1">
      <c r="A384" t="inlineStr">
        <is>
          <t>A 9-2024</t>
        </is>
      </c>
      <c r="B384" s="1" t="n">
        <v>45293</v>
      </c>
      <c r="C384" s="1" t="n">
        <v>45996</v>
      </c>
      <c r="D384" t="inlineStr">
        <is>
          <t>STOCKHOLMS LÄN</t>
        </is>
      </c>
      <c r="E384" t="inlineStr">
        <is>
          <t>NORRTÄLJE</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31924-2022</t>
        </is>
      </c>
      <c r="B385" s="1" t="n">
        <v>44777</v>
      </c>
      <c r="C385" s="1" t="n">
        <v>45996</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22832-2021</t>
        </is>
      </c>
      <c r="B386" s="1" t="n">
        <v>44325</v>
      </c>
      <c r="C386" s="1" t="n">
        <v>45996</v>
      </c>
      <c r="D386" t="inlineStr">
        <is>
          <t>STOCKHOLMS LÄN</t>
        </is>
      </c>
      <c r="E386" t="inlineStr">
        <is>
          <t>NORRTÄLJE</t>
        </is>
      </c>
      <c r="G386" t="n">
        <v>6.8</v>
      </c>
      <c r="H386" t="n">
        <v>0</v>
      </c>
      <c r="I386" t="n">
        <v>0</v>
      </c>
      <c r="J386" t="n">
        <v>0</v>
      </c>
      <c r="K386" t="n">
        <v>0</v>
      </c>
      <c r="L386" t="n">
        <v>0</v>
      </c>
      <c r="M386" t="n">
        <v>0</v>
      </c>
      <c r="N386" t="n">
        <v>0</v>
      </c>
      <c r="O386" t="n">
        <v>0</v>
      </c>
      <c r="P386" t="n">
        <v>0</v>
      </c>
      <c r="Q386" t="n">
        <v>0</v>
      </c>
      <c r="R386" s="2" t="inlineStr"/>
    </row>
    <row r="387" ht="15" customHeight="1">
      <c r="A387" t="inlineStr">
        <is>
          <t>A 16913-2025</t>
        </is>
      </c>
      <c r="B387" s="1" t="n">
        <v>45755.36583333334</v>
      </c>
      <c r="C387" s="1" t="n">
        <v>45996</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4035-2023</t>
        </is>
      </c>
      <c r="B388" s="1" t="n">
        <v>44952.57989583333</v>
      </c>
      <c r="C388" s="1" t="n">
        <v>45996</v>
      </c>
      <c r="D388" t="inlineStr">
        <is>
          <t>STOCKHOLMS LÄN</t>
        </is>
      </c>
      <c r="E388" t="inlineStr">
        <is>
          <t>NORRTÄLJE</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12270-2022</t>
        </is>
      </c>
      <c r="B389" s="1" t="n">
        <v>44637</v>
      </c>
      <c r="C389" s="1" t="n">
        <v>45996</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26051-2025</t>
        </is>
      </c>
      <c r="B390" s="1" t="n">
        <v>45804.74479166666</v>
      </c>
      <c r="C390" s="1" t="n">
        <v>45996</v>
      </c>
      <c r="D390" t="inlineStr">
        <is>
          <t>STOCKHOLMS LÄN</t>
        </is>
      </c>
      <c r="E390" t="inlineStr">
        <is>
          <t>NORRTÄLJE</t>
        </is>
      </c>
      <c r="G390" t="n">
        <v>3.2</v>
      </c>
      <c r="H390" t="n">
        <v>0</v>
      </c>
      <c r="I390" t="n">
        <v>0</v>
      </c>
      <c r="J390" t="n">
        <v>0</v>
      </c>
      <c r="K390" t="n">
        <v>0</v>
      </c>
      <c r="L390" t="n">
        <v>0</v>
      </c>
      <c r="M390" t="n">
        <v>0</v>
      </c>
      <c r="N390" t="n">
        <v>0</v>
      </c>
      <c r="O390" t="n">
        <v>0</v>
      </c>
      <c r="P390" t="n">
        <v>0</v>
      </c>
      <c r="Q390" t="n">
        <v>0</v>
      </c>
      <c r="R390" s="2" t="inlineStr"/>
    </row>
    <row r="391" ht="15" customHeight="1">
      <c r="A391" t="inlineStr">
        <is>
          <t>A 33793-2022</t>
        </is>
      </c>
      <c r="B391" s="1" t="n">
        <v>44790</v>
      </c>
      <c r="C391" s="1" t="n">
        <v>45996</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7413-2024</t>
        </is>
      </c>
      <c r="B392" s="1" t="n">
        <v>45345.6059837963</v>
      </c>
      <c r="C392" s="1" t="n">
        <v>45996</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12251-2025</t>
        </is>
      </c>
      <c r="B393" s="1" t="n">
        <v>45729.60859953704</v>
      </c>
      <c r="C393" s="1" t="n">
        <v>45996</v>
      </c>
      <c r="D393" t="inlineStr">
        <is>
          <t>STOCKHOLMS LÄN</t>
        </is>
      </c>
      <c r="E393" t="inlineStr">
        <is>
          <t>NORRTÄLJE</t>
        </is>
      </c>
      <c r="F393" t="inlineStr">
        <is>
          <t>Holmen skog AB</t>
        </is>
      </c>
      <c r="G393" t="n">
        <v>5.9</v>
      </c>
      <c r="H393" t="n">
        <v>0</v>
      </c>
      <c r="I393" t="n">
        <v>0</v>
      </c>
      <c r="J393" t="n">
        <v>0</v>
      </c>
      <c r="K393" t="n">
        <v>0</v>
      </c>
      <c r="L393" t="n">
        <v>0</v>
      </c>
      <c r="M393" t="n">
        <v>0</v>
      </c>
      <c r="N393" t="n">
        <v>0</v>
      </c>
      <c r="O393" t="n">
        <v>0</v>
      </c>
      <c r="P393" t="n">
        <v>0</v>
      </c>
      <c r="Q393" t="n">
        <v>0</v>
      </c>
      <c r="R393" s="2" t="inlineStr"/>
    </row>
    <row r="394" ht="15" customHeight="1">
      <c r="A394" t="inlineStr">
        <is>
          <t>A 58863-2024</t>
        </is>
      </c>
      <c r="B394" s="1" t="n">
        <v>45636.41572916666</v>
      </c>
      <c r="C394" s="1" t="n">
        <v>45996</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53600-2022</t>
        </is>
      </c>
      <c r="B395" s="1" t="n">
        <v>44879.70518518519</v>
      </c>
      <c r="C395" s="1" t="n">
        <v>45996</v>
      </c>
      <c r="D395" t="inlineStr">
        <is>
          <t>STOCKHOLMS LÄN</t>
        </is>
      </c>
      <c r="E395" t="inlineStr">
        <is>
          <t>NORRTÄLJE</t>
        </is>
      </c>
      <c r="G395" t="n">
        <v>4.3</v>
      </c>
      <c r="H395" t="n">
        <v>0</v>
      </c>
      <c r="I395" t="n">
        <v>0</v>
      </c>
      <c r="J395" t="n">
        <v>0</v>
      </c>
      <c r="K395" t="n">
        <v>0</v>
      </c>
      <c r="L395" t="n">
        <v>0</v>
      </c>
      <c r="M395" t="n">
        <v>0</v>
      </c>
      <c r="N395" t="n">
        <v>0</v>
      </c>
      <c r="O395" t="n">
        <v>0</v>
      </c>
      <c r="P395" t="n">
        <v>0</v>
      </c>
      <c r="Q395" t="n">
        <v>0</v>
      </c>
      <c r="R395" s="2" t="inlineStr"/>
    </row>
    <row r="396" ht="15" customHeight="1">
      <c r="A396" t="inlineStr">
        <is>
          <t>A 14543-2022</t>
        </is>
      </c>
      <c r="B396" s="1" t="n">
        <v>44655.45373842592</v>
      </c>
      <c r="C396" s="1" t="n">
        <v>45996</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7697-2025</t>
        </is>
      </c>
      <c r="B397" s="1" t="n">
        <v>45706.40086805556</v>
      </c>
      <c r="C397" s="1" t="n">
        <v>45996</v>
      </c>
      <c r="D397" t="inlineStr">
        <is>
          <t>STOCKHOLMS LÄN</t>
        </is>
      </c>
      <c r="E397" t="inlineStr">
        <is>
          <t>NORRTÄLJE</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50154-2024</t>
        </is>
      </c>
      <c r="B398" s="1" t="n">
        <v>45600.4558912037</v>
      </c>
      <c r="C398" s="1" t="n">
        <v>45996</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30221-2024</t>
        </is>
      </c>
      <c r="B399" s="1" t="n">
        <v>45490.45342592592</v>
      </c>
      <c r="C399" s="1" t="n">
        <v>45996</v>
      </c>
      <c r="D399" t="inlineStr">
        <is>
          <t>STOCKHOLMS LÄN</t>
        </is>
      </c>
      <c r="E399" t="inlineStr">
        <is>
          <t>NORRTÄLJE</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11900-2024</t>
        </is>
      </c>
      <c r="B400" s="1" t="n">
        <v>45376.55484953704</v>
      </c>
      <c r="C400" s="1" t="n">
        <v>45996</v>
      </c>
      <c r="D400" t="inlineStr">
        <is>
          <t>STOCKHOLMS LÄN</t>
        </is>
      </c>
      <c r="E400" t="inlineStr">
        <is>
          <t>NORRTÄLJE</t>
        </is>
      </c>
      <c r="G400" t="n">
        <v>4.2</v>
      </c>
      <c r="H400" t="n">
        <v>0</v>
      </c>
      <c r="I400" t="n">
        <v>0</v>
      </c>
      <c r="J400" t="n">
        <v>0</v>
      </c>
      <c r="K400" t="n">
        <v>0</v>
      </c>
      <c r="L400" t="n">
        <v>0</v>
      </c>
      <c r="M400" t="n">
        <v>0</v>
      </c>
      <c r="N400" t="n">
        <v>0</v>
      </c>
      <c r="O400" t="n">
        <v>0</v>
      </c>
      <c r="P400" t="n">
        <v>0</v>
      </c>
      <c r="Q400" t="n">
        <v>0</v>
      </c>
      <c r="R400" s="2" t="inlineStr"/>
    </row>
    <row r="401" ht="15" customHeight="1">
      <c r="A401" t="inlineStr">
        <is>
          <t>A 5513-2022</t>
        </is>
      </c>
      <c r="B401" s="1" t="n">
        <v>44595</v>
      </c>
      <c r="C401" s="1" t="n">
        <v>45996</v>
      </c>
      <c r="D401" t="inlineStr">
        <is>
          <t>STOCKHOLMS LÄN</t>
        </is>
      </c>
      <c r="E401" t="inlineStr">
        <is>
          <t>NORRTÄLJE</t>
        </is>
      </c>
      <c r="G401" t="n">
        <v>0.6</v>
      </c>
      <c r="H401" t="n">
        <v>0</v>
      </c>
      <c r="I401" t="n">
        <v>0</v>
      </c>
      <c r="J401" t="n">
        <v>0</v>
      </c>
      <c r="K401" t="n">
        <v>0</v>
      </c>
      <c r="L401" t="n">
        <v>0</v>
      </c>
      <c r="M401" t="n">
        <v>0</v>
      </c>
      <c r="N401" t="n">
        <v>0</v>
      </c>
      <c r="O401" t="n">
        <v>0</v>
      </c>
      <c r="P401" t="n">
        <v>0</v>
      </c>
      <c r="Q401" t="n">
        <v>0</v>
      </c>
      <c r="R401" s="2" t="inlineStr"/>
    </row>
    <row r="402" ht="15" customHeight="1">
      <c r="A402" t="inlineStr">
        <is>
          <t>A 26708-2025</t>
        </is>
      </c>
      <c r="B402" s="1" t="n">
        <v>45810.45633101852</v>
      </c>
      <c r="C402" s="1" t="n">
        <v>45996</v>
      </c>
      <c r="D402" t="inlineStr">
        <is>
          <t>STOCKHOLMS LÄN</t>
        </is>
      </c>
      <c r="E402" t="inlineStr">
        <is>
          <t>NORRTÄLJE</t>
        </is>
      </c>
      <c r="G402" t="n">
        <v>1.4</v>
      </c>
      <c r="H402" t="n">
        <v>0</v>
      </c>
      <c r="I402" t="n">
        <v>0</v>
      </c>
      <c r="J402" t="n">
        <v>0</v>
      </c>
      <c r="K402" t="n">
        <v>0</v>
      </c>
      <c r="L402" t="n">
        <v>0</v>
      </c>
      <c r="M402" t="n">
        <v>0</v>
      </c>
      <c r="N402" t="n">
        <v>0</v>
      </c>
      <c r="O402" t="n">
        <v>0</v>
      </c>
      <c r="P402" t="n">
        <v>0</v>
      </c>
      <c r="Q402" t="n">
        <v>0</v>
      </c>
      <c r="R402" s="2" t="inlineStr"/>
    </row>
    <row r="403" ht="15" customHeight="1">
      <c r="A403" t="inlineStr">
        <is>
          <t>A 13-2024</t>
        </is>
      </c>
      <c r="B403" s="1" t="n">
        <v>45293.37263888889</v>
      </c>
      <c r="C403" s="1" t="n">
        <v>45996</v>
      </c>
      <c r="D403" t="inlineStr">
        <is>
          <t>STOCKHOLMS LÄN</t>
        </is>
      </c>
      <c r="E403" t="inlineStr">
        <is>
          <t>NORRTÄLJE</t>
        </is>
      </c>
      <c r="G403" t="n">
        <v>1.6</v>
      </c>
      <c r="H403" t="n">
        <v>0</v>
      </c>
      <c r="I403" t="n">
        <v>0</v>
      </c>
      <c r="J403" t="n">
        <v>0</v>
      </c>
      <c r="K403" t="n">
        <v>0</v>
      </c>
      <c r="L403" t="n">
        <v>0</v>
      </c>
      <c r="M403" t="n">
        <v>0</v>
      </c>
      <c r="N403" t="n">
        <v>0</v>
      </c>
      <c r="O403" t="n">
        <v>0</v>
      </c>
      <c r="P403" t="n">
        <v>0</v>
      </c>
      <c r="Q403" t="n">
        <v>0</v>
      </c>
      <c r="R403" s="2" t="inlineStr"/>
    </row>
    <row r="404" ht="15" customHeight="1">
      <c r="A404" t="inlineStr">
        <is>
          <t>A 19-2024</t>
        </is>
      </c>
      <c r="B404" s="1" t="n">
        <v>45293</v>
      </c>
      <c r="C404" s="1" t="n">
        <v>45996</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31559-2022</t>
        </is>
      </c>
      <c r="B405" s="1" t="n">
        <v>44775</v>
      </c>
      <c r="C405" s="1" t="n">
        <v>45996</v>
      </c>
      <c r="D405" t="inlineStr">
        <is>
          <t>STOCKHOLMS LÄN</t>
        </is>
      </c>
      <c r="E405" t="inlineStr">
        <is>
          <t>NORRTÄLJE</t>
        </is>
      </c>
      <c r="G405" t="n">
        <v>5.6</v>
      </c>
      <c r="H405" t="n">
        <v>0</v>
      </c>
      <c r="I405" t="n">
        <v>0</v>
      </c>
      <c r="J405" t="n">
        <v>0</v>
      </c>
      <c r="K405" t="n">
        <v>0</v>
      </c>
      <c r="L405" t="n">
        <v>0</v>
      </c>
      <c r="M405" t="n">
        <v>0</v>
      </c>
      <c r="N405" t="n">
        <v>0</v>
      </c>
      <c r="O405" t="n">
        <v>0</v>
      </c>
      <c r="P405" t="n">
        <v>0</v>
      </c>
      <c r="Q405" t="n">
        <v>0</v>
      </c>
      <c r="R405" s="2" t="inlineStr"/>
    </row>
    <row r="406" ht="15" customHeight="1">
      <c r="A406" t="inlineStr">
        <is>
          <t>A 42867-2022</t>
        </is>
      </c>
      <c r="B406" s="1" t="n">
        <v>44832</v>
      </c>
      <c r="C406" s="1" t="n">
        <v>45996</v>
      </c>
      <c r="D406" t="inlineStr">
        <is>
          <t>STOCKHOLMS LÄN</t>
        </is>
      </c>
      <c r="E406" t="inlineStr">
        <is>
          <t>NORRTÄLJE</t>
        </is>
      </c>
      <c r="G406" t="n">
        <v>6.4</v>
      </c>
      <c r="H406" t="n">
        <v>0</v>
      </c>
      <c r="I406" t="n">
        <v>0</v>
      </c>
      <c r="J406" t="n">
        <v>0</v>
      </c>
      <c r="K406" t="n">
        <v>0</v>
      </c>
      <c r="L406" t="n">
        <v>0</v>
      </c>
      <c r="M406" t="n">
        <v>0</v>
      </c>
      <c r="N406" t="n">
        <v>0</v>
      </c>
      <c r="O406" t="n">
        <v>0</v>
      </c>
      <c r="P406" t="n">
        <v>0</v>
      </c>
      <c r="Q406" t="n">
        <v>0</v>
      </c>
      <c r="R406" s="2" t="inlineStr"/>
    </row>
    <row r="407" ht="15" customHeight="1">
      <c r="A407" t="inlineStr">
        <is>
          <t>A 8419-2025</t>
        </is>
      </c>
      <c r="B407" s="1" t="n">
        <v>45709.40231481481</v>
      </c>
      <c r="C407" s="1" t="n">
        <v>45996</v>
      </c>
      <c r="D407" t="inlineStr">
        <is>
          <t>STOCKHOLMS LÄN</t>
        </is>
      </c>
      <c r="E407" t="inlineStr">
        <is>
          <t>NORRTÄLJE</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26702-2025</t>
        </is>
      </c>
      <c r="B408" s="1" t="n">
        <v>45810.45236111111</v>
      </c>
      <c r="C408" s="1" t="n">
        <v>45996</v>
      </c>
      <c r="D408" t="inlineStr">
        <is>
          <t>STOCKHOLMS LÄN</t>
        </is>
      </c>
      <c r="E408" t="inlineStr">
        <is>
          <t>NORRTÄLJE</t>
        </is>
      </c>
      <c r="G408" t="n">
        <v>7.3</v>
      </c>
      <c r="H408" t="n">
        <v>0</v>
      </c>
      <c r="I408" t="n">
        <v>0</v>
      </c>
      <c r="J408" t="n">
        <v>0</v>
      </c>
      <c r="K408" t="n">
        <v>0</v>
      </c>
      <c r="L408" t="n">
        <v>0</v>
      </c>
      <c r="M408" t="n">
        <v>0</v>
      </c>
      <c r="N408" t="n">
        <v>0</v>
      </c>
      <c r="O408" t="n">
        <v>0</v>
      </c>
      <c r="P408" t="n">
        <v>0</v>
      </c>
      <c r="Q408" t="n">
        <v>0</v>
      </c>
      <c r="R408" s="2" t="inlineStr"/>
    </row>
    <row r="409" ht="15" customHeight="1">
      <c r="A409" t="inlineStr">
        <is>
          <t>A 23061-2025</t>
        </is>
      </c>
      <c r="B409" s="1" t="n">
        <v>45790.81410879629</v>
      </c>
      <c r="C409" s="1" t="n">
        <v>45996</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66662-2020</t>
        </is>
      </c>
      <c r="B410" s="1" t="n">
        <v>44179</v>
      </c>
      <c r="C410" s="1" t="n">
        <v>45996</v>
      </c>
      <c r="D410" t="inlineStr">
        <is>
          <t>STOCKHOLMS LÄN</t>
        </is>
      </c>
      <c r="E410" t="inlineStr">
        <is>
          <t>NORRTÄLJE</t>
        </is>
      </c>
      <c r="G410" t="n">
        <v>1.9</v>
      </c>
      <c r="H410" t="n">
        <v>0</v>
      </c>
      <c r="I410" t="n">
        <v>0</v>
      </c>
      <c r="J410" t="n">
        <v>0</v>
      </c>
      <c r="K410" t="n">
        <v>0</v>
      </c>
      <c r="L410" t="n">
        <v>0</v>
      </c>
      <c r="M410" t="n">
        <v>0</v>
      </c>
      <c r="N410" t="n">
        <v>0</v>
      </c>
      <c r="O410" t="n">
        <v>0</v>
      </c>
      <c r="P410" t="n">
        <v>0</v>
      </c>
      <c r="Q410" t="n">
        <v>0</v>
      </c>
      <c r="R410" s="2" t="inlineStr"/>
    </row>
    <row r="411" ht="15" customHeight="1">
      <c r="A411" t="inlineStr">
        <is>
          <t>A 35161-2022</t>
        </is>
      </c>
      <c r="B411" s="1" t="n">
        <v>44797</v>
      </c>
      <c r="C411" s="1" t="n">
        <v>45996</v>
      </c>
      <c r="D411" t="inlineStr">
        <is>
          <t>STOCKHOLMS LÄN</t>
        </is>
      </c>
      <c r="E411" t="inlineStr">
        <is>
          <t>NORRTÄLJE</t>
        </is>
      </c>
      <c r="G411" t="n">
        <v>6</v>
      </c>
      <c r="H411" t="n">
        <v>0</v>
      </c>
      <c r="I411" t="n">
        <v>0</v>
      </c>
      <c r="J411" t="n">
        <v>0</v>
      </c>
      <c r="K411" t="n">
        <v>0</v>
      </c>
      <c r="L411" t="n">
        <v>0</v>
      </c>
      <c r="M411" t="n">
        <v>0</v>
      </c>
      <c r="N411" t="n">
        <v>0</v>
      </c>
      <c r="O411" t="n">
        <v>0</v>
      </c>
      <c r="P411" t="n">
        <v>0</v>
      </c>
      <c r="Q411" t="n">
        <v>0</v>
      </c>
      <c r="R411" s="2" t="inlineStr"/>
    </row>
    <row r="412" ht="15" customHeight="1">
      <c r="A412" t="inlineStr">
        <is>
          <t>A 67921-2021</t>
        </is>
      </c>
      <c r="B412" s="1" t="n">
        <v>44525</v>
      </c>
      <c r="C412" s="1" t="n">
        <v>45996</v>
      </c>
      <c r="D412" t="inlineStr">
        <is>
          <t>STOCKHOLMS LÄN</t>
        </is>
      </c>
      <c r="E412" t="inlineStr">
        <is>
          <t>NORRTÄLJE</t>
        </is>
      </c>
      <c r="G412" t="n">
        <v>6.3</v>
      </c>
      <c r="H412" t="n">
        <v>0</v>
      </c>
      <c r="I412" t="n">
        <v>0</v>
      </c>
      <c r="J412" t="n">
        <v>0</v>
      </c>
      <c r="K412" t="n">
        <v>0</v>
      </c>
      <c r="L412" t="n">
        <v>0</v>
      </c>
      <c r="M412" t="n">
        <v>0</v>
      </c>
      <c r="N412" t="n">
        <v>0</v>
      </c>
      <c r="O412" t="n">
        <v>0</v>
      </c>
      <c r="P412" t="n">
        <v>0</v>
      </c>
      <c r="Q412" t="n">
        <v>0</v>
      </c>
      <c r="R412" s="2" t="inlineStr"/>
    </row>
    <row r="413" ht="15" customHeight="1">
      <c r="A413" t="inlineStr">
        <is>
          <t>A 23749-2024</t>
        </is>
      </c>
      <c r="B413" s="1" t="n">
        <v>45455.33037037037</v>
      </c>
      <c r="C413" s="1" t="n">
        <v>45996</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27040-2025</t>
        </is>
      </c>
      <c r="B414" s="1" t="n">
        <v>45811.60451388889</v>
      </c>
      <c r="C414" s="1" t="n">
        <v>45996</v>
      </c>
      <c r="D414" t="inlineStr">
        <is>
          <t>STOCKHOLMS LÄN</t>
        </is>
      </c>
      <c r="E414" t="inlineStr">
        <is>
          <t>NORRTÄLJE</t>
        </is>
      </c>
      <c r="G414" t="n">
        <v>4.3</v>
      </c>
      <c r="H414" t="n">
        <v>0</v>
      </c>
      <c r="I414" t="n">
        <v>0</v>
      </c>
      <c r="J414" t="n">
        <v>0</v>
      </c>
      <c r="K414" t="n">
        <v>0</v>
      </c>
      <c r="L414" t="n">
        <v>0</v>
      </c>
      <c r="M414" t="n">
        <v>0</v>
      </c>
      <c r="N414" t="n">
        <v>0</v>
      </c>
      <c r="O414" t="n">
        <v>0</v>
      </c>
      <c r="P414" t="n">
        <v>0</v>
      </c>
      <c r="Q414" t="n">
        <v>0</v>
      </c>
      <c r="R414" s="2" t="inlineStr"/>
    </row>
    <row r="415" ht="15" customHeight="1">
      <c r="A415" t="inlineStr">
        <is>
          <t>A 26747-2025</t>
        </is>
      </c>
      <c r="B415" s="1" t="n">
        <v>45810.5333912037</v>
      </c>
      <c r="C415" s="1" t="n">
        <v>45996</v>
      </c>
      <c r="D415" t="inlineStr">
        <is>
          <t>STOCKHOLMS LÄN</t>
        </is>
      </c>
      <c r="E415" t="inlineStr">
        <is>
          <t>NORRTÄLJE</t>
        </is>
      </c>
      <c r="G415" t="n">
        <v>1.9</v>
      </c>
      <c r="H415" t="n">
        <v>0</v>
      </c>
      <c r="I415" t="n">
        <v>0</v>
      </c>
      <c r="J415" t="n">
        <v>0</v>
      </c>
      <c r="K415" t="n">
        <v>0</v>
      </c>
      <c r="L415" t="n">
        <v>0</v>
      </c>
      <c r="M415" t="n">
        <v>0</v>
      </c>
      <c r="N415" t="n">
        <v>0</v>
      </c>
      <c r="O415" t="n">
        <v>0</v>
      </c>
      <c r="P415" t="n">
        <v>0</v>
      </c>
      <c r="Q415" t="n">
        <v>0</v>
      </c>
      <c r="R415" s="2" t="inlineStr"/>
    </row>
    <row r="416" ht="15" customHeight="1">
      <c r="A416" t="inlineStr">
        <is>
          <t>A 58277-2023</t>
        </is>
      </c>
      <c r="B416" s="1" t="n">
        <v>45245</v>
      </c>
      <c r="C416" s="1" t="n">
        <v>45996</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58989-2021</t>
        </is>
      </c>
      <c r="B417" s="1" t="n">
        <v>44490.02482638889</v>
      </c>
      <c r="C417" s="1" t="n">
        <v>45996</v>
      </c>
      <c r="D417" t="inlineStr">
        <is>
          <t>STOCKHOLMS LÄN</t>
        </is>
      </c>
      <c r="E417" t="inlineStr">
        <is>
          <t>NORRTÄLJE</t>
        </is>
      </c>
      <c r="G417" t="n">
        <v>0.3</v>
      </c>
      <c r="H417" t="n">
        <v>0</v>
      </c>
      <c r="I417" t="n">
        <v>0</v>
      </c>
      <c r="J417" t="n">
        <v>0</v>
      </c>
      <c r="K417" t="n">
        <v>0</v>
      </c>
      <c r="L417" t="n">
        <v>0</v>
      </c>
      <c r="M417" t="n">
        <v>0</v>
      </c>
      <c r="N417" t="n">
        <v>0</v>
      </c>
      <c r="O417" t="n">
        <v>0</v>
      </c>
      <c r="P417" t="n">
        <v>0</v>
      </c>
      <c r="Q417" t="n">
        <v>0</v>
      </c>
      <c r="R417" s="2" t="inlineStr"/>
    </row>
    <row r="418" ht="15" customHeight="1">
      <c r="A418" t="inlineStr">
        <is>
          <t>A 46988-2024</t>
        </is>
      </c>
      <c r="B418" s="1" t="n">
        <v>45586</v>
      </c>
      <c r="C418" s="1" t="n">
        <v>45996</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32705-2022</t>
        </is>
      </c>
      <c r="B419" s="1" t="n">
        <v>44783</v>
      </c>
      <c r="C419" s="1" t="n">
        <v>45996</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21529-2021</t>
        </is>
      </c>
      <c r="B420" s="1" t="n">
        <v>44321</v>
      </c>
      <c r="C420" s="1" t="n">
        <v>45996</v>
      </c>
      <c r="D420" t="inlineStr">
        <is>
          <t>STOCKHOLMS LÄN</t>
        </is>
      </c>
      <c r="E420" t="inlineStr">
        <is>
          <t>NORRTÄLJE</t>
        </is>
      </c>
      <c r="G420" t="n">
        <v>2.7</v>
      </c>
      <c r="H420" t="n">
        <v>0</v>
      </c>
      <c r="I420" t="n">
        <v>0</v>
      </c>
      <c r="J420" t="n">
        <v>0</v>
      </c>
      <c r="K420" t="n">
        <v>0</v>
      </c>
      <c r="L420" t="n">
        <v>0</v>
      </c>
      <c r="M420" t="n">
        <v>0</v>
      </c>
      <c r="N420" t="n">
        <v>0</v>
      </c>
      <c r="O420" t="n">
        <v>0</v>
      </c>
      <c r="P420" t="n">
        <v>0</v>
      </c>
      <c r="Q420" t="n">
        <v>0</v>
      </c>
      <c r="R420" s="2" t="inlineStr"/>
    </row>
    <row r="421" ht="15" customHeight="1">
      <c r="A421" t="inlineStr">
        <is>
          <t>A 13701-2022</t>
        </is>
      </c>
      <c r="B421" s="1" t="n">
        <v>44648</v>
      </c>
      <c r="C421" s="1" t="n">
        <v>45996</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65499-2021</t>
        </is>
      </c>
      <c r="B422" s="1" t="n">
        <v>44516</v>
      </c>
      <c r="C422" s="1" t="n">
        <v>45996</v>
      </c>
      <c r="D422" t="inlineStr">
        <is>
          <t>STOCKHOLMS LÄN</t>
        </is>
      </c>
      <c r="E422" t="inlineStr">
        <is>
          <t>NORRTÄLJE</t>
        </is>
      </c>
      <c r="F422" t="inlineStr">
        <is>
          <t>Kommuner</t>
        </is>
      </c>
      <c r="G422" t="n">
        <v>5.2</v>
      </c>
      <c r="H422" t="n">
        <v>0</v>
      </c>
      <c r="I422" t="n">
        <v>0</v>
      </c>
      <c r="J422" t="n">
        <v>0</v>
      </c>
      <c r="K422" t="n">
        <v>0</v>
      </c>
      <c r="L422" t="n">
        <v>0</v>
      </c>
      <c r="M422" t="n">
        <v>0</v>
      </c>
      <c r="N422" t="n">
        <v>0</v>
      </c>
      <c r="O422" t="n">
        <v>0</v>
      </c>
      <c r="P422" t="n">
        <v>0</v>
      </c>
      <c r="Q422" t="n">
        <v>0</v>
      </c>
      <c r="R422" s="2" t="inlineStr"/>
    </row>
    <row r="423" ht="15" customHeight="1">
      <c r="A423" t="inlineStr">
        <is>
          <t>A 47481-2024</t>
        </is>
      </c>
      <c r="B423" s="1" t="n">
        <v>45587</v>
      </c>
      <c r="C423" s="1" t="n">
        <v>45996</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26675-2025</t>
        </is>
      </c>
      <c r="B424" s="1" t="n">
        <v>45810.42393518519</v>
      </c>
      <c r="C424" s="1" t="n">
        <v>45996</v>
      </c>
      <c r="D424" t="inlineStr">
        <is>
          <t>STOCKHOLMS LÄN</t>
        </is>
      </c>
      <c r="E424" t="inlineStr">
        <is>
          <t>NORRTÄLJE</t>
        </is>
      </c>
      <c r="G424" t="n">
        <v>2.7</v>
      </c>
      <c r="H424" t="n">
        <v>0</v>
      </c>
      <c r="I424" t="n">
        <v>0</v>
      </c>
      <c r="J424" t="n">
        <v>0</v>
      </c>
      <c r="K424" t="n">
        <v>0</v>
      </c>
      <c r="L424" t="n">
        <v>0</v>
      </c>
      <c r="M424" t="n">
        <v>0</v>
      </c>
      <c r="N424" t="n">
        <v>0</v>
      </c>
      <c r="O424" t="n">
        <v>0</v>
      </c>
      <c r="P424" t="n">
        <v>0</v>
      </c>
      <c r="Q424" t="n">
        <v>0</v>
      </c>
      <c r="R424" s="2" t="inlineStr"/>
    </row>
    <row r="425" ht="15" customHeight="1">
      <c r="A425" t="inlineStr">
        <is>
          <t>A 57037-2022</t>
        </is>
      </c>
      <c r="B425" s="1" t="n">
        <v>44895</v>
      </c>
      <c r="C425" s="1" t="n">
        <v>45996</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11940-2023</t>
        </is>
      </c>
      <c r="B426" s="1" t="n">
        <v>44995</v>
      </c>
      <c r="C426" s="1" t="n">
        <v>45996</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14132-2025</t>
        </is>
      </c>
      <c r="B427" s="1" t="n">
        <v>45740.47550925926</v>
      </c>
      <c r="C427" s="1" t="n">
        <v>45996</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14133-2025</t>
        </is>
      </c>
      <c r="B428" s="1" t="n">
        <v>45740.47724537037</v>
      </c>
      <c r="C428" s="1" t="n">
        <v>45996</v>
      </c>
      <c r="D428" t="inlineStr">
        <is>
          <t>STOCKHOLMS LÄN</t>
        </is>
      </c>
      <c r="E428" t="inlineStr">
        <is>
          <t>NORRTÄLJE</t>
        </is>
      </c>
      <c r="G428" t="n">
        <v>0.4</v>
      </c>
      <c r="H428" t="n">
        <v>0</v>
      </c>
      <c r="I428" t="n">
        <v>0</v>
      </c>
      <c r="J428" t="n">
        <v>0</v>
      </c>
      <c r="K428" t="n">
        <v>0</v>
      </c>
      <c r="L428" t="n">
        <v>0</v>
      </c>
      <c r="M428" t="n">
        <v>0</v>
      </c>
      <c r="N428" t="n">
        <v>0</v>
      </c>
      <c r="O428" t="n">
        <v>0</v>
      </c>
      <c r="P428" t="n">
        <v>0</v>
      </c>
      <c r="Q428" t="n">
        <v>0</v>
      </c>
      <c r="R428" s="2" t="inlineStr"/>
    </row>
    <row r="429" ht="15" customHeight="1">
      <c r="A429" t="inlineStr">
        <is>
          <t>A 2281-2024</t>
        </is>
      </c>
      <c r="B429" s="1" t="n">
        <v>45310.40628472222</v>
      </c>
      <c r="C429" s="1" t="n">
        <v>45996</v>
      </c>
      <c r="D429" t="inlineStr">
        <is>
          <t>STOCKHOLMS LÄN</t>
        </is>
      </c>
      <c r="E429" t="inlineStr">
        <is>
          <t>NORRTÄLJE</t>
        </is>
      </c>
      <c r="G429" t="n">
        <v>2.7</v>
      </c>
      <c r="H429" t="n">
        <v>0</v>
      </c>
      <c r="I429" t="n">
        <v>0</v>
      </c>
      <c r="J429" t="n">
        <v>0</v>
      </c>
      <c r="K429" t="n">
        <v>0</v>
      </c>
      <c r="L429" t="n">
        <v>0</v>
      </c>
      <c r="M429" t="n">
        <v>0</v>
      </c>
      <c r="N429" t="n">
        <v>0</v>
      </c>
      <c r="O429" t="n">
        <v>0</v>
      </c>
      <c r="P429" t="n">
        <v>0</v>
      </c>
      <c r="Q429" t="n">
        <v>0</v>
      </c>
      <c r="R429" s="2" t="inlineStr"/>
    </row>
    <row r="430" ht="15" customHeight="1">
      <c r="A430" t="inlineStr">
        <is>
          <t>A 8792-2025</t>
        </is>
      </c>
      <c r="B430" s="1" t="n">
        <v>45712</v>
      </c>
      <c r="C430" s="1" t="n">
        <v>45996</v>
      </c>
      <c r="D430" t="inlineStr">
        <is>
          <t>STOCKHOLMS LÄN</t>
        </is>
      </c>
      <c r="E430" t="inlineStr">
        <is>
          <t>NORRTÄLJE</t>
        </is>
      </c>
      <c r="F430" t="inlineStr">
        <is>
          <t>Övriga Aktiebolag</t>
        </is>
      </c>
      <c r="G430" t="n">
        <v>6.6</v>
      </c>
      <c r="H430" t="n">
        <v>0</v>
      </c>
      <c r="I430" t="n">
        <v>0</v>
      </c>
      <c r="J430" t="n">
        <v>0</v>
      </c>
      <c r="K430" t="n">
        <v>0</v>
      </c>
      <c r="L430" t="n">
        <v>0</v>
      </c>
      <c r="M430" t="n">
        <v>0</v>
      </c>
      <c r="N430" t="n">
        <v>0</v>
      </c>
      <c r="O430" t="n">
        <v>0</v>
      </c>
      <c r="P430" t="n">
        <v>0</v>
      </c>
      <c r="Q430" t="n">
        <v>0</v>
      </c>
      <c r="R430" s="2" t="inlineStr"/>
    </row>
    <row r="431" ht="15" customHeight="1">
      <c r="A431" t="inlineStr">
        <is>
          <t>A 27554-2025</t>
        </is>
      </c>
      <c r="B431" s="1" t="n">
        <v>45813.4709375</v>
      </c>
      <c r="C431" s="1" t="n">
        <v>45996</v>
      </c>
      <c r="D431" t="inlineStr">
        <is>
          <t>STOCKHOLMS LÄN</t>
        </is>
      </c>
      <c r="E431" t="inlineStr">
        <is>
          <t>NORRTÄLJE</t>
        </is>
      </c>
      <c r="F431" t="inlineStr">
        <is>
          <t>Övriga Aktiebolag</t>
        </is>
      </c>
      <c r="G431" t="n">
        <v>2.5</v>
      </c>
      <c r="H431" t="n">
        <v>0</v>
      </c>
      <c r="I431" t="n">
        <v>0</v>
      </c>
      <c r="J431" t="n">
        <v>0</v>
      </c>
      <c r="K431" t="n">
        <v>0</v>
      </c>
      <c r="L431" t="n">
        <v>0</v>
      </c>
      <c r="M431" t="n">
        <v>0</v>
      </c>
      <c r="N431" t="n">
        <v>0</v>
      </c>
      <c r="O431" t="n">
        <v>0</v>
      </c>
      <c r="P431" t="n">
        <v>0</v>
      </c>
      <c r="Q431" t="n">
        <v>0</v>
      </c>
      <c r="R431" s="2" t="inlineStr"/>
    </row>
    <row r="432" ht="15" customHeight="1">
      <c r="A432" t="inlineStr">
        <is>
          <t>A 60525-2022</t>
        </is>
      </c>
      <c r="B432" s="1" t="n">
        <v>44904</v>
      </c>
      <c r="C432" s="1" t="n">
        <v>45996</v>
      </c>
      <c r="D432" t="inlineStr">
        <is>
          <t>STOCKHOLMS LÄN</t>
        </is>
      </c>
      <c r="E432" t="inlineStr">
        <is>
          <t>NORRTÄLJE</t>
        </is>
      </c>
      <c r="G432" t="n">
        <v>13.4</v>
      </c>
      <c r="H432" t="n">
        <v>0</v>
      </c>
      <c r="I432" t="n">
        <v>0</v>
      </c>
      <c r="J432" t="n">
        <v>0</v>
      </c>
      <c r="K432" t="n">
        <v>0</v>
      </c>
      <c r="L432" t="n">
        <v>0</v>
      </c>
      <c r="M432" t="n">
        <v>0</v>
      </c>
      <c r="N432" t="n">
        <v>0</v>
      </c>
      <c r="O432" t="n">
        <v>0</v>
      </c>
      <c r="P432" t="n">
        <v>0</v>
      </c>
      <c r="Q432" t="n">
        <v>0</v>
      </c>
      <c r="R432" s="2" t="inlineStr"/>
    </row>
    <row r="433" ht="15" customHeight="1">
      <c r="A433" t="inlineStr">
        <is>
          <t>A 24887-2023</t>
        </is>
      </c>
      <c r="B433" s="1" t="n">
        <v>45085</v>
      </c>
      <c r="C433" s="1" t="n">
        <v>45996</v>
      </c>
      <c r="D433" t="inlineStr">
        <is>
          <t>STOCKHOLMS LÄN</t>
        </is>
      </c>
      <c r="E433" t="inlineStr">
        <is>
          <t>NORRTÄLJE</t>
        </is>
      </c>
      <c r="G433" t="n">
        <v>13.9</v>
      </c>
      <c r="H433" t="n">
        <v>0</v>
      </c>
      <c r="I433" t="n">
        <v>0</v>
      </c>
      <c r="J433" t="n">
        <v>0</v>
      </c>
      <c r="K433" t="n">
        <v>0</v>
      </c>
      <c r="L433" t="n">
        <v>0</v>
      </c>
      <c r="M433" t="n">
        <v>0</v>
      </c>
      <c r="N433" t="n">
        <v>0</v>
      </c>
      <c r="O433" t="n">
        <v>0</v>
      </c>
      <c r="P433" t="n">
        <v>0</v>
      </c>
      <c r="Q433" t="n">
        <v>0</v>
      </c>
      <c r="R433" s="2" t="inlineStr"/>
    </row>
    <row r="434" ht="15" customHeight="1">
      <c r="A434" t="inlineStr">
        <is>
          <t>A 38612-2022</t>
        </is>
      </c>
      <c r="B434" s="1" t="n">
        <v>44813</v>
      </c>
      <c r="C434" s="1" t="n">
        <v>45996</v>
      </c>
      <c r="D434" t="inlineStr">
        <is>
          <t>STOCKHOLMS LÄN</t>
        </is>
      </c>
      <c r="E434" t="inlineStr">
        <is>
          <t>NORRTÄLJE</t>
        </is>
      </c>
      <c r="G434" t="n">
        <v>1.7</v>
      </c>
      <c r="H434" t="n">
        <v>0</v>
      </c>
      <c r="I434" t="n">
        <v>0</v>
      </c>
      <c r="J434" t="n">
        <v>0</v>
      </c>
      <c r="K434" t="n">
        <v>0</v>
      </c>
      <c r="L434" t="n">
        <v>0</v>
      </c>
      <c r="M434" t="n">
        <v>0</v>
      </c>
      <c r="N434" t="n">
        <v>0</v>
      </c>
      <c r="O434" t="n">
        <v>0</v>
      </c>
      <c r="P434" t="n">
        <v>0</v>
      </c>
      <c r="Q434" t="n">
        <v>0</v>
      </c>
      <c r="R434" s="2" t="inlineStr"/>
    </row>
    <row r="435" ht="15" customHeight="1">
      <c r="A435" t="inlineStr">
        <is>
          <t>A 4326-2023</t>
        </is>
      </c>
      <c r="B435" s="1" t="n">
        <v>44953.70481481482</v>
      </c>
      <c r="C435" s="1" t="n">
        <v>45996</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7903-2021</t>
        </is>
      </c>
      <c r="B436" s="1" t="n">
        <v>44243.33587962963</v>
      </c>
      <c r="C436" s="1" t="n">
        <v>45996</v>
      </c>
      <c r="D436" t="inlineStr">
        <is>
          <t>STOCKHOLMS LÄN</t>
        </is>
      </c>
      <c r="E436" t="inlineStr">
        <is>
          <t>NORRTÄLJE</t>
        </is>
      </c>
      <c r="G436" t="n">
        <v>3.5</v>
      </c>
      <c r="H436" t="n">
        <v>0</v>
      </c>
      <c r="I436" t="n">
        <v>0</v>
      </c>
      <c r="J436" t="n">
        <v>0</v>
      </c>
      <c r="K436" t="n">
        <v>0</v>
      </c>
      <c r="L436" t="n">
        <v>0</v>
      </c>
      <c r="M436" t="n">
        <v>0</v>
      </c>
      <c r="N436" t="n">
        <v>0</v>
      </c>
      <c r="O436" t="n">
        <v>0</v>
      </c>
      <c r="P436" t="n">
        <v>0</v>
      </c>
      <c r="Q436" t="n">
        <v>0</v>
      </c>
      <c r="R436" s="2" t="inlineStr"/>
    </row>
    <row r="437" ht="15" customHeight="1">
      <c r="A437" t="inlineStr">
        <is>
          <t>A 54504-2024</t>
        </is>
      </c>
      <c r="B437" s="1" t="n">
        <v>45617.58453703704</v>
      </c>
      <c r="C437" s="1" t="n">
        <v>45996</v>
      </c>
      <c r="D437" t="inlineStr">
        <is>
          <t>STOCKHOLMS LÄN</t>
        </is>
      </c>
      <c r="E437" t="inlineStr">
        <is>
          <t>NORRTÄLJE</t>
        </is>
      </c>
      <c r="G437" t="n">
        <v>3.4</v>
      </c>
      <c r="H437" t="n">
        <v>0</v>
      </c>
      <c r="I437" t="n">
        <v>0</v>
      </c>
      <c r="J437" t="n">
        <v>0</v>
      </c>
      <c r="K437" t="n">
        <v>0</v>
      </c>
      <c r="L437" t="n">
        <v>0</v>
      </c>
      <c r="M437" t="n">
        <v>0</v>
      </c>
      <c r="N437" t="n">
        <v>0</v>
      </c>
      <c r="O437" t="n">
        <v>0</v>
      </c>
      <c r="P437" t="n">
        <v>0</v>
      </c>
      <c r="Q437" t="n">
        <v>0</v>
      </c>
      <c r="R437" s="2" t="inlineStr"/>
    </row>
    <row r="438" ht="15" customHeight="1">
      <c r="A438" t="inlineStr">
        <is>
          <t>A 27700-2025</t>
        </is>
      </c>
      <c r="B438" s="1" t="n">
        <v>45813.6799537037</v>
      </c>
      <c r="C438" s="1" t="n">
        <v>45996</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39213-2022</t>
        </is>
      </c>
      <c r="B439" s="1" t="n">
        <v>44817.56120370371</v>
      </c>
      <c r="C439" s="1" t="n">
        <v>45996</v>
      </c>
      <c r="D439" t="inlineStr">
        <is>
          <t>STOCKHOLMS LÄN</t>
        </is>
      </c>
      <c r="E439" t="inlineStr">
        <is>
          <t>NORRTÄLJE</t>
        </is>
      </c>
      <c r="G439" t="n">
        <v>3.4</v>
      </c>
      <c r="H439" t="n">
        <v>0</v>
      </c>
      <c r="I439" t="n">
        <v>0</v>
      </c>
      <c r="J439" t="n">
        <v>0</v>
      </c>
      <c r="K439" t="n">
        <v>0</v>
      </c>
      <c r="L439" t="n">
        <v>0</v>
      </c>
      <c r="M439" t="n">
        <v>0</v>
      </c>
      <c r="N439" t="n">
        <v>0</v>
      </c>
      <c r="O439" t="n">
        <v>0</v>
      </c>
      <c r="P439" t="n">
        <v>0</v>
      </c>
      <c r="Q439" t="n">
        <v>0</v>
      </c>
      <c r="R439" s="2" t="inlineStr"/>
    </row>
    <row r="440" ht="15" customHeight="1">
      <c r="A440" t="inlineStr">
        <is>
          <t>A 27697-2025</t>
        </is>
      </c>
      <c r="B440" s="1" t="n">
        <v>45813.66961805556</v>
      </c>
      <c r="C440" s="1" t="n">
        <v>45996</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41976-2024</t>
        </is>
      </c>
      <c r="B441" s="1" t="n">
        <v>45561.62141203704</v>
      </c>
      <c r="C441" s="1" t="n">
        <v>45996</v>
      </c>
      <c r="D441" t="inlineStr">
        <is>
          <t>STOCKHOLMS LÄN</t>
        </is>
      </c>
      <c r="E441" t="inlineStr">
        <is>
          <t>NORRTÄLJE</t>
        </is>
      </c>
      <c r="G441" t="n">
        <v>2.5</v>
      </c>
      <c r="H441" t="n">
        <v>0</v>
      </c>
      <c r="I441" t="n">
        <v>0</v>
      </c>
      <c r="J441" t="n">
        <v>0</v>
      </c>
      <c r="K441" t="n">
        <v>0</v>
      </c>
      <c r="L441" t="n">
        <v>0</v>
      </c>
      <c r="M441" t="n">
        <v>0</v>
      </c>
      <c r="N441" t="n">
        <v>0</v>
      </c>
      <c r="O441" t="n">
        <v>0</v>
      </c>
      <c r="P441" t="n">
        <v>0</v>
      </c>
      <c r="Q441" t="n">
        <v>0</v>
      </c>
      <c r="R441" s="2" t="inlineStr"/>
    </row>
    <row r="442" ht="15" customHeight="1">
      <c r="A442" t="inlineStr">
        <is>
          <t>A 27802-2025</t>
        </is>
      </c>
      <c r="B442" s="1" t="n">
        <v>45817.2565625</v>
      </c>
      <c r="C442" s="1" t="n">
        <v>45996</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27806-2025</t>
        </is>
      </c>
      <c r="B443" s="1" t="n">
        <v>45817.30329861111</v>
      </c>
      <c r="C443" s="1" t="n">
        <v>45996</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27808-2025</t>
        </is>
      </c>
      <c r="B444" s="1" t="n">
        <v>45817.31085648148</v>
      </c>
      <c r="C444" s="1" t="n">
        <v>45996</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27810-2025</t>
        </is>
      </c>
      <c r="B445" s="1" t="n">
        <v>45817.31708333334</v>
      </c>
      <c r="C445" s="1" t="n">
        <v>45996</v>
      </c>
      <c r="D445" t="inlineStr">
        <is>
          <t>STOCKHOLMS LÄN</t>
        </is>
      </c>
      <c r="E445" t="inlineStr">
        <is>
          <t>NORRTÄLJE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27811-2025</t>
        </is>
      </c>
      <c r="B446" s="1" t="n">
        <v>45817.31986111111</v>
      </c>
      <c r="C446" s="1" t="n">
        <v>45996</v>
      </c>
      <c r="D446" t="inlineStr">
        <is>
          <t>STOCKHOLMS LÄN</t>
        </is>
      </c>
      <c r="E446" t="inlineStr">
        <is>
          <t>NORRTÄLJE</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27818-2025</t>
        </is>
      </c>
      <c r="B447" s="1" t="n">
        <v>45817.33503472222</v>
      </c>
      <c r="C447" s="1" t="n">
        <v>45996</v>
      </c>
      <c r="D447" t="inlineStr">
        <is>
          <t>STOCKHOLMS LÄN</t>
        </is>
      </c>
      <c r="E447" t="inlineStr">
        <is>
          <t>NORRTÄLJE</t>
        </is>
      </c>
      <c r="F447" t="inlineStr">
        <is>
          <t>Sveaskog</t>
        </is>
      </c>
      <c r="G447" t="n">
        <v>0.3</v>
      </c>
      <c r="H447" t="n">
        <v>0</v>
      </c>
      <c r="I447" t="n">
        <v>0</v>
      </c>
      <c r="J447" t="n">
        <v>0</v>
      </c>
      <c r="K447" t="n">
        <v>0</v>
      </c>
      <c r="L447" t="n">
        <v>0</v>
      </c>
      <c r="M447" t="n">
        <v>0</v>
      </c>
      <c r="N447" t="n">
        <v>0</v>
      </c>
      <c r="O447" t="n">
        <v>0</v>
      </c>
      <c r="P447" t="n">
        <v>0</v>
      </c>
      <c r="Q447" t="n">
        <v>0</v>
      </c>
      <c r="R447" s="2" t="inlineStr"/>
    </row>
    <row r="448" ht="15" customHeight="1">
      <c r="A448" t="inlineStr">
        <is>
          <t>A 38720-2025</t>
        </is>
      </c>
      <c r="B448" s="1" t="n">
        <v>45886</v>
      </c>
      <c r="C448" s="1" t="n">
        <v>45996</v>
      </c>
      <c r="D448" t="inlineStr">
        <is>
          <t>STOCKHOLMS LÄN</t>
        </is>
      </c>
      <c r="E448" t="inlineStr">
        <is>
          <t>NORRTÄLJE</t>
        </is>
      </c>
      <c r="G448" t="n">
        <v>1.6</v>
      </c>
      <c r="H448" t="n">
        <v>0</v>
      </c>
      <c r="I448" t="n">
        <v>0</v>
      </c>
      <c r="J448" t="n">
        <v>0</v>
      </c>
      <c r="K448" t="n">
        <v>0</v>
      </c>
      <c r="L448" t="n">
        <v>0</v>
      </c>
      <c r="M448" t="n">
        <v>0</v>
      </c>
      <c r="N448" t="n">
        <v>0</v>
      </c>
      <c r="O448" t="n">
        <v>0</v>
      </c>
      <c r="P448" t="n">
        <v>0</v>
      </c>
      <c r="Q448" t="n">
        <v>0</v>
      </c>
      <c r="R448" s="2" t="inlineStr"/>
    </row>
    <row r="449" ht="15" customHeight="1">
      <c r="A449" t="inlineStr">
        <is>
          <t>A 51325-2023</t>
        </is>
      </c>
      <c r="B449" s="1" t="n">
        <v>45219</v>
      </c>
      <c r="C449" s="1" t="n">
        <v>45996</v>
      </c>
      <c r="D449" t="inlineStr">
        <is>
          <t>STOCKHOLMS LÄN</t>
        </is>
      </c>
      <c r="E449" t="inlineStr">
        <is>
          <t>NORRTÄLJE</t>
        </is>
      </c>
      <c r="G449" t="n">
        <v>2.2</v>
      </c>
      <c r="H449" t="n">
        <v>0</v>
      </c>
      <c r="I449" t="n">
        <v>0</v>
      </c>
      <c r="J449" t="n">
        <v>0</v>
      </c>
      <c r="K449" t="n">
        <v>0</v>
      </c>
      <c r="L449" t="n">
        <v>0</v>
      </c>
      <c r="M449" t="n">
        <v>0</v>
      </c>
      <c r="N449" t="n">
        <v>0</v>
      </c>
      <c r="O449" t="n">
        <v>0</v>
      </c>
      <c r="P449" t="n">
        <v>0</v>
      </c>
      <c r="Q449" t="n">
        <v>0</v>
      </c>
      <c r="R449" s="2" t="inlineStr"/>
    </row>
    <row r="450" ht="15" customHeight="1">
      <c r="A450" t="inlineStr">
        <is>
          <t>A 59534-2024</t>
        </is>
      </c>
      <c r="B450" s="1" t="n">
        <v>45638.5987037037</v>
      </c>
      <c r="C450" s="1" t="n">
        <v>45996</v>
      </c>
      <c r="D450" t="inlineStr">
        <is>
          <t>STOCKHOLMS LÄN</t>
        </is>
      </c>
      <c r="E450" t="inlineStr">
        <is>
          <t>NORRTÄLJE</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31107-2022</t>
        </is>
      </c>
      <c r="B451" s="1" t="n">
        <v>44769.66864583334</v>
      </c>
      <c r="C451" s="1" t="n">
        <v>45996</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21745-2023</t>
        </is>
      </c>
      <c r="B452" s="1" t="n">
        <v>45065.55917824074</v>
      </c>
      <c r="C452" s="1" t="n">
        <v>45996</v>
      </c>
      <c r="D452" t="inlineStr">
        <is>
          <t>STOCKHOLMS LÄN</t>
        </is>
      </c>
      <c r="E452" t="inlineStr">
        <is>
          <t>NORRTÄLJE</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13860-2023</t>
        </is>
      </c>
      <c r="B453" s="1" t="n">
        <v>45007</v>
      </c>
      <c r="C453" s="1" t="n">
        <v>45996</v>
      </c>
      <c r="D453" t="inlineStr">
        <is>
          <t>STOCKHOLMS LÄN</t>
        </is>
      </c>
      <c r="E453" t="inlineStr">
        <is>
          <t>NORRTÄLJE</t>
        </is>
      </c>
      <c r="G453" t="n">
        <v>1.6</v>
      </c>
      <c r="H453" t="n">
        <v>0</v>
      </c>
      <c r="I453" t="n">
        <v>0</v>
      </c>
      <c r="J453" t="n">
        <v>0</v>
      </c>
      <c r="K453" t="n">
        <v>0</v>
      </c>
      <c r="L453" t="n">
        <v>0</v>
      </c>
      <c r="M453" t="n">
        <v>0</v>
      </c>
      <c r="N453" t="n">
        <v>0</v>
      </c>
      <c r="O453" t="n">
        <v>0</v>
      </c>
      <c r="P453" t="n">
        <v>0</v>
      </c>
      <c r="Q453" t="n">
        <v>0</v>
      </c>
      <c r="R453" s="2" t="inlineStr"/>
    </row>
    <row r="454" ht="15" customHeight="1">
      <c r="A454" t="inlineStr">
        <is>
          <t>A 27801-2025</t>
        </is>
      </c>
      <c r="B454" s="1" t="n">
        <v>45817.25471064815</v>
      </c>
      <c r="C454" s="1" t="n">
        <v>45996</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6855-2025</t>
        </is>
      </c>
      <c r="B455" s="1" t="n">
        <v>45700</v>
      </c>
      <c r="C455" s="1" t="n">
        <v>45996</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21894-2023</t>
        </is>
      </c>
      <c r="B456" s="1" t="n">
        <v>45068.51783564815</v>
      </c>
      <c r="C456" s="1" t="n">
        <v>45996</v>
      </c>
      <c r="D456" t="inlineStr">
        <is>
          <t>STOCKHOLMS LÄN</t>
        </is>
      </c>
      <c r="E456" t="inlineStr">
        <is>
          <t>NORRTÄLJE</t>
        </is>
      </c>
      <c r="G456" t="n">
        <v>2.5</v>
      </c>
      <c r="H456" t="n">
        <v>0</v>
      </c>
      <c r="I456" t="n">
        <v>0</v>
      </c>
      <c r="J456" t="n">
        <v>0</v>
      </c>
      <c r="K456" t="n">
        <v>0</v>
      </c>
      <c r="L456" t="n">
        <v>0</v>
      </c>
      <c r="M456" t="n">
        <v>0</v>
      </c>
      <c r="N456" t="n">
        <v>0</v>
      </c>
      <c r="O456" t="n">
        <v>0</v>
      </c>
      <c r="P456" t="n">
        <v>0</v>
      </c>
      <c r="Q456" t="n">
        <v>0</v>
      </c>
      <c r="R456" s="2" t="inlineStr"/>
    </row>
    <row r="457" ht="15" customHeight="1">
      <c r="A457" t="inlineStr">
        <is>
          <t>A 13276-2022</t>
        </is>
      </c>
      <c r="B457" s="1" t="n">
        <v>44644</v>
      </c>
      <c r="C457" s="1" t="n">
        <v>45996</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13314-2025</t>
        </is>
      </c>
      <c r="B458" s="1" t="n">
        <v>45735.59287037037</v>
      </c>
      <c r="C458" s="1" t="n">
        <v>45996</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45996</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27813-2025</t>
        </is>
      </c>
      <c r="B460" s="1" t="n">
        <v>45817.32538194444</v>
      </c>
      <c r="C460" s="1" t="n">
        <v>45996</v>
      </c>
      <c r="D460" t="inlineStr">
        <is>
          <t>STOCKHOLMS LÄN</t>
        </is>
      </c>
      <c r="E460" t="inlineStr">
        <is>
          <t>NORRTÄLJE</t>
        </is>
      </c>
      <c r="G460" t="n">
        <v>1.6</v>
      </c>
      <c r="H460" t="n">
        <v>0</v>
      </c>
      <c r="I460" t="n">
        <v>0</v>
      </c>
      <c r="J460" t="n">
        <v>0</v>
      </c>
      <c r="K460" t="n">
        <v>0</v>
      </c>
      <c r="L460" t="n">
        <v>0</v>
      </c>
      <c r="M460" t="n">
        <v>0</v>
      </c>
      <c r="N460" t="n">
        <v>0</v>
      </c>
      <c r="O460" t="n">
        <v>0</v>
      </c>
      <c r="P460" t="n">
        <v>0</v>
      </c>
      <c r="Q460" t="n">
        <v>0</v>
      </c>
      <c r="R460" s="2" t="inlineStr"/>
    </row>
    <row r="461" ht="15" customHeight="1">
      <c r="A461" t="inlineStr">
        <is>
          <t>A 27821-2025</t>
        </is>
      </c>
      <c r="B461" s="1" t="n">
        <v>45817.34083333334</v>
      </c>
      <c r="C461" s="1" t="n">
        <v>45996</v>
      </c>
      <c r="D461" t="inlineStr">
        <is>
          <t>STOCKHOLMS LÄN</t>
        </is>
      </c>
      <c r="E461" t="inlineStr">
        <is>
          <t>NORRTÄLJE</t>
        </is>
      </c>
      <c r="G461" t="n">
        <v>3.2</v>
      </c>
      <c r="H461" t="n">
        <v>0</v>
      </c>
      <c r="I461" t="n">
        <v>0</v>
      </c>
      <c r="J461" t="n">
        <v>0</v>
      </c>
      <c r="K461" t="n">
        <v>0</v>
      </c>
      <c r="L461" t="n">
        <v>0</v>
      </c>
      <c r="M461" t="n">
        <v>0</v>
      </c>
      <c r="N461" t="n">
        <v>0</v>
      </c>
      <c r="O461" t="n">
        <v>0</v>
      </c>
      <c r="P461" t="n">
        <v>0</v>
      </c>
      <c r="Q461" t="n">
        <v>0</v>
      </c>
      <c r="R461" s="2" t="inlineStr"/>
    </row>
    <row r="462" ht="15" customHeight="1">
      <c r="A462" t="inlineStr">
        <is>
          <t>A 34432-2021</t>
        </is>
      </c>
      <c r="B462" s="1" t="n">
        <v>44380.77346064815</v>
      </c>
      <c r="C462" s="1" t="n">
        <v>45996</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28182-2022</t>
        </is>
      </c>
      <c r="B463" s="1" t="n">
        <v>44746.58530092592</v>
      </c>
      <c r="C463" s="1" t="n">
        <v>45996</v>
      </c>
      <c r="D463" t="inlineStr">
        <is>
          <t>STOCKHOLMS LÄN</t>
        </is>
      </c>
      <c r="E463" t="inlineStr">
        <is>
          <t>NORRTÄLJE</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34461-2023</t>
        </is>
      </c>
      <c r="B464" s="1" t="n">
        <v>45139</v>
      </c>
      <c r="C464" s="1" t="n">
        <v>45996</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51046-2023</t>
        </is>
      </c>
      <c r="B465" s="1" t="n">
        <v>45218</v>
      </c>
      <c r="C465" s="1" t="n">
        <v>45996</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38593-2025</t>
        </is>
      </c>
      <c r="B466" s="1" t="n">
        <v>45884.48696759259</v>
      </c>
      <c r="C466" s="1" t="n">
        <v>45996</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15528-2025</t>
        </is>
      </c>
      <c r="B467" s="1" t="n">
        <v>45747.63471064815</v>
      </c>
      <c r="C467" s="1" t="n">
        <v>45996</v>
      </c>
      <c r="D467" t="inlineStr">
        <is>
          <t>STOCKHOLMS LÄN</t>
        </is>
      </c>
      <c r="E467" t="inlineStr">
        <is>
          <t>NORRTÄLJE</t>
        </is>
      </c>
      <c r="G467" t="n">
        <v>10</v>
      </c>
      <c r="H467" t="n">
        <v>0</v>
      </c>
      <c r="I467" t="n">
        <v>0</v>
      </c>
      <c r="J467" t="n">
        <v>0</v>
      </c>
      <c r="K467" t="n">
        <v>0</v>
      </c>
      <c r="L467" t="n">
        <v>0</v>
      </c>
      <c r="M467" t="n">
        <v>0</v>
      </c>
      <c r="N467" t="n">
        <v>0</v>
      </c>
      <c r="O467" t="n">
        <v>0</v>
      </c>
      <c r="P467" t="n">
        <v>0</v>
      </c>
      <c r="Q467" t="n">
        <v>0</v>
      </c>
      <c r="R467" s="2" t="inlineStr"/>
    </row>
    <row r="468" ht="15" customHeight="1">
      <c r="A468" t="inlineStr">
        <is>
          <t>A 11901-2024</t>
        </is>
      </c>
      <c r="B468" s="1" t="n">
        <v>45376.55638888889</v>
      </c>
      <c r="C468" s="1" t="n">
        <v>45996</v>
      </c>
      <c r="D468" t="inlineStr">
        <is>
          <t>STOCKHOLMS LÄN</t>
        </is>
      </c>
      <c r="E468" t="inlineStr">
        <is>
          <t>NORRTÄLJE</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23149-2024</t>
        </is>
      </c>
      <c r="B469" s="1" t="n">
        <v>45450.64208333333</v>
      </c>
      <c r="C469" s="1" t="n">
        <v>45996</v>
      </c>
      <c r="D469" t="inlineStr">
        <is>
          <t>STOCKHOLMS LÄN</t>
        </is>
      </c>
      <c r="E469" t="inlineStr">
        <is>
          <t>NORRTÄLJE</t>
        </is>
      </c>
      <c r="F469" t="inlineStr">
        <is>
          <t>Kommuner</t>
        </is>
      </c>
      <c r="G469" t="n">
        <v>1.3</v>
      </c>
      <c r="H469" t="n">
        <v>0</v>
      </c>
      <c r="I469" t="n">
        <v>0</v>
      </c>
      <c r="J469" t="n">
        <v>0</v>
      </c>
      <c r="K469" t="n">
        <v>0</v>
      </c>
      <c r="L469" t="n">
        <v>0</v>
      </c>
      <c r="M469" t="n">
        <v>0</v>
      </c>
      <c r="N469" t="n">
        <v>0</v>
      </c>
      <c r="O469" t="n">
        <v>0</v>
      </c>
      <c r="P469" t="n">
        <v>0</v>
      </c>
      <c r="Q469" t="n">
        <v>0</v>
      </c>
      <c r="R469" s="2" t="inlineStr"/>
    </row>
    <row r="470" ht="15" customHeight="1">
      <c r="A470" t="inlineStr">
        <is>
          <t>A 23151-2024</t>
        </is>
      </c>
      <c r="B470" s="1" t="n">
        <v>45450</v>
      </c>
      <c r="C470" s="1" t="n">
        <v>45996</v>
      </c>
      <c r="D470" t="inlineStr">
        <is>
          <t>STOCKHOLMS LÄN</t>
        </is>
      </c>
      <c r="E470" t="inlineStr">
        <is>
          <t>NORRTÄLJE</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17382-2024</t>
        </is>
      </c>
      <c r="B471" s="1" t="n">
        <v>45414.65855324074</v>
      </c>
      <c r="C471" s="1" t="n">
        <v>45996</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44075-2023</t>
        </is>
      </c>
      <c r="B472" s="1" t="n">
        <v>45188.41637731482</v>
      </c>
      <c r="C472" s="1" t="n">
        <v>45996</v>
      </c>
      <c r="D472" t="inlineStr">
        <is>
          <t>STOCKHOLMS LÄN</t>
        </is>
      </c>
      <c r="E472" t="inlineStr">
        <is>
          <t>NORRTÄLJE</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6070-2022</t>
        </is>
      </c>
      <c r="B473" s="1" t="n">
        <v>44599.58428240741</v>
      </c>
      <c r="C473" s="1" t="n">
        <v>45996</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17039-2024</t>
        </is>
      </c>
      <c r="B474" s="1" t="n">
        <v>45412.4104050926</v>
      </c>
      <c r="C474" s="1" t="n">
        <v>45996</v>
      </c>
      <c r="D474" t="inlineStr">
        <is>
          <t>STOCKHOLMS LÄN</t>
        </is>
      </c>
      <c r="E474" t="inlineStr">
        <is>
          <t>NORRTÄLJE</t>
        </is>
      </c>
      <c r="G474" t="n">
        <v>5.9</v>
      </c>
      <c r="H474" t="n">
        <v>0</v>
      </c>
      <c r="I474" t="n">
        <v>0</v>
      </c>
      <c r="J474" t="n">
        <v>0</v>
      </c>
      <c r="K474" t="n">
        <v>0</v>
      </c>
      <c r="L474" t="n">
        <v>0</v>
      </c>
      <c r="M474" t="n">
        <v>0</v>
      </c>
      <c r="N474" t="n">
        <v>0</v>
      </c>
      <c r="O474" t="n">
        <v>0</v>
      </c>
      <c r="P474" t="n">
        <v>0</v>
      </c>
      <c r="Q474" t="n">
        <v>0</v>
      </c>
      <c r="R474" s="2" t="inlineStr"/>
    </row>
    <row r="475" ht="15" customHeight="1">
      <c r="A475" t="inlineStr">
        <is>
          <t>A 27677-2025</t>
        </is>
      </c>
      <c r="B475" s="1" t="n">
        <v>45813.63650462963</v>
      </c>
      <c r="C475" s="1" t="n">
        <v>45996</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52001-2023</t>
        </is>
      </c>
      <c r="B476" s="1" t="n">
        <v>45223</v>
      </c>
      <c r="C476" s="1" t="n">
        <v>45996</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39152-2025</t>
        </is>
      </c>
      <c r="B477" s="1" t="n">
        <v>45888</v>
      </c>
      <c r="C477" s="1" t="n">
        <v>45996</v>
      </c>
      <c r="D477" t="inlineStr">
        <is>
          <t>STOCKHOLMS LÄN</t>
        </is>
      </c>
      <c r="E477" t="inlineStr">
        <is>
          <t>NORRTÄLJE</t>
        </is>
      </c>
      <c r="G477" t="n">
        <v>4.6</v>
      </c>
      <c r="H477" t="n">
        <v>0</v>
      </c>
      <c r="I477" t="n">
        <v>0</v>
      </c>
      <c r="J477" t="n">
        <v>0</v>
      </c>
      <c r="K477" t="n">
        <v>0</v>
      </c>
      <c r="L477" t="n">
        <v>0</v>
      </c>
      <c r="M477" t="n">
        <v>0</v>
      </c>
      <c r="N477" t="n">
        <v>0</v>
      </c>
      <c r="O477" t="n">
        <v>0</v>
      </c>
      <c r="P477" t="n">
        <v>0</v>
      </c>
      <c r="Q477" t="n">
        <v>0</v>
      </c>
      <c r="R477" s="2" t="inlineStr"/>
    </row>
    <row r="478" ht="15" customHeight="1">
      <c r="A478" t="inlineStr">
        <is>
          <t>A 48180-2023</t>
        </is>
      </c>
      <c r="B478" s="1" t="n">
        <v>45205</v>
      </c>
      <c r="C478" s="1" t="n">
        <v>45996</v>
      </c>
      <c r="D478" t="inlineStr">
        <is>
          <t>STOCKHOLMS LÄN</t>
        </is>
      </c>
      <c r="E478" t="inlineStr">
        <is>
          <t>NORRTÄLJE</t>
        </is>
      </c>
      <c r="G478" t="n">
        <v>1.5</v>
      </c>
      <c r="H478" t="n">
        <v>0</v>
      </c>
      <c r="I478" t="n">
        <v>0</v>
      </c>
      <c r="J478" t="n">
        <v>0</v>
      </c>
      <c r="K478" t="n">
        <v>0</v>
      </c>
      <c r="L478" t="n">
        <v>0</v>
      </c>
      <c r="M478" t="n">
        <v>0</v>
      </c>
      <c r="N478" t="n">
        <v>0</v>
      </c>
      <c r="O478" t="n">
        <v>0</v>
      </c>
      <c r="P478" t="n">
        <v>0</v>
      </c>
      <c r="Q478" t="n">
        <v>0</v>
      </c>
      <c r="R478" s="2" t="inlineStr"/>
    </row>
    <row r="479" ht="15" customHeight="1">
      <c r="A479" t="inlineStr">
        <is>
          <t>A 35695-2023</t>
        </is>
      </c>
      <c r="B479" s="1" t="n">
        <v>45147.65407407407</v>
      </c>
      <c r="C479" s="1" t="n">
        <v>45996</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45173-2023</t>
        </is>
      </c>
      <c r="B480" s="1" t="n">
        <v>45191</v>
      </c>
      <c r="C480" s="1" t="n">
        <v>45996</v>
      </c>
      <c r="D480" t="inlineStr">
        <is>
          <t>STOCKHOLMS LÄN</t>
        </is>
      </c>
      <c r="E480" t="inlineStr">
        <is>
          <t>NORRTÄLJE</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60185-2024</t>
        </is>
      </c>
      <c r="B481" s="1" t="n">
        <v>45642.64634259259</v>
      </c>
      <c r="C481" s="1" t="n">
        <v>45996</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48686-2023</t>
        </is>
      </c>
      <c r="B482" s="1" t="n">
        <v>45208</v>
      </c>
      <c r="C482" s="1" t="n">
        <v>45996</v>
      </c>
      <c r="D482" t="inlineStr">
        <is>
          <t>STOCKHOLMS LÄN</t>
        </is>
      </c>
      <c r="E482" t="inlineStr">
        <is>
          <t>NORRTÄLJE</t>
        </is>
      </c>
      <c r="G482" t="n">
        <v>6</v>
      </c>
      <c r="H482" t="n">
        <v>0</v>
      </c>
      <c r="I482" t="n">
        <v>0</v>
      </c>
      <c r="J482" t="n">
        <v>0</v>
      </c>
      <c r="K482" t="n">
        <v>0</v>
      </c>
      <c r="L482" t="n">
        <v>0</v>
      </c>
      <c r="M482" t="n">
        <v>0</v>
      </c>
      <c r="N482" t="n">
        <v>0</v>
      </c>
      <c r="O482" t="n">
        <v>0</v>
      </c>
      <c r="P482" t="n">
        <v>0</v>
      </c>
      <c r="Q482" t="n">
        <v>0</v>
      </c>
      <c r="R482" s="2" t="inlineStr"/>
    </row>
    <row r="483" ht="15" customHeight="1">
      <c r="A483" t="inlineStr">
        <is>
          <t>A 48691-2023</t>
        </is>
      </c>
      <c r="B483" s="1" t="n">
        <v>45208</v>
      </c>
      <c r="C483" s="1" t="n">
        <v>45996</v>
      </c>
      <c r="D483" t="inlineStr">
        <is>
          <t>STOCKHOLMS LÄN</t>
        </is>
      </c>
      <c r="E483" t="inlineStr">
        <is>
          <t>NORRTÄLJE</t>
        </is>
      </c>
      <c r="G483" t="n">
        <v>5.8</v>
      </c>
      <c r="H483" t="n">
        <v>0</v>
      </c>
      <c r="I483" t="n">
        <v>0</v>
      </c>
      <c r="J483" t="n">
        <v>0</v>
      </c>
      <c r="K483" t="n">
        <v>0</v>
      </c>
      <c r="L483" t="n">
        <v>0</v>
      </c>
      <c r="M483" t="n">
        <v>0</v>
      </c>
      <c r="N483" t="n">
        <v>0</v>
      </c>
      <c r="O483" t="n">
        <v>0</v>
      </c>
      <c r="P483" t="n">
        <v>0</v>
      </c>
      <c r="Q483" t="n">
        <v>0</v>
      </c>
      <c r="R483" s="2" t="inlineStr"/>
    </row>
    <row r="484" ht="15" customHeight="1">
      <c r="A484" t="inlineStr">
        <is>
          <t>A 21726-2022</t>
        </is>
      </c>
      <c r="B484" s="1" t="n">
        <v>44708</v>
      </c>
      <c r="C484" s="1" t="n">
        <v>45996</v>
      </c>
      <c r="D484" t="inlineStr">
        <is>
          <t>STOCKHOLMS LÄN</t>
        </is>
      </c>
      <c r="E484" t="inlineStr">
        <is>
          <t>NORRTÄLJE</t>
        </is>
      </c>
      <c r="G484" t="n">
        <v>0.2</v>
      </c>
      <c r="H484" t="n">
        <v>0</v>
      </c>
      <c r="I484" t="n">
        <v>0</v>
      </c>
      <c r="J484" t="n">
        <v>0</v>
      </c>
      <c r="K484" t="n">
        <v>0</v>
      </c>
      <c r="L484" t="n">
        <v>0</v>
      </c>
      <c r="M484" t="n">
        <v>0</v>
      </c>
      <c r="N484" t="n">
        <v>0</v>
      </c>
      <c r="O484" t="n">
        <v>0</v>
      </c>
      <c r="P484" t="n">
        <v>0</v>
      </c>
      <c r="Q484" t="n">
        <v>0</v>
      </c>
      <c r="R484" s="2" t="inlineStr"/>
    </row>
    <row r="485" ht="15" customHeight="1">
      <c r="A485" t="inlineStr">
        <is>
          <t>A 21739-2022</t>
        </is>
      </c>
      <c r="B485" s="1" t="n">
        <v>44708.36708333333</v>
      </c>
      <c r="C485" s="1" t="n">
        <v>45996</v>
      </c>
      <c r="D485" t="inlineStr">
        <is>
          <t>STOCKHOLMS LÄN</t>
        </is>
      </c>
      <c r="E485" t="inlineStr">
        <is>
          <t>NORRTÄLJE</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24705-2023</t>
        </is>
      </c>
      <c r="B486" s="1" t="n">
        <v>45084.54459490741</v>
      </c>
      <c r="C486" s="1" t="n">
        <v>45996</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35210-2023</t>
        </is>
      </c>
      <c r="B487" s="1" t="n">
        <v>45145.63584490741</v>
      </c>
      <c r="C487" s="1" t="n">
        <v>45996</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59767-2022</t>
        </is>
      </c>
      <c r="B488" s="1" t="n">
        <v>44900</v>
      </c>
      <c r="C488" s="1" t="n">
        <v>45996</v>
      </c>
      <c r="D488" t="inlineStr">
        <is>
          <t>STOCKHOLMS LÄN</t>
        </is>
      </c>
      <c r="E488" t="inlineStr">
        <is>
          <t>NORRTÄLJE</t>
        </is>
      </c>
      <c r="G488" t="n">
        <v>2.2</v>
      </c>
      <c r="H488" t="n">
        <v>0</v>
      </c>
      <c r="I488" t="n">
        <v>0</v>
      </c>
      <c r="J488" t="n">
        <v>0</v>
      </c>
      <c r="K488" t="n">
        <v>0</v>
      </c>
      <c r="L488" t="n">
        <v>0</v>
      </c>
      <c r="M488" t="n">
        <v>0</v>
      </c>
      <c r="N488" t="n">
        <v>0</v>
      </c>
      <c r="O488" t="n">
        <v>0</v>
      </c>
      <c r="P488" t="n">
        <v>0</v>
      </c>
      <c r="Q488" t="n">
        <v>0</v>
      </c>
      <c r="R488" s="2" t="inlineStr"/>
    </row>
    <row r="489" ht="15" customHeight="1">
      <c r="A489" t="inlineStr">
        <is>
          <t>A 5823-2023</t>
        </is>
      </c>
      <c r="B489" s="1" t="n">
        <v>44963</v>
      </c>
      <c r="C489" s="1" t="n">
        <v>45996</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21696-2024</t>
        </is>
      </c>
      <c r="B490" s="1" t="n">
        <v>45442.45686342593</v>
      </c>
      <c r="C490" s="1" t="n">
        <v>45996</v>
      </c>
      <c r="D490" t="inlineStr">
        <is>
          <t>STOCKHOLMS LÄN</t>
        </is>
      </c>
      <c r="E490" t="inlineStr">
        <is>
          <t>NORRTÄLJE</t>
        </is>
      </c>
      <c r="G490" t="n">
        <v>2.9</v>
      </c>
      <c r="H490" t="n">
        <v>0</v>
      </c>
      <c r="I490" t="n">
        <v>0</v>
      </c>
      <c r="J490" t="n">
        <v>0</v>
      </c>
      <c r="K490" t="n">
        <v>0</v>
      </c>
      <c r="L490" t="n">
        <v>0</v>
      </c>
      <c r="M490" t="n">
        <v>0</v>
      </c>
      <c r="N490" t="n">
        <v>0</v>
      </c>
      <c r="O490" t="n">
        <v>0</v>
      </c>
      <c r="P490" t="n">
        <v>0</v>
      </c>
      <c r="Q490" t="n">
        <v>0</v>
      </c>
      <c r="R490" s="2" t="inlineStr"/>
    </row>
    <row r="491" ht="15" customHeight="1">
      <c r="A491" t="inlineStr">
        <is>
          <t>A 19915-2024</t>
        </is>
      </c>
      <c r="B491" s="1" t="n">
        <v>45433.58431712963</v>
      </c>
      <c r="C491" s="1" t="n">
        <v>45996</v>
      </c>
      <c r="D491" t="inlineStr">
        <is>
          <t>STOCKHOLMS LÄN</t>
        </is>
      </c>
      <c r="E491" t="inlineStr">
        <is>
          <t>NORRTÄLJE</t>
        </is>
      </c>
      <c r="G491" t="n">
        <v>2</v>
      </c>
      <c r="H491" t="n">
        <v>0</v>
      </c>
      <c r="I491" t="n">
        <v>0</v>
      </c>
      <c r="J491" t="n">
        <v>0</v>
      </c>
      <c r="K491" t="n">
        <v>0</v>
      </c>
      <c r="L491" t="n">
        <v>0</v>
      </c>
      <c r="M491" t="n">
        <v>0</v>
      </c>
      <c r="N491" t="n">
        <v>0</v>
      </c>
      <c r="O491" t="n">
        <v>0</v>
      </c>
      <c r="P491" t="n">
        <v>0</v>
      </c>
      <c r="Q491" t="n">
        <v>0</v>
      </c>
      <c r="R491" s="2" t="inlineStr"/>
    </row>
    <row r="492" ht="15" customHeight="1">
      <c r="A492" t="inlineStr">
        <is>
          <t>A 15217-2023</t>
        </is>
      </c>
      <c r="B492" s="1" t="n">
        <v>45019.28847222222</v>
      </c>
      <c r="C492" s="1" t="n">
        <v>45996</v>
      </c>
      <c r="D492" t="inlineStr">
        <is>
          <t>STOCKHOLMS LÄN</t>
        </is>
      </c>
      <c r="E492" t="inlineStr">
        <is>
          <t>NORRTÄLJE</t>
        </is>
      </c>
      <c r="G492" t="n">
        <v>3.6</v>
      </c>
      <c r="H492" t="n">
        <v>0</v>
      </c>
      <c r="I492" t="n">
        <v>0</v>
      </c>
      <c r="J492" t="n">
        <v>0</v>
      </c>
      <c r="K492" t="n">
        <v>0</v>
      </c>
      <c r="L492" t="n">
        <v>0</v>
      </c>
      <c r="M492" t="n">
        <v>0</v>
      </c>
      <c r="N492" t="n">
        <v>0</v>
      </c>
      <c r="O492" t="n">
        <v>0</v>
      </c>
      <c r="P492" t="n">
        <v>0</v>
      </c>
      <c r="Q492" t="n">
        <v>0</v>
      </c>
      <c r="R492" s="2" t="inlineStr"/>
    </row>
    <row r="493" ht="15" customHeight="1">
      <c r="A493" t="inlineStr">
        <is>
          <t>A 29250-2025</t>
        </is>
      </c>
      <c r="B493" s="1" t="n">
        <v>45824.37275462963</v>
      </c>
      <c r="C493" s="1" t="n">
        <v>45996</v>
      </c>
      <c r="D493" t="inlineStr">
        <is>
          <t>STOCKHOLMS LÄN</t>
        </is>
      </c>
      <c r="E493" t="inlineStr">
        <is>
          <t>NORRTÄLJE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50143-2023</t>
        </is>
      </c>
      <c r="B494" s="1" t="n">
        <v>45215</v>
      </c>
      <c r="C494" s="1" t="n">
        <v>45996</v>
      </c>
      <c r="D494" t="inlineStr">
        <is>
          <t>STOCKHOLMS LÄN</t>
        </is>
      </c>
      <c r="E494" t="inlineStr">
        <is>
          <t>NORRTÄLJE</t>
        </is>
      </c>
      <c r="G494" t="n">
        <v>10.3</v>
      </c>
      <c r="H494" t="n">
        <v>0</v>
      </c>
      <c r="I494" t="n">
        <v>0</v>
      </c>
      <c r="J494" t="n">
        <v>0</v>
      </c>
      <c r="K494" t="n">
        <v>0</v>
      </c>
      <c r="L494" t="n">
        <v>0</v>
      </c>
      <c r="M494" t="n">
        <v>0</v>
      </c>
      <c r="N494" t="n">
        <v>0</v>
      </c>
      <c r="O494" t="n">
        <v>0</v>
      </c>
      <c r="P494" t="n">
        <v>0</v>
      </c>
      <c r="Q494" t="n">
        <v>0</v>
      </c>
      <c r="R494" s="2" t="inlineStr"/>
    </row>
    <row r="495" ht="15" customHeight="1">
      <c r="A495" t="inlineStr">
        <is>
          <t>A 67990-2021</t>
        </is>
      </c>
      <c r="B495" s="1" t="n">
        <v>44525</v>
      </c>
      <c r="C495" s="1" t="n">
        <v>45996</v>
      </c>
      <c r="D495" t="inlineStr">
        <is>
          <t>STOCKHOLMS LÄN</t>
        </is>
      </c>
      <c r="E495" t="inlineStr">
        <is>
          <t>NORRTÄLJE</t>
        </is>
      </c>
      <c r="F495" t="inlineStr">
        <is>
          <t>Sveaskog</t>
        </is>
      </c>
      <c r="G495" t="n">
        <v>7.8</v>
      </c>
      <c r="H495" t="n">
        <v>0</v>
      </c>
      <c r="I495" t="n">
        <v>0</v>
      </c>
      <c r="J495" t="n">
        <v>0</v>
      </c>
      <c r="K495" t="n">
        <v>0</v>
      </c>
      <c r="L495" t="n">
        <v>0</v>
      </c>
      <c r="M495" t="n">
        <v>0</v>
      </c>
      <c r="N495" t="n">
        <v>0</v>
      </c>
      <c r="O495" t="n">
        <v>0</v>
      </c>
      <c r="P495" t="n">
        <v>0</v>
      </c>
      <c r="Q495" t="n">
        <v>0</v>
      </c>
      <c r="R495" s="2" t="inlineStr"/>
    </row>
    <row r="496" ht="15" customHeight="1">
      <c r="A496" t="inlineStr">
        <is>
          <t>A 29176-2024</t>
        </is>
      </c>
      <c r="B496" s="1" t="n">
        <v>45482.53388888889</v>
      </c>
      <c r="C496" s="1" t="n">
        <v>45996</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71552-2021</t>
        </is>
      </c>
      <c r="B497" s="1" t="n">
        <v>44540</v>
      </c>
      <c r="C497" s="1" t="n">
        <v>45996</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36430-2024</t>
        </is>
      </c>
      <c r="B498" s="1" t="n">
        <v>45536</v>
      </c>
      <c r="C498" s="1" t="n">
        <v>45996</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73992-2021</t>
        </is>
      </c>
      <c r="B499" s="1" t="n">
        <v>44556</v>
      </c>
      <c r="C499" s="1" t="n">
        <v>45996</v>
      </c>
      <c r="D499" t="inlineStr">
        <is>
          <t>STOCKHOLMS LÄN</t>
        </is>
      </c>
      <c r="E499" t="inlineStr">
        <is>
          <t>NORRTÄLJE</t>
        </is>
      </c>
      <c r="G499" t="n">
        <v>12.5</v>
      </c>
      <c r="H499" t="n">
        <v>0</v>
      </c>
      <c r="I499" t="n">
        <v>0</v>
      </c>
      <c r="J499" t="n">
        <v>0</v>
      </c>
      <c r="K499" t="n">
        <v>0</v>
      </c>
      <c r="L499" t="n">
        <v>0</v>
      </c>
      <c r="M499" t="n">
        <v>0</v>
      </c>
      <c r="N499" t="n">
        <v>0</v>
      </c>
      <c r="O499" t="n">
        <v>0</v>
      </c>
      <c r="P499" t="n">
        <v>0</v>
      </c>
      <c r="Q499" t="n">
        <v>0</v>
      </c>
      <c r="R499" s="2" t="inlineStr"/>
    </row>
    <row r="500" ht="15" customHeight="1">
      <c r="A500" t="inlineStr">
        <is>
          <t>A 51312-2023</t>
        </is>
      </c>
      <c r="B500" s="1" t="n">
        <v>45219.56697916667</v>
      </c>
      <c r="C500" s="1" t="n">
        <v>45996</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35640-2024</t>
        </is>
      </c>
      <c r="B501" s="1" t="n">
        <v>45531</v>
      </c>
      <c r="C501" s="1" t="n">
        <v>45996</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26113-2024</t>
        </is>
      </c>
      <c r="B502" s="1" t="n">
        <v>45468.45541666666</v>
      </c>
      <c r="C502" s="1" t="n">
        <v>45996</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26116-2024</t>
        </is>
      </c>
      <c r="B503" s="1" t="n">
        <v>45468.45747685185</v>
      </c>
      <c r="C503" s="1" t="n">
        <v>45996</v>
      </c>
      <c r="D503" t="inlineStr">
        <is>
          <t>STOCKHOLMS LÄN</t>
        </is>
      </c>
      <c r="E503" t="inlineStr">
        <is>
          <t>NORRTÄLJE</t>
        </is>
      </c>
      <c r="G503" t="n">
        <v>1.8</v>
      </c>
      <c r="H503" t="n">
        <v>0</v>
      </c>
      <c r="I503" t="n">
        <v>0</v>
      </c>
      <c r="J503" t="n">
        <v>0</v>
      </c>
      <c r="K503" t="n">
        <v>0</v>
      </c>
      <c r="L503" t="n">
        <v>0</v>
      </c>
      <c r="M503" t="n">
        <v>0</v>
      </c>
      <c r="N503" t="n">
        <v>0</v>
      </c>
      <c r="O503" t="n">
        <v>0</v>
      </c>
      <c r="P503" t="n">
        <v>0</v>
      </c>
      <c r="Q503" t="n">
        <v>0</v>
      </c>
      <c r="R503" s="2" t="inlineStr"/>
    </row>
    <row r="504" ht="15" customHeight="1">
      <c r="A504" t="inlineStr">
        <is>
          <t>A 43212-2022</t>
        </is>
      </c>
      <c r="B504" s="1" t="n">
        <v>44834.38636574074</v>
      </c>
      <c r="C504" s="1" t="n">
        <v>45996</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51653-2022</t>
        </is>
      </c>
      <c r="B505" s="1" t="n">
        <v>44867</v>
      </c>
      <c r="C505" s="1" t="n">
        <v>45996</v>
      </c>
      <c r="D505" t="inlineStr">
        <is>
          <t>STOCKHOLMS LÄN</t>
        </is>
      </c>
      <c r="E505" t="inlineStr">
        <is>
          <t>NORRTÄLJE</t>
        </is>
      </c>
      <c r="G505" t="n">
        <v>6.6</v>
      </c>
      <c r="H505" t="n">
        <v>0</v>
      </c>
      <c r="I505" t="n">
        <v>0</v>
      </c>
      <c r="J505" t="n">
        <v>0</v>
      </c>
      <c r="K505" t="n">
        <v>0</v>
      </c>
      <c r="L505" t="n">
        <v>0</v>
      </c>
      <c r="M505" t="n">
        <v>0</v>
      </c>
      <c r="N505" t="n">
        <v>0</v>
      </c>
      <c r="O505" t="n">
        <v>0</v>
      </c>
      <c r="P505" t="n">
        <v>0</v>
      </c>
      <c r="Q505" t="n">
        <v>0</v>
      </c>
      <c r="R505" s="2" t="inlineStr"/>
    </row>
    <row r="506" ht="15" customHeight="1">
      <c r="A506" t="inlineStr">
        <is>
          <t>A 15978-2024</t>
        </is>
      </c>
      <c r="B506" s="1" t="n">
        <v>45405.57927083333</v>
      </c>
      <c r="C506" s="1" t="n">
        <v>45996</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11333-2025</t>
        </is>
      </c>
      <c r="B507" s="1" t="n">
        <v>45726.48377314815</v>
      </c>
      <c r="C507" s="1" t="n">
        <v>45996</v>
      </c>
      <c r="D507" t="inlineStr">
        <is>
          <t>STOCKHOLMS LÄN</t>
        </is>
      </c>
      <c r="E507" t="inlineStr">
        <is>
          <t>NORRTÄLJE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4322-2023</t>
        </is>
      </c>
      <c r="B508" s="1" t="n">
        <v>44953.69298611111</v>
      </c>
      <c r="C508" s="1" t="n">
        <v>45996</v>
      </c>
      <c r="D508" t="inlineStr">
        <is>
          <t>STOCKHOLMS LÄN</t>
        </is>
      </c>
      <c r="E508" t="inlineStr">
        <is>
          <t>NORRTÄLJE</t>
        </is>
      </c>
      <c r="G508" t="n">
        <v>1.3</v>
      </c>
      <c r="H508" t="n">
        <v>0</v>
      </c>
      <c r="I508" t="n">
        <v>0</v>
      </c>
      <c r="J508" t="n">
        <v>0</v>
      </c>
      <c r="K508" t="n">
        <v>0</v>
      </c>
      <c r="L508" t="n">
        <v>0</v>
      </c>
      <c r="M508" t="n">
        <v>0</v>
      </c>
      <c r="N508" t="n">
        <v>0</v>
      </c>
      <c r="O508" t="n">
        <v>0</v>
      </c>
      <c r="P508" t="n">
        <v>0</v>
      </c>
      <c r="Q508" t="n">
        <v>0</v>
      </c>
      <c r="R508" s="2" t="inlineStr"/>
    </row>
    <row r="509" ht="15" customHeight="1">
      <c r="A509" t="inlineStr">
        <is>
          <t>A 39149-2025</t>
        </is>
      </c>
      <c r="B509" s="1" t="n">
        <v>45888.60714120371</v>
      </c>
      <c r="C509" s="1" t="n">
        <v>45996</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34391-2023</t>
        </is>
      </c>
      <c r="B510" s="1" t="n">
        <v>45139.51457175926</v>
      </c>
      <c r="C510" s="1" t="n">
        <v>45996</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38990-2022</t>
        </is>
      </c>
      <c r="B511" s="1" t="n">
        <v>44816</v>
      </c>
      <c r="C511" s="1" t="n">
        <v>45996</v>
      </c>
      <c r="D511" t="inlineStr">
        <is>
          <t>STOCKHOLMS LÄN</t>
        </is>
      </c>
      <c r="E511" t="inlineStr">
        <is>
          <t>NORRTÄLJE</t>
        </is>
      </c>
      <c r="G511" t="n">
        <v>5.7</v>
      </c>
      <c r="H511" t="n">
        <v>0</v>
      </c>
      <c r="I511" t="n">
        <v>0</v>
      </c>
      <c r="J511" t="n">
        <v>0</v>
      </c>
      <c r="K511" t="n">
        <v>0</v>
      </c>
      <c r="L511" t="n">
        <v>0</v>
      </c>
      <c r="M511" t="n">
        <v>0</v>
      </c>
      <c r="N511" t="n">
        <v>0</v>
      </c>
      <c r="O511" t="n">
        <v>0</v>
      </c>
      <c r="P511" t="n">
        <v>0</v>
      </c>
      <c r="Q511" t="n">
        <v>0</v>
      </c>
      <c r="R511" s="2" t="inlineStr"/>
    </row>
    <row r="512" ht="15" customHeight="1">
      <c r="A512" t="inlineStr">
        <is>
          <t>A 17956-2025</t>
        </is>
      </c>
      <c r="B512" s="1" t="n">
        <v>45760.91174768518</v>
      </c>
      <c r="C512" s="1" t="n">
        <v>45996</v>
      </c>
      <c r="D512" t="inlineStr">
        <is>
          <t>STOCKHOLMS LÄN</t>
        </is>
      </c>
      <c r="E512" t="inlineStr">
        <is>
          <t>NORRTÄLJE</t>
        </is>
      </c>
      <c r="G512" t="n">
        <v>4.3</v>
      </c>
      <c r="H512" t="n">
        <v>0</v>
      </c>
      <c r="I512" t="n">
        <v>0</v>
      </c>
      <c r="J512" t="n">
        <v>0</v>
      </c>
      <c r="K512" t="n">
        <v>0</v>
      </c>
      <c r="L512" t="n">
        <v>0</v>
      </c>
      <c r="M512" t="n">
        <v>0</v>
      </c>
      <c r="N512" t="n">
        <v>0</v>
      </c>
      <c r="O512" t="n">
        <v>0</v>
      </c>
      <c r="P512" t="n">
        <v>0</v>
      </c>
      <c r="Q512" t="n">
        <v>0</v>
      </c>
      <c r="R512" s="2" t="inlineStr"/>
    </row>
    <row r="513" ht="15" customHeight="1">
      <c r="A513" t="inlineStr">
        <is>
          <t>A 875-2023</t>
        </is>
      </c>
      <c r="B513" s="1" t="n">
        <v>44931.65626157408</v>
      </c>
      <c r="C513" s="1" t="n">
        <v>45996</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31236-2022</t>
        </is>
      </c>
      <c r="B514" s="1" t="n">
        <v>44771</v>
      </c>
      <c r="C514" s="1" t="n">
        <v>45996</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8315-2025</t>
        </is>
      </c>
      <c r="B515" s="1" t="n">
        <v>45708.61761574074</v>
      </c>
      <c r="C515" s="1" t="n">
        <v>45996</v>
      </c>
      <c r="D515" t="inlineStr">
        <is>
          <t>STOCKHOLMS LÄN</t>
        </is>
      </c>
      <c r="E515" t="inlineStr">
        <is>
          <t>NORRTÄLJE</t>
        </is>
      </c>
      <c r="G515" t="n">
        <v>3.9</v>
      </c>
      <c r="H515" t="n">
        <v>0</v>
      </c>
      <c r="I515" t="n">
        <v>0</v>
      </c>
      <c r="J515" t="n">
        <v>0</v>
      </c>
      <c r="K515" t="n">
        <v>0</v>
      </c>
      <c r="L515" t="n">
        <v>0</v>
      </c>
      <c r="M515" t="n">
        <v>0</v>
      </c>
      <c r="N515" t="n">
        <v>0</v>
      </c>
      <c r="O515" t="n">
        <v>0</v>
      </c>
      <c r="P515" t="n">
        <v>0</v>
      </c>
      <c r="Q515" t="n">
        <v>0</v>
      </c>
      <c r="R515" s="2" t="inlineStr"/>
    </row>
    <row r="516" ht="15" customHeight="1">
      <c r="A516" t="inlineStr">
        <is>
          <t>A 31281-2022</t>
        </is>
      </c>
      <c r="B516" s="1" t="n">
        <v>44771</v>
      </c>
      <c r="C516" s="1" t="n">
        <v>45996</v>
      </c>
      <c r="D516" t="inlineStr">
        <is>
          <t>STOCKHOLMS LÄN</t>
        </is>
      </c>
      <c r="E516" t="inlineStr">
        <is>
          <t>NORRTÄLJE</t>
        </is>
      </c>
      <c r="F516" t="inlineStr">
        <is>
          <t>Holmen skog AB</t>
        </is>
      </c>
      <c r="G516" t="n">
        <v>5.2</v>
      </c>
      <c r="H516" t="n">
        <v>0</v>
      </c>
      <c r="I516" t="n">
        <v>0</v>
      </c>
      <c r="J516" t="n">
        <v>0</v>
      </c>
      <c r="K516" t="n">
        <v>0</v>
      </c>
      <c r="L516" t="n">
        <v>0</v>
      </c>
      <c r="M516" t="n">
        <v>0</v>
      </c>
      <c r="N516" t="n">
        <v>0</v>
      </c>
      <c r="O516" t="n">
        <v>0</v>
      </c>
      <c r="P516" t="n">
        <v>0</v>
      </c>
      <c r="Q516" t="n">
        <v>0</v>
      </c>
      <c r="R516" s="2" t="inlineStr"/>
    </row>
    <row r="517" ht="15" customHeight="1">
      <c r="A517" t="inlineStr">
        <is>
          <t>A 30639-2025</t>
        </is>
      </c>
      <c r="B517" s="1" t="n">
        <v>45831.4844212963</v>
      </c>
      <c r="C517" s="1" t="n">
        <v>45996</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30668-2025</t>
        </is>
      </c>
      <c r="B518" s="1" t="n">
        <v>45831.51659722222</v>
      </c>
      <c r="C518" s="1" t="n">
        <v>45996</v>
      </c>
      <c r="D518" t="inlineStr">
        <is>
          <t>STOCKHOLMS LÄN</t>
        </is>
      </c>
      <c r="E518" t="inlineStr">
        <is>
          <t>NORRTÄLJE</t>
        </is>
      </c>
      <c r="G518" t="n">
        <v>4.9</v>
      </c>
      <c r="H518" t="n">
        <v>0</v>
      </c>
      <c r="I518" t="n">
        <v>0</v>
      </c>
      <c r="J518" t="n">
        <v>0</v>
      </c>
      <c r="K518" t="n">
        <v>0</v>
      </c>
      <c r="L518" t="n">
        <v>0</v>
      </c>
      <c r="M518" t="n">
        <v>0</v>
      </c>
      <c r="N518" t="n">
        <v>0</v>
      </c>
      <c r="O518" t="n">
        <v>0</v>
      </c>
      <c r="P518" t="n">
        <v>0</v>
      </c>
      <c r="Q518" t="n">
        <v>0</v>
      </c>
      <c r="R518" s="2" t="inlineStr"/>
    </row>
    <row r="519" ht="15" customHeight="1">
      <c r="A519" t="inlineStr">
        <is>
          <t>A 67921-2021</t>
        </is>
      </c>
      <c r="B519" s="1" t="n">
        <v>44525</v>
      </c>
      <c r="C519" s="1" t="n">
        <v>45996</v>
      </c>
      <c r="D519" t="inlineStr">
        <is>
          <t>STOCKHOLMS LÄN</t>
        </is>
      </c>
      <c r="E519" t="inlineStr">
        <is>
          <t>NORRTÄLJE</t>
        </is>
      </c>
      <c r="G519" t="n">
        <v>6.3</v>
      </c>
      <c r="H519" t="n">
        <v>0</v>
      </c>
      <c r="I519" t="n">
        <v>0</v>
      </c>
      <c r="J519" t="n">
        <v>0</v>
      </c>
      <c r="K519" t="n">
        <v>0</v>
      </c>
      <c r="L519" t="n">
        <v>0</v>
      </c>
      <c r="M519" t="n">
        <v>0</v>
      </c>
      <c r="N519" t="n">
        <v>0</v>
      </c>
      <c r="O519" t="n">
        <v>0</v>
      </c>
      <c r="P519" t="n">
        <v>0</v>
      </c>
      <c r="Q519" t="n">
        <v>0</v>
      </c>
      <c r="R519" s="2" t="inlineStr"/>
    </row>
    <row r="520" ht="15" customHeight="1">
      <c r="A520" t="inlineStr">
        <is>
          <t>A 25681-2024</t>
        </is>
      </c>
      <c r="B520" s="1" t="n">
        <v>45463.80486111111</v>
      </c>
      <c r="C520" s="1" t="n">
        <v>45996</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18665-2022</t>
        </is>
      </c>
      <c r="B521" s="1" t="n">
        <v>44687</v>
      </c>
      <c r="C521" s="1" t="n">
        <v>45996</v>
      </c>
      <c r="D521" t="inlineStr">
        <is>
          <t>STOCKHOLMS LÄN</t>
        </is>
      </c>
      <c r="E521" t="inlineStr">
        <is>
          <t>NORRTÄLJE</t>
        </is>
      </c>
      <c r="F521" t="inlineStr">
        <is>
          <t>Kyrkan</t>
        </is>
      </c>
      <c r="G521" t="n">
        <v>1.1</v>
      </c>
      <c r="H521" t="n">
        <v>0</v>
      </c>
      <c r="I521" t="n">
        <v>0</v>
      </c>
      <c r="J521" t="n">
        <v>0</v>
      </c>
      <c r="K521" t="n">
        <v>0</v>
      </c>
      <c r="L521" t="n">
        <v>0</v>
      </c>
      <c r="M521" t="n">
        <v>0</v>
      </c>
      <c r="N521" t="n">
        <v>0</v>
      </c>
      <c r="O521" t="n">
        <v>0</v>
      </c>
      <c r="P521" t="n">
        <v>0</v>
      </c>
      <c r="Q521" t="n">
        <v>0</v>
      </c>
      <c r="R521" s="2" t="inlineStr"/>
    </row>
    <row r="522" ht="15" customHeight="1">
      <c r="A522" t="inlineStr">
        <is>
          <t>A 58853-2024</t>
        </is>
      </c>
      <c r="B522" s="1" t="n">
        <v>45636.38974537037</v>
      </c>
      <c r="C522" s="1" t="n">
        <v>45996</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35438-2023</t>
        </is>
      </c>
      <c r="B523" s="1" t="n">
        <v>45146</v>
      </c>
      <c r="C523" s="1" t="n">
        <v>45996</v>
      </c>
      <c r="D523" t="inlineStr">
        <is>
          <t>STOCKHOLMS LÄN</t>
        </is>
      </c>
      <c r="E523" t="inlineStr">
        <is>
          <t>NORRTÄLJE</t>
        </is>
      </c>
      <c r="F523" t="inlineStr">
        <is>
          <t>Kommuner</t>
        </is>
      </c>
      <c r="G523" t="n">
        <v>1.9</v>
      </c>
      <c r="H523" t="n">
        <v>0</v>
      </c>
      <c r="I523" t="n">
        <v>0</v>
      </c>
      <c r="J523" t="n">
        <v>0</v>
      </c>
      <c r="K523" t="n">
        <v>0</v>
      </c>
      <c r="L523" t="n">
        <v>0</v>
      </c>
      <c r="M523" t="n">
        <v>0</v>
      </c>
      <c r="N523" t="n">
        <v>0</v>
      </c>
      <c r="O523" t="n">
        <v>0</v>
      </c>
      <c r="P523" t="n">
        <v>0</v>
      </c>
      <c r="Q523" t="n">
        <v>0</v>
      </c>
      <c r="R523" s="2" t="inlineStr"/>
    </row>
    <row r="524" ht="15" customHeight="1">
      <c r="A524" t="inlineStr">
        <is>
          <t>A 58302-2022</t>
        </is>
      </c>
      <c r="B524" s="1" t="n">
        <v>44901</v>
      </c>
      <c r="C524" s="1" t="n">
        <v>45996</v>
      </c>
      <c r="D524" t="inlineStr">
        <is>
          <t>STOCKHOLMS LÄN</t>
        </is>
      </c>
      <c r="E524" t="inlineStr">
        <is>
          <t>NORRTÄLJE</t>
        </is>
      </c>
      <c r="G524" t="n">
        <v>3.9</v>
      </c>
      <c r="H524" t="n">
        <v>0</v>
      </c>
      <c r="I524" t="n">
        <v>0</v>
      </c>
      <c r="J524" t="n">
        <v>0</v>
      </c>
      <c r="K524" t="n">
        <v>0</v>
      </c>
      <c r="L524" t="n">
        <v>0</v>
      </c>
      <c r="M524" t="n">
        <v>0</v>
      </c>
      <c r="N524" t="n">
        <v>0</v>
      </c>
      <c r="O524" t="n">
        <v>0</v>
      </c>
      <c r="P524" t="n">
        <v>0</v>
      </c>
      <c r="Q524" t="n">
        <v>0</v>
      </c>
      <c r="R524" s="2" t="inlineStr"/>
    </row>
    <row r="525" ht="15" customHeight="1">
      <c r="A525" t="inlineStr">
        <is>
          <t>A 39692-2025</t>
        </is>
      </c>
      <c r="B525" s="1" t="n">
        <v>45890.68083333333</v>
      </c>
      <c r="C525" s="1" t="n">
        <v>45996</v>
      </c>
      <c r="D525" t="inlineStr">
        <is>
          <t>STOCKHOLMS LÄN</t>
        </is>
      </c>
      <c r="E525" t="inlineStr">
        <is>
          <t>NORRTÄLJE</t>
        </is>
      </c>
      <c r="G525" t="n">
        <v>10.5</v>
      </c>
      <c r="H525" t="n">
        <v>0</v>
      </c>
      <c r="I525" t="n">
        <v>0</v>
      </c>
      <c r="J525" t="n">
        <v>0</v>
      </c>
      <c r="K525" t="n">
        <v>0</v>
      </c>
      <c r="L525" t="n">
        <v>0</v>
      </c>
      <c r="M525" t="n">
        <v>0</v>
      </c>
      <c r="N525" t="n">
        <v>0</v>
      </c>
      <c r="O525" t="n">
        <v>0</v>
      </c>
      <c r="P525" t="n">
        <v>0</v>
      </c>
      <c r="Q525" t="n">
        <v>0</v>
      </c>
      <c r="R525" s="2" t="inlineStr"/>
    </row>
    <row r="526" ht="15" customHeight="1">
      <c r="A526" t="inlineStr">
        <is>
          <t>A 20291-2022</t>
        </is>
      </c>
      <c r="B526" s="1" t="n">
        <v>44698</v>
      </c>
      <c r="C526" s="1" t="n">
        <v>45996</v>
      </c>
      <c r="D526" t="inlineStr">
        <is>
          <t>STOCKHOLMS LÄN</t>
        </is>
      </c>
      <c r="E526" t="inlineStr">
        <is>
          <t>NORRTÄLJE</t>
        </is>
      </c>
      <c r="F526" t="inlineStr">
        <is>
          <t>Naturvårdsverket</t>
        </is>
      </c>
      <c r="G526" t="n">
        <v>2</v>
      </c>
      <c r="H526" t="n">
        <v>0</v>
      </c>
      <c r="I526" t="n">
        <v>0</v>
      </c>
      <c r="J526" t="n">
        <v>0</v>
      </c>
      <c r="K526" t="n">
        <v>0</v>
      </c>
      <c r="L526" t="n">
        <v>0</v>
      </c>
      <c r="M526" t="n">
        <v>0</v>
      </c>
      <c r="N526" t="n">
        <v>0</v>
      </c>
      <c r="O526" t="n">
        <v>0</v>
      </c>
      <c r="P526" t="n">
        <v>0</v>
      </c>
      <c r="Q526" t="n">
        <v>0</v>
      </c>
      <c r="R526" s="2" t="inlineStr"/>
    </row>
    <row r="527" ht="15" customHeight="1">
      <c r="A527" t="inlineStr">
        <is>
          <t>A 26115-2024</t>
        </is>
      </c>
      <c r="B527" s="1" t="n">
        <v>45468.45628472222</v>
      </c>
      <c r="C527" s="1" t="n">
        <v>45996</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31170-2025</t>
        </is>
      </c>
      <c r="B528" s="1" t="n">
        <v>45832.66385416667</v>
      </c>
      <c r="C528" s="1" t="n">
        <v>45996</v>
      </c>
      <c r="D528" t="inlineStr">
        <is>
          <t>STOCKHOLMS LÄN</t>
        </is>
      </c>
      <c r="E528" t="inlineStr">
        <is>
          <t>NORRTÄLJE</t>
        </is>
      </c>
      <c r="G528" t="n">
        <v>2.7</v>
      </c>
      <c r="H528" t="n">
        <v>0</v>
      </c>
      <c r="I528" t="n">
        <v>0</v>
      </c>
      <c r="J528" t="n">
        <v>0</v>
      </c>
      <c r="K528" t="n">
        <v>0</v>
      </c>
      <c r="L528" t="n">
        <v>0</v>
      </c>
      <c r="M528" t="n">
        <v>0</v>
      </c>
      <c r="N528" t="n">
        <v>0</v>
      </c>
      <c r="O528" t="n">
        <v>0</v>
      </c>
      <c r="P528" t="n">
        <v>0</v>
      </c>
      <c r="Q528" t="n">
        <v>0</v>
      </c>
      <c r="R528" s="2" t="inlineStr"/>
    </row>
    <row r="529" ht="15" customHeight="1">
      <c r="A529" t="inlineStr">
        <is>
          <t>A 38591-2023</t>
        </is>
      </c>
      <c r="B529" s="1" t="n">
        <v>45162</v>
      </c>
      <c r="C529" s="1" t="n">
        <v>45996</v>
      </c>
      <c r="D529" t="inlineStr">
        <is>
          <t>STOCKHOLMS LÄN</t>
        </is>
      </c>
      <c r="E529" t="inlineStr">
        <is>
          <t>NORRTÄLJE</t>
        </is>
      </c>
      <c r="F529" t="inlineStr">
        <is>
          <t>Övriga Aktiebolag</t>
        </is>
      </c>
      <c r="G529" t="n">
        <v>3.1</v>
      </c>
      <c r="H529" t="n">
        <v>0</v>
      </c>
      <c r="I529" t="n">
        <v>0</v>
      </c>
      <c r="J529" t="n">
        <v>0</v>
      </c>
      <c r="K529" t="n">
        <v>0</v>
      </c>
      <c r="L529" t="n">
        <v>0</v>
      </c>
      <c r="M529" t="n">
        <v>0</v>
      </c>
      <c r="N529" t="n">
        <v>0</v>
      </c>
      <c r="O529" t="n">
        <v>0</v>
      </c>
      <c r="P529" t="n">
        <v>0</v>
      </c>
      <c r="Q529" t="n">
        <v>0</v>
      </c>
      <c r="R529" s="2" t="inlineStr"/>
    </row>
    <row r="530" ht="15" customHeight="1">
      <c r="A530" t="inlineStr">
        <is>
          <t>A 30338-2022</t>
        </is>
      </c>
      <c r="B530" s="1" t="n">
        <v>44760</v>
      </c>
      <c r="C530" s="1" t="n">
        <v>45996</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2888-2022</t>
        </is>
      </c>
      <c r="B531" s="1" t="n">
        <v>44581</v>
      </c>
      <c r="C531" s="1" t="n">
        <v>45996</v>
      </c>
      <c r="D531" t="inlineStr">
        <is>
          <t>STOCKHOLMS LÄN</t>
        </is>
      </c>
      <c r="E531" t="inlineStr">
        <is>
          <t>NORRTÄLJE</t>
        </is>
      </c>
      <c r="G531" t="n">
        <v>2.4</v>
      </c>
      <c r="H531" t="n">
        <v>0</v>
      </c>
      <c r="I531" t="n">
        <v>0</v>
      </c>
      <c r="J531" t="n">
        <v>0</v>
      </c>
      <c r="K531" t="n">
        <v>0</v>
      </c>
      <c r="L531" t="n">
        <v>0</v>
      </c>
      <c r="M531" t="n">
        <v>0</v>
      </c>
      <c r="N531" t="n">
        <v>0</v>
      </c>
      <c r="O531" t="n">
        <v>0</v>
      </c>
      <c r="P531" t="n">
        <v>0</v>
      </c>
      <c r="Q531" t="n">
        <v>0</v>
      </c>
      <c r="R531" s="2" t="inlineStr"/>
    </row>
    <row r="532" ht="15" customHeight="1">
      <c r="A532" t="inlineStr">
        <is>
          <t>A 52686-2024</t>
        </is>
      </c>
      <c r="B532" s="1" t="n">
        <v>45610.39271990741</v>
      </c>
      <c r="C532" s="1" t="n">
        <v>45996</v>
      </c>
      <c r="D532" t="inlineStr">
        <is>
          <t>STOCKHOLMS LÄN</t>
        </is>
      </c>
      <c r="E532" t="inlineStr">
        <is>
          <t>NORRTÄLJE</t>
        </is>
      </c>
      <c r="G532" t="n">
        <v>5.7</v>
      </c>
      <c r="H532" t="n">
        <v>0</v>
      </c>
      <c r="I532" t="n">
        <v>0</v>
      </c>
      <c r="J532" t="n">
        <v>0</v>
      </c>
      <c r="K532" t="n">
        <v>0</v>
      </c>
      <c r="L532" t="n">
        <v>0</v>
      </c>
      <c r="M532" t="n">
        <v>0</v>
      </c>
      <c r="N532" t="n">
        <v>0</v>
      </c>
      <c r="O532" t="n">
        <v>0</v>
      </c>
      <c r="P532" t="n">
        <v>0</v>
      </c>
      <c r="Q532" t="n">
        <v>0</v>
      </c>
      <c r="R532" s="2" t="inlineStr"/>
    </row>
    <row r="533" ht="15" customHeight="1">
      <c r="A533" t="inlineStr">
        <is>
          <t>A 20343-2024</t>
        </is>
      </c>
      <c r="B533" s="1" t="n">
        <v>45435.43466435185</v>
      </c>
      <c r="C533" s="1" t="n">
        <v>45996</v>
      </c>
      <c r="D533" t="inlineStr">
        <is>
          <t>STOCKHOLMS LÄN</t>
        </is>
      </c>
      <c r="E533" t="inlineStr">
        <is>
          <t>NORRTÄLJE</t>
        </is>
      </c>
      <c r="G533" t="n">
        <v>2.8</v>
      </c>
      <c r="H533" t="n">
        <v>0</v>
      </c>
      <c r="I533" t="n">
        <v>0</v>
      </c>
      <c r="J533" t="n">
        <v>0</v>
      </c>
      <c r="K533" t="n">
        <v>0</v>
      </c>
      <c r="L533" t="n">
        <v>0</v>
      </c>
      <c r="M533" t="n">
        <v>0</v>
      </c>
      <c r="N533" t="n">
        <v>0</v>
      </c>
      <c r="O533" t="n">
        <v>0</v>
      </c>
      <c r="P533" t="n">
        <v>0</v>
      </c>
      <c r="Q533" t="n">
        <v>0</v>
      </c>
      <c r="R533" s="2" t="inlineStr"/>
    </row>
    <row r="534" ht="15" customHeight="1">
      <c r="A534" t="inlineStr">
        <is>
          <t>A 20345-2024</t>
        </is>
      </c>
      <c r="B534" s="1" t="n">
        <v>45435.43820601852</v>
      </c>
      <c r="C534" s="1" t="n">
        <v>45996</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9765-2024</t>
        </is>
      </c>
      <c r="B535" s="1" t="n">
        <v>45362.62811342593</v>
      </c>
      <c r="C535" s="1" t="n">
        <v>45996</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28816-2023</t>
        </is>
      </c>
      <c r="B536" s="1" t="n">
        <v>45104</v>
      </c>
      <c r="C536" s="1" t="n">
        <v>45996</v>
      </c>
      <c r="D536" t="inlineStr">
        <is>
          <t>STOCKHOLMS LÄN</t>
        </is>
      </c>
      <c r="E536" t="inlineStr">
        <is>
          <t>NORRTÄLJE</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31880-2025</t>
        </is>
      </c>
      <c r="B537" s="1" t="n">
        <v>45834.65538194445</v>
      </c>
      <c r="C537" s="1" t="n">
        <v>45996</v>
      </c>
      <c r="D537" t="inlineStr">
        <is>
          <t>STOCKHOLMS LÄN</t>
        </is>
      </c>
      <c r="E537" t="inlineStr">
        <is>
          <t>NORRTÄLJE</t>
        </is>
      </c>
      <c r="G537" t="n">
        <v>1.4</v>
      </c>
      <c r="H537" t="n">
        <v>0</v>
      </c>
      <c r="I537" t="n">
        <v>0</v>
      </c>
      <c r="J537" t="n">
        <v>0</v>
      </c>
      <c r="K537" t="n">
        <v>0</v>
      </c>
      <c r="L537" t="n">
        <v>0</v>
      </c>
      <c r="M537" t="n">
        <v>0</v>
      </c>
      <c r="N537" t="n">
        <v>0</v>
      </c>
      <c r="O537" t="n">
        <v>0</v>
      </c>
      <c r="P537" t="n">
        <v>0</v>
      </c>
      <c r="Q537" t="n">
        <v>0</v>
      </c>
      <c r="R537" s="2" t="inlineStr"/>
    </row>
    <row r="538" ht="15" customHeight="1">
      <c r="A538" t="inlineStr">
        <is>
          <t>A 32122-2025</t>
        </is>
      </c>
      <c r="B538" s="1" t="n">
        <v>45835.4928125</v>
      </c>
      <c r="C538" s="1" t="n">
        <v>45996</v>
      </c>
      <c r="D538" t="inlineStr">
        <is>
          <t>STOCKHOLMS LÄN</t>
        </is>
      </c>
      <c r="E538" t="inlineStr">
        <is>
          <t>NORRTÄLJE</t>
        </is>
      </c>
      <c r="F538" t="inlineStr">
        <is>
          <t>Holmen skog AB</t>
        </is>
      </c>
      <c r="G538" t="n">
        <v>1.9</v>
      </c>
      <c r="H538" t="n">
        <v>0</v>
      </c>
      <c r="I538" t="n">
        <v>0</v>
      </c>
      <c r="J538" t="n">
        <v>0</v>
      </c>
      <c r="K538" t="n">
        <v>0</v>
      </c>
      <c r="L538" t="n">
        <v>0</v>
      </c>
      <c r="M538" t="n">
        <v>0</v>
      </c>
      <c r="N538" t="n">
        <v>0</v>
      </c>
      <c r="O538" t="n">
        <v>0</v>
      </c>
      <c r="P538" t="n">
        <v>0</v>
      </c>
      <c r="Q538" t="n">
        <v>0</v>
      </c>
      <c r="R538" s="2" t="inlineStr"/>
    </row>
    <row r="539" ht="15" customHeight="1">
      <c r="A539" t="inlineStr">
        <is>
          <t>A 59875-2024</t>
        </is>
      </c>
      <c r="B539" s="1" t="n">
        <v>45640.58716435185</v>
      </c>
      <c r="C539" s="1" t="n">
        <v>45996</v>
      </c>
      <c r="D539" t="inlineStr">
        <is>
          <t>STOCKHOLMS LÄN</t>
        </is>
      </c>
      <c r="E539" t="inlineStr">
        <is>
          <t>NORRTÄLJE</t>
        </is>
      </c>
      <c r="G539" t="n">
        <v>0.3</v>
      </c>
      <c r="H539" t="n">
        <v>0</v>
      </c>
      <c r="I539" t="n">
        <v>0</v>
      </c>
      <c r="J539" t="n">
        <v>0</v>
      </c>
      <c r="K539" t="n">
        <v>0</v>
      </c>
      <c r="L539" t="n">
        <v>0</v>
      </c>
      <c r="M539" t="n">
        <v>0</v>
      </c>
      <c r="N539" t="n">
        <v>0</v>
      </c>
      <c r="O539" t="n">
        <v>0</v>
      </c>
      <c r="P539" t="n">
        <v>0</v>
      </c>
      <c r="Q539" t="n">
        <v>0</v>
      </c>
      <c r="R539" s="2" t="inlineStr"/>
    </row>
    <row r="540" ht="15" customHeight="1">
      <c r="A540" t="inlineStr">
        <is>
          <t>A 31868-2025</t>
        </is>
      </c>
      <c r="B540" s="1" t="n">
        <v>45834.6447337963</v>
      </c>
      <c r="C540" s="1" t="n">
        <v>45996</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6413-2025</t>
        </is>
      </c>
      <c r="B541" s="1" t="n">
        <v>45699.46283564815</v>
      </c>
      <c r="C541" s="1" t="n">
        <v>45996</v>
      </c>
      <c r="D541" t="inlineStr">
        <is>
          <t>STOCKHOLMS LÄN</t>
        </is>
      </c>
      <c r="E541" t="inlineStr">
        <is>
          <t>NORRTÄLJE</t>
        </is>
      </c>
      <c r="G541" t="n">
        <v>3.6</v>
      </c>
      <c r="H541" t="n">
        <v>0</v>
      </c>
      <c r="I541" t="n">
        <v>0</v>
      </c>
      <c r="J541" t="n">
        <v>0</v>
      </c>
      <c r="K541" t="n">
        <v>0</v>
      </c>
      <c r="L541" t="n">
        <v>0</v>
      </c>
      <c r="M541" t="n">
        <v>0</v>
      </c>
      <c r="N541" t="n">
        <v>0</v>
      </c>
      <c r="O541" t="n">
        <v>0</v>
      </c>
      <c r="P541" t="n">
        <v>0</v>
      </c>
      <c r="Q541" t="n">
        <v>0</v>
      </c>
      <c r="R541" s="2" t="inlineStr"/>
    </row>
    <row r="542" ht="15" customHeight="1">
      <c r="A542" t="inlineStr">
        <is>
          <t>A 19118-2022</t>
        </is>
      </c>
      <c r="B542" s="1" t="n">
        <v>44691.5652662037</v>
      </c>
      <c r="C542" s="1" t="n">
        <v>45996</v>
      </c>
      <c r="D542" t="inlineStr">
        <is>
          <t>STOCKHOLMS LÄN</t>
        </is>
      </c>
      <c r="E542" t="inlineStr">
        <is>
          <t>NORRTÄLJE</t>
        </is>
      </c>
      <c r="G542" t="n">
        <v>0.5</v>
      </c>
      <c r="H542" t="n">
        <v>0</v>
      </c>
      <c r="I542" t="n">
        <v>0</v>
      </c>
      <c r="J542" t="n">
        <v>0</v>
      </c>
      <c r="K542" t="n">
        <v>0</v>
      </c>
      <c r="L542" t="n">
        <v>0</v>
      </c>
      <c r="M542" t="n">
        <v>0</v>
      </c>
      <c r="N542" t="n">
        <v>0</v>
      </c>
      <c r="O542" t="n">
        <v>0</v>
      </c>
      <c r="P542" t="n">
        <v>0</v>
      </c>
      <c r="Q542" t="n">
        <v>0</v>
      </c>
      <c r="R542" s="2" t="inlineStr"/>
    </row>
    <row r="543" ht="15" customHeight="1">
      <c r="A543" t="inlineStr">
        <is>
          <t>A 11-2024</t>
        </is>
      </c>
      <c r="B543" s="1" t="n">
        <v>45293</v>
      </c>
      <c r="C543" s="1" t="n">
        <v>45996</v>
      </c>
      <c r="D543" t="inlineStr">
        <is>
          <t>STOCKHOLMS LÄN</t>
        </is>
      </c>
      <c r="E543" t="inlineStr">
        <is>
          <t>NORRTÄLJE</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14559-2024</t>
        </is>
      </c>
      <c r="B544" s="1" t="n">
        <v>45394.72869212963</v>
      </c>
      <c r="C544" s="1" t="n">
        <v>45996</v>
      </c>
      <c r="D544" t="inlineStr">
        <is>
          <t>STOCKHOLMS LÄN</t>
        </is>
      </c>
      <c r="E544" t="inlineStr">
        <is>
          <t>NORRTÄLJE</t>
        </is>
      </c>
      <c r="G544" t="n">
        <v>4.2</v>
      </c>
      <c r="H544" t="n">
        <v>0</v>
      </c>
      <c r="I544" t="n">
        <v>0</v>
      </c>
      <c r="J544" t="n">
        <v>0</v>
      </c>
      <c r="K544" t="n">
        <v>0</v>
      </c>
      <c r="L544" t="n">
        <v>0</v>
      </c>
      <c r="M544" t="n">
        <v>0</v>
      </c>
      <c r="N544" t="n">
        <v>0</v>
      </c>
      <c r="O544" t="n">
        <v>0</v>
      </c>
      <c r="P544" t="n">
        <v>0</v>
      </c>
      <c r="Q544" t="n">
        <v>0</v>
      </c>
      <c r="R544" s="2" t="inlineStr"/>
    </row>
    <row r="545" ht="15" customHeight="1">
      <c r="A545" t="inlineStr">
        <is>
          <t>A 8433-2022</t>
        </is>
      </c>
      <c r="B545" s="1" t="n">
        <v>44611</v>
      </c>
      <c r="C545" s="1" t="n">
        <v>45996</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32016-2025</t>
        </is>
      </c>
      <c r="B546" s="1" t="n">
        <v>45835</v>
      </c>
      <c r="C546" s="1" t="n">
        <v>45996</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35639-2025</t>
        </is>
      </c>
      <c r="B547" s="1" t="n">
        <v>45859</v>
      </c>
      <c r="C547" s="1" t="n">
        <v>45996</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25525-2022</t>
        </is>
      </c>
      <c r="B548" s="1" t="n">
        <v>44732</v>
      </c>
      <c r="C548" s="1" t="n">
        <v>45996</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32283-2025</t>
        </is>
      </c>
      <c r="B549" s="1" t="n">
        <v>45835.68076388889</v>
      </c>
      <c r="C549" s="1" t="n">
        <v>45996</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12302-2025</t>
        </is>
      </c>
      <c r="B550" s="1" t="n">
        <v>45729.72851851852</v>
      </c>
      <c r="C550" s="1" t="n">
        <v>45996</v>
      </c>
      <c r="D550" t="inlineStr">
        <is>
          <t>STOCKHOLMS LÄN</t>
        </is>
      </c>
      <c r="E550" t="inlineStr">
        <is>
          <t>NORRTÄLJE</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8739-2024</t>
        </is>
      </c>
      <c r="B551" s="1" t="n">
        <v>45356.47784722222</v>
      </c>
      <c r="C551" s="1" t="n">
        <v>45996</v>
      </c>
      <c r="D551" t="inlineStr">
        <is>
          <t>STOCKHOLMS LÄN</t>
        </is>
      </c>
      <c r="E551" t="inlineStr">
        <is>
          <t>NORRTÄLJE</t>
        </is>
      </c>
      <c r="G551" t="n">
        <v>1.2</v>
      </c>
      <c r="H551" t="n">
        <v>0</v>
      </c>
      <c r="I551" t="n">
        <v>0</v>
      </c>
      <c r="J551" t="n">
        <v>0</v>
      </c>
      <c r="K551" t="n">
        <v>0</v>
      </c>
      <c r="L551" t="n">
        <v>0</v>
      </c>
      <c r="M551" t="n">
        <v>0</v>
      </c>
      <c r="N551" t="n">
        <v>0</v>
      </c>
      <c r="O551" t="n">
        <v>0</v>
      </c>
      <c r="P551" t="n">
        <v>0</v>
      </c>
      <c r="Q551" t="n">
        <v>0</v>
      </c>
      <c r="R551" s="2" t="inlineStr"/>
    </row>
    <row r="552" ht="15" customHeight="1">
      <c r="A552" t="inlineStr">
        <is>
          <t>A 38759-2022</t>
        </is>
      </c>
      <c r="B552" s="1" t="n">
        <v>44816</v>
      </c>
      <c r="C552" s="1" t="n">
        <v>45996</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31874-2025</t>
        </is>
      </c>
      <c r="B553" s="1" t="n">
        <v>45834</v>
      </c>
      <c r="C553" s="1" t="n">
        <v>45996</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32094-2025</t>
        </is>
      </c>
      <c r="B554" s="1" t="n">
        <v>45835.46034722222</v>
      </c>
      <c r="C554" s="1" t="n">
        <v>45996</v>
      </c>
      <c r="D554" t="inlineStr">
        <is>
          <t>STOCKHOLMS LÄN</t>
        </is>
      </c>
      <c r="E554" t="inlineStr">
        <is>
          <t>NORRTÄLJE</t>
        </is>
      </c>
      <c r="F554" t="inlineStr">
        <is>
          <t>Holmen skog AB</t>
        </is>
      </c>
      <c r="G554" t="n">
        <v>2.9</v>
      </c>
      <c r="H554" t="n">
        <v>0</v>
      </c>
      <c r="I554" t="n">
        <v>0</v>
      </c>
      <c r="J554" t="n">
        <v>0</v>
      </c>
      <c r="K554" t="n">
        <v>0</v>
      </c>
      <c r="L554" t="n">
        <v>0</v>
      </c>
      <c r="M554" t="n">
        <v>0</v>
      </c>
      <c r="N554" t="n">
        <v>0</v>
      </c>
      <c r="O554" t="n">
        <v>0</v>
      </c>
      <c r="P554" t="n">
        <v>0</v>
      </c>
      <c r="Q554" t="n">
        <v>0</v>
      </c>
      <c r="R554" s="2" t="inlineStr"/>
    </row>
    <row r="555" ht="15" customHeight="1">
      <c r="A555" t="inlineStr">
        <is>
          <t>A 38889-2024</t>
        </is>
      </c>
      <c r="B555" s="1" t="n">
        <v>45547</v>
      </c>
      <c r="C555" s="1" t="n">
        <v>45996</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45451-2024</t>
        </is>
      </c>
      <c r="B556" s="1" t="n">
        <v>45576</v>
      </c>
      <c r="C556" s="1" t="n">
        <v>45996</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45996</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29714-2023</t>
        </is>
      </c>
      <c r="B558" s="1" t="n">
        <v>45107.42538194444</v>
      </c>
      <c r="C558" s="1" t="n">
        <v>45996</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23271-2023</t>
        </is>
      </c>
      <c r="B559" s="1" t="n">
        <v>45075.91362268518</v>
      </c>
      <c r="C559" s="1" t="n">
        <v>45996</v>
      </c>
      <c r="D559" t="inlineStr">
        <is>
          <t>STOCKHOLMS LÄN</t>
        </is>
      </c>
      <c r="E559" t="inlineStr">
        <is>
          <t>NORRTÄLJE</t>
        </is>
      </c>
      <c r="G559" t="n">
        <v>5.1</v>
      </c>
      <c r="H559" t="n">
        <v>0</v>
      </c>
      <c r="I559" t="n">
        <v>0</v>
      </c>
      <c r="J559" t="n">
        <v>0</v>
      </c>
      <c r="K559" t="n">
        <v>0</v>
      </c>
      <c r="L559" t="n">
        <v>0</v>
      </c>
      <c r="M559" t="n">
        <v>0</v>
      </c>
      <c r="N559" t="n">
        <v>0</v>
      </c>
      <c r="O559" t="n">
        <v>0</v>
      </c>
      <c r="P559" t="n">
        <v>0</v>
      </c>
      <c r="Q559" t="n">
        <v>0</v>
      </c>
      <c r="R559" s="2" t="inlineStr"/>
    </row>
    <row r="560" ht="15" customHeight="1">
      <c r="A560" t="inlineStr">
        <is>
          <t>A 23273-2023</t>
        </is>
      </c>
      <c r="B560" s="1" t="n">
        <v>45075.91971064815</v>
      </c>
      <c r="C560" s="1" t="n">
        <v>45996</v>
      </c>
      <c r="D560" t="inlineStr">
        <is>
          <t>STOCKHOLMS LÄN</t>
        </is>
      </c>
      <c r="E560" t="inlineStr">
        <is>
          <t>NORRTÄLJE</t>
        </is>
      </c>
      <c r="G560" t="n">
        <v>7.5</v>
      </c>
      <c r="H560" t="n">
        <v>0</v>
      </c>
      <c r="I560" t="n">
        <v>0</v>
      </c>
      <c r="J560" t="n">
        <v>0</v>
      </c>
      <c r="K560" t="n">
        <v>0</v>
      </c>
      <c r="L560" t="n">
        <v>0</v>
      </c>
      <c r="M560" t="n">
        <v>0</v>
      </c>
      <c r="N560" t="n">
        <v>0</v>
      </c>
      <c r="O560" t="n">
        <v>0</v>
      </c>
      <c r="P560" t="n">
        <v>0</v>
      </c>
      <c r="Q560" t="n">
        <v>0</v>
      </c>
      <c r="R560" s="2" t="inlineStr"/>
    </row>
    <row r="561" ht="15" customHeight="1">
      <c r="A561" t="inlineStr">
        <is>
          <t>A 32480-2025</t>
        </is>
      </c>
      <c r="B561" s="1" t="n">
        <v>45838.43261574074</v>
      </c>
      <c r="C561" s="1" t="n">
        <v>45996</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32872-2025</t>
        </is>
      </c>
      <c r="B562" s="1" t="n">
        <v>45839</v>
      </c>
      <c r="C562" s="1" t="n">
        <v>45996</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32903-2025</t>
        </is>
      </c>
      <c r="B563" s="1" t="n">
        <v>45839.62398148148</v>
      </c>
      <c r="C563" s="1" t="n">
        <v>45996</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32395-2025</t>
        </is>
      </c>
      <c r="B564" s="1" t="n">
        <v>45837.93730324074</v>
      </c>
      <c r="C564" s="1" t="n">
        <v>45996</v>
      </c>
      <c r="D564" t="inlineStr">
        <is>
          <t>STOCKHOLMS LÄN</t>
        </is>
      </c>
      <c r="E564" t="inlineStr">
        <is>
          <t>NORRTÄLJE</t>
        </is>
      </c>
      <c r="G564" t="n">
        <v>2.2</v>
      </c>
      <c r="H564" t="n">
        <v>0</v>
      </c>
      <c r="I564" t="n">
        <v>0</v>
      </c>
      <c r="J564" t="n">
        <v>0</v>
      </c>
      <c r="K564" t="n">
        <v>0</v>
      </c>
      <c r="L564" t="n">
        <v>0</v>
      </c>
      <c r="M564" t="n">
        <v>0</v>
      </c>
      <c r="N564" t="n">
        <v>0</v>
      </c>
      <c r="O564" t="n">
        <v>0</v>
      </c>
      <c r="P564" t="n">
        <v>0</v>
      </c>
      <c r="Q564" t="n">
        <v>0</v>
      </c>
      <c r="R564" s="2" t="inlineStr"/>
    </row>
    <row r="565" ht="15" customHeight="1">
      <c r="A565" t="inlineStr">
        <is>
          <t>A 32396-2025</t>
        </is>
      </c>
      <c r="B565" s="1" t="n">
        <v>45837</v>
      </c>
      <c r="C565" s="1" t="n">
        <v>45996</v>
      </c>
      <c r="D565" t="inlineStr">
        <is>
          <t>STOCKHOLMS LÄN</t>
        </is>
      </c>
      <c r="E565" t="inlineStr">
        <is>
          <t>NORRTÄLJE</t>
        </is>
      </c>
      <c r="G565" t="n">
        <v>2</v>
      </c>
      <c r="H565" t="n">
        <v>0</v>
      </c>
      <c r="I565" t="n">
        <v>0</v>
      </c>
      <c r="J565" t="n">
        <v>0</v>
      </c>
      <c r="K565" t="n">
        <v>0</v>
      </c>
      <c r="L565" t="n">
        <v>0</v>
      </c>
      <c r="M565" t="n">
        <v>0</v>
      </c>
      <c r="N565" t="n">
        <v>0</v>
      </c>
      <c r="O565" t="n">
        <v>0</v>
      </c>
      <c r="P565" t="n">
        <v>0</v>
      </c>
      <c r="Q565" t="n">
        <v>0</v>
      </c>
      <c r="R565" s="2" t="inlineStr"/>
    </row>
    <row r="566" ht="15" customHeight="1">
      <c r="A566" t="inlineStr">
        <is>
          <t>A 32397-2025</t>
        </is>
      </c>
      <c r="B566" s="1" t="n">
        <v>45837.94081018519</v>
      </c>
      <c r="C566" s="1" t="n">
        <v>45996</v>
      </c>
      <c r="D566" t="inlineStr">
        <is>
          <t>STOCKHOLMS LÄN</t>
        </is>
      </c>
      <c r="E566" t="inlineStr">
        <is>
          <t>NORRTÄLJE</t>
        </is>
      </c>
      <c r="G566" t="n">
        <v>5.9</v>
      </c>
      <c r="H566" t="n">
        <v>0</v>
      </c>
      <c r="I566" t="n">
        <v>0</v>
      </c>
      <c r="J566" t="n">
        <v>0</v>
      </c>
      <c r="K566" t="n">
        <v>0</v>
      </c>
      <c r="L566" t="n">
        <v>0</v>
      </c>
      <c r="M566" t="n">
        <v>0</v>
      </c>
      <c r="N566" t="n">
        <v>0</v>
      </c>
      <c r="O566" t="n">
        <v>0</v>
      </c>
      <c r="P566" t="n">
        <v>0</v>
      </c>
      <c r="Q566" t="n">
        <v>0</v>
      </c>
      <c r="R566" s="2" t="inlineStr"/>
    </row>
    <row r="567" ht="15" customHeight="1">
      <c r="A567" t="inlineStr">
        <is>
          <t>A 35636-2025</t>
        </is>
      </c>
      <c r="B567" s="1" t="n">
        <v>45859</v>
      </c>
      <c r="C567" s="1" t="n">
        <v>45996</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26644-2024</t>
        </is>
      </c>
      <c r="B568" s="1" t="n">
        <v>45469</v>
      </c>
      <c r="C568" s="1" t="n">
        <v>45996</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2982-2023</t>
        </is>
      </c>
      <c r="B569" s="1" t="n">
        <v>44945.67409722223</v>
      </c>
      <c r="C569" s="1" t="n">
        <v>45996</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33702-2025</t>
        </is>
      </c>
      <c r="B570" s="1" t="n">
        <v>45841.74596064815</v>
      </c>
      <c r="C570" s="1" t="n">
        <v>45996</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12535-2025</t>
        </is>
      </c>
      <c r="B571" s="1" t="n">
        <v>45730.69502314815</v>
      </c>
      <c r="C571" s="1" t="n">
        <v>45996</v>
      </c>
      <c r="D571" t="inlineStr">
        <is>
          <t>STOCKHOLMS LÄN</t>
        </is>
      </c>
      <c r="E571" t="inlineStr">
        <is>
          <t>NORRTÄLJE</t>
        </is>
      </c>
      <c r="G571" t="n">
        <v>7.1</v>
      </c>
      <c r="H571" t="n">
        <v>0</v>
      </c>
      <c r="I571" t="n">
        <v>0</v>
      </c>
      <c r="J571" t="n">
        <v>0</v>
      </c>
      <c r="K571" t="n">
        <v>0</v>
      </c>
      <c r="L571" t="n">
        <v>0</v>
      </c>
      <c r="M571" t="n">
        <v>0</v>
      </c>
      <c r="N571" t="n">
        <v>0</v>
      </c>
      <c r="O571" t="n">
        <v>0</v>
      </c>
      <c r="P571" t="n">
        <v>0</v>
      </c>
      <c r="Q571" t="n">
        <v>0</v>
      </c>
      <c r="R571" s="2" t="inlineStr"/>
    </row>
    <row r="572" ht="15" customHeight="1">
      <c r="A572" t="inlineStr">
        <is>
          <t>A 33211-2025</t>
        </is>
      </c>
      <c r="B572" s="1" t="n">
        <v>45840.62755787037</v>
      </c>
      <c r="C572" s="1" t="n">
        <v>45996</v>
      </c>
      <c r="D572" t="inlineStr">
        <is>
          <t>STOCKHOLMS LÄN</t>
        </is>
      </c>
      <c r="E572" t="inlineStr">
        <is>
          <t>NORRTÄLJE</t>
        </is>
      </c>
      <c r="G572" t="n">
        <v>5.1</v>
      </c>
      <c r="H572" t="n">
        <v>0</v>
      </c>
      <c r="I572" t="n">
        <v>0</v>
      </c>
      <c r="J572" t="n">
        <v>0</v>
      </c>
      <c r="K572" t="n">
        <v>0</v>
      </c>
      <c r="L572" t="n">
        <v>0</v>
      </c>
      <c r="M572" t="n">
        <v>0</v>
      </c>
      <c r="N572" t="n">
        <v>0</v>
      </c>
      <c r="O572" t="n">
        <v>0</v>
      </c>
      <c r="P572" t="n">
        <v>0</v>
      </c>
      <c r="Q572" t="n">
        <v>0</v>
      </c>
      <c r="R572" s="2" t="inlineStr"/>
    </row>
    <row r="573" ht="15" customHeight="1">
      <c r="A573" t="inlineStr">
        <is>
          <t>A 37136-2023</t>
        </is>
      </c>
      <c r="B573" s="1" t="n">
        <v>45155</v>
      </c>
      <c r="C573" s="1" t="n">
        <v>45996</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7603-2025</t>
        </is>
      </c>
      <c r="B574" s="1" t="n">
        <v>45705.66126157407</v>
      </c>
      <c r="C574" s="1" t="n">
        <v>45996</v>
      </c>
      <c r="D574" t="inlineStr">
        <is>
          <t>STOCKHOLMS LÄN</t>
        </is>
      </c>
      <c r="E574" t="inlineStr">
        <is>
          <t>NORRTÄLJE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18787-2022</t>
        </is>
      </c>
      <c r="B575" s="1" t="n">
        <v>44687</v>
      </c>
      <c r="C575" s="1" t="n">
        <v>45996</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13718-2022</t>
        </is>
      </c>
      <c r="B576" s="1" t="n">
        <v>44649</v>
      </c>
      <c r="C576" s="1" t="n">
        <v>45996</v>
      </c>
      <c r="D576" t="inlineStr">
        <is>
          <t>STOCKHOLMS LÄN</t>
        </is>
      </c>
      <c r="E576" t="inlineStr">
        <is>
          <t>NORRTÄLJE</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33265-2025</t>
        </is>
      </c>
      <c r="B577" s="1" t="n">
        <v>45840.67829861111</v>
      </c>
      <c r="C577" s="1" t="n">
        <v>45996</v>
      </c>
      <c r="D577" t="inlineStr">
        <is>
          <t>STOCKHOLMS LÄN</t>
        </is>
      </c>
      <c r="E577" t="inlineStr">
        <is>
          <t>NORRTÄLJE</t>
        </is>
      </c>
      <c r="G577" t="n">
        <v>5.5</v>
      </c>
      <c r="H577" t="n">
        <v>0</v>
      </c>
      <c r="I577" t="n">
        <v>0</v>
      </c>
      <c r="J577" t="n">
        <v>0</v>
      </c>
      <c r="K577" t="n">
        <v>0</v>
      </c>
      <c r="L577" t="n">
        <v>0</v>
      </c>
      <c r="M577" t="n">
        <v>0</v>
      </c>
      <c r="N577" t="n">
        <v>0</v>
      </c>
      <c r="O577" t="n">
        <v>0</v>
      </c>
      <c r="P577" t="n">
        <v>0</v>
      </c>
      <c r="Q577" t="n">
        <v>0</v>
      </c>
      <c r="R577" s="2" t="inlineStr"/>
    </row>
    <row r="578" ht="15" customHeight="1">
      <c r="A578" t="inlineStr">
        <is>
          <t>A 25621-2022</t>
        </is>
      </c>
      <c r="B578" s="1" t="n">
        <v>44732</v>
      </c>
      <c r="C578" s="1" t="n">
        <v>45996</v>
      </c>
      <c r="D578" t="inlineStr">
        <is>
          <t>STOCKHOLMS LÄN</t>
        </is>
      </c>
      <c r="E578" t="inlineStr">
        <is>
          <t>NORRTÄLJE</t>
        </is>
      </c>
      <c r="G578" t="n">
        <v>3.1</v>
      </c>
      <c r="H578" t="n">
        <v>0</v>
      </c>
      <c r="I578" t="n">
        <v>0</v>
      </c>
      <c r="J578" t="n">
        <v>0</v>
      </c>
      <c r="K578" t="n">
        <v>0</v>
      </c>
      <c r="L578" t="n">
        <v>0</v>
      </c>
      <c r="M578" t="n">
        <v>0</v>
      </c>
      <c r="N578" t="n">
        <v>0</v>
      </c>
      <c r="O578" t="n">
        <v>0</v>
      </c>
      <c r="P578" t="n">
        <v>0</v>
      </c>
      <c r="Q578" t="n">
        <v>0</v>
      </c>
      <c r="R578" s="2" t="inlineStr"/>
    </row>
    <row r="579" ht="15" customHeight="1">
      <c r="A579" t="inlineStr">
        <is>
          <t>A 40172-2025</t>
        </is>
      </c>
      <c r="B579" s="1" t="n">
        <v>45894.6353125</v>
      </c>
      <c r="C579" s="1" t="n">
        <v>45996</v>
      </c>
      <c r="D579" t="inlineStr">
        <is>
          <t>STOCKHOLMS LÄN</t>
        </is>
      </c>
      <c r="E579" t="inlineStr">
        <is>
          <t>NORRTÄLJE</t>
        </is>
      </c>
      <c r="G579" t="n">
        <v>6</v>
      </c>
      <c r="H579" t="n">
        <v>0</v>
      </c>
      <c r="I579" t="n">
        <v>0</v>
      </c>
      <c r="J579" t="n">
        <v>0</v>
      </c>
      <c r="K579" t="n">
        <v>0</v>
      </c>
      <c r="L579" t="n">
        <v>0</v>
      </c>
      <c r="M579" t="n">
        <v>0</v>
      </c>
      <c r="N579" t="n">
        <v>0</v>
      </c>
      <c r="O579" t="n">
        <v>0</v>
      </c>
      <c r="P579" t="n">
        <v>0</v>
      </c>
      <c r="Q579" t="n">
        <v>0</v>
      </c>
      <c r="R579" s="2" t="inlineStr"/>
    </row>
    <row r="580" ht="15" customHeight="1">
      <c r="A580" t="inlineStr">
        <is>
          <t>A 30802-2022</t>
        </is>
      </c>
      <c r="B580" s="1" t="n">
        <v>44764</v>
      </c>
      <c r="C580" s="1" t="n">
        <v>45996</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33552-2025</t>
        </is>
      </c>
      <c r="B581" s="1" t="n">
        <v>45841.5737962963</v>
      </c>
      <c r="C581" s="1" t="n">
        <v>45996</v>
      </c>
      <c r="D581" t="inlineStr">
        <is>
          <t>STOCKHOLMS LÄN</t>
        </is>
      </c>
      <c r="E581" t="inlineStr">
        <is>
          <t>NORRTÄLJE</t>
        </is>
      </c>
      <c r="G581" t="n">
        <v>8.9</v>
      </c>
      <c r="H581" t="n">
        <v>0</v>
      </c>
      <c r="I581" t="n">
        <v>0</v>
      </c>
      <c r="J581" t="n">
        <v>0</v>
      </c>
      <c r="K581" t="n">
        <v>0</v>
      </c>
      <c r="L581" t="n">
        <v>0</v>
      </c>
      <c r="M581" t="n">
        <v>0</v>
      </c>
      <c r="N581" t="n">
        <v>0</v>
      </c>
      <c r="O581" t="n">
        <v>0</v>
      </c>
      <c r="P581" t="n">
        <v>0</v>
      </c>
      <c r="Q581" t="n">
        <v>0</v>
      </c>
      <c r="R581" s="2" t="inlineStr"/>
    </row>
    <row r="582" ht="15" customHeight="1">
      <c r="A582" t="inlineStr">
        <is>
          <t>A 33336-2025</t>
        </is>
      </c>
      <c r="B582" s="1" t="n">
        <v>45841.35611111111</v>
      </c>
      <c r="C582" s="1" t="n">
        <v>45996</v>
      </c>
      <c r="D582" t="inlineStr">
        <is>
          <t>STOCKHOLMS LÄN</t>
        </is>
      </c>
      <c r="E582" t="inlineStr">
        <is>
          <t>NORRTÄLJE</t>
        </is>
      </c>
      <c r="G582" t="n">
        <v>2.4</v>
      </c>
      <c r="H582" t="n">
        <v>0</v>
      </c>
      <c r="I582" t="n">
        <v>0</v>
      </c>
      <c r="J582" t="n">
        <v>0</v>
      </c>
      <c r="K582" t="n">
        <v>0</v>
      </c>
      <c r="L582" t="n">
        <v>0</v>
      </c>
      <c r="M582" t="n">
        <v>0</v>
      </c>
      <c r="N582" t="n">
        <v>0</v>
      </c>
      <c r="O582" t="n">
        <v>0</v>
      </c>
      <c r="P582" t="n">
        <v>0</v>
      </c>
      <c r="Q582" t="n">
        <v>0</v>
      </c>
      <c r="R582" s="2" t="inlineStr"/>
    </row>
    <row r="583" ht="15" customHeight="1">
      <c r="A583" t="inlineStr">
        <is>
          <t>A 40033-2025</t>
        </is>
      </c>
      <c r="B583" s="1" t="n">
        <v>45893</v>
      </c>
      <c r="C583" s="1" t="n">
        <v>45996</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33824-2025</t>
        </is>
      </c>
      <c r="B584" s="1" t="n">
        <v>45842.46885416667</v>
      </c>
      <c r="C584" s="1" t="n">
        <v>45996</v>
      </c>
      <c r="D584" t="inlineStr">
        <is>
          <t>STOCKHOLMS LÄN</t>
        </is>
      </c>
      <c r="E584" t="inlineStr">
        <is>
          <t>NORRTÄLJE</t>
        </is>
      </c>
      <c r="G584" t="n">
        <v>1.9</v>
      </c>
      <c r="H584" t="n">
        <v>0</v>
      </c>
      <c r="I584" t="n">
        <v>0</v>
      </c>
      <c r="J584" t="n">
        <v>0</v>
      </c>
      <c r="K584" t="n">
        <v>0</v>
      </c>
      <c r="L584" t="n">
        <v>0</v>
      </c>
      <c r="M584" t="n">
        <v>0</v>
      </c>
      <c r="N584" t="n">
        <v>0</v>
      </c>
      <c r="O584" t="n">
        <v>0</v>
      </c>
      <c r="P584" t="n">
        <v>0</v>
      </c>
      <c r="Q584" t="n">
        <v>0</v>
      </c>
      <c r="R584" s="2" t="inlineStr"/>
    </row>
    <row r="585" ht="15" customHeight="1">
      <c r="A585" t="inlineStr">
        <is>
          <t>A 36269-2022</t>
        </is>
      </c>
      <c r="B585" s="1" t="n">
        <v>44803</v>
      </c>
      <c r="C585" s="1" t="n">
        <v>45996</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36308-2022</t>
        </is>
      </c>
      <c r="B586" s="1" t="n">
        <v>44803</v>
      </c>
      <c r="C586" s="1" t="n">
        <v>45996</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55369-2023</t>
        </is>
      </c>
      <c r="B587" s="1" t="n">
        <v>45238</v>
      </c>
      <c r="C587" s="1" t="n">
        <v>45996</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34006-2025</t>
        </is>
      </c>
      <c r="B588" s="1" t="n">
        <v>45844.62609953704</v>
      </c>
      <c r="C588" s="1" t="n">
        <v>45996</v>
      </c>
      <c r="D588" t="inlineStr">
        <is>
          <t>STOCKHOLMS LÄN</t>
        </is>
      </c>
      <c r="E588" t="inlineStr">
        <is>
          <t>NORRTÄLJE</t>
        </is>
      </c>
      <c r="G588" t="n">
        <v>2.3</v>
      </c>
      <c r="H588" t="n">
        <v>0</v>
      </c>
      <c r="I588" t="n">
        <v>0</v>
      </c>
      <c r="J588" t="n">
        <v>0</v>
      </c>
      <c r="K588" t="n">
        <v>0</v>
      </c>
      <c r="L588" t="n">
        <v>0</v>
      </c>
      <c r="M588" t="n">
        <v>0</v>
      </c>
      <c r="N588" t="n">
        <v>0</v>
      </c>
      <c r="O588" t="n">
        <v>0</v>
      </c>
      <c r="P588" t="n">
        <v>0</v>
      </c>
      <c r="Q588" t="n">
        <v>0</v>
      </c>
      <c r="R588" s="2" t="inlineStr"/>
    </row>
    <row r="589" ht="15" customHeight="1">
      <c r="A589" t="inlineStr">
        <is>
          <t>A 34139-2025</t>
        </is>
      </c>
      <c r="B589" s="1" t="n">
        <v>45845</v>
      </c>
      <c r="C589" s="1" t="n">
        <v>45996</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40032-2025</t>
        </is>
      </c>
      <c r="B590" s="1" t="n">
        <v>45893</v>
      </c>
      <c r="C590" s="1" t="n">
        <v>45996</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6919-2025</t>
        </is>
      </c>
      <c r="B591" s="1" t="n">
        <v>45701.44372685185</v>
      </c>
      <c r="C591" s="1" t="n">
        <v>45996</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61113-2023</t>
        </is>
      </c>
      <c r="B592" s="1" t="n">
        <v>45261</v>
      </c>
      <c r="C592" s="1" t="n">
        <v>45996</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32100-2022</t>
        </is>
      </c>
      <c r="B593" s="1" t="n">
        <v>44778</v>
      </c>
      <c r="C593" s="1" t="n">
        <v>45996</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3283-2025</t>
        </is>
      </c>
      <c r="B594" s="1" t="n">
        <v>45679</v>
      </c>
      <c r="C594" s="1" t="n">
        <v>45996</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11332-2025</t>
        </is>
      </c>
      <c r="B595" s="1" t="n">
        <v>45726.48152777777</v>
      </c>
      <c r="C595" s="1" t="n">
        <v>45996</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37444-2021</t>
        </is>
      </c>
      <c r="B596" s="1" t="n">
        <v>44398</v>
      </c>
      <c r="C596" s="1" t="n">
        <v>45996</v>
      </c>
      <c r="D596" t="inlineStr">
        <is>
          <t>STOCKHOLMS LÄN</t>
        </is>
      </c>
      <c r="E596" t="inlineStr">
        <is>
          <t>NORRTÄLJE</t>
        </is>
      </c>
      <c r="F596" t="inlineStr">
        <is>
          <t>Holmen skog AB</t>
        </is>
      </c>
      <c r="G596" t="n">
        <v>3.2</v>
      </c>
      <c r="H596" t="n">
        <v>0</v>
      </c>
      <c r="I596" t="n">
        <v>0</v>
      </c>
      <c r="J596" t="n">
        <v>0</v>
      </c>
      <c r="K596" t="n">
        <v>0</v>
      </c>
      <c r="L596" t="n">
        <v>0</v>
      </c>
      <c r="M596" t="n">
        <v>0</v>
      </c>
      <c r="N596" t="n">
        <v>0</v>
      </c>
      <c r="O596" t="n">
        <v>0</v>
      </c>
      <c r="P596" t="n">
        <v>0</v>
      </c>
      <c r="Q596" t="n">
        <v>0</v>
      </c>
      <c r="R596" s="2" t="inlineStr"/>
    </row>
    <row r="597" ht="15" customHeight="1">
      <c r="A597" t="inlineStr">
        <is>
          <t>A 30886-2022</t>
        </is>
      </c>
      <c r="B597" s="1" t="n">
        <v>44767.60601851852</v>
      </c>
      <c r="C597" s="1" t="n">
        <v>45996</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34010-2025</t>
        </is>
      </c>
      <c r="B598" s="1" t="n">
        <v>45844.91234953704</v>
      </c>
      <c r="C598" s="1" t="n">
        <v>45996</v>
      </c>
      <c r="D598" t="inlineStr">
        <is>
          <t>STOCKHOLMS LÄN</t>
        </is>
      </c>
      <c r="E598" t="inlineStr">
        <is>
          <t>NORRTÄLJE</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9654-2022</t>
        </is>
      </c>
      <c r="B599" s="1" t="n">
        <v>44617</v>
      </c>
      <c r="C599" s="1" t="n">
        <v>45996</v>
      </c>
      <c r="D599" t="inlineStr">
        <is>
          <t>STOCKHOLMS LÄN</t>
        </is>
      </c>
      <c r="E599" t="inlineStr">
        <is>
          <t>NORRTÄLJE</t>
        </is>
      </c>
      <c r="G599" t="n">
        <v>6.4</v>
      </c>
      <c r="H599" t="n">
        <v>0</v>
      </c>
      <c r="I599" t="n">
        <v>0</v>
      </c>
      <c r="J599" t="n">
        <v>0</v>
      </c>
      <c r="K599" t="n">
        <v>0</v>
      </c>
      <c r="L599" t="n">
        <v>0</v>
      </c>
      <c r="M599" t="n">
        <v>0</v>
      </c>
      <c r="N599" t="n">
        <v>0</v>
      </c>
      <c r="O599" t="n">
        <v>0</v>
      </c>
      <c r="P599" t="n">
        <v>0</v>
      </c>
      <c r="Q599" t="n">
        <v>0</v>
      </c>
      <c r="R599" s="2" t="inlineStr"/>
    </row>
    <row r="600" ht="15" customHeight="1">
      <c r="A600" t="inlineStr">
        <is>
          <t>A 34295-2024</t>
        </is>
      </c>
      <c r="B600" s="1" t="n">
        <v>45524</v>
      </c>
      <c r="C600" s="1" t="n">
        <v>45996</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58311-2023</t>
        </is>
      </c>
      <c r="B601" s="1" t="n">
        <v>45245</v>
      </c>
      <c r="C601" s="1" t="n">
        <v>45996</v>
      </c>
      <c r="D601" t="inlineStr">
        <is>
          <t>STOCKHOLMS LÄN</t>
        </is>
      </c>
      <c r="E601" t="inlineStr">
        <is>
          <t>NORRTÄLJE</t>
        </is>
      </c>
      <c r="G601" t="n">
        <v>2.3</v>
      </c>
      <c r="H601" t="n">
        <v>0</v>
      </c>
      <c r="I601" t="n">
        <v>0</v>
      </c>
      <c r="J601" t="n">
        <v>0</v>
      </c>
      <c r="K601" t="n">
        <v>0</v>
      </c>
      <c r="L601" t="n">
        <v>0</v>
      </c>
      <c r="M601" t="n">
        <v>0</v>
      </c>
      <c r="N601" t="n">
        <v>0</v>
      </c>
      <c r="O601" t="n">
        <v>0</v>
      </c>
      <c r="P601" t="n">
        <v>0</v>
      </c>
      <c r="Q601" t="n">
        <v>0</v>
      </c>
      <c r="R601" s="2" t="inlineStr"/>
    </row>
    <row r="602" ht="15" customHeight="1">
      <c r="A602" t="inlineStr">
        <is>
          <t>A 36689-2023</t>
        </is>
      </c>
      <c r="B602" s="1" t="n">
        <v>45152</v>
      </c>
      <c r="C602" s="1" t="n">
        <v>45996</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40292-2025</t>
        </is>
      </c>
      <c r="B603" s="1" t="n">
        <v>45895.3867824074</v>
      </c>
      <c r="C603" s="1" t="n">
        <v>45996</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40294-2025</t>
        </is>
      </c>
      <c r="B604" s="1" t="n">
        <v>45895.38778935185</v>
      </c>
      <c r="C604" s="1" t="n">
        <v>45996</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1453-2025</t>
        </is>
      </c>
      <c r="B605" s="1" t="n">
        <v>45670.3079050926</v>
      </c>
      <c r="C605" s="1" t="n">
        <v>45996</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46073-2024</t>
        </is>
      </c>
      <c r="B606" s="1" t="n">
        <v>45581</v>
      </c>
      <c r="C606" s="1" t="n">
        <v>45996</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23692-2024</t>
        </is>
      </c>
      <c r="B607" s="1" t="n">
        <v>45454.65774305556</v>
      </c>
      <c r="C607" s="1" t="n">
        <v>45996</v>
      </c>
      <c r="D607" t="inlineStr">
        <is>
          <t>STOCKHOLMS LÄN</t>
        </is>
      </c>
      <c r="E607" t="inlineStr">
        <is>
          <t>NORRTÄLJE</t>
        </is>
      </c>
      <c r="G607" t="n">
        <v>3.7</v>
      </c>
      <c r="H607" t="n">
        <v>0</v>
      </c>
      <c r="I607" t="n">
        <v>0</v>
      </c>
      <c r="J607" t="n">
        <v>0</v>
      </c>
      <c r="K607" t="n">
        <v>0</v>
      </c>
      <c r="L607" t="n">
        <v>0</v>
      </c>
      <c r="M607" t="n">
        <v>0</v>
      </c>
      <c r="N607" t="n">
        <v>0</v>
      </c>
      <c r="O607" t="n">
        <v>0</v>
      </c>
      <c r="P607" t="n">
        <v>0</v>
      </c>
      <c r="Q607" t="n">
        <v>0</v>
      </c>
      <c r="R607" s="2" t="inlineStr"/>
    </row>
    <row r="608" ht="15" customHeight="1">
      <c r="A608" t="inlineStr">
        <is>
          <t>A 5804-2025</t>
        </is>
      </c>
      <c r="B608" s="1" t="n">
        <v>45694.68207175926</v>
      </c>
      <c r="C608" s="1" t="n">
        <v>45996</v>
      </c>
      <c r="D608" t="inlineStr">
        <is>
          <t>STOCKHOLMS LÄN</t>
        </is>
      </c>
      <c r="E608" t="inlineStr">
        <is>
          <t>NORRTÄLJE</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50907-2022</t>
        </is>
      </c>
      <c r="B609" s="1" t="n">
        <v>44867.62090277778</v>
      </c>
      <c r="C609" s="1" t="n">
        <v>45996</v>
      </c>
      <c r="D609" t="inlineStr">
        <is>
          <t>STOCKHOLMS LÄN</t>
        </is>
      </c>
      <c r="E609" t="inlineStr">
        <is>
          <t>NORRTÄLJE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20473-2021</t>
        </is>
      </c>
      <c r="B610" s="1" t="n">
        <v>44315</v>
      </c>
      <c r="C610" s="1" t="n">
        <v>45996</v>
      </c>
      <c r="D610" t="inlineStr">
        <is>
          <t>STOCKHOLMS LÄN</t>
        </is>
      </c>
      <c r="E610" t="inlineStr">
        <is>
          <t>NORRTÄLJE</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29003-2023</t>
        </is>
      </c>
      <c r="B611" s="1" t="n">
        <v>45104</v>
      </c>
      <c r="C611" s="1" t="n">
        <v>45996</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40228-2025</t>
        </is>
      </c>
      <c r="B612" s="1" t="n">
        <v>45894.70854166667</v>
      </c>
      <c r="C612" s="1" t="n">
        <v>45996</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33295-2023</t>
        </is>
      </c>
      <c r="B613" s="1" t="n">
        <v>45127.69371527778</v>
      </c>
      <c r="C613" s="1" t="n">
        <v>45996</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14127-2025</t>
        </is>
      </c>
      <c r="B614" s="1" t="n">
        <v>45740.47055555556</v>
      </c>
      <c r="C614" s="1" t="n">
        <v>45996</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16980-2023</t>
        </is>
      </c>
      <c r="B615" s="1" t="n">
        <v>45033</v>
      </c>
      <c r="C615" s="1" t="n">
        <v>45996</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39610-2025</t>
        </is>
      </c>
      <c r="B616" s="1" t="n">
        <v>45890.56001157407</v>
      </c>
      <c r="C616" s="1" t="n">
        <v>45996</v>
      </c>
      <c r="D616" t="inlineStr">
        <is>
          <t>STOCKHOLMS LÄN</t>
        </is>
      </c>
      <c r="E616" t="inlineStr">
        <is>
          <t>NORRTÄLJE</t>
        </is>
      </c>
      <c r="G616" t="n">
        <v>28.6</v>
      </c>
      <c r="H616" t="n">
        <v>0</v>
      </c>
      <c r="I616" t="n">
        <v>0</v>
      </c>
      <c r="J616" t="n">
        <v>0</v>
      </c>
      <c r="K616" t="n">
        <v>0</v>
      </c>
      <c r="L616" t="n">
        <v>0</v>
      </c>
      <c r="M616" t="n">
        <v>0</v>
      </c>
      <c r="N616" t="n">
        <v>0</v>
      </c>
      <c r="O616" t="n">
        <v>0</v>
      </c>
      <c r="P616" t="n">
        <v>0</v>
      </c>
      <c r="Q616" t="n">
        <v>0</v>
      </c>
      <c r="R616" s="2" t="inlineStr"/>
    </row>
    <row r="617" ht="15" customHeight="1">
      <c r="A617" t="inlineStr">
        <is>
          <t>A 54273-2021</t>
        </is>
      </c>
      <c r="B617" s="1" t="n">
        <v>44470.72987268519</v>
      </c>
      <c r="C617" s="1" t="n">
        <v>45996</v>
      </c>
      <c r="D617" t="inlineStr">
        <is>
          <t>STOCKHOLMS LÄN</t>
        </is>
      </c>
      <c r="E617" t="inlineStr">
        <is>
          <t>NORRTÄLJE</t>
        </is>
      </c>
      <c r="G617" t="n">
        <v>2.7</v>
      </c>
      <c r="H617" t="n">
        <v>0</v>
      </c>
      <c r="I617" t="n">
        <v>0</v>
      </c>
      <c r="J617" t="n">
        <v>0</v>
      </c>
      <c r="K617" t="n">
        <v>0</v>
      </c>
      <c r="L617" t="n">
        <v>0</v>
      </c>
      <c r="M617" t="n">
        <v>0</v>
      </c>
      <c r="N617" t="n">
        <v>0</v>
      </c>
      <c r="O617" t="n">
        <v>0</v>
      </c>
      <c r="P617" t="n">
        <v>0</v>
      </c>
      <c r="Q617" t="n">
        <v>0</v>
      </c>
      <c r="R617" s="2" t="inlineStr"/>
    </row>
    <row r="618" ht="15" customHeight="1">
      <c r="A618" t="inlineStr">
        <is>
          <t>A 32595-2023</t>
        </is>
      </c>
      <c r="B618" s="1" t="n">
        <v>45121</v>
      </c>
      <c r="C618" s="1" t="n">
        <v>45996</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37550-2022</t>
        </is>
      </c>
      <c r="B619" s="1" t="n">
        <v>44809</v>
      </c>
      <c r="C619" s="1" t="n">
        <v>45996</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40230-2025</t>
        </is>
      </c>
      <c r="B620" s="1" t="n">
        <v>45894.71101851852</v>
      </c>
      <c r="C620" s="1" t="n">
        <v>45996</v>
      </c>
      <c r="D620" t="inlineStr">
        <is>
          <t>STOCKHOLMS LÄN</t>
        </is>
      </c>
      <c r="E620" t="inlineStr">
        <is>
          <t>NORRTÄLJE</t>
        </is>
      </c>
      <c r="G620" t="n">
        <v>1.2</v>
      </c>
      <c r="H620" t="n">
        <v>0</v>
      </c>
      <c r="I620" t="n">
        <v>0</v>
      </c>
      <c r="J620" t="n">
        <v>0</v>
      </c>
      <c r="K620" t="n">
        <v>0</v>
      </c>
      <c r="L620" t="n">
        <v>0</v>
      </c>
      <c r="M620" t="n">
        <v>0</v>
      </c>
      <c r="N620" t="n">
        <v>0</v>
      </c>
      <c r="O620" t="n">
        <v>0</v>
      </c>
      <c r="P620" t="n">
        <v>0</v>
      </c>
      <c r="Q620" t="n">
        <v>0</v>
      </c>
      <c r="R620" s="2" t="inlineStr"/>
    </row>
    <row r="621" ht="15" customHeight="1">
      <c r="A621" t="inlineStr">
        <is>
          <t>A 35110-2025</t>
        </is>
      </c>
      <c r="B621" s="1" t="n">
        <v>45852.58030092593</v>
      </c>
      <c r="C621" s="1" t="n">
        <v>45996</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35254-2025</t>
        </is>
      </c>
      <c r="B622" s="1" t="n">
        <v>45853</v>
      </c>
      <c r="C622" s="1" t="n">
        <v>45996</v>
      </c>
      <c r="D622" t="inlineStr">
        <is>
          <t>STOCKHOLMS LÄN</t>
        </is>
      </c>
      <c r="E622" t="inlineStr">
        <is>
          <t>NORRTÄLJE</t>
        </is>
      </c>
      <c r="G622" t="n">
        <v>6.5</v>
      </c>
      <c r="H622" t="n">
        <v>0</v>
      </c>
      <c r="I622" t="n">
        <v>0</v>
      </c>
      <c r="J622" t="n">
        <v>0</v>
      </c>
      <c r="K622" t="n">
        <v>0</v>
      </c>
      <c r="L622" t="n">
        <v>0</v>
      </c>
      <c r="M622" t="n">
        <v>0</v>
      </c>
      <c r="N622" t="n">
        <v>0</v>
      </c>
      <c r="O622" t="n">
        <v>0</v>
      </c>
      <c r="P622" t="n">
        <v>0</v>
      </c>
      <c r="Q622" t="n">
        <v>0</v>
      </c>
      <c r="R622" s="2" t="inlineStr"/>
    </row>
    <row r="623" ht="15" customHeight="1">
      <c r="A623" t="inlineStr">
        <is>
          <t>A 7806-2025</t>
        </is>
      </c>
      <c r="B623" s="1" t="n">
        <v>45706.61178240741</v>
      </c>
      <c r="C623" s="1" t="n">
        <v>45996</v>
      </c>
      <c r="D623" t="inlineStr">
        <is>
          <t>STOCKHOLMS LÄN</t>
        </is>
      </c>
      <c r="E623" t="inlineStr">
        <is>
          <t>NORRTÄLJE</t>
        </is>
      </c>
      <c r="F623" t="inlineStr">
        <is>
          <t>Holmen skog AB</t>
        </is>
      </c>
      <c r="G623" t="n">
        <v>3.5</v>
      </c>
      <c r="H623" t="n">
        <v>0</v>
      </c>
      <c r="I623" t="n">
        <v>0</v>
      </c>
      <c r="J623" t="n">
        <v>0</v>
      </c>
      <c r="K623" t="n">
        <v>0</v>
      </c>
      <c r="L623" t="n">
        <v>0</v>
      </c>
      <c r="M623" t="n">
        <v>0</v>
      </c>
      <c r="N623" t="n">
        <v>0</v>
      </c>
      <c r="O623" t="n">
        <v>0</v>
      </c>
      <c r="P623" t="n">
        <v>0</v>
      </c>
      <c r="Q623" t="n">
        <v>0</v>
      </c>
      <c r="R623" s="2" t="inlineStr"/>
    </row>
    <row r="624" ht="15" customHeight="1">
      <c r="A624" t="inlineStr">
        <is>
          <t>A 40217-2025</t>
        </is>
      </c>
      <c r="B624" s="1" t="n">
        <v>45894.68864583333</v>
      </c>
      <c r="C624" s="1" t="n">
        <v>45996</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48161-2022</t>
        </is>
      </c>
      <c r="B625" s="1" t="n">
        <v>44858</v>
      </c>
      <c r="C625" s="1" t="n">
        <v>45996</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48798-2021</t>
        </is>
      </c>
      <c r="B626" s="1" t="n">
        <v>44452</v>
      </c>
      <c r="C626" s="1" t="n">
        <v>45996</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35479-2025</t>
        </is>
      </c>
      <c r="B627" s="1" t="n">
        <v>45855.69387731481</v>
      </c>
      <c r="C627" s="1" t="n">
        <v>45996</v>
      </c>
      <c r="D627" t="inlineStr">
        <is>
          <t>STOCKHOLMS LÄN</t>
        </is>
      </c>
      <c r="E627" t="inlineStr">
        <is>
          <t>NORRTÄLJE</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35451-2025</t>
        </is>
      </c>
      <c r="B628" s="1" t="n">
        <v>45855.57033564815</v>
      </c>
      <c r="C628" s="1" t="n">
        <v>45996</v>
      </c>
      <c r="D628" t="inlineStr">
        <is>
          <t>STOCKHOLMS LÄN</t>
        </is>
      </c>
      <c r="E628" t="inlineStr">
        <is>
          <t>NORRTÄLJE</t>
        </is>
      </c>
      <c r="F628" t="inlineStr">
        <is>
          <t>Holmen skog AB</t>
        </is>
      </c>
      <c r="G628" t="n">
        <v>7.4</v>
      </c>
      <c r="H628" t="n">
        <v>0</v>
      </c>
      <c r="I628" t="n">
        <v>0</v>
      </c>
      <c r="J628" t="n">
        <v>0</v>
      </c>
      <c r="K628" t="n">
        <v>0</v>
      </c>
      <c r="L628" t="n">
        <v>0</v>
      </c>
      <c r="M628" t="n">
        <v>0</v>
      </c>
      <c r="N628" t="n">
        <v>0</v>
      </c>
      <c r="O628" t="n">
        <v>0</v>
      </c>
      <c r="P628" t="n">
        <v>0</v>
      </c>
      <c r="Q628" t="n">
        <v>0</v>
      </c>
      <c r="R628" s="2" t="inlineStr"/>
    </row>
    <row r="629" ht="15" customHeight="1">
      <c r="A629" t="inlineStr">
        <is>
          <t>A 35478-2025</t>
        </is>
      </c>
      <c r="B629" s="1" t="n">
        <v>45855.68413194444</v>
      </c>
      <c r="C629" s="1" t="n">
        <v>45996</v>
      </c>
      <c r="D629" t="inlineStr">
        <is>
          <t>STOCKHOLMS LÄN</t>
        </is>
      </c>
      <c r="E629" t="inlineStr">
        <is>
          <t>NORRTÄLJE</t>
        </is>
      </c>
      <c r="F629" t="inlineStr">
        <is>
          <t>Holmen skog AB</t>
        </is>
      </c>
      <c r="G629" t="n">
        <v>2.7</v>
      </c>
      <c r="H629" t="n">
        <v>0</v>
      </c>
      <c r="I629" t="n">
        <v>0</v>
      </c>
      <c r="J629" t="n">
        <v>0</v>
      </c>
      <c r="K629" t="n">
        <v>0</v>
      </c>
      <c r="L629" t="n">
        <v>0</v>
      </c>
      <c r="M629" t="n">
        <v>0</v>
      </c>
      <c r="N629" t="n">
        <v>0</v>
      </c>
      <c r="O629" t="n">
        <v>0</v>
      </c>
      <c r="P629" t="n">
        <v>0</v>
      </c>
      <c r="Q629" t="n">
        <v>0</v>
      </c>
      <c r="R629" s="2" t="inlineStr"/>
    </row>
    <row r="630" ht="15" customHeight="1">
      <c r="A630" t="inlineStr">
        <is>
          <t>A 40097-2025</t>
        </is>
      </c>
      <c r="B630" s="1" t="n">
        <v>45894.48322916667</v>
      </c>
      <c r="C630" s="1" t="n">
        <v>45996</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53792-2023</t>
        </is>
      </c>
      <c r="B631" s="1" t="n">
        <v>45231.34144675926</v>
      </c>
      <c r="C631" s="1" t="n">
        <v>45996</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12111-2021</t>
        </is>
      </c>
      <c r="B632" s="1" t="n">
        <v>44266</v>
      </c>
      <c r="C632" s="1" t="n">
        <v>45996</v>
      </c>
      <c r="D632" t="inlineStr">
        <is>
          <t>STOCKHOLMS LÄN</t>
        </is>
      </c>
      <c r="E632" t="inlineStr">
        <is>
          <t>NORRTÄLJE</t>
        </is>
      </c>
      <c r="G632" t="n">
        <v>5.5</v>
      </c>
      <c r="H632" t="n">
        <v>0</v>
      </c>
      <c r="I632" t="n">
        <v>0</v>
      </c>
      <c r="J632" t="n">
        <v>0</v>
      </c>
      <c r="K632" t="n">
        <v>0</v>
      </c>
      <c r="L632" t="n">
        <v>0</v>
      </c>
      <c r="M632" t="n">
        <v>0</v>
      </c>
      <c r="N632" t="n">
        <v>0</v>
      </c>
      <c r="O632" t="n">
        <v>0</v>
      </c>
      <c r="P632" t="n">
        <v>0</v>
      </c>
      <c r="Q632" t="n">
        <v>0</v>
      </c>
      <c r="R632" s="2" t="inlineStr"/>
    </row>
    <row r="633" ht="15" customHeight="1">
      <c r="A633" t="inlineStr">
        <is>
          <t>A 21329-2022</t>
        </is>
      </c>
      <c r="B633" s="1" t="n">
        <v>44705.60626157407</v>
      </c>
      <c r="C633" s="1" t="n">
        <v>45996</v>
      </c>
      <c r="D633" t="inlineStr">
        <is>
          <t>STOCKHOLMS LÄN</t>
        </is>
      </c>
      <c r="E633" t="inlineStr">
        <is>
          <t>NORRTÄLJE</t>
        </is>
      </c>
      <c r="G633" t="n">
        <v>4.1</v>
      </c>
      <c r="H633" t="n">
        <v>0</v>
      </c>
      <c r="I633" t="n">
        <v>0</v>
      </c>
      <c r="J633" t="n">
        <v>0</v>
      </c>
      <c r="K633" t="n">
        <v>0</v>
      </c>
      <c r="L633" t="n">
        <v>0</v>
      </c>
      <c r="M633" t="n">
        <v>0</v>
      </c>
      <c r="N633" t="n">
        <v>0</v>
      </c>
      <c r="O633" t="n">
        <v>0</v>
      </c>
      <c r="P633" t="n">
        <v>0</v>
      </c>
      <c r="Q633" t="n">
        <v>0</v>
      </c>
      <c r="R633" s="2" t="inlineStr"/>
    </row>
    <row r="634" ht="15" customHeight="1">
      <c r="A634" t="inlineStr">
        <is>
          <t>A 54776-2023</t>
        </is>
      </c>
      <c r="B634" s="1" t="n">
        <v>45236.46369212963</v>
      </c>
      <c r="C634" s="1" t="n">
        <v>45996</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50569-2022</t>
        </is>
      </c>
      <c r="B635" s="1" t="n">
        <v>44866.63775462963</v>
      </c>
      <c r="C635" s="1" t="n">
        <v>45996</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57442-2021</t>
        </is>
      </c>
      <c r="B636" s="1" t="n">
        <v>44483</v>
      </c>
      <c r="C636" s="1" t="n">
        <v>45996</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24501-2023</t>
        </is>
      </c>
      <c r="B637" s="1" t="n">
        <v>45082</v>
      </c>
      <c r="C637" s="1" t="n">
        <v>45996</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24520-2023</t>
        </is>
      </c>
      <c r="B638" s="1" t="n">
        <v>45082.68922453704</v>
      </c>
      <c r="C638" s="1" t="n">
        <v>45996</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60654-2023</t>
        </is>
      </c>
      <c r="B639" s="1" t="n">
        <v>45260.43225694444</v>
      </c>
      <c r="C639" s="1" t="n">
        <v>45996</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60656-2023</t>
        </is>
      </c>
      <c r="B640" s="1" t="n">
        <v>45260.4333449074</v>
      </c>
      <c r="C640" s="1" t="n">
        <v>45996</v>
      </c>
      <c r="D640" t="inlineStr">
        <is>
          <t>STOCKHOLMS LÄN</t>
        </is>
      </c>
      <c r="E640" t="inlineStr">
        <is>
          <t>NORRTÄLJE</t>
        </is>
      </c>
      <c r="G640" t="n">
        <v>4.8</v>
      </c>
      <c r="H640" t="n">
        <v>0</v>
      </c>
      <c r="I640" t="n">
        <v>0</v>
      </c>
      <c r="J640" t="n">
        <v>0</v>
      </c>
      <c r="K640" t="n">
        <v>0</v>
      </c>
      <c r="L640" t="n">
        <v>0</v>
      </c>
      <c r="M640" t="n">
        <v>0</v>
      </c>
      <c r="N640" t="n">
        <v>0</v>
      </c>
      <c r="O640" t="n">
        <v>0</v>
      </c>
      <c r="P640" t="n">
        <v>0</v>
      </c>
      <c r="Q640" t="n">
        <v>0</v>
      </c>
      <c r="R640" s="2" t="inlineStr"/>
    </row>
    <row r="641" ht="15" customHeight="1">
      <c r="A641" t="inlineStr">
        <is>
          <t>A 40829-2025</t>
        </is>
      </c>
      <c r="B641" s="1" t="n">
        <v>45897.50802083333</v>
      </c>
      <c r="C641" s="1" t="n">
        <v>45996</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40837-2025</t>
        </is>
      </c>
      <c r="B642" s="1" t="n">
        <v>45897.51328703704</v>
      </c>
      <c r="C642" s="1" t="n">
        <v>45996</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54496-2024</t>
        </is>
      </c>
      <c r="B643" s="1" t="n">
        <v>45617.57439814815</v>
      </c>
      <c r="C643" s="1" t="n">
        <v>45996</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55952-2024</t>
        </is>
      </c>
      <c r="B644" s="1" t="n">
        <v>45623.62563657408</v>
      </c>
      <c r="C644" s="1" t="n">
        <v>45996</v>
      </c>
      <c r="D644" t="inlineStr">
        <is>
          <t>STOCKHOLMS LÄN</t>
        </is>
      </c>
      <c r="E644" t="inlineStr">
        <is>
          <t>NORRTÄLJE</t>
        </is>
      </c>
      <c r="F644" t="inlineStr">
        <is>
          <t>Holmen skog AB</t>
        </is>
      </c>
      <c r="G644" t="n">
        <v>2.8</v>
      </c>
      <c r="H644" t="n">
        <v>0</v>
      </c>
      <c r="I644" t="n">
        <v>0</v>
      </c>
      <c r="J644" t="n">
        <v>0</v>
      </c>
      <c r="K644" t="n">
        <v>0</v>
      </c>
      <c r="L644" t="n">
        <v>0</v>
      </c>
      <c r="M644" t="n">
        <v>0</v>
      </c>
      <c r="N644" t="n">
        <v>0</v>
      </c>
      <c r="O644" t="n">
        <v>0</v>
      </c>
      <c r="P644" t="n">
        <v>0</v>
      </c>
      <c r="Q644" t="n">
        <v>0</v>
      </c>
      <c r="R644" s="2" t="inlineStr"/>
    </row>
    <row r="645" ht="15" customHeight="1">
      <c r="A645" t="inlineStr">
        <is>
          <t>A 8135-2025</t>
        </is>
      </c>
      <c r="B645" s="1" t="n">
        <v>45707.84997685185</v>
      </c>
      <c r="C645" s="1" t="n">
        <v>45996</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3383-2023</t>
        </is>
      </c>
      <c r="B646" s="1" t="n">
        <v>44949</v>
      </c>
      <c r="C646" s="1" t="n">
        <v>45996</v>
      </c>
      <c r="D646" t="inlineStr">
        <is>
          <t>STOCKHOLMS LÄN</t>
        </is>
      </c>
      <c r="E646" t="inlineStr">
        <is>
          <t>NORRTÄLJE</t>
        </is>
      </c>
      <c r="G646" t="n">
        <v>14.6</v>
      </c>
      <c r="H646" t="n">
        <v>0</v>
      </c>
      <c r="I646" t="n">
        <v>0</v>
      </c>
      <c r="J646" t="n">
        <v>0</v>
      </c>
      <c r="K646" t="n">
        <v>0</v>
      </c>
      <c r="L646" t="n">
        <v>0</v>
      </c>
      <c r="M646" t="n">
        <v>0</v>
      </c>
      <c r="N646" t="n">
        <v>0</v>
      </c>
      <c r="O646" t="n">
        <v>0</v>
      </c>
      <c r="P646" t="n">
        <v>0</v>
      </c>
      <c r="Q646" t="n">
        <v>0</v>
      </c>
      <c r="R646" s="2" t="inlineStr"/>
    </row>
    <row r="647" ht="15" customHeight="1">
      <c r="A647" t="inlineStr">
        <is>
          <t>A 21386-2023</t>
        </is>
      </c>
      <c r="B647" s="1" t="n">
        <v>45063.35880787037</v>
      </c>
      <c r="C647" s="1" t="n">
        <v>45996</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10642-2025</t>
        </is>
      </c>
      <c r="B648" s="1" t="n">
        <v>45721.65858796296</v>
      </c>
      <c r="C648" s="1" t="n">
        <v>45996</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13148-2021</t>
        </is>
      </c>
      <c r="B649" s="1" t="n">
        <v>44272</v>
      </c>
      <c r="C649" s="1" t="n">
        <v>45996</v>
      </c>
      <c r="D649" t="inlineStr">
        <is>
          <t>STOCKHOLMS LÄN</t>
        </is>
      </c>
      <c r="E649" t="inlineStr">
        <is>
          <t>NORRTÄLJE</t>
        </is>
      </c>
      <c r="G649" t="n">
        <v>12.4</v>
      </c>
      <c r="H649" t="n">
        <v>0</v>
      </c>
      <c r="I649" t="n">
        <v>0</v>
      </c>
      <c r="J649" t="n">
        <v>0</v>
      </c>
      <c r="K649" t="n">
        <v>0</v>
      </c>
      <c r="L649" t="n">
        <v>0</v>
      </c>
      <c r="M649" t="n">
        <v>0</v>
      </c>
      <c r="N649" t="n">
        <v>0</v>
      </c>
      <c r="O649" t="n">
        <v>0</v>
      </c>
      <c r="P649" t="n">
        <v>0</v>
      </c>
      <c r="Q649" t="n">
        <v>0</v>
      </c>
      <c r="R649" s="2" t="inlineStr"/>
    </row>
    <row r="650" ht="15" customHeight="1">
      <c r="A650" t="inlineStr">
        <is>
          <t>A 40529-2025</t>
        </is>
      </c>
      <c r="B650" s="1" t="n">
        <v>45896.38466435186</v>
      </c>
      <c r="C650" s="1" t="n">
        <v>45996</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21732-2023</t>
        </is>
      </c>
      <c r="B651" s="1" t="n">
        <v>45063</v>
      </c>
      <c r="C651" s="1" t="n">
        <v>45996</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23307-2024</t>
        </is>
      </c>
      <c r="B652" s="1" t="n">
        <v>45453</v>
      </c>
      <c r="C652" s="1" t="n">
        <v>45996</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40831-2025</t>
        </is>
      </c>
      <c r="B653" s="1" t="n">
        <v>45897.51077546296</v>
      </c>
      <c r="C653" s="1" t="n">
        <v>45996</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34444-2024</t>
        </is>
      </c>
      <c r="B654" s="1" t="n">
        <v>45525</v>
      </c>
      <c r="C654" s="1" t="n">
        <v>45996</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20698-2025</t>
        </is>
      </c>
      <c r="B655" s="1" t="n">
        <v>45776.47122685185</v>
      </c>
      <c r="C655" s="1" t="n">
        <v>45996</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20144-2023</t>
        </is>
      </c>
      <c r="B656" s="1" t="n">
        <v>45055.43509259259</v>
      </c>
      <c r="C656" s="1" t="n">
        <v>45996</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53312-2024</t>
        </is>
      </c>
      <c r="B657" s="1" t="n">
        <v>45614.39627314815</v>
      </c>
      <c r="C657" s="1" t="n">
        <v>45996</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39202-2024</t>
        </is>
      </c>
      <c r="B658" s="1" t="n">
        <v>45548.72306712963</v>
      </c>
      <c r="C658" s="1" t="n">
        <v>45996</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3386-2021</t>
        </is>
      </c>
      <c r="B659" s="1" t="n">
        <v>44218</v>
      </c>
      <c r="C659" s="1" t="n">
        <v>45996</v>
      </c>
      <c r="D659" t="inlineStr">
        <is>
          <t>STOCKHOLMS LÄN</t>
        </is>
      </c>
      <c r="E659" t="inlineStr">
        <is>
          <t>NORRTÄLJE</t>
        </is>
      </c>
      <c r="G659" t="n">
        <v>8</v>
      </c>
      <c r="H659" t="n">
        <v>0</v>
      </c>
      <c r="I659" t="n">
        <v>0</v>
      </c>
      <c r="J659" t="n">
        <v>0</v>
      </c>
      <c r="K659" t="n">
        <v>0</v>
      </c>
      <c r="L659" t="n">
        <v>0</v>
      </c>
      <c r="M659" t="n">
        <v>0</v>
      </c>
      <c r="N659" t="n">
        <v>0</v>
      </c>
      <c r="O659" t="n">
        <v>0</v>
      </c>
      <c r="P659" t="n">
        <v>0</v>
      </c>
      <c r="Q659" t="n">
        <v>0</v>
      </c>
      <c r="R659" s="2" t="inlineStr"/>
    </row>
    <row r="660" ht="15" customHeight="1">
      <c r="A660" t="inlineStr">
        <is>
          <t>A 37085-2021</t>
        </is>
      </c>
      <c r="B660" s="1" t="n">
        <v>44395</v>
      </c>
      <c r="C660" s="1" t="n">
        <v>45996</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56428-2023</t>
        </is>
      </c>
      <c r="B661" s="1" t="n">
        <v>45243.45289351852</v>
      </c>
      <c r="C661" s="1" t="n">
        <v>45996</v>
      </c>
      <c r="D661" t="inlineStr">
        <is>
          <t>STOCKHOLMS LÄN</t>
        </is>
      </c>
      <c r="E661" t="inlineStr">
        <is>
          <t>NORRTÄLJE</t>
        </is>
      </c>
      <c r="F661" t="inlineStr">
        <is>
          <t>Kyrkan</t>
        </is>
      </c>
      <c r="G661" t="n">
        <v>1.3</v>
      </c>
      <c r="H661" t="n">
        <v>0</v>
      </c>
      <c r="I661" t="n">
        <v>0</v>
      </c>
      <c r="J661" t="n">
        <v>0</v>
      </c>
      <c r="K661" t="n">
        <v>0</v>
      </c>
      <c r="L661" t="n">
        <v>0</v>
      </c>
      <c r="M661" t="n">
        <v>0</v>
      </c>
      <c r="N661" t="n">
        <v>0</v>
      </c>
      <c r="O661" t="n">
        <v>0</v>
      </c>
      <c r="P661" t="n">
        <v>0</v>
      </c>
      <c r="Q661" t="n">
        <v>0</v>
      </c>
      <c r="R661" s="2" t="inlineStr"/>
    </row>
    <row r="662" ht="15" customHeight="1">
      <c r="A662" t="inlineStr">
        <is>
          <t>A 22756-2022</t>
        </is>
      </c>
      <c r="B662" s="1" t="n">
        <v>44714.92253472222</v>
      </c>
      <c r="C662" s="1" t="n">
        <v>45996</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4581-2025</t>
        </is>
      </c>
      <c r="B663" s="1" t="n">
        <v>45687</v>
      </c>
      <c r="C663" s="1" t="n">
        <v>45996</v>
      </c>
      <c r="D663" t="inlineStr">
        <is>
          <t>STOCKHOLMS LÄN</t>
        </is>
      </c>
      <c r="E663" t="inlineStr">
        <is>
          <t>NORRTÄLJE</t>
        </is>
      </c>
      <c r="F663" t="inlineStr">
        <is>
          <t>Holmen skog AB</t>
        </is>
      </c>
      <c r="G663" t="n">
        <v>2.8</v>
      </c>
      <c r="H663" t="n">
        <v>0</v>
      </c>
      <c r="I663" t="n">
        <v>0</v>
      </c>
      <c r="J663" t="n">
        <v>0</v>
      </c>
      <c r="K663" t="n">
        <v>0</v>
      </c>
      <c r="L663" t="n">
        <v>0</v>
      </c>
      <c r="M663" t="n">
        <v>0</v>
      </c>
      <c r="N663" t="n">
        <v>0</v>
      </c>
      <c r="O663" t="n">
        <v>0</v>
      </c>
      <c r="P663" t="n">
        <v>0</v>
      </c>
      <c r="Q663" t="n">
        <v>0</v>
      </c>
      <c r="R663" s="2" t="inlineStr"/>
    </row>
    <row r="664" ht="15" customHeight="1">
      <c r="A664" t="inlineStr">
        <is>
          <t>A 22232-2024</t>
        </is>
      </c>
      <c r="B664" s="1" t="n">
        <v>45446.4287962963</v>
      </c>
      <c r="C664" s="1" t="n">
        <v>45996</v>
      </c>
      <c r="D664" t="inlineStr">
        <is>
          <t>STOCKHOLMS LÄN</t>
        </is>
      </c>
      <c r="E664" t="inlineStr">
        <is>
          <t>NORRTÄLJE</t>
        </is>
      </c>
      <c r="G664" t="n">
        <v>12.8</v>
      </c>
      <c r="H664" t="n">
        <v>0</v>
      </c>
      <c r="I664" t="n">
        <v>0</v>
      </c>
      <c r="J664" t="n">
        <v>0</v>
      </c>
      <c r="K664" t="n">
        <v>0</v>
      </c>
      <c r="L664" t="n">
        <v>0</v>
      </c>
      <c r="M664" t="n">
        <v>0</v>
      </c>
      <c r="N664" t="n">
        <v>0</v>
      </c>
      <c r="O664" t="n">
        <v>0</v>
      </c>
      <c r="P664" t="n">
        <v>0</v>
      </c>
      <c r="Q664" t="n">
        <v>0</v>
      </c>
      <c r="R664" s="2" t="inlineStr"/>
    </row>
    <row r="665" ht="15" customHeight="1">
      <c r="A665" t="inlineStr">
        <is>
          <t>A 41158-2025</t>
        </is>
      </c>
      <c r="B665" s="1" t="n">
        <v>45898.5315625</v>
      </c>
      <c r="C665" s="1" t="n">
        <v>45996</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15733-2025</t>
        </is>
      </c>
      <c r="B666" s="1" t="n">
        <v>45748</v>
      </c>
      <c r="C666" s="1" t="n">
        <v>45996</v>
      </c>
      <c r="D666" t="inlineStr">
        <is>
          <t>STOCKHOLMS LÄN</t>
        </is>
      </c>
      <c r="E666" t="inlineStr">
        <is>
          <t>NORRTÄLJE</t>
        </is>
      </c>
      <c r="G666" t="n">
        <v>13.3</v>
      </c>
      <c r="H666" t="n">
        <v>0</v>
      </c>
      <c r="I666" t="n">
        <v>0</v>
      </c>
      <c r="J666" t="n">
        <v>0</v>
      </c>
      <c r="K666" t="n">
        <v>0</v>
      </c>
      <c r="L666" t="n">
        <v>0</v>
      </c>
      <c r="M666" t="n">
        <v>0</v>
      </c>
      <c r="N666" t="n">
        <v>0</v>
      </c>
      <c r="O666" t="n">
        <v>0</v>
      </c>
      <c r="P666" t="n">
        <v>0</v>
      </c>
      <c r="Q666" t="n">
        <v>0</v>
      </c>
      <c r="R666" s="2" t="inlineStr"/>
    </row>
    <row r="667" ht="15" customHeight="1">
      <c r="A667" t="inlineStr">
        <is>
          <t>A 36396-2025</t>
        </is>
      </c>
      <c r="B667" s="1" t="n">
        <v>45868.62267361111</v>
      </c>
      <c r="C667" s="1" t="n">
        <v>45996</v>
      </c>
      <c r="D667" t="inlineStr">
        <is>
          <t>STOCKHOLMS LÄN</t>
        </is>
      </c>
      <c r="E667" t="inlineStr">
        <is>
          <t>NORRTÄLJE</t>
        </is>
      </c>
      <c r="G667" t="n">
        <v>4.1</v>
      </c>
      <c r="H667" t="n">
        <v>0</v>
      </c>
      <c r="I667" t="n">
        <v>0</v>
      </c>
      <c r="J667" t="n">
        <v>0</v>
      </c>
      <c r="K667" t="n">
        <v>0</v>
      </c>
      <c r="L667" t="n">
        <v>0</v>
      </c>
      <c r="M667" t="n">
        <v>0</v>
      </c>
      <c r="N667" t="n">
        <v>0</v>
      </c>
      <c r="O667" t="n">
        <v>0</v>
      </c>
      <c r="P667" t="n">
        <v>0</v>
      </c>
      <c r="Q667" t="n">
        <v>0</v>
      </c>
      <c r="R667" s="2" t="inlineStr"/>
    </row>
    <row r="668" ht="15" customHeight="1">
      <c r="A668" t="inlineStr">
        <is>
          <t>A 17556-2025</t>
        </is>
      </c>
      <c r="B668" s="1" t="n">
        <v>45757.62482638889</v>
      </c>
      <c r="C668" s="1" t="n">
        <v>45996</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19058-2024</t>
        </is>
      </c>
      <c r="B669" s="1" t="n">
        <v>45427.89121527778</v>
      </c>
      <c r="C669" s="1" t="n">
        <v>45996</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60765-2023</t>
        </is>
      </c>
      <c r="B670" s="1" t="n">
        <v>45260</v>
      </c>
      <c r="C670" s="1" t="n">
        <v>45996</v>
      </c>
      <c r="D670" t="inlineStr">
        <is>
          <t>STOCKHOLMS LÄN</t>
        </is>
      </c>
      <c r="E670" t="inlineStr">
        <is>
          <t>NORRTÄLJE</t>
        </is>
      </c>
      <c r="G670" t="n">
        <v>3.7</v>
      </c>
      <c r="H670" t="n">
        <v>0</v>
      </c>
      <c r="I670" t="n">
        <v>0</v>
      </c>
      <c r="J670" t="n">
        <v>0</v>
      </c>
      <c r="K670" t="n">
        <v>0</v>
      </c>
      <c r="L670" t="n">
        <v>0</v>
      </c>
      <c r="M670" t="n">
        <v>0</v>
      </c>
      <c r="N670" t="n">
        <v>0</v>
      </c>
      <c r="O670" t="n">
        <v>0</v>
      </c>
      <c r="P670" t="n">
        <v>0</v>
      </c>
      <c r="Q670" t="n">
        <v>0</v>
      </c>
      <c r="R670" s="2" t="inlineStr"/>
    </row>
    <row r="671" ht="15" customHeight="1">
      <c r="A671" t="inlineStr">
        <is>
          <t>A 41053-2025</t>
        </is>
      </c>
      <c r="B671" s="1" t="n">
        <v>45898.40480324074</v>
      </c>
      <c r="C671" s="1" t="n">
        <v>45996</v>
      </c>
      <c r="D671" t="inlineStr">
        <is>
          <t>STOCKHOLMS LÄN</t>
        </is>
      </c>
      <c r="E671" t="inlineStr">
        <is>
          <t>NORRTÄLJE</t>
        </is>
      </c>
      <c r="F671" t="inlineStr">
        <is>
          <t>Holmen skog AB</t>
        </is>
      </c>
      <c r="G671" t="n">
        <v>2.5</v>
      </c>
      <c r="H671" t="n">
        <v>0</v>
      </c>
      <c r="I671" t="n">
        <v>0</v>
      </c>
      <c r="J671" t="n">
        <v>0</v>
      </c>
      <c r="K671" t="n">
        <v>0</v>
      </c>
      <c r="L671" t="n">
        <v>0</v>
      </c>
      <c r="M671" t="n">
        <v>0</v>
      </c>
      <c r="N671" t="n">
        <v>0</v>
      </c>
      <c r="O671" t="n">
        <v>0</v>
      </c>
      <c r="P671" t="n">
        <v>0</v>
      </c>
      <c r="Q671" t="n">
        <v>0</v>
      </c>
      <c r="R671" s="2" t="inlineStr"/>
    </row>
    <row r="672" ht="15" customHeight="1">
      <c r="A672" t="inlineStr">
        <is>
          <t>A 41275-2025</t>
        </is>
      </c>
      <c r="B672" s="1" t="n">
        <v>45898.62625</v>
      </c>
      <c r="C672" s="1" t="n">
        <v>45996</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23801-2022</t>
        </is>
      </c>
      <c r="B673" s="1" t="n">
        <v>44722</v>
      </c>
      <c r="C673" s="1" t="n">
        <v>45996</v>
      </c>
      <c r="D673" t="inlineStr">
        <is>
          <t>STOCKHOLMS LÄN</t>
        </is>
      </c>
      <c r="E673" t="inlineStr">
        <is>
          <t>NORRTÄLJE</t>
        </is>
      </c>
      <c r="G673" t="n">
        <v>6.8</v>
      </c>
      <c r="H673" t="n">
        <v>0</v>
      </c>
      <c r="I673" t="n">
        <v>0</v>
      </c>
      <c r="J673" t="n">
        <v>0</v>
      </c>
      <c r="K673" t="n">
        <v>0</v>
      </c>
      <c r="L673" t="n">
        <v>0</v>
      </c>
      <c r="M673" t="n">
        <v>0</v>
      </c>
      <c r="N673" t="n">
        <v>0</v>
      </c>
      <c r="O673" t="n">
        <v>0</v>
      </c>
      <c r="P673" t="n">
        <v>0</v>
      </c>
      <c r="Q673" t="n">
        <v>0</v>
      </c>
      <c r="R673" s="2" t="inlineStr"/>
    </row>
    <row r="674" ht="15" customHeight="1">
      <c r="A674" t="inlineStr">
        <is>
          <t>A 41272-2025</t>
        </is>
      </c>
      <c r="B674" s="1" t="n">
        <v>45898.62373842593</v>
      </c>
      <c r="C674" s="1" t="n">
        <v>45996</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59276-2023</t>
        </is>
      </c>
      <c r="B675" s="1" t="n">
        <v>45253.55641203704</v>
      </c>
      <c r="C675" s="1" t="n">
        <v>45996</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46914-2022</t>
        </is>
      </c>
      <c r="B676" s="1" t="n">
        <v>44851</v>
      </c>
      <c r="C676" s="1" t="n">
        <v>45996</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18541-2023</t>
        </is>
      </c>
      <c r="B677" s="1" t="n">
        <v>45042.74291666667</v>
      </c>
      <c r="C677" s="1" t="n">
        <v>45996</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42094-2023</t>
        </is>
      </c>
      <c r="B678" s="1" t="n">
        <v>45177.61498842593</v>
      </c>
      <c r="C678" s="1" t="n">
        <v>45996</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3509-2022</t>
        </is>
      </c>
      <c r="B679" s="1" t="n">
        <v>44585</v>
      </c>
      <c r="C679" s="1" t="n">
        <v>45996</v>
      </c>
      <c r="D679" t="inlineStr">
        <is>
          <t>STOCKHOLMS LÄN</t>
        </is>
      </c>
      <c r="E679" t="inlineStr">
        <is>
          <t>NORRTÄLJE</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26407-2024</t>
        </is>
      </c>
      <c r="B680" s="1" t="n">
        <v>45469</v>
      </c>
      <c r="C680" s="1" t="n">
        <v>45996</v>
      </c>
      <c r="D680" t="inlineStr">
        <is>
          <t>STOCKHOLMS LÄN</t>
        </is>
      </c>
      <c r="E680" t="inlineStr">
        <is>
          <t>NORRTÄLJE</t>
        </is>
      </c>
      <c r="G680" t="n">
        <v>3.5</v>
      </c>
      <c r="H680" t="n">
        <v>0</v>
      </c>
      <c r="I680" t="n">
        <v>0</v>
      </c>
      <c r="J680" t="n">
        <v>0</v>
      </c>
      <c r="K680" t="n">
        <v>0</v>
      </c>
      <c r="L680" t="n">
        <v>0</v>
      </c>
      <c r="M680" t="n">
        <v>0</v>
      </c>
      <c r="N680" t="n">
        <v>0</v>
      </c>
      <c r="O680" t="n">
        <v>0</v>
      </c>
      <c r="P680" t="n">
        <v>0</v>
      </c>
      <c r="Q680" t="n">
        <v>0</v>
      </c>
      <c r="R680" s="2" t="inlineStr"/>
    </row>
    <row r="681" ht="15" customHeight="1">
      <c r="A681" t="inlineStr">
        <is>
          <t>A 12890-2024</t>
        </is>
      </c>
      <c r="B681" s="1" t="n">
        <v>45385.36243055556</v>
      </c>
      <c r="C681" s="1" t="n">
        <v>45996</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8370-2025</t>
        </is>
      </c>
      <c r="B682" s="1" t="n">
        <v>45708</v>
      </c>
      <c r="C682" s="1" t="n">
        <v>45996</v>
      </c>
      <c r="D682" t="inlineStr">
        <is>
          <t>STOCKHOLMS LÄN</t>
        </is>
      </c>
      <c r="E682" t="inlineStr">
        <is>
          <t>NORRTÄLJE</t>
        </is>
      </c>
      <c r="F682" t="inlineStr">
        <is>
          <t>Övriga Aktiebolag</t>
        </is>
      </c>
      <c r="G682" t="n">
        <v>5.6</v>
      </c>
      <c r="H682" t="n">
        <v>0</v>
      </c>
      <c r="I682" t="n">
        <v>0</v>
      </c>
      <c r="J682" t="n">
        <v>0</v>
      </c>
      <c r="K682" t="n">
        <v>0</v>
      </c>
      <c r="L682" t="n">
        <v>0</v>
      </c>
      <c r="M682" t="n">
        <v>0</v>
      </c>
      <c r="N682" t="n">
        <v>0</v>
      </c>
      <c r="O682" t="n">
        <v>0</v>
      </c>
      <c r="P682" t="n">
        <v>0</v>
      </c>
      <c r="Q682" t="n">
        <v>0</v>
      </c>
      <c r="R682" s="2" t="inlineStr"/>
    </row>
    <row r="683" ht="15" customHeight="1">
      <c r="A683" t="inlineStr">
        <is>
          <t>A 3299-2022</t>
        </is>
      </c>
      <c r="B683" s="1" t="n">
        <v>44584.91001157407</v>
      </c>
      <c r="C683" s="1" t="n">
        <v>45996</v>
      </c>
      <c r="D683" t="inlineStr">
        <is>
          <t>STOCKHOLMS LÄN</t>
        </is>
      </c>
      <c r="E683" t="inlineStr">
        <is>
          <t>NORRTÄLJE</t>
        </is>
      </c>
      <c r="G683" t="n">
        <v>2.7</v>
      </c>
      <c r="H683" t="n">
        <v>0</v>
      </c>
      <c r="I683" t="n">
        <v>0</v>
      </c>
      <c r="J683" t="n">
        <v>0</v>
      </c>
      <c r="K683" t="n">
        <v>0</v>
      </c>
      <c r="L683" t="n">
        <v>0</v>
      </c>
      <c r="M683" t="n">
        <v>0</v>
      </c>
      <c r="N683" t="n">
        <v>0</v>
      </c>
      <c r="O683" t="n">
        <v>0</v>
      </c>
      <c r="P683" t="n">
        <v>0</v>
      </c>
      <c r="Q683" t="n">
        <v>0</v>
      </c>
      <c r="R683" s="2" t="inlineStr"/>
    </row>
    <row r="684" ht="15" customHeight="1">
      <c r="A684" t="inlineStr">
        <is>
          <t>A 47419-2023</t>
        </is>
      </c>
      <c r="B684" s="1" t="n">
        <v>45202.65660879629</v>
      </c>
      <c r="C684" s="1" t="n">
        <v>45996</v>
      </c>
      <c r="D684" t="inlineStr">
        <is>
          <t>STOCKHOLMS LÄN</t>
        </is>
      </c>
      <c r="E684" t="inlineStr">
        <is>
          <t>NORRTÄLJE</t>
        </is>
      </c>
      <c r="G684" t="n">
        <v>11.4</v>
      </c>
      <c r="H684" t="n">
        <v>0</v>
      </c>
      <c r="I684" t="n">
        <v>0</v>
      </c>
      <c r="J684" t="n">
        <v>0</v>
      </c>
      <c r="K684" t="n">
        <v>0</v>
      </c>
      <c r="L684" t="n">
        <v>0</v>
      </c>
      <c r="M684" t="n">
        <v>0</v>
      </c>
      <c r="N684" t="n">
        <v>0</v>
      </c>
      <c r="O684" t="n">
        <v>0</v>
      </c>
      <c r="P684" t="n">
        <v>0</v>
      </c>
      <c r="Q684" t="n">
        <v>0</v>
      </c>
      <c r="R684" s="2" t="inlineStr"/>
    </row>
    <row r="685" ht="15" customHeight="1">
      <c r="A685" t="inlineStr">
        <is>
          <t>A 23070-2023</t>
        </is>
      </c>
      <c r="B685" s="1" t="n">
        <v>45075</v>
      </c>
      <c r="C685" s="1" t="n">
        <v>45996</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12348-2025</t>
        </is>
      </c>
      <c r="B686" s="1" t="n">
        <v>45730.35026620371</v>
      </c>
      <c r="C686" s="1" t="n">
        <v>45996</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41301-2025</t>
        </is>
      </c>
      <c r="B687" s="1" t="n">
        <v>45898.68826388889</v>
      </c>
      <c r="C687" s="1" t="n">
        <v>45996</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27824-2022</t>
        </is>
      </c>
      <c r="B688" s="1" t="n">
        <v>44743.59331018518</v>
      </c>
      <c r="C688" s="1" t="n">
        <v>45996</v>
      </c>
      <c r="D688" t="inlineStr">
        <is>
          <t>STOCKHOLMS LÄN</t>
        </is>
      </c>
      <c r="E688" t="inlineStr">
        <is>
          <t>NORRTÄLJE</t>
        </is>
      </c>
      <c r="F688" t="inlineStr">
        <is>
          <t>Kommuner</t>
        </is>
      </c>
      <c r="G688" t="n">
        <v>3.1</v>
      </c>
      <c r="H688" t="n">
        <v>0</v>
      </c>
      <c r="I688" t="n">
        <v>0</v>
      </c>
      <c r="J688" t="n">
        <v>0</v>
      </c>
      <c r="K688" t="n">
        <v>0</v>
      </c>
      <c r="L688" t="n">
        <v>0</v>
      </c>
      <c r="M688" t="n">
        <v>0</v>
      </c>
      <c r="N688" t="n">
        <v>0</v>
      </c>
      <c r="O688" t="n">
        <v>0</v>
      </c>
      <c r="P688" t="n">
        <v>0</v>
      </c>
      <c r="Q688" t="n">
        <v>0</v>
      </c>
      <c r="R688" s="2" t="inlineStr"/>
    </row>
    <row r="689" ht="15" customHeight="1">
      <c r="A689" t="inlineStr">
        <is>
          <t>A 17545-2025</t>
        </is>
      </c>
      <c r="B689" s="1" t="n">
        <v>45757.60658564815</v>
      </c>
      <c r="C689" s="1" t="n">
        <v>45996</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25619-2022</t>
        </is>
      </c>
      <c r="B690" s="1" t="n">
        <v>44732</v>
      </c>
      <c r="C690" s="1" t="n">
        <v>45996</v>
      </c>
      <c r="D690" t="inlineStr">
        <is>
          <t>STOCKHOLMS LÄN</t>
        </is>
      </c>
      <c r="E690" t="inlineStr">
        <is>
          <t>NORRTÄLJE</t>
        </is>
      </c>
      <c r="G690" t="n">
        <v>3.9</v>
      </c>
      <c r="H690" t="n">
        <v>0</v>
      </c>
      <c r="I690" t="n">
        <v>0</v>
      </c>
      <c r="J690" t="n">
        <v>0</v>
      </c>
      <c r="K690" t="n">
        <v>0</v>
      </c>
      <c r="L690" t="n">
        <v>0</v>
      </c>
      <c r="M690" t="n">
        <v>0</v>
      </c>
      <c r="N690" t="n">
        <v>0</v>
      </c>
      <c r="O690" t="n">
        <v>0</v>
      </c>
      <c r="P690" t="n">
        <v>0</v>
      </c>
      <c r="Q690" t="n">
        <v>0</v>
      </c>
      <c r="R690" s="2" t="inlineStr"/>
    </row>
    <row r="691" ht="15" customHeight="1">
      <c r="A691" t="inlineStr">
        <is>
          <t>A 25094-2023</t>
        </is>
      </c>
      <c r="B691" s="1" t="n">
        <v>45086.3629050926</v>
      </c>
      <c r="C691" s="1" t="n">
        <v>45996</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36157-2024</t>
        </is>
      </c>
      <c r="B692" s="1" t="n">
        <v>45534.38240740741</v>
      </c>
      <c r="C692" s="1" t="n">
        <v>45996</v>
      </c>
      <c r="D692" t="inlineStr">
        <is>
          <t>STOCKHOLMS LÄN</t>
        </is>
      </c>
      <c r="E692" t="inlineStr">
        <is>
          <t>NORRTÄLJE</t>
        </is>
      </c>
      <c r="F692" t="inlineStr">
        <is>
          <t>Övriga Aktiebolag</t>
        </is>
      </c>
      <c r="G692" t="n">
        <v>1.1</v>
      </c>
      <c r="H692" t="n">
        <v>0</v>
      </c>
      <c r="I692" t="n">
        <v>0</v>
      </c>
      <c r="J692" t="n">
        <v>0</v>
      </c>
      <c r="K692" t="n">
        <v>0</v>
      </c>
      <c r="L692" t="n">
        <v>0</v>
      </c>
      <c r="M692" t="n">
        <v>0</v>
      </c>
      <c r="N692" t="n">
        <v>0</v>
      </c>
      <c r="O692" t="n">
        <v>0</v>
      </c>
      <c r="P692" t="n">
        <v>0</v>
      </c>
      <c r="Q692" t="n">
        <v>0</v>
      </c>
      <c r="R692" s="2" t="inlineStr"/>
    </row>
    <row r="693" ht="15" customHeight="1">
      <c r="A693" t="inlineStr">
        <is>
          <t>A 47694-2023</t>
        </is>
      </c>
      <c r="B693" s="1" t="n">
        <v>45203.63303240741</v>
      </c>
      <c r="C693" s="1" t="n">
        <v>45996</v>
      </c>
      <c r="D693" t="inlineStr">
        <is>
          <t>STOCKHOLMS LÄN</t>
        </is>
      </c>
      <c r="E693" t="inlineStr">
        <is>
          <t>NORRTÄLJE</t>
        </is>
      </c>
      <c r="G693" t="n">
        <v>5.2</v>
      </c>
      <c r="H693" t="n">
        <v>0</v>
      </c>
      <c r="I693" t="n">
        <v>0</v>
      </c>
      <c r="J693" t="n">
        <v>0</v>
      </c>
      <c r="K693" t="n">
        <v>0</v>
      </c>
      <c r="L693" t="n">
        <v>0</v>
      </c>
      <c r="M693" t="n">
        <v>0</v>
      </c>
      <c r="N693" t="n">
        <v>0</v>
      </c>
      <c r="O693" t="n">
        <v>0</v>
      </c>
      <c r="P693" t="n">
        <v>0</v>
      </c>
      <c r="Q693" t="n">
        <v>0</v>
      </c>
      <c r="R693" s="2" t="inlineStr"/>
    </row>
    <row r="694" ht="15" customHeight="1">
      <c r="A694" t="inlineStr">
        <is>
          <t>A 36246-2021</t>
        </is>
      </c>
      <c r="B694" s="1" t="n">
        <v>44390</v>
      </c>
      <c r="C694" s="1" t="n">
        <v>45996</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35532-2024</t>
        </is>
      </c>
      <c r="B695" s="1" t="n">
        <v>45531</v>
      </c>
      <c r="C695" s="1" t="n">
        <v>45996</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19952-2023</t>
        </is>
      </c>
      <c r="B696" s="1" t="n">
        <v>45054.54091435186</v>
      </c>
      <c r="C696" s="1" t="n">
        <v>45996</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19994-2023</t>
        </is>
      </c>
      <c r="B697" s="1" t="n">
        <v>45054</v>
      </c>
      <c r="C697" s="1" t="n">
        <v>45996</v>
      </c>
      <c r="D697" t="inlineStr">
        <is>
          <t>STOCKHOLMS LÄN</t>
        </is>
      </c>
      <c r="E697" t="inlineStr">
        <is>
          <t>NORRTÄLJE</t>
        </is>
      </c>
      <c r="G697" t="n">
        <v>4.3</v>
      </c>
      <c r="H697" t="n">
        <v>0</v>
      </c>
      <c r="I697" t="n">
        <v>0</v>
      </c>
      <c r="J697" t="n">
        <v>0</v>
      </c>
      <c r="K697" t="n">
        <v>0</v>
      </c>
      <c r="L697" t="n">
        <v>0</v>
      </c>
      <c r="M697" t="n">
        <v>0</v>
      </c>
      <c r="N697" t="n">
        <v>0</v>
      </c>
      <c r="O697" t="n">
        <v>0</v>
      </c>
      <c r="P697" t="n">
        <v>0</v>
      </c>
      <c r="Q697" t="n">
        <v>0</v>
      </c>
      <c r="R697" s="2" t="inlineStr"/>
    </row>
    <row r="698" ht="15" customHeight="1">
      <c r="A698" t="inlineStr">
        <is>
          <t>A 1654-2025</t>
        </is>
      </c>
      <c r="B698" s="1" t="n">
        <v>45670.65921296296</v>
      </c>
      <c r="C698" s="1" t="n">
        <v>45996</v>
      </c>
      <c r="D698" t="inlineStr">
        <is>
          <t>STOCKHOLMS LÄN</t>
        </is>
      </c>
      <c r="E698" t="inlineStr">
        <is>
          <t>NORRTÄLJE</t>
        </is>
      </c>
      <c r="G698" t="n">
        <v>2.5</v>
      </c>
      <c r="H698" t="n">
        <v>0</v>
      </c>
      <c r="I698" t="n">
        <v>0</v>
      </c>
      <c r="J698" t="n">
        <v>0</v>
      </c>
      <c r="K698" t="n">
        <v>0</v>
      </c>
      <c r="L698" t="n">
        <v>0</v>
      </c>
      <c r="M698" t="n">
        <v>0</v>
      </c>
      <c r="N698" t="n">
        <v>0</v>
      </c>
      <c r="O698" t="n">
        <v>0</v>
      </c>
      <c r="P698" t="n">
        <v>0</v>
      </c>
      <c r="Q698" t="n">
        <v>0</v>
      </c>
      <c r="R698" s="2" t="inlineStr"/>
    </row>
    <row r="699" ht="15" customHeight="1">
      <c r="A699" t="inlineStr">
        <is>
          <t>A 62644-2023</t>
        </is>
      </c>
      <c r="B699" s="1" t="n">
        <v>45271</v>
      </c>
      <c r="C699" s="1" t="n">
        <v>45996</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14130-2025</t>
        </is>
      </c>
      <c r="B700" s="1" t="n">
        <v>45740.47288194444</v>
      </c>
      <c r="C700" s="1" t="n">
        <v>45996</v>
      </c>
      <c r="D700" t="inlineStr">
        <is>
          <t>STOCKHOLMS LÄN</t>
        </is>
      </c>
      <c r="E700" t="inlineStr">
        <is>
          <t>NORRTÄLJE</t>
        </is>
      </c>
      <c r="G700" t="n">
        <v>2.1</v>
      </c>
      <c r="H700" t="n">
        <v>0</v>
      </c>
      <c r="I700" t="n">
        <v>0</v>
      </c>
      <c r="J700" t="n">
        <v>0</v>
      </c>
      <c r="K700" t="n">
        <v>0</v>
      </c>
      <c r="L700" t="n">
        <v>0</v>
      </c>
      <c r="M700" t="n">
        <v>0</v>
      </c>
      <c r="N700" t="n">
        <v>0</v>
      </c>
      <c r="O700" t="n">
        <v>0</v>
      </c>
      <c r="P700" t="n">
        <v>0</v>
      </c>
      <c r="Q700" t="n">
        <v>0</v>
      </c>
      <c r="R700" s="2" t="inlineStr"/>
    </row>
    <row r="701" ht="15" customHeight="1">
      <c r="A701" t="inlineStr">
        <is>
          <t>A 574-2023</t>
        </is>
      </c>
      <c r="B701" s="1" t="n">
        <v>44925</v>
      </c>
      <c r="C701" s="1" t="n">
        <v>45996</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11229-2022</t>
        </is>
      </c>
      <c r="B702" s="1" t="n">
        <v>44629</v>
      </c>
      <c r="C702" s="1" t="n">
        <v>45996</v>
      </c>
      <c r="D702" t="inlineStr">
        <is>
          <t>STOCKHOLMS LÄN</t>
        </is>
      </c>
      <c r="E702" t="inlineStr">
        <is>
          <t>NORRTÄLJE</t>
        </is>
      </c>
      <c r="F702" t="inlineStr">
        <is>
          <t>Övriga Aktiebolag</t>
        </is>
      </c>
      <c r="G702" t="n">
        <v>4.1</v>
      </c>
      <c r="H702" t="n">
        <v>0</v>
      </c>
      <c r="I702" t="n">
        <v>0</v>
      </c>
      <c r="J702" t="n">
        <v>0</v>
      </c>
      <c r="K702" t="n">
        <v>0</v>
      </c>
      <c r="L702" t="n">
        <v>0</v>
      </c>
      <c r="M702" t="n">
        <v>0</v>
      </c>
      <c r="N702" t="n">
        <v>0</v>
      </c>
      <c r="O702" t="n">
        <v>0</v>
      </c>
      <c r="P702" t="n">
        <v>0</v>
      </c>
      <c r="Q702" t="n">
        <v>0</v>
      </c>
      <c r="R702" s="2" t="inlineStr"/>
    </row>
    <row r="703" ht="15" customHeight="1">
      <c r="A703" t="inlineStr">
        <is>
          <t>A 37261-2025</t>
        </is>
      </c>
      <c r="B703" s="1" t="n">
        <v>45876.45253472222</v>
      </c>
      <c r="C703" s="1" t="n">
        <v>45996</v>
      </c>
      <c r="D703" t="inlineStr">
        <is>
          <t>STOCKHOLMS LÄN</t>
        </is>
      </c>
      <c r="E703" t="inlineStr">
        <is>
          <t>NORRTÄLJE</t>
        </is>
      </c>
      <c r="F703" t="inlineStr">
        <is>
          <t>Kommuner</t>
        </is>
      </c>
      <c r="G703" t="n">
        <v>2.2</v>
      </c>
      <c r="H703" t="n">
        <v>0</v>
      </c>
      <c r="I703" t="n">
        <v>0</v>
      </c>
      <c r="J703" t="n">
        <v>0</v>
      </c>
      <c r="K703" t="n">
        <v>0</v>
      </c>
      <c r="L703" t="n">
        <v>0</v>
      </c>
      <c r="M703" t="n">
        <v>0</v>
      </c>
      <c r="N703" t="n">
        <v>0</v>
      </c>
      <c r="O703" t="n">
        <v>0</v>
      </c>
      <c r="P703" t="n">
        <v>0</v>
      </c>
      <c r="Q703" t="n">
        <v>0</v>
      </c>
      <c r="R703" s="2" t="inlineStr"/>
    </row>
    <row r="704" ht="15" customHeight="1">
      <c r="A704" t="inlineStr">
        <is>
          <t>A 30283-2022</t>
        </is>
      </c>
      <c r="B704" s="1" t="n">
        <v>44760</v>
      </c>
      <c r="C704" s="1" t="n">
        <v>45996</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30290-2022</t>
        </is>
      </c>
      <c r="B705" s="1" t="n">
        <v>44760</v>
      </c>
      <c r="C705" s="1" t="n">
        <v>45996</v>
      </c>
      <c r="D705" t="inlineStr">
        <is>
          <t>STOCKHOLMS LÄN</t>
        </is>
      </c>
      <c r="E705" t="inlineStr">
        <is>
          <t>NORRTÄLJE</t>
        </is>
      </c>
      <c r="G705" t="n">
        <v>4.8</v>
      </c>
      <c r="H705" t="n">
        <v>0</v>
      </c>
      <c r="I705" t="n">
        <v>0</v>
      </c>
      <c r="J705" t="n">
        <v>0</v>
      </c>
      <c r="K705" t="n">
        <v>0</v>
      </c>
      <c r="L705" t="n">
        <v>0</v>
      </c>
      <c r="M705" t="n">
        <v>0</v>
      </c>
      <c r="N705" t="n">
        <v>0</v>
      </c>
      <c r="O705" t="n">
        <v>0</v>
      </c>
      <c r="P705" t="n">
        <v>0</v>
      </c>
      <c r="Q705" t="n">
        <v>0</v>
      </c>
      <c r="R705" s="2" t="inlineStr"/>
    </row>
    <row r="706" ht="15" customHeight="1">
      <c r="A706" t="inlineStr">
        <is>
          <t>A 3143-2021</t>
        </is>
      </c>
      <c r="B706" s="1" t="n">
        <v>44217.40149305556</v>
      </c>
      <c r="C706" s="1" t="n">
        <v>45996</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29684-2021</t>
        </is>
      </c>
      <c r="B707" s="1" t="n">
        <v>44362.37172453704</v>
      </c>
      <c r="C707" s="1" t="n">
        <v>45996</v>
      </c>
      <c r="D707" t="inlineStr">
        <is>
          <t>STOCKHOLMS LÄN</t>
        </is>
      </c>
      <c r="E707" t="inlineStr">
        <is>
          <t>NORRTÄLJE</t>
        </is>
      </c>
      <c r="F707" t="inlineStr">
        <is>
          <t>Holmen skog AB</t>
        </is>
      </c>
      <c r="G707" t="n">
        <v>1.5</v>
      </c>
      <c r="H707" t="n">
        <v>0</v>
      </c>
      <c r="I707" t="n">
        <v>0</v>
      </c>
      <c r="J707" t="n">
        <v>0</v>
      </c>
      <c r="K707" t="n">
        <v>0</v>
      </c>
      <c r="L707" t="n">
        <v>0</v>
      </c>
      <c r="M707" t="n">
        <v>0</v>
      </c>
      <c r="N707" t="n">
        <v>0</v>
      </c>
      <c r="O707" t="n">
        <v>0</v>
      </c>
      <c r="P707" t="n">
        <v>0</v>
      </c>
      <c r="Q707" t="n">
        <v>0</v>
      </c>
      <c r="R707" s="2" t="inlineStr"/>
    </row>
    <row r="708" ht="15" customHeight="1">
      <c r="A708" t="inlineStr">
        <is>
          <t>A 41174-2025</t>
        </is>
      </c>
      <c r="B708" s="1" t="n">
        <v>45898.54921296296</v>
      </c>
      <c r="C708" s="1" t="n">
        <v>45996</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57353-2024</t>
        </is>
      </c>
      <c r="B709" s="1" t="n">
        <v>45629.65143518519</v>
      </c>
      <c r="C709" s="1" t="n">
        <v>45996</v>
      </c>
      <c r="D709" t="inlineStr">
        <is>
          <t>STOCKHOLMS LÄN</t>
        </is>
      </c>
      <c r="E709" t="inlineStr">
        <is>
          <t>NORRTÄLJE</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41030-2025</t>
        </is>
      </c>
      <c r="B710" s="1" t="n">
        <v>45898.37636574074</v>
      </c>
      <c r="C710" s="1" t="n">
        <v>45996</v>
      </c>
      <c r="D710" t="inlineStr">
        <is>
          <t>STOCKHOLMS LÄN</t>
        </is>
      </c>
      <c r="E710" t="inlineStr">
        <is>
          <t>NORRTÄLJE</t>
        </is>
      </c>
      <c r="F710" t="inlineStr">
        <is>
          <t>Holmen skog AB</t>
        </is>
      </c>
      <c r="G710" t="n">
        <v>2.6</v>
      </c>
      <c r="H710" t="n">
        <v>0</v>
      </c>
      <c r="I710" t="n">
        <v>0</v>
      </c>
      <c r="J710" t="n">
        <v>0</v>
      </c>
      <c r="K710" t="n">
        <v>0</v>
      </c>
      <c r="L710" t="n">
        <v>0</v>
      </c>
      <c r="M710" t="n">
        <v>0</v>
      </c>
      <c r="N710" t="n">
        <v>0</v>
      </c>
      <c r="O710" t="n">
        <v>0</v>
      </c>
      <c r="P710" t="n">
        <v>0</v>
      </c>
      <c r="Q710" t="n">
        <v>0</v>
      </c>
      <c r="R710" s="2" t="inlineStr"/>
    </row>
    <row r="711" ht="15" customHeight="1">
      <c r="A711" t="inlineStr">
        <is>
          <t>A 60884-2024</t>
        </is>
      </c>
      <c r="B711" s="1" t="n">
        <v>45644.90815972222</v>
      </c>
      <c r="C711" s="1" t="n">
        <v>45996</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48587-2023</t>
        </is>
      </c>
      <c r="B712" s="1" t="n">
        <v>45208</v>
      </c>
      <c r="C712" s="1" t="n">
        <v>45996</v>
      </c>
      <c r="D712" t="inlineStr">
        <is>
          <t>STOCKHOLMS LÄN</t>
        </is>
      </c>
      <c r="E712" t="inlineStr">
        <is>
          <t>NORRTÄLJE</t>
        </is>
      </c>
      <c r="G712" t="n">
        <v>7</v>
      </c>
      <c r="H712" t="n">
        <v>0</v>
      </c>
      <c r="I712" t="n">
        <v>0</v>
      </c>
      <c r="J712" t="n">
        <v>0</v>
      </c>
      <c r="K712" t="n">
        <v>0</v>
      </c>
      <c r="L712" t="n">
        <v>0</v>
      </c>
      <c r="M712" t="n">
        <v>0</v>
      </c>
      <c r="N712" t="n">
        <v>0</v>
      </c>
      <c r="O712" t="n">
        <v>0</v>
      </c>
      <c r="P712" t="n">
        <v>0</v>
      </c>
      <c r="Q712" t="n">
        <v>0</v>
      </c>
      <c r="R712" s="2" t="inlineStr"/>
    </row>
    <row r="713" ht="15" customHeight="1">
      <c r="A713" t="inlineStr">
        <is>
          <t>A 13291-2025</t>
        </is>
      </c>
      <c r="B713" s="1" t="n">
        <v>45735</v>
      </c>
      <c r="C713" s="1" t="n">
        <v>45996</v>
      </c>
      <c r="D713" t="inlineStr">
        <is>
          <t>STOCKHOLMS LÄN</t>
        </is>
      </c>
      <c r="E713" t="inlineStr">
        <is>
          <t>NORRTÄLJE</t>
        </is>
      </c>
      <c r="G713" t="n">
        <v>3.8</v>
      </c>
      <c r="H713" t="n">
        <v>0</v>
      </c>
      <c r="I713" t="n">
        <v>0</v>
      </c>
      <c r="J713" t="n">
        <v>0</v>
      </c>
      <c r="K713" t="n">
        <v>0</v>
      </c>
      <c r="L713" t="n">
        <v>0</v>
      </c>
      <c r="M713" t="n">
        <v>0</v>
      </c>
      <c r="N713" t="n">
        <v>0</v>
      </c>
      <c r="O713" t="n">
        <v>0</v>
      </c>
      <c r="P713" t="n">
        <v>0</v>
      </c>
      <c r="Q713" t="n">
        <v>0</v>
      </c>
      <c r="R713" s="2" t="inlineStr"/>
    </row>
    <row r="714" ht="15" customHeight="1">
      <c r="A714" t="inlineStr">
        <is>
          <t>A 38610-2022</t>
        </is>
      </c>
      <c r="B714" s="1" t="n">
        <v>44813.59915509259</v>
      </c>
      <c r="C714" s="1" t="n">
        <v>45996</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37628-2025</t>
        </is>
      </c>
      <c r="B715" s="1" t="n">
        <v>45880.46189814815</v>
      </c>
      <c r="C715" s="1" t="n">
        <v>45996</v>
      </c>
      <c r="D715" t="inlineStr">
        <is>
          <t>STOCKHOLMS LÄN</t>
        </is>
      </c>
      <c r="E715" t="inlineStr">
        <is>
          <t>NORRTÄLJE</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29369-2024</t>
        </is>
      </c>
      <c r="B716" s="1" t="n">
        <v>45483.57244212963</v>
      </c>
      <c r="C716" s="1" t="n">
        <v>45996</v>
      </c>
      <c r="D716" t="inlineStr">
        <is>
          <t>STOCKHOLMS LÄN</t>
        </is>
      </c>
      <c r="E716" t="inlineStr">
        <is>
          <t>NORRTÄLJE</t>
        </is>
      </c>
      <c r="G716" t="n">
        <v>15.9</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45996</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37632-2025</t>
        </is>
      </c>
      <c r="B718" s="1" t="n">
        <v>45880.46524305556</v>
      </c>
      <c r="C718" s="1" t="n">
        <v>45996</v>
      </c>
      <c r="D718" t="inlineStr">
        <is>
          <t>STOCKHOLMS LÄN</t>
        </is>
      </c>
      <c r="E718" t="inlineStr">
        <is>
          <t>NORRTÄLJE</t>
        </is>
      </c>
      <c r="F718" t="inlineStr">
        <is>
          <t>Sveaskog</t>
        </is>
      </c>
      <c r="G718" t="n">
        <v>6.4</v>
      </c>
      <c r="H718" t="n">
        <v>0</v>
      </c>
      <c r="I718" t="n">
        <v>0</v>
      </c>
      <c r="J718" t="n">
        <v>0</v>
      </c>
      <c r="K718" t="n">
        <v>0</v>
      </c>
      <c r="L718" t="n">
        <v>0</v>
      </c>
      <c r="M718" t="n">
        <v>0</v>
      </c>
      <c r="N718" t="n">
        <v>0</v>
      </c>
      <c r="O718" t="n">
        <v>0</v>
      </c>
      <c r="P718" t="n">
        <v>0</v>
      </c>
      <c r="Q718" t="n">
        <v>0</v>
      </c>
      <c r="R718" s="2" t="inlineStr"/>
    </row>
    <row r="719" ht="15" customHeight="1">
      <c r="A719" t="inlineStr">
        <is>
          <t>A 10090-2022</t>
        </is>
      </c>
      <c r="B719" s="1" t="n">
        <v>44621</v>
      </c>
      <c r="C719" s="1" t="n">
        <v>45996</v>
      </c>
      <c r="D719" t="inlineStr">
        <is>
          <t>STOCKHOLMS LÄN</t>
        </is>
      </c>
      <c r="E719" t="inlineStr">
        <is>
          <t>NORRTÄLJE</t>
        </is>
      </c>
      <c r="G719" t="n">
        <v>5.2</v>
      </c>
      <c r="H719" t="n">
        <v>0</v>
      </c>
      <c r="I719" t="n">
        <v>0</v>
      </c>
      <c r="J719" t="n">
        <v>0</v>
      </c>
      <c r="K719" t="n">
        <v>0</v>
      </c>
      <c r="L719" t="n">
        <v>0</v>
      </c>
      <c r="M719" t="n">
        <v>0</v>
      </c>
      <c r="N719" t="n">
        <v>0</v>
      </c>
      <c r="O719" t="n">
        <v>0</v>
      </c>
      <c r="P719" t="n">
        <v>0</v>
      </c>
      <c r="Q719" t="n">
        <v>0</v>
      </c>
      <c r="R719" s="2" t="inlineStr"/>
    </row>
    <row r="720" ht="15" customHeight="1">
      <c r="A720" t="inlineStr">
        <is>
          <t>A 14724-2022</t>
        </is>
      </c>
      <c r="B720" s="1" t="n">
        <v>44656</v>
      </c>
      <c r="C720" s="1" t="n">
        <v>45996</v>
      </c>
      <c r="D720" t="inlineStr">
        <is>
          <t>STOCKHOLMS LÄN</t>
        </is>
      </c>
      <c r="E720" t="inlineStr">
        <is>
          <t>NORRTÄLJE</t>
        </is>
      </c>
      <c r="F720" t="inlineStr">
        <is>
          <t>Sveaskog</t>
        </is>
      </c>
      <c r="G720" t="n">
        <v>9</v>
      </c>
      <c r="H720" t="n">
        <v>0</v>
      </c>
      <c r="I720" t="n">
        <v>0</v>
      </c>
      <c r="J720" t="n">
        <v>0</v>
      </c>
      <c r="K720" t="n">
        <v>0</v>
      </c>
      <c r="L720" t="n">
        <v>0</v>
      </c>
      <c r="M720" t="n">
        <v>0</v>
      </c>
      <c r="N720" t="n">
        <v>0</v>
      </c>
      <c r="O720" t="n">
        <v>0</v>
      </c>
      <c r="P720" t="n">
        <v>0</v>
      </c>
      <c r="Q720" t="n">
        <v>0</v>
      </c>
      <c r="R720" s="2" t="inlineStr"/>
    </row>
    <row r="721" ht="15" customHeight="1">
      <c r="A721" t="inlineStr">
        <is>
          <t>A 4438-2023</t>
        </is>
      </c>
      <c r="B721" s="1" t="n">
        <v>44956</v>
      </c>
      <c r="C721" s="1" t="n">
        <v>45996</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29841-2024</t>
        </is>
      </c>
      <c r="B722" s="1" t="n">
        <v>45485.60261574074</v>
      </c>
      <c r="C722" s="1" t="n">
        <v>45996</v>
      </c>
      <c r="D722" t="inlineStr">
        <is>
          <t>STOCKHOLMS LÄN</t>
        </is>
      </c>
      <c r="E722" t="inlineStr">
        <is>
          <t>NORRTÄLJE</t>
        </is>
      </c>
      <c r="G722" t="n">
        <v>15.9</v>
      </c>
      <c r="H722" t="n">
        <v>0</v>
      </c>
      <c r="I722" t="n">
        <v>0</v>
      </c>
      <c r="J722" t="n">
        <v>0</v>
      </c>
      <c r="K722" t="n">
        <v>0</v>
      </c>
      <c r="L722" t="n">
        <v>0</v>
      </c>
      <c r="M722" t="n">
        <v>0</v>
      </c>
      <c r="N722" t="n">
        <v>0</v>
      </c>
      <c r="O722" t="n">
        <v>0</v>
      </c>
      <c r="P722" t="n">
        <v>0</v>
      </c>
      <c r="Q722" t="n">
        <v>0</v>
      </c>
      <c r="R722" s="2" t="inlineStr"/>
    </row>
    <row r="723" ht="15" customHeight="1">
      <c r="A723" t="inlineStr">
        <is>
          <t>A 18846-2022</t>
        </is>
      </c>
      <c r="B723" s="1" t="n">
        <v>44690</v>
      </c>
      <c r="C723" s="1" t="n">
        <v>45996</v>
      </c>
      <c r="D723" t="inlineStr">
        <is>
          <t>STOCKHOLMS LÄN</t>
        </is>
      </c>
      <c r="E723" t="inlineStr">
        <is>
          <t>NORRTÄLJE</t>
        </is>
      </c>
      <c r="G723" t="n">
        <v>7</v>
      </c>
      <c r="H723" t="n">
        <v>0</v>
      </c>
      <c r="I723" t="n">
        <v>0</v>
      </c>
      <c r="J723" t="n">
        <v>0</v>
      </c>
      <c r="K723" t="n">
        <v>0</v>
      </c>
      <c r="L723" t="n">
        <v>0</v>
      </c>
      <c r="M723" t="n">
        <v>0</v>
      </c>
      <c r="N723" t="n">
        <v>0</v>
      </c>
      <c r="O723" t="n">
        <v>0</v>
      </c>
      <c r="P723" t="n">
        <v>0</v>
      </c>
      <c r="Q723" t="n">
        <v>0</v>
      </c>
      <c r="R723" s="2" t="inlineStr"/>
    </row>
    <row r="724" ht="15" customHeight="1">
      <c r="A724" t="inlineStr">
        <is>
          <t>A 43300-2023</t>
        </is>
      </c>
      <c r="B724" s="1" t="n">
        <v>45183</v>
      </c>
      <c r="C724" s="1" t="n">
        <v>45996</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25654-2023</t>
        </is>
      </c>
      <c r="B725" s="1" t="n">
        <v>45089</v>
      </c>
      <c r="C725" s="1" t="n">
        <v>45996</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20692-2025</t>
        </is>
      </c>
      <c r="B726" s="1" t="n">
        <v>45776.46369212963</v>
      </c>
      <c r="C726" s="1" t="n">
        <v>45996</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47758-2023</t>
        </is>
      </c>
      <c r="B727" s="1" t="n">
        <v>45203.83891203703</v>
      </c>
      <c r="C727" s="1" t="n">
        <v>45996</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37630-2025</t>
        </is>
      </c>
      <c r="B728" s="1" t="n">
        <v>45880.46372685185</v>
      </c>
      <c r="C728" s="1" t="n">
        <v>45996</v>
      </c>
      <c r="D728" t="inlineStr">
        <is>
          <t>STOCKHOLMS LÄN</t>
        </is>
      </c>
      <c r="E728" t="inlineStr">
        <is>
          <t>NORRTÄLJE</t>
        </is>
      </c>
      <c r="F728" t="inlineStr">
        <is>
          <t>Sveaskog</t>
        </is>
      </c>
      <c r="G728" t="n">
        <v>12.9</v>
      </c>
      <c r="H728" t="n">
        <v>0</v>
      </c>
      <c r="I728" t="n">
        <v>0</v>
      </c>
      <c r="J728" t="n">
        <v>0</v>
      </c>
      <c r="K728" t="n">
        <v>0</v>
      </c>
      <c r="L728" t="n">
        <v>0</v>
      </c>
      <c r="M728" t="n">
        <v>0</v>
      </c>
      <c r="N728" t="n">
        <v>0</v>
      </c>
      <c r="O728" t="n">
        <v>0</v>
      </c>
      <c r="P728" t="n">
        <v>0</v>
      </c>
      <c r="Q728" t="n">
        <v>0</v>
      </c>
      <c r="R728" s="2" t="inlineStr"/>
    </row>
    <row r="729" ht="15" customHeight="1">
      <c r="A729" t="inlineStr">
        <is>
          <t>A 23125-2022</t>
        </is>
      </c>
      <c r="B729" s="1" t="n">
        <v>44719</v>
      </c>
      <c r="C729" s="1" t="n">
        <v>45996</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41036-2025</t>
        </is>
      </c>
      <c r="B730" s="1" t="n">
        <v>45898.38552083333</v>
      </c>
      <c r="C730" s="1" t="n">
        <v>45996</v>
      </c>
      <c r="D730" t="inlineStr">
        <is>
          <t>STOCKHOLMS LÄN</t>
        </is>
      </c>
      <c r="E730" t="inlineStr">
        <is>
          <t>NORRTÄLJE</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51061-2023</t>
        </is>
      </c>
      <c r="B731" s="1" t="n">
        <v>45218.65849537037</v>
      </c>
      <c r="C731" s="1" t="n">
        <v>45996</v>
      </c>
      <c r="D731" t="inlineStr">
        <is>
          <t>STOCKHOLMS LÄN</t>
        </is>
      </c>
      <c r="E731" t="inlineStr">
        <is>
          <t>NORRTÄLJE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41106-2025</t>
        </is>
      </c>
      <c r="B732" s="1" t="n">
        <v>45898.45636574074</v>
      </c>
      <c r="C732" s="1" t="n">
        <v>45996</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22697-2022</t>
        </is>
      </c>
      <c r="B733" s="1" t="n">
        <v>44714.56040509259</v>
      </c>
      <c r="C733" s="1" t="n">
        <v>45996</v>
      </c>
      <c r="D733" t="inlineStr">
        <is>
          <t>STOCKHOLMS LÄN</t>
        </is>
      </c>
      <c r="E733" t="inlineStr">
        <is>
          <t>NORRTÄLJE</t>
        </is>
      </c>
      <c r="G733" t="n">
        <v>5.6</v>
      </c>
      <c r="H733" t="n">
        <v>0</v>
      </c>
      <c r="I733" t="n">
        <v>0</v>
      </c>
      <c r="J733" t="n">
        <v>0</v>
      </c>
      <c r="K733" t="n">
        <v>0</v>
      </c>
      <c r="L733" t="n">
        <v>0</v>
      </c>
      <c r="M733" t="n">
        <v>0</v>
      </c>
      <c r="N733" t="n">
        <v>0</v>
      </c>
      <c r="O733" t="n">
        <v>0</v>
      </c>
      <c r="P733" t="n">
        <v>0</v>
      </c>
      <c r="Q733" t="n">
        <v>0</v>
      </c>
      <c r="R733" s="2" t="inlineStr"/>
    </row>
    <row r="734" ht="15" customHeight="1">
      <c r="A734" t="inlineStr">
        <is>
          <t>A 20121-2022</t>
        </is>
      </c>
      <c r="B734" s="1" t="n">
        <v>44698</v>
      </c>
      <c r="C734" s="1" t="n">
        <v>45996</v>
      </c>
      <c r="D734" t="inlineStr">
        <is>
          <t>STOCKHOLMS LÄN</t>
        </is>
      </c>
      <c r="E734" t="inlineStr">
        <is>
          <t>NORRTÄLJE</t>
        </is>
      </c>
      <c r="G734" t="n">
        <v>4.2</v>
      </c>
      <c r="H734" t="n">
        <v>0</v>
      </c>
      <c r="I734" t="n">
        <v>0</v>
      </c>
      <c r="J734" t="n">
        <v>0</v>
      </c>
      <c r="K734" t="n">
        <v>0</v>
      </c>
      <c r="L734" t="n">
        <v>0</v>
      </c>
      <c r="M734" t="n">
        <v>0</v>
      </c>
      <c r="N734" t="n">
        <v>0</v>
      </c>
      <c r="O734" t="n">
        <v>0</v>
      </c>
      <c r="P734" t="n">
        <v>0</v>
      </c>
      <c r="Q734" t="n">
        <v>0</v>
      </c>
      <c r="R734" s="2" t="inlineStr"/>
    </row>
    <row r="735" ht="15" customHeight="1">
      <c r="A735" t="inlineStr">
        <is>
          <t>A 46071-2024</t>
        </is>
      </c>
      <c r="B735" s="1" t="n">
        <v>45581</v>
      </c>
      <c r="C735" s="1" t="n">
        <v>45996</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45549-2022</t>
        </is>
      </c>
      <c r="B736" s="1" t="n">
        <v>44845.48064814815</v>
      </c>
      <c r="C736" s="1" t="n">
        <v>45996</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54396-2021</t>
        </is>
      </c>
      <c r="B737" s="1" t="n">
        <v>44472</v>
      </c>
      <c r="C737" s="1" t="n">
        <v>45996</v>
      </c>
      <c r="D737" t="inlineStr">
        <is>
          <t>STOCKHOLMS LÄN</t>
        </is>
      </c>
      <c r="E737" t="inlineStr">
        <is>
          <t>NORRTÄLJE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33385-2024</t>
        </is>
      </c>
      <c r="B738" s="1" t="n">
        <v>45519</v>
      </c>
      <c r="C738" s="1" t="n">
        <v>45996</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24727-2023</t>
        </is>
      </c>
      <c r="B739" s="1" t="n">
        <v>45084.57695601852</v>
      </c>
      <c r="C739" s="1" t="n">
        <v>45996</v>
      </c>
      <c r="D739" t="inlineStr">
        <is>
          <t>STOCKHOLMS LÄN</t>
        </is>
      </c>
      <c r="E739" t="inlineStr">
        <is>
          <t>NORRTÄLJE</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41110-2025</t>
        </is>
      </c>
      <c r="B740" s="1" t="n">
        <v>45898.45976851852</v>
      </c>
      <c r="C740" s="1" t="n">
        <v>45996</v>
      </c>
      <c r="D740" t="inlineStr">
        <is>
          <t>STOCKHOLMS LÄN</t>
        </is>
      </c>
      <c r="E740" t="inlineStr">
        <is>
          <t>NORRTÄLJE</t>
        </is>
      </c>
      <c r="F740" t="inlineStr">
        <is>
          <t>Holmen skog AB</t>
        </is>
      </c>
      <c r="G740" t="n">
        <v>6.7</v>
      </c>
      <c r="H740" t="n">
        <v>0</v>
      </c>
      <c r="I740" t="n">
        <v>0</v>
      </c>
      <c r="J740" t="n">
        <v>0</v>
      </c>
      <c r="K740" t="n">
        <v>0</v>
      </c>
      <c r="L740" t="n">
        <v>0</v>
      </c>
      <c r="M740" t="n">
        <v>0</v>
      </c>
      <c r="N740" t="n">
        <v>0</v>
      </c>
      <c r="O740" t="n">
        <v>0</v>
      </c>
      <c r="P740" t="n">
        <v>0</v>
      </c>
      <c r="Q740" t="n">
        <v>0</v>
      </c>
      <c r="R740" s="2" t="inlineStr"/>
    </row>
    <row r="741" ht="15" customHeight="1">
      <c r="A741" t="inlineStr">
        <is>
          <t>A 41172-2023</t>
        </is>
      </c>
      <c r="B741" s="1" t="n">
        <v>45170</v>
      </c>
      <c r="C741" s="1" t="n">
        <v>45996</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73307-2021</t>
        </is>
      </c>
      <c r="B742" s="1" t="n">
        <v>44549</v>
      </c>
      <c r="C742" s="1" t="n">
        <v>45996</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48722-2023</t>
        </is>
      </c>
      <c r="B743" s="1" t="n">
        <v>45208.70996527778</v>
      </c>
      <c r="C743" s="1" t="n">
        <v>45996</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50534-2024</t>
        </is>
      </c>
      <c r="B744" s="1" t="n">
        <v>45601.56726851852</v>
      </c>
      <c r="C744" s="1" t="n">
        <v>45996</v>
      </c>
      <c r="D744" t="inlineStr">
        <is>
          <t>STOCKHOLMS LÄN</t>
        </is>
      </c>
      <c r="E744" t="inlineStr">
        <is>
          <t>NORRTÄLJE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35235-2024</t>
        </is>
      </c>
      <c r="B745" s="1" t="n">
        <v>45530</v>
      </c>
      <c r="C745" s="1" t="n">
        <v>45996</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13137-2024</t>
        </is>
      </c>
      <c r="B746" s="1" t="n">
        <v>45386.34175925926</v>
      </c>
      <c r="C746" s="1" t="n">
        <v>45996</v>
      </c>
      <c r="D746" t="inlineStr">
        <is>
          <t>STOCKHOLMS LÄN</t>
        </is>
      </c>
      <c r="E746" t="inlineStr">
        <is>
          <t>NORRTÄLJE</t>
        </is>
      </c>
      <c r="G746" t="n">
        <v>5</v>
      </c>
      <c r="H746" t="n">
        <v>0</v>
      </c>
      <c r="I746" t="n">
        <v>0</v>
      </c>
      <c r="J746" t="n">
        <v>0</v>
      </c>
      <c r="K746" t="n">
        <v>0</v>
      </c>
      <c r="L746" t="n">
        <v>0</v>
      </c>
      <c r="M746" t="n">
        <v>0</v>
      </c>
      <c r="N746" t="n">
        <v>0</v>
      </c>
      <c r="O746" t="n">
        <v>0</v>
      </c>
      <c r="P746" t="n">
        <v>0</v>
      </c>
      <c r="Q746" t="n">
        <v>0</v>
      </c>
      <c r="R746" s="2" t="inlineStr"/>
    </row>
    <row r="747" ht="15" customHeight="1">
      <c r="A747" t="inlineStr">
        <is>
          <t>A 1448-2023</t>
        </is>
      </c>
      <c r="B747" s="1" t="n">
        <v>44937</v>
      </c>
      <c r="C747" s="1" t="n">
        <v>45996</v>
      </c>
      <c r="D747" t="inlineStr">
        <is>
          <t>STOCKHOLMS LÄN</t>
        </is>
      </c>
      <c r="E747" t="inlineStr">
        <is>
          <t>NORRTÄLJE</t>
        </is>
      </c>
      <c r="G747" t="n">
        <v>1.9</v>
      </c>
      <c r="H747" t="n">
        <v>0</v>
      </c>
      <c r="I747" t="n">
        <v>0</v>
      </c>
      <c r="J747" t="n">
        <v>0</v>
      </c>
      <c r="K747" t="n">
        <v>0</v>
      </c>
      <c r="L747" t="n">
        <v>0</v>
      </c>
      <c r="M747" t="n">
        <v>0</v>
      </c>
      <c r="N747" t="n">
        <v>0</v>
      </c>
      <c r="O747" t="n">
        <v>0</v>
      </c>
      <c r="P747" t="n">
        <v>0</v>
      </c>
      <c r="Q747" t="n">
        <v>0</v>
      </c>
      <c r="R747" s="2" t="inlineStr"/>
    </row>
    <row r="748" ht="15" customHeight="1">
      <c r="A748" t="inlineStr">
        <is>
          <t>A 11988-2021</t>
        </is>
      </c>
      <c r="B748" s="1" t="n">
        <v>44266</v>
      </c>
      <c r="C748" s="1" t="n">
        <v>45996</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41259-2025</t>
        </is>
      </c>
      <c r="B749" s="1" t="n">
        <v>45898.61054398148</v>
      </c>
      <c r="C749" s="1" t="n">
        <v>45996</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12132-2021</t>
        </is>
      </c>
      <c r="B750" s="1" t="n">
        <v>44266</v>
      </c>
      <c r="C750" s="1" t="n">
        <v>45996</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24350-2025</t>
        </is>
      </c>
      <c r="B751" s="1" t="n">
        <v>45797.58350694444</v>
      </c>
      <c r="C751" s="1" t="n">
        <v>45996</v>
      </c>
      <c r="D751" t="inlineStr">
        <is>
          <t>STOCKHOLMS LÄN</t>
        </is>
      </c>
      <c r="E751" t="inlineStr">
        <is>
          <t>NORRTÄLJE</t>
        </is>
      </c>
      <c r="G751" t="n">
        <v>4.5</v>
      </c>
      <c r="H751" t="n">
        <v>0</v>
      </c>
      <c r="I751" t="n">
        <v>0</v>
      </c>
      <c r="J751" t="n">
        <v>0</v>
      </c>
      <c r="K751" t="n">
        <v>0</v>
      </c>
      <c r="L751" t="n">
        <v>0</v>
      </c>
      <c r="M751" t="n">
        <v>0</v>
      </c>
      <c r="N751" t="n">
        <v>0</v>
      </c>
      <c r="O751" t="n">
        <v>0</v>
      </c>
      <c r="P751" t="n">
        <v>0</v>
      </c>
      <c r="Q751" t="n">
        <v>0</v>
      </c>
      <c r="R751" s="2" t="inlineStr"/>
    </row>
    <row r="752" ht="15" customHeight="1">
      <c r="A752" t="inlineStr">
        <is>
          <t>A 26703-2025</t>
        </is>
      </c>
      <c r="B752" s="1" t="n">
        <v>45810.45263888889</v>
      </c>
      <c r="C752" s="1" t="n">
        <v>45996</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10511-2025</t>
        </is>
      </c>
      <c r="B753" s="1" t="n">
        <v>45721.40780092592</v>
      </c>
      <c r="C753" s="1" t="n">
        <v>45996</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8736-2024</t>
        </is>
      </c>
      <c r="B754" s="1" t="n">
        <v>45356.4722800926</v>
      </c>
      <c r="C754" s="1" t="n">
        <v>45996</v>
      </c>
      <c r="D754" t="inlineStr">
        <is>
          <t>STOCKHOLMS LÄN</t>
        </is>
      </c>
      <c r="E754" t="inlineStr">
        <is>
          <t>NORRTÄLJE</t>
        </is>
      </c>
      <c r="G754" t="n">
        <v>8.9</v>
      </c>
      <c r="H754" t="n">
        <v>0</v>
      </c>
      <c r="I754" t="n">
        <v>0</v>
      </c>
      <c r="J754" t="n">
        <v>0</v>
      </c>
      <c r="K754" t="n">
        <v>0</v>
      </c>
      <c r="L754" t="n">
        <v>0</v>
      </c>
      <c r="M754" t="n">
        <v>0</v>
      </c>
      <c r="N754" t="n">
        <v>0</v>
      </c>
      <c r="O754" t="n">
        <v>0</v>
      </c>
      <c r="P754" t="n">
        <v>0</v>
      </c>
      <c r="Q754" t="n">
        <v>0</v>
      </c>
      <c r="R754" s="2" t="inlineStr"/>
    </row>
    <row r="755" ht="15" customHeight="1">
      <c r="A755" t="inlineStr">
        <is>
          <t>A 65499-2021</t>
        </is>
      </c>
      <c r="B755" s="1" t="n">
        <v>44516</v>
      </c>
      <c r="C755" s="1" t="n">
        <v>45996</v>
      </c>
      <c r="D755" t="inlineStr">
        <is>
          <t>STOCKHOLMS LÄN</t>
        </is>
      </c>
      <c r="E755" t="inlineStr">
        <is>
          <t>NORRTÄLJE</t>
        </is>
      </c>
      <c r="F755" t="inlineStr">
        <is>
          <t>Kommuner</t>
        </is>
      </c>
      <c r="G755" t="n">
        <v>5.2</v>
      </c>
      <c r="H755" t="n">
        <v>0</v>
      </c>
      <c r="I755" t="n">
        <v>0</v>
      </c>
      <c r="J755" t="n">
        <v>0</v>
      </c>
      <c r="K755" t="n">
        <v>0</v>
      </c>
      <c r="L755" t="n">
        <v>0</v>
      </c>
      <c r="M755" t="n">
        <v>0</v>
      </c>
      <c r="N755" t="n">
        <v>0</v>
      </c>
      <c r="O755" t="n">
        <v>0</v>
      </c>
      <c r="P755" t="n">
        <v>0</v>
      </c>
      <c r="Q755" t="n">
        <v>0</v>
      </c>
      <c r="R755" s="2" t="inlineStr"/>
    </row>
    <row r="756" ht="15" customHeight="1">
      <c r="A756" t="inlineStr">
        <is>
          <t>A 65511-2021</t>
        </is>
      </c>
      <c r="B756" s="1" t="n">
        <v>44516.40674768519</v>
      </c>
      <c r="C756" s="1" t="n">
        <v>45996</v>
      </c>
      <c r="D756" t="inlineStr">
        <is>
          <t>STOCKHOLMS LÄN</t>
        </is>
      </c>
      <c r="E756" t="inlineStr">
        <is>
          <t>NORRTÄLJE</t>
        </is>
      </c>
      <c r="F756" t="inlineStr">
        <is>
          <t>Kommuner</t>
        </is>
      </c>
      <c r="G756" t="n">
        <v>2.8</v>
      </c>
      <c r="H756" t="n">
        <v>0</v>
      </c>
      <c r="I756" t="n">
        <v>0</v>
      </c>
      <c r="J756" t="n">
        <v>0</v>
      </c>
      <c r="K756" t="n">
        <v>0</v>
      </c>
      <c r="L756" t="n">
        <v>0</v>
      </c>
      <c r="M756" t="n">
        <v>0</v>
      </c>
      <c r="N756" t="n">
        <v>0</v>
      </c>
      <c r="O756" t="n">
        <v>0</v>
      </c>
      <c r="P756" t="n">
        <v>0</v>
      </c>
      <c r="Q756" t="n">
        <v>0</v>
      </c>
      <c r="R756" s="2" t="inlineStr"/>
    </row>
    <row r="757" ht="15" customHeight="1">
      <c r="A757" t="inlineStr">
        <is>
          <t>A 33149-2022</t>
        </is>
      </c>
      <c r="B757" s="1" t="n">
        <v>44785</v>
      </c>
      <c r="C757" s="1" t="n">
        <v>45996</v>
      </c>
      <c r="D757" t="inlineStr">
        <is>
          <t>STOCKHOLMS LÄN</t>
        </is>
      </c>
      <c r="E757" t="inlineStr">
        <is>
          <t>NORRTÄLJE</t>
        </is>
      </c>
      <c r="F757" t="inlineStr">
        <is>
          <t>Holmen skog AB</t>
        </is>
      </c>
      <c r="G757" t="n">
        <v>4.4</v>
      </c>
      <c r="H757" t="n">
        <v>0</v>
      </c>
      <c r="I757" t="n">
        <v>0</v>
      </c>
      <c r="J757" t="n">
        <v>0</v>
      </c>
      <c r="K757" t="n">
        <v>0</v>
      </c>
      <c r="L757" t="n">
        <v>0</v>
      </c>
      <c r="M757" t="n">
        <v>0</v>
      </c>
      <c r="N757" t="n">
        <v>0</v>
      </c>
      <c r="O757" t="n">
        <v>0</v>
      </c>
      <c r="P757" t="n">
        <v>0</v>
      </c>
      <c r="Q757" t="n">
        <v>0</v>
      </c>
      <c r="R757" s="2" t="inlineStr"/>
    </row>
    <row r="758" ht="15" customHeight="1">
      <c r="A758" t="inlineStr">
        <is>
          <t>A 22833-2024</t>
        </is>
      </c>
      <c r="B758" s="1" t="n">
        <v>45448.56746527777</v>
      </c>
      <c r="C758" s="1" t="n">
        <v>45996</v>
      </c>
      <c r="D758" t="inlineStr">
        <is>
          <t>STOCKHOLMS LÄN</t>
        </is>
      </c>
      <c r="E758" t="inlineStr">
        <is>
          <t>NORRTÄLJE</t>
        </is>
      </c>
      <c r="G758" t="n">
        <v>0.8</v>
      </c>
      <c r="H758" t="n">
        <v>0</v>
      </c>
      <c r="I758" t="n">
        <v>0</v>
      </c>
      <c r="J758" t="n">
        <v>0</v>
      </c>
      <c r="K758" t="n">
        <v>0</v>
      </c>
      <c r="L758" t="n">
        <v>0</v>
      </c>
      <c r="M758" t="n">
        <v>0</v>
      </c>
      <c r="N758" t="n">
        <v>0</v>
      </c>
      <c r="O758" t="n">
        <v>0</v>
      </c>
      <c r="P758" t="n">
        <v>0</v>
      </c>
      <c r="Q758" t="n">
        <v>0</v>
      </c>
      <c r="R758" s="2" t="inlineStr"/>
    </row>
    <row r="759" ht="15" customHeight="1">
      <c r="A759" t="inlineStr">
        <is>
          <t>A 38153-2025</t>
        </is>
      </c>
      <c r="B759" s="1" t="n">
        <v>45882.59722222222</v>
      </c>
      <c r="C759" s="1" t="n">
        <v>45996</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32514-2022</t>
        </is>
      </c>
      <c r="B760" s="1" t="n">
        <v>44782</v>
      </c>
      <c r="C760" s="1" t="n">
        <v>45996</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29362-2022</t>
        </is>
      </c>
      <c r="B761" s="1" t="n">
        <v>44753</v>
      </c>
      <c r="C761" s="1" t="n">
        <v>45996</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22816-2021</t>
        </is>
      </c>
      <c r="B762" s="1" t="n">
        <v>44325</v>
      </c>
      <c r="C762" s="1" t="n">
        <v>45996</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19057-2024</t>
        </is>
      </c>
      <c r="B763" s="1" t="n">
        <v>45427.88731481481</v>
      </c>
      <c r="C763" s="1" t="n">
        <v>45996</v>
      </c>
      <c r="D763" t="inlineStr">
        <is>
          <t>STOCKHOLMS LÄN</t>
        </is>
      </c>
      <c r="E763" t="inlineStr">
        <is>
          <t>NORRTÄLJE</t>
        </is>
      </c>
      <c r="G763" t="n">
        <v>3</v>
      </c>
      <c r="H763" t="n">
        <v>0</v>
      </c>
      <c r="I763" t="n">
        <v>0</v>
      </c>
      <c r="J763" t="n">
        <v>0</v>
      </c>
      <c r="K763" t="n">
        <v>0</v>
      </c>
      <c r="L763" t="n">
        <v>0</v>
      </c>
      <c r="M763" t="n">
        <v>0</v>
      </c>
      <c r="N763" t="n">
        <v>0</v>
      </c>
      <c r="O763" t="n">
        <v>0</v>
      </c>
      <c r="P763" t="n">
        <v>0</v>
      </c>
      <c r="Q763" t="n">
        <v>0</v>
      </c>
      <c r="R763" s="2" t="inlineStr"/>
    </row>
    <row r="764" ht="15" customHeight="1">
      <c r="A764" t="inlineStr">
        <is>
          <t>A 58492-2022</t>
        </is>
      </c>
      <c r="B764" s="1" t="n">
        <v>44902</v>
      </c>
      <c r="C764" s="1" t="n">
        <v>45996</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51315-2021</t>
        </is>
      </c>
      <c r="B765" s="1" t="n">
        <v>44461</v>
      </c>
      <c r="C765" s="1" t="n">
        <v>45996</v>
      </c>
      <c r="D765" t="inlineStr">
        <is>
          <t>STOCKHOLMS LÄN</t>
        </is>
      </c>
      <c r="E765" t="inlineStr">
        <is>
          <t>NORRTÄLJE</t>
        </is>
      </c>
      <c r="F765" t="inlineStr">
        <is>
          <t>Holmen skog AB</t>
        </is>
      </c>
      <c r="G765" t="n">
        <v>2.2</v>
      </c>
      <c r="H765" t="n">
        <v>0</v>
      </c>
      <c r="I765" t="n">
        <v>0</v>
      </c>
      <c r="J765" t="n">
        <v>0</v>
      </c>
      <c r="K765" t="n">
        <v>0</v>
      </c>
      <c r="L765" t="n">
        <v>0</v>
      </c>
      <c r="M765" t="n">
        <v>0</v>
      </c>
      <c r="N765" t="n">
        <v>0</v>
      </c>
      <c r="O765" t="n">
        <v>0</v>
      </c>
      <c r="P765" t="n">
        <v>0</v>
      </c>
      <c r="Q765" t="n">
        <v>0</v>
      </c>
      <c r="R765" s="2" t="inlineStr"/>
    </row>
    <row r="766" ht="15" customHeight="1">
      <c r="A766" t="inlineStr">
        <is>
          <t>A 14873-2025</t>
        </is>
      </c>
      <c r="B766" s="1" t="n">
        <v>45743.44953703704</v>
      </c>
      <c r="C766" s="1" t="n">
        <v>45996</v>
      </c>
      <c r="D766" t="inlineStr">
        <is>
          <t>STOCKHOLMS LÄN</t>
        </is>
      </c>
      <c r="E766" t="inlineStr">
        <is>
          <t>NORRTÄLJE</t>
        </is>
      </c>
      <c r="G766" t="n">
        <v>10.2</v>
      </c>
      <c r="H766" t="n">
        <v>0</v>
      </c>
      <c r="I766" t="n">
        <v>0</v>
      </c>
      <c r="J766" t="n">
        <v>0</v>
      </c>
      <c r="K766" t="n">
        <v>0</v>
      </c>
      <c r="L766" t="n">
        <v>0</v>
      </c>
      <c r="M766" t="n">
        <v>0</v>
      </c>
      <c r="N766" t="n">
        <v>0</v>
      </c>
      <c r="O766" t="n">
        <v>0</v>
      </c>
      <c r="P766" t="n">
        <v>0</v>
      </c>
      <c r="Q766" t="n">
        <v>0</v>
      </c>
      <c r="R766" s="2" t="inlineStr"/>
    </row>
    <row r="767" ht="15" customHeight="1">
      <c r="A767" t="inlineStr">
        <is>
          <t>A 34773-2022</t>
        </is>
      </c>
      <c r="B767" s="1" t="n">
        <v>44795</v>
      </c>
      <c r="C767" s="1" t="n">
        <v>45996</v>
      </c>
      <c r="D767" t="inlineStr">
        <is>
          <t>STOCKHOLMS LÄN</t>
        </is>
      </c>
      <c r="E767" t="inlineStr">
        <is>
          <t>NORRTÄLJE</t>
        </is>
      </c>
      <c r="G767" t="n">
        <v>3.9</v>
      </c>
      <c r="H767" t="n">
        <v>0</v>
      </c>
      <c r="I767" t="n">
        <v>0</v>
      </c>
      <c r="J767" t="n">
        <v>0</v>
      </c>
      <c r="K767" t="n">
        <v>0</v>
      </c>
      <c r="L767" t="n">
        <v>0</v>
      </c>
      <c r="M767" t="n">
        <v>0</v>
      </c>
      <c r="N767" t="n">
        <v>0</v>
      </c>
      <c r="O767" t="n">
        <v>0</v>
      </c>
      <c r="P767" t="n">
        <v>0</v>
      </c>
      <c r="Q767" t="n">
        <v>0</v>
      </c>
      <c r="R767" s="2" t="inlineStr"/>
    </row>
    <row r="768" ht="15" customHeight="1">
      <c r="A768" t="inlineStr">
        <is>
          <t>A 41966-2025</t>
        </is>
      </c>
      <c r="B768" s="1" t="n">
        <v>45903.47456018518</v>
      </c>
      <c r="C768" s="1" t="n">
        <v>45996</v>
      </c>
      <c r="D768" t="inlineStr">
        <is>
          <t>STOCKHOLMS LÄN</t>
        </is>
      </c>
      <c r="E768" t="inlineStr">
        <is>
          <t>NORRTÄLJE</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33173-2024</t>
        </is>
      </c>
      <c r="B769" s="1" t="n">
        <v>45518</v>
      </c>
      <c r="C769" s="1" t="n">
        <v>45996</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42038-2025</t>
        </is>
      </c>
      <c r="B770" s="1" t="n">
        <v>45903.61431712963</v>
      </c>
      <c r="C770" s="1" t="n">
        <v>45996</v>
      </c>
      <c r="D770" t="inlineStr">
        <is>
          <t>STOCKHOLMS LÄN</t>
        </is>
      </c>
      <c r="E770" t="inlineStr">
        <is>
          <t>NORRTÄLJE</t>
        </is>
      </c>
      <c r="F770" t="inlineStr">
        <is>
          <t>Sveaskog</t>
        </is>
      </c>
      <c r="G770" t="n">
        <v>6.4</v>
      </c>
      <c r="H770" t="n">
        <v>0</v>
      </c>
      <c r="I770" t="n">
        <v>0</v>
      </c>
      <c r="J770" t="n">
        <v>0</v>
      </c>
      <c r="K770" t="n">
        <v>0</v>
      </c>
      <c r="L770" t="n">
        <v>0</v>
      </c>
      <c r="M770" t="n">
        <v>0</v>
      </c>
      <c r="N770" t="n">
        <v>0</v>
      </c>
      <c r="O770" t="n">
        <v>0</v>
      </c>
      <c r="P770" t="n">
        <v>0</v>
      </c>
      <c r="Q770" t="n">
        <v>0</v>
      </c>
      <c r="R770" s="2" t="inlineStr"/>
    </row>
    <row r="771" ht="15" customHeight="1">
      <c r="A771" t="inlineStr">
        <is>
          <t>A 6537-2024</t>
        </is>
      </c>
      <c r="B771" s="1" t="n">
        <v>45341.39853009259</v>
      </c>
      <c r="C771" s="1" t="n">
        <v>45996</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40175-2024</t>
        </is>
      </c>
      <c r="B772" s="1" t="n">
        <v>45554.55707175926</v>
      </c>
      <c r="C772" s="1" t="n">
        <v>45996</v>
      </c>
      <c r="D772" t="inlineStr">
        <is>
          <t>STOCKHOLMS LÄN</t>
        </is>
      </c>
      <c r="E772" t="inlineStr">
        <is>
          <t>NORRTÄLJE</t>
        </is>
      </c>
      <c r="G772" t="n">
        <v>7.7</v>
      </c>
      <c r="H772" t="n">
        <v>0</v>
      </c>
      <c r="I772" t="n">
        <v>0</v>
      </c>
      <c r="J772" t="n">
        <v>0</v>
      </c>
      <c r="K772" t="n">
        <v>0</v>
      </c>
      <c r="L772" t="n">
        <v>0</v>
      </c>
      <c r="M772" t="n">
        <v>0</v>
      </c>
      <c r="N772" t="n">
        <v>0</v>
      </c>
      <c r="O772" t="n">
        <v>0</v>
      </c>
      <c r="P772" t="n">
        <v>0</v>
      </c>
      <c r="Q772" t="n">
        <v>0</v>
      </c>
      <c r="R772" s="2" t="inlineStr"/>
    </row>
    <row r="773" ht="15" customHeight="1">
      <c r="A773" t="inlineStr">
        <is>
          <t>A 54558-2024</t>
        </is>
      </c>
      <c r="B773" s="1" t="n">
        <v>45617.62358796296</v>
      </c>
      <c r="C773" s="1" t="n">
        <v>45996</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23056-2023</t>
        </is>
      </c>
      <c r="B774" s="1" t="n">
        <v>45075</v>
      </c>
      <c r="C774" s="1" t="n">
        <v>45996</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67393-2020</t>
        </is>
      </c>
      <c r="B775" s="1" t="n">
        <v>44181</v>
      </c>
      <c r="C775" s="1" t="n">
        <v>45996</v>
      </c>
      <c r="D775" t="inlineStr">
        <is>
          <t>STOCKHOLMS LÄN</t>
        </is>
      </c>
      <c r="E775" t="inlineStr">
        <is>
          <t>NORRTÄLJE</t>
        </is>
      </c>
      <c r="G775" t="n">
        <v>5.5</v>
      </c>
      <c r="H775" t="n">
        <v>0</v>
      </c>
      <c r="I775" t="n">
        <v>0</v>
      </c>
      <c r="J775" t="n">
        <v>0</v>
      </c>
      <c r="K775" t="n">
        <v>0</v>
      </c>
      <c r="L775" t="n">
        <v>0</v>
      </c>
      <c r="M775" t="n">
        <v>0</v>
      </c>
      <c r="N775" t="n">
        <v>0</v>
      </c>
      <c r="O775" t="n">
        <v>0</v>
      </c>
      <c r="P775" t="n">
        <v>0</v>
      </c>
      <c r="Q775" t="n">
        <v>0</v>
      </c>
      <c r="R775" s="2" t="inlineStr"/>
    </row>
    <row r="776" ht="15" customHeight="1">
      <c r="A776" t="inlineStr">
        <is>
          <t>A 47431-2023</t>
        </is>
      </c>
      <c r="B776" s="1" t="n">
        <v>45202</v>
      </c>
      <c r="C776" s="1" t="n">
        <v>45996</v>
      </c>
      <c r="D776" t="inlineStr">
        <is>
          <t>STOCKHOLMS LÄN</t>
        </is>
      </c>
      <c r="E776" t="inlineStr">
        <is>
          <t>NORRTÄLJE</t>
        </is>
      </c>
      <c r="F776" t="inlineStr">
        <is>
          <t>Naturvårdsverket</t>
        </is>
      </c>
      <c r="G776" t="n">
        <v>1.2</v>
      </c>
      <c r="H776" t="n">
        <v>0</v>
      </c>
      <c r="I776" t="n">
        <v>0</v>
      </c>
      <c r="J776" t="n">
        <v>0</v>
      </c>
      <c r="K776" t="n">
        <v>0</v>
      </c>
      <c r="L776" t="n">
        <v>0</v>
      </c>
      <c r="M776" t="n">
        <v>0</v>
      </c>
      <c r="N776" t="n">
        <v>0</v>
      </c>
      <c r="O776" t="n">
        <v>0</v>
      </c>
      <c r="P776" t="n">
        <v>0</v>
      </c>
      <c r="Q776" t="n">
        <v>0</v>
      </c>
      <c r="R776" s="2" t="inlineStr"/>
    </row>
    <row r="777" ht="15" customHeight="1">
      <c r="A777" t="inlineStr">
        <is>
          <t>A 59499-2023</t>
        </is>
      </c>
      <c r="B777" s="1" t="n">
        <v>45254</v>
      </c>
      <c r="C777" s="1" t="n">
        <v>45996</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59468-2023</t>
        </is>
      </c>
      <c r="B778" s="1" t="n">
        <v>45254.41509259259</v>
      </c>
      <c r="C778" s="1" t="n">
        <v>45996</v>
      </c>
      <c r="D778" t="inlineStr">
        <is>
          <t>STOCKHOLMS LÄN</t>
        </is>
      </c>
      <c r="E778" t="inlineStr">
        <is>
          <t>NORRTÄLJE</t>
        </is>
      </c>
      <c r="G778" t="n">
        <v>1.7</v>
      </c>
      <c r="H778" t="n">
        <v>0</v>
      </c>
      <c r="I778" t="n">
        <v>0</v>
      </c>
      <c r="J778" t="n">
        <v>0</v>
      </c>
      <c r="K778" t="n">
        <v>0</v>
      </c>
      <c r="L778" t="n">
        <v>0</v>
      </c>
      <c r="M778" t="n">
        <v>0</v>
      </c>
      <c r="N778" t="n">
        <v>0</v>
      </c>
      <c r="O778" t="n">
        <v>0</v>
      </c>
      <c r="P778" t="n">
        <v>0</v>
      </c>
      <c r="Q778" t="n">
        <v>0</v>
      </c>
      <c r="R778" s="2" t="inlineStr"/>
    </row>
    <row r="779" ht="15" customHeight="1">
      <c r="A779" t="inlineStr">
        <is>
          <t>A 41964-2025</t>
        </is>
      </c>
      <c r="B779" s="1" t="n">
        <v>45903.47270833333</v>
      </c>
      <c r="C779" s="1" t="n">
        <v>45996</v>
      </c>
      <c r="D779" t="inlineStr">
        <is>
          <t>STOCKHOLMS LÄN</t>
        </is>
      </c>
      <c r="E779" t="inlineStr">
        <is>
          <t>NORRTÄLJE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12532-2025</t>
        </is>
      </c>
      <c r="B780" s="1" t="n">
        <v>45730.69143518519</v>
      </c>
      <c r="C780" s="1" t="n">
        <v>45996</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5732-2023</t>
        </is>
      </c>
      <c r="B781" s="1" t="n">
        <v>44962</v>
      </c>
      <c r="C781" s="1" t="n">
        <v>45996</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4484-2025</t>
        </is>
      </c>
      <c r="B782" s="1" t="n">
        <v>45686.65545138889</v>
      </c>
      <c r="C782" s="1" t="n">
        <v>45996</v>
      </c>
      <c r="D782" t="inlineStr">
        <is>
          <t>STOCKHOLMS LÄN</t>
        </is>
      </c>
      <c r="E782" t="inlineStr">
        <is>
          <t>NORRTÄLJE</t>
        </is>
      </c>
      <c r="G782" t="n">
        <v>1.9</v>
      </c>
      <c r="H782" t="n">
        <v>0</v>
      </c>
      <c r="I782" t="n">
        <v>0</v>
      </c>
      <c r="J782" t="n">
        <v>0</v>
      </c>
      <c r="K782" t="n">
        <v>0</v>
      </c>
      <c r="L782" t="n">
        <v>0</v>
      </c>
      <c r="M782" t="n">
        <v>0</v>
      </c>
      <c r="N782" t="n">
        <v>0</v>
      </c>
      <c r="O782" t="n">
        <v>0</v>
      </c>
      <c r="P782" t="n">
        <v>0</v>
      </c>
      <c r="Q782" t="n">
        <v>0</v>
      </c>
      <c r="R782" s="2" t="inlineStr"/>
    </row>
    <row r="783" ht="15" customHeight="1">
      <c r="A783" t="inlineStr">
        <is>
          <t>A 10653-2022</t>
        </is>
      </c>
      <c r="B783" s="1" t="n">
        <v>44624.59434027778</v>
      </c>
      <c r="C783" s="1" t="n">
        <v>45996</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33878-2024</t>
        </is>
      </c>
      <c r="B784" s="1" t="n">
        <v>45522.44414351852</v>
      </c>
      <c r="C784" s="1" t="n">
        <v>45996</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21729-2024</t>
        </is>
      </c>
      <c r="B785" s="1" t="n">
        <v>45442</v>
      </c>
      <c r="C785" s="1" t="n">
        <v>45996</v>
      </c>
      <c r="D785" t="inlineStr">
        <is>
          <t>STOCKHOLMS LÄN</t>
        </is>
      </c>
      <c r="E785" t="inlineStr">
        <is>
          <t>NORRTÄLJE</t>
        </is>
      </c>
      <c r="G785" t="n">
        <v>2.2</v>
      </c>
      <c r="H785" t="n">
        <v>0</v>
      </c>
      <c r="I785" t="n">
        <v>0</v>
      </c>
      <c r="J785" t="n">
        <v>0</v>
      </c>
      <c r="K785" t="n">
        <v>0</v>
      </c>
      <c r="L785" t="n">
        <v>0</v>
      </c>
      <c r="M785" t="n">
        <v>0</v>
      </c>
      <c r="N785" t="n">
        <v>0</v>
      </c>
      <c r="O785" t="n">
        <v>0</v>
      </c>
      <c r="P785" t="n">
        <v>0</v>
      </c>
      <c r="Q785" t="n">
        <v>0</v>
      </c>
      <c r="R785" s="2" t="inlineStr"/>
    </row>
    <row r="786" ht="15" customHeight="1">
      <c r="A786" t="inlineStr">
        <is>
          <t>A 9246-2024</t>
        </is>
      </c>
      <c r="B786" s="1" t="n">
        <v>45357</v>
      </c>
      <c r="C786" s="1" t="n">
        <v>45996</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35698-2023</t>
        </is>
      </c>
      <c r="B787" s="1" t="n">
        <v>45147</v>
      </c>
      <c r="C787" s="1" t="n">
        <v>45996</v>
      </c>
      <c r="D787" t="inlineStr">
        <is>
          <t>STOCKHOLMS LÄN</t>
        </is>
      </c>
      <c r="E787" t="inlineStr">
        <is>
          <t>NORRTÄLJE</t>
        </is>
      </c>
      <c r="G787" t="n">
        <v>2.1</v>
      </c>
      <c r="H787" t="n">
        <v>0</v>
      </c>
      <c r="I787" t="n">
        <v>0</v>
      </c>
      <c r="J787" t="n">
        <v>0</v>
      </c>
      <c r="K787" t="n">
        <v>0</v>
      </c>
      <c r="L787" t="n">
        <v>0</v>
      </c>
      <c r="M787" t="n">
        <v>0</v>
      </c>
      <c r="N787" t="n">
        <v>0</v>
      </c>
      <c r="O787" t="n">
        <v>0</v>
      </c>
      <c r="P787" t="n">
        <v>0</v>
      </c>
      <c r="Q787" t="n">
        <v>0</v>
      </c>
      <c r="R787" s="2" t="inlineStr"/>
    </row>
    <row r="788" ht="15" customHeight="1">
      <c r="A788" t="inlineStr">
        <is>
          <t>A 62398-2022</t>
        </is>
      </c>
      <c r="B788" s="1" t="n">
        <v>44923.90159722222</v>
      </c>
      <c r="C788" s="1" t="n">
        <v>45996</v>
      </c>
      <c r="D788" t="inlineStr">
        <is>
          <t>STOCKHOLMS LÄN</t>
        </is>
      </c>
      <c r="E788" t="inlineStr">
        <is>
          <t>NORRTÄLJE</t>
        </is>
      </c>
      <c r="G788" t="n">
        <v>4</v>
      </c>
      <c r="H788" t="n">
        <v>0</v>
      </c>
      <c r="I788" t="n">
        <v>0</v>
      </c>
      <c r="J788" t="n">
        <v>0</v>
      </c>
      <c r="K788" t="n">
        <v>0</v>
      </c>
      <c r="L788" t="n">
        <v>0</v>
      </c>
      <c r="M788" t="n">
        <v>0</v>
      </c>
      <c r="N788" t="n">
        <v>0</v>
      </c>
      <c r="O788" t="n">
        <v>0</v>
      </c>
      <c r="P788" t="n">
        <v>0</v>
      </c>
      <c r="Q788" t="n">
        <v>0</v>
      </c>
      <c r="R788" s="2" t="inlineStr"/>
    </row>
    <row r="789" ht="15" customHeight="1">
      <c r="A789" t="inlineStr">
        <is>
          <t>A 11854-2025</t>
        </is>
      </c>
      <c r="B789" s="1" t="n">
        <v>45728.38924768518</v>
      </c>
      <c r="C789" s="1" t="n">
        <v>45996</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14762-2024</t>
        </is>
      </c>
      <c r="B790" s="1" t="n">
        <v>45397</v>
      </c>
      <c r="C790" s="1" t="n">
        <v>45996</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49700-2023</t>
        </is>
      </c>
      <c r="B791" s="1" t="n">
        <v>45212</v>
      </c>
      <c r="C791" s="1" t="n">
        <v>45996</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32071-2023</t>
        </is>
      </c>
      <c r="B792" s="1" t="n">
        <v>45119.57728009259</v>
      </c>
      <c r="C792" s="1" t="n">
        <v>45996</v>
      </c>
      <c r="D792" t="inlineStr">
        <is>
          <t>STOCKHOLMS LÄN</t>
        </is>
      </c>
      <c r="E792" t="inlineStr">
        <is>
          <t>NORRTÄLJE</t>
        </is>
      </c>
      <c r="G792" t="n">
        <v>6.5</v>
      </c>
      <c r="H792" t="n">
        <v>0</v>
      </c>
      <c r="I792" t="n">
        <v>0</v>
      </c>
      <c r="J792" t="n">
        <v>0</v>
      </c>
      <c r="K792" t="n">
        <v>0</v>
      </c>
      <c r="L792" t="n">
        <v>0</v>
      </c>
      <c r="M792" t="n">
        <v>0</v>
      </c>
      <c r="N792" t="n">
        <v>0</v>
      </c>
      <c r="O792" t="n">
        <v>0</v>
      </c>
      <c r="P792" t="n">
        <v>0</v>
      </c>
      <c r="Q792" t="n">
        <v>0</v>
      </c>
      <c r="R792" s="2" t="inlineStr"/>
    </row>
    <row r="793" ht="15" customHeight="1">
      <c r="A793" t="inlineStr">
        <is>
          <t>A 1425-2025</t>
        </is>
      </c>
      <c r="B793" s="1" t="n">
        <v>45668.67446759259</v>
      </c>
      <c r="C793" s="1" t="n">
        <v>45996</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17775-2022</t>
        </is>
      </c>
      <c r="B794" s="1" t="n">
        <v>44682.78430555556</v>
      </c>
      <c r="C794" s="1" t="n">
        <v>45996</v>
      </c>
      <c r="D794" t="inlineStr">
        <is>
          <t>STOCKHOLMS LÄN</t>
        </is>
      </c>
      <c r="E794" t="inlineStr">
        <is>
          <t>NORRTÄLJE</t>
        </is>
      </c>
      <c r="G794" t="n">
        <v>4.7</v>
      </c>
      <c r="H794" t="n">
        <v>0</v>
      </c>
      <c r="I794" t="n">
        <v>0</v>
      </c>
      <c r="J794" t="n">
        <v>0</v>
      </c>
      <c r="K794" t="n">
        <v>0</v>
      </c>
      <c r="L794" t="n">
        <v>0</v>
      </c>
      <c r="M794" t="n">
        <v>0</v>
      </c>
      <c r="N794" t="n">
        <v>0</v>
      </c>
      <c r="O794" t="n">
        <v>0</v>
      </c>
      <c r="P794" t="n">
        <v>0</v>
      </c>
      <c r="Q794" t="n">
        <v>0</v>
      </c>
      <c r="R794" s="2" t="inlineStr"/>
    </row>
    <row r="795" ht="15" customHeight="1">
      <c r="A795" t="inlineStr">
        <is>
          <t>A 30699-2025</t>
        </is>
      </c>
      <c r="B795" s="1" t="n">
        <v>45831.54618055555</v>
      </c>
      <c r="C795" s="1" t="n">
        <v>45996</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38720-2022</t>
        </is>
      </c>
      <c r="B796" s="1" t="n">
        <v>44815.74539351852</v>
      </c>
      <c r="C796" s="1" t="n">
        <v>45996</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59712-2024</t>
        </is>
      </c>
      <c r="B797" s="1" t="n">
        <v>45639.45166666667</v>
      </c>
      <c r="C797" s="1" t="n">
        <v>45996</v>
      </c>
      <c r="D797" t="inlineStr">
        <is>
          <t>STOCKHOLMS LÄN</t>
        </is>
      </c>
      <c r="E797" t="inlineStr">
        <is>
          <t>NORRTÄLJE</t>
        </is>
      </c>
      <c r="G797" t="n">
        <v>4.4</v>
      </c>
      <c r="H797" t="n">
        <v>0</v>
      </c>
      <c r="I797" t="n">
        <v>0</v>
      </c>
      <c r="J797" t="n">
        <v>0</v>
      </c>
      <c r="K797" t="n">
        <v>0</v>
      </c>
      <c r="L797" t="n">
        <v>0</v>
      </c>
      <c r="M797" t="n">
        <v>0</v>
      </c>
      <c r="N797" t="n">
        <v>0</v>
      </c>
      <c r="O797" t="n">
        <v>0</v>
      </c>
      <c r="P797" t="n">
        <v>0</v>
      </c>
      <c r="Q797" t="n">
        <v>0</v>
      </c>
      <c r="R797" s="2" t="inlineStr"/>
    </row>
    <row r="798" ht="15" customHeight="1">
      <c r="A798" t="inlineStr">
        <is>
          <t>A 10215-2023</t>
        </is>
      </c>
      <c r="B798" s="1" t="n">
        <v>44986.5887962963</v>
      </c>
      <c r="C798" s="1" t="n">
        <v>45996</v>
      </c>
      <c r="D798" t="inlineStr">
        <is>
          <t>STOCKHOLMS LÄN</t>
        </is>
      </c>
      <c r="E798" t="inlineStr">
        <is>
          <t>NORRTÄLJE</t>
        </is>
      </c>
      <c r="G798" t="n">
        <v>6.5</v>
      </c>
      <c r="H798" t="n">
        <v>0</v>
      </c>
      <c r="I798" t="n">
        <v>0</v>
      </c>
      <c r="J798" t="n">
        <v>0</v>
      </c>
      <c r="K798" t="n">
        <v>0</v>
      </c>
      <c r="L798" t="n">
        <v>0</v>
      </c>
      <c r="M798" t="n">
        <v>0</v>
      </c>
      <c r="N798" t="n">
        <v>0</v>
      </c>
      <c r="O798" t="n">
        <v>0</v>
      </c>
      <c r="P798" t="n">
        <v>0</v>
      </c>
      <c r="Q798" t="n">
        <v>0</v>
      </c>
      <c r="R798" s="2" t="inlineStr"/>
    </row>
    <row r="799" ht="15" customHeight="1">
      <c r="A799" t="inlineStr">
        <is>
          <t>A 25609-2023</t>
        </is>
      </c>
      <c r="B799" s="1" t="n">
        <v>45089</v>
      </c>
      <c r="C799" s="1" t="n">
        <v>45996</v>
      </c>
      <c r="D799" t="inlineStr">
        <is>
          <t>STOCKHOLMS LÄN</t>
        </is>
      </c>
      <c r="E799" t="inlineStr">
        <is>
          <t>NORRTÄLJE</t>
        </is>
      </c>
      <c r="G799" t="n">
        <v>2.5</v>
      </c>
      <c r="H799" t="n">
        <v>0</v>
      </c>
      <c r="I799" t="n">
        <v>0</v>
      </c>
      <c r="J799" t="n">
        <v>0</v>
      </c>
      <c r="K799" t="n">
        <v>0</v>
      </c>
      <c r="L799" t="n">
        <v>0</v>
      </c>
      <c r="M799" t="n">
        <v>0</v>
      </c>
      <c r="N799" t="n">
        <v>0</v>
      </c>
      <c r="O799" t="n">
        <v>0</v>
      </c>
      <c r="P799" t="n">
        <v>0</v>
      </c>
      <c r="Q799" t="n">
        <v>0</v>
      </c>
      <c r="R799" s="2" t="inlineStr"/>
    </row>
    <row r="800" ht="15" customHeight="1">
      <c r="A800" t="inlineStr">
        <is>
          <t>A 35127-2023</t>
        </is>
      </c>
      <c r="B800" s="1" t="n">
        <v>45145.51</v>
      </c>
      <c r="C800" s="1" t="n">
        <v>45996</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20014-2025</t>
        </is>
      </c>
      <c r="B801" s="1" t="n">
        <v>45772.3078125</v>
      </c>
      <c r="C801" s="1" t="n">
        <v>45996</v>
      </c>
      <c r="D801" t="inlineStr">
        <is>
          <t>STOCKHOLMS LÄN</t>
        </is>
      </c>
      <c r="E801" t="inlineStr">
        <is>
          <t>NORRTÄLJE</t>
        </is>
      </c>
      <c r="G801" t="n">
        <v>4.4</v>
      </c>
      <c r="H801" t="n">
        <v>0</v>
      </c>
      <c r="I801" t="n">
        <v>0</v>
      </c>
      <c r="J801" t="n">
        <v>0</v>
      </c>
      <c r="K801" t="n">
        <v>0</v>
      </c>
      <c r="L801" t="n">
        <v>0</v>
      </c>
      <c r="M801" t="n">
        <v>0</v>
      </c>
      <c r="N801" t="n">
        <v>0</v>
      </c>
      <c r="O801" t="n">
        <v>0</v>
      </c>
      <c r="P801" t="n">
        <v>0</v>
      </c>
      <c r="Q801" t="n">
        <v>0</v>
      </c>
      <c r="R801" s="2" t="inlineStr"/>
    </row>
    <row r="802" ht="15" customHeight="1">
      <c r="A802" t="inlineStr">
        <is>
          <t>A 20136-2025</t>
        </is>
      </c>
      <c r="B802" s="1" t="n">
        <v>45772.51127314815</v>
      </c>
      <c r="C802" s="1" t="n">
        <v>45996</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20011-2025</t>
        </is>
      </c>
      <c r="B803" s="1" t="n">
        <v>45772.29622685185</v>
      </c>
      <c r="C803" s="1" t="n">
        <v>45996</v>
      </c>
      <c r="D803" t="inlineStr">
        <is>
          <t>STOCKHOLMS LÄN</t>
        </is>
      </c>
      <c r="E803" t="inlineStr">
        <is>
          <t>NORRTÄLJE</t>
        </is>
      </c>
      <c r="G803" t="n">
        <v>3.5</v>
      </c>
      <c r="H803" t="n">
        <v>0</v>
      </c>
      <c r="I803" t="n">
        <v>0</v>
      </c>
      <c r="J803" t="n">
        <v>0</v>
      </c>
      <c r="K803" t="n">
        <v>0</v>
      </c>
      <c r="L803" t="n">
        <v>0</v>
      </c>
      <c r="M803" t="n">
        <v>0</v>
      </c>
      <c r="N803" t="n">
        <v>0</v>
      </c>
      <c r="O803" t="n">
        <v>0</v>
      </c>
      <c r="P803" t="n">
        <v>0</v>
      </c>
      <c r="Q803" t="n">
        <v>0</v>
      </c>
      <c r="R803" s="2" t="inlineStr"/>
    </row>
    <row r="804" ht="15" customHeight="1">
      <c r="A804" t="inlineStr">
        <is>
          <t>A 45255-2022</t>
        </is>
      </c>
      <c r="B804" s="1" t="n">
        <v>44840</v>
      </c>
      <c r="C804" s="1" t="n">
        <v>45996</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42856-2025</t>
        </is>
      </c>
      <c r="B805" s="1" t="n">
        <v>45908</v>
      </c>
      <c r="C805" s="1" t="n">
        <v>45996</v>
      </c>
      <c r="D805" t="inlineStr">
        <is>
          <t>STOCKHOLMS LÄN</t>
        </is>
      </c>
      <c r="E805" t="inlineStr">
        <is>
          <t>NORRTÄLJE</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59893-2022</t>
        </is>
      </c>
      <c r="B806" s="1" t="n">
        <v>44908.77368055555</v>
      </c>
      <c r="C806" s="1" t="n">
        <v>45996</v>
      </c>
      <c r="D806" t="inlineStr">
        <is>
          <t>STOCKHOLMS LÄN</t>
        </is>
      </c>
      <c r="E806" t="inlineStr">
        <is>
          <t>NORRTÄLJE</t>
        </is>
      </c>
      <c r="G806" t="n">
        <v>3</v>
      </c>
      <c r="H806" t="n">
        <v>0</v>
      </c>
      <c r="I806" t="n">
        <v>0</v>
      </c>
      <c r="J806" t="n">
        <v>0</v>
      </c>
      <c r="K806" t="n">
        <v>0</v>
      </c>
      <c r="L806" t="n">
        <v>0</v>
      </c>
      <c r="M806" t="n">
        <v>0</v>
      </c>
      <c r="N806" t="n">
        <v>0</v>
      </c>
      <c r="O806" t="n">
        <v>0</v>
      </c>
      <c r="P806" t="n">
        <v>0</v>
      </c>
      <c r="Q806" t="n">
        <v>0</v>
      </c>
      <c r="R806" s="2" t="inlineStr"/>
    </row>
    <row r="807" ht="15" customHeight="1">
      <c r="A807" t="inlineStr">
        <is>
          <t>A 2287-2024</t>
        </is>
      </c>
      <c r="B807" s="1" t="n">
        <v>45310</v>
      </c>
      <c r="C807" s="1" t="n">
        <v>45996</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13785-2024</t>
        </is>
      </c>
      <c r="B808" s="1" t="n">
        <v>45391.3395949074</v>
      </c>
      <c r="C808" s="1" t="n">
        <v>45996</v>
      </c>
      <c r="D808" t="inlineStr">
        <is>
          <t>STOCKHOLMS LÄN</t>
        </is>
      </c>
      <c r="E808" t="inlineStr">
        <is>
          <t>NORRTÄLJE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50469-2022</t>
        </is>
      </c>
      <c r="B809" s="1" t="n">
        <v>44866.49827546296</v>
      </c>
      <c r="C809" s="1" t="n">
        <v>45996</v>
      </c>
      <c r="D809" t="inlineStr">
        <is>
          <t>STOCKHOLMS LÄN</t>
        </is>
      </c>
      <c r="E809" t="inlineStr">
        <is>
          <t>NORRTÄLJE</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51116-2022</t>
        </is>
      </c>
      <c r="B810" s="1" t="n">
        <v>44868.45741898148</v>
      </c>
      <c r="C810" s="1" t="n">
        <v>45996</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39905-2023</t>
        </is>
      </c>
      <c r="B811" s="1" t="n">
        <v>45168.44489583333</v>
      </c>
      <c r="C811" s="1" t="n">
        <v>45996</v>
      </c>
      <c r="D811" t="inlineStr">
        <is>
          <t>STOCKHOLMS LÄN</t>
        </is>
      </c>
      <c r="E811" t="inlineStr">
        <is>
          <t>NORRTÄLJE</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5645-2023</t>
        </is>
      </c>
      <c r="B812" s="1" t="n">
        <v>44960.60469907407</v>
      </c>
      <c r="C812" s="1" t="n">
        <v>45996</v>
      </c>
      <c r="D812" t="inlineStr">
        <is>
          <t>STOCKHOLMS LÄN</t>
        </is>
      </c>
      <c r="E812" t="inlineStr">
        <is>
          <t>NORRTÄLJE</t>
        </is>
      </c>
      <c r="G812" t="n">
        <v>1.7</v>
      </c>
      <c r="H812" t="n">
        <v>0</v>
      </c>
      <c r="I812" t="n">
        <v>0</v>
      </c>
      <c r="J812" t="n">
        <v>0</v>
      </c>
      <c r="K812" t="n">
        <v>0</v>
      </c>
      <c r="L812" t="n">
        <v>0</v>
      </c>
      <c r="M812" t="n">
        <v>0</v>
      </c>
      <c r="N812" t="n">
        <v>0</v>
      </c>
      <c r="O812" t="n">
        <v>0</v>
      </c>
      <c r="P812" t="n">
        <v>0</v>
      </c>
      <c r="Q812" t="n">
        <v>0</v>
      </c>
      <c r="R812" s="2" t="inlineStr"/>
    </row>
    <row r="813" ht="15" customHeight="1">
      <c r="A813" t="inlineStr">
        <is>
          <t>A 68361-2021</t>
        </is>
      </c>
      <c r="B813" s="1" t="n">
        <v>44528.91494212963</v>
      </c>
      <c r="C813" s="1" t="n">
        <v>45996</v>
      </c>
      <c r="D813" t="inlineStr">
        <is>
          <t>STOCKHOLMS LÄN</t>
        </is>
      </c>
      <c r="E813" t="inlineStr">
        <is>
          <t>NORRTÄLJE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60529-2023</t>
        </is>
      </c>
      <c r="B814" s="1" t="n">
        <v>45259</v>
      </c>
      <c r="C814" s="1" t="n">
        <v>45996</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60217-2021</t>
        </is>
      </c>
      <c r="B815" s="1" t="n">
        <v>44495.5893287037</v>
      </c>
      <c r="C815" s="1" t="n">
        <v>45996</v>
      </c>
      <c r="D815" t="inlineStr">
        <is>
          <t>STOCKHOLMS LÄN</t>
        </is>
      </c>
      <c r="E815" t="inlineStr">
        <is>
          <t>NORRTÄLJE</t>
        </is>
      </c>
      <c r="G815" t="n">
        <v>4.3</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45996</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19706-2023</t>
        </is>
      </c>
      <c r="B817" s="1" t="n">
        <v>45051.455</v>
      </c>
      <c r="C817" s="1" t="n">
        <v>45996</v>
      </c>
      <c r="D817" t="inlineStr">
        <is>
          <t>STOCKHOLMS LÄN</t>
        </is>
      </c>
      <c r="E817" t="inlineStr">
        <is>
          <t>NORRTÄLJE</t>
        </is>
      </c>
      <c r="G817" t="n">
        <v>0.2</v>
      </c>
      <c r="H817" t="n">
        <v>0</v>
      </c>
      <c r="I817" t="n">
        <v>0</v>
      </c>
      <c r="J817" t="n">
        <v>0</v>
      </c>
      <c r="K817" t="n">
        <v>0</v>
      </c>
      <c r="L817" t="n">
        <v>0</v>
      </c>
      <c r="M817" t="n">
        <v>0</v>
      </c>
      <c r="N817" t="n">
        <v>0</v>
      </c>
      <c r="O817" t="n">
        <v>0</v>
      </c>
      <c r="P817" t="n">
        <v>0</v>
      </c>
      <c r="Q817" t="n">
        <v>0</v>
      </c>
      <c r="R817" s="2" t="inlineStr"/>
    </row>
    <row r="818" ht="15" customHeight="1">
      <c r="A818" t="inlineStr">
        <is>
          <t>A 38985-2022</t>
        </is>
      </c>
      <c r="B818" s="1" t="n">
        <v>44816</v>
      </c>
      <c r="C818" s="1" t="n">
        <v>45996</v>
      </c>
      <c r="D818" t="inlineStr">
        <is>
          <t>STOCKHOLMS LÄN</t>
        </is>
      </c>
      <c r="E818" t="inlineStr">
        <is>
          <t>NORRTÄLJE</t>
        </is>
      </c>
      <c r="G818" t="n">
        <v>10.1</v>
      </c>
      <c r="H818" t="n">
        <v>0</v>
      </c>
      <c r="I818" t="n">
        <v>0</v>
      </c>
      <c r="J818" t="n">
        <v>0</v>
      </c>
      <c r="K818" t="n">
        <v>0</v>
      </c>
      <c r="L818" t="n">
        <v>0</v>
      </c>
      <c r="M818" t="n">
        <v>0</v>
      </c>
      <c r="N818" t="n">
        <v>0</v>
      </c>
      <c r="O818" t="n">
        <v>0</v>
      </c>
      <c r="P818" t="n">
        <v>0</v>
      </c>
      <c r="Q818" t="n">
        <v>0</v>
      </c>
      <c r="R818" s="2" t="inlineStr"/>
    </row>
    <row r="819" ht="15" customHeight="1">
      <c r="A819" t="inlineStr">
        <is>
          <t>A 18539-2021</t>
        </is>
      </c>
      <c r="B819" s="1" t="n">
        <v>44306</v>
      </c>
      <c r="C819" s="1" t="n">
        <v>45996</v>
      </c>
      <c r="D819" t="inlineStr">
        <is>
          <t>STOCKHOLMS LÄN</t>
        </is>
      </c>
      <c r="E819" t="inlineStr">
        <is>
          <t>NORRTÄLJE</t>
        </is>
      </c>
      <c r="F819" t="inlineStr">
        <is>
          <t>Holmen skog AB</t>
        </is>
      </c>
      <c r="G819" t="n">
        <v>5.5</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45996</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16835-2022</t>
        </is>
      </c>
      <c r="B821" s="1" t="n">
        <v>44673</v>
      </c>
      <c r="C821" s="1" t="n">
        <v>45996</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62765-2022</t>
        </is>
      </c>
      <c r="B822" s="1" t="n">
        <v>44637</v>
      </c>
      <c r="C822" s="1" t="n">
        <v>45996</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58404-2023</t>
        </is>
      </c>
      <c r="B823" s="1" t="n">
        <v>45245</v>
      </c>
      <c r="C823" s="1" t="n">
        <v>45996</v>
      </c>
      <c r="D823" t="inlineStr">
        <is>
          <t>STOCKHOLMS LÄN</t>
        </is>
      </c>
      <c r="E823" t="inlineStr">
        <is>
          <t>NORRTÄLJE</t>
        </is>
      </c>
      <c r="G823" t="n">
        <v>53.5</v>
      </c>
      <c r="H823" t="n">
        <v>0</v>
      </c>
      <c r="I823" t="n">
        <v>0</v>
      </c>
      <c r="J823" t="n">
        <v>0</v>
      </c>
      <c r="K823" t="n">
        <v>0</v>
      </c>
      <c r="L823" t="n">
        <v>0</v>
      </c>
      <c r="M823" t="n">
        <v>0</v>
      </c>
      <c r="N823" t="n">
        <v>0</v>
      </c>
      <c r="O823" t="n">
        <v>0</v>
      </c>
      <c r="P823" t="n">
        <v>0</v>
      </c>
      <c r="Q823" t="n">
        <v>0</v>
      </c>
      <c r="R823" s="2" t="inlineStr"/>
    </row>
    <row r="824" ht="15" customHeight="1">
      <c r="A824" t="inlineStr">
        <is>
          <t>A 8586-2023</t>
        </is>
      </c>
      <c r="B824" s="1" t="n">
        <v>44977</v>
      </c>
      <c r="C824" s="1" t="n">
        <v>45996</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5665-2025</t>
        </is>
      </c>
      <c r="B825" s="1" t="n">
        <v>45693</v>
      </c>
      <c r="C825" s="1" t="n">
        <v>45996</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3426-2025</t>
        </is>
      </c>
      <c r="B826" s="1" t="n">
        <v>45680.42665509259</v>
      </c>
      <c r="C826" s="1" t="n">
        <v>45996</v>
      </c>
      <c r="D826" t="inlineStr">
        <is>
          <t>STOCKHOLMS LÄN</t>
        </is>
      </c>
      <c r="E826" t="inlineStr">
        <is>
          <t>NORRTÄLJE</t>
        </is>
      </c>
      <c r="G826" t="n">
        <v>3.2</v>
      </c>
      <c r="H826" t="n">
        <v>0</v>
      </c>
      <c r="I826" t="n">
        <v>0</v>
      </c>
      <c r="J826" t="n">
        <v>0</v>
      </c>
      <c r="K826" t="n">
        <v>0</v>
      </c>
      <c r="L826" t="n">
        <v>0</v>
      </c>
      <c r="M826" t="n">
        <v>0</v>
      </c>
      <c r="N826" t="n">
        <v>0</v>
      </c>
      <c r="O826" t="n">
        <v>0</v>
      </c>
      <c r="P826" t="n">
        <v>0</v>
      </c>
      <c r="Q826" t="n">
        <v>0</v>
      </c>
      <c r="R826" s="2" t="inlineStr"/>
    </row>
    <row r="827" ht="15" customHeight="1">
      <c r="A827" t="inlineStr">
        <is>
          <t>A 16202-2022</t>
        </is>
      </c>
      <c r="B827" s="1" t="n">
        <v>44670</v>
      </c>
      <c r="C827" s="1" t="n">
        <v>45996</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55018-2024</t>
        </is>
      </c>
      <c r="B828" s="1" t="n">
        <v>45621.35712962963</v>
      </c>
      <c r="C828" s="1" t="n">
        <v>45996</v>
      </c>
      <c r="D828" t="inlineStr">
        <is>
          <t>STOCKHOLMS LÄN</t>
        </is>
      </c>
      <c r="E828" t="inlineStr">
        <is>
          <t>NORRTÄLJE</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24835-2025</t>
        </is>
      </c>
      <c r="B829" s="1" t="n">
        <v>45799</v>
      </c>
      <c r="C829" s="1" t="n">
        <v>45996</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58530-2024</t>
        </is>
      </c>
      <c r="B830" s="1" t="n">
        <v>45635.44788194444</v>
      </c>
      <c r="C830" s="1" t="n">
        <v>45996</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22421-2021</t>
        </is>
      </c>
      <c r="B831" s="1" t="n">
        <v>44326</v>
      </c>
      <c r="C831" s="1" t="n">
        <v>45996</v>
      </c>
      <c r="D831" t="inlineStr">
        <is>
          <t>STOCKHOLMS LÄN</t>
        </is>
      </c>
      <c r="E831" t="inlineStr">
        <is>
          <t>NORRTÄLJE</t>
        </is>
      </c>
      <c r="G831" t="n">
        <v>2.1</v>
      </c>
      <c r="H831" t="n">
        <v>0</v>
      </c>
      <c r="I831" t="n">
        <v>0</v>
      </c>
      <c r="J831" t="n">
        <v>0</v>
      </c>
      <c r="K831" t="n">
        <v>0</v>
      </c>
      <c r="L831" t="n">
        <v>0</v>
      </c>
      <c r="M831" t="n">
        <v>0</v>
      </c>
      <c r="N831" t="n">
        <v>0</v>
      </c>
      <c r="O831" t="n">
        <v>0</v>
      </c>
      <c r="P831" t="n">
        <v>0</v>
      </c>
      <c r="Q831" t="n">
        <v>0</v>
      </c>
      <c r="R831" s="2" t="inlineStr"/>
    </row>
    <row r="832" ht="15" customHeight="1">
      <c r="A832" t="inlineStr">
        <is>
          <t>A 50136-2023</t>
        </is>
      </c>
      <c r="B832" s="1" t="n">
        <v>45215</v>
      </c>
      <c r="C832" s="1" t="n">
        <v>45996</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25656-2023</t>
        </is>
      </c>
      <c r="B833" s="1" t="n">
        <v>45089</v>
      </c>
      <c r="C833" s="1" t="n">
        <v>45996</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6003-2025</t>
        </is>
      </c>
      <c r="B834" s="1" t="n">
        <v>45695.57881944445</v>
      </c>
      <c r="C834" s="1" t="n">
        <v>45996</v>
      </c>
      <c r="D834" t="inlineStr">
        <is>
          <t>STOCKHOLMS LÄN</t>
        </is>
      </c>
      <c r="E834" t="inlineStr">
        <is>
          <t>NORRTÄLJE</t>
        </is>
      </c>
      <c r="F834" t="inlineStr">
        <is>
          <t>Holmen skog AB</t>
        </is>
      </c>
      <c r="G834" t="n">
        <v>2.3</v>
      </c>
      <c r="H834" t="n">
        <v>0</v>
      </c>
      <c r="I834" t="n">
        <v>0</v>
      </c>
      <c r="J834" t="n">
        <v>0</v>
      </c>
      <c r="K834" t="n">
        <v>0</v>
      </c>
      <c r="L834" t="n">
        <v>0</v>
      </c>
      <c r="M834" t="n">
        <v>0</v>
      </c>
      <c r="N834" t="n">
        <v>0</v>
      </c>
      <c r="O834" t="n">
        <v>0</v>
      </c>
      <c r="P834" t="n">
        <v>0</v>
      </c>
      <c r="Q834" t="n">
        <v>0</v>
      </c>
      <c r="R834" s="2" t="inlineStr"/>
    </row>
    <row r="835" ht="15" customHeight="1">
      <c r="A835" t="inlineStr">
        <is>
          <t>A 40761-2024</t>
        </is>
      </c>
      <c r="B835" s="1" t="n">
        <v>45558.46283564815</v>
      </c>
      <c r="C835" s="1" t="n">
        <v>45996</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11902-2024</t>
        </is>
      </c>
      <c r="B836" s="1" t="n">
        <v>45376.55704861111</v>
      </c>
      <c r="C836" s="1" t="n">
        <v>45996</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38049-2023</t>
        </is>
      </c>
      <c r="B837" s="1" t="n">
        <v>45159</v>
      </c>
      <c r="C837" s="1" t="n">
        <v>45996</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59535-2024</t>
        </is>
      </c>
      <c r="B838" s="1" t="n">
        <v>45638.59979166667</v>
      </c>
      <c r="C838" s="1" t="n">
        <v>45996</v>
      </c>
      <c r="D838" t="inlineStr">
        <is>
          <t>STOCKHOLMS LÄN</t>
        </is>
      </c>
      <c r="E838" t="inlineStr">
        <is>
          <t>NORRTÄLJE</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43169-2025</t>
        </is>
      </c>
      <c r="B839" s="1" t="n">
        <v>45910</v>
      </c>
      <c r="C839" s="1" t="n">
        <v>45996</v>
      </c>
      <c r="D839" t="inlineStr">
        <is>
          <t>STOCKHOLMS LÄN</t>
        </is>
      </c>
      <c r="E839" t="inlineStr">
        <is>
          <t>NORRTÄLJE</t>
        </is>
      </c>
      <c r="G839" t="n">
        <v>6.9</v>
      </c>
      <c r="H839" t="n">
        <v>0</v>
      </c>
      <c r="I839" t="n">
        <v>0</v>
      </c>
      <c r="J839" t="n">
        <v>0</v>
      </c>
      <c r="K839" t="n">
        <v>0</v>
      </c>
      <c r="L839" t="n">
        <v>0</v>
      </c>
      <c r="M839" t="n">
        <v>0</v>
      </c>
      <c r="N839" t="n">
        <v>0</v>
      </c>
      <c r="O839" t="n">
        <v>0</v>
      </c>
      <c r="P839" t="n">
        <v>0</v>
      </c>
      <c r="Q839" t="n">
        <v>0</v>
      </c>
      <c r="R839" s="2" t="inlineStr"/>
    </row>
    <row r="840" ht="15" customHeight="1">
      <c r="A840" t="inlineStr">
        <is>
          <t>A 4553-2023</t>
        </is>
      </c>
      <c r="B840" s="1" t="n">
        <v>44956.65920138889</v>
      </c>
      <c r="C840" s="1" t="n">
        <v>45996</v>
      </c>
      <c r="D840" t="inlineStr">
        <is>
          <t>STOCKHOLMS LÄN</t>
        </is>
      </c>
      <c r="E840" t="inlineStr">
        <is>
          <t>NORRTÄLJE</t>
        </is>
      </c>
      <c r="G840" t="n">
        <v>7.5</v>
      </c>
      <c r="H840" t="n">
        <v>0</v>
      </c>
      <c r="I840" t="n">
        <v>0</v>
      </c>
      <c r="J840" t="n">
        <v>0</v>
      </c>
      <c r="K840" t="n">
        <v>0</v>
      </c>
      <c r="L840" t="n">
        <v>0</v>
      </c>
      <c r="M840" t="n">
        <v>0</v>
      </c>
      <c r="N840" t="n">
        <v>0</v>
      </c>
      <c r="O840" t="n">
        <v>0</v>
      </c>
      <c r="P840" t="n">
        <v>0</v>
      </c>
      <c r="Q840" t="n">
        <v>0</v>
      </c>
      <c r="R840" s="2" t="inlineStr"/>
    </row>
    <row r="841" ht="15" customHeight="1">
      <c r="A841" t="inlineStr">
        <is>
          <t>A 4593-2023</t>
        </is>
      </c>
      <c r="B841" s="1" t="n">
        <v>44956</v>
      </c>
      <c r="C841" s="1" t="n">
        <v>45996</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13171-2025</t>
        </is>
      </c>
      <c r="B842" s="1" t="n">
        <v>45735.36594907408</v>
      </c>
      <c r="C842" s="1" t="n">
        <v>45996</v>
      </c>
      <c r="D842" t="inlineStr">
        <is>
          <t>STOCKHOLMS LÄN</t>
        </is>
      </c>
      <c r="E842" t="inlineStr">
        <is>
          <t>NORRTÄLJE</t>
        </is>
      </c>
      <c r="G842" t="n">
        <v>5.1</v>
      </c>
      <c r="H842" t="n">
        <v>0</v>
      </c>
      <c r="I842" t="n">
        <v>0</v>
      </c>
      <c r="J842" t="n">
        <v>0</v>
      </c>
      <c r="K842" t="n">
        <v>0</v>
      </c>
      <c r="L842" t="n">
        <v>0</v>
      </c>
      <c r="M842" t="n">
        <v>0</v>
      </c>
      <c r="N842" t="n">
        <v>0</v>
      </c>
      <c r="O842" t="n">
        <v>0</v>
      </c>
      <c r="P842" t="n">
        <v>0</v>
      </c>
      <c r="Q842" t="n">
        <v>0</v>
      </c>
      <c r="R842" s="2" t="inlineStr"/>
    </row>
    <row r="843" ht="15" customHeight="1">
      <c r="A843" t="inlineStr">
        <is>
          <t>A 4183-2025</t>
        </is>
      </c>
      <c r="B843" s="1" t="n">
        <v>45685.44592592592</v>
      </c>
      <c r="C843" s="1" t="n">
        <v>45996</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30719-2025</t>
        </is>
      </c>
      <c r="B844" s="1" t="n">
        <v>45831</v>
      </c>
      <c r="C844" s="1" t="n">
        <v>45996</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43269-2025</t>
        </is>
      </c>
      <c r="B845" s="1" t="n">
        <v>45910.5819212963</v>
      </c>
      <c r="C845" s="1" t="n">
        <v>45996</v>
      </c>
      <c r="D845" t="inlineStr">
        <is>
          <t>STOCKHOLMS LÄN</t>
        </is>
      </c>
      <c r="E845" t="inlineStr">
        <is>
          <t>NORRTÄLJE</t>
        </is>
      </c>
      <c r="G845" t="n">
        <v>3.7</v>
      </c>
      <c r="H845" t="n">
        <v>0</v>
      </c>
      <c r="I845" t="n">
        <v>0</v>
      </c>
      <c r="J845" t="n">
        <v>0</v>
      </c>
      <c r="K845" t="n">
        <v>0</v>
      </c>
      <c r="L845" t="n">
        <v>0</v>
      </c>
      <c r="M845" t="n">
        <v>0</v>
      </c>
      <c r="N845" t="n">
        <v>0</v>
      </c>
      <c r="O845" t="n">
        <v>0</v>
      </c>
      <c r="P845" t="n">
        <v>0</v>
      </c>
      <c r="Q845" t="n">
        <v>0</v>
      </c>
      <c r="R845" s="2" t="inlineStr"/>
    </row>
    <row r="846" ht="15" customHeight="1">
      <c r="A846" t="inlineStr">
        <is>
          <t>A 9480-2025</t>
        </is>
      </c>
      <c r="B846" s="1" t="n">
        <v>45715</v>
      </c>
      <c r="C846" s="1" t="n">
        <v>45996</v>
      </c>
      <c r="D846" t="inlineStr">
        <is>
          <t>STOCKHOLMS LÄN</t>
        </is>
      </c>
      <c r="E846" t="inlineStr">
        <is>
          <t>NORRTÄLJE</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51978-2023</t>
        </is>
      </c>
      <c r="B847" s="1" t="n">
        <v>45223</v>
      </c>
      <c r="C847" s="1" t="n">
        <v>45996</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18092-2022</t>
        </is>
      </c>
      <c r="B848" s="1" t="n">
        <v>44684</v>
      </c>
      <c r="C848" s="1" t="n">
        <v>45996</v>
      </c>
      <c r="D848" t="inlineStr">
        <is>
          <t>STOCKHOLMS LÄN</t>
        </is>
      </c>
      <c r="E848" t="inlineStr">
        <is>
          <t>NORRTÄLJE</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52703-2025</t>
        </is>
      </c>
      <c r="B849" s="1" t="n">
        <v>45956.88643518519</v>
      </c>
      <c r="C849" s="1" t="n">
        <v>45996</v>
      </c>
      <c r="D849" t="inlineStr">
        <is>
          <t>STOCKHOLMS LÄN</t>
        </is>
      </c>
      <c r="E849" t="inlineStr">
        <is>
          <t>NORRTÄLJE</t>
        </is>
      </c>
      <c r="G849" t="n">
        <v>4.7</v>
      </c>
      <c r="H849" t="n">
        <v>0</v>
      </c>
      <c r="I849" t="n">
        <v>0</v>
      </c>
      <c r="J849" t="n">
        <v>0</v>
      </c>
      <c r="K849" t="n">
        <v>0</v>
      </c>
      <c r="L849" t="n">
        <v>0</v>
      </c>
      <c r="M849" t="n">
        <v>0</v>
      </c>
      <c r="N849" t="n">
        <v>0</v>
      </c>
      <c r="O849" t="n">
        <v>0</v>
      </c>
      <c r="P849" t="n">
        <v>0</v>
      </c>
      <c r="Q849" t="n">
        <v>0</v>
      </c>
      <c r="R849" s="2" t="inlineStr"/>
    </row>
    <row r="850" ht="15" customHeight="1">
      <c r="A850" t="inlineStr">
        <is>
          <t>A 52704-2025</t>
        </is>
      </c>
      <c r="B850" s="1" t="n">
        <v>45956.89097222222</v>
      </c>
      <c r="C850" s="1" t="n">
        <v>45996</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52773-2025</t>
        </is>
      </c>
      <c r="B851" s="1" t="n">
        <v>45957.41457175926</v>
      </c>
      <c r="C851" s="1" t="n">
        <v>45996</v>
      </c>
      <c r="D851" t="inlineStr">
        <is>
          <t>STOCKHOLMS LÄN</t>
        </is>
      </c>
      <c r="E851" t="inlineStr">
        <is>
          <t>NORRTÄLJE</t>
        </is>
      </c>
      <c r="F851" t="inlineStr">
        <is>
          <t>Sveaskog</t>
        </is>
      </c>
      <c r="G851" t="n">
        <v>10.5</v>
      </c>
      <c r="H851" t="n">
        <v>0</v>
      </c>
      <c r="I851" t="n">
        <v>0</v>
      </c>
      <c r="J851" t="n">
        <v>0</v>
      </c>
      <c r="K851" t="n">
        <v>0</v>
      </c>
      <c r="L851" t="n">
        <v>0</v>
      </c>
      <c r="M851" t="n">
        <v>0</v>
      </c>
      <c r="N851" t="n">
        <v>0</v>
      </c>
      <c r="O851" t="n">
        <v>0</v>
      </c>
      <c r="P851" t="n">
        <v>0</v>
      </c>
      <c r="Q851" t="n">
        <v>0</v>
      </c>
      <c r="R851" s="2" t="inlineStr"/>
    </row>
    <row r="852" ht="15" customHeight="1">
      <c r="A852" t="inlineStr">
        <is>
          <t>A 59310-2023</t>
        </is>
      </c>
      <c r="B852" s="1" t="n">
        <v>45253.61146990741</v>
      </c>
      <c r="C852" s="1" t="n">
        <v>45996</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9329-2023</t>
        </is>
      </c>
      <c r="B853" s="1" t="n">
        <v>44980</v>
      </c>
      <c r="C853" s="1" t="n">
        <v>45996</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52553-2025</t>
        </is>
      </c>
      <c r="B854" s="1" t="n">
        <v>45954.5624537037</v>
      </c>
      <c r="C854" s="1" t="n">
        <v>45996</v>
      </c>
      <c r="D854" t="inlineStr">
        <is>
          <t>STOCKHOLMS LÄN</t>
        </is>
      </c>
      <c r="E854" t="inlineStr">
        <is>
          <t>NORRTÄLJE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59878-2024</t>
        </is>
      </c>
      <c r="B855" s="1" t="n">
        <v>45640.60240740741</v>
      </c>
      <c r="C855" s="1" t="n">
        <v>45996</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41335-2023</t>
        </is>
      </c>
      <c r="B856" s="1" t="n">
        <v>45174.68702546296</v>
      </c>
      <c r="C856" s="1" t="n">
        <v>45996</v>
      </c>
      <c r="D856" t="inlineStr">
        <is>
          <t>STOCKHOLMS LÄN</t>
        </is>
      </c>
      <c r="E856" t="inlineStr">
        <is>
          <t>NORRTÄLJE</t>
        </is>
      </c>
      <c r="F856" t="inlineStr">
        <is>
          <t>Holmen skog AB</t>
        </is>
      </c>
      <c r="G856" t="n">
        <v>4.4</v>
      </c>
      <c r="H856" t="n">
        <v>0</v>
      </c>
      <c r="I856" t="n">
        <v>0</v>
      </c>
      <c r="J856" t="n">
        <v>0</v>
      </c>
      <c r="K856" t="n">
        <v>0</v>
      </c>
      <c r="L856" t="n">
        <v>0</v>
      </c>
      <c r="M856" t="n">
        <v>0</v>
      </c>
      <c r="N856" t="n">
        <v>0</v>
      </c>
      <c r="O856" t="n">
        <v>0</v>
      </c>
      <c r="P856" t="n">
        <v>0</v>
      </c>
      <c r="Q856" t="n">
        <v>0</v>
      </c>
      <c r="R856" s="2" t="inlineStr"/>
    </row>
    <row r="857" ht="15" customHeight="1">
      <c r="A857" t="inlineStr">
        <is>
          <t>A 52526-2025</t>
        </is>
      </c>
      <c r="B857" s="1" t="n">
        <v>45954.53061342592</v>
      </c>
      <c r="C857" s="1" t="n">
        <v>45996</v>
      </c>
      <c r="D857" t="inlineStr">
        <is>
          <t>STOCKHOLMS LÄN</t>
        </is>
      </c>
      <c r="E857" t="inlineStr">
        <is>
          <t>NORRTÄLJE</t>
        </is>
      </c>
      <c r="F857" t="inlineStr">
        <is>
          <t>Sveaskog</t>
        </is>
      </c>
      <c r="G857" t="n">
        <v>2.9</v>
      </c>
      <c r="H857" t="n">
        <v>0</v>
      </c>
      <c r="I857" t="n">
        <v>0</v>
      </c>
      <c r="J857" t="n">
        <v>0</v>
      </c>
      <c r="K857" t="n">
        <v>0</v>
      </c>
      <c r="L857" t="n">
        <v>0</v>
      </c>
      <c r="M857" t="n">
        <v>0</v>
      </c>
      <c r="N857" t="n">
        <v>0</v>
      </c>
      <c r="O857" t="n">
        <v>0</v>
      </c>
      <c r="P857" t="n">
        <v>0</v>
      </c>
      <c r="Q857" t="n">
        <v>0</v>
      </c>
      <c r="R857" s="2" t="inlineStr"/>
    </row>
    <row r="858" ht="15" customHeight="1">
      <c r="A858" t="inlineStr">
        <is>
          <t>A 52734-2025</t>
        </is>
      </c>
      <c r="B858" s="1" t="n">
        <v>45957.3710300926</v>
      </c>
      <c r="C858" s="1" t="n">
        <v>45996</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33040-2021</t>
        </is>
      </c>
      <c r="B859" s="1" t="n">
        <v>44376.50728009259</v>
      </c>
      <c r="C859" s="1" t="n">
        <v>45996</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33053-2021</t>
        </is>
      </c>
      <c r="B860" s="1" t="n">
        <v>44376</v>
      </c>
      <c r="C860" s="1" t="n">
        <v>45996</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24522-2023</t>
        </is>
      </c>
      <c r="B861" s="1" t="n">
        <v>45082.69179398148</v>
      </c>
      <c r="C861" s="1" t="n">
        <v>45996</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25625-2023</t>
        </is>
      </c>
      <c r="B862" s="1" t="n">
        <v>45089</v>
      </c>
      <c r="C862" s="1" t="n">
        <v>45996</v>
      </c>
      <c r="D862" t="inlineStr">
        <is>
          <t>STOCKHOLMS LÄN</t>
        </is>
      </c>
      <c r="E862" t="inlineStr">
        <is>
          <t>NORRTÄLJE</t>
        </is>
      </c>
      <c r="G862" t="n">
        <v>5.5</v>
      </c>
      <c r="H862" t="n">
        <v>0</v>
      </c>
      <c r="I862" t="n">
        <v>0</v>
      </c>
      <c r="J862" t="n">
        <v>0</v>
      </c>
      <c r="K862" t="n">
        <v>0</v>
      </c>
      <c r="L862" t="n">
        <v>0</v>
      </c>
      <c r="M862" t="n">
        <v>0</v>
      </c>
      <c r="N862" t="n">
        <v>0</v>
      </c>
      <c r="O862" t="n">
        <v>0</v>
      </c>
      <c r="P862" t="n">
        <v>0</v>
      </c>
      <c r="Q862" t="n">
        <v>0</v>
      </c>
      <c r="R862" s="2" t="inlineStr"/>
    </row>
    <row r="863" ht="15" customHeight="1">
      <c r="A863" t="inlineStr">
        <is>
          <t>A 52729-2025</t>
        </is>
      </c>
      <c r="B863" s="1" t="n">
        <v>45957.3636574074</v>
      </c>
      <c r="C863" s="1" t="n">
        <v>45996</v>
      </c>
      <c r="D863" t="inlineStr">
        <is>
          <t>STOCKHOLMS LÄN</t>
        </is>
      </c>
      <c r="E863" t="inlineStr">
        <is>
          <t>NORRTÄLJE</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53000-2025</t>
        </is>
      </c>
      <c r="B864" s="1" t="n">
        <v>45957.74357638889</v>
      </c>
      <c r="C864" s="1" t="n">
        <v>45996</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43150-2023</t>
        </is>
      </c>
      <c r="B865" s="1" t="n">
        <v>45183</v>
      </c>
      <c r="C865" s="1" t="n">
        <v>45996</v>
      </c>
      <c r="D865" t="inlineStr">
        <is>
          <t>STOCKHOLMS LÄN</t>
        </is>
      </c>
      <c r="E865" t="inlineStr">
        <is>
          <t>NORRTÄLJE</t>
        </is>
      </c>
      <c r="G865" t="n">
        <v>2.4</v>
      </c>
      <c r="H865" t="n">
        <v>0</v>
      </c>
      <c r="I865" t="n">
        <v>0</v>
      </c>
      <c r="J865" t="n">
        <v>0</v>
      </c>
      <c r="K865" t="n">
        <v>0</v>
      </c>
      <c r="L865" t="n">
        <v>0</v>
      </c>
      <c r="M865" t="n">
        <v>0</v>
      </c>
      <c r="N865" t="n">
        <v>0</v>
      </c>
      <c r="O865" t="n">
        <v>0</v>
      </c>
      <c r="P865" t="n">
        <v>0</v>
      </c>
      <c r="Q865" t="n">
        <v>0</v>
      </c>
      <c r="R865" s="2" t="inlineStr"/>
    </row>
    <row r="866" ht="15" customHeight="1">
      <c r="A866" t="inlineStr">
        <is>
          <t>A 37147-2023</t>
        </is>
      </c>
      <c r="B866" s="1" t="n">
        <v>45155</v>
      </c>
      <c r="C866" s="1" t="n">
        <v>45996</v>
      </c>
      <c r="D866" t="inlineStr">
        <is>
          <t>STOCKHOLMS LÄN</t>
        </is>
      </c>
      <c r="E866" t="inlineStr">
        <is>
          <t>NORRTÄLJE</t>
        </is>
      </c>
      <c r="G866" t="n">
        <v>8</v>
      </c>
      <c r="H866" t="n">
        <v>0</v>
      </c>
      <c r="I866" t="n">
        <v>0</v>
      </c>
      <c r="J866" t="n">
        <v>0</v>
      </c>
      <c r="K866" t="n">
        <v>0</v>
      </c>
      <c r="L866" t="n">
        <v>0</v>
      </c>
      <c r="M866" t="n">
        <v>0</v>
      </c>
      <c r="N866" t="n">
        <v>0</v>
      </c>
      <c r="O866" t="n">
        <v>0</v>
      </c>
      <c r="P866" t="n">
        <v>0</v>
      </c>
      <c r="Q866" t="n">
        <v>0</v>
      </c>
      <c r="R866" s="2" t="inlineStr"/>
    </row>
    <row r="867" ht="15" customHeight="1">
      <c r="A867" t="inlineStr">
        <is>
          <t>A 5950-2021</t>
        </is>
      </c>
      <c r="B867" s="1" t="n">
        <v>44231</v>
      </c>
      <c r="C867" s="1" t="n">
        <v>45996</v>
      </c>
      <c r="D867" t="inlineStr">
        <is>
          <t>STOCKHOLMS LÄN</t>
        </is>
      </c>
      <c r="E867" t="inlineStr">
        <is>
          <t>NORRTÄLJE</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7186-2024</t>
        </is>
      </c>
      <c r="B868" s="1" t="n">
        <v>45344</v>
      </c>
      <c r="C868" s="1" t="n">
        <v>45996</v>
      </c>
      <c r="D868" t="inlineStr">
        <is>
          <t>STOCKHOLMS LÄN</t>
        </is>
      </c>
      <c r="E868" t="inlineStr">
        <is>
          <t>NORRTÄLJE</t>
        </is>
      </c>
      <c r="G868" t="n">
        <v>4.9</v>
      </c>
      <c r="H868" t="n">
        <v>0</v>
      </c>
      <c r="I868" t="n">
        <v>0</v>
      </c>
      <c r="J868" t="n">
        <v>0</v>
      </c>
      <c r="K868" t="n">
        <v>0</v>
      </c>
      <c r="L868" t="n">
        <v>0</v>
      </c>
      <c r="M868" t="n">
        <v>0</v>
      </c>
      <c r="N868" t="n">
        <v>0</v>
      </c>
      <c r="O868" t="n">
        <v>0</v>
      </c>
      <c r="P868" t="n">
        <v>0</v>
      </c>
      <c r="Q868" t="n">
        <v>0</v>
      </c>
      <c r="R868" s="2" t="inlineStr"/>
    </row>
    <row r="869" ht="15" customHeight="1">
      <c r="A869" t="inlineStr">
        <is>
          <t>A 54259-2023</t>
        </is>
      </c>
      <c r="B869" s="1" t="n">
        <v>45232</v>
      </c>
      <c r="C869" s="1" t="n">
        <v>45996</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57602-2024</t>
        </is>
      </c>
      <c r="B870" s="1" t="n">
        <v>45630.52866898148</v>
      </c>
      <c r="C870" s="1" t="n">
        <v>45996</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64600-2021</t>
        </is>
      </c>
      <c r="B871" s="1" t="n">
        <v>44511.70518518519</v>
      </c>
      <c r="C871" s="1" t="n">
        <v>45996</v>
      </c>
      <c r="D871" t="inlineStr">
        <is>
          <t>STOCKHOLMS LÄN</t>
        </is>
      </c>
      <c r="E871" t="inlineStr">
        <is>
          <t>NORRTÄLJE</t>
        </is>
      </c>
      <c r="G871" t="n">
        <v>6.2</v>
      </c>
      <c r="H871" t="n">
        <v>0</v>
      </c>
      <c r="I871" t="n">
        <v>0</v>
      </c>
      <c r="J871" t="n">
        <v>0</v>
      </c>
      <c r="K871" t="n">
        <v>0</v>
      </c>
      <c r="L871" t="n">
        <v>0</v>
      </c>
      <c r="M871" t="n">
        <v>0</v>
      </c>
      <c r="N871" t="n">
        <v>0</v>
      </c>
      <c r="O871" t="n">
        <v>0</v>
      </c>
      <c r="P871" t="n">
        <v>0</v>
      </c>
      <c r="Q871" t="n">
        <v>0</v>
      </c>
      <c r="R871" s="2" t="inlineStr"/>
    </row>
    <row r="872" ht="15" customHeight="1">
      <c r="A872" t="inlineStr">
        <is>
          <t>A 50602-2021</t>
        </is>
      </c>
      <c r="B872" s="1" t="n">
        <v>44459</v>
      </c>
      <c r="C872" s="1" t="n">
        <v>45996</v>
      </c>
      <c r="D872" t="inlineStr">
        <is>
          <t>STOCKHOLMS LÄN</t>
        </is>
      </c>
      <c r="E872" t="inlineStr">
        <is>
          <t>NORRTÄLJE</t>
        </is>
      </c>
      <c r="F872" t="inlineStr">
        <is>
          <t>Holmen skog AB</t>
        </is>
      </c>
      <c r="G872" t="n">
        <v>2</v>
      </c>
      <c r="H872" t="n">
        <v>0</v>
      </c>
      <c r="I872" t="n">
        <v>0</v>
      </c>
      <c r="J872" t="n">
        <v>0</v>
      </c>
      <c r="K872" t="n">
        <v>0</v>
      </c>
      <c r="L872" t="n">
        <v>0</v>
      </c>
      <c r="M872" t="n">
        <v>0</v>
      </c>
      <c r="N872" t="n">
        <v>0</v>
      </c>
      <c r="O872" t="n">
        <v>0</v>
      </c>
      <c r="P872" t="n">
        <v>0</v>
      </c>
      <c r="Q872" t="n">
        <v>0</v>
      </c>
      <c r="R872" s="2" t="inlineStr"/>
    </row>
    <row r="873" ht="15" customHeight="1">
      <c r="A873" t="inlineStr">
        <is>
          <t>A 26365-2024</t>
        </is>
      </c>
      <c r="B873" s="1" t="n">
        <v>45469</v>
      </c>
      <c r="C873" s="1" t="n">
        <v>45996</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60822-2023</t>
        </is>
      </c>
      <c r="B874" s="1" t="n">
        <v>45259</v>
      </c>
      <c r="C874" s="1" t="n">
        <v>45996</v>
      </c>
      <c r="D874" t="inlineStr">
        <is>
          <t>STOCKHOLMS LÄN</t>
        </is>
      </c>
      <c r="E874" t="inlineStr">
        <is>
          <t>NORRTÄLJE</t>
        </is>
      </c>
      <c r="G874" t="n">
        <v>5.2</v>
      </c>
      <c r="H874" t="n">
        <v>0</v>
      </c>
      <c r="I874" t="n">
        <v>0</v>
      </c>
      <c r="J874" t="n">
        <v>0</v>
      </c>
      <c r="K874" t="n">
        <v>0</v>
      </c>
      <c r="L874" t="n">
        <v>0</v>
      </c>
      <c r="M874" t="n">
        <v>0</v>
      </c>
      <c r="N874" t="n">
        <v>0</v>
      </c>
      <c r="O874" t="n">
        <v>0</v>
      </c>
      <c r="P874" t="n">
        <v>0</v>
      </c>
      <c r="Q874" t="n">
        <v>0</v>
      </c>
      <c r="R874" s="2" t="inlineStr"/>
    </row>
    <row r="875" ht="15" customHeight="1">
      <c r="A875" t="inlineStr">
        <is>
          <t>A 26640-2023</t>
        </is>
      </c>
      <c r="B875" s="1" t="n">
        <v>45092</v>
      </c>
      <c r="C875" s="1" t="n">
        <v>45996</v>
      </c>
      <c r="D875" t="inlineStr">
        <is>
          <t>STOCKHOLMS LÄN</t>
        </is>
      </c>
      <c r="E875" t="inlineStr">
        <is>
          <t>NORRTÄLJE</t>
        </is>
      </c>
      <c r="G875" t="n">
        <v>5.7</v>
      </c>
      <c r="H875" t="n">
        <v>0</v>
      </c>
      <c r="I875" t="n">
        <v>0</v>
      </c>
      <c r="J875" t="n">
        <v>0</v>
      </c>
      <c r="K875" t="n">
        <v>0</v>
      </c>
      <c r="L875" t="n">
        <v>0</v>
      </c>
      <c r="M875" t="n">
        <v>0</v>
      </c>
      <c r="N875" t="n">
        <v>0</v>
      </c>
      <c r="O875" t="n">
        <v>0</v>
      </c>
      <c r="P875" t="n">
        <v>0</v>
      </c>
      <c r="Q875" t="n">
        <v>0</v>
      </c>
      <c r="R875" s="2" t="inlineStr"/>
    </row>
    <row r="876" ht="15" customHeight="1">
      <c r="A876" t="inlineStr">
        <is>
          <t>A 12031-2021</t>
        </is>
      </c>
      <c r="B876" s="1" t="n">
        <v>44266</v>
      </c>
      <c r="C876" s="1" t="n">
        <v>45996</v>
      </c>
      <c r="D876" t="inlineStr">
        <is>
          <t>STOCKHOLMS LÄN</t>
        </is>
      </c>
      <c r="E876" t="inlineStr">
        <is>
          <t>NORRTÄLJE</t>
        </is>
      </c>
      <c r="G876" t="n">
        <v>2.6</v>
      </c>
      <c r="H876" t="n">
        <v>0</v>
      </c>
      <c r="I876" t="n">
        <v>0</v>
      </c>
      <c r="J876" t="n">
        <v>0</v>
      </c>
      <c r="K876" t="n">
        <v>0</v>
      </c>
      <c r="L876" t="n">
        <v>0</v>
      </c>
      <c r="M876" t="n">
        <v>0</v>
      </c>
      <c r="N876" t="n">
        <v>0</v>
      </c>
      <c r="O876" t="n">
        <v>0</v>
      </c>
      <c r="P876" t="n">
        <v>0</v>
      </c>
      <c r="Q876" t="n">
        <v>0</v>
      </c>
      <c r="R876" s="2" t="inlineStr"/>
    </row>
    <row r="877" ht="15" customHeight="1">
      <c r="A877" t="inlineStr">
        <is>
          <t>A 31827-2023</t>
        </is>
      </c>
      <c r="B877" s="1" t="n">
        <v>45118</v>
      </c>
      <c r="C877" s="1" t="n">
        <v>45996</v>
      </c>
      <c r="D877" t="inlineStr">
        <is>
          <t>STOCKHOLMS LÄN</t>
        </is>
      </c>
      <c r="E877" t="inlineStr">
        <is>
          <t>NORRTÄLJE</t>
        </is>
      </c>
      <c r="F877" t="inlineStr">
        <is>
          <t>Kyrkan</t>
        </is>
      </c>
      <c r="G877" t="n">
        <v>4.9</v>
      </c>
      <c r="H877" t="n">
        <v>0</v>
      </c>
      <c r="I877" t="n">
        <v>0</v>
      </c>
      <c r="J877" t="n">
        <v>0</v>
      </c>
      <c r="K877" t="n">
        <v>0</v>
      </c>
      <c r="L877" t="n">
        <v>0</v>
      </c>
      <c r="M877" t="n">
        <v>0</v>
      </c>
      <c r="N877" t="n">
        <v>0</v>
      </c>
      <c r="O877" t="n">
        <v>0</v>
      </c>
      <c r="P877" t="n">
        <v>0</v>
      </c>
      <c r="Q877" t="n">
        <v>0</v>
      </c>
      <c r="R877" s="2" t="inlineStr"/>
    </row>
    <row r="878" ht="15" customHeight="1">
      <c r="A878" t="inlineStr">
        <is>
          <t>A 58993-2022</t>
        </is>
      </c>
      <c r="B878" s="1" t="n">
        <v>44903</v>
      </c>
      <c r="C878" s="1" t="n">
        <v>45996</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44749.55258101852</v>
      </c>
      <c r="C879" s="1" t="n">
        <v>45996</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17574-2025</t>
        </is>
      </c>
      <c r="B880" s="1" t="n">
        <v>45757.65178240741</v>
      </c>
      <c r="C880" s="1" t="n">
        <v>45996</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27381-2024</t>
        </is>
      </c>
      <c r="B881" s="1" t="n">
        <v>45473.94501157408</v>
      </c>
      <c r="C881" s="1" t="n">
        <v>45996</v>
      </c>
      <c r="D881" t="inlineStr">
        <is>
          <t>STOCKHOLMS LÄN</t>
        </is>
      </c>
      <c r="E881" t="inlineStr">
        <is>
          <t>NORRTÄLJE</t>
        </is>
      </c>
      <c r="G881" t="n">
        <v>4.5</v>
      </c>
      <c r="H881" t="n">
        <v>0</v>
      </c>
      <c r="I881" t="n">
        <v>0</v>
      </c>
      <c r="J881" t="n">
        <v>0</v>
      </c>
      <c r="K881" t="n">
        <v>0</v>
      </c>
      <c r="L881" t="n">
        <v>0</v>
      </c>
      <c r="M881" t="n">
        <v>0</v>
      </c>
      <c r="N881" t="n">
        <v>0</v>
      </c>
      <c r="O881" t="n">
        <v>0</v>
      </c>
      <c r="P881" t="n">
        <v>0</v>
      </c>
      <c r="Q881" t="n">
        <v>0</v>
      </c>
      <c r="R881" s="2" t="inlineStr"/>
    </row>
    <row r="882" ht="15" customHeight="1">
      <c r="A882" t="inlineStr">
        <is>
          <t>A 43916-2025</t>
        </is>
      </c>
      <c r="B882" s="1" t="n">
        <v>45914.78884259259</v>
      </c>
      <c r="C882" s="1" t="n">
        <v>45996</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58297-2023</t>
        </is>
      </c>
      <c r="B883" s="1" t="n">
        <v>45245</v>
      </c>
      <c r="C883" s="1" t="n">
        <v>45996</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20304-2023</t>
        </is>
      </c>
      <c r="B884" s="1" t="n">
        <v>45056</v>
      </c>
      <c r="C884" s="1" t="n">
        <v>45996</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12299-2025</t>
        </is>
      </c>
      <c r="B885" s="1" t="n">
        <v>45729.71065972222</v>
      </c>
      <c r="C885" s="1" t="n">
        <v>45996</v>
      </c>
      <c r="D885" t="inlineStr">
        <is>
          <t>STOCKHOLMS LÄN</t>
        </is>
      </c>
      <c r="E885" t="inlineStr">
        <is>
          <t>NORRTÄLJE</t>
        </is>
      </c>
      <c r="F885" t="inlineStr">
        <is>
          <t>Holmen skog AB</t>
        </is>
      </c>
      <c r="G885" t="n">
        <v>6.9</v>
      </c>
      <c r="H885" t="n">
        <v>0</v>
      </c>
      <c r="I885" t="n">
        <v>0</v>
      </c>
      <c r="J885" t="n">
        <v>0</v>
      </c>
      <c r="K885" t="n">
        <v>0</v>
      </c>
      <c r="L885" t="n">
        <v>0</v>
      </c>
      <c r="M885" t="n">
        <v>0</v>
      </c>
      <c r="N885" t="n">
        <v>0</v>
      </c>
      <c r="O885" t="n">
        <v>0</v>
      </c>
      <c r="P885" t="n">
        <v>0</v>
      </c>
      <c r="Q885" t="n">
        <v>0</v>
      </c>
      <c r="R885" s="2" t="inlineStr"/>
    </row>
    <row r="886" ht="15" customHeight="1">
      <c r="A886" t="inlineStr">
        <is>
          <t>A 23265-2023</t>
        </is>
      </c>
      <c r="B886" s="1" t="n">
        <v>45075.90703703704</v>
      </c>
      <c r="C886" s="1" t="n">
        <v>45996</v>
      </c>
      <c r="D886" t="inlineStr">
        <is>
          <t>STOCKHOLMS LÄN</t>
        </is>
      </c>
      <c r="E886" t="inlineStr">
        <is>
          <t>NORRTÄLJE</t>
        </is>
      </c>
      <c r="G886" t="n">
        <v>2.6</v>
      </c>
      <c r="H886" t="n">
        <v>0</v>
      </c>
      <c r="I886" t="n">
        <v>0</v>
      </c>
      <c r="J886" t="n">
        <v>0</v>
      </c>
      <c r="K886" t="n">
        <v>0</v>
      </c>
      <c r="L886" t="n">
        <v>0</v>
      </c>
      <c r="M886" t="n">
        <v>0</v>
      </c>
      <c r="N886" t="n">
        <v>0</v>
      </c>
      <c r="O886" t="n">
        <v>0</v>
      </c>
      <c r="P886" t="n">
        <v>0</v>
      </c>
      <c r="Q886" t="n">
        <v>0</v>
      </c>
      <c r="R886" s="2" t="inlineStr"/>
    </row>
    <row r="887" ht="15" customHeight="1">
      <c r="A887" t="inlineStr">
        <is>
          <t>A 22157-2023</t>
        </is>
      </c>
      <c r="B887" s="1" t="n">
        <v>45069</v>
      </c>
      <c r="C887" s="1" t="n">
        <v>45996</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c r="U887">
        <f>HYPERLINK("https://klasma.github.io/Logging_0188/knärot/A 22157-2023 karta knärot.png", "A 22157-2023")</f>
        <v/>
      </c>
      <c r="V887">
        <f>HYPERLINK("https://klasma.github.io/Logging_0188/klagomål/A 22157-2023 FSC-klagomål.docx", "A 22157-2023")</f>
        <v/>
      </c>
      <c r="W887">
        <f>HYPERLINK("https://klasma.github.io/Logging_0188/klagomålsmail/A 22157-2023 FSC-klagomål mail.docx", "A 22157-2023")</f>
        <v/>
      </c>
      <c r="X887">
        <f>HYPERLINK("https://klasma.github.io/Logging_0188/tillsyn/A 22157-2023 tillsynsbegäran.docx", "A 22157-2023")</f>
        <v/>
      </c>
      <c r="Y887">
        <f>HYPERLINK("https://klasma.github.io/Logging_0188/tillsynsmail/A 22157-2023 tillsynsbegäran mail.docx", "A 22157-2023")</f>
        <v/>
      </c>
    </row>
    <row r="888" ht="15" customHeight="1">
      <c r="A888" t="inlineStr">
        <is>
          <t>A 26117-2024</t>
        </is>
      </c>
      <c r="B888" s="1" t="n">
        <v>45468.45877314815</v>
      </c>
      <c r="C888" s="1" t="n">
        <v>45996</v>
      </c>
      <c r="D888" t="inlineStr">
        <is>
          <t>STOCKHOLMS LÄN</t>
        </is>
      </c>
      <c r="E888" t="inlineStr">
        <is>
          <t>NORRTÄLJE</t>
        </is>
      </c>
      <c r="G888" t="n">
        <v>2.4</v>
      </c>
      <c r="H888" t="n">
        <v>0</v>
      </c>
      <c r="I888" t="n">
        <v>0</v>
      </c>
      <c r="J888" t="n">
        <v>0</v>
      </c>
      <c r="K888" t="n">
        <v>0</v>
      </c>
      <c r="L888" t="n">
        <v>0</v>
      </c>
      <c r="M888" t="n">
        <v>0</v>
      </c>
      <c r="N888" t="n">
        <v>0</v>
      </c>
      <c r="O888" t="n">
        <v>0</v>
      </c>
      <c r="P888" t="n">
        <v>0</v>
      </c>
      <c r="Q888" t="n">
        <v>0</v>
      </c>
      <c r="R888" s="2" t="inlineStr"/>
    </row>
    <row r="889" ht="15" customHeight="1">
      <c r="A889" t="inlineStr">
        <is>
          <t>A 11929-2024</t>
        </is>
      </c>
      <c r="B889" s="1" t="n">
        <v>45376.64532407407</v>
      </c>
      <c r="C889" s="1" t="n">
        <v>45996</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20336-2024</t>
        </is>
      </c>
      <c r="B890" s="1" t="n">
        <v>45435.43123842592</v>
      </c>
      <c r="C890" s="1" t="n">
        <v>45996</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1847-2023</t>
        </is>
      </c>
      <c r="B891" s="1" t="n">
        <v>44938</v>
      </c>
      <c r="C891" s="1" t="n">
        <v>45996</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8296-2023</t>
        </is>
      </c>
      <c r="B892" s="1" t="n">
        <v>44974</v>
      </c>
      <c r="C892" s="1" t="n">
        <v>45996</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24575-2024</t>
        </is>
      </c>
      <c r="B893" s="1" t="n">
        <v>45460.45523148148</v>
      </c>
      <c r="C893" s="1" t="n">
        <v>45996</v>
      </c>
      <c r="D893" t="inlineStr">
        <is>
          <t>STOCKHOLMS LÄN</t>
        </is>
      </c>
      <c r="E893" t="inlineStr">
        <is>
          <t>NORRTÄLJE</t>
        </is>
      </c>
      <c r="G893" t="n">
        <v>2.6</v>
      </c>
      <c r="H893" t="n">
        <v>0</v>
      </c>
      <c r="I893" t="n">
        <v>0</v>
      </c>
      <c r="J893" t="n">
        <v>0</v>
      </c>
      <c r="K893" t="n">
        <v>0</v>
      </c>
      <c r="L893" t="n">
        <v>0</v>
      </c>
      <c r="M893" t="n">
        <v>0</v>
      </c>
      <c r="N893" t="n">
        <v>0</v>
      </c>
      <c r="O893" t="n">
        <v>0</v>
      </c>
      <c r="P893" t="n">
        <v>0</v>
      </c>
      <c r="Q893" t="n">
        <v>0</v>
      </c>
      <c r="R893" s="2" t="inlineStr"/>
    </row>
    <row r="894" ht="15" customHeight="1">
      <c r="A894" t="inlineStr">
        <is>
          <t>A 52529-2025</t>
        </is>
      </c>
      <c r="B894" s="1" t="n">
        <v>45954.53229166667</v>
      </c>
      <c r="C894" s="1" t="n">
        <v>45996</v>
      </c>
      <c r="D894" t="inlineStr">
        <is>
          <t>STOCKHOLMS LÄN</t>
        </is>
      </c>
      <c r="E894" t="inlineStr">
        <is>
          <t>NORRTÄLJE</t>
        </is>
      </c>
      <c r="F894" t="inlineStr">
        <is>
          <t>Sveaskog</t>
        </is>
      </c>
      <c r="G894" t="n">
        <v>7.8</v>
      </c>
      <c r="H894" t="n">
        <v>0</v>
      </c>
      <c r="I894" t="n">
        <v>0</v>
      </c>
      <c r="J894" t="n">
        <v>0</v>
      </c>
      <c r="K894" t="n">
        <v>0</v>
      </c>
      <c r="L894" t="n">
        <v>0</v>
      </c>
      <c r="M894" t="n">
        <v>0</v>
      </c>
      <c r="N894" t="n">
        <v>0</v>
      </c>
      <c r="O894" t="n">
        <v>0</v>
      </c>
      <c r="P894" t="n">
        <v>0</v>
      </c>
      <c r="Q894" t="n">
        <v>0</v>
      </c>
      <c r="R894" s="2" t="inlineStr"/>
    </row>
    <row r="895" ht="15" customHeight="1">
      <c r="A895" t="inlineStr">
        <is>
          <t>A 64899-2023</t>
        </is>
      </c>
      <c r="B895" s="1" t="n">
        <v>45282</v>
      </c>
      <c r="C895" s="1" t="n">
        <v>45996</v>
      </c>
      <c r="D895" t="inlineStr">
        <is>
          <t>STOCKHOLMS LÄN</t>
        </is>
      </c>
      <c r="E895" t="inlineStr">
        <is>
          <t>NORRTÄLJE</t>
        </is>
      </c>
      <c r="G895" t="n">
        <v>6.3</v>
      </c>
      <c r="H895" t="n">
        <v>0</v>
      </c>
      <c r="I895" t="n">
        <v>0</v>
      </c>
      <c r="J895" t="n">
        <v>0</v>
      </c>
      <c r="K895" t="n">
        <v>0</v>
      </c>
      <c r="L895" t="n">
        <v>0</v>
      </c>
      <c r="M895" t="n">
        <v>0</v>
      </c>
      <c r="N895" t="n">
        <v>0</v>
      </c>
      <c r="O895" t="n">
        <v>0</v>
      </c>
      <c r="P895" t="n">
        <v>0</v>
      </c>
      <c r="Q895" t="n">
        <v>0</v>
      </c>
      <c r="R895" s="2" t="inlineStr"/>
    </row>
    <row r="896" ht="15" customHeight="1">
      <c r="A896" t="inlineStr">
        <is>
          <t>A 52593-2024</t>
        </is>
      </c>
      <c r="B896" s="1" t="n">
        <v>45609.70778935185</v>
      </c>
      <c r="C896" s="1" t="n">
        <v>45996</v>
      </c>
      <c r="D896" t="inlineStr">
        <is>
          <t>STOCKHOLMS LÄN</t>
        </is>
      </c>
      <c r="E896" t="inlineStr">
        <is>
          <t>NORRTÄLJE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52617-2024</t>
        </is>
      </c>
      <c r="B897" s="1" t="n">
        <v>45609.85146990741</v>
      </c>
      <c r="C897" s="1" t="n">
        <v>45996</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52776-2025</t>
        </is>
      </c>
      <c r="B898" s="1" t="n">
        <v>45957.41724537037</v>
      </c>
      <c r="C898" s="1" t="n">
        <v>45996</v>
      </c>
      <c r="D898" t="inlineStr">
        <is>
          <t>STOCKHOLMS LÄN</t>
        </is>
      </c>
      <c r="E898" t="inlineStr">
        <is>
          <t>NORRTÄLJE</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52777-2025</t>
        </is>
      </c>
      <c r="B899" s="1" t="n">
        <v>45957.41832175926</v>
      </c>
      <c r="C899" s="1" t="n">
        <v>45996</v>
      </c>
      <c r="D899" t="inlineStr">
        <is>
          <t>STOCKHOLMS LÄN</t>
        </is>
      </c>
      <c r="E899" t="inlineStr">
        <is>
          <t>NORRTÄLJE</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59721-2024</t>
        </is>
      </c>
      <c r="B900" s="1" t="n">
        <v>45639.47385416667</v>
      </c>
      <c r="C900" s="1" t="n">
        <v>45996</v>
      </c>
      <c r="D900" t="inlineStr">
        <is>
          <t>STOCKHOLMS LÄN</t>
        </is>
      </c>
      <c r="E900" t="inlineStr">
        <is>
          <t>NORRTÄLJE</t>
        </is>
      </c>
      <c r="G900" t="n">
        <v>4.6</v>
      </c>
      <c r="H900" t="n">
        <v>0</v>
      </c>
      <c r="I900" t="n">
        <v>0</v>
      </c>
      <c r="J900" t="n">
        <v>0</v>
      </c>
      <c r="K900" t="n">
        <v>0</v>
      </c>
      <c r="L900" t="n">
        <v>0</v>
      </c>
      <c r="M900" t="n">
        <v>0</v>
      </c>
      <c r="N900" t="n">
        <v>0</v>
      </c>
      <c r="O900" t="n">
        <v>0</v>
      </c>
      <c r="P900" t="n">
        <v>0</v>
      </c>
      <c r="Q900" t="n">
        <v>0</v>
      </c>
      <c r="R900" s="2" t="inlineStr"/>
    </row>
    <row r="901" ht="15" customHeight="1">
      <c r="A901" t="inlineStr">
        <is>
          <t>A 22816-2021</t>
        </is>
      </c>
      <c r="B901" s="1" t="n">
        <v>44325</v>
      </c>
      <c r="C901" s="1" t="n">
        <v>45996</v>
      </c>
      <c r="D901" t="inlineStr">
        <is>
          <t>STOCKHOLMS LÄN</t>
        </is>
      </c>
      <c r="E901" t="inlineStr">
        <is>
          <t>NORRTÄLJE</t>
        </is>
      </c>
      <c r="G901" t="n">
        <v>4.5</v>
      </c>
      <c r="H901" t="n">
        <v>0</v>
      </c>
      <c r="I901" t="n">
        <v>0</v>
      </c>
      <c r="J901" t="n">
        <v>0</v>
      </c>
      <c r="K901" t="n">
        <v>0</v>
      </c>
      <c r="L901" t="n">
        <v>0</v>
      </c>
      <c r="M901" t="n">
        <v>0</v>
      </c>
      <c r="N901" t="n">
        <v>0</v>
      </c>
      <c r="O901" t="n">
        <v>0</v>
      </c>
      <c r="P901" t="n">
        <v>0</v>
      </c>
      <c r="Q901" t="n">
        <v>0</v>
      </c>
      <c r="R901" s="2" t="inlineStr"/>
    </row>
    <row r="902" ht="15" customHeight="1">
      <c r="A902" t="inlineStr">
        <is>
          <t>A 59904-2023</t>
        </is>
      </c>
      <c r="B902" s="1" t="n">
        <v>45257</v>
      </c>
      <c r="C902" s="1" t="n">
        <v>45996</v>
      </c>
      <c r="D902" t="inlineStr">
        <is>
          <t>STOCKHOLMS LÄN</t>
        </is>
      </c>
      <c r="E902" t="inlineStr">
        <is>
          <t>NORRTÄLJE</t>
        </is>
      </c>
      <c r="G902" t="n">
        <v>17.4</v>
      </c>
      <c r="H902" t="n">
        <v>0</v>
      </c>
      <c r="I902" t="n">
        <v>0</v>
      </c>
      <c r="J902" t="n">
        <v>0</v>
      </c>
      <c r="K902" t="n">
        <v>0</v>
      </c>
      <c r="L902" t="n">
        <v>0</v>
      </c>
      <c r="M902" t="n">
        <v>0</v>
      </c>
      <c r="N902" t="n">
        <v>0</v>
      </c>
      <c r="O902" t="n">
        <v>0</v>
      </c>
      <c r="P902" t="n">
        <v>0</v>
      </c>
      <c r="Q902" t="n">
        <v>0</v>
      </c>
      <c r="R902" s="2" t="inlineStr"/>
    </row>
    <row r="903" ht="15" customHeight="1">
      <c r="A903" t="inlineStr">
        <is>
          <t>A 9914-2023</t>
        </is>
      </c>
      <c r="B903" s="1" t="n">
        <v>44985</v>
      </c>
      <c r="C903" s="1" t="n">
        <v>45996</v>
      </c>
      <c r="D903" t="inlineStr">
        <is>
          <t>STOCKHOLMS LÄN</t>
        </is>
      </c>
      <c r="E903" t="inlineStr">
        <is>
          <t>NORRTÄLJE</t>
        </is>
      </c>
      <c r="G903" t="n">
        <v>4.2</v>
      </c>
      <c r="H903" t="n">
        <v>0</v>
      </c>
      <c r="I903" t="n">
        <v>0</v>
      </c>
      <c r="J903" t="n">
        <v>0</v>
      </c>
      <c r="K903" t="n">
        <v>0</v>
      </c>
      <c r="L903" t="n">
        <v>0</v>
      </c>
      <c r="M903" t="n">
        <v>0</v>
      </c>
      <c r="N903" t="n">
        <v>0</v>
      </c>
      <c r="O903" t="n">
        <v>0</v>
      </c>
      <c r="P903" t="n">
        <v>0</v>
      </c>
      <c r="Q903" t="n">
        <v>0</v>
      </c>
      <c r="R903" s="2" t="inlineStr"/>
    </row>
    <row r="904" ht="15" customHeight="1">
      <c r="A904" t="inlineStr">
        <is>
          <t>A 44354-2025</t>
        </is>
      </c>
      <c r="B904" s="1" t="n">
        <v>45916.44655092592</v>
      </c>
      <c r="C904" s="1" t="n">
        <v>45996</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11062-2024</t>
        </is>
      </c>
      <c r="B905" s="1" t="n">
        <v>45370</v>
      </c>
      <c r="C905" s="1" t="n">
        <v>45996</v>
      </c>
      <c r="D905" t="inlineStr">
        <is>
          <t>STOCKHOLMS LÄN</t>
        </is>
      </c>
      <c r="E905" t="inlineStr">
        <is>
          <t>NORRTÄLJE</t>
        </is>
      </c>
      <c r="G905" t="n">
        <v>3.2</v>
      </c>
      <c r="H905" t="n">
        <v>0</v>
      </c>
      <c r="I905" t="n">
        <v>0</v>
      </c>
      <c r="J905" t="n">
        <v>0</v>
      </c>
      <c r="K905" t="n">
        <v>0</v>
      </c>
      <c r="L905" t="n">
        <v>0</v>
      </c>
      <c r="M905" t="n">
        <v>0</v>
      </c>
      <c r="N905" t="n">
        <v>0</v>
      </c>
      <c r="O905" t="n">
        <v>0</v>
      </c>
      <c r="P905" t="n">
        <v>0</v>
      </c>
      <c r="Q905" t="n">
        <v>0</v>
      </c>
      <c r="R905" s="2" t="inlineStr"/>
    </row>
    <row r="906" ht="15" customHeight="1">
      <c r="A906" t="inlineStr">
        <is>
          <t>A 33569-2023</t>
        </is>
      </c>
      <c r="B906" s="1" t="n">
        <v>45131.666875</v>
      </c>
      <c r="C906" s="1" t="n">
        <v>45996</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15905-2023</t>
        </is>
      </c>
      <c r="B907" s="1" t="n">
        <v>45022</v>
      </c>
      <c r="C907" s="1" t="n">
        <v>45996</v>
      </c>
      <c r="D907" t="inlineStr">
        <is>
          <t>STOCKHOLMS LÄN</t>
        </is>
      </c>
      <c r="E907" t="inlineStr">
        <is>
          <t>NORRTÄLJE</t>
        </is>
      </c>
      <c r="G907" t="n">
        <v>3.2</v>
      </c>
      <c r="H907" t="n">
        <v>0</v>
      </c>
      <c r="I907" t="n">
        <v>0</v>
      </c>
      <c r="J907" t="n">
        <v>0</v>
      </c>
      <c r="K907" t="n">
        <v>0</v>
      </c>
      <c r="L907" t="n">
        <v>0</v>
      </c>
      <c r="M907" t="n">
        <v>0</v>
      </c>
      <c r="N907" t="n">
        <v>0</v>
      </c>
      <c r="O907" t="n">
        <v>0</v>
      </c>
      <c r="P907" t="n">
        <v>0</v>
      </c>
      <c r="Q907" t="n">
        <v>0</v>
      </c>
      <c r="R907" s="2" t="inlineStr"/>
    </row>
    <row r="908" ht="15" customHeight="1">
      <c r="A908" t="inlineStr">
        <is>
          <t>A 37010-2022</t>
        </is>
      </c>
      <c r="B908" s="1" t="n">
        <v>44806.41576388889</v>
      </c>
      <c r="C908" s="1" t="n">
        <v>45996</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951-2023</t>
        </is>
      </c>
      <c r="B909" s="1" t="n">
        <v>44934</v>
      </c>
      <c r="C909" s="1" t="n">
        <v>45996</v>
      </c>
      <c r="D909" t="inlineStr">
        <is>
          <t>STOCKHOLMS LÄN</t>
        </is>
      </c>
      <c r="E909" t="inlineStr">
        <is>
          <t>NORRTÄLJE</t>
        </is>
      </c>
      <c r="G909" t="n">
        <v>3.7</v>
      </c>
      <c r="H909" t="n">
        <v>0</v>
      </c>
      <c r="I909" t="n">
        <v>0</v>
      </c>
      <c r="J909" t="n">
        <v>0</v>
      </c>
      <c r="K909" t="n">
        <v>0</v>
      </c>
      <c r="L909" t="n">
        <v>0</v>
      </c>
      <c r="M909" t="n">
        <v>0</v>
      </c>
      <c r="N909" t="n">
        <v>0</v>
      </c>
      <c r="O909" t="n">
        <v>0</v>
      </c>
      <c r="P909" t="n">
        <v>0</v>
      </c>
      <c r="Q909" t="n">
        <v>0</v>
      </c>
      <c r="R909" s="2" t="inlineStr"/>
    </row>
    <row r="910" ht="15" customHeight="1">
      <c r="A910" t="inlineStr">
        <is>
          <t>A 15956-2023</t>
        </is>
      </c>
      <c r="B910" s="1" t="n">
        <v>45022.61003472222</v>
      </c>
      <c r="C910" s="1" t="n">
        <v>45996</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47626-2022</t>
        </is>
      </c>
      <c r="B911" s="1" t="n">
        <v>44854</v>
      </c>
      <c r="C911" s="1" t="n">
        <v>45996</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5423-2023</t>
        </is>
      </c>
      <c r="B912" s="1" t="n">
        <v>44959.74533564815</v>
      </c>
      <c r="C912" s="1" t="n">
        <v>45996</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50182-2024</t>
        </is>
      </c>
      <c r="B913" s="1" t="n">
        <v>45600.47275462963</v>
      </c>
      <c r="C913" s="1" t="n">
        <v>45996</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62206-2022</t>
        </is>
      </c>
      <c r="B914" s="1" t="n">
        <v>44922</v>
      </c>
      <c r="C914" s="1" t="n">
        <v>45996</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12629-2024</t>
        </is>
      </c>
      <c r="B915" s="1" t="n">
        <v>45383</v>
      </c>
      <c r="C915" s="1" t="n">
        <v>45996</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20618-2022</t>
        </is>
      </c>
      <c r="B916" s="1" t="n">
        <v>44700.50659722222</v>
      </c>
      <c r="C916" s="1" t="n">
        <v>45996</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40192-2023</t>
        </is>
      </c>
      <c r="B917" s="1" t="n">
        <v>45169</v>
      </c>
      <c r="C917" s="1" t="n">
        <v>45996</v>
      </c>
      <c r="D917" t="inlineStr">
        <is>
          <t>STOCKHOLMS LÄN</t>
        </is>
      </c>
      <c r="E917" t="inlineStr">
        <is>
          <t>NORRTÄLJE</t>
        </is>
      </c>
      <c r="F917" t="inlineStr">
        <is>
          <t>Kyrkan</t>
        </is>
      </c>
      <c r="G917" t="n">
        <v>0.7</v>
      </c>
      <c r="H917" t="n">
        <v>0</v>
      </c>
      <c r="I917" t="n">
        <v>0</v>
      </c>
      <c r="J917" t="n">
        <v>0</v>
      </c>
      <c r="K917" t="n">
        <v>0</v>
      </c>
      <c r="L917" t="n">
        <v>0</v>
      </c>
      <c r="M917" t="n">
        <v>0</v>
      </c>
      <c r="N917" t="n">
        <v>0</v>
      </c>
      <c r="O917" t="n">
        <v>0</v>
      </c>
      <c r="P917" t="n">
        <v>0</v>
      </c>
      <c r="Q917" t="n">
        <v>0</v>
      </c>
      <c r="R917" s="2" t="inlineStr"/>
    </row>
    <row r="918" ht="15" customHeight="1">
      <c r="A918" t="inlineStr">
        <is>
          <t>A 35708-2022</t>
        </is>
      </c>
      <c r="B918" s="1" t="n">
        <v>44799.65013888889</v>
      </c>
      <c r="C918" s="1" t="n">
        <v>45996</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11900-2022</t>
        </is>
      </c>
      <c r="B919" s="1" t="n">
        <v>44635</v>
      </c>
      <c r="C919" s="1" t="n">
        <v>45996</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10973-2025</t>
        </is>
      </c>
      <c r="B920" s="1" t="n">
        <v>45723</v>
      </c>
      <c r="C920" s="1" t="n">
        <v>45996</v>
      </c>
      <c r="D920" t="inlineStr">
        <is>
          <t>STOCKHOLMS LÄN</t>
        </is>
      </c>
      <c r="E920" t="inlineStr">
        <is>
          <t>NORRTÄLJE</t>
        </is>
      </c>
      <c r="F920" t="inlineStr">
        <is>
          <t>Övriga Aktiebolag</t>
        </is>
      </c>
      <c r="G920" t="n">
        <v>2.7</v>
      </c>
      <c r="H920" t="n">
        <v>0</v>
      </c>
      <c r="I920" t="n">
        <v>0</v>
      </c>
      <c r="J920" t="n">
        <v>0</v>
      </c>
      <c r="K920" t="n">
        <v>0</v>
      </c>
      <c r="L920" t="n">
        <v>0</v>
      </c>
      <c r="M920" t="n">
        <v>0</v>
      </c>
      <c r="N920" t="n">
        <v>0</v>
      </c>
      <c r="O920" t="n">
        <v>0</v>
      </c>
      <c r="P920" t="n">
        <v>0</v>
      </c>
      <c r="Q920" t="n">
        <v>0</v>
      </c>
      <c r="R920" s="2" t="inlineStr"/>
    </row>
    <row r="921" ht="15" customHeight="1">
      <c r="A921" t="inlineStr">
        <is>
          <t>A 45220-2024</t>
        </is>
      </c>
      <c r="B921" s="1" t="n">
        <v>45575</v>
      </c>
      <c r="C921" s="1" t="n">
        <v>45996</v>
      </c>
      <c r="D921" t="inlineStr">
        <is>
          <t>STOCKHOLMS LÄN</t>
        </is>
      </c>
      <c r="E921" t="inlineStr">
        <is>
          <t>NORRTÄLJE</t>
        </is>
      </c>
      <c r="G921" t="n">
        <v>4.3</v>
      </c>
      <c r="H921" t="n">
        <v>0</v>
      </c>
      <c r="I921" t="n">
        <v>0</v>
      </c>
      <c r="J921" t="n">
        <v>0</v>
      </c>
      <c r="K921" t="n">
        <v>0</v>
      </c>
      <c r="L921" t="n">
        <v>0</v>
      </c>
      <c r="M921" t="n">
        <v>0</v>
      </c>
      <c r="N921" t="n">
        <v>0</v>
      </c>
      <c r="O921" t="n">
        <v>0</v>
      </c>
      <c r="P921" t="n">
        <v>0</v>
      </c>
      <c r="Q921" t="n">
        <v>0</v>
      </c>
      <c r="R921" s="2" t="inlineStr"/>
    </row>
    <row r="922" ht="15" customHeight="1">
      <c r="A922" t="inlineStr">
        <is>
          <t>A 21731-2023</t>
        </is>
      </c>
      <c r="B922" s="1" t="n">
        <v>45063</v>
      </c>
      <c r="C922" s="1" t="n">
        <v>45996</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44306-2025</t>
        </is>
      </c>
      <c r="B923" s="1" t="n">
        <v>45916.37736111111</v>
      </c>
      <c r="C923" s="1" t="n">
        <v>45996</v>
      </c>
      <c r="D923" t="inlineStr">
        <is>
          <t>STOCKHOLMS LÄN</t>
        </is>
      </c>
      <c r="E923" t="inlineStr">
        <is>
          <t>NORRTÄLJE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44343-2025</t>
        </is>
      </c>
      <c r="B924" s="1" t="n">
        <v>45916.43378472222</v>
      </c>
      <c r="C924" s="1" t="n">
        <v>45996</v>
      </c>
      <c r="D924" t="inlineStr">
        <is>
          <t>STOCKHOLMS LÄN</t>
        </is>
      </c>
      <c r="E924" t="inlineStr">
        <is>
          <t>NORRTÄLJE</t>
        </is>
      </c>
      <c r="G924" t="n">
        <v>1.6</v>
      </c>
      <c r="H924" t="n">
        <v>0</v>
      </c>
      <c r="I924" t="n">
        <v>0</v>
      </c>
      <c r="J924" t="n">
        <v>0</v>
      </c>
      <c r="K924" t="n">
        <v>0</v>
      </c>
      <c r="L924" t="n">
        <v>0</v>
      </c>
      <c r="M924" t="n">
        <v>0</v>
      </c>
      <c r="N924" t="n">
        <v>0</v>
      </c>
      <c r="O924" t="n">
        <v>0</v>
      </c>
      <c r="P924" t="n">
        <v>0</v>
      </c>
      <c r="Q924" t="n">
        <v>0</v>
      </c>
      <c r="R924" s="2" t="inlineStr"/>
    </row>
    <row r="925" ht="15" customHeight="1">
      <c r="A925" t="inlineStr">
        <is>
          <t>A 44349-2025</t>
        </is>
      </c>
      <c r="B925" s="1" t="n">
        <v>45916.43929398148</v>
      </c>
      <c r="C925" s="1" t="n">
        <v>45996</v>
      </c>
      <c r="D925" t="inlineStr">
        <is>
          <t>STOCKHOLMS LÄN</t>
        </is>
      </c>
      <c r="E925" t="inlineStr">
        <is>
          <t>NORRTÄLJE</t>
        </is>
      </c>
      <c r="G925" t="n">
        <v>3.5</v>
      </c>
      <c r="H925" t="n">
        <v>0</v>
      </c>
      <c r="I925" t="n">
        <v>0</v>
      </c>
      <c r="J925" t="n">
        <v>0</v>
      </c>
      <c r="K925" t="n">
        <v>0</v>
      </c>
      <c r="L925" t="n">
        <v>0</v>
      </c>
      <c r="M925" t="n">
        <v>0</v>
      </c>
      <c r="N925" t="n">
        <v>0</v>
      </c>
      <c r="O925" t="n">
        <v>0</v>
      </c>
      <c r="P925" t="n">
        <v>0</v>
      </c>
      <c r="Q925" t="n">
        <v>0</v>
      </c>
      <c r="R925" s="2" t="inlineStr"/>
    </row>
    <row r="926" ht="15" customHeight="1">
      <c r="A926" t="inlineStr">
        <is>
          <t>A 27885-2022</t>
        </is>
      </c>
      <c r="B926" s="1" t="n">
        <v>44743.67418981482</v>
      </c>
      <c r="C926" s="1" t="n">
        <v>45996</v>
      </c>
      <c r="D926" t="inlineStr">
        <is>
          <t>STOCKHOLMS LÄN</t>
        </is>
      </c>
      <c r="E926" t="inlineStr">
        <is>
          <t>NORRTÄLJE</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23266-2023</t>
        </is>
      </c>
      <c r="B927" s="1" t="n">
        <v>45075.90817129629</v>
      </c>
      <c r="C927" s="1" t="n">
        <v>45996</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44311-2025</t>
        </is>
      </c>
      <c r="B928" s="1" t="n">
        <v>45916.38394675926</v>
      </c>
      <c r="C928" s="1" t="n">
        <v>45996</v>
      </c>
      <c r="D928" t="inlineStr">
        <is>
          <t>STOCKHOLMS LÄN</t>
        </is>
      </c>
      <c r="E928" t="inlineStr">
        <is>
          <t>NORRTÄLJE</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53299-2025</t>
        </is>
      </c>
      <c r="B929" s="1" t="n">
        <v>45959.31901620371</v>
      </c>
      <c r="C929" s="1" t="n">
        <v>45996</v>
      </c>
      <c r="D929" t="inlineStr">
        <is>
          <t>STOCKHOLMS LÄN</t>
        </is>
      </c>
      <c r="E929" t="inlineStr">
        <is>
          <t>NORRTÄLJE</t>
        </is>
      </c>
      <c r="G929" t="n">
        <v>4.8</v>
      </c>
      <c r="H929" t="n">
        <v>0</v>
      </c>
      <c r="I929" t="n">
        <v>0</v>
      </c>
      <c r="J929" t="n">
        <v>0</v>
      </c>
      <c r="K929" t="n">
        <v>0</v>
      </c>
      <c r="L929" t="n">
        <v>0</v>
      </c>
      <c r="M929" t="n">
        <v>0</v>
      </c>
      <c r="N929" t="n">
        <v>0</v>
      </c>
      <c r="O929" t="n">
        <v>0</v>
      </c>
      <c r="P929" t="n">
        <v>0</v>
      </c>
      <c r="Q929" t="n">
        <v>0</v>
      </c>
      <c r="R929" s="2" t="inlineStr"/>
    </row>
    <row r="930" ht="15" customHeight="1">
      <c r="A930" t="inlineStr">
        <is>
          <t>A 44333-2025</t>
        </is>
      </c>
      <c r="B930" s="1" t="n">
        <v>45916.42293981482</v>
      </c>
      <c r="C930" s="1" t="n">
        <v>45996</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53087-2025</t>
        </is>
      </c>
      <c r="B931" s="1" t="n">
        <v>45958.41065972222</v>
      </c>
      <c r="C931" s="1" t="n">
        <v>45996</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53115-2025</t>
        </is>
      </c>
      <c r="B932" s="1" t="n">
        <v>45958.44614583333</v>
      </c>
      <c r="C932" s="1" t="n">
        <v>45996</v>
      </c>
      <c r="D932" t="inlineStr">
        <is>
          <t>STOCKHOLMS LÄN</t>
        </is>
      </c>
      <c r="E932" t="inlineStr">
        <is>
          <t>NORRTÄLJE</t>
        </is>
      </c>
      <c r="F932" t="inlineStr">
        <is>
          <t>Kyrkan</t>
        </is>
      </c>
      <c r="G932" t="n">
        <v>2.5</v>
      </c>
      <c r="H932" t="n">
        <v>0</v>
      </c>
      <c r="I932" t="n">
        <v>0</v>
      </c>
      <c r="J932" t="n">
        <v>0</v>
      </c>
      <c r="K932" t="n">
        <v>0</v>
      </c>
      <c r="L932" t="n">
        <v>0</v>
      </c>
      <c r="M932" t="n">
        <v>0</v>
      </c>
      <c r="N932" t="n">
        <v>0</v>
      </c>
      <c r="O932" t="n">
        <v>0</v>
      </c>
      <c r="P932" t="n">
        <v>0</v>
      </c>
      <c r="Q932" t="n">
        <v>0</v>
      </c>
      <c r="R932" s="2" t="inlineStr"/>
    </row>
    <row r="933" ht="15" customHeight="1">
      <c r="A933" t="inlineStr">
        <is>
          <t>A 47521-2024</t>
        </is>
      </c>
      <c r="B933" s="1" t="n">
        <v>45587.62565972222</v>
      </c>
      <c r="C933" s="1" t="n">
        <v>45996</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58260-2023</t>
        </is>
      </c>
      <c r="B934" s="1" t="n">
        <v>45245</v>
      </c>
      <c r="C934" s="1" t="n">
        <v>45996</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58261-2023</t>
        </is>
      </c>
      <c r="B935" s="1" t="n">
        <v>45245</v>
      </c>
      <c r="C935" s="1" t="n">
        <v>45996</v>
      </c>
      <c r="D935" t="inlineStr">
        <is>
          <t>STOCKHOLMS LÄN</t>
        </is>
      </c>
      <c r="E935" t="inlineStr">
        <is>
          <t>NORRTÄLJE</t>
        </is>
      </c>
      <c r="G935" t="n">
        <v>53.5</v>
      </c>
      <c r="H935" t="n">
        <v>0</v>
      </c>
      <c r="I935" t="n">
        <v>0</v>
      </c>
      <c r="J935" t="n">
        <v>0</v>
      </c>
      <c r="K935" t="n">
        <v>0</v>
      </c>
      <c r="L935" t="n">
        <v>0</v>
      </c>
      <c r="M935" t="n">
        <v>0</v>
      </c>
      <c r="N935" t="n">
        <v>0</v>
      </c>
      <c r="O935" t="n">
        <v>0</v>
      </c>
      <c r="P935" t="n">
        <v>0</v>
      </c>
      <c r="Q935" t="n">
        <v>0</v>
      </c>
      <c r="R935" s="2" t="inlineStr"/>
    </row>
    <row r="936" ht="15" customHeight="1">
      <c r="A936" t="inlineStr">
        <is>
          <t>A 53747-2025</t>
        </is>
      </c>
      <c r="B936" s="1" t="n">
        <v>45960.65415509259</v>
      </c>
      <c r="C936" s="1" t="n">
        <v>45996</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60224-2023</t>
        </is>
      </c>
      <c r="B937" s="1" t="n">
        <v>45257</v>
      </c>
      <c r="C937" s="1" t="n">
        <v>45996</v>
      </c>
      <c r="D937" t="inlineStr">
        <is>
          <t>STOCKHOLMS LÄN</t>
        </is>
      </c>
      <c r="E937" t="inlineStr">
        <is>
          <t>NORRTÄLJE</t>
        </is>
      </c>
      <c r="G937" t="n">
        <v>8.1</v>
      </c>
      <c r="H937" t="n">
        <v>0</v>
      </c>
      <c r="I937" t="n">
        <v>0</v>
      </c>
      <c r="J937" t="n">
        <v>0</v>
      </c>
      <c r="K937" t="n">
        <v>0</v>
      </c>
      <c r="L937" t="n">
        <v>0</v>
      </c>
      <c r="M937" t="n">
        <v>0</v>
      </c>
      <c r="N937" t="n">
        <v>0</v>
      </c>
      <c r="O937" t="n">
        <v>0</v>
      </c>
      <c r="P937" t="n">
        <v>0</v>
      </c>
      <c r="Q937" t="n">
        <v>0</v>
      </c>
      <c r="R937" s="2" t="inlineStr"/>
    </row>
    <row r="938" ht="15" customHeight="1">
      <c r="A938" t="inlineStr">
        <is>
          <t>A 5158-2024</t>
        </is>
      </c>
      <c r="B938" s="1" t="n">
        <v>45330.50098379629</v>
      </c>
      <c r="C938" s="1" t="n">
        <v>45996</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29266-2022</t>
        </is>
      </c>
      <c r="B939" s="1" t="n">
        <v>44750.66068287037</v>
      </c>
      <c r="C939" s="1" t="n">
        <v>45996</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29278-2022</t>
        </is>
      </c>
      <c r="B940" s="1" t="n">
        <v>44750</v>
      </c>
      <c r="C940" s="1" t="n">
        <v>45996</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37273-2024</t>
        </is>
      </c>
      <c r="B941" s="1" t="n">
        <v>45540</v>
      </c>
      <c r="C941" s="1" t="n">
        <v>45996</v>
      </c>
      <c r="D941" t="inlineStr">
        <is>
          <t>STOCKHOLMS LÄN</t>
        </is>
      </c>
      <c r="E941" t="inlineStr">
        <is>
          <t>NORRTÄLJE</t>
        </is>
      </c>
      <c r="F941" t="inlineStr">
        <is>
          <t>Sveaskog</t>
        </is>
      </c>
      <c r="G941" t="n">
        <v>12.5</v>
      </c>
      <c r="H941" t="n">
        <v>0</v>
      </c>
      <c r="I941" t="n">
        <v>0</v>
      </c>
      <c r="J941" t="n">
        <v>0</v>
      </c>
      <c r="K941" t="n">
        <v>0</v>
      </c>
      <c r="L941" t="n">
        <v>0</v>
      </c>
      <c r="M941" t="n">
        <v>0</v>
      </c>
      <c r="N941" t="n">
        <v>0</v>
      </c>
      <c r="O941" t="n">
        <v>0</v>
      </c>
      <c r="P941" t="n">
        <v>0</v>
      </c>
      <c r="Q941" t="n">
        <v>0</v>
      </c>
      <c r="R941" s="2" t="inlineStr"/>
    </row>
    <row r="942" ht="15" customHeight="1">
      <c r="A942" t="inlineStr">
        <is>
          <t>A 12908-2025</t>
        </is>
      </c>
      <c r="B942" s="1" t="n">
        <v>45733.82105324074</v>
      </c>
      <c r="C942" s="1" t="n">
        <v>45996</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53629-2025</t>
        </is>
      </c>
      <c r="B943" s="1" t="n">
        <v>45960.49570601852</v>
      </c>
      <c r="C943" s="1" t="n">
        <v>45996</v>
      </c>
      <c r="D943" t="inlineStr">
        <is>
          <t>STOCKHOLMS LÄN</t>
        </is>
      </c>
      <c r="E943" t="inlineStr">
        <is>
          <t>NORRTÄLJE</t>
        </is>
      </c>
      <c r="F943" t="inlineStr">
        <is>
          <t>Naturvårdsverket</t>
        </is>
      </c>
      <c r="G943" t="n">
        <v>7.9</v>
      </c>
      <c r="H943" t="n">
        <v>0</v>
      </c>
      <c r="I943" t="n">
        <v>0</v>
      </c>
      <c r="J943" t="n">
        <v>0</v>
      </c>
      <c r="K943" t="n">
        <v>0</v>
      </c>
      <c r="L943" t="n">
        <v>0</v>
      </c>
      <c r="M943" t="n">
        <v>0</v>
      </c>
      <c r="N943" t="n">
        <v>0</v>
      </c>
      <c r="O943" t="n">
        <v>0</v>
      </c>
      <c r="P943" t="n">
        <v>0</v>
      </c>
      <c r="Q943" t="n">
        <v>0</v>
      </c>
      <c r="R943" s="2" t="inlineStr"/>
    </row>
    <row r="944" ht="15" customHeight="1">
      <c r="A944" t="inlineStr">
        <is>
          <t>A 44937-2025</t>
        </is>
      </c>
      <c r="B944" s="1" t="n">
        <v>45918</v>
      </c>
      <c r="C944" s="1" t="n">
        <v>45996</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9130-2025</t>
        </is>
      </c>
      <c r="B945" s="1" t="n">
        <v>45713.92623842593</v>
      </c>
      <c r="C945" s="1" t="n">
        <v>45996</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23060-2023</t>
        </is>
      </c>
      <c r="B946" s="1" t="n">
        <v>45075</v>
      </c>
      <c r="C946" s="1" t="n">
        <v>45996</v>
      </c>
      <c r="D946" t="inlineStr">
        <is>
          <t>STOCKHOLMS LÄN</t>
        </is>
      </c>
      <c r="E946" t="inlineStr">
        <is>
          <t>NORRTÄLJE</t>
        </is>
      </c>
      <c r="G946" t="n">
        <v>0.5</v>
      </c>
      <c r="H946" t="n">
        <v>0</v>
      </c>
      <c r="I946" t="n">
        <v>0</v>
      </c>
      <c r="J946" t="n">
        <v>0</v>
      </c>
      <c r="K946" t="n">
        <v>0</v>
      </c>
      <c r="L946" t="n">
        <v>0</v>
      </c>
      <c r="M946" t="n">
        <v>0</v>
      </c>
      <c r="N946" t="n">
        <v>0</v>
      </c>
      <c r="O946" t="n">
        <v>0</v>
      </c>
      <c r="P946" t="n">
        <v>0</v>
      </c>
      <c r="Q946" t="n">
        <v>0</v>
      </c>
      <c r="R946" s="2" t="inlineStr"/>
    </row>
    <row r="947" ht="15" customHeight="1">
      <c r="A947" t="inlineStr">
        <is>
          <t>A 17551-2025</t>
        </is>
      </c>
      <c r="B947" s="1" t="n">
        <v>45757.61421296297</v>
      </c>
      <c r="C947" s="1" t="n">
        <v>45996</v>
      </c>
      <c r="D947" t="inlineStr">
        <is>
          <t>STOCKHOLMS LÄN</t>
        </is>
      </c>
      <c r="E947" t="inlineStr">
        <is>
          <t>NORRTÄLJE</t>
        </is>
      </c>
      <c r="G947" t="n">
        <v>2.8</v>
      </c>
      <c r="H947" t="n">
        <v>0</v>
      </c>
      <c r="I947" t="n">
        <v>0</v>
      </c>
      <c r="J947" t="n">
        <v>0</v>
      </c>
      <c r="K947" t="n">
        <v>0</v>
      </c>
      <c r="L947" t="n">
        <v>0</v>
      </c>
      <c r="M947" t="n">
        <v>0</v>
      </c>
      <c r="N947" t="n">
        <v>0</v>
      </c>
      <c r="O947" t="n">
        <v>0</v>
      </c>
      <c r="P947" t="n">
        <v>0</v>
      </c>
      <c r="Q947" t="n">
        <v>0</v>
      </c>
      <c r="R947" s="2" t="inlineStr"/>
    </row>
    <row r="948" ht="15" customHeight="1">
      <c r="A948" t="inlineStr">
        <is>
          <t>A 55010-2024</t>
        </is>
      </c>
      <c r="B948" s="1" t="n">
        <v>45621.34425925926</v>
      </c>
      <c r="C948" s="1" t="n">
        <v>45996</v>
      </c>
      <c r="D948" t="inlineStr">
        <is>
          <t>STOCKHOLMS LÄN</t>
        </is>
      </c>
      <c r="E948" t="inlineStr">
        <is>
          <t>NORRTÄLJE</t>
        </is>
      </c>
      <c r="F948" t="inlineStr">
        <is>
          <t>Sveaskog</t>
        </is>
      </c>
      <c r="G948" t="n">
        <v>5.7</v>
      </c>
      <c r="H948" t="n">
        <v>0</v>
      </c>
      <c r="I948" t="n">
        <v>0</v>
      </c>
      <c r="J948" t="n">
        <v>0</v>
      </c>
      <c r="K948" t="n">
        <v>0</v>
      </c>
      <c r="L948" t="n">
        <v>0</v>
      </c>
      <c r="M948" t="n">
        <v>0</v>
      </c>
      <c r="N948" t="n">
        <v>0</v>
      </c>
      <c r="O948" t="n">
        <v>0</v>
      </c>
      <c r="P948" t="n">
        <v>0</v>
      </c>
      <c r="Q948" t="n">
        <v>0</v>
      </c>
      <c r="R948" s="2" t="inlineStr"/>
    </row>
    <row r="949" ht="15" customHeight="1">
      <c r="A949" t="inlineStr">
        <is>
          <t>A 31105-2022</t>
        </is>
      </c>
      <c r="B949" s="1" t="n">
        <v>44769.66039351852</v>
      </c>
      <c r="C949" s="1" t="n">
        <v>45996</v>
      </c>
      <c r="D949" t="inlineStr">
        <is>
          <t>STOCKHOLMS LÄN</t>
        </is>
      </c>
      <c r="E949" t="inlineStr">
        <is>
          <t>NORRTÄLJE</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32103-2022</t>
        </is>
      </c>
      <c r="B950" s="1" t="n">
        <v>44778</v>
      </c>
      <c r="C950" s="1" t="n">
        <v>45996</v>
      </c>
      <c r="D950" t="inlineStr">
        <is>
          <t>STOCKHOLMS LÄN</t>
        </is>
      </c>
      <c r="E950" t="inlineStr">
        <is>
          <t>NORRTÄLJE</t>
        </is>
      </c>
      <c r="G950" t="n">
        <v>3.4</v>
      </c>
      <c r="H950" t="n">
        <v>0</v>
      </c>
      <c r="I950" t="n">
        <v>0</v>
      </c>
      <c r="J950" t="n">
        <v>0</v>
      </c>
      <c r="K950" t="n">
        <v>0</v>
      </c>
      <c r="L950" t="n">
        <v>0</v>
      </c>
      <c r="M950" t="n">
        <v>0</v>
      </c>
      <c r="N950" t="n">
        <v>0</v>
      </c>
      <c r="O950" t="n">
        <v>0</v>
      </c>
      <c r="P950" t="n">
        <v>0</v>
      </c>
      <c r="Q950" t="n">
        <v>0</v>
      </c>
      <c r="R950" s="2" t="inlineStr"/>
    </row>
    <row r="951" ht="15" customHeight="1">
      <c r="A951" t="inlineStr">
        <is>
          <t>A 6401-2024</t>
        </is>
      </c>
      <c r="B951" s="1" t="n">
        <v>45338</v>
      </c>
      <c r="C951" s="1" t="n">
        <v>45996</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59504-2023</t>
        </is>
      </c>
      <c r="B952" s="1" t="n">
        <v>45254</v>
      </c>
      <c r="C952" s="1" t="n">
        <v>45996</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30620-2022</t>
        </is>
      </c>
      <c r="B953" s="1" t="n">
        <v>44763.40914351852</v>
      </c>
      <c r="C953" s="1" t="n">
        <v>45996</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50113-2024</t>
        </is>
      </c>
      <c r="B954" s="1" t="n">
        <v>45600.411875</v>
      </c>
      <c r="C954" s="1" t="n">
        <v>45996</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28365-2022</t>
        </is>
      </c>
      <c r="B955" s="1" t="n">
        <v>44747</v>
      </c>
      <c r="C955" s="1" t="n">
        <v>45996</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42955-2022</t>
        </is>
      </c>
      <c r="B956" s="1" t="n">
        <v>44833.40876157407</v>
      </c>
      <c r="C956" s="1" t="n">
        <v>45996</v>
      </c>
      <c r="D956" t="inlineStr">
        <is>
          <t>STOCKHOLMS LÄN</t>
        </is>
      </c>
      <c r="E956" t="inlineStr">
        <is>
          <t>NORRTÄLJE</t>
        </is>
      </c>
      <c r="G956" t="n">
        <v>13.1</v>
      </c>
      <c r="H956" t="n">
        <v>0</v>
      </c>
      <c r="I956" t="n">
        <v>0</v>
      </c>
      <c r="J956" t="n">
        <v>0</v>
      </c>
      <c r="K956" t="n">
        <v>0</v>
      </c>
      <c r="L956" t="n">
        <v>0</v>
      </c>
      <c r="M956" t="n">
        <v>0</v>
      </c>
      <c r="N956" t="n">
        <v>0</v>
      </c>
      <c r="O956" t="n">
        <v>0</v>
      </c>
      <c r="P956" t="n">
        <v>0</v>
      </c>
      <c r="Q956" t="n">
        <v>0</v>
      </c>
      <c r="R956" s="2" t="inlineStr"/>
    </row>
    <row r="957" ht="15" customHeight="1">
      <c r="A957" t="inlineStr">
        <is>
          <t>A 1283-2025</t>
        </is>
      </c>
      <c r="B957" s="1" t="n">
        <v>45667.49878472222</v>
      </c>
      <c r="C957" s="1" t="n">
        <v>45996</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52321-2024</t>
        </is>
      </c>
      <c r="B958" s="1" t="n">
        <v>45608</v>
      </c>
      <c r="C958" s="1" t="n">
        <v>45996</v>
      </c>
      <c r="D958" t="inlineStr">
        <is>
          <t>STOCKHOLMS LÄN</t>
        </is>
      </c>
      <c r="E958" t="inlineStr">
        <is>
          <t>NORRTÄLJE</t>
        </is>
      </c>
      <c r="G958" t="n">
        <v>18.1</v>
      </c>
      <c r="H958" t="n">
        <v>0</v>
      </c>
      <c r="I958" t="n">
        <v>0</v>
      </c>
      <c r="J958" t="n">
        <v>0</v>
      </c>
      <c r="K958" t="n">
        <v>0</v>
      </c>
      <c r="L958" t="n">
        <v>0</v>
      </c>
      <c r="M958" t="n">
        <v>0</v>
      </c>
      <c r="N958" t="n">
        <v>0</v>
      </c>
      <c r="O958" t="n">
        <v>0</v>
      </c>
      <c r="P958" t="n">
        <v>0</v>
      </c>
      <c r="Q958" t="n">
        <v>0</v>
      </c>
      <c r="R958" s="2" t="inlineStr"/>
    </row>
    <row r="959" ht="15" customHeight="1">
      <c r="A959" t="inlineStr">
        <is>
          <t>A 48151-2024</t>
        </is>
      </c>
      <c r="B959" s="1" t="n">
        <v>45589.68289351852</v>
      </c>
      <c r="C959" s="1" t="n">
        <v>45996</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9703-2021</t>
        </is>
      </c>
      <c r="B960" s="1" t="n">
        <v>44252</v>
      </c>
      <c r="C960" s="1" t="n">
        <v>45996</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20370-2025</t>
        </is>
      </c>
      <c r="B961" s="1" t="n">
        <v>45775.41451388889</v>
      </c>
      <c r="C961" s="1" t="n">
        <v>45996</v>
      </c>
      <c r="D961" t="inlineStr">
        <is>
          <t>STOCKHOLMS LÄN</t>
        </is>
      </c>
      <c r="E961" t="inlineStr">
        <is>
          <t>NORRTÄLJE</t>
        </is>
      </c>
      <c r="G961" t="n">
        <v>2.9</v>
      </c>
      <c r="H961" t="n">
        <v>0</v>
      </c>
      <c r="I961" t="n">
        <v>0</v>
      </c>
      <c r="J961" t="n">
        <v>0</v>
      </c>
      <c r="K961" t="n">
        <v>0</v>
      </c>
      <c r="L961" t="n">
        <v>0</v>
      </c>
      <c r="M961" t="n">
        <v>0</v>
      </c>
      <c r="N961" t="n">
        <v>0</v>
      </c>
      <c r="O961" t="n">
        <v>0</v>
      </c>
      <c r="P961" t="n">
        <v>0</v>
      </c>
      <c r="Q961" t="n">
        <v>0</v>
      </c>
      <c r="R961" s="2" t="inlineStr"/>
    </row>
    <row r="962" ht="15" customHeight="1">
      <c r="A962" t="inlineStr">
        <is>
          <t>A 19580-2022</t>
        </is>
      </c>
      <c r="B962" s="1" t="n">
        <v>44693</v>
      </c>
      <c r="C962" s="1" t="n">
        <v>45996</v>
      </c>
      <c r="D962" t="inlineStr">
        <is>
          <t>STOCKHOLMS LÄN</t>
        </is>
      </c>
      <c r="E962" t="inlineStr">
        <is>
          <t>NORRTÄLJE</t>
        </is>
      </c>
      <c r="G962" t="n">
        <v>0.4</v>
      </c>
      <c r="H962" t="n">
        <v>0</v>
      </c>
      <c r="I962" t="n">
        <v>0</v>
      </c>
      <c r="J962" t="n">
        <v>0</v>
      </c>
      <c r="K962" t="n">
        <v>0</v>
      </c>
      <c r="L962" t="n">
        <v>0</v>
      </c>
      <c r="M962" t="n">
        <v>0</v>
      </c>
      <c r="N962" t="n">
        <v>0</v>
      </c>
      <c r="O962" t="n">
        <v>0</v>
      </c>
      <c r="P962" t="n">
        <v>0</v>
      </c>
      <c r="Q962" t="n">
        <v>0</v>
      </c>
      <c r="R962" s="2" t="inlineStr"/>
    </row>
    <row r="963" ht="15" customHeight="1">
      <c r="A963" t="inlineStr">
        <is>
          <t>A 13767-2025</t>
        </is>
      </c>
      <c r="B963" s="1" t="n">
        <v>45737.43347222222</v>
      </c>
      <c r="C963" s="1" t="n">
        <v>45996</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20013-2025</t>
        </is>
      </c>
      <c r="B964" s="1" t="n">
        <v>45772.30436342592</v>
      </c>
      <c r="C964" s="1" t="n">
        <v>45996</v>
      </c>
      <c r="D964" t="inlineStr">
        <is>
          <t>STOCKHOLMS LÄN</t>
        </is>
      </c>
      <c r="E964" t="inlineStr">
        <is>
          <t>NORRTÄLJE</t>
        </is>
      </c>
      <c r="G964" t="n">
        <v>2.3</v>
      </c>
      <c r="H964" t="n">
        <v>0</v>
      </c>
      <c r="I964" t="n">
        <v>0</v>
      </c>
      <c r="J964" t="n">
        <v>0</v>
      </c>
      <c r="K964" t="n">
        <v>0</v>
      </c>
      <c r="L964" t="n">
        <v>0</v>
      </c>
      <c r="M964" t="n">
        <v>0</v>
      </c>
      <c r="N964" t="n">
        <v>0</v>
      </c>
      <c r="O964" t="n">
        <v>0</v>
      </c>
      <c r="P964" t="n">
        <v>0</v>
      </c>
      <c r="Q964" t="n">
        <v>0</v>
      </c>
      <c r="R964" s="2" t="inlineStr"/>
    </row>
    <row r="965" ht="15" customHeight="1">
      <c r="A965" t="inlineStr">
        <is>
          <t>A 53362-2023</t>
        </is>
      </c>
      <c r="B965" s="1" t="n">
        <v>45223</v>
      </c>
      <c r="C965" s="1" t="n">
        <v>45996</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15422-2024</t>
        </is>
      </c>
      <c r="B966" s="1" t="n">
        <v>45401.3653125</v>
      </c>
      <c r="C966" s="1" t="n">
        <v>45996</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30508-2023</t>
        </is>
      </c>
      <c r="B967" s="1" t="n">
        <v>45111</v>
      </c>
      <c r="C967" s="1" t="n">
        <v>45996</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22359-2025</t>
        </is>
      </c>
      <c r="B968" s="1" t="n">
        <v>45786</v>
      </c>
      <c r="C968" s="1" t="n">
        <v>45996</v>
      </c>
      <c r="D968" t="inlineStr">
        <is>
          <t>STOCKHOLMS LÄN</t>
        </is>
      </c>
      <c r="E968" t="inlineStr">
        <is>
          <t>NORRTÄLJE</t>
        </is>
      </c>
      <c r="G968" t="n">
        <v>5</v>
      </c>
      <c r="H968" t="n">
        <v>0</v>
      </c>
      <c r="I968" t="n">
        <v>0</v>
      </c>
      <c r="J968" t="n">
        <v>0</v>
      </c>
      <c r="K968" t="n">
        <v>0</v>
      </c>
      <c r="L968" t="n">
        <v>0</v>
      </c>
      <c r="M968" t="n">
        <v>0</v>
      </c>
      <c r="N968" t="n">
        <v>0</v>
      </c>
      <c r="O968" t="n">
        <v>0</v>
      </c>
      <c r="P968" t="n">
        <v>0</v>
      </c>
      <c r="Q968" t="n">
        <v>0</v>
      </c>
      <c r="R968" s="2" t="inlineStr"/>
    </row>
    <row r="969" ht="15" customHeight="1">
      <c r="A969" t="inlineStr">
        <is>
          <t>A 30731-2023</t>
        </is>
      </c>
      <c r="B969" s="1" t="n">
        <v>45112</v>
      </c>
      <c r="C969" s="1" t="n">
        <v>45996</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4580-2025</t>
        </is>
      </c>
      <c r="B970" s="1" t="n">
        <v>45687.5038425926</v>
      </c>
      <c r="C970" s="1" t="n">
        <v>45996</v>
      </c>
      <c r="D970" t="inlineStr">
        <is>
          <t>STOCKHOLMS LÄN</t>
        </is>
      </c>
      <c r="E970" t="inlineStr">
        <is>
          <t>NORRTÄLJE</t>
        </is>
      </c>
      <c r="F970" t="inlineStr">
        <is>
          <t>Holmen skog AB</t>
        </is>
      </c>
      <c r="G970" t="n">
        <v>4.8</v>
      </c>
      <c r="H970" t="n">
        <v>0</v>
      </c>
      <c r="I970" t="n">
        <v>0</v>
      </c>
      <c r="J970" t="n">
        <v>0</v>
      </c>
      <c r="K970" t="n">
        <v>0</v>
      </c>
      <c r="L970" t="n">
        <v>0</v>
      </c>
      <c r="M970" t="n">
        <v>0</v>
      </c>
      <c r="N970" t="n">
        <v>0</v>
      </c>
      <c r="O970" t="n">
        <v>0</v>
      </c>
      <c r="P970" t="n">
        <v>0</v>
      </c>
      <c r="Q970" t="n">
        <v>0</v>
      </c>
      <c r="R970" s="2" t="inlineStr"/>
    </row>
    <row r="971" ht="15" customHeight="1">
      <c r="A971" t="inlineStr">
        <is>
          <t>A 16008-2025</t>
        </is>
      </c>
      <c r="B971" s="1" t="n">
        <v>45749</v>
      </c>
      <c r="C971" s="1" t="n">
        <v>45996</v>
      </c>
      <c r="D971" t="inlineStr">
        <is>
          <t>STOCKHOLMS LÄN</t>
        </is>
      </c>
      <c r="E971" t="inlineStr">
        <is>
          <t>NORRTÄLJE</t>
        </is>
      </c>
      <c r="F971" t="inlineStr">
        <is>
          <t>Holmen skog AB</t>
        </is>
      </c>
      <c r="G971" t="n">
        <v>0.9</v>
      </c>
      <c r="H971" t="n">
        <v>0</v>
      </c>
      <c r="I971" t="n">
        <v>0</v>
      </c>
      <c r="J971" t="n">
        <v>0</v>
      </c>
      <c r="K971" t="n">
        <v>0</v>
      </c>
      <c r="L971" t="n">
        <v>0</v>
      </c>
      <c r="M971" t="n">
        <v>0</v>
      </c>
      <c r="N971" t="n">
        <v>0</v>
      </c>
      <c r="O971" t="n">
        <v>0</v>
      </c>
      <c r="P971" t="n">
        <v>0</v>
      </c>
      <c r="Q971" t="n">
        <v>0</v>
      </c>
      <c r="R971" s="2" t="inlineStr"/>
    </row>
    <row r="972" ht="15" customHeight="1">
      <c r="A972" t="inlineStr">
        <is>
          <t>A 31057-2022</t>
        </is>
      </c>
      <c r="B972" s="1" t="n">
        <v>44769</v>
      </c>
      <c r="C972" s="1" t="n">
        <v>45996</v>
      </c>
      <c r="D972" t="inlineStr">
        <is>
          <t>STOCKHOLMS LÄN</t>
        </is>
      </c>
      <c r="E972" t="inlineStr">
        <is>
          <t>NORRTÄLJE</t>
        </is>
      </c>
      <c r="G972" t="n">
        <v>6.5</v>
      </c>
      <c r="H972" t="n">
        <v>0</v>
      </c>
      <c r="I972" t="n">
        <v>0</v>
      </c>
      <c r="J972" t="n">
        <v>0</v>
      </c>
      <c r="K972" t="n">
        <v>0</v>
      </c>
      <c r="L972" t="n">
        <v>0</v>
      </c>
      <c r="M972" t="n">
        <v>0</v>
      </c>
      <c r="N972" t="n">
        <v>0</v>
      </c>
      <c r="O972" t="n">
        <v>0</v>
      </c>
      <c r="P972" t="n">
        <v>0</v>
      </c>
      <c r="Q972" t="n">
        <v>0</v>
      </c>
      <c r="R972" s="2" t="inlineStr"/>
    </row>
    <row r="973" ht="15" customHeight="1">
      <c r="A973" t="inlineStr">
        <is>
          <t>A 21158-2022</t>
        </is>
      </c>
      <c r="B973" s="1" t="n">
        <v>44704</v>
      </c>
      <c r="C973" s="1" t="n">
        <v>45996</v>
      </c>
      <c r="D973" t="inlineStr">
        <is>
          <t>STOCKHOLMS LÄN</t>
        </is>
      </c>
      <c r="E973" t="inlineStr">
        <is>
          <t>NORRTÄLJE</t>
        </is>
      </c>
      <c r="G973" t="n">
        <v>17.8</v>
      </c>
      <c r="H973" t="n">
        <v>0</v>
      </c>
      <c r="I973" t="n">
        <v>0</v>
      </c>
      <c r="J973" t="n">
        <v>0</v>
      </c>
      <c r="K973" t="n">
        <v>0</v>
      </c>
      <c r="L973" t="n">
        <v>0</v>
      </c>
      <c r="M973" t="n">
        <v>0</v>
      </c>
      <c r="N973" t="n">
        <v>0</v>
      </c>
      <c r="O973" t="n">
        <v>0</v>
      </c>
      <c r="P973" t="n">
        <v>0</v>
      </c>
      <c r="Q973" t="n">
        <v>0</v>
      </c>
      <c r="R973" s="2" t="inlineStr"/>
    </row>
    <row r="974" ht="15" customHeight="1">
      <c r="A974" t="inlineStr">
        <is>
          <t>A 32101-2022</t>
        </is>
      </c>
      <c r="B974" s="1" t="n">
        <v>44778.69210648148</v>
      </c>
      <c r="C974" s="1" t="n">
        <v>45996</v>
      </c>
      <c r="D974" t="inlineStr">
        <is>
          <t>STOCKHOLMS LÄN</t>
        </is>
      </c>
      <c r="E974" t="inlineStr">
        <is>
          <t>NORRTÄLJE</t>
        </is>
      </c>
      <c r="G974" t="n">
        <v>4.4</v>
      </c>
      <c r="H974" t="n">
        <v>0</v>
      </c>
      <c r="I974" t="n">
        <v>0</v>
      </c>
      <c r="J974" t="n">
        <v>0</v>
      </c>
      <c r="K974" t="n">
        <v>0</v>
      </c>
      <c r="L974" t="n">
        <v>0</v>
      </c>
      <c r="M974" t="n">
        <v>0</v>
      </c>
      <c r="N974" t="n">
        <v>0</v>
      </c>
      <c r="O974" t="n">
        <v>0</v>
      </c>
      <c r="P974" t="n">
        <v>0</v>
      </c>
      <c r="Q974" t="n">
        <v>0</v>
      </c>
      <c r="R974" s="2" t="inlineStr"/>
    </row>
    <row r="975" ht="15" customHeight="1">
      <c r="A975" t="inlineStr">
        <is>
          <t>A 23150-2024</t>
        </is>
      </c>
      <c r="B975" s="1" t="n">
        <v>45450.64643518518</v>
      </c>
      <c r="C975" s="1" t="n">
        <v>45996</v>
      </c>
      <c r="D975" t="inlineStr">
        <is>
          <t>STOCKHOLMS LÄN</t>
        </is>
      </c>
      <c r="E975" t="inlineStr">
        <is>
          <t>NORRTÄLJE</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24933-2023</t>
        </is>
      </c>
      <c r="B976" s="1" t="n">
        <v>45085.5309375</v>
      </c>
      <c r="C976" s="1" t="n">
        <v>45996</v>
      </c>
      <c r="D976" t="inlineStr">
        <is>
          <t>STOCKHOLMS LÄN</t>
        </is>
      </c>
      <c r="E976" t="inlineStr">
        <is>
          <t>NORRTÄLJE</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31140-2023</t>
        </is>
      </c>
      <c r="B977" s="1" t="n">
        <v>45113</v>
      </c>
      <c r="C977" s="1" t="n">
        <v>45996</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31149-2023</t>
        </is>
      </c>
      <c r="B978" s="1" t="n">
        <v>45113</v>
      </c>
      <c r="C978" s="1" t="n">
        <v>45996</v>
      </c>
      <c r="D978" t="inlineStr">
        <is>
          <t>STOCKHOLMS LÄN</t>
        </is>
      </c>
      <c r="E978" t="inlineStr">
        <is>
          <t>NORRTÄLJE</t>
        </is>
      </c>
      <c r="G978" t="n">
        <v>7.1</v>
      </c>
      <c r="H978" t="n">
        <v>0</v>
      </c>
      <c r="I978" t="n">
        <v>0</v>
      </c>
      <c r="J978" t="n">
        <v>0</v>
      </c>
      <c r="K978" t="n">
        <v>0</v>
      </c>
      <c r="L978" t="n">
        <v>0</v>
      </c>
      <c r="M978" t="n">
        <v>0</v>
      </c>
      <c r="N978" t="n">
        <v>0</v>
      </c>
      <c r="O978" t="n">
        <v>0</v>
      </c>
      <c r="P978" t="n">
        <v>0</v>
      </c>
      <c r="Q978" t="n">
        <v>0</v>
      </c>
      <c r="R978" s="2" t="inlineStr"/>
    </row>
    <row r="979" ht="15" customHeight="1">
      <c r="A979" t="inlineStr">
        <is>
          <t>A 56631-2024</t>
        </is>
      </c>
      <c r="B979" s="1" t="n">
        <v>45625</v>
      </c>
      <c r="C979" s="1" t="n">
        <v>45996</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4658-2024</t>
        </is>
      </c>
      <c r="B980" s="1" t="n">
        <v>45328.46336805556</v>
      </c>
      <c r="C980" s="1" t="n">
        <v>45996</v>
      </c>
      <c r="D980" t="inlineStr">
        <is>
          <t>STOCKHOLMS LÄN</t>
        </is>
      </c>
      <c r="E980" t="inlineStr">
        <is>
          <t>NORRTÄLJE</t>
        </is>
      </c>
      <c r="G980" t="n">
        <v>2.8</v>
      </c>
      <c r="H980" t="n">
        <v>0</v>
      </c>
      <c r="I980" t="n">
        <v>0</v>
      </c>
      <c r="J980" t="n">
        <v>0</v>
      </c>
      <c r="K980" t="n">
        <v>0</v>
      </c>
      <c r="L980" t="n">
        <v>0</v>
      </c>
      <c r="M980" t="n">
        <v>0</v>
      </c>
      <c r="N980" t="n">
        <v>0</v>
      </c>
      <c r="O980" t="n">
        <v>0</v>
      </c>
      <c r="P980" t="n">
        <v>0</v>
      </c>
      <c r="Q980" t="n">
        <v>0</v>
      </c>
      <c r="R980" s="2" t="inlineStr"/>
    </row>
    <row r="981" ht="15" customHeight="1">
      <c r="A981" t="inlineStr">
        <is>
          <t>A 19131-2025</t>
        </is>
      </c>
      <c r="B981" s="1" t="n">
        <v>45769</v>
      </c>
      <c r="C981" s="1" t="n">
        <v>45996</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652-2025</t>
        </is>
      </c>
      <c r="B982" s="1" t="n">
        <v>45664</v>
      </c>
      <c r="C982" s="1" t="n">
        <v>45996</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45697-2025</t>
        </is>
      </c>
      <c r="B983" s="1" t="n">
        <v>45923.39877314815</v>
      </c>
      <c r="C983" s="1" t="n">
        <v>45996</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5389-2025</t>
        </is>
      </c>
      <c r="B984" s="1" t="n">
        <v>45692</v>
      </c>
      <c r="C984" s="1" t="n">
        <v>45996</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13051-2021</t>
        </is>
      </c>
      <c r="B985" s="1" t="n">
        <v>44272</v>
      </c>
      <c r="C985" s="1" t="n">
        <v>45996</v>
      </c>
      <c r="D985" t="inlineStr">
        <is>
          <t>STOCKHOLMS LÄN</t>
        </is>
      </c>
      <c r="E985" t="inlineStr">
        <is>
          <t>NORRTÄLJE</t>
        </is>
      </c>
      <c r="G985" t="n">
        <v>9.1</v>
      </c>
      <c r="H985" t="n">
        <v>0</v>
      </c>
      <c r="I985" t="n">
        <v>0</v>
      </c>
      <c r="J985" t="n">
        <v>0</v>
      </c>
      <c r="K985" t="n">
        <v>0</v>
      </c>
      <c r="L985" t="n">
        <v>0</v>
      </c>
      <c r="M985" t="n">
        <v>0</v>
      </c>
      <c r="N985" t="n">
        <v>0</v>
      </c>
      <c r="O985" t="n">
        <v>0</v>
      </c>
      <c r="P985" t="n">
        <v>0</v>
      </c>
      <c r="Q985" t="n">
        <v>0</v>
      </c>
      <c r="R985" s="2" t="inlineStr"/>
    </row>
    <row r="986" ht="15" customHeight="1">
      <c r="A986" t="inlineStr">
        <is>
          <t>A 7571-2024</t>
        </is>
      </c>
      <c r="B986" s="1" t="n">
        <v>45348.46300925926</v>
      </c>
      <c r="C986" s="1" t="n">
        <v>45996</v>
      </c>
      <c r="D986" t="inlineStr">
        <is>
          <t>STOCKHOLMS LÄN</t>
        </is>
      </c>
      <c r="E986" t="inlineStr">
        <is>
          <t>NORRTÄLJE</t>
        </is>
      </c>
      <c r="F986" t="inlineStr">
        <is>
          <t>Holmen skog AB</t>
        </is>
      </c>
      <c r="G986" t="n">
        <v>1.8</v>
      </c>
      <c r="H986" t="n">
        <v>0</v>
      </c>
      <c r="I986" t="n">
        <v>0</v>
      </c>
      <c r="J986" t="n">
        <v>0</v>
      </c>
      <c r="K986" t="n">
        <v>0</v>
      </c>
      <c r="L986" t="n">
        <v>0</v>
      </c>
      <c r="M986" t="n">
        <v>0</v>
      </c>
      <c r="N986" t="n">
        <v>0</v>
      </c>
      <c r="O986" t="n">
        <v>0</v>
      </c>
      <c r="P986" t="n">
        <v>0</v>
      </c>
      <c r="Q986" t="n">
        <v>0</v>
      </c>
      <c r="R986" s="2" t="inlineStr"/>
    </row>
    <row r="987" ht="15" customHeight="1">
      <c r="A987" t="inlineStr">
        <is>
          <t>A 11849-2025</t>
        </is>
      </c>
      <c r="B987" s="1" t="n">
        <v>45728.38409722222</v>
      </c>
      <c r="C987" s="1" t="n">
        <v>45996</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11499-2023</t>
        </is>
      </c>
      <c r="B988" s="1" t="n">
        <v>44993.66707175926</v>
      </c>
      <c r="C988" s="1" t="n">
        <v>45996</v>
      </c>
      <c r="D988" t="inlineStr">
        <is>
          <t>STOCKHOLMS LÄN</t>
        </is>
      </c>
      <c r="E988" t="inlineStr">
        <is>
          <t>NORRTÄLJE</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40425-2021</t>
        </is>
      </c>
      <c r="B989" s="1" t="n">
        <v>44419</v>
      </c>
      <c r="C989" s="1" t="n">
        <v>45996</v>
      </c>
      <c r="D989" t="inlineStr">
        <is>
          <t>STOCKHOLMS LÄN</t>
        </is>
      </c>
      <c r="E989" t="inlineStr">
        <is>
          <t>NORRTÄLJE</t>
        </is>
      </c>
      <c r="G989" t="n">
        <v>5</v>
      </c>
      <c r="H989" t="n">
        <v>0</v>
      </c>
      <c r="I989" t="n">
        <v>0</v>
      </c>
      <c r="J989" t="n">
        <v>0</v>
      </c>
      <c r="K989" t="n">
        <v>0</v>
      </c>
      <c r="L989" t="n">
        <v>0</v>
      </c>
      <c r="M989" t="n">
        <v>0</v>
      </c>
      <c r="N989" t="n">
        <v>0</v>
      </c>
      <c r="O989" t="n">
        <v>0</v>
      </c>
      <c r="P989" t="n">
        <v>0</v>
      </c>
      <c r="Q989" t="n">
        <v>0</v>
      </c>
      <c r="R989" s="2" t="inlineStr"/>
    </row>
    <row r="990" ht="15" customHeight="1">
      <c r="A990" t="inlineStr">
        <is>
          <t>A 58990-2021</t>
        </is>
      </c>
      <c r="B990" s="1" t="n">
        <v>44490.03621527777</v>
      </c>
      <c r="C990" s="1" t="n">
        <v>45996</v>
      </c>
      <c r="D990" t="inlineStr">
        <is>
          <t>STOCKHOLMS LÄN</t>
        </is>
      </c>
      <c r="E990" t="inlineStr">
        <is>
          <t>NORRTÄLJE</t>
        </is>
      </c>
      <c r="G990" t="n">
        <v>4.2</v>
      </c>
      <c r="H990" t="n">
        <v>0</v>
      </c>
      <c r="I990" t="n">
        <v>0</v>
      </c>
      <c r="J990" t="n">
        <v>0</v>
      </c>
      <c r="K990" t="n">
        <v>0</v>
      </c>
      <c r="L990" t="n">
        <v>0</v>
      </c>
      <c r="M990" t="n">
        <v>0</v>
      </c>
      <c r="N990" t="n">
        <v>0</v>
      </c>
      <c r="O990" t="n">
        <v>0</v>
      </c>
      <c r="P990" t="n">
        <v>0</v>
      </c>
      <c r="Q990" t="n">
        <v>0</v>
      </c>
      <c r="R990" s="2" t="inlineStr"/>
    </row>
    <row r="991" ht="15" customHeight="1">
      <c r="A991" t="inlineStr">
        <is>
          <t>A 576-2023</t>
        </is>
      </c>
      <c r="B991" s="1" t="n">
        <v>44925</v>
      </c>
      <c r="C991" s="1" t="n">
        <v>45996</v>
      </c>
      <c r="D991" t="inlineStr">
        <is>
          <t>STOCKHOLMS LÄN</t>
        </is>
      </c>
      <c r="E991" t="inlineStr">
        <is>
          <t>NORRTÄLJE</t>
        </is>
      </c>
      <c r="G991" t="n">
        <v>7.2</v>
      </c>
      <c r="H991" t="n">
        <v>0</v>
      </c>
      <c r="I991" t="n">
        <v>0</v>
      </c>
      <c r="J991" t="n">
        <v>0</v>
      </c>
      <c r="K991" t="n">
        <v>0</v>
      </c>
      <c r="L991" t="n">
        <v>0</v>
      </c>
      <c r="M991" t="n">
        <v>0</v>
      </c>
      <c r="N991" t="n">
        <v>0</v>
      </c>
      <c r="O991" t="n">
        <v>0</v>
      </c>
      <c r="P991" t="n">
        <v>0</v>
      </c>
      <c r="Q991" t="n">
        <v>0</v>
      </c>
      <c r="R991" s="2" t="inlineStr"/>
    </row>
    <row r="992" ht="15" customHeight="1">
      <c r="A992" t="inlineStr">
        <is>
          <t>A 10678-2025</t>
        </is>
      </c>
      <c r="B992" s="1" t="n">
        <v>45721.89123842592</v>
      </c>
      <c r="C992" s="1" t="n">
        <v>45996</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31936-2022</t>
        </is>
      </c>
      <c r="B993" s="1" t="n">
        <v>44777</v>
      </c>
      <c r="C993" s="1" t="n">
        <v>45996</v>
      </c>
      <c r="D993" t="inlineStr">
        <is>
          <t>STOCKHOLMS LÄN</t>
        </is>
      </c>
      <c r="E993" t="inlineStr">
        <is>
          <t>NORRTÄLJE</t>
        </is>
      </c>
      <c r="G993" t="n">
        <v>5.2</v>
      </c>
      <c r="H993" t="n">
        <v>0</v>
      </c>
      <c r="I993" t="n">
        <v>0</v>
      </c>
      <c r="J993" t="n">
        <v>0</v>
      </c>
      <c r="K993" t="n">
        <v>0</v>
      </c>
      <c r="L993" t="n">
        <v>0</v>
      </c>
      <c r="M993" t="n">
        <v>0</v>
      </c>
      <c r="N993" t="n">
        <v>0</v>
      </c>
      <c r="O993" t="n">
        <v>0</v>
      </c>
      <c r="P993" t="n">
        <v>0</v>
      </c>
      <c r="Q993" t="n">
        <v>0</v>
      </c>
      <c r="R993" s="2" t="inlineStr"/>
    </row>
    <row r="994" ht="15" customHeight="1">
      <c r="A994" t="inlineStr">
        <is>
          <t>A 20790-2025</t>
        </is>
      </c>
      <c r="B994" s="1" t="n">
        <v>45776.62563657408</v>
      </c>
      <c r="C994" s="1" t="n">
        <v>45996</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59873-2024</t>
        </is>
      </c>
      <c r="B995" s="1" t="n">
        <v>45640.57305555556</v>
      </c>
      <c r="C995" s="1" t="n">
        <v>45996</v>
      </c>
      <c r="D995" t="inlineStr">
        <is>
          <t>STOCKHOLMS LÄN</t>
        </is>
      </c>
      <c r="E995" t="inlineStr">
        <is>
          <t>NORRTÄLJE</t>
        </is>
      </c>
      <c r="G995" t="n">
        <v>3.3</v>
      </c>
      <c r="H995" t="n">
        <v>0</v>
      </c>
      <c r="I995" t="n">
        <v>0</v>
      </c>
      <c r="J995" t="n">
        <v>0</v>
      </c>
      <c r="K995" t="n">
        <v>0</v>
      </c>
      <c r="L995" t="n">
        <v>0</v>
      </c>
      <c r="M995" t="n">
        <v>0</v>
      </c>
      <c r="N995" t="n">
        <v>0</v>
      </c>
      <c r="O995" t="n">
        <v>0</v>
      </c>
      <c r="P995" t="n">
        <v>0</v>
      </c>
      <c r="Q995" t="n">
        <v>0</v>
      </c>
      <c r="R995" s="2" t="inlineStr"/>
    </row>
    <row r="996" ht="15" customHeight="1">
      <c r="A996" t="inlineStr">
        <is>
          <t>A 20699-2025</t>
        </is>
      </c>
      <c r="B996" s="1" t="n">
        <v>45776.47346064815</v>
      </c>
      <c r="C996" s="1" t="n">
        <v>45996</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3152-2024</t>
        </is>
      </c>
      <c r="B997" s="1" t="n">
        <v>45316.60306712963</v>
      </c>
      <c r="C997" s="1" t="n">
        <v>45996</v>
      </c>
      <c r="D997" t="inlineStr">
        <is>
          <t>STOCKHOLMS LÄN</t>
        </is>
      </c>
      <c r="E997" t="inlineStr">
        <is>
          <t>NORRTÄLJE</t>
        </is>
      </c>
      <c r="G997" t="n">
        <v>7.9</v>
      </c>
      <c r="H997" t="n">
        <v>0</v>
      </c>
      <c r="I997" t="n">
        <v>0</v>
      </c>
      <c r="J997" t="n">
        <v>0</v>
      </c>
      <c r="K997" t="n">
        <v>0</v>
      </c>
      <c r="L997" t="n">
        <v>0</v>
      </c>
      <c r="M997" t="n">
        <v>0</v>
      </c>
      <c r="N997" t="n">
        <v>0</v>
      </c>
      <c r="O997" t="n">
        <v>0</v>
      </c>
      <c r="P997" t="n">
        <v>0</v>
      </c>
      <c r="Q997" t="n">
        <v>0</v>
      </c>
      <c r="R997" s="2" t="inlineStr"/>
    </row>
    <row r="998" ht="15" customHeight="1">
      <c r="A998" t="inlineStr">
        <is>
          <t>A 46415-2025</t>
        </is>
      </c>
      <c r="B998" s="1" t="n">
        <v>45925.58636574074</v>
      </c>
      <c r="C998" s="1" t="n">
        <v>45996</v>
      </c>
      <c r="D998" t="inlineStr">
        <is>
          <t>STOCKHOLMS LÄN</t>
        </is>
      </c>
      <c r="E998" t="inlineStr">
        <is>
          <t>NORRTÄLJE</t>
        </is>
      </c>
      <c r="G998" t="n">
        <v>3.8</v>
      </c>
      <c r="H998" t="n">
        <v>0</v>
      </c>
      <c r="I998" t="n">
        <v>0</v>
      </c>
      <c r="J998" t="n">
        <v>0</v>
      </c>
      <c r="K998" t="n">
        <v>0</v>
      </c>
      <c r="L998" t="n">
        <v>0</v>
      </c>
      <c r="M998" t="n">
        <v>0</v>
      </c>
      <c r="N998" t="n">
        <v>0</v>
      </c>
      <c r="O998" t="n">
        <v>0</v>
      </c>
      <c r="P998" t="n">
        <v>0</v>
      </c>
      <c r="Q998" t="n">
        <v>0</v>
      </c>
      <c r="R998" s="2" t="inlineStr"/>
    </row>
    <row r="999" ht="15" customHeight="1">
      <c r="A999" t="inlineStr">
        <is>
          <t>A 35916-2024</t>
        </is>
      </c>
      <c r="B999" s="1" t="n">
        <v>45533</v>
      </c>
      <c r="C999" s="1" t="n">
        <v>45996</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59326-2023</t>
        </is>
      </c>
      <c r="B1000" s="1" t="n">
        <v>45253.63089120371</v>
      </c>
      <c r="C1000" s="1" t="n">
        <v>45996</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10098-2022</t>
        </is>
      </c>
      <c r="B1001" s="1" t="n">
        <v>44621</v>
      </c>
      <c r="C1001" s="1" t="n">
        <v>45996</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44836-2023</t>
        </is>
      </c>
      <c r="B1002" s="1" t="n">
        <v>45190.55609953704</v>
      </c>
      <c r="C1002" s="1" t="n">
        <v>45996</v>
      </c>
      <c r="D1002" t="inlineStr">
        <is>
          <t>STOCKHOLMS LÄN</t>
        </is>
      </c>
      <c r="E1002" t="inlineStr">
        <is>
          <t>NORRTÄLJE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20779-2025</t>
        </is>
      </c>
      <c r="B1003" s="1" t="n">
        <v>45776.59871527777</v>
      </c>
      <c r="C1003" s="1" t="n">
        <v>45996</v>
      </c>
      <c r="D1003" t="inlineStr">
        <is>
          <t>STOCKHOLMS LÄN</t>
        </is>
      </c>
      <c r="E1003" t="inlineStr">
        <is>
          <t>NORRTÄLJE</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63161-2023</t>
        </is>
      </c>
      <c r="B1004" s="1" t="n">
        <v>45273</v>
      </c>
      <c r="C1004" s="1" t="n">
        <v>45996</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7796-2025</t>
        </is>
      </c>
      <c r="B1005" s="1" t="n">
        <v>45706.60130787037</v>
      </c>
      <c r="C1005" s="1" t="n">
        <v>45996</v>
      </c>
      <c r="D1005" t="inlineStr">
        <is>
          <t>STOCKHOLMS LÄN</t>
        </is>
      </c>
      <c r="E1005" t="inlineStr">
        <is>
          <t>NORRTÄLJE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15552-2021</t>
        </is>
      </c>
      <c r="B1006" s="1" t="n">
        <v>44285</v>
      </c>
      <c r="C1006" s="1" t="n">
        <v>45996</v>
      </c>
      <c r="D1006" t="inlineStr">
        <is>
          <t>STOCKHOLMS LÄN</t>
        </is>
      </c>
      <c r="E1006" t="inlineStr">
        <is>
          <t>NORRTÄLJE</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58040-2024</t>
        </is>
      </c>
      <c r="B1007" s="1" t="n">
        <v>45631.73952546297</v>
      </c>
      <c r="C1007" s="1" t="n">
        <v>45996</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58041-2024</t>
        </is>
      </c>
      <c r="B1008" s="1" t="n">
        <v>45631.74673611111</v>
      </c>
      <c r="C1008" s="1" t="n">
        <v>45996</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21771-2025</t>
        </is>
      </c>
      <c r="B1009" s="1" t="n">
        <v>45783</v>
      </c>
      <c r="C1009" s="1" t="n">
        <v>45996</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30268-2024</t>
        </is>
      </c>
      <c r="B1010" s="1" t="n">
        <v>45490.60572916667</v>
      </c>
      <c r="C1010" s="1" t="n">
        <v>45996</v>
      </c>
      <c r="D1010" t="inlineStr">
        <is>
          <t>STOCKHOLMS LÄN</t>
        </is>
      </c>
      <c r="E1010" t="inlineStr">
        <is>
          <t>NORRTÄLJE</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12407-2025</t>
        </is>
      </c>
      <c r="B1011" s="1" t="n">
        <v>45730.42851851852</v>
      </c>
      <c r="C1011" s="1" t="n">
        <v>45996</v>
      </c>
      <c r="D1011" t="inlineStr">
        <is>
          <t>STOCKHOLMS LÄN</t>
        </is>
      </c>
      <c r="E1011" t="inlineStr">
        <is>
          <t>NORRTÄLJE</t>
        </is>
      </c>
      <c r="F1011" t="inlineStr">
        <is>
          <t>Holmen skog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19025-2025</t>
        </is>
      </c>
      <c r="B1012" s="1" t="n">
        <v>45764.6359837963</v>
      </c>
      <c r="C1012" s="1" t="n">
        <v>45996</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54276-2021</t>
        </is>
      </c>
      <c r="B1013" s="1" t="n">
        <v>44470</v>
      </c>
      <c r="C1013" s="1" t="n">
        <v>45996</v>
      </c>
      <c r="D1013" t="inlineStr">
        <is>
          <t>STOCKHOLMS LÄN</t>
        </is>
      </c>
      <c r="E1013" t="inlineStr">
        <is>
          <t>NORRTÄLJE</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4316-2023</t>
        </is>
      </c>
      <c r="B1014" s="1" t="n">
        <v>44953.67443287037</v>
      </c>
      <c r="C1014" s="1" t="n">
        <v>45996</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21778-2025</t>
        </is>
      </c>
      <c r="B1015" s="1" t="n">
        <v>45783.66429398148</v>
      </c>
      <c r="C1015" s="1" t="n">
        <v>45996</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41587-2023</t>
        </is>
      </c>
      <c r="B1016" s="1" t="n">
        <v>45175</v>
      </c>
      <c r="C1016" s="1" t="n">
        <v>45996</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54907-2025</t>
        </is>
      </c>
      <c r="B1017" s="1" t="n">
        <v>45967.37137731481</v>
      </c>
      <c r="C1017" s="1" t="n">
        <v>45996</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17304-2024</t>
        </is>
      </c>
      <c r="B1018" s="1" t="n">
        <v>45414</v>
      </c>
      <c r="C1018" s="1" t="n">
        <v>45996</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11280-2023</t>
        </is>
      </c>
      <c r="B1019" s="1" t="n">
        <v>44992</v>
      </c>
      <c r="C1019" s="1" t="n">
        <v>45996</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22202-2025</t>
        </is>
      </c>
      <c r="B1020" s="1" t="n">
        <v>45785.65300925926</v>
      </c>
      <c r="C1020" s="1" t="n">
        <v>45996</v>
      </c>
      <c r="D1020" t="inlineStr">
        <is>
          <t>STOCKHOLMS LÄN</t>
        </is>
      </c>
      <c r="E1020" t="inlineStr">
        <is>
          <t>NORRTÄLJE</t>
        </is>
      </c>
      <c r="G1020" t="n">
        <v>10.2</v>
      </c>
      <c r="H1020" t="n">
        <v>0</v>
      </c>
      <c r="I1020" t="n">
        <v>0</v>
      </c>
      <c r="J1020" t="n">
        <v>0</v>
      </c>
      <c r="K1020" t="n">
        <v>0</v>
      </c>
      <c r="L1020" t="n">
        <v>0</v>
      </c>
      <c r="M1020" t="n">
        <v>0</v>
      </c>
      <c r="N1020" t="n">
        <v>0</v>
      </c>
      <c r="O1020" t="n">
        <v>0</v>
      </c>
      <c r="P1020" t="n">
        <v>0</v>
      </c>
      <c r="Q1020" t="n">
        <v>0</v>
      </c>
      <c r="R1020" s="2" t="inlineStr"/>
    </row>
    <row r="1021" ht="15" customHeight="1">
      <c r="A1021" t="inlineStr">
        <is>
          <t>A 26668-2024</t>
        </is>
      </c>
      <c r="B1021" s="1" t="n">
        <v>45469</v>
      </c>
      <c r="C1021" s="1" t="n">
        <v>45996</v>
      </c>
      <c r="D1021" t="inlineStr">
        <is>
          <t>STOCKHOLMS LÄN</t>
        </is>
      </c>
      <c r="E1021" t="inlineStr">
        <is>
          <t>NORRTÄLJE</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16620-2024</t>
        </is>
      </c>
      <c r="B1022" s="1" t="n">
        <v>45408.57707175926</v>
      </c>
      <c r="C1022" s="1" t="n">
        <v>45996</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31926-2022</t>
        </is>
      </c>
      <c r="B1023" s="1" t="n">
        <v>44777</v>
      </c>
      <c r="C1023" s="1" t="n">
        <v>45996</v>
      </c>
      <c r="D1023" t="inlineStr">
        <is>
          <t>STOCKHOLMS LÄN</t>
        </is>
      </c>
      <c r="E1023" t="inlineStr">
        <is>
          <t>NORRTÄLJE</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22416-2025</t>
        </is>
      </c>
      <c r="B1024" s="1" t="n">
        <v>45786.55645833333</v>
      </c>
      <c r="C1024" s="1" t="n">
        <v>45996</v>
      </c>
      <c r="D1024" t="inlineStr">
        <is>
          <t>STOCKHOLMS LÄN</t>
        </is>
      </c>
      <c r="E1024" t="inlineStr">
        <is>
          <t>NORRTÄLJE</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21480-2022</t>
        </is>
      </c>
      <c r="B1025" s="1" t="n">
        <v>44704</v>
      </c>
      <c r="C1025" s="1" t="n">
        <v>45996</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11041-2025</t>
        </is>
      </c>
      <c r="B1026" s="1" t="n">
        <v>45723</v>
      </c>
      <c r="C1026" s="1" t="n">
        <v>45996</v>
      </c>
      <c r="D1026" t="inlineStr">
        <is>
          <t>STOCKHOLMS LÄN</t>
        </is>
      </c>
      <c r="E1026" t="inlineStr">
        <is>
          <t>NORRTÄLJE</t>
        </is>
      </c>
      <c r="F1026" t="inlineStr">
        <is>
          <t>Övriga Aktiebolag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58785-2024</t>
        </is>
      </c>
      <c r="B1027" s="1" t="n">
        <v>45635.88849537037</v>
      </c>
      <c r="C1027" s="1" t="n">
        <v>45996</v>
      </c>
      <c r="D1027" t="inlineStr">
        <is>
          <t>STOCKHOLMS LÄN</t>
        </is>
      </c>
      <c r="E1027" t="inlineStr">
        <is>
          <t>NORRTÄLJE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9469-2021</t>
        </is>
      </c>
      <c r="B1028" s="1" t="n">
        <v>44251</v>
      </c>
      <c r="C1028" s="1" t="n">
        <v>45996</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24024-2024</t>
        </is>
      </c>
      <c r="B1029" s="1" t="n">
        <v>45456</v>
      </c>
      <c r="C1029" s="1" t="n">
        <v>45996</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46900-2025</t>
        </is>
      </c>
      <c r="B1030" s="1" t="n">
        <v>45929.38712962963</v>
      </c>
      <c r="C1030" s="1" t="n">
        <v>45996</v>
      </c>
      <c r="D1030" t="inlineStr">
        <is>
          <t>STOCKHOLMS LÄN</t>
        </is>
      </c>
      <c r="E1030" t="inlineStr">
        <is>
          <t>NORRTÄLJE</t>
        </is>
      </c>
      <c r="F1030" t="inlineStr">
        <is>
          <t>Holmen skog AB</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28809-2023</t>
        </is>
      </c>
      <c r="B1031" s="1" t="n">
        <v>45104</v>
      </c>
      <c r="C1031" s="1" t="n">
        <v>45996</v>
      </c>
      <c r="D1031" t="inlineStr">
        <is>
          <t>STOCKHOLMS LÄN</t>
        </is>
      </c>
      <c r="E1031" t="inlineStr">
        <is>
          <t>NORRTÄLJE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28813-2023</t>
        </is>
      </c>
      <c r="B1032" s="1" t="n">
        <v>45104</v>
      </c>
      <c r="C1032" s="1" t="n">
        <v>45996</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40656-2022</t>
        </is>
      </c>
      <c r="B1033" s="1" t="n">
        <v>44824.36069444445</v>
      </c>
      <c r="C1033" s="1" t="n">
        <v>45996</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2182-2022</t>
        </is>
      </c>
      <c r="B1034" s="1" t="n">
        <v>44578</v>
      </c>
      <c r="C1034" s="1" t="n">
        <v>45996</v>
      </c>
      <c r="D1034" t="inlineStr">
        <is>
          <t>STOCKHOLMS LÄN</t>
        </is>
      </c>
      <c r="E1034" t="inlineStr">
        <is>
          <t>NORRTÄLJE</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13268-2025</t>
        </is>
      </c>
      <c r="B1035" s="1" t="n">
        <v>45735</v>
      </c>
      <c r="C1035" s="1" t="n">
        <v>45996</v>
      </c>
      <c r="D1035" t="inlineStr">
        <is>
          <t>STOCKHOLMS LÄN</t>
        </is>
      </c>
      <c r="E1035" t="inlineStr">
        <is>
          <t>NORRTÄLJE</t>
        </is>
      </c>
      <c r="G1035" t="n">
        <v>11.4</v>
      </c>
      <c r="H1035" t="n">
        <v>0</v>
      </c>
      <c r="I1035" t="n">
        <v>0</v>
      </c>
      <c r="J1035" t="n">
        <v>0</v>
      </c>
      <c r="K1035" t="n">
        <v>0</v>
      </c>
      <c r="L1035" t="n">
        <v>0</v>
      </c>
      <c r="M1035" t="n">
        <v>0</v>
      </c>
      <c r="N1035" t="n">
        <v>0</v>
      </c>
      <c r="O1035" t="n">
        <v>0</v>
      </c>
      <c r="P1035" t="n">
        <v>0</v>
      </c>
      <c r="Q1035" t="n">
        <v>0</v>
      </c>
      <c r="R1035" s="2" t="inlineStr"/>
    </row>
    <row r="1036" ht="15" customHeight="1">
      <c r="A1036" t="inlineStr">
        <is>
          <t>A 8414-2025</t>
        </is>
      </c>
      <c r="B1036" s="1" t="n">
        <v>45709.39361111111</v>
      </c>
      <c r="C1036" s="1" t="n">
        <v>45996</v>
      </c>
      <c r="D1036" t="inlineStr">
        <is>
          <t>STOCKHOLMS LÄN</t>
        </is>
      </c>
      <c r="E1036" t="inlineStr">
        <is>
          <t>NORRTÄLJE</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60694-2024</t>
        </is>
      </c>
      <c r="B1037" s="1" t="n">
        <v>45644.47878472223</v>
      </c>
      <c r="C1037" s="1" t="n">
        <v>45996</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55599-2025</t>
        </is>
      </c>
      <c r="B1038" s="1" t="n">
        <v>45971.76810185185</v>
      </c>
      <c r="C1038" s="1" t="n">
        <v>45996</v>
      </c>
      <c r="D1038" t="inlineStr">
        <is>
          <t>STOCKHOLMS LÄN</t>
        </is>
      </c>
      <c r="E1038" t="inlineStr">
        <is>
          <t>NORRTÄLJE</t>
        </is>
      </c>
      <c r="F1038" t="inlineStr">
        <is>
          <t>Holmen skog AB</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36625-2024</t>
        </is>
      </c>
      <c r="B1039" s="1" t="n">
        <v>45537</v>
      </c>
      <c r="C1039" s="1" t="n">
        <v>45996</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44891-2023</t>
        </is>
      </c>
      <c r="B1040" s="1" t="n">
        <v>45187</v>
      </c>
      <c r="C1040" s="1" t="n">
        <v>45996</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12902-2024</t>
        </is>
      </c>
      <c r="B1041" s="1" t="n">
        <v>45385.38146990741</v>
      </c>
      <c r="C1041" s="1" t="n">
        <v>45996</v>
      </c>
      <c r="D1041" t="inlineStr">
        <is>
          <t>STOCKHOLMS LÄN</t>
        </is>
      </c>
      <c r="E1041" t="inlineStr">
        <is>
          <t>NORRTÄLJE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44032-2024</t>
        </is>
      </c>
      <c r="B1042" s="1" t="n">
        <v>45572.57828703704</v>
      </c>
      <c r="C1042" s="1" t="n">
        <v>45996</v>
      </c>
      <c r="D1042" t="inlineStr">
        <is>
          <t>STOCKHOLMS LÄN</t>
        </is>
      </c>
      <c r="E1042" t="inlineStr">
        <is>
          <t>NORRTÄLJE</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24563-2024</t>
        </is>
      </c>
      <c r="B1043" s="1" t="n">
        <v>45460.44347222222</v>
      </c>
      <c r="C1043" s="1" t="n">
        <v>45996</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39237-2024</t>
        </is>
      </c>
      <c r="B1044" s="1" t="n">
        <v>45549</v>
      </c>
      <c r="C1044" s="1" t="n">
        <v>45996</v>
      </c>
      <c r="D1044" t="inlineStr">
        <is>
          <t>STOCKHOLMS LÄN</t>
        </is>
      </c>
      <c r="E1044" t="inlineStr">
        <is>
          <t>NORRTÄLJE</t>
        </is>
      </c>
      <c r="G1044" t="n">
        <v>13.3</v>
      </c>
      <c r="H1044" t="n">
        <v>0</v>
      </c>
      <c r="I1044" t="n">
        <v>0</v>
      </c>
      <c r="J1044" t="n">
        <v>0</v>
      </c>
      <c r="K1044" t="n">
        <v>0</v>
      </c>
      <c r="L1044" t="n">
        <v>0</v>
      </c>
      <c r="M1044" t="n">
        <v>0</v>
      </c>
      <c r="N1044" t="n">
        <v>0</v>
      </c>
      <c r="O1044" t="n">
        <v>0</v>
      </c>
      <c r="P1044" t="n">
        <v>0</v>
      </c>
      <c r="Q1044" t="n">
        <v>0</v>
      </c>
      <c r="R1044" s="2" t="inlineStr"/>
    </row>
    <row r="1045" ht="15" customHeight="1">
      <c r="A1045" t="inlineStr">
        <is>
          <t>A 45746-2024</t>
        </is>
      </c>
      <c r="B1045" s="1" t="n">
        <v>45579</v>
      </c>
      <c r="C1045" s="1" t="n">
        <v>45996</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8400-2024</t>
        </is>
      </c>
      <c r="B1046" s="1" t="n">
        <v>45352.74090277778</v>
      </c>
      <c r="C1046" s="1" t="n">
        <v>45996</v>
      </c>
      <c r="D1046" t="inlineStr">
        <is>
          <t>STOCKHOLMS LÄN</t>
        </is>
      </c>
      <c r="E1046" t="inlineStr">
        <is>
          <t>NORRTÄLJE</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19450-2025</t>
        </is>
      </c>
      <c r="B1047" s="1" t="n">
        <v>45770</v>
      </c>
      <c r="C1047" s="1" t="n">
        <v>45996</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33353-2023</t>
        </is>
      </c>
      <c r="B1048" s="1" t="n">
        <v>45128</v>
      </c>
      <c r="C1048" s="1" t="n">
        <v>45996</v>
      </c>
      <c r="D1048" t="inlineStr">
        <is>
          <t>STOCKHOLMS LÄN</t>
        </is>
      </c>
      <c r="E1048" t="inlineStr">
        <is>
          <t>NORRTÄLJE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3966-2024</t>
        </is>
      </c>
      <c r="B1049" s="1" t="n">
        <v>45322</v>
      </c>
      <c r="C1049" s="1" t="n">
        <v>45996</v>
      </c>
      <c r="D1049" t="inlineStr">
        <is>
          <t>STOCKHOLMS LÄN</t>
        </is>
      </c>
      <c r="E1049" t="inlineStr">
        <is>
          <t>NORRTÄLJE</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35256-2025</t>
        </is>
      </c>
      <c r="B1050" s="1" t="n">
        <v>45853</v>
      </c>
      <c r="C1050" s="1" t="n">
        <v>45996</v>
      </c>
      <c r="D1050" t="inlineStr">
        <is>
          <t>STOCKHOLMS LÄN</t>
        </is>
      </c>
      <c r="E1050" t="inlineStr">
        <is>
          <t>NORRTÄLJE</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23262-2023</t>
        </is>
      </c>
      <c r="B1051" s="1" t="n">
        <v>45075.90270833333</v>
      </c>
      <c r="C1051" s="1" t="n">
        <v>45996</v>
      </c>
      <c r="D1051" t="inlineStr">
        <is>
          <t>STOCKHOLMS LÄN</t>
        </is>
      </c>
      <c r="E1051" t="inlineStr">
        <is>
          <t>NORRTÄLJE</t>
        </is>
      </c>
      <c r="F1051" t="inlineStr">
        <is>
          <t>Kommuner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23268-2023</t>
        </is>
      </c>
      <c r="B1052" s="1" t="n">
        <v>45075.91042824074</v>
      </c>
      <c r="C1052" s="1" t="n">
        <v>45996</v>
      </c>
      <c r="D1052" t="inlineStr">
        <is>
          <t>STOCKHOLMS LÄN</t>
        </is>
      </c>
      <c r="E1052" t="inlineStr">
        <is>
          <t>NORRTÄLJE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23270-2023</t>
        </is>
      </c>
      <c r="B1053" s="1" t="n">
        <v>45075.91265046296</v>
      </c>
      <c r="C1053" s="1" t="n">
        <v>45996</v>
      </c>
      <c r="D1053" t="inlineStr">
        <is>
          <t>STOCKHOLMS LÄN</t>
        </is>
      </c>
      <c r="E1053" t="inlineStr">
        <is>
          <t>NORRTÄLJE</t>
        </is>
      </c>
      <c r="G1053" t="n">
        <v>12.3</v>
      </c>
      <c r="H1053" t="n">
        <v>0</v>
      </c>
      <c r="I1053" t="n">
        <v>0</v>
      </c>
      <c r="J1053" t="n">
        <v>0</v>
      </c>
      <c r="K1053" t="n">
        <v>0</v>
      </c>
      <c r="L1053" t="n">
        <v>0</v>
      </c>
      <c r="M1053" t="n">
        <v>0</v>
      </c>
      <c r="N1053" t="n">
        <v>0</v>
      </c>
      <c r="O1053" t="n">
        <v>0</v>
      </c>
      <c r="P1053" t="n">
        <v>0</v>
      </c>
      <c r="Q1053" t="n">
        <v>0</v>
      </c>
      <c r="R1053" s="2" t="inlineStr"/>
    </row>
    <row r="1054" ht="15" customHeight="1">
      <c r="A1054" t="inlineStr">
        <is>
          <t>A 23274-2023</t>
        </is>
      </c>
      <c r="B1054" s="1" t="n">
        <v>45075.92153935185</v>
      </c>
      <c r="C1054" s="1" t="n">
        <v>45996</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17843-2024</t>
        </is>
      </c>
      <c r="B1055" s="1" t="n">
        <v>45418</v>
      </c>
      <c r="C1055" s="1" t="n">
        <v>45996</v>
      </c>
      <c r="D1055" t="inlineStr">
        <is>
          <t>STOCKHOLMS LÄN</t>
        </is>
      </c>
      <c r="E1055" t="inlineStr">
        <is>
          <t>NORRTÄLJE</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26636-2023</t>
        </is>
      </c>
      <c r="B1056" s="1" t="n">
        <v>45092</v>
      </c>
      <c r="C1056" s="1" t="n">
        <v>45996</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26637-2023</t>
        </is>
      </c>
      <c r="B1057" s="1" t="n">
        <v>45092</v>
      </c>
      <c r="C1057" s="1" t="n">
        <v>45996</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47498-2025</t>
        </is>
      </c>
      <c r="B1058" s="1" t="n">
        <v>45930.8134375</v>
      </c>
      <c r="C1058" s="1" t="n">
        <v>45996</v>
      </c>
      <c r="D1058" t="inlineStr">
        <is>
          <t>STOCKHOLMS LÄN</t>
        </is>
      </c>
      <c r="E1058" t="inlineStr">
        <is>
          <t>NORRTÄLJE</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56114-2025</t>
        </is>
      </c>
      <c r="B1059" s="1" t="n">
        <v>45973.74474537037</v>
      </c>
      <c r="C1059" s="1" t="n">
        <v>45996</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47460-2025</t>
        </is>
      </c>
      <c r="B1060" s="1" t="n">
        <v>45930.66012731481</v>
      </c>
      <c r="C1060" s="1" t="n">
        <v>45996</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47496-2025</t>
        </is>
      </c>
      <c r="B1061" s="1" t="n">
        <v>45930.79252314815</v>
      </c>
      <c r="C1061" s="1" t="n">
        <v>45996</v>
      </c>
      <c r="D1061" t="inlineStr">
        <is>
          <t>STOCKHOLMS LÄN</t>
        </is>
      </c>
      <c r="E1061" t="inlineStr">
        <is>
          <t>NORRTÄLJE</t>
        </is>
      </c>
      <c r="F1061" t="inlineStr">
        <is>
          <t>Holmen skog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47497-2025</t>
        </is>
      </c>
      <c r="B1062" s="1" t="n">
        <v>45930.80217592593</v>
      </c>
      <c r="C1062" s="1" t="n">
        <v>45996</v>
      </c>
      <c r="D1062" t="inlineStr">
        <is>
          <t>STOCKHOLMS LÄN</t>
        </is>
      </c>
      <c r="E1062" t="inlineStr">
        <is>
          <t>NORRTÄLJE</t>
        </is>
      </c>
      <c r="F1062" t="inlineStr">
        <is>
          <t>Holmen skog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48360-2025</t>
        </is>
      </c>
      <c r="B1063" s="1" t="n">
        <v>45933.66253472222</v>
      </c>
      <c r="C1063" s="1" t="n">
        <v>45996</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48370-2025</t>
        </is>
      </c>
      <c r="B1064" s="1" t="n">
        <v>45933.67854166667</v>
      </c>
      <c r="C1064" s="1" t="n">
        <v>45996</v>
      </c>
      <c r="D1064" t="inlineStr">
        <is>
          <t>STOCKHOLMS LÄN</t>
        </is>
      </c>
      <c r="E1064" t="inlineStr">
        <is>
          <t>NORRTÄLJE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48364-2025</t>
        </is>
      </c>
      <c r="B1065" s="1" t="n">
        <v>45933.66796296297</v>
      </c>
      <c r="C1065" s="1" t="n">
        <v>45996</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56207-2025</t>
        </is>
      </c>
      <c r="B1066" s="1" t="n">
        <v>45974.47329861111</v>
      </c>
      <c r="C1066" s="1" t="n">
        <v>45996</v>
      </c>
      <c r="D1066" t="inlineStr">
        <is>
          <t>STOCKHOLMS LÄN</t>
        </is>
      </c>
      <c r="E1066" t="inlineStr">
        <is>
          <t>NORRTÄLJE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48174-2025</t>
        </is>
      </c>
      <c r="B1067" s="1" t="n">
        <v>45933.44230324074</v>
      </c>
      <c r="C1067" s="1" t="n">
        <v>45996</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48127-2025</t>
        </is>
      </c>
      <c r="B1068" s="1" t="n">
        <v>45933.36621527778</v>
      </c>
      <c r="C1068" s="1" t="n">
        <v>45996</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48179-2025</t>
        </is>
      </c>
      <c r="B1069" s="1" t="n">
        <v>45933.44907407407</v>
      </c>
      <c r="C1069" s="1" t="n">
        <v>45996</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48718-2025</t>
        </is>
      </c>
      <c r="B1070" s="1" t="n">
        <v>45936</v>
      </c>
      <c r="C1070" s="1" t="n">
        <v>45996</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48593-2025</t>
        </is>
      </c>
      <c r="B1071" s="1" t="n">
        <v>45936.4627662037</v>
      </c>
      <c r="C1071" s="1" t="n">
        <v>45996</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33279-2025</t>
        </is>
      </c>
      <c r="B1072" s="1" t="n">
        <v>45840</v>
      </c>
      <c r="C1072" s="1" t="n">
        <v>45996</v>
      </c>
      <c r="D1072" t="inlineStr">
        <is>
          <t>STOCKHOLMS LÄN</t>
        </is>
      </c>
      <c r="E1072" t="inlineStr">
        <is>
          <t>NORRTÄLJE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48443-2025</t>
        </is>
      </c>
      <c r="B1073" s="1" t="n">
        <v>45935.55326388889</v>
      </c>
      <c r="C1073" s="1" t="n">
        <v>45996</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48780-2025</t>
        </is>
      </c>
      <c r="B1074" s="1" t="n">
        <v>45937.30377314815</v>
      </c>
      <c r="C1074" s="1" t="n">
        <v>45996</v>
      </c>
      <c r="D1074" t="inlineStr">
        <is>
          <t>STOCKHOLMS LÄN</t>
        </is>
      </c>
      <c r="E1074" t="inlineStr">
        <is>
          <t>NORRTÄLJE</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49129-2025</t>
        </is>
      </c>
      <c r="B1075" s="1" t="n">
        <v>45937.89517361111</v>
      </c>
      <c r="C1075" s="1" t="n">
        <v>45996</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57788-2025</t>
        </is>
      </c>
      <c r="B1076" s="1" t="n">
        <v>45981.5778125</v>
      </c>
      <c r="C1076" s="1" t="n">
        <v>45996</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55503-2025</t>
        </is>
      </c>
      <c r="B1077" s="1" t="n">
        <v>45971</v>
      </c>
      <c r="C1077" s="1" t="n">
        <v>45996</v>
      </c>
      <c r="D1077" t="inlineStr">
        <is>
          <t>STOCKHOLMS LÄN</t>
        </is>
      </c>
      <c r="E1077" t="inlineStr">
        <is>
          <t>NORRTÄLJE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57953-2025</t>
        </is>
      </c>
      <c r="B1078" s="1" t="n">
        <v>45982.35016203704</v>
      </c>
      <c r="C1078" s="1" t="n">
        <v>45996</v>
      </c>
      <c r="D1078" t="inlineStr">
        <is>
          <t>STOCKHOLMS LÄN</t>
        </is>
      </c>
      <c r="E1078" t="inlineStr">
        <is>
          <t>NORRTÄLJE</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58142-2025</t>
        </is>
      </c>
      <c r="B1079" s="1" t="n">
        <v>45982.63791666667</v>
      </c>
      <c r="C1079" s="1" t="n">
        <v>45996</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50097-2025</t>
        </is>
      </c>
      <c r="B1080" s="1" t="n">
        <v>45943.50207175926</v>
      </c>
      <c r="C1080" s="1" t="n">
        <v>45996</v>
      </c>
      <c r="D1080" t="inlineStr">
        <is>
          <t>STOCKHOLMS LÄN</t>
        </is>
      </c>
      <c r="E1080" t="inlineStr">
        <is>
          <t>NORRTÄLJE</t>
        </is>
      </c>
      <c r="F1080" t="inlineStr">
        <is>
          <t>Holmen skog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49836-2025</t>
        </is>
      </c>
      <c r="B1081" s="1" t="n">
        <v>45940.46862268518</v>
      </c>
      <c r="C1081" s="1" t="n">
        <v>45996</v>
      </c>
      <c r="D1081" t="inlineStr">
        <is>
          <t>STOCKHOLMS LÄN</t>
        </is>
      </c>
      <c r="E1081" t="inlineStr">
        <is>
          <t>NORRTÄLJE</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58403-2025</t>
        </is>
      </c>
      <c r="B1082" s="1" t="n">
        <v>45985.56777777777</v>
      </c>
      <c r="C1082" s="1" t="n">
        <v>45996</v>
      </c>
      <c r="D1082" t="inlineStr">
        <is>
          <t>STOCKHOLMS LÄN</t>
        </is>
      </c>
      <c r="E1082" t="inlineStr">
        <is>
          <t>NORRTÄLJE</t>
        </is>
      </c>
      <c r="F1082" t="inlineStr">
        <is>
          <t>Naturvårdsverket</t>
        </is>
      </c>
      <c r="G1082" t="n">
        <v>13.5</v>
      </c>
      <c r="H1082" t="n">
        <v>0</v>
      </c>
      <c r="I1082" t="n">
        <v>0</v>
      </c>
      <c r="J1082" t="n">
        <v>0</v>
      </c>
      <c r="K1082" t="n">
        <v>0</v>
      </c>
      <c r="L1082" t="n">
        <v>0</v>
      </c>
      <c r="M1082" t="n">
        <v>0</v>
      </c>
      <c r="N1082" t="n">
        <v>0</v>
      </c>
      <c r="O1082" t="n">
        <v>0</v>
      </c>
      <c r="P1082" t="n">
        <v>0</v>
      </c>
      <c r="Q1082" t="n">
        <v>0</v>
      </c>
      <c r="R1082" s="2" t="inlineStr"/>
    </row>
    <row r="1083" ht="15" customHeight="1">
      <c r="A1083" t="inlineStr">
        <is>
          <t>A 58939-2025</t>
        </is>
      </c>
      <c r="B1083" s="1" t="n">
        <v>45987.5681712963</v>
      </c>
      <c r="C1083" s="1" t="n">
        <v>45996</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50327-2025</t>
        </is>
      </c>
      <c r="B1084" s="1" t="n">
        <v>45944.46387731482</v>
      </c>
      <c r="C1084" s="1" t="n">
        <v>45996</v>
      </c>
      <c r="D1084" t="inlineStr">
        <is>
          <t>STOCKHOLMS LÄN</t>
        </is>
      </c>
      <c r="E1084" t="inlineStr">
        <is>
          <t>NORRTÄLJE</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50563-2025</t>
        </is>
      </c>
      <c r="B1085" s="1" t="n">
        <v>45944</v>
      </c>
      <c r="C1085" s="1" t="n">
        <v>45996</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50333-2025</t>
        </is>
      </c>
      <c r="B1086" s="1" t="n">
        <v>45944.47178240741</v>
      </c>
      <c r="C1086" s="1" t="n">
        <v>45996</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51122-2025</t>
        </is>
      </c>
      <c r="B1087" s="1" t="n">
        <v>45947.53693287037</v>
      </c>
      <c r="C1087" s="1" t="n">
        <v>45996</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51233-2025</t>
        </is>
      </c>
      <c r="B1088" s="1" t="n">
        <v>45947.68232638889</v>
      </c>
      <c r="C1088" s="1" t="n">
        <v>45996</v>
      </c>
      <c r="D1088" t="inlineStr">
        <is>
          <t>STOCKHOLMS LÄN</t>
        </is>
      </c>
      <c r="E1088" t="inlineStr">
        <is>
          <t>NORRTÄLJE</t>
        </is>
      </c>
      <c r="F1088" t="inlineStr">
        <is>
          <t>Naturvårdsverket</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51236-2025</t>
        </is>
      </c>
      <c r="B1089" s="1" t="n">
        <v>45947.69078703703</v>
      </c>
      <c r="C1089" s="1" t="n">
        <v>45996</v>
      </c>
      <c r="D1089" t="inlineStr">
        <is>
          <t>STOCKHOLMS LÄN</t>
        </is>
      </c>
      <c r="E1089" t="inlineStr">
        <is>
          <t>NORRTÄLJE</t>
        </is>
      </c>
      <c r="F1089" t="inlineStr">
        <is>
          <t>Naturvårdsverket</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51241-2025</t>
        </is>
      </c>
      <c r="B1090" s="1" t="n">
        <v>45947.71726851852</v>
      </c>
      <c r="C1090" s="1" t="n">
        <v>45996</v>
      </c>
      <c r="D1090" t="inlineStr">
        <is>
          <t>STOCKHOLMS LÄN</t>
        </is>
      </c>
      <c r="E1090" t="inlineStr">
        <is>
          <t>NORRTÄLJE</t>
        </is>
      </c>
      <c r="F1090" t="inlineStr">
        <is>
          <t>Naturvårdsverket</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51240-2025</t>
        </is>
      </c>
      <c r="B1091" s="1" t="n">
        <v>45947.70420138889</v>
      </c>
      <c r="C1091" s="1" t="n">
        <v>45996</v>
      </c>
      <c r="D1091" t="inlineStr">
        <is>
          <t>STOCKHOLMS LÄN</t>
        </is>
      </c>
      <c r="E1091" t="inlineStr">
        <is>
          <t>NORRTÄLJE</t>
        </is>
      </c>
      <c r="F1091" t="inlineStr">
        <is>
          <t>Naturvårdsverket</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51121-2025</t>
        </is>
      </c>
      <c r="B1092" s="1" t="n">
        <v>45947.53293981482</v>
      </c>
      <c r="C1092" s="1" t="n">
        <v>45996</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59041-2025</t>
        </is>
      </c>
      <c r="B1093" s="1" t="n">
        <v>45988</v>
      </c>
      <c r="C1093" s="1" t="n">
        <v>45996</v>
      </c>
      <c r="D1093" t="inlineStr">
        <is>
          <t>STOCKHOLMS LÄN</t>
        </is>
      </c>
      <c r="E1093" t="inlineStr">
        <is>
          <t>NORRTÄLJE</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59477-2025</t>
        </is>
      </c>
      <c r="B1094" s="1" t="n">
        <v>45989.58679398148</v>
      </c>
      <c r="C1094" s="1" t="n">
        <v>45996</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53499-2025</t>
        </is>
      </c>
      <c r="B1095" s="1" t="n">
        <v>45960</v>
      </c>
      <c r="C1095" s="1" t="n">
        <v>45996</v>
      </c>
      <c r="D1095" t="inlineStr">
        <is>
          <t>STOCKHOLMS LÄN</t>
        </is>
      </c>
      <c r="E1095" t="inlineStr">
        <is>
          <t>NORRTÄLJE</t>
        </is>
      </c>
      <c r="G1095" t="n">
        <v>23.8</v>
      </c>
      <c r="H1095" t="n">
        <v>0</v>
      </c>
      <c r="I1095" t="n">
        <v>0</v>
      </c>
      <c r="J1095" t="n">
        <v>0</v>
      </c>
      <c r="K1095" t="n">
        <v>0</v>
      </c>
      <c r="L1095" t="n">
        <v>0</v>
      </c>
      <c r="M1095" t="n">
        <v>0</v>
      </c>
      <c r="N1095" t="n">
        <v>0</v>
      </c>
      <c r="O1095" t="n">
        <v>0</v>
      </c>
      <c r="P1095" t="n">
        <v>0</v>
      </c>
      <c r="Q1095" t="n">
        <v>0</v>
      </c>
      <c r="R1095" s="2" t="inlineStr"/>
    </row>
    <row r="1096" ht="15" customHeight="1">
      <c r="A1096" t="inlineStr">
        <is>
          <t>A 51532-2025</t>
        </is>
      </c>
      <c r="B1096" s="1" t="n">
        <v>45950.68297453703</v>
      </c>
      <c r="C1096" s="1" t="n">
        <v>45996</v>
      </c>
      <c r="D1096" t="inlineStr">
        <is>
          <t>STOCKHOLMS LÄN</t>
        </is>
      </c>
      <c r="E1096" t="inlineStr">
        <is>
          <t>NORRTÄLJE</t>
        </is>
      </c>
      <c r="F1096" t="inlineStr">
        <is>
          <t>Naturvårdsverket</t>
        </is>
      </c>
      <c r="G1096" t="n">
        <v>17.3</v>
      </c>
      <c r="H1096" t="n">
        <v>0</v>
      </c>
      <c r="I1096" t="n">
        <v>0</v>
      </c>
      <c r="J1096" t="n">
        <v>0</v>
      </c>
      <c r="K1096" t="n">
        <v>0</v>
      </c>
      <c r="L1096" t="n">
        <v>0</v>
      </c>
      <c r="M1096" t="n">
        <v>0</v>
      </c>
      <c r="N1096" t="n">
        <v>0</v>
      </c>
      <c r="O1096" t="n">
        <v>0</v>
      </c>
      <c r="P1096" t="n">
        <v>0</v>
      </c>
      <c r="Q1096" t="n">
        <v>0</v>
      </c>
      <c r="R1096" s="2" t="inlineStr"/>
    </row>
    <row r="1097" ht="15" customHeight="1">
      <c r="A1097" t="inlineStr">
        <is>
          <t>A 51789-2025</t>
        </is>
      </c>
      <c r="B1097" s="1" t="n">
        <v>45951.68046296296</v>
      </c>
      <c r="C1097" s="1" t="n">
        <v>45996</v>
      </c>
      <c r="D1097" t="inlineStr">
        <is>
          <t>STOCKHOLMS LÄN</t>
        </is>
      </c>
      <c r="E1097" t="inlineStr">
        <is>
          <t>NORRTÄLJE</t>
        </is>
      </c>
      <c r="F1097" t="inlineStr">
        <is>
          <t>Naturvårdsverket</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59907-2025</t>
        </is>
      </c>
      <c r="B1098" s="1" t="n">
        <v>45993.35350694445</v>
      </c>
      <c r="C1098" s="1" t="n">
        <v>45996</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59914-2025</t>
        </is>
      </c>
      <c r="B1099" s="1" t="n">
        <v>45993.37056712963</v>
      </c>
      <c r="C1099" s="1" t="n">
        <v>45996</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59924-2025</t>
        </is>
      </c>
      <c r="B1100" s="1" t="n">
        <v>45993.38928240741</v>
      </c>
      <c r="C1100" s="1" t="n">
        <v>45996</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59672-2025</t>
        </is>
      </c>
      <c r="B1101" s="1" t="n">
        <v>45992.45884259259</v>
      </c>
      <c r="C1101" s="1" t="n">
        <v>45996</v>
      </c>
      <c r="D1101" t="inlineStr">
        <is>
          <t>STOCKHOLMS LÄN</t>
        </is>
      </c>
      <c r="E1101" t="inlineStr">
        <is>
          <t>NORRTÄLJE</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51960-2025</t>
        </is>
      </c>
      <c r="B1102" s="1" t="n">
        <v>45952.54755787037</v>
      </c>
      <c r="C1102" s="1" t="n">
        <v>45996</v>
      </c>
      <c r="D1102" t="inlineStr">
        <is>
          <t>STOCKHOLMS LÄN</t>
        </is>
      </c>
      <c r="E1102" t="inlineStr">
        <is>
          <t>NORRTÄLJE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60253-2025</t>
        </is>
      </c>
      <c r="B1103" s="1" t="n">
        <v>45994.59827546297</v>
      </c>
      <c r="C1103" s="1" t="n">
        <v>45996</v>
      </c>
      <c r="D1103" t="inlineStr">
        <is>
          <t>STOCKHOLMS LÄN</t>
        </is>
      </c>
      <c r="E1103" t="inlineStr">
        <is>
          <t>NORRTÄLJE</t>
        </is>
      </c>
      <c r="F1103" t="inlineStr">
        <is>
          <t>Holmen skog AB</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51941-2025</t>
        </is>
      </c>
      <c r="B1104" s="1" t="n">
        <v>45952.52261574074</v>
      </c>
      <c r="C1104" s="1" t="n">
        <v>45996</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60214-2025</t>
        </is>
      </c>
      <c r="B1105" s="1" t="n">
        <v>45994.53761574074</v>
      </c>
      <c r="C1105" s="1" t="n">
        <v>45996</v>
      </c>
      <c r="D1105" t="inlineStr">
        <is>
          <t>STOCKHOLMS LÄN</t>
        </is>
      </c>
      <c r="E1105" t="inlineStr">
        <is>
          <t>NORRTÄLJE</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52061-2025</t>
        </is>
      </c>
      <c r="B1106" s="1" t="n">
        <v>45952.63679398148</v>
      </c>
      <c r="C1106" s="1" t="n">
        <v>45996</v>
      </c>
      <c r="D1106" t="inlineStr">
        <is>
          <t>STOCKHOLMS LÄN</t>
        </is>
      </c>
      <c r="E1106" t="inlineStr">
        <is>
          <t>NORRTÄLJE</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51945-2025</t>
        </is>
      </c>
      <c r="B1107" s="1" t="n">
        <v>45952.52679398148</v>
      </c>
      <c r="C1107" s="1" t="n">
        <v>45996</v>
      </c>
      <c r="D1107" t="inlineStr">
        <is>
          <t>STOCKHOLMS LÄN</t>
        </is>
      </c>
      <c r="E1107" t="inlineStr">
        <is>
          <t>NORRTÄLJE</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52251-2025</t>
        </is>
      </c>
      <c r="B1108" s="1" t="n">
        <v>45953.49185185185</v>
      </c>
      <c r="C1108" s="1" t="n">
        <v>45996</v>
      </c>
      <c r="D1108" t="inlineStr">
        <is>
          <t>STOCKHOLMS LÄN</t>
        </is>
      </c>
      <c r="E1108" t="inlineStr">
        <is>
          <t>NORRTÄLJE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52254-2025</t>
        </is>
      </c>
      <c r="B1109" s="1" t="n">
        <v>45953.49519675926</v>
      </c>
      <c r="C1109" s="1" t="n">
        <v>45996</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c r="A1110" t="inlineStr">
        <is>
          <t>A 60223-2025</t>
        </is>
      </c>
      <c r="B1110" s="1" t="n">
        <v>45994.54497685185</v>
      </c>
      <c r="C1110" s="1" t="n">
        <v>45996</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2025-12-05T10:34:04Z</dcterms:created>
  <dcterms:modified xmlns:dcterms="http://purl.org/dc/terms/" xmlns:xsi="http://www.w3.org/2001/XMLSchema-instance" xsi:type="dcterms:W3CDTF">2025-12-05T10:34:05Z</dcterms:modified>
</cp:coreProperties>
</file>