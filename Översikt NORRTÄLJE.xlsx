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45931</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45931</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45931</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45931</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45931</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45931</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45931</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45931</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45931</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45931</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45931</v>
      </c>
      <c r="D12" t="inlineStr">
        <is>
          <t>STOCKHOLMS LÄN</t>
        </is>
      </c>
      <c r="E12" t="inlineStr">
        <is>
          <t>NORRTÄLJE</t>
        </is>
      </c>
      <c r="F12" t="inlineStr">
        <is>
          <t>Holmen skog AB</t>
        </is>
      </c>
      <c r="G12" t="n">
        <v>7.9</v>
      </c>
      <c r="H12" t="n">
        <v>1</v>
      </c>
      <c r="I12" t="n">
        <v>7</v>
      </c>
      <c r="J12" t="n">
        <v>5</v>
      </c>
      <c r="K12" t="n">
        <v>2</v>
      </c>
      <c r="L12" t="n">
        <v>0</v>
      </c>
      <c r="M12" t="n">
        <v>0</v>
      </c>
      <c r="N12" t="n">
        <v>0</v>
      </c>
      <c r="O12" t="n">
        <v>7</v>
      </c>
      <c r="P12" t="n">
        <v>2</v>
      </c>
      <c r="Q12" t="n">
        <v>15</v>
      </c>
      <c r="R12" s="2" t="inlineStr">
        <is>
          <t>Grangråticka
Läderdoftande fingersvamp
Druvfingersvamp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45931</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45931</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20722-2024</t>
        </is>
      </c>
      <c r="B15" s="1" t="n">
        <v>45436</v>
      </c>
      <c r="C15" s="1" t="n">
        <v>45931</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44847-2023</t>
        </is>
      </c>
      <c r="B16" s="1" t="n">
        <v>45190</v>
      </c>
      <c r="C16" s="1" t="n">
        <v>45931</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11231-2021</t>
        </is>
      </c>
      <c r="B17" s="1" t="n">
        <v>44263</v>
      </c>
      <c r="C17" s="1" t="n">
        <v>45931</v>
      </c>
      <c r="D17" t="inlineStr">
        <is>
          <t>STOCKHOLMS LÄN</t>
        </is>
      </c>
      <c r="E17" t="inlineStr">
        <is>
          <t>NORRTÄLJE</t>
        </is>
      </c>
      <c r="F17" t="inlineStr">
        <is>
          <t>Holmen skog AB</t>
        </is>
      </c>
      <c r="G17" t="n">
        <v>12</v>
      </c>
      <c r="H17" t="n">
        <v>6</v>
      </c>
      <c r="I17" t="n">
        <v>2</v>
      </c>
      <c r="J17" t="n">
        <v>5</v>
      </c>
      <c r="K17" t="n">
        <v>0</v>
      </c>
      <c r="L17" t="n">
        <v>2</v>
      </c>
      <c r="M17" t="n">
        <v>0</v>
      </c>
      <c r="N17" t="n">
        <v>0</v>
      </c>
      <c r="O17" t="n">
        <v>7</v>
      </c>
      <c r="P17" t="n">
        <v>2</v>
      </c>
      <c r="Q17" t="n">
        <v>10</v>
      </c>
      <c r="R17" s="2" t="inlineStr">
        <is>
          <t>Grönfink
Tornseglare
Fiskmås
Havsörn
Motaggsvamp
Talltita
Vedskivlav
Björksplintborre
Dropptaggsvamp
Tjäder</t>
        </is>
      </c>
      <c r="S17">
        <f>HYPERLINK("https://klasma.github.io/Logging_0188/artfynd/A 11231-2021 artfynd.xlsx", "A 11231-2021")</f>
        <v/>
      </c>
      <c r="T17">
        <f>HYPERLINK("https://klasma.github.io/Logging_0188/kartor/A 11231-2021 karta.png", "A 11231-2021")</f>
        <v/>
      </c>
      <c r="V17">
        <f>HYPERLINK("https://klasma.github.io/Logging_0188/klagomål/A 11231-2021 FSC-klagomål.docx", "A 11231-2021")</f>
        <v/>
      </c>
      <c r="W17">
        <f>HYPERLINK("https://klasma.github.io/Logging_0188/klagomålsmail/A 11231-2021 FSC-klagomål mail.docx", "A 11231-2021")</f>
        <v/>
      </c>
      <c r="X17">
        <f>HYPERLINK("https://klasma.github.io/Logging_0188/tillsyn/A 11231-2021 tillsynsbegäran.docx", "A 11231-2021")</f>
        <v/>
      </c>
      <c r="Y17">
        <f>HYPERLINK("https://klasma.github.io/Logging_0188/tillsynsmail/A 11231-2021 tillsynsbegäran mail.docx", "A 11231-2021")</f>
        <v/>
      </c>
      <c r="Z17">
        <f>HYPERLINK("https://klasma.github.io/Logging_0188/fåglar/A 11231-2021 prioriterade fågelarter.docx", "A 11231-2021")</f>
        <v/>
      </c>
    </row>
    <row r="18" ht="15" customHeight="1">
      <c r="A18" t="inlineStr">
        <is>
          <t>A 73093-2021</t>
        </is>
      </c>
      <c r="B18" s="1" t="n">
        <v>44550</v>
      </c>
      <c r="C18" s="1" t="n">
        <v>45931</v>
      </c>
      <c r="D18" t="inlineStr">
        <is>
          <t>STOCKHOLMS LÄN</t>
        </is>
      </c>
      <c r="E18" t="inlineStr">
        <is>
          <t>NORRTÄLJE</t>
        </is>
      </c>
      <c r="G18" t="n">
        <v>5.1</v>
      </c>
      <c r="H18" t="n">
        <v>6</v>
      </c>
      <c r="I18" t="n">
        <v>6</v>
      </c>
      <c r="J18" t="n">
        <v>1</v>
      </c>
      <c r="K18" t="n">
        <v>0</v>
      </c>
      <c r="L18" t="n">
        <v>0</v>
      </c>
      <c r="M18" t="n">
        <v>0</v>
      </c>
      <c r="N18" t="n">
        <v>0</v>
      </c>
      <c r="O18" t="n">
        <v>1</v>
      </c>
      <c r="P18" t="n">
        <v>0</v>
      </c>
      <c r="Q18" t="n">
        <v>9</v>
      </c>
      <c r="R18" s="2" t="inlineStr">
        <is>
          <t>Rödvingetrast
Guckusko
Myskmadra
Nästrot
Skogsknipprot
Tibast
Vätteros
Nattviol
Blåsippa</t>
        </is>
      </c>
      <c r="S18">
        <f>HYPERLINK("https://klasma.github.io/Logging_0188/artfynd/A 73093-2021 artfynd.xlsx", "A 73093-2021")</f>
        <v/>
      </c>
      <c r="T18">
        <f>HYPERLINK("https://klasma.github.io/Logging_0188/kartor/A 73093-2021 karta.png", "A 73093-2021")</f>
        <v/>
      </c>
      <c r="V18">
        <f>HYPERLINK("https://klasma.github.io/Logging_0188/klagomål/A 73093-2021 FSC-klagomål.docx", "A 73093-2021")</f>
        <v/>
      </c>
      <c r="W18">
        <f>HYPERLINK("https://klasma.github.io/Logging_0188/klagomålsmail/A 73093-2021 FSC-klagomål mail.docx", "A 73093-2021")</f>
        <v/>
      </c>
      <c r="X18">
        <f>HYPERLINK("https://klasma.github.io/Logging_0188/tillsyn/A 73093-2021 tillsynsbegäran.docx", "A 73093-2021")</f>
        <v/>
      </c>
      <c r="Y18">
        <f>HYPERLINK("https://klasma.github.io/Logging_0188/tillsynsmail/A 73093-2021 tillsynsbegäran mail.docx", "A 73093-2021")</f>
        <v/>
      </c>
      <c r="Z18">
        <f>HYPERLINK("https://klasma.github.io/Logging_0188/fåglar/A 73093-2021 prioriterade fågelarter.docx", "A 73093-2021")</f>
        <v/>
      </c>
    </row>
    <row r="19" ht="15" customHeight="1">
      <c r="A19" t="inlineStr">
        <is>
          <t>A 52815-2021</t>
        </is>
      </c>
      <c r="B19" s="1" t="n">
        <v>44467</v>
      </c>
      <c r="C19" s="1" t="n">
        <v>45931</v>
      </c>
      <c r="D19" t="inlineStr">
        <is>
          <t>STOCKHOLMS LÄN</t>
        </is>
      </c>
      <c r="E19" t="inlineStr">
        <is>
          <t>NORRTÄLJE</t>
        </is>
      </c>
      <c r="G19" t="n">
        <v>2.8</v>
      </c>
      <c r="H19" t="n">
        <v>0</v>
      </c>
      <c r="I19" t="n">
        <v>2</v>
      </c>
      <c r="J19" t="n">
        <v>2</v>
      </c>
      <c r="K19" t="n">
        <v>4</v>
      </c>
      <c r="L19" t="n">
        <v>1</v>
      </c>
      <c r="M19" t="n">
        <v>0</v>
      </c>
      <c r="N19" t="n">
        <v>0</v>
      </c>
      <c r="O19" t="n">
        <v>7</v>
      </c>
      <c r="P19" t="n">
        <v>5</v>
      </c>
      <c r="Q19" t="n">
        <v>9</v>
      </c>
      <c r="R19" s="2" t="inlineStr">
        <is>
          <t>Raggtaggsvamp
Gul lammticka
Koppartaggsvamp
Spricktaggsvamp
Svartfjällig musseron
Bittermusseron
Flattoppad klubbsvamp
Diskvaxskivling
Fjällig taggsvamp s.str.</t>
        </is>
      </c>
      <c r="S19">
        <f>HYPERLINK("https://klasma.github.io/Logging_0188/artfynd/A 52815-2021 artfynd.xlsx", "A 52815-2021")</f>
        <v/>
      </c>
      <c r="T19">
        <f>HYPERLINK("https://klasma.github.io/Logging_0188/kartor/A 52815-2021 karta.png", "A 52815-2021")</f>
        <v/>
      </c>
      <c r="V19">
        <f>HYPERLINK("https://klasma.github.io/Logging_0188/klagomål/A 52815-2021 FSC-klagomål.docx", "A 52815-2021")</f>
        <v/>
      </c>
      <c r="W19">
        <f>HYPERLINK("https://klasma.github.io/Logging_0188/klagomålsmail/A 52815-2021 FSC-klagomål mail.docx", "A 52815-2021")</f>
        <v/>
      </c>
      <c r="X19">
        <f>HYPERLINK("https://klasma.github.io/Logging_0188/tillsyn/A 52815-2021 tillsynsbegäran.docx", "A 52815-2021")</f>
        <v/>
      </c>
      <c r="Y19">
        <f>HYPERLINK("https://klasma.github.io/Logging_0188/tillsynsmail/A 52815-2021 tillsynsbegäran mail.docx", "A 52815-2021")</f>
        <v/>
      </c>
    </row>
    <row r="20" ht="15" customHeight="1">
      <c r="A20" t="inlineStr">
        <is>
          <t>A 50326-2024</t>
        </is>
      </c>
      <c r="B20" s="1" t="n">
        <v>45600</v>
      </c>
      <c r="C20" s="1" t="n">
        <v>45931</v>
      </c>
      <c r="D20" t="inlineStr">
        <is>
          <t>STOCKHOLMS LÄN</t>
        </is>
      </c>
      <c r="E20" t="inlineStr">
        <is>
          <t>NORRTÄLJE</t>
        </is>
      </c>
      <c r="G20" t="n">
        <v>23.9</v>
      </c>
      <c r="H20" t="n">
        <v>4</v>
      </c>
      <c r="I20" t="n">
        <v>5</v>
      </c>
      <c r="J20" t="n">
        <v>1</v>
      </c>
      <c r="K20" t="n">
        <v>0</v>
      </c>
      <c r="L20" t="n">
        <v>0</v>
      </c>
      <c r="M20" t="n">
        <v>0</v>
      </c>
      <c r="N20" t="n">
        <v>0</v>
      </c>
      <c r="O20" t="n">
        <v>1</v>
      </c>
      <c r="P20" t="n">
        <v>0</v>
      </c>
      <c r="Q20" t="n">
        <v>9</v>
      </c>
      <c r="R20" s="2" t="inlineStr">
        <is>
          <t>Sommarfibbla
Nästrot
Slät lönnlav
Svart trolldruva
Tibast
Vårärt
Fläcknycklar
Blåsippa
Gullviva</t>
        </is>
      </c>
      <c r="S20">
        <f>HYPERLINK("https://klasma.github.io/Logging_0188/artfynd/A 50326-2024 artfynd.xlsx", "A 50326-2024")</f>
        <v/>
      </c>
      <c r="T20">
        <f>HYPERLINK("https://klasma.github.io/Logging_0188/kartor/A 50326-2024 karta.png", "A 50326-2024")</f>
        <v/>
      </c>
      <c r="V20">
        <f>HYPERLINK("https://klasma.github.io/Logging_0188/klagomål/A 50326-2024 FSC-klagomål.docx", "A 50326-2024")</f>
        <v/>
      </c>
      <c r="W20">
        <f>HYPERLINK("https://klasma.github.io/Logging_0188/klagomålsmail/A 50326-2024 FSC-klagomål mail.docx", "A 50326-2024")</f>
        <v/>
      </c>
      <c r="X20">
        <f>HYPERLINK("https://klasma.github.io/Logging_0188/tillsyn/A 50326-2024 tillsynsbegäran.docx", "A 50326-2024")</f>
        <v/>
      </c>
      <c r="Y20">
        <f>HYPERLINK("https://klasma.github.io/Logging_0188/tillsynsmail/A 50326-2024 tillsynsbegäran mail.docx", "A 50326-2024")</f>
        <v/>
      </c>
    </row>
    <row r="21" ht="15" customHeight="1">
      <c r="A21" t="inlineStr">
        <is>
          <t>A 47274-2024</t>
        </is>
      </c>
      <c r="B21" s="1" t="n">
        <v>45586.88145833334</v>
      </c>
      <c r="C21" s="1" t="n">
        <v>45931</v>
      </c>
      <c r="D21" t="inlineStr">
        <is>
          <t>STOCKHOLMS LÄN</t>
        </is>
      </c>
      <c r="E21" t="inlineStr">
        <is>
          <t>NORRTÄLJE</t>
        </is>
      </c>
      <c r="G21" t="n">
        <v>20.1</v>
      </c>
      <c r="H21" t="n">
        <v>2</v>
      </c>
      <c r="I21" t="n">
        <v>3</v>
      </c>
      <c r="J21" t="n">
        <v>4</v>
      </c>
      <c r="K21" t="n">
        <v>1</v>
      </c>
      <c r="L21" t="n">
        <v>0</v>
      </c>
      <c r="M21" t="n">
        <v>0</v>
      </c>
      <c r="N21" t="n">
        <v>0</v>
      </c>
      <c r="O21" t="n">
        <v>5</v>
      </c>
      <c r="P21" t="n">
        <v>1</v>
      </c>
      <c r="Q21" t="n">
        <v>9</v>
      </c>
      <c r="R21" s="2" t="inlineStr">
        <is>
          <t>Knärot
Grönhjon
Motaggsvamp
Ullticka
Vedskivlav
Dropptaggsvamp
Grönpyrola
Svavelriska
Blåsippa</t>
        </is>
      </c>
      <c r="S21">
        <f>HYPERLINK("https://klasma.github.io/Logging_0188/artfynd/A 47274-2024 artfynd.xlsx", "A 47274-2024")</f>
        <v/>
      </c>
      <c r="T21">
        <f>HYPERLINK("https://klasma.github.io/Logging_0188/kartor/A 47274-2024 karta.png", "A 47274-2024")</f>
        <v/>
      </c>
      <c r="U21">
        <f>HYPERLINK("https://klasma.github.io/Logging_0188/knärot/A 47274-2024 karta knärot.png", "A 47274-2024")</f>
        <v/>
      </c>
      <c r="V21">
        <f>HYPERLINK("https://klasma.github.io/Logging_0188/klagomål/A 47274-2024 FSC-klagomål.docx", "A 47274-2024")</f>
        <v/>
      </c>
      <c r="W21">
        <f>HYPERLINK("https://klasma.github.io/Logging_0188/klagomålsmail/A 47274-2024 FSC-klagomål mail.docx", "A 47274-2024")</f>
        <v/>
      </c>
      <c r="X21">
        <f>HYPERLINK("https://klasma.github.io/Logging_0188/tillsyn/A 47274-2024 tillsynsbegäran.docx", "A 47274-2024")</f>
        <v/>
      </c>
      <c r="Y21">
        <f>HYPERLINK("https://klasma.github.io/Logging_0188/tillsynsmail/A 47274-2024 tillsynsbegäran mail.docx", "A 47274-2024")</f>
        <v/>
      </c>
    </row>
    <row r="22" ht="15" customHeight="1">
      <c r="A22" t="inlineStr">
        <is>
          <t>A 4705-2025</t>
        </is>
      </c>
      <c r="B22" s="1" t="n">
        <v>45688.38224537037</v>
      </c>
      <c r="C22" s="1" t="n">
        <v>45931</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59582-2024</t>
        </is>
      </c>
      <c r="B23" s="1" t="n">
        <v>45638</v>
      </c>
      <c r="C23" s="1" t="n">
        <v>45931</v>
      </c>
      <c r="D23" t="inlineStr">
        <is>
          <t>STOCKHOLMS LÄN</t>
        </is>
      </c>
      <c r="E23" t="inlineStr">
        <is>
          <t>NORRTÄLJE</t>
        </is>
      </c>
      <c r="F23" t="inlineStr">
        <is>
          <t>Holmen skog AB</t>
        </is>
      </c>
      <c r="G23" t="n">
        <v>2.7</v>
      </c>
      <c r="H23" t="n">
        <v>3</v>
      </c>
      <c r="I23" t="n">
        <v>4</v>
      </c>
      <c r="J23" t="n">
        <v>3</v>
      </c>
      <c r="K23" t="n">
        <v>0</v>
      </c>
      <c r="L23" t="n">
        <v>0</v>
      </c>
      <c r="M23" t="n">
        <v>0</v>
      </c>
      <c r="N23" t="n">
        <v>0</v>
      </c>
      <c r="O23" t="n">
        <v>3</v>
      </c>
      <c r="P23" t="n">
        <v>0</v>
      </c>
      <c r="Q23" t="n">
        <v>8</v>
      </c>
      <c r="R23" s="2" t="inlineStr">
        <is>
          <t>Duvhök
Skogshare
Spillkråka
Bronshjon
Granbräken
Spädstarr
Vågbandad barkbock
Revlummer</t>
        </is>
      </c>
      <c r="S23">
        <f>HYPERLINK("https://klasma.github.io/Logging_0188/artfynd/A 59582-2024 artfynd.xlsx", "A 59582-2024")</f>
        <v/>
      </c>
      <c r="T23">
        <f>HYPERLINK("https://klasma.github.io/Logging_0188/kartor/A 59582-2024 karta.png", "A 59582-2024")</f>
        <v/>
      </c>
      <c r="V23">
        <f>HYPERLINK("https://klasma.github.io/Logging_0188/klagomål/A 59582-2024 FSC-klagomål.docx", "A 59582-2024")</f>
        <v/>
      </c>
      <c r="W23">
        <f>HYPERLINK("https://klasma.github.io/Logging_0188/klagomålsmail/A 59582-2024 FSC-klagomål mail.docx", "A 59582-2024")</f>
        <v/>
      </c>
      <c r="X23">
        <f>HYPERLINK("https://klasma.github.io/Logging_0188/tillsyn/A 59582-2024 tillsynsbegäran.docx", "A 59582-2024")</f>
        <v/>
      </c>
      <c r="Y23">
        <f>HYPERLINK("https://klasma.github.io/Logging_0188/tillsynsmail/A 59582-2024 tillsynsbegäran mail.docx", "A 59582-2024")</f>
        <v/>
      </c>
      <c r="Z23">
        <f>HYPERLINK("https://klasma.github.io/Logging_0188/fåglar/A 59582-2024 prioriterade fågelarter.docx", "A 59582-2024")</f>
        <v/>
      </c>
    </row>
    <row r="24" ht="15" customHeight="1">
      <c r="A24" t="inlineStr">
        <is>
          <t>A 45811-2022</t>
        </is>
      </c>
      <c r="B24" s="1" t="n">
        <v>44846</v>
      </c>
      <c r="C24" s="1" t="n">
        <v>45931</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45931</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13933-2022</t>
        </is>
      </c>
      <c r="B26" s="1" t="n">
        <v>44650</v>
      </c>
      <c r="C26" s="1" t="n">
        <v>45931</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47346-2021</t>
        </is>
      </c>
      <c r="B27" s="1" t="n">
        <v>44447</v>
      </c>
      <c r="C27" s="1" t="n">
        <v>45931</v>
      </c>
      <c r="D27" t="inlineStr">
        <is>
          <t>STOCKHOLMS LÄN</t>
        </is>
      </c>
      <c r="E27" t="inlineStr">
        <is>
          <t>NORRTÄLJE</t>
        </is>
      </c>
      <c r="G27" t="n">
        <v>5.5</v>
      </c>
      <c r="H27" t="n">
        <v>1</v>
      </c>
      <c r="I27" t="n">
        <v>4</v>
      </c>
      <c r="J27" t="n">
        <v>0</v>
      </c>
      <c r="K27" t="n">
        <v>2</v>
      </c>
      <c r="L27" t="n">
        <v>0</v>
      </c>
      <c r="M27" t="n">
        <v>0</v>
      </c>
      <c r="N27" t="n">
        <v>0</v>
      </c>
      <c r="O27" t="n">
        <v>2</v>
      </c>
      <c r="P27" t="n">
        <v>2</v>
      </c>
      <c r="Q27" t="n">
        <v>7</v>
      </c>
      <c r="R27" s="2" t="inlineStr">
        <is>
          <t>Grangråticka
Violgubbe
Anisspindling
Fjällig taggsvamp s.str.
Skarp dropptaggsvamp
Toppvaxing
Revlummer</t>
        </is>
      </c>
      <c r="S27">
        <f>HYPERLINK("https://klasma.github.io/Logging_0188/artfynd/A 47346-2021 artfynd.xlsx", "A 47346-2021")</f>
        <v/>
      </c>
      <c r="T27">
        <f>HYPERLINK("https://klasma.github.io/Logging_0188/kartor/A 47346-2021 karta.png", "A 47346-2021")</f>
        <v/>
      </c>
      <c r="V27">
        <f>HYPERLINK("https://klasma.github.io/Logging_0188/klagomål/A 47346-2021 FSC-klagomål.docx", "A 47346-2021")</f>
        <v/>
      </c>
      <c r="W27">
        <f>HYPERLINK("https://klasma.github.io/Logging_0188/klagomålsmail/A 47346-2021 FSC-klagomål mail.docx", "A 47346-2021")</f>
        <v/>
      </c>
      <c r="X27">
        <f>HYPERLINK("https://klasma.github.io/Logging_0188/tillsyn/A 47346-2021 tillsynsbegäran.docx", "A 47346-2021")</f>
        <v/>
      </c>
      <c r="Y27">
        <f>HYPERLINK("https://klasma.github.io/Logging_0188/tillsynsmail/A 47346-2021 tillsynsbegäran mail.docx", "A 47346-2021")</f>
        <v/>
      </c>
    </row>
    <row r="28" ht="15" customHeight="1">
      <c r="A28" t="inlineStr">
        <is>
          <t>A 25732-2025</t>
        </is>
      </c>
      <c r="B28" s="1" t="n">
        <v>45800</v>
      </c>
      <c r="C28" s="1" t="n">
        <v>45931</v>
      </c>
      <c r="D28" t="inlineStr">
        <is>
          <t>STOCKHOLMS LÄN</t>
        </is>
      </c>
      <c r="E28" t="inlineStr">
        <is>
          <t>NORRTÄLJE</t>
        </is>
      </c>
      <c r="G28" t="n">
        <v>7.4</v>
      </c>
      <c r="H28" t="n">
        <v>3</v>
      </c>
      <c r="I28" t="n">
        <v>3</v>
      </c>
      <c r="J28" t="n">
        <v>2</v>
      </c>
      <c r="K28" t="n">
        <v>1</v>
      </c>
      <c r="L28" t="n">
        <v>0</v>
      </c>
      <c r="M28" t="n">
        <v>0</v>
      </c>
      <c r="N28" t="n">
        <v>0</v>
      </c>
      <c r="O28" t="n">
        <v>3</v>
      </c>
      <c r="P28" t="n">
        <v>1</v>
      </c>
      <c r="Q28" t="n">
        <v>7</v>
      </c>
      <c r="R28" s="2" t="inlineStr">
        <is>
          <t>Knärot
Blå taggsvamp
Skrovlig taggsvamp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15278-2024</t>
        </is>
      </c>
      <c r="B29" s="1" t="n">
        <v>45400.5958912037</v>
      </c>
      <c r="C29" s="1" t="n">
        <v>45931</v>
      </c>
      <c r="D29" t="inlineStr">
        <is>
          <t>STOCKHOLMS LÄN</t>
        </is>
      </c>
      <c r="E29" t="inlineStr">
        <is>
          <t>NORRTÄLJE</t>
        </is>
      </c>
      <c r="G29" t="n">
        <v>7.4</v>
      </c>
      <c r="H29" t="n">
        <v>2</v>
      </c>
      <c r="I29" t="n">
        <v>4</v>
      </c>
      <c r="J29" t="n">
        <v>1</v>
      </c>
      <c r="K29" t="n">
        <v>1</v>
      </c>
      <c r="L29" t="n">
        <v>0</v>
      </c>
      <c r="M29" t="n">
        <v>0</v>
      </c>
      <c r="N29" t="n">
        <v>0</v>
      </c>
      <c r="O29" t="n">
        <v>2</v>
      </c>
      <c r="P29" t="n">
        <v>1</v>
      </c>
      <c r="Q29" t="n">
        <v>7</v>
      </c>
      <c r="R29" s="2" t="inlineStr">
        <is>
          <t>Knärot
Ullticka
Fjällig taggsvamp s.str.
Grönpyrola
Kattfotslav
Vedticka
Blåsippa</t>
        </is>
      </c>
      <c r="S29">
        <f>HYPERLINK("https://klasma.github.io/Logging_0188/artfynd/A 15278-2024 artfynd.xlsx", "A 15278-2024")</f>
        <v/>
      </c>
      <c r="T29">
        <f>HYPERLINK("https://klasma.github.io/Logging_0188/kartor/A 15278-2024 karta.png", "A 15278-2024")</f>
        <v/>
      </c>
      <c r="U29">
        <f>HYPERLINK("https://klasma.github.io/Logging_0188/knärot/A 15278-2024 karta knärot.png", "A 15278-2024")</f>
        <v/>
      </c>
      <c r="V29">
        <f>HYPERLINK("https://klasma.github.io/Logging_0188/klagomål/A 15278-2024 FSC-klagomål.docx", "A 15278-2024")</f>
        <v/>
      </c>
      <c r="W29">
        <f>HYPERLINK("https://klasma.github.io/Logging_0188/klagomålsmail/A 15278-2024 FSC-klagomål mail.docx", "A 15278-2024")</f>
        <v/>
      </c>
      <c r="X29">
        <f>HYPERLINK("https://klasma.github.io/Logging_0188/tillsyn/A 15278-2024 tillsynsbegäran.docx", "A 15278-2024")</f>
        <v/>
      </c>
      <c r="Y29">
        <f>HYPERLINK("https://klasma.github.io/Logging_0188/tillsynsmail/A 15278-2024 tillsynsbegäran mail.docx", "A 15278-2024")</f>
        <v/>
      </c>
    </row>
    <row r="30" ht="15" customHeight="1">
      <c r="A30" t="inlineStr">
        <is>
          <t>A 34528-2025</t>
        </is>
      </c>
      <c r="B30" s="1" t="n">
        <v>45847.48436342592</v>
      </c>
      <c r="C30" s="1" t="n">
        <v>45931</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45931</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21922-2023</t>
        </is>
      </c>
      <c r="B32" s="1" t="n">
        <v>45068</v>
      </c>
      <c r="C32" s="1" t="n">
        <v>45931</v>
      </c>
      <c r="D32" t="inlineStr">
        <is>
          <t>STOCKHOLMS LÄN</t>
        </is>
      </c>
      <c r="E32" t="inlineStr">
        <is>
          <t>NORRTÄLJE</t>
        </is>
      </c>
      <c r="G32" t="n">
        <v>4.9</v>
      </c>
      <c r="H32" t="n">
        <v>2</v>
      </c>
      <c r="I32" t="n">
        <v>2</v>
      </c>
      <c r="J32" t="n">
        <v>1</v>
      </c>
      <c r="K32" t="n">
        <v>0</v>
      </c>
      <c r="L32" t="n">
        <v>0</v>
      </c>
      <c r="M32" t="n">
        <v>0</v>
      </c>
      <c r="N32" t="n">
        <v>0</v>
      </c>
      <c r="O32" t="n">
        <v>1</v>
      </c>
      <c r="P32" t="n">
        <v>0</v>
      </c>
      <c r="Q32" t="n">
        <v>5</v>
      </c>
      <c r="R32" s="2" t="inlineStr">
        <is>
          <t>Asppraktbagge
Stor aspticka
Svavelriska
Blåsippa
Gullviva</t>
        </is>
      </c>
      <c r="S32">
        <f>HYPERLINK("https://klasma.github.io/Logging_0188/artfynd/A 21922-2023 artfynd.xlsx", "A 21922-2023")</f>
        <v/>
      </c>
      <c r="T32">
        <f>HYPERLINK("https://klasma.github.io/Logging_0188/kartor/A 21922-2023 karta.png", "A 21922-2023")</f>
        <v/>
      </c>
      <c r="V32">
        <f>HYPERLINK("https://klasma.github.io/Logging_0188/klagomål/A 21922-2023 FSC-klagomål.docx", "A 21922-2023")</f>
        <v/>
      </c>
      <c r="W32">
        <f>HYPERLINK("https://klasma.github.io/Logging_0188/klagomålsmail/A 21922-2023 FSC-klagomål mail.docx", "A 21922-2023")</f>
        <v/>
      </c>
      <c r="X32">
        <f>HYPERLINK("https://klasma.github.io/Logging_0188/tillsyn/A 21922-2023 tillsynsbegäran.docx", "A 21922-2023")</f>
        <v/>
      </c>
      <c r="Y32">
        <f>HYPERLINK("https://klasma.github.io/Logging_0188/tillsynsmail/A 21922-2023 tillsynsbegäran mail.docx", "A 21922-2023")</f>
        <v/>
      </c>
    </row>
    <row r="33" ht="15" customHeight="1">
      <c r="A33" t="inlineStr">
        <is>
          <t>A 72111-2021</t>
        </is>
      </c>
      <c r="B33" s="1" t="n">
        <v>44544</v>
      </c>
      <c r="C33" s="1" t="n">
        <v>45931</v>
      </c>
      <c r="D33" t="inlineStr">
        <is>
          <t>STOCKHOLMS LÄN</t>
        </is>
      </c>
      <c r="E33" t="inlineStr">
        <is>
          <t>NORRTÄLJE</t>
        </is>
      </c>
      <c r="G33" t="n">
        <v>5.1</v>
      </c>
      <c r="H33" t="n">
        <v>1</v>
      </c>
      <c r="I33" t="n">
        <v>3</v>
      </c>
      <c r="J33" t="n">
        <v>1</v>
      </c>
      <c r="K33" t="n">
        <v>0</v>
      </c>
      <c r="L33" t="n">
        <v>0</v>
      </c>
      <c r="M33" t="n">
        <v>0</v>
      </c>
      <c r="N33" t="n">
        <v>0</v>
      </c>
      <c r="O33" t="n">
        <v>1</v>
      </c>
      <c r="P33" t="n">
        <v>0</v>
      </c>
      <c r="Q33" t="n">
        <v>5</v>
      </c>
      <c r="R33" s="2" t="inlineStr">
        <is>
          <t>Lunglav
Scharlakansvårskål agg.
Sårläka
Vårärt
Blåsippa</t>
        </is>
      </c>
      <c r="S33">
        <f>HYPERLINK("https://klasma.github.io/Logging_0188/artfynd/A 72111-2021 artfynd.xlsx", "A 72111-2021")</f>
        <v/>
      </c>
      <c r="T33">
        <f>HYPERLINK("https://klasma.github.io/Logging_0188/kartor/A 72111-2021 karta.png", "A 72111-2021")</f>
        <v/>
      </c>
      <c r="V33">
        <f>HYPERLINK("https://klasma.github.io/Logging_0188/klagomål/A 72111-2021 FSC-klagomål.docx", "A 72111-2021")</f>
        <v/>
      </c>
      <c r="W33">
        <f>HYPERLINK("https://klasma.github.io/Logging_0188/klagomålsmail/A 72111-2021 FSC-klagomål mail.docx", "A 72111-2021")</f>
        <v/>
      </c>
      <c r="X33">
        <f>HYPERLINK("https://klasma.github.io/Logging_0188/tillsyn/A 72111-2021 tillsynsbegäran.docx", "A 72111-2021")</f>
        <v/>
      </c>
      <c r="Y33">
        <f>HYPERLINK("https://klasma.github.io/Logging_0188/tillsynsmail/A 72111-2021 tillsynsbegäran mail.docx", "A 72111-2021")</f>
        <v/>
      </c>
    </row>
    <row r="34" ht="15" customHeight="1">
      <c r="A34" t="inlineStr">
        <is>
          <t>A 15804-2025</t>
        </is>
      </c>
      <c r="B34" s="1" t="n">
        <v>45748.6521875</v>
      </c>
      <c r="C34" s="1" t="n">
        <v>45931</v>
      </c>
      <c r="D34" t="inlineStr">
        <is>
          <t>STOCKHOLMS LÄN</t>
        </is>
      </c>
      <c r="E34" t="inlineStr">
        <is>
          <t>NORRTÄLJE</t>
        </is>
      </c>
      <c r="F34" t="inlineStr">
        <is>
          <t>Holmen skog AB</t>
        </is>
      </c>
      <c r="G34" t="n">
        <v>1.7</v>
      </c>
      <c r="H34" t="n">
        <v>1</v>
      </c>
      <c r="I34" t="n">
        <v>1</v>
      </c>
      <c r="J34" t="n">
        <v>3</v>
      </c>
      <c r="K34" t="n">
        <v>0</v>
      </c>
      <c r="L34" t="n">
        <v>1</v>
      </c>
      <c r="M34" t="n">
        <v>0</v>
      </c>
      <c r="N34" t="n">
        <v>0</v>
      </c>
      <c r="O34" t="n">
        <v>4</v>
      </c>
      <c r="P34" t="n">
        <v>1</v>
      </c>
      <c r="Q34" t="n">
        <v>5</v>
      </c>
      <c r="R34" s="2" t="inlineStr">
        <is>
          <t>Asknätfjäril
Gullklöver
Skogsklocka
Slåtterfibbla
Spetsvaxing</t>
        </is>
      </c>
      <c r="S34">
        <f>HYPERLINK("https://klasma.github.io/Logging_0188/artfynd/A 15804-2025 artfynd.xlsx", "A 15804-2025")</f>
        <v/>
      </c>
      <c r="T34">
        <f>HYPERLINK("https://klasma.github.io/Logging_0188/kartor/A 15804-2025 karta.png", "A 15804-2025")</f>
        <v/>
      </c>
      <c r="V34">
        <f>HYPERLINK("https://klasma.github.io/Logging_0188/klagomål/A 15804-2025 FSC-klagomål.docx", "A 15804-2025")</f>
        <v/>
      </c>
      <c r="W34">
        <f>HYPERLINK("https://klasma.github.io/Logging_0188/klagomålsmail/A 15804-2025 FSC-klagomål mail.docx", "A 15804-2025")</f>
        <v/>
      </c>
      <c r="X34">
        <f>HYPERLINK("https://klasma.github.io/Logging_0188/tillsyn/A 15804-2025 tillsynsbegäran.docx", "A 15804-2025")</f>
        <v/>
      </c>
      <c r="Y34">
        <f>HYPERLINK("https://klasma.github.io/Logging_0188/tillsynsmail/A 15804-2025 tillsynsbegäran mail.docx", "A 15804-2025")</f>
        <v/>
      </c>
    </row>
    <row r="35" ht="15" customHeight="1">
      <c r="A35" t="inlineStr">
        <is>
          <t>A 30687-2025</t>
        </is>
      </c>
      <c r="B35" s="1" t="n">
        <v>45831.53390046296</v>
      </c>
      <c r="C35" s="1" t="n">
        <v>45931</v>
      </c>
      <c r="D35" t="inlineStr">
        <is>
          <t>STOCKHOLMS LÄN</t>
        </is>
      </c>
      <c r="E35" t="inlineStr">
        <is>
          <t>NORRTÄLJE</t>
        </is>
      </c>
      <c r="G35" t="n">
        <v>6.7</v>
      </c>
      <c r="H35" t="n">
        <v>1</v>
      </c>
      <c r="I35" t="n">
        <v>2</v>
      </c>
      <c r="J35" t="n">
        <v>2</v>
      </c>
      <c r="K35" t="n">
        <v>0</v>
      </c>
      <c r="L35" t="n">
        <v>0</v>
      </c>
      <c r="M35" t="n">
        <v>0</v>
      </c>
      <c r="N35" t="n">
        <v>0</v>
      </c>
      <c r="O35" t="n">
        <v>2</v>
      </c>
      <c r="P35" t="n">
        <v>0</v>
      </c>
      <c r="Q35" t="n">
        <v>5</v>
      </c>
      <c r="R35" s="2" t="inlineStr">
        <is>
          <t>Ekvaxskivling
Kandelabersvamp
Stinkbrosking
Svart trolldruva
Blåsippa</t>
        </is>
      </c>
      <c r="S35">
        <f>HYPERLINK("https://klasma.github.io/Logging_0188/artfynd/A 30687-2025 artfynd.xlsx", "A 30687-2025")</f>
        <v/>
      </c>
      <c r="T35">
        <f>HYPERLINK("https://klasma.github.io/Logging_0188/kartor/A 30687-2025 karta.png", "A 30687-2025")</f>
        <v/>
      </c>
      <c r="V35">
        <f>HYPERLINK("https://klasma.github.io/Logging_0188/klagomål/A 30687-2025 FSC-klagomål.docx", "A 30687-2025")</f>
        <v/>
      </c>
      <c r="W35">
        <f>HYPERLINK("https://klasma.github.io/Logging_0188/klagomålsmail/A 30687-2025 FSC-klagomål mail.docx", "A 30687-2025")</f>
        <v/>
      </c>
      <c r="X35">
        <f>HYPERLINK("https://klasma.github.io/Logging_0188/tillsyn/A 30687-2025 tillsynsbegäran.docx", "A 30687-2025")</f>
        <v/>
      </c>
      <c r="Y35">
        <f>HYPERLINK("https://klasma.github.io/Logging_0188/tillsynsmail/A 30687-2025 tillsynsbegäran mail.docx", "A 30687-2025")</f>
        <v/>
      </c>
    </row>
    <row r="36" ht="15" customHeight="1">
      <c r="A36" t="inlineStr">
        <is>
          <t>A 22071-2022</t>
        </is>
      </c>
      <c r="B36" s="1" t="n">
        <v>44711</v>
      </c>
      <c r="C36" s="1" t="n">
        <v>45931</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21837-2025</t>
        </is>
      </c>
      <c r="B37" s="1" t="n">
        <v>45784.32179398148</v>
      </c>
      <c r="C37" s="1" t="n">
        <v>45931</v>
      </c>
      <c r="D37" t="inlineStr">
        <is>
          <t>STOCKHOLMS LÄN</t>
        </is>
      </c>
      <c r="E37" t="inlineStr">
        <is>
          <t>NORRTÄLJE</t>
        </is>
      </c>
      <c r="G37" t="n">
        <v>6.4</v>
      </c>
      <c r="H37" t="n">
        <v>2</v>
      </c>
      <c r="I37" t="n">
        <v>2</v>
      </c>
      <c r="J37" t="n">
        <v>1</v>
      </c>
      <c r="K37" t="n">
        <v>0</v>
      </c>
      <c r="L37" t="n">
        <v>0</v>
      </c>
      <c r="M37" t="n">
        <v>0</v>
      </c>
      <c r="N37" t="n">
        <v>0</v>
      </c>
      <c r="O37" t="n">
        <v>1</v>
      </c>
      <c r="P37" t="n">
        <v>0</v>
      </c>
      <c r="Q37" t="n">
        <v>4</v>
      </c>
      <c r="R37" s="2" t="inlineStr">
        <is>
          <t>Granticka
Brandticka
Nästrot
Blåsippa</t>
        </is>
      </c>
      <c r="S37">
        <f>HYPERLINK("https://klasma.github.io/Logging_0188/artfynd/A 21837-2025 artfynd.xlsx", "A 21837-2025")</f>
        <v/>
      </c>
      <c r="T37">
        <f>HYPERLINK("https://klasma.github.io/Logging_0188/kartor/A 21837-2025 karta.png", "A 21837-2025")</f>
        <v/>
      </c>
      <c r="V37">
        <f>HYPERLINK("https://klasma.github.io/Logging_0188/klagomål/A 21837-2025 FSC-klagomål.docx", "A 21837-2025")</f>
        <v/>
      </c>
      <c r="W37">
        <f>HYPERLINK("https://klasma.github.io/Logging_0188/klagomålsmail/A 21837-2025 FSC-klagomål mail.docx", "A 21837-2025")</f>
        <v/>
      </c>
      <c r="X37">
        <f>HYPERLINK("https://klasma.github.io/Logging_0188/tillsyn/A 21837-2025 tillsynsbegäran.docx", "A 21837-2025")</f>
        <v/>
      </c>
      <c r="Y37">
        <f>HYPERLINK("https://klasma.github.io/Logging_0188/tillsynsmail/A 21837-2025 tillsynsbegäran mail.docx", "A 21837-2025")</f>
        <v/>
      </c>
    </row>
    <row r="38" ht="15" customHeight="1">
      <c r="A38" t="inlineStr">
        <is>
          <t>A 21730-2025</t>
        </is>
      </c>
      <c r="B38" s="1" t="n">
        <v>45783.58123842593</v>
      </c>
      <c r="C38" s="1" t="n">
        <v>45931</v>
      </c>
      <c r="D38" t="inlineStr">
        <is>
          <t>STOCKHOLMS LÄN</t>
        </is>
      </c>
      <c r="E38" t="inlineStr">
        <is>
          <t>NORRTÄLJE</t>
        </is>
      </c>
      <c r="G38" t="n">
        <v>4.2</v>
      </c>
      <c r="H38" t="n">
        <v>2</v>
      </c>
      <c r="I38" t="n">
        <v>2</v>
      </c>
      <c r="J38" t="n">
        <v>0</v>
      </c>
      <c r="K38" t="n">
        <v>0</v>
      </c>
      <c r="L38" t="n">
        <v>0</v>
      </c>
      <c r="M38" t="n">
        <v>0</v>
      </c>
      <c r="N38" t="n">
        <v>0</v>
      </c>
      <c r="O38" t="n">
        <v>0</v>
      </c>
      <c r="P38" t="n">
        <v>0</v>
      </c>
      <c r="Q38" t="n">
        <v>4</v>
      </c>
      <c r="R38" s="2" t="inlineStr">
        <is>
          <t>Blåmossa
Brandticka
Blåsippa
Revlummer</t>
        </is>
      </c>
      <c r="S38">
        <f>HYPERLINK("https://klasma.github.io/Logging_0188/artfynd/A 21730-2025 artfynd.xlsx", "A 21730-2025")</f>
        <v/>
      </c>
      <c r="T38">
        <f>HYPERLINK("https://klasma.github.io/Logging_0188/kartor/A 21730-2025 karta.png", "A 21730-2025")</f>
        <v/>
      </c>
      <c r="V38">
        <f>HYPERLINK("https://klasma.github.io/Logging_0188/klagomål/A 21730-2025 FSC-klagomål.docx", "A 21730-2025")</f>
        <v/>
      </c>
      <c r="W38">
        <f>HYPERLINK("https://klasma.github.io/Logging_0188/klagomålsmail/A 21730-2025 FSC-klagomål mail.docx", "A 21730-2025")</f>
        <v/>
      </c>
      <c r="X38">
        <f>HYPERLINK("https://klasma.github.io/Logging_0188/tillsyn/A 21730-2025 tillsynsbegäran.docx", "A 21730-2025")</f>
        <v/>
      </c>
      <c r="Y38">
        <f>HYPERLINK("https://klasma.github.io/Logging_0188/tillsynsmail/A 21730-2025 tillsynsbegäran mail.docx", "A 21730-2025")</f>
        <v/>
      </c>
    </row>
    <row r="39" ht="15" customHeight="1">
      <c r="A39" t="inlineStr">
        <is>
          <t>A 72305-2021</t>
        </is>
      </c>
      <c r="B39" s="1" t="n">
        <v>44545</v>
      </c>
      <c r="C39" s="1" t="n">
        <v>45931</v>
      </c>
      <c r="D39" t="inlineStr">
        <is>
          <t>STOCKHOLMS LÄN</t>
        </is>
      </c>
      <c r="E39" t="inlineStr">
        <is>
          <t>NORRTÄLJE</t>
        </is>
      </c>
      <c r="G39" t="n">
        <v>1.5</v>
      </c>
      <c r="H39" t="n">
        <v>1</v>
      </c>
      <c r="I39" t="n">
        <v>3</v>
      </c>
      <c r="J39" t="n">
        <v>0</v>
      </c>
      <c r="K39" t="n">
        <v>0</v>
      </c>
      <c r="L39" t="n">
        <v>0</v>
      </c>
      <c r="M39" t="n">
        <v>0</v>
      </c>
      <c r="N39" t="n">
        <v>0</v>
      </c>
      <c r="O39" t="n">
        <v>0</v>
      </c>
      <c r="P39" t="n">
        <v>0</v>
      </c>
      <c r="Q39" t="n">
        <v>4</v>
      </c>
      <c r="R39" s="2" t="inlineStr">
        <is>
          <t>Svart trolldruva
Sårläka
Vårärt
Blåsippa</t>
        </is>
      </c>
      <c r="S39">
        <f>HYPERLINK("https://klasma.github.io/Logging_0188/artfynd/A 72305-2021 artfynd.xlsx", "A 72305-2021")</f>
        <v/>
      </c>
      <c r="T39">
        <f>HYPERLINK("https://klasma.github.io/Logging_0188/kartor/A 72305-2021 karta.png", "A 72305-2021")</f>
        <v/>
      </c>
      <c r="V39">
        <f>HYPERLINK("https://klasma.github.io/Logging_0188/klagomål/A 72305-2021 FSC-klagomål.docx", "A 72305-2021")</f>
        <v/>
      </c>
      <c r="W39">
        <f>HYPERLINK("https://klasma.github.io/Logging_0188/klagomålsmail/A 72305-2021 FSC-klagomål mail.docx", "A 72305-2021")</f>
        <v/>
      </c>
      <c r="X39">
        <f>HYPERLINK("https://klasma.github.io/Logging_0188/tillsyn/A 72305-2021 tillsynsbegäran.docx", "A 72305-2021")</f>
        <v/>
      </c>
      <c r="Y39">
        <f>HYPERLINK("https://klasma.github.io/Logging_0188/tillsynsmail/A 72305-2021 tillsynsbegäran mail.docx", "A 72305-2021")</f>
        <v/>
      </c>
    </row>
    <row r="40" ht="15" customHeight="1">
      <c r="A40" t="inlineStr">
        <is>
          <t>A 24052-2021</t>
        </is>
      </c>
      <c r="B40" s="1" t="n">
        <v>44336</v>
      </c>
      <c r="C40" s="1" t="n">
        <v>45931</v>
      </c>
      <c r="D40" t="inlineStr">
        <is>
          <t>STOCKHOLMS LÄN</t>
        </is>
      </c>
      <c r="E40" t="inlineStr">
        <is>
          <t>NORRTÄLJE</t>
        </is>
      </c>
      <c r="G40" t="n">
        <v>8.6</v>
      </c>
      <c r="H40" t="n">
        <v>4</v>
      </c>
      <c r="I40" t="n">
        <v>0</v>
      </c>
      <c r="J40" t="n">
        <v>2</v>
      </c>
      <c r="K40" t="n">
        <v>0</v>
      </c>
      <c r="L40" t="n">
        <v>0</v>
      </c>
      <c r="M40" t="n">
        <v>0</v>
      </c>
      <c r="N40" t="n">
        <v>0</v>
      </c>
      <c r="O40" t="n">
        <v>2</v>
      </c>
      <c r="P40" t="n">
        <v>0</v>
      </c>
      <c r="Q40" t="n">
        <v>4</v>
      </c>
      <c r="R40" s="2" t="inlineStr">
        <is>
          <t>Brunlångöra
Nordfladdermus
Dvärgpipistrell
Större brunfladdermus</t>
        </is>
      </c>
      <c r="S40">
        <f>HYPERLINK("https://klasma.github.io/Logging_0188/artfynd/A 24052-2021 artfynd.xlsx", "A 24052-2021")</f>
        <v/>
      </c>
      <c r="T40">
        <f>HYPERLINK("https://klasma.github.io/Logging_0188/kartor/A 24052-2021 karta.png", "A 24052-2021")</f>
        <v/>
      </c>
      <c r="V40">
        <f>HYPERLINK("https://klasma.github.io/Logging_0188/klagomål/A 24052-2021 FSC-klagomål.docx", "A 24052-2021")</f>
        <v/>
      </c>
      <c r="W40">
        <f>HYPERLINK("https://klasma.github.io/Logging_0188/klagomålsmail/A 24052-2021 FSC-klagomål mail.docx", "A 24052-2021")</f>
        <v/>
      </c>
      <c r="X40">
        <f>HYPERLINK("https://klasma.github.io/Logging_0188/tillsyn/A 24052-2021 tillsynsbegäran.docx", "A 24052-2021")</f>
        <v/>
      </c>
      <c r="Y40">
        <f>HYPERLINK("https://klasma.github.io/Logging_0188/tillsynsmail/A 24052-2021 tillsynsbegäran mail.docx", "A 24052-2021")</f>
        <v/>
      </c>
    </row>
    <row r="41" ht="15" customHeight="1">
      <c r="A41" t="inlineStr">
        <is>
          <t>A 44709-2022</t>
        </is>
      </c>
      <c r="B41" s="1" t="n">
        <v>44839</v>
      </c>
      <c r="C41" s="1" t="n">
        <v>45931</v>
      </c>
      <c r="D41" t="inlineStr">
        <is>
          <t>STOCKHOLMS LÄN</t>
        </is>
      </c>
      <c r="E41" t="inlineStr">
        <is>
          <t>NORRTÄLJE</t>
        </is>
      </c>
      <c r="G41" t="n">
        <v>16.3</v>
      </c>
      <c r="H41" t="n">
        <v>3</v>
      </c>
      <c r="I41" t="n">
        <v>0</v>
      </c>
      <c r="J41" t="n">
        <v>2</v>
      </c>
      <c r="K41" t="n">
        <v>0</v>
      </c>
      <c r="L41" t="n">
        <v>0</v>
      </c>
      <c r="M41" t="n">
        <v>0</v>
      </c>
      <c r="N41" t="n">
        <v>0</v>
      </c>
      <c r="O41" t="n">
        <v>2</v>
      </c>
      <c r="P41" t="n">
        <v>0</v>
      </c>
      <c r="Q41" t="n">
        <v>4</v>
      </c>
      <c r="R41" s="2" t="inlineStr">
        <is>
          <t>Asppraktbagge
Spillkråka
Enkelbeckasin
Orre</t>
        </is>
      </c>
      <c r="S41">
        <f>HYPERLINK("https://klasma.github.io/Logging_0188/artfynd/A 44709-2022 artfynd.xlsx", "A 44709-2022")</f>
        <v/>
      </c>
      <c r="T41">
        <f>HYPERLINK("https://klasma.github.io/Logging_0188/kartor/A 44709-2022 karta.png", "A 44709-2022")</f>
        <v/>
      </c>
      <c r="V41">
        <f>HYPERLINK("https://klasma.github.io/Logging_0188/klagomål/A 44709-2022 FSC-klagomål.docx", "A 44709-2022")</f>
        <v/>
      </c>
      <c r="W41">
        <f>HYPERLINK("https://klasma.github.io/Logging_0188/klagomålsmail/A 44709-2022 FSC-klagomål mail.docx", "A 44709-2022")</f>
        <v/>
      </c>
      <c r="X41">
        <f>HYPERLINK("https://klasma.github.io/Logging_0188/tillsyn/A 44709-2022 tillsynsbegäran.docx", "A 44709-2022")</f>
        <v/>
      </c>
      <c r="Y41">
        <f>HYPERLINK("https://klasma.github.io/Logging_0188/tillsynsmail/A 44709-2022 tillsynsbegäran mail.docx", "A 44709-2022")</f>
        <v/>
      </c>
      <c r="Z41">
        <f>HYPERLINK("https://klasma.github.io/Logging_0188/fåglar/A 44709-2022 prioriterade fågelarter.docx", "A 44709-2022")</f>
        <v/>
      </c>
    </row>
    <row r="42" ht="15" customHeight="1">
      <c r="A42" t="inlineStr">
        <is>
          <t>A 34521-2025</t>
        </is>
      </c>
      <c r="B42" s="1" t="n">
        <v>45847.47052083333</v>
      </c>
      <c r="C42" s="1" t="n">
        <v>45931</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41276-2025</t>
        </is>
      </c>
      <c r="B43" s="1" t="n">
        <v>45898.62723379629</v>
      </c>
      <c r="C43" s="1" t="n">
        <v>45931</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10876-2025</t>
        </is>
      </c>
      <c r="B44" s="1" t="n">
        <v>45722</v>
      </c>
      <c r="C44" s="1" t="n">
        <v>45931</v>
      </c>
      <c r="D44" t="inlineStr">
        <is>
          <t>STOCKHOLMS LÄN</t>
        </is>
      </c>
      <c r="E44" t="inlineStr">
        <is>
          <t>NORRTÄLJE</t>
        </is>
      </c>
      <c r="F44" t="inlineStr">
        <is>
          <t>Holmen skog AB</t>
        </is>
      </c>
      <c r="G44" t="n">
        <v>9.300000000000001</v>
      </c>
      <c r="H44" t="n">
        <v>4</v>
      </c>
      <c r="I44" t="n">
        <v>0</v>
      </c>
      <c r="J44" t="n">
        <v>1</v>
      </c>
      <c r="K44" t="n">
        <v>1</v>
      </c>
      <c r="L44" t="n">
        <v>1</v>
      </c>
      <c r="M44" t="n">
        <v>0</v>
      </c>
      <c r="N44" t="n">
        <v>0</v>
      </c>
      <c r="O44" t="n">
        <v>3</v>
      </c>
      <c r="P44" t="n">
        <v>2</v>
      </c>
      <c r="Q44" t="n">
        <v>4</v>
      </c>
      <c r="R44" s="2" t="inlineStr">
        <is>
          <t>Asknätfjäril
Hällebräcka
Utter
Gullviva</t>
        </is>
      </c>
      <c r="S44">
        <f>HYPERLINK("https://klasma.github.io/Logging_0188/artfynd/A 10876-2025 artfynd.xlsx", "A 10876-2025")</f>
        <v/>
      </c>
      <c r="T44">
        <f>HYPERLINK("https://klasma.github.io/Logging_0188/kartor/A 10876-2025 karta.png", "A 10876-2025")</f>
        <v/>
      </c>
      <c r="V44">
        <f>HYPERLINK("https://klasma.github.io/Logging_0188/klagomål/A 10876-2025 FSC-klagomål.docx", "A 10876-2025")</f>
        <v/>
      </c>
      <c r="W44">
        <f>HYPERLINK("https://klasma.github.io/Logging_0188/klagomålsmail/A 10876-2025 FSC-klagomål mail.docx", "A 10876-2025")</f>
        <v/>
      </c>
      <c r="X44">
        <f>HYPERLINK("https://klasma.github.io/Logging_0188/tillsyn/A 10876-2025 tillsynsbegäran.docx", "A 10876-2025")</f>
        <v/>
      </c>
      <c r="Y44">
        <f>HYPERLINK("https://klasma.github.io/Logging_0188/tillsynsmail/A 10876-2025 tillsynsbegäran mail.docx", "A 10876-2025")</f>
        <v/>
      </c>
    </row>
    <row r="45" ht="15" customHeight="1">
      <c r="A45" t="inlineStr">
        <is>
          <t>A 17673-2021</t>
        </is>
      </c>
      <c r="B45" s="1" t="n">
        <v>44300</v>
      </c>
      <c r="C45" s="1" t="n">
        <v>45931</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28836-2022</t>
        </is>
      </c>
      <c r="B46" s="1" t="n">
        <v>44749</v>
      </c>
      <c r="C46" s="1" t="n">
        <v>45931</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45113-2022</t>
        </is>
      </c>
      <c r="B47" s="1" t="n">
        <v>44843</v>
      </c>
      <c r="C47" s="1" t="n">
        <v>45931</v>
      </c>
      <c r="D47" t="inlineStr">
        <is>
          <t>STOCKHOLMS LÄN</t>
        </is>
      </c>
      <c r="E47" t="inlineStr">
        <is>
          <t>NORRTÄLJE</t>
        </is>
      </c>
      <c r="G47" t="n">
        <v>1.7</v>
      </c>
      <c r="H47" t="n">
        <v>0</v>
      </c>
      <c r="I47" t="n">
        <v>1</v>
      </c>
      <c r="J47" t="n">
        <v>1</v>
      </c>
      <c r="K47" t="n">
        <v>1</v>
      </c>
      <c r="L47" t="n">
        <v>0</v>
      </c>
      <c r="M47" t="n">
        <v>0</v>
      </c>
      <c r="N47" t="n">
        <v>0</v>
      </c>
      <c r="O47" t="n">
        <v>2</v>
      </c>
      <c r="P47" t="n">
        <v>1</v>
      </c>
      <c r="Q47" t="n">
        <v>3</v>
      </c>
      <c r="R47" s="2" t="inlineStr">
        <is>
          <t>Violett fingersvamp
Kandelabersvamp
Slät lönnlav</t>
        </is>
      </c>
      <c r="S47">
        <f>HYPERLINK("https://klasma.github.io/Logging_0188/artfynd/A 45113-2022 artfynd.xlsx", "A 45113-2022")</f>
        <v/>
      </c>
      <c r="T47">
        <f>HYPERLINK("https://klasma.github.io/Logging_0188/kartor/A 45113-2022 karta.png", "A 45113-2022")</f>
        <v/>
      </c>
      <c r="V47">
        <f>HYPERLINK("https://klasma.github.io/Logging_0188/klagomål/A 45113-2022 FSC-klagomål.docx", "A 45113-2022")</f>
        <v/>
      </c>
      <c r="W47">
        <f>HYPERLINK("https://klasma.github.io/Logging_0188/klagomålsmail/A 45113-2022 FSC-klagomål mail.docx", "A 45113-2022")</f>
        <v/>
      </c>
      <c r="X47">
        <f>HYPERLINK("https://klasma.github.io/Logging_0188/tillsyn/A 45113-2022 tillsynsbegäran.docx", "A 45113-2022")</f>
        <v/>
      </c>
      <c r="Y47">
        <f>HYPERLINK("https://klasma.github.io/Logging_0188/tillsynsmail/A 45113-2022 tillsynsbegäran mail.docx", "A 45113-2022")</f>
        <v/>
      </c>
    </row>
    <row r="48" ht="15" customHeight="1">
      <c r="A48" t="inlineStr">
        <is>
          <t>A 14560-2021</t>
        </is>
      </c>
      <c r="B48" s="1" t="n">
        <v>44279</v>
      </c>
      <c r="C48" s="1" t="n">
        <v>45931</v>
      </c>
      <c r="D48" t="inlineStr">
        <is>
          <t>STOCKHOLMS LÄN</t>
        </is>
      </c>
      <c r="E48" t="inlineStr">
        <is>
          <t>NORRTÄLJE</t>
        </is>
      </c>
      <c r="G48" t="n">
        <v>1.8</v>
      </c>
      <c r="H48" t="n">
        <v>0</v>
      </c>
      <c r="I48" t="n">
        <v>2</v>
      </c>
      <c r="J48" t="n">
        <v>1</v>
      </c>
      <c r="K48" t="n">
        <v>0</v>
      </c>
      <c r="L48" t="n">
        <v>0</v>
      </c>
      <c r="M48" t="n">
        <v>0</v>
      </c>
      <c r="N48" t="n">
        <v>0</v>
      </c>
      <c r="O48" t="n">
        <v>1</v>
      </c>
      <c r="P48" t="n">
        <v>0</v>
      </c>
      <c r="Q48" t="n">
        <v>3</v>
      </c>
      <c r="R48" s="2" t="inlineStr">
        <is>
          <t>Vit vedfingersvamp
Stor aspticka
Vedticka</t>
        </is>
      </c>
      <c r="S48">
        <f>HYPERLINK("https://klasma.github.io/Logging_0188/artfynd/A 14560-2021 artfynd.xlsx", "A 14560-2021")</f>
        <v/>
      </c>
      <c r="T48">
        <f>HYPERLINK("https://klasma.github.io/Logging_0188/kartor/A 14560-2021 karta.png", "A 14560-2021")</f>
        <v/>
      </c>
      <c r="V48">
        <f>HYPERLINK("https://klasma.github.io/Logging_0188/klagomål/A 14560-2021 FSC-klagomål.docx", "A 14560-2021")</f>
        <v/>
      </c>
      <c r="W48">
        <f>HYPERLINK("https://klasma.github.io/Logging_0188/klagomålsmail/A 14560-2021 FSC-klagomål mail.docx", "A 14560-2021")</f>
        <v/>
      </c>
      <c r="X48">
        <f>HYPERLINK("https://klasma.github.io/Logging_0188/tillsyn/A 14560-2021 tillsynsbegäran.docx", "A 14560-2021")</f>
        <v/>
      </c>
      <c r="Y48">
        <f>HYPERLINK("https://klasma.github.io/Logging_0188/tillsynsmail/A 14560-2021 tillsynsbegäran mail.docx", "A 14560-2021")</f>
        <v/>
      </c>
    </row>
    <row r="49" ht="15" customHeight="1">
      <c r="A49" t="inlineStr">
        <is>
          <t>A 53065-2024</t>
        </is>
      </c>
      <c r="B49" s="1" t="n">
        <v>45611.47233796296</v>
      </c>
      <c r="C49" s="1" t="n">
        <v>45931</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54110-2024</t>
        </is>
      </c>
      <c r="B50" s="1" t="n">
        <v>45616.54866898148</v>
      </c>
      <c r="C50" s="1" t="n">
        <v>45931</v>
      </c>
      <c r="D50" t="inlineStr">
        <is>
          <t>STOCKHOLMS LÄN</t>
        </is>
      </c>
      <c r="E50" t="inlineStr">
        <is>
          <t>NORRTÄLJE</t>
        </is>
      </c>
      <c r="G50" t="n">
        <v>6.7</v>
      </c>
      <c r="H50" t="n">
        <v>2</v>
      </c>
      <c r="I50" t="n">
        <v>0</v>
      </c>
      <c r="J50" t="n">
        <v>1</v>
      </c>
      <c r="K50" t="n">
        <v>0</v>
      </c>
      <c r="L50" t="n">
        <v>0</v>
      </c>
      <c r="M50" t="n">
        <v>0</v>
      </c>
      <c r="N50" t="n">
        <v>0</v>
      </c>
      <c r="O50" t="n">
        <v>1</v>
      </c>
      <c r="P50" t="n">
        <v>0</v>
      </c>
      <c r="Q50" t="n">
        <v>3</v>
      </c>
      <c r="R50" s="2" t="inlineStr">
        <is>
          <t>Klasefibbla
Nattviol
Gullviva</t>
        </is>
      </c>
      <c r="S50">
        <f>HYPERLINK("https://klasma.github.io/Logging_0188/artfynd/A 54110-2024 artfynd.xlsx", "A 54110-2024")</f>
        <v/>
      </c>
      <c r="T50">
        <f>HYPERLINK("https://klasma.github.io/Logging_0188/kartor/A 54110-2024 karta.png", "A 54110-2024")</f>
        <v/>
      </c>
      <c r="V50">
        <f>HYPERLINK("https://klasma.github.io/Logging_0188/klagomål/A 54110-2024 FSC-klagomål.docx", "A 54110-2024")</f>
        <v/>
      </c>
      <c r="W50">
        <f>HYPERLINK("https://klasma.github.io/Logging_0188/klagomålsmail/A 54110-2024 FSC-klagomål mail.docx", "A 54110-2024")</f>
        <v/>
      </c>
      <c r="X50">
        <f>HYPERLINK("https://klasma.github.io/Logging_0188/tillsyn/A 54110-2024 tillsynsbegäran.docx", "A 54110-2024")</f>
        <v/>
      </c>
      <c r="Y50">
        <f>HYPERLINK("https://klasma.github.io/Logging_0188/tillsynsmail/A 54110-2024 tillsynsbegäran mail.docx", "A 54110-2024")</f>
        <v/>
      </c>
    </row>
    <row r="51" ht="15" customHeight="1">
      <c r="A51" t="inlineStr">
        <is>
          <t>A 50618-2022</t>
        </is>
      </c>
      <c r="B51" s="1" t="n">
        <v>44866</v>
      </c>
      <c r="C51" s="1" t="n">
        <v>45931</v>
      </c>
      <c r="D51" t="inlineStr">
        <is>
          <t>STOCKHOLMS LÄN</t>
        </is>
      </c>
      <c r="E51" t="inlineStr">
        <is>
          <t>NORRTÄLJE</t>
        </is>
      </c>
      <c r="G51" t="n">
        <v>7.8</v>
      </c>
      <c r="H51" t="n">
        <v>2</v>
      </c>
      <c r="I51" t="n">
        <v>2</v>
      </c>
      <c r="J51" t="n">
        <v>0</v>
      </c>
      <c r="K51" t="n">
        <v>0</v>
      </c>
      <c r="L51" t="n">
        <v>0</v>
      </c>
      <c r="M51" t="n">
        <v>0</v>
      </c>
      <c r="N51" t="n">
        <v>0</v>
      </c>
      <c r="O51" t="n">
        <v>0</v>
      </c>
      <c r="P51" t="n">
        <v>0</v>
      </c>
      <c r="Q51" t="n">
        <v>3</v>
      </c>
      <c r="R51" s="2" t="inlineStr">
        <is>
          <t>Skogsknipprot
Vårärt
Blåsippa</t>
        </is>
      </c>
      <c r="S51">
        <f>HYPERLINK("https://klasma.github.io/Logging_0188/artfynd/A 50618-2022 artfynd.xlsx", "A 50618-2022")</f>
        <v/>
      </c>
      <c r="T51">
        <f>HYPERLINK("https://klasma.github.io/Logging_0188/kartor/A 50618-2022 karta.png", "A 50618-2022")</f>
        <v/>
      </c>
      <c r="V51">
        <f>HYPERLINK("https://klasma.github.io/Logging_0188/klagomål/A 50618-2022 FSC-klagomål.docx", "A 50618-2022")</f>
        <v/>
      </c>
      <c r="W51">
        <f>HYPERLINK("https://klasma.github.io/Logging_0188/klagomålsmail/A 50618-2022 FSC-klagomål mail.docx", "A 50618-2022")</f>
        <v/>
      </c>
      <c r="X51">
        <f>HYPERLINK("https://klasma.github.io/Logging_0188/tillsyn/A 50618-2022 tillsynsbegäran.docx", "A 50618-2022")</f>
        <v/>
      </c>
      <c r="Y51">
        <f>HYPERLINK("https://klasma.github.io/Logging_0188/tillsynsmail/A 50618-2022 tillsynsbegäran mail.docx", "A 50618-2022")</f>
        <v/>
      </c>
    </row>
    <row r="52" ht="15" customHeight="1">
      <c r="A52" t="inlineStr">
        <is>
          <t>A 2851-2023</t>
        </is>
      </c>
      <c r="B52" s="1" t="n">
        <v>44945</v>
      </c>
      <c r="C52" s="1" t="n">
        <v>45931</v>
      </c>
      <c r="D52" t="inlineStr">
        <is>
          <t>STOCKHOLMS LÄN</t>
        </is>
      </c>
      <c r="E52" t="inlineStr">
        <is>
          <t>NORRTÄLJE</t>
        </is>
      </c>
      <c r="G52" t="n">
        <v>5.8</v>
      </c>
      <c r="H52" t="n">
        <v>1</v>
      </c>
      <c r="I52" t="n">
        <v>1</v>
      </c>
      <c r="J52" t="n">
        <v>2</v>
      </c>
      <c r="K52" t="n">
        <v>0</v>
      </c>
      <c r="L52" t="n">
        <v>0</v>
      </c>
      <c r="M52" t="n">
        <v>0</v>
      </c>
      <c r="N52" t="n">
        <v>0</v>
      </c>
      <c r="O52" t="n">
        <v>2</v>
      </c>
      <c r="P52" t="n">
        <v>0</v>
      </c>
      <c r="Q52" t="n">
        <v>3</v>
      </c>
      <c r="R52" s="2" t="inlineStr">
        <is>
          <t>Gulsparv
Vedflikmossa
Terpentinmossa</t>
        </is>
      </c>
      <c r="S52">
        <f>HYPERLINK("https://klasma.github.io/Logging_0188/artfynd/A 2851-2023 artfynd.xlsx", "A 2851-2023")</f>
        <v/>
      </c>
      <c r="T52">
        <f>HYPERLINK("https://klasma.github.io/Logging_0188/kartor/A 2851-2023 karta.png", "A 2851-2023")</f>
        <v/>
      </c>
      <c r="V52">
        <f>HYPERLINK("https://klasma.github.io/Logging_0188/klagomål/A 2851-2023 FSC-klagomål.docx", "A 2851-2023")</f>
        <v/>
      </c>
      <c r="W52">
        <f>HYPERLINK("https://klasma.github.io/Logging_0188/klagomålsmail/A 2851-2023 FSC-klagomål mail.docx", "A 2851-2023")</f>
        <v/>
      </c>
      <c r="X52">
        <f>HYPERLINK("https://klasma.github.io/Logging_0188/tillsyn/A 2851-2023 tillsynsbegäran.docx", "A 2851-2023")</f>
        <v/>
      </c>
      <c r="Y52">
        <f>HYPERLINK("https://klasma.github.io/Logging_0188/tillsynsmail/A 2851-2023 tillsynsbegäran mail.docx", "A 2851-2023")</f>
        <v/>
      </c>
      <c r="Z52">
        <f>HYPERLINK("https://klasma.github.io/Logging_0188/fåglar/A 2851-2023 prioriterade fågelarter.docx", "A 2851-2023")</f>
        <v/>
      </c>
    </row>
    <row r="53" ht="15" customHeight="1">
      <c r="A53" t="inlineStr">
        <is>
          <t>A 20185-2022</t>
        </is>
      </c>
      <c r="B53" s="1" t="n">
        <v>44698</v>
      </c>
      <c r="C53" s="1" t="n">
        <v>45931</v>
      </c>
      <c r="D53" t="inlineStr">
        <is>
          <t>STOCKHOLMS LÄN</t>
        </is>
      </c>
      <c r="E53" t="inlineStr">
        <is>
          <t>NORRTÄLJE</t>
        </is>
      </c>
      <c r="G53" t="n">
        <v>8.4</v>
      </c>
      <c r="H53" t="n">
        <v>1</v>
      </c>
      <c r="I53" t="n">
        <v>2</v>
      </c>
      <c r="J53" t="n">
        <v>0</v>
      </c>
      <c r="K53" t="n">
        <v>1</v>
      </c>
      <c r="L53" t="n">
        <v>0</v>
      </c>
      <c r="M53" t="n">
        <v>0</v>
      </c>
      <c r="N53" t="n">
        <v>0</v>
      </c>
      <c r="O53" t="n">
        <v>1</v>
      </c>
      <c r="P53" t="n">
        <v>1</v>
      </c>
      <c r="Q53" t="n">
        <v>3</v>
      </c>
      <c r="R53" s="2" t="inlineStr">
        <is>
          <t>Tallbit
Gullgröppa
Vedticka</t>
        </is>
      </c>
      <c r="S53">
        <f>HYPERLINK("https://klasma.github.io/Logging_0188/artfynd/A 20185-2022 artfynd.xlsx", "A 20185-2022")</f>
        <v/>
      </c>
      <c r="T53">
        <f>HYPERLINK("https://klasma.github.io/Logging_0188/kartor/A 20185-2022 karta.png", "A 20185-2022")</f>
        <v/>
      </c>
      <c r="V53">
        <f>HYPERLINK("https://klasma.github.io/Logging_0188/klagomål/A 20185-2022 FSC-klagomål.docx", "A 20185-2022")</f>
        <v/>
      </c>
      <c r="W53">
        <f>HYPERLINK("https://klasma.github.io/Logging_0188/klagomålsmail/A 20185-2022 FSC-klagomål mail.docx", "A 20185-2022")</f>
        <v/>
      </c>
      <c r="X53">
        <f>HYPERLINK("https://klasma.github.io/Logging_0188/tillsyn/A 20185-2022 tillsynsbegäran.docx", "A 20185-2022")</f>
        <v/>
      </c>
      <c r="Y53">
        <f>HYPERLINK("https://klasma.github.io/Logging_0188/tillsynsmail/A 20185-2022 tillsynsbegäran mail.docx", "A 20185-2022")</f>
        <v/>
      </c>
      <c r="Z53">
        <f>HYPERLINK("https://klasma.github.io/Logging_0188/fåglar/A 20185-2022 prioriterade fågelarter.docx", "A 20185-2022")</f>
        <v/>
      </c>
    </row>
    <row r="54" ht="15" customHeight="1">
      <c r="A54" t="inlineStr">
        <is>
          <t>A 29185-2025</t>
        </is>
      </c>
      <c r="B54" s="1" t="n">
        <v>45821</v>
      </c>
      <c r="C54" s="1" t="n">
        <v>45931</v>
      </c>
      <c r="D54" t="inlineStr">
        <is>
          <t>STOCKHOLMS LÄN</t>
        </is>
      </c>
      <c r="E54" t="inlineStr">
        <is>
          <t>NORRTÄLJE</t>
        </is>
      </c>
      <c r="F54" t="inlineStr">
        <is>
          <t>Övriga Aktiebolag</t>
        </is>
      </c>
      <c r="G54" t="n">
        <v>8.5</v>
      </c>
      <c r="H54" t="n">
        <v>2</v>
      </c>
      <c r="I54" t="n">
        <v>1</v>
      </c>
      <c r="J54" t="n">
        <v>0</v>
      </c>
      <c r="K54" t="n">
        <v>0</v>
      </c>
      <c r="L54" t="n">
        <v>0</v>
      </c>
      <c r="M54" t="n">
        <v>0</v>
      </c>
      <c r="N54" t="n">
        <v>0</v>
      </c>
      <c r="O54" t="n">
        <v>0</v>
      </c>
      <c r="P54" t="n">
        <v>0</v>
      </c>
      <c r="Q54" t="n">
        <v>3</v>
      </c>
      <c r="R54" s="2" t="inlineStr">
        <is>
          <t>Vårärt
Fläcknycklar
Blåsippa</t>
        </is>
      </c>
      <c r="S54">
        <f>HYPERLINK("https://klasma.github.io/Logging_0188/artfynd/A 29185-2025 artfynd.xlsx", "A 29185-2025")</f>
        <v/>
      </c>
      <c r="T54">
        <f>HYPERLINK("https://klasma.github.io/Logging_0188/kartor/A 29185-2025 karta.png", "A 29185-2025")</f>
        <v/>
      </c>
      <c r="V54">
        <f>HYPERLINK("https://klasma.github.io/Logging_0188/klagomål/A 29185-2025 FSC-klagomål.docx", "A 29185-2025")</f>
        <v/>
      </c>
      <c r="W54">
        <f>HYPERLINK("https://klasma.github.io/Logging_0188/klagomålsmail/A 29185-2025 FSC-klagomål mail.docx", "A 29185-2025")</f>
        <v/>
      </c>
      <c r="X54">
        <f>HYPERLINK("https://klasma.github.io/Logging_0188/tillsyn/A 29185-2025 tillsynsbegäran.docx", "A 29185-2025")</f>
        <v/>
      </c>
      <c r="Y54">
        <f>HYPERLINK("https://klasma.github.io/Logging_0188/tillsynsmail/A 29185-2025 tillsynsbegäran mail.docx", "A 29185-2025")</f>
        <v/>
      </c>
    </row>
    <row r="55" ht="15" customHeight="1">
      <c r="A55" t="inlineStr">
        <is>
          <t>A 34524-2025</t>
        </is>
      </c>
      <c r="B55" s="1" t="n">
        <v>45847.47685185185</v>
      </c>
      <c r="C55" s="1" t="n">
        <v>45931</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27870-2022</t>
        </is>
      </c>
      <c r="B56" s="1" t="n">
        <v>44743.64592592593</v>
      </c>
      <c r="C56" s="1" t="n">
        <v>45931</v>
      </c>
      <c r="D56" t="inlineStr">
        <is>
          <t>STOCKHOLMS LÄN</t>
        </is>
      </c>
      <c r="E56" t="inlineStr">
        <is>
          <t>NORRTÄLJE</t>
        </is>
      </c>
      <c r="F56" t="inlineStr">
        <is>
          <t>Holmen skog AB</t>
        </is>
      </c>
      <c r="G56" t="n">
        <v>1.8</v>
      </c>
      <c r="H56" t="n">
        <v>3</v>
      </c>
      <c r="I56" t="n">
        <v>0</v>
      </c>
      <c r="J56" t="n">
        <v>1</v>
      </c>
      <c r="K56" t="n">
        <v>0</v>
      </c>
      <c r="L56" t="n">
        <v>0</v>
      </c>
      <c r="M56" t="n">
        <v>0</v>
      </c>
      <c r="N56" t="n">
        <v>0</v>
      </c>
      <c r="O56" t="n">
        <v>1</v>
      </c>
      <c r="P56" t="n">
        <v>0</v>
      </c>
      <c r="Q56" t="n">
        <v>3</v>
      </c>
      <c r="R56" s="2" t="inlineStr">
        <is>
          <t>Nordfladdermus
Dvärgpipistrell
Större brunfladdermus</t>
        </is>
      </c>
      <c r="S56">
        <f>HYPERLINK("https://klasma.github.io/Logging_0188/artfynd/A 27870-2022 artfynd.xlsx", "A 27870-2022")</f>
        <v/>
      </c>
      <c r="T56">
        <f>HYPERLINK("https://klasma.github.io/Logging_0188/kartor/A 27870-2022 karta.png", "A 27870-2022")</f>
        <v/>
      </c>
      <c r="V56">
        <f>HYPERLINK("https://klasma.github.io/Logging_0188/klagomål/A 27870-2022 FSC-klagomål.docx", "A 27870-2022")</f>
        <v/>
      </c>
      <c r="W56">
        <f>HYPERLINK("https://klasma.github.io/Logging_0188/klagomålsmail/A 27870-2022 FSC-klagomål mail.docx", "A 27870-2022")</f>
        <v/>
      </c>
      <c r="X56">
        <f>HYPERLINK("https://klasma.github.io/Logging_0188/tillsyn/A 27870-2022 tillsynsbegäran.docx", "A 27870-2022")</f>
        <v/>
      </c>
      <c r="Y56">
        <f>HYPERLINK("https://klasma.github.io/Logging_0188/tillsynsmail/A 27870-2022 tillsynsbegäran mail.docx", "A 27870-2022")</f>
        <v/>
      </c>
    </row>
    <row r="57" ht="15" customHeight="1">
      <c r="A57" t="inlineStr">
        <is>
          <t>A 31803-2021</t>
        </is>
      </c>
      <c r="B57" s="1" t="n">
        <v>44370</v>
      </c>
      <c r="C57" s="1" t="n">
        <v>45931</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45931</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51220-2023</t>
        </is>
      </c>
      <c r="B59" s="1" t="n">
        <v>45219</v>
      </c>
      <c r="C59" s="1" t="n">
        <v>45931</v>
      </c>
      <c r="D59" t="inlineStr">
        <is>
          <t>STOCKHOLMS LÄN</t>
        </is>
      </c>
      <c r="E59" t="inlineStr">
        <is>
          <t>NORRTÄLJE</t>
        </is>
      </c>
      <c r="G59" t="n">
        <v>7.7</v>
      </c>
      <c r="H59" t="n">
        <v>1</v>
      </c>
      <c r="I59" t="n">
        <v>0</v>
      </c>
      <c r="J59" t="n">
        <v>1</v>
      </c>
      <c r="K59" t="n">
        <v>0</v>
      </c>
      <c r="L59" t="n">
        <v>0</v>
      </c>
      <c r="M59" t="n">
        <v>0</v>
      </c>
      <c r="N59" t="n">
        <v>0</v>
      </c>
      <c r="O59" t="n">
        <v>1</v>
      </c>
      <c r="P59" t="n">
        <v>0</v>
      </c>
      <c r="Q59" t="n">
        <v>2</v>
      </c>
      <c r="R59" s="2" t="inlineStr">
        <is>
          <t>Ullticka
Blåsippa</t>
        </is>
      </c>
      <c r="S59">
        <f>HYPERLINK("https://klasma.github.io/Logging_0188/artfynd/A 51220-2023 artfynd.xlsx", "A 51220-2023")</f>
        <v/>
      </c>
      <c r="T59">
        <f>HYPERLINK("https://klasma.github.io/Logging_0188/kartor/A 51220-2023 karta.png", "A 51220-2023")</f>
        <v/>
      </c>
      <c r="V59">
        <f>HYPERLINK("https://klasma.github.io/Logging_0188/klagomål/A 51220-2023 FSC-klagomål.docx", "A 51220-2023")</f>
        <v/>
      </c>
      <c r="W59">
        <f>HYPERLINK("https://klasma.github.io/Logging_0188/klagomålsmail/A 51220-2023 FSC-klagomål mail.docx", "A 51220-2023")</f>
        <v/>
      </c>
      <c r="X59">
        <f>HYPERLINK("https://klasma.github.io/Logging_0188/tillsyn/A 51220-2023 tillsynsbegäran.docx", "A 51220-2023")</f>
        <v/>
      </c>
      <c r="Y59">
        <f>HYPERLINK("https://klasma.github.io/Logging_0188/tillsynsmail/A 51220-2023 tillsynsbegäran mail.docx", "A 51220-2023")</f>
        <v/>
      </c>
    </row>
    <row r="60" ht="15" customHeight="1">
      <c r="A60" t="inlineStr">
        <is>
          <t>A 30693-2022</t>
        </is>
      </c>
      <c r="B60" s="1" t="n">
        <v>44763</v>
      </c>
      <c r="C60" s="1" t="n">
        <v>45931</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20012-2025</t>
        </is>
      </c>
      <c r="B61" s="1" t="n">
        <v>45772.30234953704</v>
      </c>
      <c r="C61" s="1" t="n">
        <v>45931</v>
      </c>
      <c r="D61" t="inlineStr">
        <is>
          <t>STOCKHOLMS LÄN</t>
        </is>
      </c>
      <c r="E61" t="inlineStr">
        <is>
          <t>NORRTÄLJE</t>
        </is>
      </c>
      <c r="G61" t="n">
        <v>3.8</v>
      </c>
      <c r="H61" t="n">
        <v>0</v>
      </c>
      <c r="I61" t="n">
        <v>2</v>
      </c>
      <c r="J61" t="n">
        <v>0</v>
      </c>
      <c r="K61" t="n">
        <v>0</v>
      </c>
      <c r="L61" t="n">
        <v>0</v>
      </c>
      <c r="M61" t="n">
        <v>0</v>
      </c>
      <c r="N61" t="n">
        <v>0</v>
      </c>
      <c r="O61" t="n">
        <v>0</v>
      </c>
      <c r="P61" t="n">
        <v>0</v>
      </c>
      <c r="Q61" t="n">
        <v>2</v>
      </c>
      <c r="R61" s="2" t="inlineStr">
        <is>
          <t>Barkticka
Stor aspticka</t>
        </is>
      </c>
      <c r="S61">
        <f>HYPERLINK("https://klasma.github.io/Logging_0188/artfynd/A 20012-2025 artfynd.xlsx", "A 20012-2025")</f>
        <v/>
      </c>
      <c r="T61">
        <f>HYPERLINK("https://klasma.github.io/Logging_0188/kartor/A 20012-2025 karta.png", "A 20012-2025")</f>
        <v/>
      </c>
      <c r="V61">
        <f>HYPERLINK("https://klasma.github.io/Logging_0188/klagomål/A 20012-2025 FSC-klagomål.docx", "A 20012-2025")</f>
        <v/>
      </c>
      <c r="W61">
        <f>HYPERLINK("https://klasma.github.io/Logging_0188/klagomålsmail/A 20012-2025 FSC-klagomål mail.docx", "A 20012-2025")</f>
        <v/>
      </c>
      <c r="X61">
        <f>HYPERLINK("https://klasma.github.io/Logging_0188/tillsyn/A 20012-2025 tillsynsbegäran.docx", "A 20012-2025")</f>
        <v/>
      </c>
      <c r="Y61">
        <f>HYPERLINK("https://klasma.github.io/Logging_0188/tillsynsmail/A 20012-2025 tillsynsbegäran mail.docx", "A 20012-2025")</f>
        <v/>
      </c>
    </row>
    <row r="62" ht="15" customHeight="1">
      <c r="A62" t="inlineStr">
        <is>
          <t>A 51980-2022</t>
        </is>
      </c>
      <c r="B62" s="1" t="n">
        <v>44872</v>
      </c>
      <c r="C62" s="1" t="n">
        <v>45931</v>
      </c>
      <c r="D62" t="inlineStr">
        <is>
          <t>STOCKHOLMS LÄN</t>
        </is>
      </c>
      <c r="E62" t="inlineStr">
        <is>
          <t>NORRTÄLJE</t>
        </is>
      </c>
      <c r="G62" t="n">
        <v>7.9</v>
      </c>
      <c r="H62" t="n">
        <v>1</v>
      </c>
      <c r="I62" t="n">
        <v>2</v>
      </c>
      <c r="J62" t="n">
        <v>0</v>
      </c>
      <c r="K62" t="n">
        <v>0</v>
      </c>
      <c r="L62" t="n">
        <v>0</v>
      </c>
      <c r="M62" t="n">
        <v>0</v>
      </c>
      <c r="N62" t="n">
        <v>0</v>
      </c>
      <c r="O62" t="n">
        <v>0</v>
      </c>
      <c r="P62" t="n">
        <v>0</v>
      </c>
      <c r="Q62" t="n">
        <v>2</v>
      </c>
      <c r="R62" s="2" t="inlineStr">
        <is>
          <t>Rödgul trumpetsvamp
Skogsknipprot</t>
        </is>
      </c>
      <c r="S62">
        <f>HYPERLINK("https://klasma.github.io/Logging_0188/artfynd/A 51980-2022 artfynd.xlsx", "A 51980-2022")</f>
        <v/>
      </c>
      <c r="T62">
        <f>HYPERLINK("https://klasma.github.io/Logging_0188/kartor/A 51980-2022 karta.png", "A 51980-2022")</f>
        <v/>
      </c>
      <c r="V62">
        <f>HYPERLINK("https://klasma.github.io/Logging_0188/klagomål/A 51980-2022 FSC-klagomål.docx", "A 51980-2022")</f>
        <v/>
      </c>
      <c r="W62">
        <f>HYPERLINK("https://klasma.github.io/Logging_0188/klagomålsmail/A 51980-2022 FSC-klagomål mail.docx", "A 51980-2022")</f>
        <v/>
      </c>
      <c r="X62">
        <f>HYPERLINK("https://klasma.github.io/Logging_0188/tillsyn/A 51980-2022 tillsynsbegäran.docx", "A 51980-2022")</f>
        <v/>
      </c>
      <c r="Y62">
        <f>HYPERLINK("https://klasma.github.io/Logging_0188/tillsynsmail/A 51980-2022 tillsynsbegäran mail.docx", "A 51980-2022")</f>
        <v/>
      </c>
    </row>
    <row r="63" ht="15" customHeight="1">
      <c r="A63" t="inlineStr">
        <is>
          <t>A 11031-2025</t>
        </is>
      </c>
      <c r="B63" s="1" t="n">
        <v>45723</v>
      </c>
      <c r="C63" s="1" t="n">
        <v>45931</v>
      </c>
      <c r="D63" t="inlineStr">
        <is>
          <t>STOCKHOLMS LÄN</t>
        </is>
      </c>
      <c r="E63" t="inlineStr">
        <is>
          <t>NORRTÄLJE</t>
        </is>
      </c>
      <c r="F63" t="inlineStr">
        <is>
          <t>Övriga Aktiebolag</t>
        </is>
      </c>
      <c r="G63" t="n">
        <v>13.2</v>
      </c>
      <c r="H63" t="n">
        <v>1</v>
      </c>
      <c r="I63" t="n">
        <v>0</v>
      </c>
      <c r="J63" t="n">
        <v>2</v>
      </c>
      <c r="K63" t="n">
        <v>0</v>
      </c>
      <c r="L63" t="n">
        <v>0</v>
      </c>
      <c r="M63" t="n">
        <v>0</v>
      </c>
      <c r="N63" t="n">
        <v>0</v>
      </c>
      <c r="O63" t="n">
        <v>2</v>
      </c>
      <c r="P63" t="n">
        <v>0</v>
      </c>
      <c r="Q63" t="n">
        <v>2</v>
      </c>
      <c r="R63" s="2" t="inlineStr">
        <is>
          <t>Järpe
Ullticka</t>
        </is>
      </c>
      <c r="S63">
        <f>HYPERLINK("https://klasma.github.io/Logging_0188/artfynd/A 11031-2025 artfynd.xlsx", "A 11031-2025")</f>
        <v/>
      </c>
      <c r="T63">
        <f>HYPERLINK("https://klasma.github.io/Logging_0188/kartor/A 11031-2025 karta.png", "A 11031-2025")</f>
        <v/>
      </c>
      <c r="V63">
        <f>HYPERLINK("https://klasma.github.io/Logging_0188/klagomål/A 11031-2025 FSC-klagomål.docx", "A 11031-2025")</f>
        <v/>
      </c>
      <c r="W63">
        <f>HYPERLINK("https://klasma.github.io/Logging_0188/klagomålsmail/A 11031-2025 FSC-klagomål mail.docx", "A 11031-2025")</f>
        <v/>
      </c>
      <c r="X63">
        <f>HYPERLINK("https://klasma.github.io/Logging_0188/tillsyn/A 11031-2025 tillsynsbegäran.docx", "A 11031-2025")</f>
        <v/>
      </c>
      <c r="Y63">
        <f>HYPERLINK("https://klasma.github.io/Logging_0188/tillsynsmail/A 11031-2025 tillsynsbegäran mail.docx", "A 11031-2025")</f>
        <v/>
      </c>
      <c r="Z63">
        <f>HYPERLINK("https://klasma.github.io/Logging_0188/fåglar/A 11031-2025 prioriterade fågelarter.docx", "A 11031-2025")</f>
        <v/>
      </c>
    </row>
    <row r="64" ht="15" customHeight="1">
      <c r="A64" t="inlineStr">
        <is>
          <t>A 52360-2024</t>
        </is>
      </c>
      <c r="B64" s="1" t="n">
        <v>45609.37094907407</v>
      </c>
      <c r="C64" s="1" t="n">
        <v>45931</v>
      </c>
      <c r="D64" t="inlineStr">
        <is>
          <t>STOCKHOLMS LÄN</t>
        </is>
      </c>
      <c r="E64" t="inlineStr">
        <is>
          <t>NORRTÄLJE</t>
        </is>
      </c>
      <c r="G64" t="n">
        <v>2.2</v>
      </c>
      <c r="H64" t="n">
        <v>1</v>
      </c>
      <c r="I64" t="n">
        <v>1</v>
      </c>
      <c r="J64" t="n">
        <v>0</v>
      </c>
      <c r="K64" t="n">
        <v>0</v>
      </c>
      <c r="L64" t="n">
        <v>0</v>
      </c>
      <c r="M64" t="n">
        <v>0</v>
      </c>
      <c r="N64" t="n">
        <v>0</v>
      </c>
      <c r="O64" t="n">
        <v>0</v>
      </c>
      <c r="P64" t="n">
        <v>0</v>
      </c>
      <c r="Q64" t="n">
        <v>2</v>
      </c>
      <c r="R64" s="2" t="inlineStr">
        <is>
          <t>Brandticka
Blåsippa</t>
        </is>
      </c>
      <c r="S64">
        <f>HYPERLINK("https://klasma.github.io/Logging_0188/artfynd/A 52360-2024 artfynd.xlsx", "A 52360-2024")</f>
        <v/>
      </c>
      <c r="T64">
        <f>HYPERLINK("https://klasma.github.io/Logging_0188/kartor/A 52360-2024 karta.png", "A 52360-2024")</f>
        <v/>
      </c>
      <c r="V64">
        <f>HYPERLINK("https://klasma.github.io/Logging_0188/klagomål/A 52360-2024 FSC-klagomål.docx", "A 52360-2024")</f>
        <v/>
      </c>
      <c r="W64">
        <f>HYPERLINK("https://klasma.github.io/Logging_0188/klagomålsmail/A 52360-2024 FSC-klagomål mail.docx", "A 52360-2024")</f>
        <v/>
      </c>
      <c r="X64">
        <f>HYPERLINK("https://klasma.github.io/Logging_0188/tillsyn/A 52360-2024 tillsynsbegäran.docx", "A 52360-2024")</f>
        <v/>
      </c>
      <c r="Y64">
        <f>HYPERLINK("https://klasma.github.io/Logging_0188/tillsynsmail/A 52360-2024 tillsynsbegäran mail.docx", "A 52360-2024")</f>
        <v/>
      </c>
    </row>
    <row r="65" ht="15" customHeight="1">
      <c r="A65" t="inlineStr">
        <is>
          <t>A 25731-2025</t>
        </is>
      </c>
      <c r="B65" s="1" t="n">
        <v>45800</v>
      </c>
      <c r="C65" s="1" t="n">
        <v>45931</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16260-2022</t>
        </is>
      </c>
      <c r="B66" s="1" t="n">
        <v>44670</v>
      </c>
      <c r="C66" s="1" t="n">
        <v>45931</v>
      </c>
      <c r="D66" t="inlineStr">
        <is>
          <t>STOCKHOLMS LÄN</t>
        </is>
      </c>
      <c r="E66" t="inlineStr">
        <is>
          <t>NORRTÄLJE</t>
        </is>
      </c>
      <c r="G66" t="n">
        <v>6.6</v>
      </c>
      <c r="H66" t="n">
        <v>1</v>
      </c>
      <c r="I66" t="n">
        <v>2</v>
      </c>
      <c r="J66" t="n">
        <v>0</v>
      </c>
      <c r="K66" t="n">
        <v>0</v>
      </c>
      <c r="L66" t="n">
        <v>0</v>
      </c>
      <c r="M66" t="n">
        <v>0</v>
      </c>
      <c r="N66" t="n">
        <v>0</v>
      </c>
      <c r="O66" t="n">
        <v>0</v>
      </c>
      <c r="P66" t="n">
        <v>0</v>
      </c>
      <c r="Q66" t="n">
        <v>2</v>
      </c>
      <c r="R66" s="2" t="inlineStr">
        <is>
          <t>Nästrot
Vårärt</t>
        </is>
      </c>
      <c r="S66">
        <f>HYPERLINK("https://klasma.github.io/Logging_0188/artfynd/A 16260-2022 artfynd.xlsx", "A 16260-2022")</f>
        <v/>
      </c>
      <c r="T66">
        <f>HYPERLINK("https://klasma.github.io/Logging_0188/kartor/A 16260-2022 karta.png", "A 16260-2022")</f>
        <v/>
      </c>
      <c r="V66">
        <f>HYPERLINK("https://klasma.github.io/Logging_0188/klagomål/A 16260-2022 FSC-klagomål.docx", "A 16260-2022")</f>
        <v/>
      </c>
      <c r="W66">
        <f>HYPERLINK("https://klasma.github.io/Logging_0188/klagomålsmail/A 16260-2022 FSC-klagomål mail.docx", "A 16260-2022")</f>
        <v/>
      </c>
      <c r="X66">
        <f>HYPERLINK("https://klasma.github.io/Logging_0188/tillsyn/A 16260-2022 tillsynsbegäran.docx", "A 16260-2022")</f>
        <v/>
      </c>
      <c r="Y66">
        <f>HYPERLINK("https://klasma.github.io/Logging_0188/tillsynsmail/A 16260-2022 tillsynsbegäran mail.docx", "A 16260-2022")</f>
        <v/>
      </c>
    </row>
    <row r="67" ht="15" customHeight="1">
      <c r="A67" t="inlineStr">
        <is>
          <t>A 52825-2023</t>
        </is>
      </c>
      <c r="B67" s="1" t="n">
        <v>45226</v>
      </c>
      <c r="C67" s="1" t="n">
        <v>45931</v>
      </c>
      <c r="D67" t="inlineStr">
        <is>
          <t>STOCKHOLMS LÄN</t>
        </is>
      </c>
      <c r="E67" t="inlineStr">
        <is>
          <t>NORRTÄLJE</t>
        </is>
      </c>
      <c r="G67" t="n">
        <v>1</v>
      </c>
      <c r="H67" t="n">
        <v>0</v>
      </c>
      <c r="I67" t="n">
        <v>2</v>
      </c>
      <c r="J67" t="n">
        <v>0</v>
      </c>
      <c r="K67" t="n">
        <v>0</v>
      </c>
      <c r="L67" t="n">
        <v>0</v>
      </c>
      <c r="M67" t="n">
        <v>0</v>
      </c>
      <c r="N67" t="n">
        <v>0</v>
      </c>
      <c r="O67" t="n">
        <v>0</v>
      </c>
      <c r="P67" t="n">
        <v>0</v>
      </c>
      <c r="Q67" t="n">
        <v>2</v>
      </c>
      <c r="R67" s="2" t="inlineStr">
        <is>
          <t>Fjällig taggsvamp s.str.
Strimspindling</t>
        </is>
      </c>
      <c r="S67">
        <f>HYPERLINK("https://klasma.github.io/Logging_0188/artfynd/A 52825-2023 artfynd.xlsx", "A 52825-2023")</f>
        <v/>
      </c>
      <c r="T67">
        <f>HYPERLINK("https://klasma.github.io/Logging_0188/kartor/A 52825-2023 karta.png", "A 52825-2023")</f>
        <v/>
      </c>
      <c r="V67">
        <f>HYPERLINK("https://klasma.github.io/Logging_0188/klagomål/A 52825-2023 FSC-klagomål.docx", "A 52825-2023")</f>
        <v/>
      </c>
      <c r="W67">
        <f>HYPERLINK("https://klasma.github.io/Logging_0188/klagomålsmail/A 52825-2023 FSC-klagomål mail.docx", "A 52825-2023")</f>
        <v/>
      </c>
      <c r="X67">
        <f>HYPERLINK("https://klasma.github.io/Logging_0188/tillsyn/A 52825-2023 tillsynsbegäran.docx", "A 52825-2023")</f>
        <v/>
      </c>
      <c r="Y67">
        <f>HYPERLINK("https://klasma.github.io/Logging_0188/tillsynsmail/A 52825-2023 tillsynsbegäran mail.docx", "A 52825-2023")</f>
        <v/>
      </c>
    </row>
    <row r="68" ht="15" customHeight="1">
      <c r="A68" t="inlineStr">
        <is>
          <t>A 22190-2024</t>
        </is>
      </c>
      <c r="B68" s="1" t="n">
        <v>45446.35888888889</v>
      </c>
      <c r="C68" s="1" t="n">
        <v>45931</v>
      </c>
      <c r="D68" t="inlineStr">
        <is>
          <t>STOCKHOLMS LÄN</t>
        </is>
      </c>
      <c r="E68" t="inlineStr">
        <is>
          <t>NORRTÄLJE</t>
        </is>
      </c>
      <c r="G68" t="n">
        <v>2.8</v>
      </c>
      <c r="H68" t="n">
        <v>2</v>
      </c>
      <c r="I68" t="n">
        <v>1</v>
      </c>
      <c r="J68" t="n">
        <v>0</v>
      </c>
      <c r="K68" t="n">
        <v>0</v>
      </c>
      <c r="L68" t="n">
        <v>0</v>
      </c>
      <c r="M68" t="n">
        <v>0</v>
      </c>
      <c r="N68" t="n">
        <v>0</v>
      </c>
      <c r="O68" t="n">
        <v>0</v>
      </c>
      <c r="P68" t="n">
        <v>0</v>
      </c>
      <c r="Q68" t="n">
        <v>2</v>
      </c>
      <c r="R68" s="2" t="inlineStr">
        <is>
          <t>Skogsknipprot
Vanlig groda</t>
        </is>
      </c>
      <c r="S68">
        <f>HYPERLINK("https://klasma.github.io/Logging_0188/artfynd/A 22190-2024 artfynd.xlsx", "A 22190-2024")</f>
        <v/>
      </c>
      <c r="T68">
        <f>HYPERLINK("https://klasma.github.io/Logging_0188/kartor/A 22190-2024 karta.png", "A 22190-2024")</f>
        <v/>
      </c>
      <c r="V68">
        <f>HYPERLINK("https://klasma.github.io/Logging_0188/klagomål/A 22190-2024 FSC-klagomål.docx", "A 22190-2024")</f>
        <v/>
      </c>
      <c r="W68">
        <f>HYPERLINK("https://klasma.github.io/Logging_0188/klagomålsmail/A 22190-2024 FSC-klagomål mail.docx", "A 22190-2024")</f>
        <v/>
      </c>
      <c r="X68">
        <f>HYPERLINK("https://klasma.github.io/Logging_0188/tillsyn/A 22190-2024 tillsynsbegäran.docx", "A 22190-2024")</f>
        <v/>
      </c>
      <c r="Y68">
        <f>HYPERLINK("https://klasma.github.io/Logging_0188/tillsynsmail/A 22190-2024 tillsynsbegäran mail.docx", "A 22190-2024")</f>
        <v/>
      </c>
    </row>
    <row r="69" ht="15" customHeight="1">
      <c r="A69" t="inlineStr">
        <is>
          <t>A 52124-2022</t>
        </is>
      </c>
      <c r="B69" s="1" t="n">
        <v>44868</v>
      </c>
      <c r="C69" s="1" t="n">
        <v>45931</v>
      </c>
      <c r="D69" t="inlineStr">
        <is>
          <t>STOCKHOLMS LÄN</t>
        </is>
      </c>
      <c r="E69" t="inlineStr">
        <is>
          <t>NORRTÄLJE</t>
        </is>
      </c>
      <c r="G69" t="n">
        <v>4.8</v>
      </c>
      <c r="H69" t="n">
        <v>1</v>
      </c>
      <c r="I69" t="n">
        <v>0</v>
      </c>
      <c r="J69" t="n">
        <v>1</v>
      </c>
      <c r="K69" t="n">
        <v>0</v>
      </c>
      <c r="L69" t="n">
        <v>0</v>
      </c>
      <c r="M69" t="n">
        <v>0</v>
      </c>
      <c r="N69" t="n">
        <v>0</v>
      </c>
      <c r="O69" t="n">
        <v>1</v>
      </c>
      <c r="P69" t="n">
        <v>0</v>
      </c>
      <c r="Q69" t="n">
        <v>2</v>
      </c>
      <c r="R69" s="2" t="inlineStr">
        <is>
          <t>Kandelabersvamp
Blåsippa</t>
        </is>
      </c>
      <c r="S69">
        <f>HYPERLINK("https://klasma.github.io/Logging_0188/artfynd/A 52124-2022 artfynd.xlsx", "A 52124-2022")</f>
        <v/>
      </c>
      <c r="T69">
        <f>HYPERLINK("https://klasma.github.io/Logging_0188/kartor/A 52124-2022 karta.png", "A 52124-2022")</f>
        <v/>
      </c>
      <c r="V69">
        <f>HYPERLINK("https://klasma.github.io/Logging_0188/klagomål/A 52124-2022 FSC-klagomål.docx", "A 52124-2022")</f>
        <v/>
      </c>
      <c r="W69">
        <f>HYPERLINK("https://klasma.github.io/Logging_0188/klagomålsmail/A 52124-2022 FSC-klagomål mail.docx", "A 52124-2022")</f>
        <v/>
      </c>
      <c r="X69">
        <f>HYPERLINK("https://klasma.github.io/Logging_0188/tillsyn/A 52124-2022 tillsynsbegäran.docx", "A 52124-2022")</f>
        <v/>
      </c>
      <c r="Y69">
        <f>HYPERLINK("https://klasma.github.io/Logging_0188/tillsynsmail/A 52124-2022 tillsynsbegäran mail.docx", "A 52124-2022")</f>
        <v/>
      </c>
    </row>
    <row r="70" ht="15" customHeight="1">
      <c r="A70" t="inlineStr">
        <is>
          <t>A 1547-2022</t>
        </is>
      </c>
      <c r="B70" s="1" t="n">
        <v>44573</v>
      </c>
      <c r="C70" s="1" t="n">
        <v>45931</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45931</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45931</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45931</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33477-2022</t>
        </is>
      </c>
      <c r="B74" s="1" t="n">
        <v>44788.70217592592</v>
      </c>
      <c r="C74" s="1" t="n">
        <v>45931</v>
      </c>
      <c r="D74" t="inlineStr">
        <is>
          <t>STOCKHOLMS LÄN</t>
        </is>
      </c>
      <c r="E74" t="inlineStr">
        <is>
          <t>NORRTÄLJE</t>
        </is>
      </c>
      <c r="G74" t="n">
        <v>5.7</v>
      </c>
      <c r="H74" t="n">
        <v>1</v>
      </c>
      <c r="I74" t="n">
        <v>1</v>
      </c>
      <c r="J74" t="n">
        <v>0</v>
      </c>
      <c r="K74" t="n">
        <v>0</v>
      </c>
      <c r="L74" t="n">
        <v>0</v>
      </c>
      <c r="M74" t="n">
        <v>0</v>
      </c>
      <c r="N74" t="n">
        <v>0</v>
      </c>
      <c r="O74" t="n">
        <v>0</v>
      </c>
      <c r="P74" t="n">
        <v>0</v>
      </c>
      <c r="Q74" t="n">
        <v>1</v>
      </c>
      <c r="R74" s="2" t="inlineStr">
        <is>
          <t>Nästrot</t>
        </is>
      </c>
      <c r="S74">
        <f>HYPERLINK("https://klasma.github.io/Logging_0188/artfynd/A 33477-2022 artfynd.xlsx", "A 33477-2022")</f>
        <v/>
      </c>
      <c r="T74">
        <f>HYPERLINK("https://klasma.github.io/Logging_0188/kartor/A 33477-2022 karta.png", "A 33477-2022")</f>
        <v/>
      </c>
      <c r="V74">
        <f>HYPERLINK("https://klasma.github.io/Logging_0188/klagomål/A 33477-2022 FSC-klagomål.docx", "A 33477-2022")</f>
        <v/>
      </c>
      <c r="W74">
        <f>HYPERLINK("https://klasma.github.io/Logging_0188/klagomålsmail/A 33477-2022 FSC-klagomål mail.docx", "A 33477-2022")</f>
        <v/>
      </c>
      <c r="X74">
        <f>HYPERLINK("https://klasma.github.io/Logging_0188/tillsyn/A 33477-2022 tillsynsbegäran.docx", "A 33477-2022")</f>
        <v/>
      </c>
      <c r="Y74">
        <f>HYPERLINK("https://klasma.github.io/Logging_0188/tillsynsmail/A 33477-2022 tillsynsbegäran mail.docx", "A 33477-2022")</f>
        <v/>
      </c>
    </row>
    <row r="75" ht="15" customHeight="1">
      <c r="A75" t="inlineStr">
        <is>
          <t>A 17629-2022</t>
        </is>
      </c>
      <c r="B75" s="1" t="n">
        <v>44680</v>
      </c>
      <c r="C75" s="1" t="n">
        <v>45931</v>
      </c>
      <c r="D75" t="inlineStr">
        <is>
          <t>STOCKHOLMS LÄN</t>
        </is>
      </c>
      <c r="E75" t="inlineStr">
        <is>
          <t>NORRTÄLJE</t>
        </is>
      </c>
      <c r="G75" t="n">
        <v>0.6</v>
      </c>
      <c r="H75" t="n">
        <v>1</v>
      </c>
      <c r="I75" t="n">
        <v>0</v>
      </c>
      <c r="J75" t="n">
        <v>1</v>
      </c>
      <c r="K75" t="n">
        <v>0</v>
      </c>
      <c r="L75" t="n">
        <v>0</v>
      </c>
      <c r="M75" t="n">
        <v>0</v>
      </c>
      <c r="N75" t="n">
        <v>0</v>
      </c>
      <c r="O75" t="n">
        <v>1</v>
      </c>
      <c r="P75" t="n">
        <v>0</v>
      </c>
      <c r="Q75" t="n">
        <v>1</v>
      </c>
      <c r="R75" s="2" t="inlineStr">
        <is>
          <t>Hornuggla</t>
        </is>
      </c>
      <c r="S75">
        <f>HYPERLINK("https://klasma.github.io/Logging_0188/artfynd/A 17629-2022 artfynd.xlsx", "A 17629-2022")</f>
        <v/>
      </c>
      <c r="T75">
        <f>HYPERLINK("https://klasma.github.io/Logging_0188/kartor/A 17629-2022 karta.png", "A 17629-2022")</f>
        <v/>
      </c>
      <c r="V75">
        <f>HYPERLINK("https://klasma.github.io/Logging_0188/klagomål/A 17629-2022 FSC-klagomål.docx", "A 17629-2022")</f>
        <v/>
      </c>
      <c r="W75">
        <f>HYPERLINK("https://klasma.github.io/Logging_0188/klagomålsmail/A 17629-2022 FSC-klagomål mail.docx", "A 17629-2022")</f>
        <v/>
      </c>
      <c r="X75">
        <f>HYPERLINK("https://klasma.github.io/Logging_0188/tillsyn/A 17629-2022 tillsynsbegäran.docx", "A 17629-2022")</f>
        <v/>
      </c>
      <c r="Y75">
        <f>HYPERLINK("https://klasma.github.io/Logging_0188/tillsynsmail/A 17629-2022 tillsynsbegäran mail.docx", "A 17629-2022")</f>
        <v/>
      </c>
      <c r="Z75">
        <f>HYPERLINK("https://klasma.github.io/Logging_0188/fåglar/A 17629-2022 prioriterade fågelarter.docx", "A 17629-2022")</f>
        <v/>
      </c>
    </row>
    <row r="76" ht="15" customHeight="1">
      <c r="A76" t="inlineStr">
        <is>
          <t>A 27538-2024</t>
        </is>
      </c>
      <c r="B76" s="1" t="n">
        <v>45474</v>
      </c>
      <c r="C76" s="1" t="n">
        <v>45931</v>
      </c>
      <c r="D76" t="inlineStr">
        <is>
          <t>STOCKHOLMS LÄN</t>
        </is>
      </c>
      <c r="E76" t="inlineStr">
        <is>
          <t>NORRTÄLJE</t>
        </is>
      </c>
      <c r="G76" t="n">
        <v>1.5</v>
      </c>
      <c r="H76" t="n">
        <v>1</v>
      </c>
      <c r="I76" t="n">
        <v>1</v>
      </c>
      <c r="J76" t="n">
        <v>0</v>
      </c>
      <c r="K76" t="n">
        <v>0</v>
      </c>
      <c r="L76" t="n">
        <v>0</v>
      </c>
      <c r="M76" t="n">
        <v>0</v>
      </c>
      <c r="N76" t="n">
        <v>0</v>
      </c>
      <c r="O76" t="n">
        <v>0</v>
      </c>
      <c r="P76" t="n">
        <v>0</v>
      </c>
      <c r="Q76" t="n">
        <v>1</v>
      </c>
      <c r="R76" s="2" t="inlineStr">
        <is>
          <t>Skogsknipprot</t>
        </is>
      </c>
      <c r="S76">
        <f>HYPERLINK("https://klasma.github.io/Logging_0188/artfynd/A 27538-2024 artfynd.xlsx", "A 27538-2024")</f>
        <v/>
      </c>
      <c r="T76">
        <f>HYPERLINK("https://klasma.github.io/Logging_0188/kartor/A 27538-2024 karta.png", "A 27538-2024")</f>
        <v/>
      </c>
      <c r="V76">
        <f>HYPERLINK("https://klasma.github.io/Logging_0188/klagomål/A 27538-2024 FSC-klagomål.docx", "A 27538-2024")</f>
        <v/>
      </c>
      <c r="W76">
        <f>HYPERLINK("https://klasma.github.io/Logging_0188/klagomålsmail/A 27538-2024 FSC-klagomål mail.docx", "A 27538-2024")</f>
        <v/>
      </c>
      <c r="X76">
        <f>HYPERLINK("https://klasma.github.io/Logging_0188/tillsyn/A 27538-2024 tillsynsbegäran.docx", "A 27538-2024")</f>
        <v/>
      </c>
      <c r="Y76">
        <f>HYPERLINK("https://klasma.github.io/Logging_0188/tillsynsmail/A 27538-2024 tillsynsbegäran mail.docx", "A 27538-2024")</f>
        <v/>
      </c>
    </row>
    <row r="77" ht="15" customHeight="1">
      <c r="A77" t="inlineStr">
        <is>
          <t>A 13271-2025</t>
        </is>
      </c>
      <c r="B77" s="1" t="n">
        <v>45735.54510416667</v>
      </c>
      <c r="C77" s="1" t="n">
        <v>45931</v>
      </c>
      <c r="D77" t="inlineStr">
        <is>
          <t>STOCKHOLMS LÄN</t>
        </is>
      </c>
      <c r="E77" t="inlineStr">
        <is>
          <t>NORRTÄLJE</t>
        </is>
      </c>
      <c r="G77" t="n">
        <v>7.2</v>
      </c>
      <c r="H77" t="n">
        <v>1</v>
      </c>
      <c r="I77" t="n">
        <v>0</v>
      </c>
      <c r="J77" t="n">
        <v>0</v>
      </c>
      <c r="K77" t="n">
        <v>0</v>
      </c>
      <c r="L77" t="n">
        <v>1</v>
      </c>
      <c r="M77" t="n">
        <v>0</v>
      </c>
      <c r="N77" t="n">
        <v>0</v>
      </c>
      <c r="O77" t="n">
        <v>1</v>
      </c>
      <c r="P77" t="n">
        <v>1</v>
      </c>
      <c r="Q77" t="n">
        <v>1</v>
      </c>
      <c r="R77" s="2" t="inlineStr">
        <is>
          <t>Asknätfjäril</t>
        </is>
      </c>
      <c r="S77">
        <f>HYPERLINK("https://klasma.github.io/Logging_0188/artfynd/A 13271-2025 artfynd.xlsx", "A 13271-2025")</f>
        <v/>
      </c>
      <c r="T77">
        <f>HYPERLINK("https://klasma.github.io/Logging_0188/kartor/A 13271-2025 karta.png", "A 13271-2025")</f>
        <v/>
      </c>
      <c r="V77">
        <f>HYPERLINK("https://klasma.github.io/Logging_0188/klagomål/A 13271-2025 FSC-klagomål.docx", "A 13271-2025")</f>
        <v/>
      </c>
      <c r="W77">
        <f>HYPERLINK("https://klasma.github.io/Logging_0188/klagomålsmail/A 13271-2025 FSC-klagomål mail.docx", "A 13271-2025")</f>
        <v/>
      </c>
      <c r="X77">
        <f>HYPERLINK("https://klasma.github.io/Logging_0188/tillsyn/A 13271-2025 tillsynsbegäran.docx", "A 13271-2025")</f>
        <v/>
      </c>
      <c r="Y77">
        <f>HYPERLINK("https://klasma.github.io/Logging_0188/tillsynsmail/A 13271-2025 tillsynsbegäran mail.docx", "A 13271-2025")</f>
        <v/>
      </c>
    </row>
    <row r="78" ht="15" customHeight="1">
      <c r="A78" t="inlineStr">
        <is>
          <t>A 52508-2023</t>
        </is>
      </c>
      <c r="B78" s="1" t="n">
        <v>45225</v>
      </c>
      <c r="C78" s="1" t="n">
        <v>45931</v>
      </c>
      <c r="D78" t="inlineStr">
        <is>
          <t>STOCKHOLMS LÄN</t>
        </is>
      </c>
      <c r="E78" t="inlineStr">
        <is>
          <t>NORRTÄLJE</t>
        </is>
      </c>
      <c r="G78" t="n">
        <v>19.7</v>
      </c>
      <c r="H78" t="n">
        <v>1</v>
      </c>
      <c r="I78" t="n">
        <v>0</v>
      </c>
      <c r="J78" t="n">
        <v>0</v>
      </c>
      <c r="K78" t="n">
        <v>1</v>
      </c>
      <c r="L78" t="n">
        <v>0</v>
      </c>
      <c r="M78" t="n">
        <v>0</v>
      </c>
      <c r="N78" t="n">
        <v>0</v>
      </c>
      <c r="O78" t="n">
        <v>1</v>
      </c>
      <c r="P78" t="n">
        <v>1</v>
      </c>
      <c r="Q78" t="n">
        <v>1</v>
      </c>
      <c r="R78" s="2" t="inlineStr">
        <is>
          <t>Svärta</t>
        </is>
      </c>
      <c r="S78">
        <f>HYPERLINK("https://klasma.github.io/Logging_0188/artfynd/A 52508-2023 artfynd.xlsx", "A 52508-2023")</f>
        <v/>
      </c>
      <c r="T78">
        <f>HYPERLINK("https://klasma.github.io/Logging_0188/kartor/A 52508-2023 karta.png", "A 52508-2023")</f>
        <v/>
      </c>
      <c r="V78">
        <f>HYPERLINK("https://klasma.github.io/Logging_0188/klagomål/A 52508-2023 FSC-klagomål.docx", "A 52508-2023")</f>
        <v/>
      </c>
      <c r="W78">
        <f>HYPERLINK("https://klasma.github.io/Logging_0188/klagomålsmail/A 52508-2023 FSC-klagomål mail.docx", "A 52508-2023")</f>
        <v/>
      </c>
      <c r="X78">
        <f>HYPERLINK("https://klasma.github.io/Logging_0188/tillsyn/A 52508-2023 tillsynsbegäran.docx", "A 52508-2023")</f>
        <v/>
      </c>
      <c r="Y78">
        <f>HYPERLINK("https://klasma.github.io/Logging_0188/tillsynsmail/A 52508-2023 tillsynsbegäran mail.docx", "A 52508-2023")</f>
        <v/>
      </c>
    </row>
    <row r="79" ht="15" customHeight="1">
      <c r="A79" t="inlineStr">
        <is>
          <t>A 32111-2022</t>
        </is>
      </c>
      <c r="B79" s="1" t="n">
        <v>44778.92797453704</v>
      </c>
      <c r="C79" s="1" t="n">
        <v>45931</v>
      </c>
      <c r="D79" t="inlineStr">
        <is>
          <t>STOCKHOLMS LÄN</t>
        </is>
      </c>
      <c r="E79" t="inlineStr">
        <is>
          <t>NORRTÄLJE</t>
        </is>
      </c>
      <c r="G79" t="n">
        <v>3.1</v>
      </c>
      <c r="H79" t="n">
        <v>0</v>
      </c>
      <c r="I79" t="n">
        <v>0</v>
      </c>
      <c r="J79" t="n">
        <v>1</v>
      </c>
      <c r="K79" t="n">
        <v>0</v>
      </c>
      <c r="L79" t="n">
        <v>0</v>
      </c>
      <c r="M79" t="n">
        <v>0</v>
      </c>
      <c r="N79" t="n">
        <v>0</v>
      </c>
      <c r="O79" t="n">
        <v>1</v>
      </c>
      <c r="P79" t="n">
        <v>0</v>
      </c>
      <c r="Q79" t="n">
        <v>1</v>
      </c>
      <c r="R79" s="2" t="inlineStr">
        <is>
          <t>Orange taggsvamp</t>
        </is>
      </c>
      <c r="S79">
        <f>HYPERLINK("https://klasma.github.io/Logging_0188/artfynd/A 32111-2022 artfynd.xlsx", "A 32111-2022")</f>
        <v/>
      </c>
      <c r="T79">
        <f>HYPERLINK("https://klasma.github.io/Logging_0188/kartor/A 32111-2022 karta.png", "A 32111-2022")</f>
        <v/>
      </c>
      <c r="V79">
        <f>HYPERLINK("https://klasma.github.io/Logging_0188/klagomål/A 32111-2022 FSC-klagomål.docx", "A 32111-2022")</f>
        <v/>
      </c>
      <c r="W79">
        <f>HYPERLINK("https://klasma.github.io/Logging_0188/klagomålsmail/A 32111-2022 FSC-klagomål mail.docx", "A 32111-2022")</f>
        <v/>
      </c>
      <c r="X79">
        <f>HYPERLINK("https://klasma.github.io/Logging_0188/tillsyn/A 32111-2022 tillsynsbegäran.docx", "A 32111-2022")</f>
        <v/>
      </c>
      <c r="Y79">
        <f>HYPERLINK("https://klasma.github.io/Logging_0188/tillsynsmail/A 32111-2022 tillsynsbegäran mail.docx", "A 32111-2022")</f>
        <v/>
      </c>
    </row>
    <row r="80" ht="15" customHeight="1">
      <c r="A80" t="inlineStr">
        <is>
          <t>A 4385-2023</t>
        </is>
      </c>
      <c r="B80" s="1" t="n">
        <v>44955.71322916666</v>
      </c>
      <c r="C80" s="1" t="n">
        <v>45931</v>
      </c>
      <c r="D80" t="inlineStr">
        <is>
          <t>STOCKHOLMS LÄN</t>
        </is>
      </c>
      <c r="E80" t="inlineStr">
        <is>
          <t>NORRTÄLJE</t>
        </is>
      </c>
      <c r="G80" t="n">
        <v>7.8</v>
      </c>
      <c r="H80" t="n">
        <v>1</v>
      </c>
      <c r="I80" t="n">
        <v>1</v>
      </c>
      <c r="J80" t="n">
        <v>0</v>
      </c>
      <c r="K80" t="n">
        <v>0</v>
      </c>
      <c r="L80" t="n">
        <v>0</v>
      </c>
      <c r="M80" t="n">
        <v>0</v>
      </c>
      <c r="N80" t="n">
        <v>0</v>
      </c>
      <c r="O80" t="n">
        <v>0</v>
      </c>
      <c r="P80" t="n">
        <v>0</v>
      </c>
      <c r="Q80" t="n">
        <v>1</v>
      </c>
      <c r="R80" s="2" t="inlineStr">
        <is>
          <t>Skogsknipprot</t>
        </is>
      </c>
      <c r="S80">
        <f>HYPERLINK("https://klasma.github.io/Logging_0188/artfynd/A 4385-2023 artfynd.xlsx", "A 4385-2023")</f>
        <v/>
      </c>
      <c r="T80">
        <f>HYPERLINK("https://klasma.github.io/Logging_0188/kartor/A 4385-2023 karta.png", "A 4385-2023")</f>
        <v/>
      </c>
      <c r="V80">
        <f>HYPERLINK("https://klasma.github.io/Logging_0188/klagomål/A 4385-2023 FSC-klagomål.docx", "A 4385-2023")</f>
        <v/>
      </c>
      <c r="W80">
        <f>HYPERLINK("https://klasma.github.io/Logging_0188/klagomålsmail/A 4385-2023 FSC-klagomål mail.docx", "A 4385-2023")</f>
        <v/>
      </c>
      <c r="X80">
        <f>HYPERLINK("https://klasma.github.io/Logging_0188/tillsyn/A 4385-2023 tillsynsbegäran.docx", "A 4385-2023")</f>
        <v/>
      </c>
      <c r="Y80">
        <f>HYPERLINK("https://klasma.github.io/Logging_0188/tillsynsmail/A 4385-2023 tillsynsbegäran mail.docx", "A 4385-2023")</f>
        <v/>
      </c>
    </row>
    <row r="81" ht="15" customHeight="1">
      <c r="A81" t="inlineStr">
        <is>
          <t>A 24330-2023</t>
        </is>
      </c>
      <c r="B81" s="1" t="n">
        <v>45081</v>
      </c>
      <c r="C81" s="1" t="n">
        <v>45931</v>
      </c>
      <c r="D81" t="inlineStr">
        <is>
          <t>STOCKHOLMS LÄN</t>
        </is>
      </c>
      <c r="E81" t="inlineStr">
        <is>
          <t>NORRTÄLJE</t>
        </is>
      </c>
      <c r="G81" t="n">
        <v>5</v>
      </c>
      <c r="H81" t="n">
        <v>1</v>
      </c>
      <c r="I81" t="n">
        <v>0</v>
      </c>
      <c r="J81" t="n">
        <v>1</v>
      </c>
      <c r="K81" t="n">
        <v>0</v>
      </c>
      <c r="L81" t="n">
        <v>0</v>
      </c>
      <c r="M81" t="n">
        <v>0</v>
      </c>
      <c r="N81" t="n">
        <v>0</v>
      </c>
      <c r="O81" t="n">
        <v>1</v>
      </c>
      <c r="P81" t="n">
        <v>0</v>
      </c>
      <c r="Q81" t="n">
        <v>1</v>
      </c>
      <c r="R81" s="2" t="inlineStr">
        <is>
          <t>Mindre hackspett</t>
        </is>
      </c>
      <c r="S81">
        <f>HYPERLINK("https://klasma.github.io/Logging_0188/artfynd/A 24330-2023 artfynd.xlsx", "A 24330-2023")</f>
        <v/>
      </c>
      <c r="T81">
        <f>HYPERLINK("https://klasma.github.io/Logging_0188/kartor/A 24330-2023 karta.png", "A 24330-2023")</f>
        <v/>
      </c>
      <c r="V81">
        <f>HYPERLINK("https://klasma.github.io/Logging_0188/klagomål/A 24330-2023 FSC-klagomål.docx", "A 24330-2023")</f>
        <v/>
      </c>
      <c r="W81">
        <f>HYPERLINK("https://klasma.github.io/Logging_0188/klagomålsmail/A 24330-2023 FSC-klagomål mail.docx", "A 24330-2023")</f>
        <v/>
      </c>
      <c r="X81">
        <f>HYPERLINK("https://klasma.github.io/Logging_0188/tillsyn/A 24330-2023 tillsynsbegäran.docx", "A 24330-2023")</f>
        <v/>
      </c>
      <c r="Y81">
        <f>HYPERLINK("https://klasma.github.io/Logging_0188/tillsynsmail/A 24330-2023 tillsynsbegäran mail.docx", "A 24330-2023")</f>
        <v/>
      </c>
      <c r="Z81">
        <f>HYPERLINK("https://klasma.github.io/Logging_0188/fåglar/A 24330-2023 prioriterade fågelarter.docx", "A 24330-2023")</f>
        <v/>
      </c>
    </row>
    <row r="82" ht="15" customHeight="1">
      <c r="A82" t="inlineStr">
        <is>
          <t>A 24535-2023</t>
        </is>
      </c>
      <c r="B82" s="1" t="n">
        <v>45082</v>
      </c>
      <c r="C82" s="1" t="n">
        <v>45931</v>
      </c>
      <c r="D82" t="inlineStr">
        <is>
          <t>STOCKHOLMS LÄN</t>
        </is>
      </c>
      <c r="E82" t="inlineStr">
        <is>
          <t>NORRTÄLJE</t>
        </is>
      </c>
      <c r="F82" t="inlineStr">
        <is>
          <t>Kommuner</t>
        </is>
      </c>
      <c r="G82" t="n">
        <v>2</v>
      </c>
      <c r="H82" t="n">
        <v>1</v>
      </c>
      <c r="I82" t="n">
        <v>0</v>
      </c>
      <c r="J82" t="n">
        <v>0</v>
      </c>
      <c r="K82" t="n">
        <v>0</v>
      </c>
      <c r="L82" t="n">
        <v>0</v>
      </c>
      <c r="M82" t="n">
        <v>0</v>
      </c>
      <c r="N82" t="n">
        <v>0</v>
      </c>
      <c r="O82" t="n">
        <v>0</v>
      </c>
      <c r="P82" t="n">
        <v>0</v>
      </c>
      <c r="Q82" t="n">
        <v>1</v>
      </c>
      <c r="R82" s="2" t="inlineStr">
        <is>
          <t>Blåsippa</t>
        </is>
      </c>
      <c r="S82">
        <f>HYPERLINK("https://klasma.github.io/Logging_0188/artfynd/A 24535-2023 artfynd.xlsx", "A 24535-2023")</f>
        <v/>
      </c>
      <c r="T82">
        <f>HYPERLINK("https://klasma.github.io/Logging_0188/kartor/A 24535-2023 karta.png", "A 24535-2023")</f>
        <v/>
      </c>
      <c r="V82">
        <f>HYPERLINK("https://klasma.github.io/Logging_0188/klagomål/A 24535-2023 FSC-klagomål.docx", "A 24535-2023")</f>
        <v/>
      </c>
      <c r="W82">
        <f>HYPERLINK("https://klasma.github.io/Logging_0188/klagomålsmail/A 24535-2023 FSC-klagomål mail.docx", "A 24535-2023")</f>
        <v/>
      </c>
      <c r="X82">
        <f>HYPERLINK("https://klasma.github.io/Logging_0188/tillsyn/A 24535-2023 tillsynsbegäran.docx", "A 24535-2023")</f>
        <v/>
      </c>
      <c r="Y82">
        <f>HYPERLINK("https://klasma.github.io/Logging_0188/tillsynsmail/A 24535-2023 tillsynsbegäran mail.docx", "A 24535-2023")</f>
        <v/>
      </c>
    </row>
    <row r="83" ht="15" customHeight="1">
      <c r="A83" t="inlineStr">
        <is>
          <t>A 48131-2023</t>
        </is>
      </c>
      <c r="B83" s="1" t="n">
        <v>45205</v>
      </c>
      <c r="C83" s="1" t="n">
        <v>45931</v>
      </c>
      <c r="D83" t="inlineStr">
        <is>
          <t>STOCKHOLMS LÄN</t>
        </is>
      </c>
      <c r="E83" t="inlineStr">
        <is>
          <t>NORRTÄLJE</t>
        </is>
      </c>
      <c r="G83" t="n">
        <v>2.3</v>
      </c>
      <c r="H83" t="n">
        <v>0</v>
      </c>
      <c r="I83" t="n">
        <v>0</v>
      </c>
      <c r="J83" t="n">
        <v>1</v>
      </c>
      <c r="K83" t="n">
        <v>0</v>
      </c>
      <c r="L83" t="n">
        <v>0</v>
      </c>
      <c r="M83" t="n">
        <v>0</v>
      </c>
      <c r="N83" t="n">
        <v>0</v>
      </c>
      <c r="O83" t="n">
        <v>1</v>
      </c>
      <c r="P83" t="n">
        <v>0</v>
      </c>
      <c r="Q83" t="n">
        <v>1</v>
      </c>
      <c r="R83" s="2" t="inlineStr">
        <is>
          <t>Slåtterfibbla</t>
        </is>
      </c>
      <c r="S83">
        <f>HYPERLINK("https://klasma.github.io/Logging_0188/artfynd/A 48131-2023 artfynd.xlsx", "A 48131-2023")</f>
        <v/>
      </c>
      <c r="T83">
        <f>HYPERLINK("https://klasma.github.io/Logging_0188/kartor/A 48131-2023 karta.png", "A 48131-2023")</f>
        <v/>
      </c>
      <c r="V83">
        <f>HYPERLINK("https://klasma.github.io/Logging_0188/klagomål/A 48131-2023 FSC-klagomål.docx", "A 48131-2023")</f>
        <v/>
      </c>
      <c r="W83">
        <f>HYPERLINK("https://klasma.github.io/Logging_0188/klagomålsmail/A 48131-2023 FSC-klagomål mail.docx", "A 48131-2023")</f>
        <v/>
      </c>
      <c r="X83">
        <f>HYPERLINK("https://klasma.github.io/Logging_0188/tillsyn/A 48131-2023 tillsynsbegäran.docx", "A 48131-2023")</f>
        <v/>
      </c>
      <c r="Y83">
        <f>HYPERLINK("https://klasma.github.io/Logging_0188/tillsynsmail/A 48131-2023 tillsynsbegäran mail.docx", "A 48131-2023")</f>
        <v/>
      </c>
    </row>
    <row r="84" ht="15" customHeight="1">
      <c r="A84" t="inlineStr">
        <is>
          <t>A 26635-2023</t>
        </is>
      </c>
      <c r="B84" s="1" t="n">
        <v>45092</v>
      </c>
      <c r="C84" s="1" t="n">
        <v>45931</v>
      </c>
      <c r="D84" t="inlineStr">
        <is>
          <t>STOCKHOLMS LÄN</t>
        </is>
      </c>
      <c r="E84" t="inlineStr">
        <is>
          <t>NORRTÄLJE</t>
        </is>
      </c>
      <c r="G84" t="n">
        <v>3.1</v>
      </c>
      <c r="H84" t="n">
        <v>1</v>
      </c>
      <c r="I84" t="n">
        <v>0</v>
      </c>
      <c r="J84" t="n">
        <v>0</v>
      </c>
      <c r="K84" t="n">
        <v>0</v>
      </c>
      <c r="L84" t="n">
        <v>0</v>
      </c>
      <c r="M84" t="n">
        <v>0</v>
      </c>
      <c r="N84" t="n">
        <v>0</v>
      </c>
      <c r="O84" t="n">
        <v>0</v>
      </c>
      <c r="P84" t="n">
        <v>0</v>
      </c>
      <c r="Q84" t="n">
        <v>1</v>
      </c>
      <c r="R84" s="2" t="inlineStr">
        <is>
          <t>Fläcknycklar</t>
        </is>
      </c>
      <c r="S84">
        <f>HYPERLINK("https://klasma.github.io/Logging_0188/artfynd/A 26635-2023 artfynd.xlsx", "A 26635-2023")</f>
        <v/>
      </c>
      <c r="T84">
        <f>HYPERLINK("https://klasma.github.io/Logging_0188/kartor/A 26635-2023 karta.png", "A 26635-2023")</f>
        <v/>
      </c>
      <c r="V84">
        <f>HYPERLINK("https://klasma.github.io/Logging_0188/klagomål/A 26635-2023 FSC-klagomål.docx", "A 26635-2023")</f>
        <v/>
      </c>
      <c r="W84">
        <f>HYPERLINK("https://klasma.github.io/Logging_0188/klagomålsmail/A 26635-2023 FSC-klagomål mail.docx", "A 26635-2023")</f>
        <v/>
      </c>
      <c r="X84">
        <f>HYPERLINK("https://klasma.github.io/Logging_0188/tillsyn/A 26635-2023 tillsynsbegäran.docx", "A 26635-2023")</f>
        <v/>
      </c>
      <c r="Y84">
        <f>HYPERLINK("https://klasma.github.io/Logging_0188/tillsynsmail/A 26635-2023 tillsynsbegäran mail.docx", "A 26635-2023")</f>
        <v/>
      </c>
    </row>
    <row r="85" ht="15" customHeight="1">
      <c r="A85" t="inlineStr">
        <is>
          <t>A 47898-2022</t>
        </is>
      </c>
      <c r="B85" s="1" t="n">
        <v>44855</v>
      </c>
      <c r="C85" s="1" t="n">
        <v>45931</v>
      </c>
      <c r="D85" t="inlineStr">
        <is>
          <t>STOCKHOLMS LÄN</t>
        </is>
      </c>
      <c r="E85" t="inlineStr">
        <is>
          <t>NORRTÄLJE</t>
        </is>
      </c>
      <c r="G85" t="n">
        <v>6.7</v>
      </c>
      <c r="H85" t="n">
        <v>1</v>
      </c>
      <c r="I85" t="n">
        <v>1</v>
      </c>
      <c r="J85" t="n">
        <v>0</v>
      </c>
      <c r="K85" t="n">
        <v>0</v>
      </c>
      <c r="L85" t="n">
        <v>0</v>
      </c>
      <c r="M85" t="n">
        <v>0</v>
      </c>
      <c r="N85" t="n">
        <v>0</v>
      </c>
      <c r="O85" t="n">
        <v>0</v>
      </c>
      <c r="P85" t="n">
        <v>0</v>
      </c>
      <c r="Q85" t="n">
        <v>1</v>
      </c>
      <c r="R85" s="2" t="inlineStr">
        <is>
          <t>Guckusko</t>
        </is>
      </c>
      <c r="S85">
        <f>HYPERLINK("https://klasma.github.io/Logging_0188/artfynd/A 47898-2022 artfynd.xlsx", "A 47898-2022")</f>
        <v/>
      </c>
      <c r="T85">
        <f>HYPERLINK("https://klasma.github.io/Logging_0188/kartor/A 47898-2022 karta.png", "A 47898-2022")</f>
        <v/>
      </c>
      <c r="V85">
        <f>HYPERLINK("https://klasma.github.io/Logging_0188/klagomål/A 47898-2022 FSC-klagomål.docx", "A 47898-2022")</f>
        <v/>
      </c>
      <c r="W85">
        <f>HYPERLINK("https://klasma.github.io/Logging_0188/klagomålsmail/A 47898-2022 FSC-klagomål mail.docx", "A 47898-2022")</f>
        <v/>
      </c>
      <c r="X85">
        <f>HYPERLINK("https://klasma.github.io/Logging_0188/tillsyn/A 47898-2022 tillsynsbegäran.docx", "A 47898-2022")</f>
        <v/>
      </c>
      <c r="Y85">
        <f>HYPERLINK("https://klasma.github.io/Logging_0188/tillsynsmail/A 47898-2022 tillsynsbegäran mail.docx", "A 47898-2022")</f>
        <v/>
      </c>
    </row>
    <row r="86" ht="15" customHeight="1">
      <c r="A86" t="inlineStr">
        <is>
          <t>A 19829-2022</t>
        </is>
      </c>
      <c r="B86" s="1" t="n">
        <v>44695.43527777777</v>
      </c>
      <c r="C86" s="1" t="n">
        <v>45931</v>
      </c>
      <c r="D86" t="inlineStr">
        <is>
          <t>STOCKHOLMS LÄN</t>
        </is>
      </c>
      <c r="E86" t="inlineStr">
        <is>
          <t>NORRTÄLJE</t>
        </is>
      </c>
      <c r="G86" t="n">
        <v>2</v>
      </c>
      <c r="H86" t="n">
        <v>1</v>
      </c>
      <c r="I86" t="n">
        <v>1</v>
      </c>
      <c r="J86" t="n">
        <v>0</v>
      </c>
      <c r="K86" t="n">
        <v>0</v>
      </c>
      <c r="L86" t="n">
        <v>0</v>
      </c>
      <c r="M86" t="n">
        <v>0</v>
      </c>
      <c r="N86" t="n">
        <v>0</v>
      </c>
      <c r="O86" t="n">
        <v>0</v>
      </c>
      <c r="P86" t="n">
        <v>0</v>
      </c>
      <c r="Q86" t="n">
        <v>1</v>
      </c>
      <c r="R86" s="2" t="inlineStr">
        <is>
          <t>Guckusko</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4595-2023</t>
        </is>
      </c>
      <c r="B87" s="1" t="n">
        <v>44956</v>
      </c>
      <c r="C87" s="1" t="n">
        <v>45931</v>
      </c>
      <c r="D87" t="inlineStr">
        <is>
          <t>STOCKHOLMS LÄN</t>
        </is>
      </c>
      <c r="E87" t="inlineStr">
        <is>
          <t>NORRTÄLJE</t>
        </is>
      </c>
      <c r="G87" t="n">
        <v>0.6</v>
      </c>
      <c r="H87" t="n">
        <v>1</v>
      </c>
      <c r="I87" t="n">
        <v>0</v>
      </c>
      <c r="J87" t="n">
        <v>0</v>
      </c>
      <c r="K87" t="n">
        <v>0</v>
      </c>
      <c r="L87" t="n">
        <v>0</v>
      </c>
      <c r="M87" t="n">
        <v>0</v>
      </c>
      <c r="N87" t="n">
        <v>0</v>
      </c>
      <c r="O87" t="n">
        <v>0</v>
      </c>
      <c r="P87" t="n">
        <v>0</v>
      </c>
      <c r="Q87" t="n">
        <v>1</v>
      </c>
      <c r="R87" s="2" t="inlineStr">
        <is>
          <t>Blåsippa</t>
        </is>
      </c>
      <c r="S87">
        <f>HYPERLINK("https://klasma.github.io/Logging_0188/artfynd/A 4595-2023 artfynd.xlsx", "A 4595-2023")</f>
        <v/>
      </c>
      <c r="T87">
        <f>HYPERLINK("https://klasma.github.io/Logging_0188/kartor/A 4595-2023 karta.png", "A 4595-2023")</f>
        <v/>
      </c>
      <c r="V87">
        <f>HYPERLINK("https://klasma.github.io/Logging_0188/klagomål/A 4595-2023 FSC-klagomål.docx", "A 4595-2023")</f>
        <v/>
      </c>
      <c r="W87">
        <f>HYPERLINK("https://klasma.github.io/Logging_0188/klagomålsmail/A 4595-2023 FSC-klagomål mail.docx", "A 4595-2023")</f>
        <v/>
      </c>
      <c r="X87">
        <f>HYPERLINK("https://klasma.github.io/Logging_0188/tillsyn/A 4595-2023 tillsynsbegäran.docx", "A 4595-2023")</f>
        <v/>
      </c>
      <c r="Y87">
        <f>HYPERLINK("https://klasma.github.io/Logging_0188/tillsynsmail/A 4595-2023 tillsynsbegäran mail.docx", "A 4595-2023")</f>
        <v/>
      </c>
    </row>
    <row r="88" ht="15" customHeight="1">
      <c r="A88" t="inlineStr">
        <is>
          <t>A 27827-2022</t>
        </is>
      </c>
      <c r="B88" s="1" t="n">
        <v>44743.59504629629</v>
      </c>
      <c r="C88" s="1" t="n">
        <v>45931</v>
      </c>
      <c r="D88" t="inlineStr">
        <is>
          <t>STOCKHOLMS LÄN</t>
        </is>
      </c>
      <c r="E88" t="inlineStr">
        <is>
          <t>NORRTÄLJE</t>
        </is>
      </c>
      <c r="F88" t="inlineStr">
        <is>
          <t>Holmen skog AB</t>
        </is>
      </c>
      <c r="G88" t="n">
        <v>4.7</v>
      </c>
      <c r="H88" t="n">
        <v>1</v>
      </c>
      <c r="I88" t="n">
        <v>0</v>
      </c>
      <c r="J88" t="n">
        <v>1</v>
      </c>
      <c r="K88" t="n">
        <v>0</v>
      </c>
      <c r="L88" t="n">
        <v>0</v>
      </c>
      <c r="M88" t="n">
        <v>0</v>
      </c>
      <c r="N88" t="n">
        <v>0</v>
      </c>
      <c r="O88" t="n">
        <v>1</v>
      </c>
      <c r="P88" t="n">
        <v>0</v>
      </c>
      <c r="Q88" t="n">
        <v>1</v>
      </c>
      <c r="R88" s="2" t="inlineStr">
        <is>
          <t>Nordfladdermus</t>
        </is>
      </c>
      <c r="S88">
        <f>HYPERLINK("https://klasma.github.io/Logging_0188/artfynd/A 27827-2022 artfynd.xlsx", "A 27827-2022")</f>
        <v/>
      </c>
      <c r="T88">
        <f>HYPERLINK("https://klasma.github.io/Logging_0188/kartor/A 27827-2022 karta.png", "A 27827-2022")</f>
        <v/>
      </c>
      <c r="V88">
        <f>HYPERLINK("https://klasma.github.io/Logging_0188/klagomål/A 27827-2022 FSC-klagomål.docx", "A 27827-2022")</f>
        <v/>
      </c>
      <c r="W88">
        <f>HYPERLINK("https://klasma.github.io/Logging_0188/klagomålsmail/A 27827-2022 FSC-klagomål mail.docx", "A 27827-2022")</f>
        <v/>
      </c>
      <c r="X88">
        <f>HYPERLINK("https://klasma.github.io/Logging_0188/tillsyn/A 27827-2022 tillsynsbegäran.docx", "A 27827-2022")</f>
        <v/>
      </c>
      <c r="Y88">
        <f>HYPERLINK("https://klasma.github.io/Logging_0188/tillsynsmail/A 27827-2022 tillsynsbegäran mail.docx", "A 27827-2022")</f>
        <v/>
      </c>
    </row>
    <row r="89" ht="15" customHeight="1">
      <c r="A89" t="inlineStr">
        <is>
          <t>A 21927-2025</t>
        </is>
      </c>
      <c r="B89" s="1" t="n">
        <v>45784.54878472222</v>
      </c>
      <c r="C89" s="1" t="n">
        <v>45931</v>
      </c>
      <c r="D89" t="inlineStr">
        <is>
          <t>STOCKHOLMS LÄN</t>
        </is>
      </c>
      <c r="E89" t="inlineStr">
        <is>
          <t>NORRTÄLJE</t>
        </is>
      </c>
      <c r="G89" t="n">
        <v>3.4</v>
      </c>
      <c r="H89" t="n">
        <v>1</v>
      </c>
      <c r="I89" t="n">
        <v>1</v>
      </c>
      <c r="J89" t="n">
        <v>0</v>
      </c>
      <c r="K89" t="n">
        <v>0</v>
      </c>
      <c r="L89" t="n">
        <v>0</v>
      </c>
      <c r="M89" t="n">
        <v>0</v>
      </c>
      <c r="N89" t="n">
        <v>0</v>
      </c>
      <c r="O89" t="n">
        <v>0</v>
      </c>
      <c r="P89" t="n">
        <v>0</v>
      </c>
      <c r="Q89" t="n">
        <v>1</v>
      </c>
      <c r="R89" s="2" t="inlineStr">
        <is>
          <t>Nästrot</t>
        </is>
      </c>
      <c r="S89">
        <f>HYPERLINK("https://klasma.github.io/Logging_0188/artfynd/A 21927-2025 artfynd.xlsx", "A 21927-2025")</f>
        <v/>
      </c>
      <c r="T89">
        <f>HYPERLINK("https://klasma.github.io/Logging_0188/kartor/A 21927-2025 karta.png", "A 21927-2025")</f>
        <v/>
      </c>
      <c r="V89">
        <f>HYPERLINK("https://klasma.github.io/Logging_0188/klagomål/A 21927-2025 FSC-klagomål.docx", "A 21927-2025")</f>
        <v/>
      </c>
      <c r="W89">
        <f>HYPERLINK("https://klasma.github.io/Logging_0188/klagomålsmail/A 21927-2025 FSC-klagomål mail.docx", "A 21927-2025")</f>
        <v/>
      </c>
      <c r="X89">
        <f>HYPERLINK("https://klasma.github.io/Logging_0188/tillsyn/A 21927-2025 tillsynsbegäran.docx", "A 21927-2025")</f>
        <v/>
      </c>
      <c r="Y89">
        <f>HYPERLINK("https://klasma.github.io/Logging_0188/tillsynsmail/A 21927-2025 tillsynsbegäran mail.docx", "A 21927-2025")</f>
        <v/>
      </c>
    </row>
    <row r="90" ht="15" customHeight="1">
      <c r="A90" t="inlineStr">
        <is>
          <t>A 9955-2022</t>
        </is>
      </c>
      <c r="B90" s="1" t="n">
        <v>44620</v>
      </c>
      <c r="C90" s="1" t="n">
        <v>45931</v>
      </c>
      <c r="D90" t="inlineStr">
        <is>
          <t>STOCKHOLMS LÄN</t>
        </is>
      </c>
      <c r="E90" t="inlineStr">
        <is>
          <t>NORRTÄLJE</t>
        </is>
      </c>
      <c r="G90" t="n">
        <v>7.8</v>
      </c>
      <c r="H90" t="n">
        <v>1</v>
      </c>
      <c r="I90" t="n">
        <v>0</v>
      </c>
      <c r="J90" t="n">
        <v>0</v>
      </c>
      <c r="K90" t="n">
        <v>0</v>
      </c>
      <c r="L90" t="n">
        <v>0</v>
      </c>
      <c r="M90" t="n">
        <v>0</v>
      </c>
      <c r="N90" t="n">
        <v>0</v>
      </c>
      <c r="O90" t="n">
        <v>0</v>
      </c>
      <c r="P90" t="n">
        <v>0</v>
      </c>
      <c r="Q90" t="n">
        <v>1</v>
      </c>
      <c r="R90" s="2" t="inlineStr">
        <is>
          <t>Åkergroda</t>
        </is>
      </c>
      <c r="S90">
        <f>HYPERLINK("https://klasma.github.io/Logging_0188/artfynd/A 9955-2022 artfynd.xlsx", "A 9955-2022")</f>
        <v/>
      </c>
      <c r="T90">
        <f>HYPERLINK("https://klasma.github.io/Logging_0188/kartor/A 9955-2022 karta.png", "A 9955-2022")</f>
        <v/>
      </c>
      <c r="V90">
        <f>HYPERLINK("https://klasma.github.io/Logging_0188/klagomål/A 9955-2022 FSC-klagomål.docx", "A 9955-2022")</f>
        <v/>
      </c>
      <c r="W90">
        <f>HYPERLINK("https://klasma.github.io/Logging_0188/klagomålsmail/A 9955-2022 FSC-klagomål mail.docx", "A 9955-2022")</f>
        <v/>
      </c>
      <c r="X90">
        <f>HYPERLINK("https://klasma.github.io/Logging_0188/tillsyn/A 9955-2022 tillsynsbegäran.docx", "A 9955-2022")</f>
        <v/>
      </c>
      <c r="Y90">
        <f>HYPERLINK("https://klasma.github.io/Logging_0188/tillsynsmail/A 9955-2022 tillsynsbegäran mail.docx", "A 9955-2022")</f>
        <v/>
      </c>
    </row>
    <row r="91" ht="15" customHeight="1">
      <c r="A91" t="inlineStr">
        <is>
          <t>A 4860-2022</t>
        </is>
      </c>
      <c r="B91" s="1" t="n">
        <v>44592</v>
      </c>
      <c r="C91" s="1" t="n">
        <v>45931</v>
      </c>
      <c r="D91" t="inlineStr">
        <is>
          <t>STOCKHOLMS LÄN</t>
        </is>
      </c>
      <c r="E91" t="inlineStr">
        <is>
          <t>NORRTÄLJE</t>
        </is>
      </c>
      <c r="G91" t="n">
        <v>22.3</v>
      </c>
      <c r="H91" t="n">
        <v>0</v>
      </c>
      <c r="I91" t="n">
        <v>0</v>
      </c>
      <c r="J91" t="n">
        <v>1</v>
      </c>
      <c r="K91" t="n">
        <v>0</v>
      </c>
      <c r="L91" t="n">
        <v>0</v>
      </c>
      <c r="M91" t="n">
        <v>0</v>
      </c>
      <c r="N91" t="n">
        <v>0</v>
      </c>
      <c r="O91" t="n">
        <v>1</v>
      </c>
      <c r="P91" t="n">
        <v>0</v>
      </c>
      <c r="Q91" t="n">
        <v>1</v>
      </c>
      <c r="R91" s="2" t="inlineStr">
        <is>
          <t>Igelkott</t>
        </is>
      </c>
      <c r="S91">
        <f>HYPERLINK("https://klasma.github.io/Logging_0188/artfynd/A 4860-2022 artfynd.xlsx", "A 4860-2022")</f>
        <v/>
      </c>
      <c r="T91">
        <f>HYPERLINK("https://klasma.github.io/Logging_0188/kartor/A 4860-2022 karta.png", "A 4860-2022")</f>
        <v/>
      </c>
      <c r="V91">
        <f>HYPERLINK("https://klasma.github.io/Logging_0188/klagomål/A 4860-2022 FSC-klagomål.docx", "A 4860-2022")</f>
        <v/>
      </c>
      <c r="W91">
        <f>HYPERLINK("https://klasma.github.io/Logging_0188/klagomålsmail/A 4860-2022 FSC-klagomål mail.docx", "A 4860-2022")</f>
        <v/>
      </c>
      <c r="X91">
        <f>HYPERLINK("https://klasma.github.io/Logging_0188/tillsyn/A 4860-2022 tillsynsbegäran.docx", "A 4860-2022")</f>
        <v/>
      </c>
      <c r="Y91">
        <f>HYPERLINK("https://klasma.github.io/Logging_0188/tillsynsmail/A 4860-2022 tillsynsbegäran mail.docx", "A 4860-2022")</f>
        <v/>
      </c>
    </row>
    <row r="92" ht="15" customHeight="1">
      <c r="A92" t="inlineStr">
        <is>
          <t>A 23905-2025</t>
        </is>
      </c>
      <c r="B92" s="1" t="n">
        <v>45794.63298611111</v>
      </c>
      <c r="C92" s="1" t="n">
        <v>45931</v>
      </c>
      <c r="D92" t="inlineStr">
        <is>
          <t>STOCKHOLMS LÄN</t>
        </is>
      </c>
      <c r="E92" t="inlineStr">
        <is>
          <t>NORRTÄLJE</t>
        </is>
      </c>
      <c r="G92" t="n">
        <v>8.4</v>
      </c>
      <c r="H92" t="n">
        <v>1</v>
      </c>
      <c r="I92" t="n">
        <v>0</v>
      </c>
      <c r="J92" t="n">
        <v>0</v>
      </c>
      <c r="K92" t="n">
        <v>0</v>
      </c>
      <c r="L92" t="n">
        <v>0</v>
      </c>
      <c r="M92" t="n">
        <v>0</v>
      </c>
      <c r="N92" t="n">
        <v>0</v>
      </c>
      <c r="O92" t="n">
        <v>0</v>
      </c>
      <c r="P92" t="n">
        <v>0</v>
      </c>
      <c r="Q92" t="n">
        <v>1</v>
      </c>
      <c r="R92" s="2" t="inlineStr">
        <is>
          <t>Blåsippa</t>
        </is>
      </c>
      <c r="S92">
        <f>HYPERLINK("https://klasma.github.io/Logging_0188/artfynd/A 23905-2025 artfynd.xlsx", "A 23905-2025")</f>
        <v/>
      </c>
      <c r="T92">
        <f>HYPERLINK("https://klasma.github.io/Logging_0188/kartor/A 23905-2025 karta.png", "A 23905-2025")</f>
        <v/>
      </c>
      <c r="V92">
        <f>HYPERLINK("https://klasma.github.io/Logging_0188/klagomål/A 23905-2025 FSC-klagomål.docx", "A 23905-2025")</f>
        <v/>
      </c>
      <c r="W92">
        <f>HYPERLINK("https://klasma.github.io/Logging_0188/klagomålsmail/A 23905-2025 FSC-klagomål mail.docx", "A 23905-2025")</f>
        <v/>
      </c>
      <c r="X92">
        <f>HYPERLINK("https://klasma.github.io/Logging_0188/tillsyn/A 23905-2025 tillsynsbegäran.docx", "A 23905-2025")</f>
        <v/>
      </c>
      <c r="Y92">
        <f>HYPERLINK("https://klasma.github.io/Logging_0188/tillsynsmail/A 23905-2025 tillsynsbegäran mail.docx", "A 23905-2025")</f>
        <v/>
      </c>
    </row>
    <row r="93" ht="15" customHeight="1">
      <c r="A93" t="inlineStr">
        <is>
          <t>A 4532-2025</t>
        </is>
      </c>
      <c r="B93" s="1" t="n">
        <v>45687.34177083334</v>
      </c>
      <c r="C93" s="1" t="n">
        <v>45931</v>
      </c>
      <c r="D93" t="inlineStr">
        <is>
          <t>STOCKHOLMS LÄN</t>
        </is>
      </c>
      <c r="E93" t="inlineStr">
        <is>
          <t>NORRTÄLJE</t>
        </is>
      </c>
      <c r="F93" t="inlineStr">
        <is>
          <t>Holmen skog AB</t>
        </is>
      </c>
      <c r="G93" t="n">
        <v>6.4</v>
      </c>
      <c r="H93" t="n">
        <v>1</v>
      </c>
      <c r="I93" t="n">
        <v>0</v>
      </c>
      <c r="J93" t="n">
        <v>0</v>
      </c>
      <c r="K93" t="n">
        <v>0</v>
      </c>
      <c r="L93" t="n">
        <v>1</v>
      </c>
      <c r="M93" t="n">
        <v>0</v>
      </c>
      <c r="N93" t="n">
        <v>0</v>
      </c>
      <c r="O93" t="n">
        <v>1</v>
      </c>
      <c r="P93" t="n">
        <v>1</v>
      </c>
      <c r="Q93" t="n">
        <v>1</v>
      </c>
      <c r="R93" s="2" t="inlineStr">
        <is>
          <t>Asknätfjäril</t>
        </is>
      </c>
      <c r="S93">
        <f>HYPERLINK("https://klasma.github.io/Logging_0188/artfynd/A 4532-2025 artfynd.xlsx", "A 4532-2025")</f>
        <v/>
      </c>
      <c r="T93">
        <f>HYPERLINK("https://klasma.github.io/Logging_0188/kartor/A 4532-2025 karta.png", "A 4532-2025")</f>
        <v/>
      </c>
      <c r="V93">
        <f>HYPERLINK("https://klasma.github.io/Logging_0188/klagomål/A 4532-2025 FSC-klagomål.docx", "A 4532-2025")</f>
        <v/>
      </c>
      <c r="W93">
        <f>HYPERLINK("https://klasma.github.io/Logging_0188/klagomålsmail/A 4532-2025 FSC-klagomål mail.docx", "A 4532-2025")</f>
        <v/>
      </c>
      <c r="X93">
        <f>HYPERLINK("https://klasma.github.io/Logging_0188/tillsyn/A 4532-2025 tillsynsbegäran.docx", "A 4532-2025")</f>
        <v/>
      </c>
      <c r="Y93">
        <f>HYPERLINK("https://klasma.github.io/Logging_0188/tillsynsmail/A 4532-2025 tillsynsbegäran mail.docx", "A 4532-2025")</f>
        <v/>
      </c>
    </row>
    <row r="94" ht="15" customHeight="1">
      <c r="A94" t="inlineStr">
        <is>
          <t>A 25687-2025</t>
        </is>
      </c>
      <c r="B94" s="1" t="n">
        <v>45800</v>
      </c>
      <c r="C94" s="1" t="n">
        <v>45931</v>
      </c>
      <c r="D94" t="inlineStr">
        <is>
          <t>STOCKHOLMS LÄN</t>
        </is>
      </c>
      <c r="E94" t="inlineStr">
        <is>
          <t>NORRTÄLJE</t>
        </is>
      </c>
      <c r="G94" t="n">
        <v>15.7</v>
      </c>
      <c r="H94" t="n">
        <v>0</v>
      </c>
      <c r="I94" t="n">
        <v>1</v>
      </c>
      <c r="J94" t="n">
        <v>0</v>
      </c>
      <c r="K94" t="n">
        <v>0</v>
      </c>
      <c r="L94" t="n">
        <v>0</v>
      </c>
      <c r="M94" t="n">
        <v>0</v>
      </c>
      <c r="N94" t="n">
        <v>0</v>
      </c>
      <c r="O94" t="n">
        <v>0</v>
      </c>
      <c r="P94" t="n">
        <v>0</v>
      </c>
      <c r="Q94" t="n">
        <v>1</v>
      </c>
      <c r="R94" s="2" t="inlineStr">
        <is>
          <t>Grönpyrola</t>
        </is>
      </c>
      <c r="S94">
        <f>HYPERLINK("https://klasma.github.io/Logging_0188/artfynd/A 25687-2025 artfynd.xlsx", "A 25687-2025")</f>
        <v/>
      </c>
      <c r="T94">
        <f>HYPERLINK("https://klasma.github.io/Logging_0188/kartor/A 25687-2025 karta.png", "A 25687-2025")</f>
        <v/>
      </c>
      <c r="V94">
        <f>HYPERLINK("https://klasma.github.io/Logging_0188/klagomål/A 25687-2025 FSC-klagomål.docx", "A 25687-2025")</f>
        <v/>
      </c>
      <c r="W94">
        <f>HYPERLINK("https://klasma.github.io/Logging_0188/klagomålsmail/A 25687-2025 FSC-klagomål mail.docx", "A 25687-2025")</f>
        <v/>
      </c>
      <c r="X94">
        <f>HYPERLINK("https://klasma.github.io/Logging_0188/tillsyn/A 25687-2025 tillsynsbegäran.docx", "A 25687-2025")</f>
        <v/>
      </c>
      <c r="Y94">
        <f>HYPERLINK("https://klasma.github.io/Logging_0188/tillsynsmail/A 25687-2025 tillsynsbegäran mail.docx", "A 25687-2025")</f>
        <v/>
      </c>
    </row>
    <row r="95" ht="15" customHeight="1">
      <c r="A95" t="inlineStr">
        <is>
          <t>A 35649-2023</t>
        </is>
      </c>
      <c r="B95" s="1" t="n">
        <v>45146</v>
      </c>
      <c r="C95" s="1" t="n">
        <v>45931</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45931</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45931</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16870-2025</t>
        </is>
      </c>
      <c r="B98" s="1" t="n">
        <v>45754</v>
      </c>
      <c r="C98" s="1" t="n">
        <v>45931</v>
      </c>
      <c r="D98" t="inlineStr">
        <is>
          <t>STOCKHOLMS LÄN</t>
        </is>
      </c>
      <c r="E98" t="inlineStr">
        <is>
          <t>NORRTÄLJE</t>
        </is>
      </c>
      <c r="G98" t="n">
        <v>24.6</v>
      </c>
      <c r="H98" t="n">
        <v>1</v>
      </c>
      <c r="I98" t="n">
        <v>0</v>
      </c>
      <c r="J98" t="n">
        <v>0</v>
      </c>
      <c r="K98" t="n">
        <v>0</v>
      </c>
      <c r="L98" t="n">
        <v>0</v>
      </c>
      <c r="M98" t="n">
        <v>0</v>
      </c>
      <c r="N98" t="n">
        <v>0</v>
      </c>
      <c r="O98" t="n">
        <v>0</v>
      </c>
      <c r="P98" t="n">
        <v>0</v>
      </c>
      <c r="Q98" t="n">
        <v>1</v>
      </c>
      <c r="R98" s="2" t="inlineStr">
        <is>
          <t>Vanlig groda</t>
        </is>
      </c>
      <c r="S98">
        <f>HYPERLINK("https://klasma.github.io/Logging_0188/artfynd/A 16870-2025 artfynd.xlsx", "A 16870-2025")</f>
        <v/>
      </c>
      <c r="T98">
        <f>HYPERLINK("https://klasma.github.io/Logging_0188/kartor/A 16870-2025 karta.png", "A 16870-2025")</f>
        <v/>
      </c>
      <c r="V98">
        <f>HYPERLINK("https://klasma.github.io/Logging_0188/klagomål/A 16870-2025 FSC-klagomål.docx", "A 16870-2025")</f>
        <v/>
      </c>
      <c r="W98">
        <f>HYPERLINK("https://klasma.github.io/Logging_0188/klagomålsmail/A 16870-2025 FSC-klagomål mail.docx", "A 16870-2025")</f>
        <v/>
      </c>
      <c r="X98">
        <f>HYPERLINK("https://klasma.github.io/Logging_0188/tillsyn/A 16870-2025 tillsynsbegäran.docx", "A 16870-2025")</f>
        <v/>
      </c>
      <c r="Y98">
        <f>HYPERLINK("https://klasma.github.io/Logging_0188/tillsynsmail/A 16870-2025 tillsynsbegäran mail.docx", "A 16870-2025")</f>
        <v/>
      </c>
    </row>
    <row r="99" ht="15" customHeight="1">
      <c r="A99" t="inlineStr">
        <is>
          <t>A 6381-2023</t>
        </is>
      </c>
      <c r="B99" s="1" t="n">
        <v>44965</v>
      </c>
      <c r="C99" s="1" t="n">
        <v>45931</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58888-2021</t>
        </is>
      </c>
      <c r="B100" s="1" t="n">
        <v>44489</v>
      </c>
      <c r="C100" s="1" t="n">
        <v>45931</v>
      </c>
      <c r="D100" t="inlineStr">
        <is>
          <t>STOCKHOLMS LÄN</t>
        </is>
      </c>
      <c r="E100" t="inlineStr">
        <is>
          <t>NORRTÄLJE</t>
        </is>
      </c>
      <c r="F100" t="inlineStr">
        <is>
          <t>Holmen skog AB</t>
        </is>
      </c>
      <c r="G100" t="n">
        <v>2.5</v>
      </c>
      <c r="H100" t="n">
        <v>1</v>
      </c>
      <c r="I100" t="n">
        <v>0</v>
      </c>
      <c r="J100" t="n">
        <v>0</v>
      </c>
      <c r="K100" t="n">
        <v>0</v>
      </c>
      <c r="L100" t="n">
        <v>1</v>
      </c>
      <c r="M100" t="n">
        <v>0</v>
      </c>
      <c r="N100" t="n">
        <v>0</v>
      </c>
      <c r="O100" t="n">
        <v>1</v>
      </c>
      <c r="P100" t="n">
        <v>1</v>
      </c>
      <c r="Q100" t="n">
        <v>1</v>
      </c>
      <c r="R100" s="2" t="inlineStr">
        <is>
          <t>Asknätfjäril</t>
        </is>
      </c>
      <c r="S100">
        <f>HYPERLINK("https://klasma.github.io/Logging_0188/artfynd/A 58888-2021 artfynd.xlsx", "A 58888-2021")</f>
        <v/>
      </c>
      <c r="T100">
        <f>HYPERLINK("https://klasma.github.io/Logging_0188/kartor/A 58888-2021 karta.png", "A 58888-2021")</f>
        <v/>
      </c>
      <c r="V100">
        <f>HYPERLINK("https://klasma.github.io/Logging_0188/klagomål/A 58888-2021 FSC-klagomål.docx", "A 58888-2021")</f>
        <v/>
      </c>
      <c r="W100">
        <f>HYPERLINK("https://klasma.github.io/Logging_0188/klagomålsmail/A 58888-2021 FSC-klagomål mail.docx", "A 58888-2021")</f>
        <v/>
      </c>
      <c r="X100">
        <f>HYPERLINK("https://klasma.github.io/Logging_0188/tillsyn/A 58888-2021 tillsynsbegäran.docx", "A 58888-2021")</f>
        <v/>
      </c>
      <c r="Y100">
        <f>HYPERLINK("https://klasma.github.io/Logging_0188/tillsynsmail/A 58888-2021 tillsynsbegäran mail.docx", "A 58888-2021")</f>
        <v/>
      </c>
    </row>
    <row r="101" ht="15" customHeight="1">
      <c r="A101" t="inlineStr">
        <is>
          <t>A 29946-2025</t>
        </is>
      </c>
      <c r="B101" s="1" t="n">
        <v>45826.46392361111</v>
      </c>
      <c r="C101" s="1" t="n">
        <v>45931</v>
      </c>
      <c r="D101" t="inlineStr">
        <is>
          <t>STOCKHOLMS LÄN</t>
        </is>
      </c>
      <c r="E101" t="inlineStr">
        <is>
          <t>NORRTÄLJE</t>
        </is>
      </c>
      <c r="F101" t="inlineStr">
        <is>
          <t>Holmen skog AB</t>
        </is>
      </c>
      <c r="G101" t="n">
        <v>3.6</v>
      </c>
      <c r="H101" t="n">
        <v>1</v>
      </c>
      <c r="I101" t="n">
        <v>0</v>
      </c>
      <c r="J101" t="n">
        <v>0</v>
      </c>
      <c r="K101" t="n">
        <v>0</v>
      </c>
      <c r="L101" t="n">
        <v>1</v>
      </c>
      <c r="M101" t="n">
        <v>0</v>
      </c>
      <c r="N101" t="n">
        <v>0</v>
      </c>
      <c r="O101" t="n">
        <v>1</v>
      </c>
      <c r="P101" t="n">
        <v>1</v>
      </c>
      <c r="Q101" t="n">
        <v>1</v>
      </c>
      <c r="R101" s="2" t="inlineStr">
        <is>
          <t>Asknätfjäril</t>
        </is>
      </c>
      <c r="S101">
        <f>HYPERLINK("https://klasma.github.io/Logging_0188/artfynd/A 29946-2025 artfynd.xlsx", "A 29946-2025")</f>
        <v/>
      </c>
      <c r="T101">
        <f>HYPERLINK("https://klasma.github.io/Logging_0188/kartor/A 29946-2025 karta.png", "A 29946-2025")</f>
        <v/>
      </c>
      <c r="V101">
        <f>HYPERLINK("https://klasma.github.io/Logging_0188/klagomål/A 29946-2025 FSC-klagomål.docx", "A 29946-2025")</f>
        <v/>
      </c>
      <c r="W101">
        <f>HYPERLINK("https://klasma.github.io/Logging_0188/klagomålsmail/A 29946-2025 FSC-klagomål mail.docx", "A 29946-2025")</f>
        <v/>
      </c>
      <c r="X101">
        <f>HYPERLINK("https://klasma.github.io/Logging_0188/tillsyn/A 29946-2025 tillsynsbegäran.docx", "A 29946-2025")</f>
        <v/>
      </c>
      <c r="Y101">
        <f>HYPERLINK("https://klasma.github.io/Logging_0188/tillsynsmail/A 29946-2025 tillsynsbegäran mail.docx", "A 29946-2025")</f>
        <v/>
      </c>
    </row>
    <row r="102" ht="15" customHeight="1">
      <c r="A102" t="inlineStr">
        <is>
          <t>A 14365-2025</t>
        </is>
      </c>
      <c r="B102" s="1" t="n">
        <v>45741.38688657407</v>
      </c>
      <c r="C102" s="1" t="n">
        <v>45931</v>
      </c>
      <c r="D102" t="inlineStr">
        <is>
          <t>STOCKHOLMS LÄN</t>
        </is>
      </c>
      <c r="E102" t="inlineStr">
        <is>
          <t>NORRTÄLJE</t>
        </is>
      </c>
      <c r="G102" t="n">
        <v>2.4</v>
      </c>
      <c r="H102" t="n">
        <v>0</v>
      </c>
      <c r="I102" t="n">
        <v>0</v>
      </c>
      <c r="J102" t="n">
        <v>1</v>
      </c>
      <c r="K102" t="n">
        <v>0</v>
      </c>
      <c r="L102" t="n">
        <v>0</v>
      </c>
      <c r="M102" t="n">
        <v>0</v>
      </c>
      <c r="N102" t="n">
        <v>0</v>
      </c>
      <c r="O102" t="n">
        <v>1</v>
      </c>
      <c r="P102" t="n">
        <v>0</v>
      </c>
      <c r="Q102" t="n">
        <v>1</v>
      </c>
      <c r="R102" s="2" t="inlineStr">
        <is>
          <t>Granticka</t>
        </is>
      </c>
      <c r="S102">
        <f>HYPERLINK("https://klasma.github.io/Logging_0188/artfynd/A 14365-2025 artfynd.xlsx", "A 14365-2025")</f>
        <v/>
      </c>
      <c r="T102">
        <f>HYPERLINK("https://klasma.github.io/Logging_0188/kartor/A 14365-2025 karta.png", "A 14365-2025")</f>
        <v/>
      </c>
      <c r="V102">
        <f>HYPERLINK("https://klasma.github.io/Logging_0188/klagomål/A 14365-2025 FSC-klagomål.docx", "A 14365-2025")</f>
        <v/>
      </c>
      <c r="W102">
        <f>HYPERLINK("https://klasma.github.io/Logging_0188/klagomålsmail/A 14365-2025 FSC-klagomål mail.docx", "A 14365-2025")</f>
        <v/>
      </c>
      <c r="X102">
        <f>HYPERLINK("https://klasma.github.io/Logging_0188/tillsyn/A 14365-2025 tillsynsbegäran.docx", "A 14365-2025")</f>
        <v/>
      </c>
      <c r="Y102">
        <f>HYPERLINK("https://klasma.github.io/Logging_0188/tillsynsmail/A 14365-2025 tillsynsbegäran mail.docx", "A 14365-2025")</f>
        <v/>
      </c>
    </row>
    <row r="103" ht="15" customHeight="1">
      <c r="A103" t="inlineStr">
        <is>
          <t>A 21150-2022</t>
        </is>
      </c>
      <c r="B103" s="1" t="n">
        <v>44704</v>
      </c>
      <c r="C103" s="1" t="n">
        <v>45931</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21150-2022 artfynd.xlsx", "A 21150-2022")</f>
        <v/>
      </c>
      <c r="T103">
        <f>HYPERLINK("https://klasma.github.io/Logging_0188/kartor/A 21150-2022 karta.png", "A 21150-2022")</f>
        <v/>
      </c>
      <c r="V103">
        <f>HYPERLINK("https://klasma.github.io/Logging_0188/klagomål/A 21150-2022 FSC-klagomål.docx", "A 21150-2022")</f>
        <v/>
      </c>
      <c r="W103">
        <f>HYPERLINK("https://klasma.github.io/Logging_0188/klagomålsmail/A 21150-2022 FSC-klagomål mail.docx", "A 21150-2022")</f>
        <v/>
      </c>
      <c r="X103">
        <f>HYPERLINK("https://klasma.github.io/Logging_0188/tillsyn/A 21150-2022 tillsynsbegäran.docx", "A 21150-2022")</f>
        <v/>
      </c>
      <c r="Y103">
        <f>HYPERLINK("https://klasma.github.io/Logging_0188/tillsynsmail/A 21150-2022 tillsynsbegäran mail.docx", "A 21150-2022")</f>
        <v/>
      </c>
    </row>
    <row r="104" ht="15" customHeight="1">
      <c r="A104" t="inlineStr">
        <is>
          <t>A 1162-2021</t>
        </is>
      </c>
      <c r="B104" s="1" t="n">
        <v>44207</v>
      </c>
      <c r="C104" s="1" t="n">
        <v>45931</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33548-2025</t>
        </is>
      </c>
      <c r="B105" s="1" t="n">
        <v>45841.5721875</v>
      </c>
      <c r="C105" s="1" t="n">
        <v>45931</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45931</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39158-2025</t>
        </is>
      </c>
      <c r="B107" s="1" t="n">
        <v>45888.62712962963</v>
      </c>
      <c r="C107" s="1" t="n">
        <v>45931</v>
      </c>
      <c r="D107" t="inlineStr">
        <is>
          <t>STOCKHOLMS LÄN</t>
        </is>
      </c>
      <c r="E107" t="inlineStr">
        <is>
          <t>NORRTÄLJE</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HYPERLINK("https://klasma.github.io/Logging_0188/artfynd/A 39158-2025 artfynd.xlsx", "A 39158-2025")</f>
        <v/>
      </c>
      <c r="T107">
        <f>HYPERLINK("https://klasma.github.io/Logging_0188/kartor/A 39158-2025 karta.png", "A 39158-2025")</f>
        <v/>
      </c>
      <c r="V107">
        <f>HYPERLINK("https://klasma.github.io/Logging_0188/klagomål/A 39158-2025 FSC-klagomål.docx", "A 39158-2025")</f>
        <v/>
      </c>
      <c r="W107">
        <f>HYPERLINK("https://klasma.github.io/Logging_0188/klagomålsmail/A 39158-2025 FSC-klagomål mail.docx", "A 39158-2025")</f>
        <v/>
      </c>
      <c r="X107">
        <f>HYPERLINK("https://klasma.github.io/Logging_0188/tillsyn/A 39158-2025 tillsynsbegäran.docx", "A 39158-2025")</f>
        <v/>
      </c>
      <c r="Y107">
        <f>HYPERLINK("https://klasma.github.io/Logging_0188/tillsynsmail/A 39158-2025 tillsynsbegäran mail.docx", "A 39158-2025")</f>
        <v/>
      </c>
    </row>
    <row r="108" ht="15" customHeight="1">
      <c r="A108" t="inlineStr">
        <is>
          <t>A 26120-2024</t>
        </is>
      </c>
      <c r="B108" s="1" t="n">
        <v>45468.45995370371</v>
      </c>
      <c r="C108" s="1" t="n">
        <v>45931</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11429-2023</t>
        </is>
      </c>
      <c r="B109" s="1" t="n">
        <v>44993</v>
      </c>
      <c r="C109" s="1" t="n">
        <v>45931</v>
      </c>
      <c r="D109" t="inlineStr">
        <is>
          <t>STOCKHOLMS LÄN</t>
        </is>
      </c>
      <c r="E109" t="inlineStr">
        <is>
          <t>NORRTÄLJE</t>
        </is>
      </c>
      <c r="G109" t="n">
        <v>2</v>
      </c>
      <c r="H109" t="n">
        <v>0</v>
      </c>
      <c r="I109" t="n">
        <v>0</v>
      </c>
      <c r="J109" t="n">
        <v>1</v>
      </c>
      <c r="K109" t="n">
        <v>0</v>
      </c>
      <c r="L109" t="n">
        <v>0</v>
      </c>
      <c r="M109" t="n">
        <v>0</v>
      </c>
      <c r="N109" t="n">
        <v>0</v>
      </c>
      <c r="O109" t="n">
        <v>1</v>
      </c>
      <c r="P109" t="n">
        <v>0</v>
      </c>
      <c r="Q109" t="n">
        <v>1</v>
      </c>
      <c r="R109" s="2" t="inlineStr">
        <is>
          <t>Skogsklocka</t>
        </is>
      </c>
      <c r="S109">
        <f>HYPERLINK("https://klasma.github.io/Logging_0188/artfynd/A 11429-2023 artfynd.xlsx", "A 11429-2023")</f>
        <v/>
      </c>
      <c r="T109">
        <f>HYPERLINK("https://klasma.github.io/Logging_0188/kartor/A 11429-2023 karta.png", "A 11429-2023")</f>
        <v/>
      </c>
      <c r="V109">
        <f>HYPERLINK("https://klasma.github.io/Logging_0188/klagomål/A 11429-2023 FSC-klagomål.docx", "A 11429-2023")</f>
        <v/>
      </c>
      <c r="W109">
        <f>HYPERLINK("https://klasma.github.io/Logging_0188/klagomålsmail/A 11429-2023 FSC-klagomål mail.docx", "A 11429-2023")</f>
        <v/>
      </c>
      <c r="X109">
        <f>HYPERLINK("https://klasma.github.io/Logging_0188/tillsyn/A 11429-2023 tillsynsbegäran.docx", "A 11429-2023")</f>
        <v/>
      </c>
      <c r="Y109">
        <f>HYPERLINK("https://klasma.github.io/Logging_0188/tillsynsmail/A 11429-2023 tillsynsbegäran mail.docx", "A 11429-2023")</f>
        <v/>
      </c>
    </row>
    <row r="110" ht="15" customHeight="1">
      <c r="A110" t="inlineStr">
        <is>
          <t>A 21744-2023</t>
        </is>
      </c>
      <c r="B110" s="1" t="n">
        <v>45065</v>
      </c>
      <c r="C110" s="1" t="n">
        <v>45931</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40861-2025</t>
        </is>
      </c>
      <c r="B111" s="1" t="n">
        <v>45897.56356481482</v>
      </c>
      <c r="C111" s="1" t="n">
        <v>45931</v>
      </c>
      <c r="D111" t="inlineStr">
        <is>
          <t>STOCKHOLMS LÄN</t>
        </is>
      </c>
      <c r="E111" t="inlineStr">
        <is>
          <t>NORRTÄLJE</t>
        </is>
      </c>
      <c r="G111" t="n">
        <v>4</v>
      </c>
      <c r="H111" t="n">
        <v>0</v>
      </c>
      <c r="I111" t="n">
        <v>0</v>
      </c>
      <c r="J111" t="n">
        <v>1</v>
      </c>
      <c r="K111" t="n">
        <v>0</v>
      </c>
      <c r="L111" t="n">
        <v>0</v>
      </c>
      <c r="M111" t="n">
        <v>0</v>
      </c>
      <c r="N111" t="n">
        <v>0</v>
      </c>
      <c r="O111" t="n">
        <v>1</v>
      </c>
      <c r="P111" t="n">
        <v>0</v>
      </c>
      <c r="Q111" t="n">
        <v>1</v>
      </c>
      <c r="R111" s="2" t="inlineStr">
        <is>
          <t>Skogsklocka</t>
        </is>
      </c>
      <c r="S111">
        <f>HYPERLINK("https://klasma.github.io/Logging_0188/artfynd/A 40861-2025 artfynd.xlsx", "A 40861-2025")</f>
        <v/>
      </c>
      <c r="T111">
        <f>HYPERLINK("https://klasma.github.io/Logging_0188/kartor/A 40861-2025 karta.png", "A 40861-2025")</f>
        <v/>
      </c>
      <c r="V111">
        <f>HYPERLINK("https://klasma.github.io/Logging_0188/klagomål/A 40861-2025 FSC-klagomål.docx", "A 40861-2025")</f>
        <v/>
      </c>
      <c r="W111">
        <f>HYPERLINK("https://klasma.github.io/Logging_0188/klagomålsmail/A 40861-2025 FSC-klagomål mail.docx", "A 40861-2025")</f>
        <v/>
      </c>
      <c r="X111">
        <f>HYPERLINK("https://klasma.github.io/Logging_0188/tillsyn/A 40861-2025 tillsynsbegäran.docx", "A 40861-2025")</f>
        <v/>
      </c>
      <c r="Y111">
        <f>HYPERLINK("https://klasma.github.io/Logging_0188/tillsynsmail/A 40861-2025 tillsynsbegäran mail.docx", "A 40861-2025")</f>
        <v/>
      </c>
    </row>
    <row r="112" ht="15" customHeight="1">
      <c r="A112" t="inlineStr">
        <is>
          <t>A 50854-2022</t>
        </is>
      </c>
      <c r="B112" s="1" t="n">
        <v>44863</v>
      </c>
      <c r="C112" s="1" t="n">
        <v>45931</v>
      </c>
      <c r="D112" t="inlineStr">
        <is>
          <t>STOCKHOLMS LÄN</t>
        </is>
      </c>
      <c r="E112" t="inlineStr">
        <is>
          <t>NORRTÄLJE</t>
        </is>
      </c>
      <c r="G112" t="n">
        <v>2.9</v>
      </c>
      <c r="H112" t="n">
        <v>0</v>
      </c>
      <c r="I112" t="n">
        <v>1</v>
      </c>
      <c r="J112" t="n">
        <v>0</v>
      </c>
      <c r="K112" t="n">
        <v>0</v>
      </c>
      <c r="L112" t="n">
        <v>0</v>
      </c>
      <c r="M112" t="n">
        <v>0</v>
      </c>
      <c r="N112" t="n">
        <v>0</v>
      </c>
      <c r="O112" t="n">
        <v>0</v>
      </c>
      <c r="P112" t="n">
        <v>0</v>
      </c>
      <c r="Q112" t="n">
        <v>1</v>
      </c>
      <c r="R112" s="2" t="inlineStr">
        <is>
          <t>Tibast</t>
        </is>
      </c>
      <c r="S112">
        <f>HYPERLINK("https://klasma.github.io/Logging_0188/artfynd/A 50854-2022 artfynd.xlsx", "A 50854-2022")</f>
        <v/>
      </c>
      <c r="T112">
        <f>HYPERLINK("https://klasma.github.io/Logging_0188/kartor/A 50854-2022 karta.png", "A 50854-2022")</f>
        <v/>
      </c>
      <c r="V112">
        <f>HYPERLINK("https://klasma.github.io/Logging_0188/klagomål/A 50854-2022 FSC-klagomål.docx", "A 50854-2022")</f>
        <v/>
      </c>
      <c r="W112">
        <f>HYPERLINK("https://klasma.github.io/Logging_0188/klagomålsmail/A 50854-2022 FSC-klagomål mail.docx", "A 50854-2022")</f>
        <v/>
      </c>
      <c r="X112">
        <f>HYPERLINK("https://klasma.github.io/Logging_0188/tillsyn/A 50854-2022 tillsynsbegäran.docx", "A 50854-2022")</f>
        <v/>
      </c>
      <c r="Y112">
        <f>HYPERLINK("https://klasma.github.io/Logging_0188/tillsynsmail/A 50854-2022 tillsynsbegäran mail.docx", "A 50854-2022")</f>
        <v/>
      </c>
    </row>
    <row r="113" ht="15" customHeight="1">
      <c r="A113" t="inlineStr">
        <is>
          <t>A 17952-2022</t>
        </is>
      </c>
      <c r="B113" s="1" t="n">
        <v>44683</v>
      </c>
      <c r="C113" s="1" t="n">
        <v>45931</v>
      </c>
      <c r="D113" t="inlineStr">
        <is>
          <t>STOCKHOLMS LÄN</t>
        </is>
      </c>
      <c r="E113" t="inlineStr">
        <is>
          <t>NORRTÄLJE</t>
        </is>
      </c>
      <c r="G113" t="n">
        <v>51.1</v>
      </c>
      <c r="H113" t="n">
        <v>0</v>
      </c>
      <c r="I113" t="n">
        <v>0</v>
      </c>
      <c r="J113" t="n">
        <v>0</v>
      </c>
      <c r="K113" t="n">
        <v>1</v>
      </c>
      <c r="L113" t="n">
        <v>0</v>
      </c>
      <c r="M113" t="n">
        <v>0</v>
      </c>
      <c r="N113" t="n">
        <v>0</v>
      </c>
      <c r="O113" t="n">
        <v>1</v>
      </c>
      <c r="P113" t="n">
        <v>1</v>
      </c>
      <c r="Q113" t="n">
        <v>1</v>
      </c>
      <c r="R113" s="2" t="inlineStr">
        <is>
          <t>Kattunvisslare</t>
        </is>
      </c>
      <c r="S113">
        <f>HYPERLINK("https://klasma.github.io/Logging_0188/artfynd/A 17952-2022 artfynd.xlsx", "A 17952-2022")</f>
        <v/>
      </c>
      <c r="T113">
        <f>HYPERLINK("https://klasma.github.io/Logging_0188/kartor/A 17952-2022 karta.png", "A 17952-2022")</f>
        <v/>
      </c>
      <c r="V113">
        <f>HYPERLINK("https://klasma.github.io/Logging_0188/klagomål/A 17952-2022 FSC-klagomål.docx", "A 17952-2022")</f>
        <v/>
      </c>
      <c r="W113">
        <f>HYPERLINK("https://klasma.github.io/Logging_0188/klagomålsmail/A 17952-2022 FSC-klagomål mail.docx", "A 17952-2022")</f>
        <v/>
      </c>
      <c r="X113">
        <f>HYPERLINK("https://klasma.github.io/Logging_0188/tillsyn/A 17952-2022 tillsynsbegäran.docx", "A 17952-2022")</f>
        <v/>
      </c>
      <c r="Y113">
        <f>HYPERLINK("https://klasma.github.io/Logging_0188/tillsynsmail/A 17952-2022 tillsynsbegäran mail.docx", "A 17952-2022")</f>
        <v/>
      </c>
    </row>
    <row r="114" ht="15" customHeight="1">
      <c r="A114" t="inlineStr">
        <is>
          <t>A 42313-2025</t>
        </is>
      </c>
      <c r="B114" s="1" t="n">
        <v>45904.6575</v>
      </c>
      <c r="C114" s="1" t="n">
        <v>45931</v>
      </c>
      <c r="D114" t="inlineStr">
        <is>
          <t>STOCKHOLMS LÄN</t>
        </is>
      </c>
      <c r="E114" t="inlineStr">
        <is>
          <t>NORRTÄLJE</t>
        </is>
      </c>
      <c r="G114" t="n">
        <v>1.7</v>
      </c>
      <c r="H114" t="n">
        <v>1</v>
      </c>
      <c r="I114" t="n">
        <v>0</v>
      </c>
      <c r="J114" t="n">
        <v>0</v>
      </c>
      <c r="K114" t="n">
        <v>0</v>
      </c>
      <c r="L114" t="n">
        <v>0</v>
      </c>
      <c r="M114" t="n">
        <v>0</v>
      </c>
      <c r="N114" t="n">
        <v>0</v>
      </c>
      <c r="O114" t="n">
        <v>0</v>
      </c>
      <c r="P114" t="n">
        <v>0</v>
      </c>
      <c r="Q114" t="n">
        <v>1</v>
      </c>
      <c r="R114" s="2" t="inlineStr">
        <is>
          <t>Vanlig padda</t>
        </is>
      </c>
      <c r="S114">
        <f>HYPERLINK("https://klasma.github.io/Logging_0188/artfynd/A 42313-2025 artfynd.xlsx", "A 42313-2025")</f>
        <v/>
      </c>
      <c r="T114">
        <f>HYPERLINK("https://klasma.github.io/Logging_0188/kartor/A 42313-2025 karta.png", "A 42313-2025")</f>
        <v/>
      </c>
      <c r="V114">
        <f>HYPERLINK("https://klasma.github.io/Logging_0188/klagomål/A 42313-2025 FSC-klagomål.docx", "A 42313-2025")</f>
        <v/>
      </c>
      <c r="W114">
        <f>HYPERLINK("https://klasma.github.io/Logging_0188/klagomålsmail/A 42313-2025 FSC-klagomål mail.docx", "A 42313-2025")</f>
        <v/>
      </c>
      <c r="X114">
        <f>HYPERLINK("https://klasma.github.io/Logging_0188/tillsyn/A 42313-2025 tillsynsbegäran.docx", "A 42313-2025")</f>
        <v/>
      </c>
      <c r="Y114">
        <f>HYPERLINK("https://klasma.github.io/Logging_0188/tillsynsmail/A 42313-2025 tillsynsbegäran mail.docx", "A 42313-2025")</f>
        <v/>
      </c>
    </row>
    <row r="115" ht="15" customHeight="1">
      <c r="A115" t="inlineStr">
        <is>
          <t>A 64456-2023</t>
        </is>
      </c>
      <c r="B115" s="1" t="n">
        <v>45280</v>
      </c>
      <c r="C115" s="1" t="n">
        <v>45931</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23146-2024</t>
        </is>
      </c>
      <c r="B116" s="1" t="n">
        <v>45450.63958333333</v>
      </c>
      <c r="C116" s="1" t="n">
        <v>45931</v>
      </c>
      <c r="D116" t="inlineStr">
        <is>
          <t>STOCKHOLMS LÄN</t>
        </is>
      </c>
      <c r="E116" t="inlineStr">
        <is>
          <t>NORRTÄLJE</t>
        </is>
      </c>
      <c r="F116" t="inlineStr">
        <is>
          <t>Kommuner</t>
        </is>
      </c>
      <c r="G116" t="n">
        <v>6</v>
      </c>
      <c r="H116" t="n">
        <v>0</v>
      </c>
      <c r="I116" t="n">
        <v>0</v>
      </c>
      <c r="J116" t="n">
        <v>1</v>
      </c>
      <c r="K116" t="n">
        <v>0</v>
      </c>
      <c r="L116" t="n">
        <v>0</v>
      </c>
      <c r="M116" t="n">
        <v>0</v>
      </c>
      <c r="N116" t="n">
        <v>0</v>
      </c>
      <c r="O116" t="n">
        <v>1</v>
      </c>
      <c r="P116" t="n">
        <v>0</v>
      </c>
      <c r="Q116" t="n">
        <v>1</v>
      </c>
      <c r="R116" s="2" t="inlineStr">
        <is>
          <t>Motaggsvamp</t>
        </is>
      </c>
      <c r="S116">
        <f>HYPERLINK("https://klasma.github.io/Logging_0188/artfynd/A 23146-2024 artfynd.xlsx", "A 23146-2024")</f>
        <v/>
      </c>
      <c r="T116">
        <f>HYPERLINK("https://klasma.github.io/Logging_0188/kartor/A 23146-2024 karta.png", "A 23146-2024")</f>
        <v/>
      </c>
      <c r="V116">
        <f>HYPERLINK("https://klasma.github.io/Logging_0188/klagomål/A 23146-2024 FSC-klagomål.docx", "A 23146-2024")</f>
        <v/>
      </c>
      <c r="W116">
        <f>HYPERLINK("https://klasma.github.io/Logging_0188/klagomålsmail/A 23146-2024 FSC-klagomål mail.docx", "A 23146-2024")</f>
        <v/>
      </c>
      <c r="X116">
        <f>HYPERLINK("https://klasma.github.io/Logging_0188/tillsyn/A 23146-2024 tillsynsbegäran.docx", "A 23146-2024")</f>
        <v/>
      </c>
      <c r="Y116">
        <f>HYPERLINK("https://klasma.github.io/Logging_0188/tillsynsmail/A 23146-2024 tillsynsbegäran mail.docx", "A 23146-2024")</f>
        <v/>
      </c>
    </row>
    <row r="117" ht="15" customHeight="1">
      <c r="A117" t="inlineStr">
        <is>
          <t>A 8371-2025</t>
        </is>
      </c>
      <c r="B117" s="1" t="n">
        <v>45708</v>
      </c>
      <c r="C117" s="1" t="n">
        <v>45931</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52611-2024</t>
        </is>
      </c>
      <c r="B118" s="1" t="n">
        <v>45609.83747685186</v>
      </c>
      <c r="C118" s="1" t="n">
        <v>45931</v>
      </c>
      <c r="D118" t="inlineStr">
        <is>
          <t>STOCKHOLMS LÄN</t>
        </is>
      </c>
      <c r="E118" t="inlineStr">
        <is>
          <t>NORRTÄLJE</t>
        </is>
      </c>
      <c r="G118" t="n">
        <v>10.6</v>
      </c>
      <c r="H118" t="n">
        <v>1</v>
      </c>
      <c r="I118" t="n">
        <v>0</v>
      </c>
      <c r="J118" t="n">
        <v>0</v>
      </c>
      <c r="K118" t="n">
        <v>0</v>
      </c>
      <c r="L118" t="n">
        <v>0</v>
      </c>
      <c r="M118" t="n">
        <v>0</v>
      </c>
      <c r="N118" t="n">
        <v>0</v>
      </c>
      <c r="O118" t="n">
        <v>0</v>
      </c>
      <c r="P118" t="n">
        <v>0</v>
      </c>
      <c r="Q118" t="n">
        <v>1</v>
      </c>
      <c r="R118" s="2" t="inlineStr">
        <is>
          <t>Blåsippa</t>
        </is>
      </c>
      <c r="S118">
        <f>HYPERLINK("https://klasma.github.io/Logging_0188/artfynd/A 52611-2024 artfynd.xlsx", "A 52611-2024")</f>
        <v/>
      </c>
      <c r="T118">
        <f>HYPERLINK("https://klasma.github.io/Logging_0188/kartor/A 52611-2024 karta.png", "A 52611-2024")</f>
        <v/>
      </c>
      <c r="V118">
        <f>HYPERLINK("https://klasma.github.io/Logging_0188/klagomål/A 52611-2024 FSC-klagomål.docx", "A 52611-2024")</f>
        <v/>
      </c>
      <c r="W118">
        <f>HYPERLINK("https://klasma.github.io/Logging_0188/klagomålsmail/A 52611-2024 FSC-klagomål mail.docx", "A 52611-2024")</f>
        <v/>
      </c>
      <c r="X118">
        <f>HYPERLINK("https://klasma.github.io/Logging_0188/tillsyn/A 52611-2024 tillsynsbegäran.docx", "A 52611-2024")</f>
        <v/>
      </c>
      <c r="Y118">
        <f>HYPERLINK("https://klasma.github.io/Logging_0188/tillsynsmail/A 52611-2024 tillsynsbegäran mail.docx", "A 52611-2024")</f>
        <v/>
      </c>
    </row>
    <row r="119" ht="15" customHeight="1">
      <c r="A119" t="inlineStr">
        <is>
          <t>A 1970-2021</t>
        </is>
      </c>
      <c r="B119" s="1" t="n">
        <v>44210</v>
      </c>
      <c r="C119" s="1" t="n">
        <v>45931</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45931</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45931</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45931</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45931</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45931</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45931</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45931</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45931</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45931</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45931</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45931</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45931</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45931</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45931</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45931</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74468-2021</t>
        </is>
      </c>
      <c r="B135" s="1" t="n">
        <v>44560</v>
      </c>
      <c r="C135" s="1" t="n">
        <v>45931</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54272-2021</t>
        </is>
      </c>
      <c r="B136" s="1" t="n">
        <v>44470.72148148148</v>
      </c>
      <c r="C136" s="1" t="n">
        <v>45931</v>
      </c>
      <c r="D136" t="inlineStr">
        <is>
          <t>STOCKHOLMS LÄN</t>
        </is>
      </c>
      <c r="E136" t="inlineStr">
        <is>
          <t>NORRTÄLJE</t>
        </is>
      </c>
      <c r="G136" t="n">
        <v>5.8</v>
      </c>
      <c r="H136" t="n">
        <v>0</v>
      </c>
      <c r="I136" t="n">
        <v>0</v>
      </c>
      <c r="J136" t="n">
        <v>0</v>
      </c>
      <c r="K136" t="n">
        <v>0</v>
      </c>
      <c r="L136" t="n">
        <v>0</v>
      </c>
      <c r="M136" t="n">
        <v>0</v>
      </c>
      <c r="N136" t="n">
        <v>0</v>
      </c>
      <c r="O136" t="n">
        <v>0</v>
      </c>
      <c r="P136" t="n">
        <v>0</v>
      </c>
      <c r="Q136" t="n">
        <v>0</v>
      </c>
      <c r="R136" s="2" t="inlineStr"/>
    </row>
    <row r="137" ht="15" customHeight="1">
      <c r="A137" t="inlineStr">
        <is>
          <t>A 11821-2022</t>
        </is>
      </c>
      <c r="B137" s="1" t="n">
        <v>44634</v>
      </c>
      <c r="C137" s="1" t="n">
        <v>45931</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2977-2022</t>
        </is>
      </c>
      <c r="B138" s="1" t="n">
        <v>44581.75819444445</v>
      </c>
      <c r="C138" s="1" t="n">
        <v>45931</v>
      </c>
      <c r="D138" t="inlineStr">
        <is>
          <t>STOCKHOLMS LÄN</t>
        </is>
      </c>
      <c r="E138" t="inlineStr">
        <is>
          <t>NORRTÄLJE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45931</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45931</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45931</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45931</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45931</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45931</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65737-2021</t>
        </is>
      </c>
      <c r="B145" s="1" t="n">
        <v>44516.72827546296</v>
      </c>
      <c r="C145" s="1" t="n">
        <v>45931</v>
      </c>
      <c r="D145" t="inlineStr">
        <is>
          <t>STOCKHOLMS LÄN</t>
        </is>
      </c>
      <c r="E145" t="inlineStr">
        <is>
          <t>NORRTÄLJE</t>
        </is>
      </c>
      <c r="G145" t="n">
        <v>3</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45931</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45931</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45931</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45931</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45931</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45931</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45931</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45931</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45931</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45931</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45931</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45931</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45931</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45931</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45931</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45931</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45931</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45931</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45931</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45931</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45931</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45931</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45931</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45931</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45931</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45931</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45931</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45931</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45931</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20073-2021</t>
        </is>
      </c>
      <c r="B176" s="1" t="n">
        <v>44314</v>
      </c>
      <c r="C176" s="1" t="n">
        <v>45931</v>
      </c>
      <c r="D176" t="inlineStr">
        <is>
          <t>STOCKHOLMS LÄN</t>
        </is>
      </c>
      <c r="E176" t="inlineStr">
        <is>
          <t>NORRTÄLJE</t>
        </is>
      </c>
      <c r="G176" t="n">
        <v>4.6</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45931</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45931</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45931</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45931</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45931</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45931</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45931</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45931</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45931</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45931</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45931</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45931</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45931</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45931</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45931</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45931</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45931</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45931</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45931</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45931</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45931</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45931</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45931</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45931</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45931</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45931</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45931</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45931</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45931</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45931</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41398-2022</t>
        </is>
      </c>
      <c r="B207" s="1" t="n">
        <v>44826</v>
      </c>
      <c r="C207" s="1" t="n">
        <v>45931</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22369-2021</t>
        </is>
      </c>
      <c r="B208" s="1" t="n">
        <v>44326</v>
      </c>
      <c r="C208" s="1" t="n">
        <v>45931</v>
      </c>
      <c r="D208" t="inlineStr">
        <is>
          <t>STOCKHOLMS LÄN</t>
        </is>
      </c>
      <c r="E208" t="inlineStr">
        <is>
          <t>NORRTÄLJE</t>
        </is>
      </c>
      <c r="F208" t="inlineStr">
        <is>
          <t>Holmen skog AB</t>
        </is>
      </c>
      <c r="G208" t="n">
        <v>3.4</v>
      </c>
      <c r="H208" t="n">
        <v>0</v>
      </c>
      <c r="I208" t="n">
        <v>0</v>
      </c>
      <c r="J208" t="n">
        <v>0</v>
      </c>
      <c r="K208" t="n">
        <v>0</v>
      </c>
      <c r="L208" t="n">
        <v>0</v>
      </c>
      <c r="M208" t="n">
        <v>0</v>
      </c>
      <c r="N208" t="n">
        <v>0</v>
      </c>
      <c r="O208" t="n">
        <v>0</v>
      </c>
      <c r="P208" t="n">
        <v>0</v>
      </c>
      <c r="Q208" t="n">
        <v>0</v>
      </c>
      <c r="R208" s="2" t="inlineStr"/>
    </row>
    <row r="209" ht="15" customHeight="1">
      <c r="A209" t="inlineStr">
        <is>
          <t>A 7565-2022</t>
        </is>
      </c>
      <c r="B209" s="1" t="n">
        <v>44607</v>
      </c>
      <c r="C209" s="1" t="n">
        <v>45931</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41822-2021</t>
        </is>
      </c>
      <c r="B210" s="1" t="n">
        <v>44425</v>
      </c>
      <c r="C210" s="1" t="n">
        <v>45931</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41823-2021</t>
        </is>
      </c>
      <c r="B211" s="1" t="n">
        <v>44425</v>
      </c>
      <c r="C211" s="1" t="n">
        <v>45931</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1968-2022</t>
        </is>
      </c>
      <c r="B212" s="1" t="n">
        <v>44575.52831018518</v>
      </c>
      <c r="C212" s="1" t="n">
        <v>45931</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45931</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19398-2021</t>
        </is>
      </c>
      <c r="B214" s="1" t="n">
        <v>44309</v>
      </c>
      <c r="C214" s="1" t="n">
        <v>45931</v>
      </c>
      <c r="D214" t="inlineStr">
        <is>
          <t>STOCKHOLMS LÄN</t>
        </is>
      </c>
      <c r="E214" t="inlineStr">
        <is>
          <t>NORRTÄLJE</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45931</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45541-2022</t>
        </is>
      </c>
      <c r="B216" s="1" t="n">
        <v>44845.47672453704</v>
      </c>
      <c r="C216" s="1" t="n">
        <v>45931</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45931</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12779-2021</t>
        </is>
      </c>
      <c r="B218" s="1" t="n">
        <v>44270</v>
      </c>
      <c r="C218" s="1" t="n">
        <v>45931</v>
      </c>
      <c r="D218" t="inlineStr">
        <is>
          <t>STOCKHOLMS LÄN</t>
        </is>
      </c>
      <c r="E218" t="inlineStr">
        <is>
          <t>NORRTÄLJE</t>
        </is>
      </c>
      <c r="G218" t="n">
        <v>10.8</v>
      </c>
      <c r="H218" t="n">
        <v>0</v>
      </c>
      <c r="I218" t="n">
        <v>0</v>
      </c>
      <c r="J218" t="n">
        <v>0</v>
      </c>
      <c r="K218" t="n">
        <v>0</v>
      </c>
      <c r="L218" t="n">
        <v>0</v>
      </c>
      <c r="M218" t="n">
        <v>0</v>
      </c>
      <c r="N218" t="n">
        <v>0</v>
      </c>
      <c r="O218" t="n">
        <v>0</v>
      </c>
      <c r="P218" t="n">
        <v>0</v>
      </c>
      <c r="Q218" t="n">
        <v>0</v>
      </c>
      <c r="R218" s="2" t="inlineStr"/>
    </row>
    <row r="219" ht="15" customHeight="1">
      <c r="A219" t="inlineStr">
        <is>
          <t>A 12782-2021</t>
        </is>
      </c>
      <c r="B219" s="1" t="n">
        <v>44270</v>
      </c>
      <c r="C219" s="1" t="n">
        <v>45931</v>
      </c>
      <c r="D219" t="inlineStr">
        <is>
          <t>STOCKHOLMS LÄN</t>
        </is>
      </c>
      <c r="E219" t="inlineStr">
        <is>
          <t>NORRTÄLJE</t>
        </is>
      </c>
      <c r="G219" t="n">
        <v>3.8</v>
      </c>
      <c r="H219" t="n">
        <v>0</v>
      </c>
      <c r="I219" t="n">
        <v>0</v>
      </c>
      <c r="J219" t="n">
        <v>0</v>
      </c>
      <c r="K219" t="n">
        <v>0</v>
      </c>
      <c r="L219" t="n">
        <v>0</v>
      </c>
      <c r="M219" t="n">
        <v>0</v>
      </c>
      <c r="N219" t="n">
        <v>0</v>
      </c>
      <c r="O219" t="n">
        <v>0</v>
      </c>
      <c r="P219" t="n">
        <v>0</v>
      </c>
      <c r="Q219" t="n">
        <v>0</v>
      </c>
      <c r="R219" s="2" t="inlineStr"/>
    </row>
    <row r="220" ht="15" customHeight="1">
      <c r="A220" t="inlineStr">
        <is>
          <t>A 1229-2022</t>
        </is>
      </c>
      <c r="B220" s="1" t="n">
        <v>44572</v>
      </c>
      <c r="C220" s="1" t="n">
        <v>45931</v>
      </c>
      <c r="D220" t="inlineStr">
        <is>
          <t>STOCKHOLMS LÄN</t>
        </is>
      </c>
      <c r="E220" t="inlineStr">
        <is>
          <t>NORRTÄLJE</t>
        </is>
      </c>
      <c r="G220" t="n">
        <v>11.5</v>
      </c>
      <c r="H220" t="n">
        <v>0</v>
      </c>
      <c r="I220" t="n">
        <v>0</v>
      </c>
      <c r="J220" t="n">
        <v>0</v>
      </c>
      <c r="K220" t="n">
        <v>0</v>
      </c>
      <c r="L220" t="n">
        <v>0</v>
      </c>
      <c r="M220" t="n">
        <v>0</v>
      </c>
      <c r="N220" t="n">
        <v>0</v>
      </c>
      <c r="O220" t="n">
        <v>0</v>
      </c>
      <c r="P220" t="n">
        <v>0</v>
      </c>
      <c r="Q220" t="n">
        <v>0</v>
      </c>
      <c r="R220" s="2" t="inlineStr"/>
    </row>
    <row r="221" ht="15" customHeight="1">
      <c r="A221" t="inlineStr">
        <is>
          <t>A 20295-2022</t>
        </is>
      </c>
      <c r="B221" s="1" t="n">
        <v>44698</v>
      </c>
      <c r="C221" s="1" t="n">
        <v>45931</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37415-2021</t>
        </is>
      </c>
      <c r="B222" s="1" t="n">
        <v>44397</v>
      </c>
      <c r="C222" s="1" t="n">
        <v>45931</v>
      </c>
      <c r="D222" t="inlineStr">
        <is>
          <t>STOCKHOLMS LÄN</t>
        </is>
      </c>
      <c r="E222" t="inlineStr">
        <is>
          <t>NORRTÄLJE</t>
        </is>
      </c>
      <c r="F222" t="inlineStr">
        <is>
          <t>Övriga Aktiebolag</t>
        </is>
      </c>
      <c r="G222" t="n">
        <v>3</v>
      </c>
      <c r="H222" t="n">
        <v>0</v>
      </c>
      <c r="I222" t="n">
        <v>0</v>
      </c>
      <c r="J222" t="n">
        <v>0</v>
      </c>
      <c r="K222" t="n">
        <v>0</v>
      </c>
      <c r="L222" t="n">
        <v>0</v>
      </c>
      <c r="M222" t="n">
        <v>0</v>
      </c>
      <c r="N222" t="n">
        <v>0</v>
      </c>
      <c r="O222" t="n">
        <v>0</v>
      </c>
      <c r="P222" t="n">
        <v>0</v>
      </c>
      <c r="Q222" t="n">
        <v>0</v>
      </c>
      <c r="R222" s="2" t="inlineStr"/>
    </row>
    <row r="223" ht="15" customHeight="1">
      <c r="A223" t="inlineStr">
        <is>
          <t>A 68273-2021</t>
        </is>
      </c>
      <c r="B223" s="1" t="n">
        <v>44526</v>
      </c>
      <c r="C223" s="1" t="n">
        <v>45931</v>
      </c>
      <c r="D223" t="inlineStr">
        <is>
          <t>STOCKHOLMS LÄN</t>
        </is>
      </c>
      <c r="E223" t="inlineStr">
        <is>
          <t>NORRTÄLJE</t>
        </is>
      </c>
      <c r="G223" t="n">
        <v>5.3</v>
      </c>
      <c r="H223" t="n">
        <v>0</v>
      </c>
      <c r="I223" t="n">
        <v>0</v>
      </c>
      <c r="J223" t="n">
        <v>0</v>
      </c>
      <c r="K223" t="n">
        <v>0</v>
      </c>
      <c r="L223" t="n">
        <v>0</v>
      </c>
      <c r="M223" t="n">
        <v>0</v>
      </c>
      <c r="N223" t="n">
        <v>0</v>
      </c>
      <c r="O223" t="n">
        <v>0</v>
      </c>
      <c r="P223" t="n">
        <v>0</v>
      </c>
      <c r="Q223" t="n">
        <v>0</v>
      </c>
      <c r="R223" s="2" t="inlineStr"/>
    </row>
    <row r="224" ht="15" customHeight="1">
      <c r="A224" t="inlineStr">
        <is>
          <t>A 14051-2022</t>
        </is>
      </c>
      <c r="B224" s="1" t="n">
        <v>44650.92714120371</v>
      </c>
      <c r="C224" s="1" t="n">
        <v>45931</v>
      </c>
      <c r="D224" t="inlineStr">
        <is>
          <t>STOCKHOLMS LÄN</t>
        </is>
      </c>
      <c r="E224" t="inlineStr">
        <is>
          <t>NORRTÄLJE</t>
        </is>
      </c>
      <c r="G224" t="n">
        <v>2.3</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45931</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71871-2021</t>
        </is>
      </c>
      <c r="B226" s="1" t="n">
        <v>44543</v>
      </c>
      <c r="C226" s="1" t="n">
        <v>45931</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71873-2021</t>
        </is>
      </c>
      <c r="B227" s="1" t="n">
        <v>44543</v>
      </c>
      <c r="C227" s="1" t="n">
        <v>45931</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30286-2022</t>
        </is>
      </c>
      <c r="B228" s="1" t="n">
        <v>44760</v>
      </c>
      <c r="C228" s="1" t="n">
        <v>45931</v>
      </c>
      <c r="D228" t="inlineStr">
        <is>
          <t>STOCKHOLMS LÄN</t>
        </is>
      </c>
      <c r="E228" t="inlineStr">
        <is>
          <t>NORRTÄLJE</t>
        </is>
      </c>
      <c r="G228" t="n">
        <v>0.3</v>
      </c>
      <c r="H228" t="n">
        <v>0</v>
      </c>
      <c r="I228" t="n">
        <v>0</v>
      </c>
      <c r="J228" t="n">
        <v>0</v>
      </c>
      <c r="K228" t="n">
        <v>0</v>
      </c>
      <c r="L228" t="n">
        <v>0</v>
      </c>
      <c r="M228" t="n">
        <v>0</v>
      </c>
      <c r="N228" t="n">
        <v>0</v>
      </c>
      <c r="O228" t="n">
        <v>0</v>
      </c>
      <c r="P228" t="n">
        <v>0</v>
      </c>
      <c r="Q228" t="n">
        <v>0</v>
      </c>
      <c r="R228" s="2" t="inlineStr"/>
    </row>
    <row r="229" ht="15" customHeight="1">
      <c r="A229" t="inlineStr">
        <is>
          <t>A 8160-2022</t>
        </is>
      </c>
      <c r="B229" s="1" t="n">
        <v>44609</v>
      </c>
      <c r="C229" s="1" t="n">
        <v>45931</v>
      </c>
      <c r="D229" t="inlineStr">
        <is>
          <t>STOCKHOLMS LÄN</t>
        </is>
      </c>
      <c r="E229" t="inlineStr">
        <is>
          <t>NORRTÄLJE</t>
        </is>
      </c>
      <c r="G229" t="n">
        <v>3.9</v>
      </c>
      <c r="H229" t="n">
        <v>0</v>
      </c>
      <c r="I229" t="n">
        <v>0</v>
      </c>
      <c r="J229" t="n">
        <v>0</v>
      </c>
      <c r="K229" t="n">
        <v>0</v>
      </c>
      <c r="L229" t="n">
        <v>0</v>
      </c>
      <c r="M229" t="n">
        <v>0</v>
      </c>
      <c r="N229" t="n">
        <v>0</v>
      </c>
      <c r="O229" t="n">
        <v>0</v>
      </c>
      <c r="P229" t="n">
        <v>0</v>
      </c>
      <c r="Q229" t="n">
        <v>0</v>
      </c>
      <c r="R229" s="2" t="inlineStr"/>
    </row>
    <row r="230" ht="15" customHeight="1">
      <c r="A230" t="inlineStr">
        <is>
          <t>A 5562-2021</t>
        </is>
      </c>
      <c r="B230" s="1" t="n">
        <v>44230</v>
      </c>
      <c r="C230" s="1" t="n">
        <v>45931</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5566-2021</t>
        </is>
      </c>
      <c r="B231" s="1" t="n">
        <v>44230</v>
      </c>
      <c r="C231" s="1" t="n">
        <v>45931</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24167-2022</t>
        </is>
      </c>
      <c r="B232" s="1" t="n">
        <v>44725.49491898148</v>
      </c>
      <c r="C232" s="1" t="n">
        <v>45931</v>
      </c>
      <c r="D232" t="inlineStr">
        <is>
          <t>STOCKHOLMS LÄN</t>
        </is>
      </c>
      <c r="E232" t="inlineStr">
        <is>
          <t>NORRTÄLJE</t>
        </is>
      </c>
      <c r="G232" t="n">
        <v>3.4</v>
      </c>
      <c r="H232" t="n">
        <v>0</v>
      </c>
      <c r="I232" t="n">
        <v>0</v>
      </c>
      <c r="J232" t="n">
        <v>0</v>
      </c>
      <c r="K232" t="n">
        <v>0</v>
      </c>
      <c r="L232" t="n">
        <v>0</v>
      </c>
      <c r="M232" t="n">
        <v>0</v>
      </c>
      <c r="N232" t="n">
        <v>0</v>
      </c>
      <c r="O232" t="n">
        <v>0</v>
      </c>
      <c r="P232" t="n">
        <v>0</v>
      </c>
      <c r="Q232" t="n">
        <v>0</v>
      </c>
      <c r="R232" s="2" t="inlineStr"/>
    </row>
    <row r="233" ht="15" customHeight="1">
      <c r="A233" t="inlineStr">
        <is>
          <t>A 42396-2021</t>
        </is>
      </c>
      <c r="B233" s="1" t="n">
        <v>44427</v>
      </c>
      <c r="C233" s="1" t="n">
        <v>45931</v>
      </c>
      <c r="D233" t="inlineStr">
        <is>
          <t>STOCKHOLMS LÄN</t>
        </is>
      </c>
      <c r="E233" t="inlineStr">
        <is>
          <t>NORRTÄLJE</t>
        </is>
      </c>
      <c r="G233" t="n">
        <v>2</v>
      </c>
      <c r="H233" t="n">
        <v>0</v>
      </c>
      <c r="I233" t="n">
        <v>0</v>
      </c>
      <c r="J233" t="n">
        <v>0</v>
      </c>
      <c r="K233" t="n">
        <v>0</v>
      </c>
      <c r="L233" t="n">
        <v>0</v>
      </c>
      <c r="M233" t="n">
        <v>0</v>
      </c>
      <c r="N233" t="n">
        <v>0</v>
      </c>
      <c r="O233" t="n">
        <v>0</v>
      </c>
      <c r="P233" t="n">
        <v>0</v>
      </c>
      <c r="Q233" t="n">
        <v>0</v>
      </c>
      <c r="R233" s="2" t="inlineStr"/>
    </row>
    <row r="234" ht="15" customHeight="1">
      <c r="A234" t="inlineStr">
        <is>
          <t>A 39319-2022</t>
        </is>
      </c>
      <c r="B234" s="1" t="n">
        <v>44817.70516203704</v>
      </c>
      <c r="C234" s="1" t="n">
        <v>45931</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56219-2021</t>
        </is>
      </c>
      <c r="B235" s="1" t="n">
        <v>44477</v>
      </c>
      <c r="C235" s="1" t="n">
        <v>45931</v>
      </c>
      <c r="D235" t="inlineStr">
        <is>
          <t>STOCKHOLMS LÄN</t>
        </is>
      </c>
      <c r="E235" t="inlineStr">
        <is>
          <t>NORRTÄLJE</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72355-2021</t>
        </is>
      </c>
      <c r="B236" s="1" t="n">
        <v>44545</v>
      </c>
      <c r="C236" s="1" t="n">
        <v>45931</v>
      </c>
      <c r="D236" t="inlineStr">
        <is>
          <t>STOCKHOLMS LÄN</t>
        </is>
      </c>
      <c r="E236" t="inlineStr">
        <is>
          <t>NORRTÄLJE</t>
        </is>
      </c>
      <c r="G236" t="n">
        <v>3.6</v>
      </c>
      <c r="H236" t="n">
        <v>0</v>
      </c>
      <c r="I236" t="n">
        <v>0</v>
      </c>
      <c r="J236" t="n">
        <v>0</v>
      </c>
      <c r="K236" t="n">
        <v>0</v>
      </c>
      <c r="L236" t="n">
        <v>0</v>
      </c>
      <c r="M236" t="n">
        <v>0</v>
      </c>
      <c r="N236" t="n">
        <v>0</v>
      </c>
      <c r="O236" t="n">
        <v>0</v>
      </c>
      <c r="P236" t="n">
        <v>0</v>
      </c>
      <c r="Q236" t="n">
        <v>0</v>
      </c>
      <c r="R236" s="2" t="inlineStr"/>
    </row>
    <row r="237" ht="15" customHeight="1">
      <c r="A237" t="inlineStr">
        <is>
          <t>A 72357-2021</t>
        </is>
      </c>
      <c r="B237" s="1" t="n">
        <v>44545</v>
      </c>
      <c r="C237" s="1" t="n">
        <v>45931</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45931</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row>
    <row r="239" ht="15" customHeight="1">
      <c r="A239" t="inlineStr">
        <is>
          <t>A 9446-2021</t>
        </is>
      </c>
      <c r="B239" s="1" t="n">
        <v>44251</v>
      </c>
      <c r="C239" s="1" t="n">
        <v>45931</v>
      </c>
      <c r="D239" t="inlineStr">
        <is>
          <t>STOCKHOLMS LÄN</t>
        </is>
      </c>
      <c r="E239" t="inlineStr">
        <is>
          <t>NORRTÄLJE</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45931</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9988-2022</t>
        </is>
      </c>
      <c r="B241" s="1" t="n">
        <v>44621</v>
      </c>
      <c r="C241" s="1" t="n">
        <v>45931</v>
      </c>
      <c r="D241" t="inlineStr">
        <is>
          <t>STOCKHOLMS LÄN</t>
        </is>
      </c>
      <c r="E241" t="inlineStr">
        <is>
          <t>NORRTÄLJE</t>
        </is>
      </c>
      <c r="G241" t="n">
        <v>1.3</v>
      </c>
      <c r="H241" t="n">
        <v>0</v>
      </c>
      <c r="I241" t="n">
        <v>0</v>
      </c>
      <c r="J241" t="n">
        <v>0</v>
      </c>
      <c r="K241" t="n">
        <v>0</v>
      </c>
      <c r="L241" t="n">
        <v>0</v>
      </c>
      <c r="M241" t="n">
        <v>0</v>
      </c>
      <c r="N241" t="n">
        <v>0</v>
      </c>
      <c r="O241" t="n">
        <v>0</v>
      </c>
      <c r="P241" t="n">
        <v>0</v>
      </c>
      <c r="Q241" t="n">
        <v>0</v>
      </c>
      <c r="R241" s="2" t="inlineStr"/>
    </row>
    <row r="242" ht="15" customHeight="1">
      <c r="A242" t="inlineStr">
        <is>
          <t>A 60733-2021</t>
        </is>
      </c>
      <c r="B242" s="1" t="n">
        <v>44496.77542824074</v>
      </c>
      <c r="C242" s="1" t="n">
        <v>45931</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45931</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45931</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17673-2021</t>
        </is>
      </c>
      <c r="B245" s="1" t="n">
        <v>44300</v>
      </c>
      <c r="C245" s="1" t="n">
        <v>45931</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c r="T245">
        <f>HYPERLINK("https://klasma.github.io/Logging_0188/kartor/A 17673-2021 karta.png", "A 17673-2021")</f>
        <v/>
      </c>
      <c r="V245">
        <f>HYPERLINK("https://klasma.github.io/Logging_0188/klagomål/A 17673-2021 FSC-klagomål.docx", "A 17673-2021")</f>
        <v/>
      </c>
      <c r="W245">
        <f>HYPERLINK("https://klasma.github.io/Logging_0188/klagomålsmail/A 17673-2021 FSC-klagomål mail.docx", "A 17673-2021")</f>
        <v/>
      </c>
      <c r="X245">
        <f>HYPERLINK("https://klasma.github.io/Logging_0188/tillsyn/A 17673-2021 tillsynsbegäran.docx", "A 17673-2021")</f>
        <v/>
      </c>
      <c r="Y245">
        <f>HYPERLINK("https://klasma.github.io/Logging_0188/tillsynsmail/A 17673-2021 tillsynsbegäran mail.docx", "A 17673-2021")</f>
        <v/>
      </c>
      <c r="Z245">
        <f>HYPERLINK("https://klasma.github.io/Logging_0188/fåglar/A 17673-2021 prioriterade fågelarter.docx", "A 17673-2021")</f>
        <v/>
      </c>
    </row>
    <row r="246" ht="15" customHeight="1">
      <c r="A246" t="inlineStr">
        <is>
          <t>A 12270-2022</t>
        </is>
      </c>
      <c r="B246" s="1" t="n">
        <v>44637</v>
      </c>
      <c r="C246" s="1" t="n">
        <v>45931</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15226-2022</t>
        </is>
      </c>
      <c r="B247" s="1" t="n">
        <v>44658</v>
      </c>
      <c r="C247" s="1" t="n">
        <v>45931</v>
      </c>
      <c r="D247" t="inlineStr">
        <is>
          <t>STOCKHOLMS LÄN</t>
        </is>
      </c>
      <c r="E247" t="inlineStr">
        <is>
          <t>NORRTÄLJE</t>
        </is>
      </c>
      <c r="G247" t="n">
        <v>1.1</v>
      </c>
      <c r="H247" t="n">
        <v>0</v>
      </c>
      <c r="I247" t="n">
        <v>0</v>
      </c>
      <c r="J247" t="n">
        <v>0</v>
      </c>
      <c r="K247" t="n">
        <v>0</v>
      </c>
      <c r="L247" t="n">
        <v>0</v>
      </c>
      <c r="M247" t="n">
        <v>0</v>
      </c>
      <c r="N247" t="n">
        <v>0</v>
      </c>
      <c r="O247" t="n">
        <v>0</v>
      </c>
      <c r="P247" t="n">
        <v>0</v>
      </c>
      <c r="Q247" t="n">
        <v>0</v>
      </c>
      <c r="R247" s="2" t="inlineStr"/>
    </row>
    <row r="248" ht="15" customHeight="1">
      <c r="A248" t="inlineStr">
        <is>
          <t>A 3300-2022</t>
        </is>
      </c>
      <c r="B248" s="1" t="n">
        <v>44584.91538194445</v>
      </c>
      <c r="C248" s="1" t="n">
        <v>45931</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45931</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14543-2022</t>
        </is>
      </c>
      <c r="B250" s="1" t="n">
        <v>44655.45373842592</v>
      </c>
      <c r="C250" s="1" t="n">
        <v>45931</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53884-2022</t>
        </is>
      </c>
      <c r="B251" s="1" t="n">
        <v>44880.68423611111</v>
      </c>
      <c r="C251" s="1" t="n">
        <v>45931</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12357-2022</t>
        </is>
      </c>
      <c r="B252" s="1" t="n">
        <v>44637</v>
      </c>
      <c r="C252" s="1" t="n">
        <v>45931</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27217-2021</t>
        </is>
      </c>
      <c r="B253" s="1" t="n">
        <v>44350</v>
      </c>
      <c r="C253" s="1" t="n">
        <v>45931</v>
      </c>
      <c r="D253" t="inlineStr">
        <is>
          <t>STOCKHOLMS LÄN</t>
        </is>
      </c>
      <c r="E253" t="inlineStr">
        <is>
          <t>NORRTÄLJE</t>
        </is>
      </c>
      <c r="G253" t="n">
        <v>5.5</v>
      </c>
      <c r="H253" t="n">
        <v>0</v>
      </c>
      <c r="I253" t="n">
        <v>0</v>
      </c>
      <c r="J253" t="n">
        <v>0</v>
      </c>
      <c r="K253" t="n">
        <v>0</v>
      </c>
      <c r="L253" t="n">
        <v>0</v>
      </c>
      <c r="M253" t="n">
        <v>0</v>
      </c>
      <c r="N253" t="n">
        <v>0</v>
      </c>
      <c r="O253" t="n">
        <v>0</v>
      </c>
      <c r="P253" t="n">
        <v>0</v>
      </c>
      <c r="Q253" t="n">
        <v>0</v>
      </c>
      <c r="R253" s="2" t="inlineStr"/>
    </row>
    <row r="254" ht="15" customHeight="1">
      <c r="A254" t="inlineStr">
        <is>
          <t>A 38991-2022</t>
        </is>
      </c>
      <c r="B254" s="1" t="n">
        <v>44816.89569444444</v>
      </c>
      <c r="C254" s="1" t="n">
        <v>45931</v>
      </c>
      <c r="D254" t="inlineStr">
        <is>
          <t>STOCKHOLMS LÄN</t>
        </is>
      </c>
      <c r="E254" t="inlineStr">
        <is>
          <t>NORRTÄLJE</t>
        </is>
      </c>
      <c r="G254" t="n">
        <v>1.9</v>
      </c>
      <c r="H254" t="n">
        <v>0</v>
      </c>
      <c r="I254" t="n">
        <v>0</v>
      </c>
      <c r="J254" t="n">
        <v>0</v>
      </c>
      <c r="K254" t="n">
        <v>0</v>
      </c>
      <c r="L254" t="n">
        <v>0</v>
      </c>
      <c r="M254" t="n">
        <v>0</v>
      </c>
      <c r="N254" t="n">
        <v>0</v>
      </c>
      <c r="O254" t="n">
        <v>0</v>
      </c>
      <c r="P254" t="n">
        <v>0</v>
      </c>
      <c r="Q254" t="n">
        <v>0</v>
      </c>
      <c r="R254" s="2" t="inlineStr"/>
    </row>
    <row r="255" ht="15" customHeight="1">
      <c r="A255" t="inlineStr">
        <is>
          <t>A 57957-2020</t>
        </is>
      </c>
      <c r="B255" s="1" t="n">
        <v>44143</v>
      </c>
      <c r="C255" s="1" t="n">
        <v>45931</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26335-2022</t>
        </is>
      </c>
      <c r="B256" s="1" t="n">
        <v>44735</v>
      </c>
      <c r="C256" s="1" t="n">
        <v>45931</v>
      </c>
      <c r="D256" t="inlineStr">
        <is>
          <t>STOCKHOLMS LÄN</t>
        </is>
      </c>
      <c r="E256" t="inlineStr">
        <is>
          <t>NORRTÄLJE</t>
        </is>
      </c>
      <c r="G256" t="n">
        <v>3.3</v>
      </c>
      <c r="H256" t="n">
        <v>0</v>
      </c>
      <c r="I256" t="n">
        <v>0</v>
      </c>
      <c r="J256" t="n">
        <v>0</v>
      </c>
      <c r="K256" t="n">
        <v>0</v>
      </c>
      <c r="L256" t="n">
        <v>0</v>
      </c>
      <c r="M256" t="n">
        <v>0</v>
      </c>
      <c r="N256" t="n">
        <v>0</v>
      </c>
      <c r="O256" t="n">
        <v>0</v>
      </c>
      <c r="P256" t="n">
        <v>0</v>
      </c>
      <c r="Q256" t="n">
        <v>0</v>
      </c>
      <c r="R256" s="2" t="inlineStr"/>
    </row>
    <row r="257" ht="15" customHeight="1">
      <c r="A257" t="inlineStr">
        <is>
          <t>A 17771-2022</t>
        </is>
      </c>
      <c r="B257" s="1" t="n">
        <v>44682.75924768519</v>
      </c>
      <c r="C257" s="1" t="n">
        <v>45931</v>
      </c>
      <c r="D257" t="inlineStr">
        <is>
          <t>STOCKHOLMS LÄN</t>
        </is>
      </c>
      <c r="E257" t="inlineStr">
        <is>
          <t>NORRTÄLJE</t>
        </is>
      </c>
      <c r="G257" t="n">
        <v>13.3</v>
      </c>
      <c r="H257" t="n">
        <v>0</v>
      </c>
      <c r="I257" t="n">
        <v>0</v>
      </c>
      <c r="J257" t="n">
        <v>0</v>
      </c>
      <c r="K257" t="n">
        <v>0</v>
      </c>
      <c r="L257" t="n">
        <v>0</v>
      </c>
      <c r="M257" t="n">
        <v>0</v>
      </c>
      <c r="N257" t="n">
        <v>0</v>
      </c>
      <c r="O257" t="n">
        <v>0</v>
      </c>
      <c r="P257" t="n">
        <v>0</v>
      </c>
      <c r="Q257" t="n">
        <v>0</v>
      </c>
      <c r="R257" s="2" t="inlineStr"/>
    </row>
    <row r="258" ht="15" customHeight="1">
      <c r="A258" t="inlineStr">
        <is>
          <t>A 17773-2022</t>
        </is>
      </c>
      <c r="B258" s="1" t="n">
        <v>44682.77616898148</v>
      </c>
      <c r="C258" s="1" t="n">
        <v>45931</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10521-2022</t>
        </is>
      </c>
      <c r="B259" s="1" t="n">
        <v>44623</v>
      </c>
      <c r="C259" s="1" t="n">
        <v>45931</v>
      </c>
      <c r="D259" t="inlineStr">
        <is>
          <t>STOCKHOLMS LÄN</t>
        </is>
      </c>
      <c r="E259" t="inlineStr">
        <is>
          <t>NORRTÄLJE</t>
        </is>
      </c>
      <c r="G259" t="n">
        <v>2.9</v>
      </c>
      <c r="H259" t="n">
        <v>0</v>
      </c>
      <c r="I259" t="n">
        <v>0</v>
      </c>
      <c r="J259" t="n">
        <v>0</v>
      </c>
      <c r="K259" t="n">
        <v>0</v>
      </c>
      <c r="L259" t="n">
        <v>0</v>
      </c>
      <c r="M259" t="n">
        <v>0</v>
      </c>
      <c r="N259" t="n">
        <v>0</v>
      </c>
      <c r="O259" t="n">
        <v>0</v>
      </c>
      <c r="P259" t="n">
        <v>0</v>
      </c>
      <c r="Q259" t="n">
        <v>0</v>
      </c>
      <c r="R259" s="2" t="inlineStr"/>
    </row>
    <row r="260" ht="15" customHeight="1">
      <c r="A260" t="inlineStr">
        <is>
          <t>A 62030-2021</t>
        </is>
      </c>
      <c r="B260" s="1" t="n">
        <v>44502</v>
      </c>
      <c r="C260" s="1" t="n">
        <v>45931</v>
      </c>
      <c r="D260" t="inlineStr">
        <is>
          <t>STOCKHOLMS LÄN</t>
        </is>
      </c>
      <c r="E260" t="inlineStr">
        <is>
          <t>NORRTÄLJE</t>
        </is>
      </c>
      <c r="G260" t="n">
        <v>4.7</v>
      </c>
      <c r="H260" t="n">
        <v>0</v>
      </c>
      <c r="I260" t="n">
        <v>0</v>
      </c>
      <c r="J260" t="n">
        <v>0</v>
      </c>
      <c r="K260" t="n">
        <v>0</v>
      </c>
      <c r="L260" t="n">
        <v>0</v>
      </c>
      <c r="M260" t="n">
        <v>0</v>
      </c>
      <c r="N260" t="n">
        <v>0</v>
      </c>
      <c r="O260" t="n">
        <v>0</v>
      </c>
      <c r="P260" t="n">
        <v>0</v>
      </c>
      <c r="Q260" t="n">
        <v>0</v>
      </c>
      <c r="R260" s="2" t="inlineStr"/>
    </row>
    <row r="261" ht="15" customHeight="1">
      <c r="A261" t="inlineStr">
        <is>
          <t>A 30624-2022</t>
        </is>
      </c>
      <c r="B261" s="1" t="n">
        <v>44763.4182175926</v>
      </c>
      <c r="C261" s="1" t="n">
        <v>45931</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49334-2020</t>
        </is>
      </c>
      <c r="B262" s="1" t="n">
        <v>44105</v>
      </c>
      <c r="C262" s="1" t="n">
        <v>45931</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45931</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60542-2020</t>
        </is>
      </c>
      <c r="B264" s="1" t="n">
        <v>44153</v>
      </c>
      <c r="C264" s="1" t="n">
        <v>45931</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5513-2022</t>
        </is>
      </c>
      <c r="B265" s="1" t="n">
        <v>44595</v>
      </c>
      <c r="C265" s="1" t="n">
        <v>45931</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45931</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45931</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55982-2020</t>
        </is>
      </c>
      <c r="B268" s="1" t="n">
        <v>44132</v>
      </c>
      <c r="C268" s="1" t="n">
        <v>45931</v>
      </c>
      <c r="D268" t="inlineStr">
        <is>
          <t>STOCKHOLMS LÄN</t>
        </is>
      </c>
      <c r="E268" t="inlineStr">
        <is>
          <t>NORRTÄLJE</t>
        </is>
      </c>
      <c r="G268" t="n">
        <v>11.3</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45931</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52449-2021</t>
        </is>
      </c>
      <c r="B270" s="1" t="n">
        <v>44466.37496527778</v>
      </c>
      <c r="C270" s="1" t="n">
        <v>45931</v>
      </c>
      <c r="D270" t="inlineStr">
        <is>
          <t>STOCKHOLMS LÄN</t>
        </is>
      </c>
      <c r="E270" t="inlineStr">
        <is>
          <t>NORRTÄLJE</t>
        </is>
      </c>
      <c r="F270" t="inlineStr">
        <is>
          <t>Holmen skog AB</t>
        </is>
      </c>
      <c r="G270" t="n">
        <v>1.8</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45931</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33046-2021</t>
        </is>
      </c>
      <c r="B272" s="1" t="n">
        <v>44376</v>
      </c>
      <c r="C272" s="1" t="n">
        <v>45931</v>
      </c>
      <c r="D272" t="inlineStr">
        <is>
          <t>STOCKHOLMS LÄN</t>
        </is>
      </c>
      <c r="E272" t="inlineStr">
        <is>
          <t>NORRTÄLJE</t>
        </is>
      </c>
      <c r="G272" t="n">
        <v>2.1</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45931</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21102-2022</t>
        </is>
      </c>
      <c r="B274" s="1" t="n">
        <v>44704</v>
      </c>
      <c r="C274" s="1" t="n">
        <v>45931</v>
      </c>
      <c r="D274" t="inlineStr">
        <is>
          <t>STOCKHOLMS LÄN</t>
        </is>
      </c>
      <c r="E274" t="inlineStr">
        <is>
          <t>NORRTÄLJE</t>
        </is>
      </c>
      <c r="G274" t="n">
        <v>0.2</v>
      </c>
      <c r="H274" t="n">
        <v>0</v>
      </c>
      <c r="I274" t="n">
        <v>0</v>
      </c>
      <c r="J274" t="n">
        <v>0</v>
      </c>
      <c r="K274" t="n">
        <v>0</v>
      </c>
      <c r="L274" t="n">
        <v>0</v>
      </c>
      <c r="M274" t="n">
        <v>0</v>
      </c>
      <c r="N274" t="n">
        <v>0</v>
      </c>
      <c r="O274" t="n">
        <v>0</v>
      </c>
      <c r="P274" t="n">
        <v>0</v>
      </c>
      <c r="Q274" t="n">
        <v>0</v>
      </c>
      <c r="R274" s="2" t="inlineStr"/>
    </row>
    <row r="275" ht="15" customHeight="1">
      <c r="A275" t="inlineStr">
        <is>
          <t>A 28042-2022</t>
        </is>
      </c>
      <c r="B275" s="1" t="n">
        <v>44744</v>
      </c>
      <c r="C275" s="1" t="n">
        <v>45931</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71880-2021</t>
        </is>
      </c>
      <c r="B276" s="1" t="n">
        <v>44543</v>
      </c>
      <c r="C276" s="1" t="n">
        <v>45931</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17772-2022</t>
        </is>
      </c>
      <c r="B277" s="1" t="n">
        <v>44682.76528935185</v>
      </c>
      <c r="C277" s="1" t="n">
        <v>45931</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67285-2021</t>
        </is>
      </c>
      <c r="B278" s="1" t="n">
        <v>44523.61635416667</v>
      </c>
      <c r="C278" s="1" t="n">
        <v>45931</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5611-2022</t>
        </is>
      </c>
      <c r="B279" s="1" t="n">
        <v>44595</v>
      </c>
      <c r="C279" s="1" t="n">
        <v>45931</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32055-2021</t>
        </is>
      </c>
      <c r="B280" s="1" t="n">
        <v>44370.72197916666</v>
      </c>
      <c r="C280" s="1" t="n">
        <v>45931</v>
      </c>
      <c r="D280" t="inlineStr">
        <is>
          <t>STOCKHOLMS LÄN</t>
        </is>
      </c>
      <c r="E280" t="inlineStr">
        <is>
          <t>NORRTÄLJE</t>
        </is>
      </c>
      <c r="G280" t="n">
        <v>1.2</v>
      </c>
      <c r="H280" t="n">
        <v>0</v>
      </c>
      <c r="I280" t="n">
        <v>0</v>
      </c>
      <c r="J280" t="n">
        <v>0</v>
      </c>
      <c r="K280" t="n">
        <v>0</v>
      </c>
      <c r="L280" t="n">
        <v>0</v>
      </c>
      <c r="M280" t="n">
        <v>0</v>
      </c>
      <c r="N280" t="n">
        <v>0</v>
      </c>
      <c r="O280" t="n">
        <v>0</v>
      </c>
      <c r="P280" t="n">
        <v>0</v>
      </c>
      <c r="Q280" t="n">
        <v>0</v>
      </c>
      <c r="R280" s="2" t="inlineStr"/>
    </row>
    <row r="281" ht="15" customHeight="1">
      <c r="A281" t="inlineStr">
        <is>
          <t>A 24101-2022</t>
        </is>
      </c>
      <c r="B281" s="1" t="n">
        <v>44725</v>
      </c>
      <c r="C281" s="1" t="n">
        <v>45931</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26328-2022</t>
        </is>
      </c>
      <c r="B282" s="1" t="n">
        <v>44735</v>
      </c>
      <c r="C282" s="1" t="n">
        <v>45931</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66372-2020</t>
        </is>
      </c>
      <c r="B283" s="1" t="n">
        <v>44176</v>
      </c>
      <c r="C283" s="1" t="n">
        <v>45931</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27214-2021</t>
        </is>
      </c>
      <c r="B284" s="1" t="n">
        <v>44350</v>
      </c>
      <c r="C284" s="1" t="n">
        <v>45931</v>
      </c>
      <c r="D284" t="inlineStr">
        <is>
          <t>STOCKHOLMS LÄN</t>
        </is>
      </c>
      <c r="E284" t="inlineStr">
        <is>
          <t>NORRTÄLJE</t>
        </is>
      </c>
      <c r="G284" t="n">
        <v>1</v>
      </c>
      <c r="H284" t="n">
        <v>0</v>
      </c>
      <c r="I284" t="n">
        <v>0</v>
      </c>
      <c r="J284" t="n">
        <v>0</v>
      </c>
      <c r="K284" t="n">
        <v>0</v>
      </c>
      <c r="L284" t="n">
        <v>0</v>
      </c>
      <c r="M284" t="n">
        <v>0</v>
      </c>
      <c r="N284" t="n">
        <v>0</v>
      </c>
      <c r="O284" t="n">
        <v>0</v>
      </c>
      <c r="P284" t="n">
        <v>0</v>
      </c>
      <c r="Q284" t="n">
        <v>0</v>
      </c>
      <c r="R284" s="2" t="inlineStr"/>
    </row>
    <row r="285" ht="15" customHeight="1">
      <c r="A285" t="inlineStr">
        <is>
          <t>A 12355-2022</t>
        </is>
      </c>
      <c r="B285" s="1" t="n">
        <v>44637</v>
      </c>
      <c r="C285" s="1" t="n">
        <v>45931</v>
      </c>
      <c r="D285" t="inlineStr">
        <is>
          <t>STOCKHOLMS LÄN</t>
        </is>
      </c>
      <c r="E285" t="inlineStr">
        <is>
          <t>NORRTÄLJE</t>
        </is>
      </c>
      <c r="G285" t="n">
        <v>10.4</v>
      </c>
      <c r="H285" t="n">
        <v>0</v>
      </c>
      <c r="I285" t="n">
        <v>0</v>
      </c>
      <c r="J285" t="n">
        <v>0</v>
      </c>
      <c r="K285" t="n">
        <v>0</v>
      </c>
      <c r="L285" t="n">
        <v>0</v>
      </c>
      <c r="M285" t="n">
        <v>0</v>
      </c>
      <c r="N285" t="n">
        <v>0</v>
      </c>
      <c r="O285" t="n">
        <v>0</v>
      </c>
      <c r="P285" t="n">
        <v>0</v>
      </c>
      <c r="Q285" t="n">
        <v>0</v>
      </c>
      <c r="R285" s="2" t="inlineStr"/>
    </row>
    <row r="286" ht="15" customHeight="1">
      <c r="A286" t="inlineStr">
        <is>
          <t>A 14130-2025</t>
        </is>
      </c>
      <c r="B286" s="1" t="n">
        <v>45740.47288194444</v>
      </c>
      <c r="C286" s="1" t="n">
        <v>45931</v>
      </c>
      <c r="D286" t="inlineStr">
        <is>
          <t>STOCKHOLMS LÄN</t>
        </is>
      </c>
      <c r="E286" t="inlineStr">
        <is>
          <t>NORRTÄLJE</t>
        </is>
      </c>
      <c r="G286" t="n">
        <v>2.1</v>
      </c>
      <c r="H286" t="n">
        <v>0</v>
      </c>
      <c r="I286" t="n">
        <v>0</v>
      </c>
      <c r="J286" t="n">
        <v>0</v>
      </c>
      <c r="K286" t="n">
        <v>0</v>
      </c>
      <c r="L286" t="n">
        <v>0</v>
      </c>
      <c r="M286" t="n">
        <v>0</v>
      </c>
      <c r="N286" t="n">
        <v>0</v>
      </c>
      <c r="O286" t="n">
        <v>0</v>
      </c>
      <c r="P286" t="n">
        <v>0</v>
      </c>
      <c r="Q286" t="n">
        <v>0</v>
      </c>
      <c r="R286" s="2" t="inlineStr"/>
    </row>
    <row r="287" ht="15" customHeight="1">
      <c r="A287" t="inlineStr">
        <is>
          <t>A 12532-2025</t>
        </is>
      </c>
      <c r="B287" s="1" t="n">
        <v>45730.69143518519</v>
      </c>
      <c r="C287" s="1" t="n">
        <v>45931</v>
      </c>
      <c r="D287" t="inlineStr">
        <is>
          <t>STOCKHOLMS LÄN</t>
        </is>
      </c>
      <c r="E287" t="inlineStr">
        <is>
          <t>NORRTÄLJE</t>
        </is>
      </c>
      <c r="G287" t="n">
        <v>1</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45931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15441-2021</t>
        </is>
      </c>
      <c r="B289" s="1" t="n">
        <v>44284</v>
      </c>
      <c r="C289" s="1" t="n">
        <v>45931</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40175-2024</t>
        </is>
      </c>
      <c r="B290" s="1" t="n">
        <v>45554.55707175926</v>
      </c>
      <c r="C290" s="1" t="n">
        <v>45931</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55012-2024</t>
        </is>
      </c>
      <c r="B291" s="1" t="n">
        <v>45621.34813657407</v>
      </c>
      <c r="C291" s="1" t="n">
        <v>45931</v>
      </c>
      <c r="D291" t="inlineStr">
        <is>
          <t>STOCKHOLMS LÄN</t>
        </is>
      </c>
      <c r="E291" t="inlineStr">
        <is>
          <t>NORRTÄLJE</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16229-2022</t>
        </is>
      </c>
      <c r="B292" s="1" t="n">
        <v>44670.4190162037</v>
      </c>
      <c r="C292" s="1" t="n">
        <v>45931</v>
      </c>
      <c r="D292" t="inlineStr">
        <is>
          <t>STOCKHOLMS LÄN</t>
        </is>
      </c>
      <c r="E292" t="inlineStr">
        <is>
          <t>NORRTÄLJE</t>
        </is>
      </c>
      <c r="G292" t="n">
        <v>7.4</v>
      </c>
      <c r="H292" t="n">
        <v>0</v>
      </c>
      <c r="I292" t="n">
        <v>0</v>
      </c>
      <c r="J292" t="n">
        <v>0</v>
      </c>
      <c r="K292" t="n">
        <v>0</v>
      </c>
      <c r="L292" t="n">
        <v>0</v>
      </c>
      <c r="M292" t="n">
        <v>0</v>
      </c>
      <c r="N292" t="n">
        <v>0</v>
      </c>
      <c r="O292" t="n">
        <v>0</v>
      </c>
      <c r="P292" t="n">
        <v>0</v>
      </c>
      <c r="Q292" t="n">
        <v>0</v>
      </c>
      <c r="R292" s="2" t="inlineStr"/>
    </row>
    <row r="293" ht="15" customHeight="1">
      <c r="A293" t="inlineStr">
        <is>
          <t>A 60184-2021</t>
        </is>
      </c>
      <c r="B293" s="1" t="n">
        <v>44495</v>
      </c>
      <c r="C293" s="1" t="n">
        <v>45931</v>
      </c>
      <c r="D293" t="inlineStr">
        <is>
          <t>STOCKHOLMS LÄN</t>
        </is>
      </c>
      <c r="E293" t="inlineStr">
        <is>
          <t>NORRTÄLJE</t>
        </is>
      </c>
      <c r="G293" t="n">
        <v>1.8</v>
      </c>
      <c r="H293" t="n">
        <v>0</v>
      </c>
      <c r="I293" t="n">
        <v>0</v>
      </c>
      <c r="J293" t="n">
        <v>0</v>
      </c>
      <c r="K293" t="n">
        <v>0</v>
      </c>
      <c r="L293" t="n">
        <v>0</v>
      </c>
      <c r="M293" t="n">
        <v>0</v>
      </c>
      <c r="N293" t="n">
        <v>0</v>
      </c>
      <c r="O293" t="n">
        <v>0</v>
      </c>
      <c r="P293" t="n">
        <v>0</v>
      </c>
      <c r="Q293" t="n">
        <v>0</v>
      </c>
      <c r="R293" s="2" t="inlineStr"/>
    </row>
    <row r="294" ht="15" customHeight="1">
      <c r="A294" t="inlineStr">
        <is>
          <t>A 17348-2024</t>
        </is>
      </c>
      <c r="B294" s="1" t="n">
        <v>45414.58650462963</v>
      </c>
      <c r="C294" s="1" t="n">
        <v>45931</v>
      </c>
      <c r="D294" t="inlineStr">
        <is>
          <t>STOCKHOLMS LÄN</t>
        </is>
      </c>
      <c r="E294" t="inlineStr">
        <is>
          <t>NORRTÄLJE</t>
        </is>
      </c>
      <c r="G294" t="n">
        <v>2.3</v>
      </c>
      <c r="H294" t="n">
        <v>0</v>
      </c>
      <c r="I294" t="n">
        <v>0</v>
      </c>
      <c r="J294" t="n">
        <v>0</v>
      </c>
      <c r="K294" t="n">
        <v>0</v>
      </c>
      <c r="L294" t="n">
        <v>0</v>
      </c>
      <c r="M294" t="n">
        <v>0</v>
      </c>
      <c r="N294" t="n">
        <v>0</v>
      </c>
      <c r="O294" t="n">
        <v>0</v>
      </c>
      <c r="P294" t="n">
        <v>0</v>
      </c>
      <c r="Q294" t="n">
        <v>0</v>
      </c>
      <c r="R294" s="2" t="inlineStr"/>
    </row>
    <row r="295" ht="15" customHeight="1">
      <c r="A295" t="inlineStr">
        <is>
          <t>A 46914-2022</t>
        </is>
      </c>
      <c r="B295" s="1" t="n">
        <v>44851</v>
      </c>
      <c r="C295" s="1" t="n">
        <v>45931</v>
      </c>
      <c r="D295" t="inlineStr">
        <is>
          <t>STOCKHOLMS LÄN</t>
        </is>
      </c>
      <c r="E295" t="inlineStr">
        <is>
          <t>NORRTÄLJE</t>
        </is>
      </c>
      <c r="G295" t="n">
        <v>2.4</v>
      </c>
      <c r="H295" t="n">
        <v>0</v>
      </c>
      <c r="I295" t="n">
        <v>0</v>
      </c>
      <c r="J295" t="n">
        <v>0</v>
      </c>
      <c r="K295" t="n">
        <v>0</v>
      </c>
      <c r="L295" t="n">
        <v>0</v>
      </c>
      <c r="M295" t="n">
        <v>0</v>
      </c>
      <c r="N295" t="n">
        <v>0</v>
      </c>
      <c r="O295" t="n">
        <v>0</v>
      </c>
      <c r="P295" t="n">
        <v>0</v>
      </c>
      <c r="Q295" t="n">
        <v>0</v>
      </c>
      <c r="R295" s="2" t="inlineStr"/>
    </row>
    <row r="296" ht="15" customHeight="1">
      <c r="A296" t="inlineStr">
        <is>
          <t>A 67598-2021</t>
        </is>
      </c>
      <c r="B296" s="1" t="n">
        <v>44524</v>
      </c>
      <c r="C296" s="1" t="n">
        <v>45931</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38591-2023</t>
        </is>
      </c>
      <c r="B297" s="1" t="n">
        <v>45162</v>
      </c>
      <c r="C297" s="1" t="n">
        <v>45931</v>
      </c>
      <c r="D297" t="inlineStr">
        <is>
          <t>STOCKHOLMS LÄN</t>
        </is>
      </c>
      <c r="E297" t="inlineStr">
        <is>
          <t>NORRTÄLJE</t>
        </is>
      </c>
      <c r="F297" t="inlineStr">
        <is>
          <t>Övriga Aktiebolag</t>
        </is>
      </c>
      <c r="G297" t="n">
        <v>3.1</v>
      </c>
      <c r="H297" t="n">
        <v>0</v>
      </c>
      <c r="I297" t="n">
        <v>0</v>
      </c>
      <c r="J297" t="n">
        <v>0</v>
      </c>
      <c r="K297" t="n">
        <v>0</v>
      </c>
      <c r="L297" t="n">
        <v>0</v>
      </c>
      <c r="M297" t="n">
        <v>0</v>
      </c>
      <c r="N297" t="n">
        <v>0</v>
      </c>
      <c r="O297" t="n">
        <v>0</v>
      </c>
      <c r="P297" t="n">
        <v>0</v>
      </c>
      <c r="Q297" t="n">
        <v>0</v>
      </c>
      <c r="R297" s="2" t="inlineStr"/>
    </row>
    <row r="298" ht="15" customHeight="1">
      <c r="A298" t="inlineStr">
        <is>
          <t>A 3273-2025</t>
        </is>
      </c>
      <c r="B298" s="1" t="n">
        <v>45679</v>
      </c>
      <c r="C298" s="1" t="n">
        <v>45931</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12348-2025</t>
        </is>
      </c>
      <c r="B299" s="1" t="n">
        <v>45730.35026620371</v>
      </c>
      <c r="C299" s="1" t="n">
        <v>45931</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34520-2021</t>
        </is>
      </c>
      <c r="B300" s="1" t="n">
        <v>44379</v>
      </c>
      <c r="C300" s="1" t="n">
        <v>45931</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20244-2025</t>
        </is>
      </c>
      <c r="B301" s="1" t="n">
        <v>45772.71221064815</v>
      </c>
      <c r="C301" s="1" t="n">
        <v>45931</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50143-2023</t>
        </is>
      </c>
      <c r="B302" s="1" t="n">
        <v>45215</v>
      </c>
      <c r="C302" s="1" t="n">
        <v>45931</v>
      </c>
      <c r="D302" t="inlineStr">
        <is>
          <t>STOCKHOLMS LÄN</t>
        </is>
      </c>
      <c r="E302" t="inlineStr">
        <is>
          <t>NORRTÄLJE</t>
        </is>
      </c>
      <c r="G302" t="n">
        <v>10.3</v>
      </c>
      <c r="H302" t="n">
        <v>0</v>
      </c>
      <c r="I302" t="n">
        <v>0</v>
      </c>
      <c r="J302" t="n">
        <v>0</v>
      </c>
      <c r="K302" t="n">
        <v>0</v>
      </c>
      <c r="L302" t="n">
        <v>0</v>
      </c>
      <c r="M302" t="n">
        <v>0</v>
      </c>
      <c r="N302" t="n">
        <v>0</v>
      </c>
      <c r="O302" t="n">
        <v>0</v>
      </c>
      <c r="P302" t="n">
        <v>0</v>
      </c>
      <c r="Q302" t="n">
        <v>0</v>
      </c>
      <c r="R302" s="2" t="inlineStr"/>
    </row>
    <row r="303" ht="15" customHeight="1">
      <c r="A303" t="inlineStr">
        <is>
          <t>A 13148-2021</t>
        </is>
      </c>
      <c r="B303" s="1" t="n">
        <v>44272</v>
      </c>
      <c r="C303" s="1" t="n">
        <v>45931</v>
      </c>
      <c r="D303" t="inlineStr">
        <is>
          <t>STOCKHOLMS LÄN</t>
        </is>
      </c>
      <c r="E303" t="inlineStr">
        <is>
          <t>NORRTÄLJE</t>
        </is>
      </c>
      <c r="G303" t="n">
        <v>12.4</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45931</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20015-2023</t>
        </is>
      </c>
      <c r="B305" s="1" t="n">
        <v>45054</v>
      </c>
      <c r="C305" s="1" t="n">
        <v>45931</v>
      </c>
      <c r="D305" t="inlineStr">
        <is>
          <t>STOCKHOLMS LÄN</t>
        </is>
      </c>
      <c r="E305" t="inlineStr">
        <is>
          <t>NORRTÄLJE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34461-2023</t>
        </is>
      </c>
      <c r="B306" s="1" t="n">
        <v>45139</v>
      </c>
      <c r="C306" s="1" t="n">
        <v>45931</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12111-2021</t>
        </is>
      </c>
      <c r="B307" s="1" t="n">
        <v>44266</v>
      </c>
      <c r="C307" s="1" t="n">
        <v>45931</v>
      </c>
      <c r="D307" t="inlineStr">
        <is>
          <t>STOCKHOLMS LÄN</t>
        </is>
      </c>
      <c r="E307" t="inlineStr">
        <is>
          <t>NORRTÄLJE</t>
        </is>
      </c>
      <c r="G307" t="n">
        <v>5.5</v>
      </c>
      <c r="H307" t="n">
        <v>0</v>
      </c>
      <c r="I307" t="n">
        <v>0</v>
      </c>
      <c r="J307" t="n">
        <v>0</v>
      </c>
      <c r="K307" t="n">
        <v>0</v>
      </c>
      <c r="L307" t="n">
        <v>0</v>
      </c>
      <c r="M307" t="n">
        <v>0</v>
      </c>
      <c r="N307" t="n">
        <v>0</v>
      </c>
      <c r="O307" t="n">
        <v>0</v>
      </c>
      <c r="P307" t="n">
        <v>0</v>
      </c>
      <c r="Q307" t="n">
        <v>0</v>
      </c>
      <c r="R307" s="2" t="inlineStr"/>
    </row>
    <row r="308" ht="15" customHeight="1">
      <c r="A308" t="inlineStr">
        <is>
          <t>A 33053-2021</t>
        </is>
      </c>
      <c r="B308" s="1" t="n">
        <v>44376</v>
      </c>
      <c r="C308" s="1" t="n">
        <v>45931</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20013-2025</t>
        </is>
      </c>
      <c r="B309" s="1" t="n">
        <v>45772.30436342592</v>
      </c>
      <c r="C309" s="1" t="n">
        <v>45931</v>
      </c>
      <c r="D309" t="inlineStr">
        <is>
          <t>STOCKHOLMS LÄN</t>
        </is>
      </c>
      <c r="E309" t="inlineStr">
        <is>
          <t>NORRTÄLJE</t>
        </is>
      </c>
      <c r="G309" t="n">
        <v>2.3</v>
      </c>
      <c r="H309" t="n">
        <v>0</v>
      </c>
      <c r="I309" t="n">
        <v>0</v>
      </c>
      <c r="J309" t="n">
        <v>0</v>
      </c>
      <c r="K309" t="n">
        <v>0</v>
      </c>
      <c r="L309" t="n">
        <v>0</v>
      </c>
      <c r="M309" t="n">
        <v>0</v>
      </c>
      <c r="N309" t="n">
        <v>0</v>
      </c>
      <c r="O309" t="n">
        <v>0</v>
      </c>
      <c r="P309" t="n">
        <v>0</v>
      </c>
      <c r="Q309" t="n">
        <v>0</v>
      </c>
      <c r="R309" s="2" t="inlineStr"/>
    </row>
    <row r="310" ht="15" customHeight="1">
      <c r="A310" t="inlineStr">
        <is>
          <t>A 15217-2023</t>
        </is>
      </c>
      <c r="B310" s="1" t="n">
        <v>45019.28847222222</v>
      </c>
      <c r="C310" s="1" t="n">
        <v>45931</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45931</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24522-2023</t>
        </is>
      </c>
      <c r="B312" s="1" t="n">
        <v>45082.69179398148</v>
      </c>
      <c r="C312" s="1" t="n">
        <v>45931</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23271-2023</t>
        </is>
      </c>
      <c r="B313" s="1" t="n">
        <v>45075.91362268518</v>
      </c>
      <c r="C313" s="1" t="n">
        <v>45931</v>
      </c>
      <c r="D313" t="inlineStr">
        <is>
          <t>STOCKHOLMS LÄN</t>
        </is>
      </c>
      <c r="E313" t="inlineStr">
        <is>
          <t>NORRTÄLJE</t>
        </is>
      </c>
      <c r="G313" t="n">
        <v>5.1</v>
      </c>
      <c r="H313" t="n">
        <v>0</v>
      </c>
      <c r="I313" t="n">
        <v>0</v>
      </c>
      <c r="J313" t="n">
        <v>0</v>
      </c>
      <c r="K313" t="n">
        <v>0</v>
      </c>
      <c r="L313" t="n">
        <v>0</v>
      </c>
      <c r="M313" t="n">
        <v>0</v>
      </c>
      <c r="N313" t="n">
        <v>0</v>
      </c>
      <c r="O313" t="n">
        <v>0</v>
      </c>
      <c r="P313" t="n">
        <v>0</v>
      </c>
      <c r="Q313" t="n">
        <v>0</v>
      </c>
      <c r="R313" s="2" t="inlineStr"/>
    </row>
    <row r="314" ht="15" customHeight="1">
      <c r="A314" t="inlineStr">
        <is>
          <t>A 23273-2023</t>
        </is>
      </c>
      <c r="B314" s="1" t="n">
        <v>45075.91971064815</v>
      </c>
      <c r="C314" s="1" t="n">
        <v>45931</v>
      </c>
      <c r="D314" t="inlineStr">
        <is>
          <t>STOCKHOLMS LÄN</t>
        </is>
      </c>
      <c r="E314" t="inlineStr">
        <is>
          <t>NORRTÄLJE</t>
        </is>
      </c>
      <c r="G314" t="n">
        <v>7.5</v>
      </c>
      <c r="H314" t="n">
        <v>0</v>
      </c>
      <c r="I314" t="n">
        <v>0</v>
      </c>
      <c r="J314" t="n">
        <v>0</v>
      </c>
      <c r="K314" t="n">
        <v>0</v>
      </c>
      <c r="L314" t="n">
        <v>0</v>
      </c>
      <c r="M314" t="n">
        <v>0</v>
      </c>
      <c r="N314" t="n">
        <v>0</v>
      </c>
      <c r="O314" t="n">
        <v>0</v>
      </c>
      <c r="P314" t="n">
        <v>0</v>
      </c>
      <c r="Q314" t="n">
        <v>0</v>
      </c>
      <c r="R314" s="2" t="inlineStr"/>
    </row>
    <row r="315" ht="15" customHeight="1">
      <c r="A315" t="inlineStr">
        <is>
          <t>A 5027-2025</t>
        </is>
      </c>
      <c r="B315" s="1" t="n">
        <v>45691.41101851852</v>
      </c>
      <c r="C315" s="1" t="n">
        <v>45931</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30802-2022</t>
        </is>
      </c>
      <c r="B316" s="1" t="n">
        <v>44764</v>
      </c>
      <c r="C316" s="1" t="n">
        <v>45931</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19706-2023</t>
        </is>
      </c>
      <c r="B317" s="1" t="n">
        <v>45051.455</v>
      </c>
      <c r="C317" s="1" t="n">
        <v>45931</v>
      </c>
      <c r="D317" t="inlineStr">
        <is>
          <t>STOCKHOLMS LÄN</t>
        </is>
      </c>
      <c r="E317" t="inlineStr">
        <is>
          <t>NORRTÄLJE</t>
        </is>
      </c>
      <c r="G317" t="n">
        <v>0.2</v>
      </c>
      <c r="H317" t="n">
        <v>0</v>
      </c>
      <c r="I317" t="n">
        <v>0</v>
      </c>
      <c r="J317" t="n">
        <v>0</v>
      </c>
      <c r="K317" t="n">
        <v>0</v>
      </c>
      <c r="L317" t="n">
        <v>0</v>
      </c>
      <c r="M317" t="n">
        <v>0</v>
      </c>
      <c r="N317" t="n">
        <v>0</v>
      </c>
      <c r="O317" t="n">
        <v>0</v>
      </c>
      <c r="P317" t="n">
        <v>0</v>
      </c>
      <c r="Q317" t="n">
        <v>0</v>
      </c>
      <c r="R317" s="2" t="inlineStr"/>
    </row>
    <row r="318" ht="15" customHeight="1">
      <c r="A318" t="inlineStr">
        <is>
          <t>A 16008-2025</t>
        </is>
      </c>
      <c r="B318" s="1" t="n">
        <v>45749</v>
      </c>
      <c r="C318" s="1" t="n">
        <v>45931</v>
      </c>
      <c r="D318" t="inlineStr">
        <is>
          <t>STOCKHOLMS LÄN</t>
        </is>
      </c>
      <c r="E318" t="inlineStr">
        <is>
          <t>NORRTÄLJE</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45931</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20011-2025</t>
        </is>
      </c>
      <c r="B320" s="1" t="n">
        <v>45772.29622685185</v>
      </c>
      <c r="C320" s="1" t="n">
        <v>45931</v>
      </c>
      <c r="D320" t="inlineStr">
        <is>
          <t>STOCKHOLMS LÄN</t>
        </is>
      </c>
      <c r="E320" t="inlineStr">
        <is>
          <t>NORRTÄLJE</t>
        </is>
      </c>
      <c r="G320" t="n">
        <v>3.5</v>
      </c>
      <c r="H320" t="n">
        <v>0</v>
      </c>
      <c r="I320" t="n">
        <v>0</v>
      </c>
      <c r="J320" t="n">
        <v>0</v>
      </c>
      <c r="K320" t="n">
        <v>0</v>
      </c>
      <c r="L320" t="n">
        <v>0</v>
      </c>
      <c r="M320" t="n">
        <v>0</v>
      </c>
      <c r="N320" t="n">
        <v>0</v>
      </c>
      <c r="O320" t="n">
        <v>0</v>
      </c>
      <c r="P320" t="n">
        <v>0</v>
      </c>
      <c r="Q320" t="n">
        <v>0</v>
      </c>
      <c r="R320" s="2" t="inlineStr"/>
    </row>
    <row r="321" ht="15" customHeight="1">
      <c r="A321" t="inlineStr">
        <is>
          <t>A 8315-2025</t>
        </is>
      </c>
      <c r="B321" s="1" t="n">
        <v>45708.61761574074</v>
      </c>
      <c r="C321" s="1" t="n">
        <v>45931</v>
      </c>
      <c r="D321" t="inlineStr">
        <is>
          <t>STOCKHOLMS LÄN</t>
        </is>
      </c>
      <c r="E321" t="inlineStr">
        <is>
          <t>NORRTÄLJE</t>
        </is>
      </c>
      <c r="G321" t="n">
        <v>3.9</v>
      </c>
      <c r="H321" t="n">
        <v>0</v>
      </c>
      <c r="I321" t="n">
        <v>0</v>
      </c>
      <c r="J321" t="n">
        <v>0</v>
      </c>
      <c r="K321" t="n">
        <v>0</v>
      </c>
      <c r="L321" t="n">
        <v>0</v>
      </c>
      <c r="M321" t="n">
        <v>0</v>
      </c>
      <c r="N321" t="n">
        <v>0</v>
      </c>
      <c r="O321" t="n">
        <v>0</v>
      </c>
      <c r="P321" t="n">
        <v>0</v>
      </c>
      <c r="Q321" t="n">
        <v>0</v>
      </c>
      <c r="R321" s="2" t="inlineStr"/>
    </row>
    <row r="322" ht="15" customHeight="1">
      <c r="A322" t="inlineStr">
        <is>
          <t>A 29176-2024</t>
        </is>
      </c>
      <c r="B322" s="1" t="n">
        <v>45482.53388888889</v>
      </c>
      <c r="C322" s="1" t="n">
        <v>45931</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12251-2025</t>
        </is>
      </c>
      <c r="B323" s="1" t="n">
        <v>45729.60859953704</v>
      </c>
      <c r="C323" s="1" t="n">
        <v>45931</v>
      </c>
      <c r="D323" t="inlineStr">
        <is>
          <t>STOCKHOLMS LÄN</t>
        </is>
      </c>
      <c r="E323" t="inlineStr">
        <is>
          <t>NORRTÄLJE</t>
        </is>
      </c>
      <c r="F323" t="inlineStr">
        <is>
          <t>Holmen skog AB</t>
        </is>
      </c>
      <c r="G323" t="n">
        <v>5.9</v>
      </c>
      <c r="H323" t="n">
        <v>0</v>
      </c>
      <c r="I323" t="n">
        <v>0</v>
      </c>
      <c r="J323" t="n">
        <v>0</v>
      </c>
      <c r="K323" t="n">
        <v>0</v>
      </c>
      <c r="L323" t="n">
        <v>0</v>
      </c>
      <c r="M323" t="n">
        <v>0</v>
      </c>
      <c r="N323" t="n">
        <v>0</v>
      </c>
      <c r="O323" t="n">
        <v>0</v>
      </c>
      <c r="P323" t="n">
        <v>0</v>
      </c>
      <c r="Q323" t="n">
        <v>0</v>
      </c>
      <c r="R323" s="2" t="inlineStr"/>
    </row>
    <row r="324" ht="15" customHeight="1">
      <c r="A324" t="inlineStr">
        <is>
          <t>A 4596-2023</t>
        </is>
      </c>
      <c r="B324" s="1" t="n">
        <v>44956</v>
      </c>
      <c r="C324" s="1" t="n">
        <v>45931</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4438-2023</t>
        </is>
      </c>
      <c r="B325" s="1" t="n">
        <v>44956</v>
      </c>
      <c r="C325" s="1" t="n">
        <v>45931</v>
      </c>
      <c r="D325" t="inlineStr">
        <is>
          <t>STOCKHOLMS LÄN</t>
        </is>
      </c>
      <c r="E325" t="inlineStr">
        <is>
          <t>NORRTÄLJE</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47694-2023</t>
        </is>
      </c>
      <c r="B326" s="1" t="n">
        <v>45203.63303240741</v>
      </c>
      <c r="C326" s="1" t="n">
        <v>45931</v>
      </c>
      <c r="D326" t="inlineStr">
        <is>
          <t>STOCKHOLMS LÄN</t>
        </is>
      </c>
      <c r="E326" t="inlineStr">
        <is>
          <t>NORRTÄLJE</t>
        </is>
      </c>
      <c r="G326" t="n">
        <v>5.2</v>
      </c>
      <c r="H326" t="n">
        <v>0</v>
      </c>
      <c r="I326" t="n">
        <v>0</v>
      </c>
      <c r="J326" t="n">
        <v>0</v>
      </c>
      <c r="K326" t="n">
        <v>0</v>
      </c>
      <c r="L326" t="n">
        <v>0</v>
      </c>
      <c r="M326" t="n">
        <v>0</v>
      </c>
      <c r="N326" t="n">
        <v>0</v>
      </c>
      <c r="O326" t="n">
        <v>0</v>
      </c>
      <c r="P326" t="n">
        <v>0</v>
      </c>
      <c r="Q326" t="n">
        <v>0</v>
      </c>
      <c r="R326" s="2" t="inlineStr"/>
    </row>
    <row r="327" ht="15" customHeight="1">
      <c r="A327" t="inlineStr">
        <is>
          <t>A 24727-2023</t>
        </is>
      </c>
      <c r="B327" s="1" t="n">
        <v>45084.57695601852</v>
      </c>
      <c r="C327" s="1" t="n">
        <v>45931</v>
      </c>
      <c r="D327" t="inlineStr">
        <is>
          <t>STOCKHOLMS LÄN</t>
        </is>
      </c>
      <c r="E327" t="inlineStr">
        <is>
          <t>NORRTÄLJE</t>
        </is>
      </c>
      <c r="F327" t="inlineStr">
        <is>
          <t>Holmen skog AB</t>
        </is>
      </c>
      <c r="G327" t="n">
        <v>2.2</v>
      </c>
      <c r="H327" t="n">
        <v>0</v>
      </c>
      <c r="I327" t="n">
        <v>0</v>
      </c>
      <c r="J327" t="n">
        <v>0</v>
      </c>
      <c r="K327" t="n">
        <v>0</v>
      </c>
      <c r="L327" t="n">
        <v>0</v>
      </c>
      <c r="M327" t="n">
        <v>0</v>
      </c>
      <c r="N327" t="n">
        <v>0</v>
      </c>
      <c r="O327" t="n">
        <v>0</v>
      </c>
      <c r="P327" t="n">
        <v>0</v>
      </c>
      <c r="Q327" t="n">
        <v>0</v>
      </c>
      <c r="R327" s="2" t="inlineStr"/>
    </row>
    <row r="328" ht="15" customHeight="1">
      <c r="A328" t="inlineStr">
        <is>
          <t>A 40656-2022</t>
        </is>
      </c>
      <c r="B328" s="1" t="n">
        <v>44824.36069444445</v>
      </c>
      <c r="C328" s="1" t="n">
        <v>45931</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59904-2023</t>
        </is>
      </c>
      <c r="B329" s="1" t="n">
        <v>45257</v>
      </c>
      <c r="C329" s="1" t="n">
        <v>45931</v>
      </c>
      <c r="D329" t="inlineStr">
        <is>
          <t>STOCKHOLMS LÄN</t>
        </is>
      </c>
      <c r="E329" t="inlineStr">
        <is>
          <t>NORRTÄLJE</t>
        </is>
      </c>
      <c r="G329" t="n">
        <v>17.4</v>
      </c>
      <c r="H329" t="n">
        <v>0</v>
      </c>
      <c r="I329" t="n">
        <v>0</v>
      </c>
      <c r="J329" t="n">
        <v>0</v>
      </c>
      <c r="K329" t="n">
        <v>0</v>
      </c>
      <c r="L329" t="n">
        <v>0</v>
      </c>
      <c r="M329" t="n">
        <v>0</v>
      </c>
      <c r="N329" t="n">
        <v>0</v>
      </c>
      <c r="O329" t="n">
        <v>0</v>
      </c>
      <c r="P329" t="n">
        <v>0</v>
      </c>
      <c r="Q329" t="n">
        <v>0</v>
      </c>
      <c r="R329" s="2" t="inlineStr"/>
    </row>
    <row r="330" ht="15" customHeight="1">
      <c r="A330" t="inlineStr">
        <is>
          <t>A 40425-2021</t>
        </is>
      </c>
      <c r="B330" s="1" t="n">
        <v>44419</v>
      </c>
      <c r="C330" s="1" t="n">
        <v>45931</v>
      </c>
      <c r="D330" t="inlineStr">
        <is>
          <t>STOCKHOLMS LÄN</t>
        </is>
      </c>
      <c r="E330" t="inlineStr">
        <is>
          <t>NORRTÄLJE</t>
        </is>
      </c>
      <c r="G330" t="n">
        <v>5</v>
      </c>
      <c r="H330" t="n">
        <v>0</v>
      </c>
      <c r="I330" t="n">
        <v>0</v>
      </c>
      <c r="J330" t="n">
        <v>0</v>
      </c>
      <c r="K330" t="n">
        <v>0</v>
      </c>
      <c r="L330" t="n">
        <v>0</v>
      </c>
      <c r="M330" t="n">
        <v>0</v>
      </c>
      <c r="N330" t="n">
        <v>0</v>
      </c>
      <c r="O330" t="n">
        <v>0</v>
      </c>
      <c r="P330" t="n">
        <v>0</v>
      </c>
      <c r="Q330" t="n">
        <v>0</v>
      </c>
      <c r="R330" s="2" t="inlineStr"/>
    </row>
    <row r="331" ht="15" customHeight="1">
      <c r="A331" t="inlineStr">
        <is>
          <t>A 20014-2025</t>
        </is>
      </c>
      <c r="B331" s="1" t="n">
        <v>45772.3078125</v>
      </c>
      <c r="C331" s="1" t="n">
        <v>45931</v>
      </c>
      <c r="D331" t="inlineStr">
        <is>
          <t>STOCKHOLMS LÄN</t>
        </is>
      </c>
      <c r="E331" t="inlineStr">
        <is>
          <t>NORRTÄLJE</t>
        </is>
      </c>
      <c r="G331" t="n">
        <v>4.4</v>
      </c>
      <c r="H331" t="n">
        <v>0</v>
      </c>
      <c r="I331" t="n">
        <v>0</v>
      </c>
      <c r="J331" t="n">
        <v>0</v>
      </c>
      <c r="K331" t="n">
        <v>0</v>
      </c>
      <c r="L331" t="n">
        <v>0</v>
      </c>
      <c r="M331" t="n">
        <v>0</v>
      </c>
      <c r="N331" t="n">
        <v>0</v>
      </c>
      <c r="O331" t="n">
        <v>0</v>
      </c>
      <c r="P331" t="n">
        <v>0</v>
      </c>
      <c r="Q331" t="n">
        <v>0</v>
      </c>
      <c r="R331" s="2" t="inlineStr"/>
    </row>
    <row r="332" ht="15" customHeight="1">
      <c r="A332" t="inlineStr">
        <is>
          <t>A 36308-2022</t>
        </is>
      </c>
      <c r="B332" s="1" t="n">
        <v>44803</v>
      </c>
      <c r="C332" s="1" t="n">
        <v>45931</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54776-2023</t>
        </is>
      </c>
      <c r="B333" s="1" t="n">
        <v>45236.46369212963</v>
      </c>
      <c r="C333" s="1" t="n">
        <v>45931</v>
      </c>
      <c r="D333" t="inlineStr">
        <is>
          <t>STOCKHOLMS LÄN</t>
        </is>
      </c>
      <c r="E333" t="inlineStr">
        <is>
          <t>NORRTÄLJE</t>
        </is>
      </c>
      <c r="G333" t="n">
        <v>0.3</v>
      </c>
      <c r="H333" t="n">
        <v>0</v>
      </c>
      <c r="I333" t="n">
        <v>0</v>
      </c>
      <c r="J333" t="n">
        <v>0</v>
      </c>
      <c r="K333" t="n">
        <v>0</v>
      </c>
      <c r="L333" t="n">
        <v>0</v>
      </c>
      <c r="M333" t="n">
        <v>0</v>
      </c>
      <c r="N333" t="n">
        <v>0</v>
      </c>
      <c r="O333" t="n">
        <v>0</v>
      </c>
      <c r="P333" t="n">
        <v>0</v>
      </c>
      <c r="Q333" t="n">
        <v>0</v>
      </c>
      <c r="R333" s="2" t="inlineStr"/>
    </row>
    <row r="334" ht="15" customHeight="1">
      <c r="A334" t="inlineStr">
        <is>
          <t>A 20144-2023</t>
        </is>
      </c>
      <c r="B334" s="1" t="n">
        <v>45055.43509259259</v>
      </c>
      <c r="C334" s="1" t="n">
        <v>45931</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67921-2021</t>
        </is>
      </c>
      <c r="B335" s="1" t="n">
        <v>44525</v>
      </c>
      <c r="C335" s="1" t="n">
        <v>45931</v>
      </c>
      <c r="D335" t="inlineStr">
        <is>
          <t>STOCKHOLMS LÄN</t>
        </is>
      </c>
      <c r="E335" t="inlineStr">
        <is>
          <t>NORRTÄLJE</t>
        </is>
      </c>
      <c r="G335" t="n">
        <v>6.3</v>
      </c>
      <c r="H335" t="n">
        <v>0</v>
      </c>
      <c r="I335" t="n">
        <v>0</v>
      </c>
      <c r="J335" t="n">
        <v>0</v>
      </c>
      <c r="K335" t="n">
        <v>0</v>
      </c>
      <c r="L335" t="n">
        <v>0</v>
      </c>
      <c r="M335" t="n">
        <v>0</v>
      </c>
      <c r="N335" t="n">
        <v>0</v>
      </c>
      <c r="O335" t="n">
        <v>0</v>
      </c>
      <c r="P335" t="n">
        <v>0</v>
      </c>
      <c r="Q335" t="n">
        <v>0</v>
      </c>
      <c r="R335" s="2" t="inlineStr"/>
    </row>
    <row r="336" ht="15" customHeight="1">
      <c r="A336" t="inlineStr">
        <is>
          <t>A 56631-2024</t>
        </is>
      </c>
      <c r="B336" s="1" t="n">
        <v>45625</v>
      </c>
      <c r="C336" s="1" t="n">
        <v>45931</v>
      </c>
      <c r="D336" t="inlineStr">
        <is>
          <t>STOCKHOLMS LÄN</t>
        </is>
      </c>
      <c r="E336" t="inlineStr">
        <is>
          <t>NORRTÄLJE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48587-2023</t>
        </is>
      </c>
      <c r="B337" s="1" t="n">
        <v>45208</v>
      </c>
      <c r="C337" s="1" t="n">
        <v>45931</v>
      </c>
      <c r="D337" t="inlineStr">
        <is>
          <t>STOCKHOLMS LÄN</t>
        </is>
      </c>
      <c r="E337" t="inlineStr">
        <is>
          <t>NORRTÄLJE</t>
        </is>
      </c>
      <c r="G337" t="n">
        <v>7</v>
      </c>
      <c r="H337" t="n">
        <v>0</v>
      </c>
      <c r="I337" t="n">
        <v>0</v>
      </c>
      <c r="J337" t="n">
        <v>0</v>
      </c>
      <c r="K337" t="n">
        <v>0</v>
      </c>
      <c r="L337" t="n">
        <v>0</v>
      </c>
      <c r="M337" t="n">
        <v>0</v>
      </c>
      <c r="N337" t="n">
        <v>0</v>
      </c>
      <c r="O337" t="n">
        <v>0</v>
      </c>
      <c r="P337" t="n">
        <v>0</v>
      </c>
      <c r="Q337" t="n">
        <v>0</v>
      </c>
      <c r="R337" s="2" t="inlineStr"/>
    </row>
    <row r="338" ht="15" customHeight="1">
      <c r="A338" t="inlineStr">
        <is>
          <t>A 13314-2025</t>
        </is>
      </c>
      <c r="B338" s="1" t="n">
        <v>45735.59287037037</v>
      </c>
      <c r="C338" s="1" t="n">
        <v>45931</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53600-2022</t>
        </is>
      </c>
      <c r="B339" s="1" t="n">
        <v>44879.70518518519</v>
      </c>
      <c r="C339" s="1" t="n">
        <v>45931</v>
      </c>
      <c r="D339" t="inlineStr">
        <is>
          <t>STOCKHOLMS LÄN</t>
        </is>
      </c>
      <c r="E339" t="inlineStr">
        <is>
          <t>NORRTÄLJE</t>
        </is>
      </c>
      <c r="G339" t="n">
        <v>4.3</v>
      </c>
      <c r="H339" t="n">
        <v>0</v>
      </c>
      <c r="I339" t="n">
        <v>0</v>
      </c>
      <c r="J339" t="n">
        <v>0</v>
      </c>
      <c r="K339" t="n">
        <v>0</v>
      </c>
      <c r="L339" t="n">
        <v>0</v>
      </c>
      <c r="M339" t="n">
        <v>0</v>
      </c>
      <c r="N339" t="n">
        <v>0</v>
      </c>
      <c r="O339" t="n">
        <v>0</v>
      </c>
      <c r="P339" t="n">
        <v>0</v>
      </c>
      <c r="Q339" t="n">
        <v>0</v>
      </c>
      <c r="R339" s="2" t="inlineStr"/>
    </row>
    <row r="340" ht="15" customHeight="1">
      <c r="A340" t="inlineStr">
        <is>
          <t>A 23056-2023</t>
        </is>
      </c>
      <c r="B340" s="1" t="n">
        <v>45075</v>
      </c>
      <c r="C340" s="1" t="n">
        <v>45931</v>
      </c>
      <c r="D340" t="inlineStr">
        <is>
          <t>STOCKHOLMS LÄN</t>
        </is>
      </c>
      <c r="E340" t="inlineStr">
        <is>
          <t>NORRTÄLJE</t>
        </is>
      </c>
      <c r="G340" t="n">
        <v>1.7</v>
      </c>
      <c r="H340" t="n">
        <v>0</v>
      </c>
      <c r="I340" t="n">
        <v>0</v>
      </c>
      <c r="J340" t="n">
        <v>0</v>
      </c>
      <c r="K340" t="n">
        <v>0</v>
      </c>
      <c r="L340" t="n">
        <v>0</v>
      </c>
      <c r="M340" t="n">
        <v>0</v>
      </c>
      <c r="N340" t="n">
        <v>0</v>
      </c>
      <c r="O340" t="n">
        <v>0</v>
      </c>
      <c r="P340" t="n">
        <v>0</v>
      </c>
      <c r="Q340" t="n">
        <v>0</v>
      </c>
      <c r="R340" s="2" t="inlineStr"/>
    </row>
    <row r="341" ht="15" customHeight="1">
      <c r="A341" t="inlineStr">
        <is>
          <t>A 13172-2025</t>
        </is>
      </c>
      <c r="B341" s="1" t="n">
        <v>45735.36873842592</v>
      </c>
      <c r="C341" s="1" t="n">
        <v>45931</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42955-2022</t>
        </is>
      </c>
      <c r="B342" s="1" t="n">
        <v>44833.40876157407</v>
      </c>
      <c r="C342" s="1" t="n">
        <v>45931</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19025-2025</t>
        </is>
      </c>
      <c r="B343" s="1" t="n">
        <v>45764.6359837963</v>
      </c>
      <c r="C343" s="1" t="n">
        <v>45931</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18787-2022</t>
        </is>
      </c>
      <c r="B344" s="1" t="n">
        <v>44687</v>
      </c>
      <c r="C344" s="1" t="n">
        <v>45931</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5867-2022</t>
        </is>
      </c>
      <c r="B345" s="1" t="n">
        <v>44596.66335648148</v>
      </c>
      <c r="C345" s="1" t="n">
        <v>45931</v>
      </c>
      <c r="D345" t="inlineStr">
        <is>
          <t>STOCKHOLMS LÄN</t>
        </is>
      </c>
      <c r="E345" t="inlineStr">
        <is>
          <t>NORRTÄLJE</t>
        </is>
      </c>
      <c r="F345" t="inlineStr">
        <is>
          <t>Naturvårdsverket</t>
        </is>
      </c>
      <c r="G345" t="n">
        <v>1.6</v>
      </c>
      <c r="H345" t="n">
        <v>0</v>
      </c>
      <c r="I345" t="n">
        <v>0</v>
      </c>
      <c r="J345" t="n">
        <v>0</v>
      </c>
      <c r="K345" t="n">
        <v>0</v>
      </c>
      <c r="L345" t="n">
        <v>0</v>
      </c>
      <c r="M345" t="n">
        <v>0</v>
      </c>
      <c r="N345" t="n">
        <v>0</v>
      </c>
      <c r="O345" t="n">
        <v>0</v>
      </c>
      <c r="P345" t="n">
        <v>0</v>
      </c>
      <c r="Q345" t="n">
        <v>0</v>
      </c>
      <c r="R345" s="2" t="inlineStr"/>
    </row>
    <row r="346" ht="15" customHeight="1">
      <c r="A346" t="inlineStr">
        <is>
          <t>A 20136-2025</t>
        </is>
      </c>
      <c r="B346" s="1" t="n">
        <v>45772.51127314815</v>
      </c>
      <c r="C346" s="1" t="n">
        <v>45931</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15978-2024</t>
        </is>
      </c>
      <c r="B347" s="1" t="n">
        <v>45405.57927083333</v>
      </c>
      <c r="C347" s="1" t="n">
        <v>45931</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73307-2021</t>
        </is>
      </c>
      <c r="B348" s="1" t="n">
        <v>44549</v>
      </c>
      <c r="C348" s="1" t="n">
        <v>45931</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20473-2021</t>
        </is>
      </c>
      <c r="B349" s="1" t="n">
        <v>44315</v>
      </c>
      <c r="C349" s="1" t="n">
        <v>45931</v>
      </c>
      <c r="D349" t="inlineStr">
        <is>
          <t>STOCKHOLMS LÄN</t>
        </is>
      </c>
      <c r="E349" t="inlineStr">
        <is>
          <t>NORRTÄLJE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58493-2020</t>
        </is>
      </c>
      <c r="B350" s="1" t="n">
        <v>44145</v>
      </c>
      <c r="C350" s="1" t="n">
        <v>45931</v>
      </c>
      <c r="D350" t="inlineStr">
        <is>
          <t>STOCKHOLMS LÄN</t>
        </is>
      </c>
      <c r="E350" t="inlineStr">
        <is>
          <t>NORRTÄLJE</t>
        </is>
      </c>
      <c r="G350" t="n">
        <v>2.8</v>
      </c>
      <c r="H350" t="n">
        <v>0</v>
      </c>
      <c r="I350" t="n">
        <v>0</v>
      </c>
      <c r="J350" t="n">
        <v>0</v>
      </c>
      <c r="K350" t="n">
        <v>0</v>
      </c>
      <c r="L350" t="n">
        <v>0</v>
      </c>
      <c r="M350" t="n">
        <v>0</v>
      </c>
      <c r="N350" t="n">
        <v>0</v>
      </c>
      <c r="O350" t="n">
        <v>0</v>
      </c>
      <c r="P350" t="n">
        <v>0</v>
      </c>
      <c r="Q350" t="n">
        <v>0</v>
      </c>
      <c r="R350" s="2" t="inlineStr"/>
    </row>
    <row r="351" ht="15" customHeight="1">
      <c r="A351" t="inlineStr">
        <is>
          <t>A 21731-2023</t>
        </is>
      </c>
      <c r="B351" s="1" t="n">
        <v>45063</v>
      </c>
      <c r="C351" s="1" t="n">
        <v>45931</v>
      </c>
      <c r="D351" t="inlineStr">
        <is>
          <t>STOCKHOLMS LÄN</t>
        </is>
      </c>
      <c r="E351" t="inlineStr">
        <is>
          <t>NORRTÄLJE</t>
        </is>
      </c>
      <c r="G351" t="n">
        <v>2.3</v>
      </c>
      <c r="H351" t="n">
        <v>0</v>
      </c>
      <c r="I351" t="n">
        <v>0</v>
      </c>
      <c r="J351" t="n">
        <v>0</v>
      </c>
      <c r="K351" t="n">
        <v>0</v>
      </c>
      <c r="L351" t="n">
        <v>0</v>
      </c>
      <c r="M351" t="n">
        <v>0</v>
      </c>
      <c r="N351" t="n">
        <v>0</v>
      </c>
      <c r="O351" t="n">
        <v>0</v>
      </c>
      <c r="P351" t="n">
        <v>0</v>
      </c>
      <c r="Q351" t="n">
        <v>0</v>
      </c>
      <c r="R351" s="2" t="inlineStr"/>
    </row>
    <row r="352" ht="15" customHeight="1">
      <c r="A352" t="inlineStr">
        <is>
          <t>A 21745-2023</t>
        </is>
      </c>
      <c r="B352" s="1" t="n">
        <v>45065.55917824074</v>
      </c>
      <c r="C352" s="1" t="n">
        <v>45931</v>
      </c>
      <c r="D352" t="inlineStr">
        <is>
          <t>STOCKHOLMS LÄN</t>
        </is>
      </c>
      <c r="E352" t="inlineStr">
        <is>
          <t>NORRTÄLJE</t>
        </is>
      </c>
      <c r="F352" t="inlineStr">
        <is>
          <t>Holmen skog AB</t>
        </is>
      </c>
      <c r="G352" t="n">
        <v>0.7</v>
      </c>
      <c r="H352" t="n">
        <v>0</v>
      </c>
      <c r="I352" t="n">
        <v>0</v>
      </c>
      <c r="J352" t="n">
        <v>0</v>
      </c>
      <c r="K352" t="n">
        <v>0</v>
      </c>
      <c r="L352" t="n">
        <v>0</v>
      </c>
      <c r="M352" t="n">
        <v>0</v>
      </c>
      <c r="N352" t="n">
        <v>0</v>
      </c>
      <c r="O352" t="n">
        <v>0</v>
      </c>
      <c r="P352" t="n">
        <v>0</v>
      </c>
      <c r="Q352" t="n">
        <v>0</v>
      </c>
      <c r="R352" s="2" t="inlineStr"/>
    </row>
    <row r="353" ht="15" customHeight="1">
      <c r="A353" t="inlineStr">
        <is>
          <t>A 7603-2025</t>
        </is>
      </c>
      <c r="B353" s="1" t="n">
        <v>45705.66126157407</v>
      </c>
      <c r="C353" s="1" t="n">
        <v>45931</v>
      </c>
      <c r="D353" t="inlineStr">
        <is>
          <t>STOCKHOLMS LÄN</t>
        </is>
      </c>
      <c r="E353" t="inlineStr">
        <is>
          <t>NORRTÄLJE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5158-2024</t>
        </is>
      </c>
      <c r="B354" s="1" t="n">
        <v>45330.50098379629</v>
      </c>
      <c r="C354" s="1" t="n">
        <v>45931</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50497-2020</t>
        </is>
      </c>
      <c r="B355" s="1" t="n">
        <v>44110</v>
      </c>
      <c r="C355" s="1" t="n">
        <v>45931</v>
      </c>
      <c r="D355" t="inlineStr">
        <is>
          <t>STOCKHOLMS LÄN</t>
        </is>
      </c>
      <c r="E355" t="inlineStr">
        <is>
          <t>NORRTÄLJE</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51046-2023</t>
        </is>
      </c>
      <c r="B356" s="1" t="n">
        <v>45218</v>
      </c>
      <c r="C356" s="1" t="n">
        <v>45931</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30221-2024</t>
        </is>
      </c>
      <c r="B357" s="1" t="n">
        <v>45490.45342592592</v>
      </c>
      <c r="C357" s="1" t="n">
        <v>45931</v>
      </c>
      <c r="D357" t="inlineStr">
        <is>
          <t>STOCKHOLMS LÄN</t>
        </is>
      </c>
      <c r="E357" t="inlineStr">
        <is>
          <t>NORRTÄLJE</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26365-2024</t>
        </is>
      </c>
      <c r="B358" s="1" t="n">
        <v>45469</v>
      </c>
      <c r="C358" s="1" t="n">
        <v>45931</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50602-2021</t>
        </is>
      </c>
      <c r="B359" s="1" t="n">
        <v>44459</v>
      </c>
      <c r="C359" s="1" t="n">
        <v>45931</v>
      </c>
      <c r="D359" t="inlineStr">
        <is>
          <t>STOCKHOLMS LÄN</t>
        </is>
      </c>
      <c r="E359" t="inlineStr">
        <is>
          <t>NORRTÄLJE</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8736-2024</t>
        </is>
      </c>
      <c r="B360" s="1" t="n">
        <v>45356.4722800926</v>
      </c>
      <c r="C360" s="1" t="n">
        <v>45931</v>
      </c>
      <c r="D360" t="inlineStr">
        <is>
          <t>STOCKHOLMS LÄN</t>
        </is>
      </c>
      <c r="E360" t="inlineStr">
        <is>
          <t>NORRTÄLJE</t>
        </is>
      </c>
      <c r="G360" t="n">
        <v>8.9</v>
      </c>
      <c r="H360" t="n">
        <v>0</v>
      </c>
      <c r="I360" t="n">
        <v>0</v>
      </c>
      <c r="J360" t="n">
        <v>0</v>
      </c>
      <c r="K360" t="n">
        <v>0</v>
      </c>
      <c r="L360" t="n">
        <v>0</v>
      </c>
      <c r="M360" t="n">
        <v>0</v>
      </c>
      <c r="N360" t="n">
        <v>0</v>
      </c>
      <c r="O360" t="n">
        <v>0</v>
      </c>
      <c r="P360" t="n">
        <v>0</v>
      </c>
      <c r="Q360" t="n">
        <v>0</v>
      </c>
      <c r="R360" s="2" t="inlineStr"/>
    </row>
    <row r="361" ht="15" customHeight="1">
      <c r="A361" t="inlineStr">
        <is>
          <t>A 15552-2021</t>
        </is>
      </c>
      <c r="B361" s="1" t="n">
        <v>44285</v>
      </c>
      <c r="C361" s="1" t="n">
        <v>45931</v>
      </c>
      <c r="D361" t="inlineStr">
        <is>
          <t>STOCKHOLMS LÄN</t>
        </is>
      </c>
      <c r="E361" t="inlineStr">
        <is>
          <t>NORRTÄLJE</t>
        </is>
      </c>
      <c r="G361" t="n">
        <v>10</v>
      </c>
      <c r="H361" t="n">
        <v>0</v>
      </c>
      <c r="I361" t="n">
        <v>0</v>
      </c>
      <c r="J361" t="n">
        <v>0</v>
      </c>
      <c r="K361" t="n">
        <v>0</v>
      </c>
      <c r="L361" t="n">
        <v>0</v>
      </c>
      <c r="M361" t="n">
        <v>0</v>
      </c>
      <c r="N361" t="n">
        <v>0</v>
      </c>
      <c r="O361" t="n">
        <v>0</v>
      </c>
      <c r="P361" t="n">
        <v>0</v>
      </c>
      <c r="Q361" t="n">
        <v>0</v>
      </c>
      <c r="R361" s="2" t="inlineStr"/>
    </row>
    <row r="362" ht="15" customHeight="1">
      <c r="A362" t="inlineStr">
        <is>
          <t>A 48798-2021</t>
        </is>
      </c>
      <c r="B362" s="1" t="n">
        <v>44452</v>
      </c>
      <c r="C362" s="1" t="n">
        <v>45931</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53607-2020</t>
        </is>
      </c>
      <c r="B363" s="1" t="n">
        <v>44124</v>
      </c>
      <c r="C363" s="1" t="n">
        <v>45931</v>
      </c>
      <c r="D363" t="inlineStr">
        <is>
          <t>STOCKHOLMS LÄN</t>
        </is>
      </c>
      <c r="E363" t="inlineStr">
        <is>
          <t>NORRTÄLJE</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45255-2022</t>
        </is>
      </c>
      <c r="B364" s="1" t="n">
        <v>44840</v>
      </c>
      <c r="C364" s="1" t="n">
        <v>45931</v>
      </c>
      <c r="D364" t="inlineStr">
        <is>
          <t>STOCKHOLMS LÄN</t>
        </is>
      </c>
      <c r="E364" t="inlineStr">
        <is>
          <t>NORRTÄLJE</t>
        </is>
      </c>
      <c r="G364" t="n">
        <v>4.1</v>
      </c>
      <c r="H364" t="n">
        <v>0</v>
      </c>
      <c r="I364" t="n">
        <v>0</v>
      </c>
      <c r="J364" t="n">
        <v>0</v>
      </c>
      <c r="K364" t="n">
        <v>0</v>
      </c>
      <c r="L364" t="n">
        <v>0</v>
      </c>
      <c r="M364" t="n">
        <v>0</v>
      </c>
      <c r="N364" t="n">
        <v>0</v>
      </c>
      <c r="O364" t="n">
        <v>0</v>
      </c>
      <c r="P364" t="n">
        <v>0</v>
      </c>
      <c r="Q364" t="n">
        <v>0</v>
      </c>
      <c r="R364" s="2" t="inlineStr"/>
    </row>
    <row r="365" ht="15" customHeight="1">
      <c r="A365" t="inlineStr">
        <is>
          <t>A 19915-2024</t>
        </is>
      </c>
      <c r="B365" s="1" t="n">
        <v>45433.58431712963</v>
      </c>
      <c r="C365" s="1" t="n">
        <v>45931</v>
      </c>
      <c r="D365" t="inlineStr">
        <is>
          <t>STOCKHOLMS LÄN</t>
        </is>
      </c>
      <c r="E365" t="inlineStr">
        <is>
          <t>NORRTÄLJE</t>
        </is>
      </c>
      <c r="G365" t="n">
        <v>2</v>
      </c>
      <c r="H365" t="n">
        <v>0</v>
      </c>
      <c r="I365" t="n">
        <v>0</v>
      </c>
      <c r="J365" t="n">
        <v>0</v>
      </c>
      <c r="K365" t="n">
        <v>0</v>
      </c>
      <c r="L365" t="n">
        <v>0</v>
      </c>
      <c r="M365" t="n">
        <v>0</v>
      </c>
      <c r="N365" t="n">
        <v>0</v>
      </c>
      <c r="O365" t="n">
        <v>0</v>
      </c>
      <c r="P365" t="n">
        <v>0</v>
      </c>
      <c r="Q365" t="n">
        <v>0</v>
      </c>
      <c r="R365" s="2" t="inlineStr"/>
    </row>
    <row r="366" ht="15" customHeight="1">
      <c r="A366" t="inlineStr">
        <is>
          <t>A 50108-2021</t>
        </is>
      </c>
      <c r="B366" s="1" t="n">
        <v>44456</v>
      </c>
      <c r="C366" s="1" t="n">
        <v>45931</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12629-2024</t>
        </is>
      </c>
      <c r="B367" s="1" t="n">
        <v>45383</v>
      </c>
      <c r="C367" s="1" t="n">
        <v>45931</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20428-2024</t>
        </is>
      </c>
      <c r="B368" s="1" t="n">
        <v>45435</v>
      </c>
      <c r="C368" s="1" t="n">
        <v>45931</v>
      </c>
      <c r="D368" t="inlineStr">
        <is>
          <t>STOCKHOLMS LÄN</t>
        </is>
      </c>
      <c r="E368" t="inlineStr">
        <is>
          <t>NORRTÄLJE</t>
        </is>
      </c>
      <c r="G368" t="n">
        <v>3.7</v>
      </c>
      <c r="H368" t="n">
        <v>0</v>
      </c>
      <c r="I368" t="n">
        <v>0</v>
      </c>
      <c r="J368" t="n">
        <v>0</v>
      </c>
      <c r="K368" t="n">
        <v>0</v>
      </c>
      <c r="L368" t="n">
        <v>0</v>
      </c>
      <c r="M368" t="n">
        <v>0</v>
      </c>
      <c r="N368" t="n">
        <v>0</v>
      </c>
      <c r="O368" t="n">
        <v>0</v>
      </c>
      <c r="P368" t="n">
        <v>0</v>
      </c>
      <c r="Q368" t="n">
        <v>0</v>
      </c>
      <c r="R368" s="2" t="inlineStr"/>
    </row>
    <row r="369" ht="15" customHeight="1">
      <c r="A369" t="inlineStr">
        <is>
          <t>A 30283-2022</t>
        </is>
      </c>
      <c r="B369" s="1" t="n">
        <v>44760</v>
      </c>
      <c r="C369" s="1" t="n">
        <v>45931</v>
      </c>
      <c r="D369" t="inlineStr">
        <is>
          <t>STOCKHOLMS LÄN</t>
        </is>
      </c>
      <c r="E369" t="inlineStr">
        <is>
          <t>NORRTÄLJE</t>
        </is>
      </c>
      <c r="G369" t="n">
        <v>6.2</v>
      </c>
      <c r="H369" t="n">
        <v>0</v>
      </c>
      <c r="I369" t="n">
        <v>0</v>
      </c>
      <c r="J369" t="n">
        <v>0</v>
      </c>
      <c r="K369" t="n">
        <v>0</v>
      </c>
      <c r="L369" t="n">
        <v>0</v>
      </c>
      <c r="M369" t="n">
        <v>0</v>
      </c>
      <c r="N369" t="n">
        <v>0</v>
      </c>
      <c r="O369" t="n">
        <v>0</v>
      </c>
      <c r="P369" t="n">
        <v>0</v>
      </c>
      <c r="Q369" t="n">
        <v>0</v>
      </c>
      <c r="R369" s="2" t="inlineStr"/>
    </row>
    <row r="370" ht="15" customHeight="1">
      <c r="A370" t="inlineStr">
        <is>
          <t>A 30290-2022</t>
        </is>
      </c>
      <c r="B370" s="1" t="n">
        <v>44760</v>
      </c>
      <c r="C370" s="1" t="n">
        <v>45931</v>
      </c>
      <c r="D370" t="inlineStr">
        <is>
          <t>STOCKHOLMS LÄN</t>
        </is>
      </c>
      <c r="E370" t="inlineStr">
        <is>
          <t>NORRTÄLJE</t>
        </is>
      </c>
      <c r="G370" t="n">
        <v>4.8</v>
      </c>
      <c r="H370" t="n">
        <v>0</v>
      </c>
      <c r="I370" t="n">
        <v>0</v>
      </c>
      <c r="J370" t="n">
        <v>0</v>
      </c>
      <c r="K370" t="n">
        <v>0</v>
      </c>
      <c r="L370" t="n">
        <v>0</v>
      </c>
      <c r="M370" t="n">
        <v>0</v>
      </c>
      <c r="N370" t="n">
        <v>0</v>
      </c>
      <c r="O370" t="n">
        <v>0</v>
      </c>
      <c r="P370" t="n">
        <v>0</v>
      </c>
      <c r="Q370" t="n">
        <v>0</v>
      </c>
      <c r="R370" s="2" t="inlineStr"/>
    </row>
    <row r="371" ht="15" customHeight="1">
      <c r="A371" t="inlineStr">
        <is>
          <t>A 38985-2022</t>
        </is>
      </c>
      <c r="B371" s="1" t="n">
        <v>44816</v>
      </c>
      <c r="C371" s="1" t="n">
        <v>45931</v>
      </c>
      <c r="D371" t="inlineStr">
        <is>
          <t>STOCKHOLMS LÄN</t>
        </is>
      </c>
      <c r="E371" t="inlineStr">
        <is>
          <t>NORRTÄLJE</t>
        </is>
      </c>
      <c r="G371" t="n">
        <v>10.1</v>
      </c>
      <c r="H371" t="n">
        <v>0</v>
      </c>
      <c r="I371" t="n">
        <v>0</v>
      </c>
      <c r="J371" t="n">
        <v>0</v>
      </c>
      <c r="K371" t="n">
        <v>0</v>
      </c>
      <c r="L371" t="n">
        <v>0</v>
      </c>
      <c r="M371" t="n">
        <v>0</v>
      </c>
      <c r="N371" t="n">
        <v>0</v>
      </c>
      <c r="O371" t="n">
        <v>0</v>
      </c>
      <c r="P371" t="n">
        <v>0</v>
      </c>
      <c r="Q371" t="n">
        <v>0</v>
      </c>
      <c r="R371" s="2" t="inlineStr"/>
    </row>
    <row r="372" ht="15" customHeight="1">
      <c r="A372" t="inlineStr">
        <is>
          <t>A 25625-2023</t>
        </is>
      </c>
      <c r="B372" s="1" t="n">
        <v>45089</v>
      </c>
      <c r="C372" s="1" t="n">
        <v>45931</v>
      </c>
      <c r="D372" t="inlineStr">
        <is>
          <t>STOCKHOLMS LÄN</t>
        </is>
      </c>
      <c r="E372" t="inlineStr">
        <is>
          <t>NORRTÄLJE</t>
        </is>
      </c>
      <c r="G372" t="n">
        <v>5.5</v>
      </c>
      <c r="H372" t="n">
        <v>0</v>
      </c>
      <c r="I372" t="n">
        <v>0</v>
      </c>
      <c r="J372" t="n">
        <v>0</v>
      </c>
      <c r="K372" t="n">
        <v>0</v>
      </c>
      <c r="L372" t="n">
        <v>0</v>
      </c>
      <c r="M372" t="n">
        <v>0</v>
      </c>
      <c r="N372" t="n">
        <v>0</v>
      </c>
      <c r="O372" t="n">
        <v>0</v>
      </c>
      <c r="P372" t="n">
        <v>0</v>
      </c>
      <c r="Q372" t="n">
        <v>0</v>
      </c>
      <c r="R372" s="2" t="inlineStr"/>
    </row>
    <row r="373" ht="15" customHeight="1">
      <c r="A373" t="inlineStr">
        <is>
          <t>A 57037-2022</t>
        </is>
      </c>
      <c r="B373" s="1" t="n">
        <v>44895</v>
      </c>
      <c r="C373" s="1" t="n">
        <v>45931</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14762-2024</t>
        </is>
      </c>
      <c r="B374" s="1" t="n">
        <v>45397</v>
      </c>
      <c r="C374" s="1" t="n">
        <v>45931</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25621-2022</t>
        </is>
      </c>
      <c r="B375" s="1" t="n">
        <v>44732</v>
      </c>
      <c r="C375" s="1" t="n">
        <v>45931</v>
      </c>
      <c r="D375" t="inlineStr">
        <is>
          <t>STOCKHOLMS LÄN</t>
        </is>
      </c>
      <c r="E375" t="inlineStr">
        <is>
          <t>NORRTÄLJE</t>
        </is>
      </c>
      <c r="G375" t="n">
        <v>3.1</v>
      </c>
      <c r="H375" t="n">
        <v>0</v>
      </c>
      <c r="I375" t="n">
        <v>0</v>
      </c>
      <c r="J375" t="n">
        <v>0</v>
      </c>
      <c r="K375" t="n">
        <v>0</v>
      </c>
      <c r="L375" t="n">
        <v>0</v>
      </c>
      <c r="M375" t="n">
        <v>0</v>
      </c>
      <c r="N375" t="n">
        <v>0</v>
      </c>
      <c r="O375" t="n">
        <v>0</v>
      </c>
      <c r="P375" t="n">
        <v>0</v>
      </c>
      <c r="Q375" t="n">
        <v>0</v>
      </c>
      <c r="R375" s="2" t="inlineStr"/>
    </row>
    <row r="376" ht="15" customHeight="1">
      <c r="A376" t="inlineStr">
        <is>
          <t>A 20304-2023</t>
        </is>
      </c>
      <c r="B376" s="1" t="n">
        <v>45056</v>
      </c>
      <c r="C376" s="1" t="n">
        <v>45931</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35235-2024</t>
        </is>
      </c>
      <c r="B377" s="1" t="n">
        <v>45530</v>
      </c>
      <c r="C377" s="1" t="n">
        <v>45931</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51061-2023</t>
        </is>
      </c>
      <c r="B378" s="1" t="n">
        <v>45218.65849537037</v>
      </c>
      <c r="C378" s="1" t="n">
        <v>45931</v>
      </c>
      <c r="D378" t="inlineStr">
        <is>
          <t>STOCKHOLMS LÄN</t>
        </is>
      </c>
      <c r="E378" t="inlineStr">
        <is>
          <t>NORRTÄLJE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39213-2022</t>
        </is>
      </c>
      <c r="B379" s="1" t="n">
        <v>44817.56120370371</v>
      </c>
      <c r="C379" s="1" t="n">
        <v>45931</v>
      </c>
      <c r="D379" t="inlineStr">
        <is>
          <t>STOCKHOLMS LÄN</t>
        </is>
      </c>
      <c r="E379" t="inlineStr">
        <is>
          <t>NORRTÄLJE</t>
        </is>
      </c>
      <c r="G379" t="n">
        <v>3.4</v>
      </c>
      <c r="H379" t="n">
        <v>0</v>
      </c>
      <c r="I379" t="n">
        <v>0</v>
      </c>
      <c r="J379" t="n">
        <v>0</v>
      </c>
      <c r="K379" t="n">
        <v>0</v>
      </c>
      <c r="L379" t="n">
        <v>0</v>
      </c>
      <c r="M379" t="n">
        <v>0</v>
      </c>
      <c r="N379" t="n">
        <v>0</v>
      </c>
      <c r="O379" t="n">
        <v>0</v>
      </c>
      <c r="P379" t="n">
        <v>0</v>
      </c>
      <c r="Q379" t="n">
        <v>0</v>
      </c>
      <c r="R379" s="2" t="inlineStr"/>
    </row>
    <row r="380" ht="15" customHeight="1">
      <c r="A380" t="inlineStr">
        <is>
          <t>A 36246-2021</t>
        </is>
      </c>
      <c r="B380" s="1" t="n">
        <v>44390</v>
      </c>
      <c r="C380" s="1" t="n">
        <v>45931</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23149-2024</t>
        </is>
      </c>
      <c r="B381" s="1" t="n">
        <v>45450.64208333333</v>
      </c>
      <c r="C381" s="1" t="n">
        <v>45931</v>
      </c>
      <c r="D381" t="inlineStr">
        <is>
          <t>STOCKHOLMS LÄN</t>
        </is>
      </c>
      <c r="E381" t="inlineStr">
        <is>
          <t>NORRTÄLJE</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23151-2024</t>
        </is>
      </c>
      <c r="B382" s="1" t="n">
        <v>45450</v>
      </c>
      <c r="C382" s="1" t="n">
        <v>45931</v>
      </c>
      <c r="D382" t="inlineStr">
        <is>
          <t>STOCKHOLMS LÄN</t>
        </is>
      </c>
      <c r="E382" t="inlineStr">
        <is>
          <t>NORRTÄLJE</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16913-2025</t>
        </is>
      </c>
      <c r="B383" s="1" t="n">
        <v>45755.36583333334</v>
      </c>
      <c r="C383" s="1" t="n">
        <v>45931</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14132-2025</t>
        </is>
      </c>
      <c r="B384" s="1" t="n">
        <v>45740.47550925926</v>
      </c>
      <c r="C384" s="1" t="n">
        <v>45931</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14133-2025</t>
        </is>
      </c>
      <c r="B385" s="1" t="n">
        <v>45740.47724537037</v>
      </c>
      <c r="C385" s="1" t="n">
        <v>45931</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7186-2024</t>
        </is>
      </c>
      <c r="B386" s="1" t="n">
        <v>45344</v>
      </c>
      <c r="C386" s="1" t="n">
        <v>45931</v>
      </c>
      <c r="D386" t="inlineStr">
        <is>
          <t>STOCKHOLMS LÄN</t>
        </is>
      </c>
      <c r="E386" t="inlineStr">
        <is>
          <t>NORRTÄLJE</t>
        </is>
      </c>
      <c r="G386" t="n">
        <v>4.9</v>
      </c>
      <c r="H386" t="n">
        <v>0</v>
      </c>
      <c r="I386" t="n">
        <v>0</v>
      </c>
      <c r="J386" t="n">
        <v>0</v>
      </c>
      <c r="K386" t="n">
        <v>0</v>
      </c>
      <c r="L386" t="n">
        <v>0</v>
      </c>
      <c r="M386" t="n">
        <v>0</v>
      </c>
      <c r="N386" t="n">
        <v>0</v>
      </c>
      <c r="O386" t="n">
        <v>0</v>
      </c>
      <c r="P386" t="n">
        <v>0</v>
      </c>
      <c r="Q386" t="n">
        <v>0</v>
      </c>
      <c r="R386" s="2" t="inlineStr"/>
    </row>
    <row r="387" ht="15" customHeight="1">
      <c r="A387" t="inlineStr">
        <is>
          <t>A 51978-2023</t>
        </is>
      </c>
      <c r="B387" s="1" t="n">
        <v>45223</v>
      </c>
      <c r="C387" s="1" t="n">
        <v>45931</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13051-2021</t>
        </is>
      </c>
      <c r="B388" s="1" t="n">
        <v>44272</v>
      </c>
      <c r="C388" s="1" t="n">
        <v>45931</v>
      </c>
      <c r="D388" t="inlineStr">
        <is>
          <t>STOCKHOLMS LÄN</t>
        </is>
      </c>
      <c r="E388" t="inlineStr">
        <is>
          <t>NORRTÄLJE</t>
        </is>
      </c>
      <c r="G388" t="n">
        <v>9.1</v>
      </c>
      <c r="H388" t="n">
        <v>0</v>
      </c>
      <c r="I388" t="n">
        <v>0</v>
      </c>
      <c r="J388" t="n">
        <v>0</v>
      </c>
      <c r="K388" t="n">
        <v>0</v>
      </c>
      <c r="L388" t="n">
        <v>0</v>
      </c>
      <c r="M388" t="n">
        <v>0</v>
      </c>
      <c r="N388" t="n">
        <v>0</v>
      </c>
      <c r="O388" t="n">
        <v>0</v>
      </c>
      <c r="P388" t="n">
        <v>0</v>
      </c>
      <c r="Q388" t="n">
        <v>0</v>
      </c>
      <c r="R388" s="2" t="inlineStr"/>
    </row>
    <row r="389" ht="15" customHeight="1">
      <c r="A389" t="inlineStr">
        <is>
          <t>A 55755-2023</t>
        </is>
      </c>
      <c r="B389" s="1" t="n">
        <v>45239</v>
      </c>
      <c r="C389" s="1" t="n">
        <v>45931</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15905-2023</t>
        </is>
      </c>
      <c r="B390" s="1" t="n">
        <v>45022</v>
      </c>
      <c r="C390" s="1" t="n">
        <v>45931</v>
      </c>
      <c r="D390" t="inlineStr">
        <is>
          <t>STOCKHOLMS LÄN</t>
        </is>
      </c>
      <c r="E390" t="inlineStr">
        <is>
          <t>NORRTÄLJE</t>
        </is>
      </c>
      <c r="G390" t="n">
        <v>3.2</v>
      </c>
      <c r="H390" t="n">
        <v>0</v>
      </c>
      <c r="I390" t="n">
        <v>0</v>
      </c>
      <c r="J390" t="n">
        <v>0</v>
      </c>
      <c r="K390" t="n">
        <v>0</v>
      </c>
      <c r="L390" t="n">
        <v>0</v>
      </c>
      <c r="M390" t="n">
        <v>0</v>
      </c>
      <c r="N390" t="n">
        <v>0</v>
      </c>
      <c r="O390" t="n">
        <v>0</v>
      </c>
      <c r="P390" t="n">
        <v>0</v>
      </c>
      <c r="Q390" t="n">
        <v>0</v>
      </c>
      <c r="R390" s="2" t="inlineStr"/>
    </row>
    <row r="391" ht="15" customHeight="1">
      <c r="A391" t="inlineStr">
        <is>
          <t>A 11041-2025</t>
        </is>
      </c>
      <c r="B391" s="1" t="n">
        <v>45723</v>
      </c>
      <c r="C391" s="1" t="n">
        <v>45931</v>
      </c>
      <c r="D391" t="inlineStr">
        <is>
          <t>STOCKHOLMS LÄN</t>
        </is>
      </c>
      <c r="E391" t="inlineStr">
        <is>
          <t>NORRTÄLJE</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45549-2022</t>
        </is>
      </c>
      <c r="B392" s="1" t="n">
        <v>44845.48064814815</v>
      </c>
      <c r="C392" s="1" t="n">
        <v>45931</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39202-2024</t>
        </is>
      </c>
      <c r="B393" s="1" t="n">
        <v>45548.72306712963</v>
      </c>
      <c r="C393" s="1" t="n">
        <v>45931</v>
      </c>
      <c r="D393" t="inlineStr">
        <is>
          <t>STOCKHOLMS LÄN</t>
        </is>
      </c>
      <c r="E393" t="inlineStr">
        <is>
          <t>NORRTÄLJE</t>
        </is>
      </c>
      <c r="G393" t="n">
        <v>1.9</v>
      </c>
      <c r="H393" t="n">
        <v>0</v>
      </c>
      <c r="I393" t="n">
        <v>0</v>
      </c>
      <c r="J393" t="n">
        <v>0</v>
      </c>
      <c r="K393" t="n">
        <v>0</v>
      </c>
      <c r="L393" t="n">
        <v>0</v>
      </c>
      <c r="M393" t="n">
        <v>0</v>
      </c>
      <c r="N393" t="n">
        <v>0</v>
      </c>
      <c r="O393" t="n">
        <v>0</v>
      </c>
      <c r="P393" t="n">
        <v>0</v>
      </c>
      <c r="Q393" t="n">
        <v>0</v>
      </c>
      <c r="R393" s="2" t="inlineStr"/>
    </row>
    <row r="394" ht="15" customHeight="1">
      <c r="A394" t="inlineStr">
        <is>
          <t>A 40761-2024</t>
        </is>
      </c>
      <c r="B394" s="1" t="n">
        <v>45558.46283564815</v>
      </c>
      <c r="C394" s="1" t="n">
        <v>45931</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44917-2022</t>
        </is>
      </c>
      <c r="B395" s="1" t="n">
        <v>44841.52804398148</v>
      </c>
      <c r="C395" s="1" t="n">
        <v>45931</v>
      </c>
      <c r="D395" t="inlineStr">
        <is>
          <t>STOCKHOLMS LÄN</t>
        </is>
      </c>
      <c r="E395" t="inlineStr">
        <is>
          <t>NORRTÄLJE</t>
        </is>
      </c>
      <c r="F395" t="inlineStr">
        <is>
          <t>Holmen skog AB</t>
        </is>
      </c>
      <c r="G395" t="n">
        <v>3.3</v>
      </c>
      <c r="H395" t="n">
        <v>0</v>
      </c>
      <c r="I395" t="n">
        <v>0</v>
      </c>
      <c r="J395" t="n">
        <v>0</v>
      </c>
      <c r="K395" t="n">
        <v>0</v>
      </c>
      <c r="L395" t="n">
        <v>0</v>
      </c>
      <c r="M395" t="n">
        <v>0</v>
      </c>
      <c r="N395" t="n">
        <v>0</v>
      </c>
      <c r="O395" t="n">
        <v>0</v>
      </c>
      <c r="P395" t="n">
        <v>0</v>
      </c>
      <c r="Q395" t="n">
        <v>0</v>
      </c>
      <c r="R395" s="2" t="inlineStr"/>
    </row>
    <row r="396" ht="15" customHeight="1">
      <c r="A396" t="inlineStr">
        <is>
          <t>A 23692-2024</t>
        </is>
      </c>
      <c r="B396" s="1" t="n">
        <v>45454.65774305556</v>
      </c>
      <c r="C396" s="1" t="n">
        <v>45931</v>
      </c>
      <c r="D396" t="inlineStr">
        <is>
          <t>STOCKHOLMS LÄN</t>
        </is>
      </c>
      <c r="E396" t="inlineStr">
        <is>
          <t>NORRTÄLJE</t>
        </is>
      </c>
      <c r="G396" t="n">
        <v>3.7</v>
      </c>
      <c r="H396" t="n">
        <v>0</v>
      </c>
      <c r="I396" t="n">
        <v>0</v>
      </c>
      <c r="J396" t="n">
        <v>0</v>
      </c>
      <c r="K396" t="n">
        <v>0</v>
      </c>
      <c r="L396" t="n">
        <v>0</v>
      </c>
      <c r="M396" t="n">
        <v>0</v>
      </c>
      <c r="N396" t="n">
        <v>0</v>
      </c>
      <c r="O396" t="n">
        <v>0</v>
      </c>
      <c r="P396" t="n">
        <v>0</v>
      </c>
      <c r="Q396" t="n">
        <v>0</v>
      </c>
      <c r="R396" s="2" t="inlineStr"/>
    </row>
    <row r="397" ht="15" customHeight="1">
      <c r="A397" t="inlineStr">
        <is>
          <t>A 33173-2024</t>
        </is>
      </c>
      <c r="B397" s="1" t="n">
        <v>45518</v>
      </c>
      <c r="C397" s="1" t="n">
        <v>45931</v>
      </c>
      <c r="D397" t="inlineStr">
        <is>
          <t>STOCKHOLMS LÄN</t>
        </is>
      </c>
      <c r="E397" t="inlineStr">
        <is>
          <t>NORRTÄLJE</t>
        </is>
      </c>
      <c r="G397" t="n">
        <v>0.8</v>
      </c>
      <c r="H397" t="n">
        <v>0</v>
      </c>
      <c r="I397" t="n">
        <v>0</v>
      </c>
      <c r="J397" t="n">
        <v>0</v>
      </c>
      <c r="K397" t="n">
        <v>0</v>
      </c>
      <c r="L397" t="n">
        <v>0</v>
      </c>
      <c r="M397" t="n">
        <v>0</v>
      </c>
      <c r="N397" t="n">
        <v>0</v>
      </c>
      <c r="O397" t="n">
        <v>0</v>
      </c>
      <c r="P397" t="n">
        <v>0</v>
      </c>
      <c r="Q397" t="n">
        <v>0</v>
      </c>
      <c r="R397" s="2" t="inlineStr"/>
    </row>
    <row r="398" ht="15" customHeight="1">
      <c r="A398" t="inlineStr">
        <is>
          <t>A 17551-2025</t>
        </is>
      </c>
      <c r="B398" s="1" t="n">
        <v>45757.61421296297</v>
      </c>
      <c r="C398" s="1" t="n">
        <v>45931</v>
      </c>
      <c r="D398" t="inlineStr">
        <is>
          <t>STOCKHOLMS LÄN</t>
        </is>
      </c>
      <c r="E398" t="inlineStr">
        <is>
          <t>NORRTÄLJE</t>
        </is>
      </c>
      <c r="G398" t="n">
        <v>2.8</v>
      </c>
      <c r="H398" t="n">
        <v>0</v>
      </c>
      <c r="I398" t="n">
        <v>0</v>
      </c>
      <c r="J398" t="n">
        <v>0</v>
      </c>
      <c r="K398" t="n">
        <v>0</v>
      </c>
      <c r="L398" t="n">
        <v>0</v>
      </c>
      <c r="M398" t="n">
        <v>0</v>
      </c>
      <c r="N398" t="n">
        <v>0</v>
      </c>
      <c r="O398" t="n">
        <v>0</v>
      </c>
      <c r="P398" t="n">
        <v>0</v>
      </c>
      <c r="Q398" t="n">
        <v>0</v>
      </c>
      <c r="R398" s="2" t="inlineStr"/>
    </row>
    <row r="399" ht="15" customHeight="1">
      <c r="A399" t="inlineStr">
        <is>
          <t>A 53792-2023</t>
        </is>
      </c>
      <c r="B399" s="1" t="n">
        <v>45231.34144675926</v>
      </c>
      <c r="C399" s="1" t="n">
        <v>45931</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28816-2023</t>
        </is>
      </c>
      <c r="B400" s="1" t="n">
        <v>45104</v>
      </c>
      <c r="C400" s="1" t="n">
        <v>45931</v>
      </c>
      <c r="D400" t="inlineStr">
        <is>
          <t>STOCKHOLMS LÄN</t>
        </is>
      </c>
      <c r="E400" t="inlineStr">
        <is>
          <t>NORRTÄLJE</t>
        </is>
      </c>
      <c r="F400" t="inlineStr">
        <is>
          <t>Kommuner</t>
        </is>
      </c>
      <c r="G400" t="n">
        <v>0.5</v>
      </c>
      <c r="H400" t="n">
        <v>0</v>
      </c>
      <c r="I400" t="n">
        <v>0</v>
      </c>
      <c r="J400" t="n">
        <v>0</v>
      </c>
      <c r="K400" t="n">
        <v>0</v>
      </c>
      <c r="L400" t="n">
        <v>0</v>
      </c>
      <c r="M400" t="n">
        <v>0</v>
      </c>
      <c r="N400" t="n">
        <v>0</v>
      </c>
      <c r="O400" t="n">
        <v>0</v>
      </c>
      <c r="P400" t="n">
        <v>0</v>
      </c>
      <c r="Q400" t="n">
        <v>0</v>
      </c>
      <c r="R400" s="2" t="inlineStr"/>
    </row>
    <row r="401" ht="15" customHeight="1">
      <c r="A401" t="inlineStr">
        <is>
          <t>A 11280-2023</t>
        </is>
      </c>
      <c r="B401" s="1" t="n">
        <v>44992</v>
      </c>
      <c r="C401" s="1" t="n">
        <v>45931</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10678-2025</t>
        </is>
      </c>
      <c r="B402" s="1" t="n">
        <v>45721.89123842592</v>
      </c>
      <c r="C402" s="1" t="n">
        <v>45931</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57442-2021</t>
        </is>
      </c>
      <c r="B403" s="1" t="n">
        <v>44483</v>
      </c>
      <c r="C403" s="1" t="n">
        <v>45931</v>
      </c>
      <c r="D403" t="inlineStr">
        <is>
          <t>STOCKHOLMS LÄN</t>
        </is>
      </c>
      <c r="E403" t="inlineStr">
        <is>
          <t>NORRTÄLJE</t>
        </is>
      </c>
      <c r="G403" t="n">
        <v>3.3</v>
      </c>
      <c r="H403" t="n">
        <v>0</v>
      </c>
      <c r="I403" t="n">
        <v>0</v>
      </c>
      <c r="J403" t="n">
        <v>0</v>
      </c>
      <c r="K403" t="n">
        <v>0</v>
      </c>
      <c r="L403" t="n">
        <v>0</v>
      </c>
      <c r="M403" t="n">
        <v>0</v>
      </c>
      <c r="N403" t="n">
        <v>0</v>
      </c>
      <c r="O403" t="n">
        <v>0</v>
      </c>
      <c r="P403" t="n">
        <v>0</v>
      </c>
      <c r="Q403" t="n">
        <v>0</v>
      </c>
      <c r="R403" s="2" t="inlineStr"/>
    </row>
    <row r="404" ht="15" customHeight="1">
      <c r="A404" t="inlineStr">
        <is>
          <t>A 37550-2022</t>
        </is>
      </c>
      <c r="B404" s="1" t="n">
        <v>44809</v>
      </c>
      <c r="C404" s="1" t="n">
        <v>45931</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47431-2023</t>
        </is>
      </c>
      <c r="B405" s="1" t="n">
        <v>45202</v>
      </c>
      <c r="C405" s="1" t="n">
        <v>45931</v>
      </c>
      <c r="D405" t="inlineStr">
        <is>
          <t>STOCKHOLMS LÄN</t>
        </is>
      </c>
      <c r="E405" t="inlineStr">
        <is>
          <t>NORRTÄLJE</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8370-2025</t>
        </is>
      </c>
      <c r="B406" s="1" t="n">
        <v>45708</v>
      </c>
      <c r="C406" s="1" t="n">
        <v>45931</v>
      </c>
      <c r="D406" t="inlineStr">
        <is>
          <t>STOCKHOLMS LÄN</t>
        </is>
      </c>
      <c r="E406" t="inlineStr">
        <is>
          <t>NORRTÄLJE</t>
        </is>
      </c>
      <c r="F406" t="inlineStr">
        <is>
          <t>Övriga Aktiebolag</t>
        </is>
      </c>
      <c r="G406" t="n">
        <v>5.6</v>
      </c>
      <c r="H406" t="n">
        <v>0</v>
      </c>
      <c r="I406" t="n">
        <v>0</v>
      </c>
      <c r="J406" t="n">
        <v>0</v>
      </c>
      <c r="K406" t="n">
        <v>0</v>
      </c>
      <c r="L406" t="n">
        <v>0</v>
      </c>
      <c r="M406" t="n">
        <v>0</v>
      </c>
      <c r="N406" t="n">
        <v>0</v>
      </c>
      <c r="O406" t="n">
        <v>0</v>
      </c>
      <c r="P406" t="n">
        <v>0</v>
      </c>
      <c r="Q406" t="n">
        <v>0</v>
      </c>
      <c r="R406" s="2" t="inlineStr"/>
    </row>
    <row r="407" ht="15" customHeight="1">
      <c r="A407" t="inlineStr">
        <is>
          <t>A 19952-2023</t>
        </is>
      </c>
      <c r="B407" s="1" t="n">
        <v>45054.54091435186</v>
      </c>
      <c r="C407" s="1" t="n">
        <v>45931</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19994-2023</t>
        </is>
      </c>
      <c r="B408" s="1" t="n">
        <v>45054</v>
      </c>
      <c r="C408" s="1" t="n">
        <v>45931</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951-2023</t>
        </is>
      </c>
      <c r="B409" s="1" t="n">
        <v>44934</v>
      </c>
      <c r="C409" s="1" t="n">
        <v>45931</v>
      </c>
      <c r="D409" t="inlineStr">
        <is>
          <t>STOCKHOLMS LÄN</t>
        </is>
      </c>
      <c r="E409" t="inlineStr">
        <is>
          <t>NORRTÄLJE</t>
        </is>
      </c>
      <c r="G409" t="n">
        <v>3.7</v>
      </c>
      <c r="H409" t="n">
        <v>0</v>
      </c>
      <c r="I409" t="n">
        <v>0</v>
      </c>
      <c r="J409" t="n">
        <v>0</v>
      </c>
      <c r="K409" t="n">
        <v>0</v>
      </c>
      <c r="L409" t="n">
        <v>0</v>
      </c>
      <c r="M409" t="n">
        <v>0</v>
      </c>
      <c r="N409" t="n">
        <v>0</v>
      </c>
      <c r="O409" t="n">
        <v>0</v>
      </c>
      <c r="P409" t="n">
        <v>0</v>
      </c>
      <c r="Q409" t="n">
        <v>0</v>
      </c>
      <c r="R409" s="2" t="inlineStr"/>
    </row>
    <row r="410" ht="15" customHeight="1">
      <c r="A410" t="inlineStr">
        <is>
          <t>A 29003-2023</t>
        </is>
      </c>
      <c r="B410" s="1" t="n">
        <v>45104</v>
      </c>
      <c r="C410" s="1" t="n">
        <v>45931</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23262-2023</t>
        </is>
      </c>
      <c r="B411" s="1" t="n">
        <v>45075.90270833333</v>
      </c>
      <c r="C411" s="1" t="n">
        <v>45931</v>
      </c>
      <c r="D411" t="inlineStr">
        <is>
          <t>STOCKHOLMS LÄN</t>
        </is>
      </c>
      <c r="E411" t="inlineStr">
        <is>
          <t>NORRTÄLJE</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23268-2023</t>
        </is>
      </c>
      <c r="B412" s="1" t="n">
        <v>45075.91042824074</v>
      </c>
      <c r="C412" s="1" t="n">
        <v>45931</v>
      </c>
      <c r="D412" t="inlineStr">
        <is>
          <t>STOCKHOLMS LÄN</t>
        </is>
      </c>
      <c r="E412" t="inlineStr">
        <is>
          <t>NORRTÄLJE</t>
        </is>
      </c>
      <c r="G412" t="n">
        <v>3.3</v>
      </c>
      <c r="H412" t="n">
        <v>0</v>
      </c>
      <c r="I412" t="n">
        <v>0</v>
      </c>
      <c r="J412" t="n">
        <v>0</v>
      </c>
      <c r="K412" t="n">
        <v>0</v>
      </c>
      <c r="L412" t="n">
        <v>0</v>
      </c>
      <c r="M412" t="n">
        <v>0</v>
      </c>
      <c r="N412" t="n">
        <v>0</v>
      </c>
      <c r="O412" t="n">
        <v>0</v>
      </c>
      <c r="P412" t="n">
        <v>0</v>
      </c>
      <c r="Q412" t="n">
        <v>0</v>
      </c>
      <c r="R412" s="2" t="inlineStr"/>
    </row>
    <row r="413" ht="15" customHeight="1">
      <c r="A413" t="inlineStr">
        <is>
          <t>A 23270-2023</t>
        </is>
      </c>
      <c r="B413" s="1" t="n">
        <v>45075.91265046296</v>
      </c>
      <c r="C413" s="1" t="n">
        <v>45931</v>
      </c>
      <c r="D413" t="inlineStr">
        <is>
          <t>STOCKHOLMS LÄN</t>
        </is>
      </c>
      <c r="E413" t="inlineStr">
        <is>
          <t>NORRTÄLJE</t>
        </is>
      </c>
      <c r="G413" t="n">
        <v>12.3</v>
      </c>
      <c r="H413" t="n">
        <v>0</v>
      </c>
      <c r="I413" t="n">
        <v>0</v>
      </c>
      <c r="J413" t="n">
        <v>0</v>
      </c>
      <c r="K413" t="n">
        <v>0</v>
      </c>
      <c r="L413" t="n">
        <v>0</v>
      </c>
      <c r="M413" t="n">
        <v>0</v>
      </c>
      <c r="N413" t="n">
        <v>0</v>
      </c>
      <c r="O413" t="n">
        <v>0</v>
      </c>
      <c r="P413" t="n">
        <v>0</v>
      </c>
      <c r="Q413" t="n">
        <v>0</v>
      </c>
      <c r="R413" s="2" t="inlineStr"/>
    </row>
    <row r="414" ht="15" customHeight="1">
      <c r="A414" t="inlineStr">
        <is>
          <t>A 23274-2023</t>
        </is>
      </c>
      <c r="B414" s="1" t="n">
        <v>45075.92153935185</v>
      </c>
      <c r="C414" s="1" t="n">
        <v>45931</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5732-2023</t>
        </is>
      </c>
      <c r="B415" s="1" t="n">
        <v>44962</v>
      </c>
      <c r="C415" s="1" t="n">
        <v>45931</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32100-2022</t>
        </is>
      </c>
      <c r="B416" s="1" t="n">
        <v>44778</v>
      </c>
      <c r="C416" s="1" t="n">
        <v>45931</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15956-2023</t>
        </is>
      </c>
      <c r="B417" s="1" t="n">
        <v>45022.61003472222</v>
      </c>
      <c r="C417" s="1" t="n">
        <v>45931</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25609-2023</t>
        </is>
      </c>
      <c r="B418" s="1" t="n">
        <v>45089</v>
      </c>
      <c r="C418" s="1" t="n">
        <v>45931</v>
      </c>
      <c r="D418" t="inlineStr">
        <is>
          <t>STOCKHOLMS LÄN</t>
        </is>
      </c>
      <c r="E418" t="inlineStr">
        <is>
          <t>NORRTÄLJE</t>
        </is>
      </c>
      <c r="G418" t="n">
        <v>2.5</v>
      </c>
      <c r="H418" t="n">
        <v>0</v>
      </c>
      <c r="I418" t="n">
        <v>0</v>
      </c>
      <c r="J418" t="n">
        <v>0</v>
      </c>
      <c r="K418" t="n">
        <v>0</v>
      </c>
      <c r="L418" t="n">
        <v>0</v>
      </c>
      <c r="M418" t="n">
        <v>0</v>
      </c>
      <c r="N418" t="n">
        <v>0</v>
      </c>
      <c r="O418" t="n">
        <v>0</v>
      </c>
      <c r="P418" t="n">
        <v>0</v>
      </c>
      <c r="Q418" t="n">
        <v>0</v>
      </c>
      <c r="R418" s="2" t="inlineStr"/>
    </row>
    <row r="419" ht="15" customHeight="1">
      <c r="A419" t="inlineStr">
        <is>
          <t>A 2888-2022</t>
        </is>
      </c>
      <c r="B419" s="1" t="n">
        <v>44581</v>
      </c>
      <c r="C419" s="1" t="n">
        <v>45931</v>
      </c>
      <c r="D419" t="inlineStr">
        <is>
          <t>STOCKHOLMS LÄN</t>
        </is>
      </c>
      <c r="E419" t="inlineStr">
        <is>
          <t>NORRTÄLJE</t>
        </is>
      </c>
      <c r="G419" t="n">
        <v>2.4</v>
      </c>
      <c r="H419" t="n">
        <v>0</v>
      </c>
      <c r="I419" t="n">
        <v>0</v>
      </c>
      <c r="J419" t="n">
        <v>0</v>
      </c>
      <c r="K419" t="n">
        <v>0</v>
      </c>
      <c r="L419" t="n">
        <v>0</v>
      </c>
      <c r="M419" t="n">
        <v>0</v>
      </c>
      <c r="N419" t="n">
        <v>0</v>
      </c>
      <c r="O419" t="n">
        <v>0</v>
      </c>
      <c r="P419" t="n">
        <v>0</v>
      </c>
      <c r="Q419" t="n">
        <v>0</v>
      </c>
      <c r="R419" s="2" t="inlineStr"/>
    </row>
    <row r="420" ht="15" customHeight="1">
      <c r="A420" t="inlineStr">
        <is>
          <t>A 22816-2021</t>
        </is>
      </c>
      <c r="B420" s="1" t="n">
        <v>44325</v>
      </c>
      <c r="C420" s="1" t="n">
        <v>45931</v>
      </c>
      <c r="D420" t="inlineStr">
        <is>
          <t>STOCKHOLMS LÄN</t>
        </is>
      </c>
      <c r="E420" t="inlineStr">
        <is>
          <t>NORRTÄLJE</t>
        </is>
      </c>
      <c r="G420" t="n">
        <v>4.5</v>
      </c>
      <c r="H420" t="n">
        <v>0</v>
      </c>
      <c r="I420" t="n">
        <v>0</v>
      </c>
      <c r="J420" t="n">
        <v>0</v>
      </c>
      <c r="K420" t="n">
        <v>0</v>
      </c>
      <c r="L420" t="n">
        <v>0</v>
      </c>
      <c r="M420" t="n">
        <v>0</v>
      </c>
      <c r="N420" t="n">
        <v>0</v>
      </c>
      <c r="O420" t="n">
        <v>0</v>
      </c>
      <c r="P420" t="n">
        <v>0</v>
      </c>
      <c r="Q420" t="n">
        <v>0</v>
      </c>
      <c r="R420" s="2" t="inlineStr"/>
    </row>
    <row r="421" ht="15" customHeight="1">
      <c r="A421" t="inlineStr">
        <is>
          <t>A 33569-2023</t>
        </is>
      </c>
      <c r="B421" s="1" t="n">
        <v>45131.666875</v>
      </c>
      <c r="C421" s="1" t="n">
        <v>45931</v>
      </c>
      <c r="D421" t="inlineStr">
        <is>
          <t>STOCKHOLMS LÄN</t>
        </is>
      </c>
      <c r="E421" t="inlineStr">
        <is>
          <t>NORRTÄLJE</t>
        </is>
      </c>
      <c r="G421" t="n">
        <v>2.3</v>
      </c>
      <c r="H421" t="n">
        <v>0</v>
      </c>
      <c r="I421" t="n">
        <v>0</v>
      </c>
      <c r="J421" t="n">
        <v>0</v>
      </c>
      <c r="K421" t="n">
        <v>0</v>
      </c>
      <c r="L421" t="n">
        <v>0</v>
      </c>
      <c r="M421" t="n">
        <v>0</v>
      </c>
      <c r="N421" t="n">
        <v>0</v>
      </c>
      <c r="O421" t="n">
        <v>0</v>
      </c>
      <c r="P421" t="n">
        <v>0</v>
      </c>
      <c r="Q421" t="n">
        <v>0</v>
      </c>
      <c r="R421" s="2" t="inlineStr"/>
    </row>
    <row r="422" ht="15" customHeight="1">
      <c r="A422" t="inlineStr">
        <is>
          <t>A 11902-2024</t>
        </is>
      </c>
      <c r="B422" s="1" t="n">
        <v>45376.55704861111</v>
      </c>
      <c r="C422" s="1" t="n">
        <v>45931</v>
      </c>
      <c r="D422" t="inlineStr">
        <is>
          <t>STOCKHOLMS LÄN</t>
        </is>
      </c>
      <c r="E422" t="inlineStr">
        <is>
          <t>NORRTÄLJE</t>
        </is>
      </c>
      <c r="G422" t="n">
        <v>2.5</v>
      </c>
      <c r="H422" t="n">
        <v>0</v>
      </c>
      <c r="I422" t="n">
        <v>0</v>
      </c>
      <c r="J422" t="n">
        <v>0</v>
      </c>
      <c r="K422" t="n">
        <v>0</v>
      </c>
      <c r="L422" t="n">
        <v>0</v>
      </c>
      <c r="M422" t="n">
        <v>0</v>
      </c>
      <c r="N422" t="n">
        <v>0</v>
      </c>
      <c r="O422" t="n">
        <v>0</v>
      </c>
      <c r="P422" t="n">
        <v>0</v>
      </c>
      <c r="Q422" t="n">
        <v>0</v>
      </c>
      <c r="R422" s="2" t="inlineStr"/>
    </row>
    <row r="423" ht="15" customHeight="1">
      <c r="A423" t="inlineStr">
        <is>
          <t>A 13-2024</t>
        </is>
      </c>
      <c r="B423" s="1" t="n">
        <v>45293.37263888889</v>
      </c>
      <c r="C423" s="1" t="n">
        <v>45931</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50569-2022</t>
        </is>
      </c>
      <c r="B424" s="1" t="n">
        <v>44866.63775462963</v>
      </c>
      <c r="C424" s="1" t="n">
        <v>45931</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5950-2021</t>
        </is>
      </c>
      <c r="B425" s="1" t="n">
        <v>44231</v>
      </c>
      <c r="C425" s="1" t="n">
        <v>45931</v>
      </c>
      <c r="D425" t="inlineStr">
        <is>
          <t>STOCKHOLMS LÄN</t>
        </is>
      </c>
      <c r="E425" t="inlineStr">
        <is>
          <t>NORRTÄLJE</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3444-2023</t>
        </is>
      </c>
      <c r="B426" s="1" t="n">
        <v>44949</v>
      </c>
      <c r="C426" s="1" t="n">
        <v>45931</v>
      </c>
      <c r="D426" t="inlineStr">
        <is>
          <t>STOCKHOLMS LÄN</t>
        </is>
      </c>
      <c r="E426" t="inlineStr">
        <is>
          <t>NORRTÄLJE</t>
        </is>
      </c>
      <c r="G426" t="n">
        <v>5.1</v>
      </c>
      <c r="H426" t="n">
        <v>0</v>
      </c>
      <c r="I426" t="n">
        <v>0</v>
      </c>
      <c r="J426" t="n">
        <v>0</v>
      </c>
      <c r="K426" t="n">
        <v>0</v>
      </c>
      <c r="L426" t="n">
        <v>0</v>
      </c>
      <c r="M426" t="n">
        <v>0</v>
      </c>
      <c r="N426" t="n">
        <v>0</v>
      </c>
      <c r="O426" t="n">
        <v>0</v>
      </c>
      <c r="P426" t="n">
        <v>0</v>
      </c>
      <c r="Q426" t="n">
        <v>0</v>
      </c>
      <c r="R426" s="2" t="inlineStr"/>
    </row>
    <row r="427" ht="15" customHeight="1">
      <c r="A427" t="inlineStr">
        <is>
          <t>A 58260-2023</t>
        </is>
      </c>
      <c r="B427" s="1" t="n">
        <v>45245</v>
      </c>
      <c r="C427" s="1" t="n">
        <v>45931</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58261-2023</t>
        </is>
      </c>
      <c r="B428" s="1" t="n">
        <v>45245</v>
      </c>
      <c r="C428" s="1" t="n">
        <v>45931</v>
      </c>
      <c r="D428" t="inlineStr">
        <is>
          <t>STOCKHOLMS LÄN</t>
        </is>
      </c>
      <c r="E428" t="inlineStr">
        <is>
          <t>NORRTÄLJE</t>
        </is>
      </c>
      <c r="G428" t="n">
        <v>53.5</v>
      </c>
      <c r="H428" t="n">
        <v>0</v>
      </c>
      <c r="I428" t="n">
        <v>0</v>
      </c>
      <c r="J428" t="n">
        <v>0</v>
      </c>
      <c r="K428" t="n">
        <v>0</v>
      </c>
      <c r="L428" t="n">
        <v>0</v>
      </c>
      <c r="M428" t="n">
        <v>0</v>
      </c>
      <c r="N428" t="n">
        <v>0</v>
      </c>
      <c r="O428" t="n">
        <v>0</v>
      </c>
      <c r="P428" t="n">
        <v>0</v>
      </c>
      <c r="Q428" t="n">
        <v>0</v>
      </c>
      <c r="R428" s="2" t="inlineStr"/>
    </row>
    <row r="429" ht="15" customHeight="1">
      <c r="A429" t="inlineStr">
        <is>
          <t>A 13053-2022</t>
        </is>
      </c>
      <c r="B429" s="1" t="n">
        <v>44643</v>
      </c>
      <c r="C429" s="1" t="n">
        <v>45931</v>
      </c>
      <c r="D429" t="inlineStr">
        <is>
          <t>STOCKHOLMS LÄN</t>
        </is>
      </c>
      <c r="E429" t="inlineStr">
        <is>
          <t>NORRTÄLJE</t>
        </is>
      </c>
      <c r="G429" t="n">
        <v>2.8</v>
      </c>
      <c r="H429" t="n">
        <v>0</v>
      </c>
      <c r="I429" t="n">
        <v>0</v>
      </c>
      <c r="J429" t="n">
        <v>0</v>
      </c>
      <c r="K429" t="n">
        <v>0</v>
      </c>
      <c r="L429" t="n">
        <v>0</v>
      </c>
      <c r="M429" t="n">
        <v>0</v>
      </c>
      <c r="N429" t="n">
        <v>0</v>
      </c>
      <c r="O429" t="n">
        <v>0</v>
      </c>
      <c r="P429" t="n">
        <v>0</v>
      </c>
      <c r="Q429" t="n">
        <v>0</v>
      </c>
      <c r="R429" s="2" t="inlineStr"/>
    </row>
    <row r="430" ht="15" customHeight="1">
      <c r="A430" t="inlineStr">
        <is>
          <t>A 4553-2023</t>
        </is>
      </c>
      <c r="B430" s="1" t="n">
        <v>44956.65920138889</v>
      </c>
      <c r="C430" s="1" t="n">
        <v>45931</v>
      </c>
      <c r="D430" t="inlineStr">
        <is>
          <t>STOCKHOLMS LÄN</t>
        </is>
      </c>
      <c r="E430" t="inlineStr">
        <is>
          <t>NORRTÄLJE</t>
        </is>
      </c>
      <c r="G430" t="n">
        <v>7.5</v>
      </c>
      <c r="H430" t="n">
        <v>0</v>
      </c>
      <c r="I430" t="n">
        <v>0</v>
      </c>
      <c r="J430" t="n">
        <v>0</v>
      </c>
      <c r="K430" t="n">
        <v>0</v>
      </c>
      <c r="L430" t="n">
        <v>0</v>
      </c>
      <c r="M430" t="n">
        <v>0</v>
      </c>
      <c r="N430" t="n">
        <v>0</v>
      </c>
      <c r="O430" t="n">
        <v>0</v>
      </c>
      <c r="P430" t="n">
        <v>0</v>
      </c>
      <c r="Q430" t="n">
        <v>0</v>
      </c>
      <c r="R430" s="2" t="inlineStr"/>
    </row>
    <row r="431" ht="15" customHeight="1">
      <c r="A431" t="inlineStr">
        <is>
          <t>A 875-2023</t>
        </is>
      </c>
      <c r="B431" s="1" t="n">
        <v>44931.65626157408</v>
      </c>
      <c r="C431" s="1" t="n">
        <v>45931</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3383-2023</t>
        </is>
      </c>
      <c r="B432" s="1" t="n">
        <v>44949</v>
      </c>
      <c r="C432" s="1" t="n">
        <v>45931</v>
      </c>
      <c r="D432" t="inlineStr">
        <is>
          <t>STOCKHOLMS LÄN</t>
        </is>
      </c>
      <c r="E432" t="inlineStr">
        <is>
          <t>NORRTÄLJE</t>
        </is>
      </c>
      <c r="G432" t="n">
        <v>14.6</v>
      </c>
      <c r="H432" t="n">
        <v>0</v>
      </c>
      <c r="I432" t="n">
        <v>0</v>
      </c>
      <c r="J432" t="n">
        <v>0</v>
      </c>
      <c r="K432" t="n">
        <v>0</v>
      </c>
      <c r="L432" t="n">
        <v>0</v>
      </c>
      <c r="M432" t="n">
        <v>0</v>
      </c>
      <c r="N432" t="n">
        <v>0</v>
      </c>
      <c r="O432" t="n">
        <v>0</v>
      </c>
      <c r="P432" t="n">
        <v>0</v>
      </c>
      <c r="Q432" t="n">
        <v>0</v>
      </c>
      <c r="R432" s="2" t="inlineStr"/>
    </row>
    <row r="433" ht="15" customHeight="1">
      <c r="A433" t="inlineStr">
        <is>
          <t>A 24575-2024</t>
        </is>
      </c>
      <c r="B433" s="1" t="n">
        <v>45460.45523148148</v>
      </c>
      <c r="C433" s="1" t="n">
        <v>45931</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19-2024</t>
        </is>
      </c>
      <c r="B434" s="1" t="n">
        <v>45293</v>
      </c>
      <c r="C434" s="1" t="n">
        <v>45931</v>
      </c>
      <c r="D434" t="inlineStr">
        <is>
          <t>STOCKHOLMS LÄN</t>
        </is>
      </c>
      <c r="E434" t="inlineStr">
        <is>
          <t>NORRTÄLJE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4316-2023</t>
        </is>
      </c>
      <c r="B435" s="1" t="n">
        <v>44953.67443287037</v>
      </c>
      <c r="C435" s="1" t="n">
        <v>45931</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22833-2024</t>
        </is>
      </c>
      <c r="B436" s="1" t="n">
        <v>45448.56746527777</v>
      </c>
      <c r="C436" s="1" t="n">
        <v>45931</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60224-2023</t>
        </is>
      </c>
      <c r="B437" s="1" t="n">
        <v>45257</v>
      </c>
      <c r="C437" s="1" t="n">
        <v>45931</v>
      </c>
      <c r="D437" t="inlineStr">
        <is>
          <t>STOCKHOLMS LÄN</t>
        </is>
      </c>
      <c r="E437" t="inlineStr">
        <is>
          <t>NORRTÄLJE</t>
        </is>
      </c>
      <c r="G437" t="n">
        <v>8.1</v>
      </c>
      <c r="H437" t="n">
        <v>0</v>
      </c>
      <c r="I437" t="n">
        <v>0</v>
      </c>
      <c r="J437" t="n">
        <v>0</v>
      </c>
      <c r="K437" t="n">
        <v>0</v>
      </c>
      <c r="L437" t="n">
        <v>0</v>
      </c>
      <c r="M437" t="n">
        <v>0</v>
      </c>
      <c r="N437" t="n">
        <v>0</v>
      </c>
      <c r="O437" t="n">
        <v>0</v>
      </c>
      <c r="P437" t="n">
        <v>0</v>
      </c>
      <c r="Q437" t="n">
        <v>0</v>
      </c>
      <c r="R437" s="2" t="inlineStr"/>
    </row>
    <row r="438" ht="15" customHeight="1">
      <c r="A438" t="inlineStr">
        <is>
          <t>A 5839-2023</t>
        </is>
      </c>
      <c r="B438" s="1" t="n">
        <v>44963</v>
      </c>
      <c r="C438" s="1" t="n">
        <v>45931</v>
      </c>
      <c r="D438" t="inlineStr">
        <is>
          <t>STOCKHOLMS LÄN</t>
        </is>
      </c>
      <c r="E438" t="inlineStr">
        <is>
          <t>NORRTÄLJE</t>
        </is>
      </c>
      <c r="G438" t="n">
        <v>3.6</v>
      </c>
      <c r="H438" t="n">
        <v>0</v>
      </c>
      <c r="I438" t="n">
        <v>0</v>
      </c>
      <c r="J438" t="n">
        <v>0</v>
      </c>
      <c r="K438" t="n">
        <v>0</v>
      </c>
      <c r="L438" t="n">
        <v>0</v>
      </c>
      <c r="M438" t="n">
        <v>0</v>
      </c>
      <c r="N438" t="n">
        <v>0</v>
      </c>
      <c r="O438" t="n">
        <v>0</v>
      </c>
      <c r="P438" t="n">
        <v>0</v>
      </c>
      <c r="Q438" t="n">
        <v>0</v>
      </c>
      <c r="R438" s="2" t="inlineStr"/>
    </row>
    <row r="439" ht="15" customHeight="1">
      <c r="A439" t="inlineStr">
        <is>
          <t>A 11333-2025</t>
        </is>
      </c>
      <c r="B439" s="1" t="n">
        <v>45726.48377314815</v>
      </c>
      <c r="C439" s="1" t="n">
        <v>45931</v>
      </c>
      <c r="D439" t="inlineStr">
        <is>
          <t>STOCKHOLMS LÄN</t>
        </is>
      </c>
      <c r="E439" t="inlineStr">
        <is>
          <t>NORRTÄLJE</t>
        </is>
      </c>
      <c r="G439" t="n">
        <v>1.4</v>
      </c>
      <c r="H439" t="n">
        <v>0</v>
      </c>
      <c r="I439" t="n">
        <v>0</v>
      </c>
      <c r="J439" t="n">
        <v>0</v>
      </c>
      <c r="K439" t="n">
        <v>0</v>
      </c>
      <c r="L439" t="n">
        <v>0</v>
      </c>
      <c r="M439" t="n">
        <v>0</v>
      </c>
      <c r="N439" t="n">
        <v>0</v>
      </c>
      <c r="O439" t="n">
        <v>0</v>
      </c>
      <c r="P439" t="n">
        <v>0</v>
      </c>
      <c r="Q439" t="n">
        <v>0</v>
      </c>
      <c r="R439" s="2" t="inlineStr"/>
    </row>
    <row r="440" ht="15" customHeight="1">
      <c r="A440" t="inlineStr">
        <is>
          <t>A 21529-2021</t>
        </is>
      </c>
      <c r="B440" s="1" t="n">
        <v>44321</v>
      </c>
      <c r="C440" s="1" t="n">
        <v>45931</v>
      </c>
      <c r="D440" t="inlineStr">
        <is>
          <t>STOCKHOLMS LÄN</t>
        </is>
      </c>
      <c r="E440" t="inlineStr">
        <is>
          <t>NORRTÄLJE</t>
        </is>
      </c>
      <c r="G440" t="n">
        <v>2.7</v>
      </c>
      <c r="H440" t="n">
        <v>0</v>
      </c>
      <c r="I440" t="n">
        <v>0</v>
      </c>
      <c r="J440" t="n">
        <v>0</v>
      </c>
      <c r="K440" t="n">
        <v>0</v>
      </c>
      <c r="L440" t="n">
        <v>0</v>
      </c>
      <c r="M440" t="n">
        <v>0</v>
      </c>
      <c r="N440" t="n">
        <v>0</v>
      </c>
      <c r="O440" t="n">
        <v>0</v>
      </c>
      <c r="P440" t="n">
        <v>0</v>
      </c>
      <c r="Q440" t="n">
        <v>0</v>
      </c>
      <c r="R440" s="2" t="inlineStr"/>
    </row>
    <row r="441" ht="15" customHeight="1">
      <c r="A441" t="inlineStr">
        <is>
          <t>A 17785-2024</t>
        </is>
      </c>
      <c r="B441" s="1" t="n">
        <v>45418.6968287037</v>
      </c>
      <c r="C441" s="1" t="n">
        <v>45931</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5804-2025</t>
        </is>
      </c>
      <c r="B442" s="1" t="n">
        <v>45694.68207175926</v>
      </c>
      <c r="C442" s="1" t="n">
        <v>45931</v>
      </c>
      <c r="D442" t="inlineStr">
        <is>
          <t>STOCKHOLMS LÄN</t>
        </is>
      </c>
      <c r="E442" t="inlineStr">
        <is>
          <t>NORRTÄLJE</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31827-2023</t>
        </is>
      </c>
      <c r="B443" s="1" t="n">
        <v>45118</v>
      </c>
      <c r="C443" s="1" t="n">
        <v>45931</v>
      </c>
      <c r="D443" t="inlineStr">
        <is>
          <t>STOCKHOLMS LÄN</t>
        </is>
      </c>
      <c r="E443" t="inlineStr">
        <is>
          <t>NORRTÄLJE</t>
        </is>
      </c>
      <c r="F443" t="inlineStr">
        <is>
          <t>Kyrkan</t>
        </is>
      </c>
      <c r="G443" t="n">
        <v>4.9</v>
      </c>
      <c r="H443" t="n">
        <v>0</v>
      </c>
      <c r="I443" t="n">
        <v>0</v>
      </c>
      <c r="J443" t="n">
        <v>0</v>
      </c>
      <c r="K443" t="n">
        <v>0</v>
      </c>
      <c r="L443" t="n">
        <v>0</v>
      </c>
      <c r="M443" t="n">
        <v>0</v>
      </c>
      <c r="N443" t="n">
        <v>0</v>
      </c>
      <c r="O443" t="n">
        <v>0</v>
      </c>
      <c r="P443" t="n">
        <v>0</v>
      </c>
      <c r="Q443" t="n">
        <v>0</v>
      </c>
      <c r="R443" s="2" t="inlineStr"/>
    </row>
    <row r="444" ht="15" customHeight="1">
      <c r="A444" t="inlineStr">
        <is>
          <t>A 65499-2021</t>
        </is>
      </c>
      <c r="B444" s="1" t="n">
        <v>44516</v>
      </c>
      <c r="C444" s="1" t="n">
        <v>45931</v>
      </c>
      <c r="D444" t="inlineStr">
        <is>
          <t>STOCKHOLMS LÄN</t>
        </is>
      </c>
      <c r="E444" t="inlineStr">
        <is>
          <t>NORRTÄLJE</t>
        </is>
      </c>
      <c r="F444" t="inlineStr">
        <is>
          <t>Kommuner</t>
        </is>
      </c>
      <c r="G444" t="n">
        <v>5.2</v>
      </c>
      <c r="H444" t="n">
        <v>0</v>
      </c>
      <c r="I444" t="n">
        <v>0</v>
      </c>
      <c r="J444" t="n">
        <v>0</v>
      </c>
      <c r="K444" t="n">
        <v>0</v>
      </c>
      <c r="L444" t="n">
        <v>0</v>
      </c>
      <c r="M444" t="n">
        <v>0</v>
      </c>
      <c r="N444" t="n">
        <v>0</v>
      </c>
      <c r="O444" t="n">
        <v>0</v>
      </c>
      <c r="P444" t="n">
        <v>0</v>
      </c>
      <c r="Q444" t="n">
        <v>0</v>
      </c>
      <c r="R444" s="2" t="inlineStr"/>
    </row>
    <row r="445" ht="15" customHeight="1">
      <c r="A445" t="inlineStr">
        <is>
          <t>A 10973-2025</t>
        </is>
      </c>
      <c r="B445" s="1" t="n">
        <v>45723</v>
      </c>
      <c r="C445" s="1" t="n">
        <v>45931</v>
      </c>
      <c r="D445" t="inlineStr">
        <is>
          <t>STOCKHOLMS LÄN</t>
        </is>
      </c>
      <c r="E445" t="inlineStr">
        <is>
          <t>NORRTÄLJE</t>
        </is>
      </c>
      <c r="F445" t="inlineStr">
        <is>
          <t>Övriga Aktiebolag</t>
        </is>
      </c>
      <c r="G445" t="n">
        <v>2.7</v>
      </c>
      <c r="H445" t="n">
        <v>0</v>
      </c>
      <c r="I445" t="n">
        <v>0</v>
      </c>
      <c r="J445" t="n">
        <v>0</v>
      </c>
      <c r="K445" t="n">
        <v>0</v>
      </c>
      <c r="L445" t="n">
        <v>0</v>
      </c>
      <c r="M445" t="n">
        <v>0</v>
      </c>
      <c r="N445" t="n">
        <v>0</v>
      </c>
      <c r="O445" t="n">
        <v>0</v>
      </c>
      <c r="P445" t="n">
        <v>0</v>
      </c>
      <c r="Q445" t="n">
        <v>0</v>
      </c>
      <c r="R445" s="2" t="inlineStr"/>
    </row>
    <row r="446" ht="15" customHeight="1">
      <c r="A446" t="inlineStr">
        <is>
          <t>A 24705-2023</t>
        </is>
      </c>
      <c r="B446" s="1" t="n">
        <v>45084.54459490741</v>
      </c>
      <c r="C446" s="1" t="n">
        <v>45931</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29684-2021</t>
        </is>
      </c>
      <c r="B447" s="1" t="n">
        <v>44362.37172453704</v>
      </c>
      <c r="C447" s="1" t="n">
        <v>45931</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54496-2024</t>
        </is>
      </c>
      <c r="B448" s="1" t="n">
        <v>45617.57439814815</v>
      </c>
      <c r="C448" s="1" t="n">
        <v>45931</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54358-2022</t>
        </is>
      </c>
      <c r="B449" s="1" t="n">
        <v>44882</v>
      </c>
      <c r="C449" s="1" t="n">
        <v>45931</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21386-2023</t>
        </is>
      </c>
      <c r="B450" s="1" t="n">
        <v>45063.35880787037</v>
      </c>
      <c r="C450" s="1" t="n">
        <v>45931</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4593-2023</t>
        </is>
      </c>
      <c r="B451" s="1" t="n">
        <v>44956</v>
      </c>
      <c r="C451" s="1" t="n">
        <v>45931</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23749-2024</t>
        </is>
      </c>
      <c r="B452" s="1" t="n">
        <v>45455.33037037037</v>
      </c>
      <c r="C452" s="1" t="n">
        <v>45931</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35691-2023</t>
        </is>
      </c>
      <c r="B453" s="1" t="n">
        <v>45147.65222222222</v>
      </c>
      <c r="C453" s="1" t="n">
        <v>45931</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35693-2023</t>
        </is>
      </c>
      <c r="B454" s="1" t="n">
        <v>45147.65311342593</v>
      </c>
      <c r="C454" s="1" t="n">
        <v>45931</v>
      </c>
      <c r="D454" t="inlineStr">
        <is>
          <t>STOCKHOLMS LÄN</t>
        </is>
      </c>
      <c r="E454" t="inlineStr">
        <is>
          <t>NORRTÄLJE</t>
        </is>
      </c>
      <c r="G454" t="n">
        <v>2.2</v>
      </c>
      <c r="H454" t="n">
        <v>0</v>
      </c>
      <c r="I454" t="n">
        <v>0</v>
      </c>
      <c r="J454" t="n">
        <v>0</v>
      </c>
      <c r="K454" t="n">
        <v>0</v>
      </c>
      <c r="L454" t="n">
        <v>0</v>
      </c>
      <c r="M454" t="n">
        <v>0</v>
      </c>
      <c r="N454" t="n">
        <v>0</v>
      </c>
      <c r="O454" t="n">
        <v>0</v>
      </c>
      <c r="P454" t="n">
        <v>0</v>
      </c>
      <c r="Q454" t="n">
        <v>0</v>
      </c>
      <c r="R454" s="2" t="inlineStr"/>
    </row>
    <row r="455" ht="15" customHeight="1">
      <c r="A455" t="inlineStr">
        <is>
          <t>A 35698-2023</t>
        </is>
      </c>
      <c r="B455" s="1" t="n">
        <v>45147</v>
      </c>
      <c r="C455" s="1" t="n">
        <v>45931</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54396-2021</t>
        </is>
      </c>
      <c r="B456" s="1" t="n">
        <v>44472</v>
      </c>
      <c r="C456" s="1" t="n">
        <v>45931</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7796-2025</t>
        </is>
      </c>
      <c r="B457" s="1" t="n">
        <v>45706.60130787037</v>
      </c>
      <c r="C457" s="1" t="n">
        <v>45931</v>
      </c>
      <c r="D457" t="inlineStr">
        <is>
          <t>STOCKHOLMS LÄN</t>
        </is>
      </c>
      <c r="E457" t="inlineStr">
        <is>
          <t>NORRTÄLJE</t>
        </is>
      </c>
      <c r="F457" t="inlineStr">
        <is>
          <t>Holmen skog AB</t>
        </is>
      </c>
      <c r="G457" t="n">
        <v>2.4</v>
      </c>
      <c r="H457" t="n">
        <v>0</v>
      </c>
      <c r="I457" t="n">
        <v>0</v>
      </c>
      <c r="J457" t="n">
        <v>0</v>
      </c>
      <c r="K457" t="n">
        <v>0</v>
      </c>
      <c r="L457" t="n">
        <v>0</v>
      </c>
      <c r="M457" t="n">
        <v>0</v>
      </c>
      <c r="N457" t="n">
        <v>0</v>
      </c>
      <c r="O457" t="n">
        <v>0</v>
      </c>
      <c r="P457" t="n">
        <v>0</v>
      </c>
      <c r="Q457" t="n">
        <v>0</v>
      </c>
      <c r="R457" s="2" t="inlineStr"/>
    </row>
    <row r="458" ht="15" customHeight="1">
      <c r="A458" t="inlineStr">
        <is>
          <t>A 59767-2022</t>
        </is>
      </c>
      <c r="B458" s="1" t="n">
        <v>44900</v>
      </c>
      <c r="C458" s="1" t="n">
        <v>45931</v>
      </c>
      <c r="D458" t="inlineStr">
        <is>
          <t>STOCKHOLMS LÄN</t>
        </is>
      </c>
      <c r="E458" t="inlineStr">
        <is>
          <t>NORRTÄLJE</t>
        </is>
      </c>
      <c r="G458" t="n">
        <v>2.2</v>
      </c>
      <c r="H458" t="n">
        <v>0</v>
      </c>
      <c r="I458" t="n">
        <v>0</v>
      </c>
      <c r="J458" t="n">
        <v>0</v>
      </c>
      <c r="K458" t="n">
        <v>0</v>
      </c>
      <c r="L458" t="n">
        <v>0</v>
      </c>
      <c r="M458" t="n">
        <v>0</v>
      </c>
      <c r="N458" t="n">
        <v>0</v>
      </c>
      <c r="O458" t="n">
        <v>0</v>
      </c>
      <c r="P458" t="n">
        <v>0</v>
      </c>
      <c r="Q458" t="n">
        <v>0</v>
      </c>
      <c r="R458" s="2" t="inlineStr"/>
    </row>
    <row r="459" ht="15" customHeight="1">
      <c r="A459" t="inlineStr">
        <is>
          <t>A 22756-2022</t>
        </is>
      </c>
      <c r="B459" s="1" t="n">
        <v>44714.92253472222</v>
      </c>
      <c r="C459" s="1" t="n">
        <v>45931</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32071-2023</t>
        </is>
      </c>
      <c r="B460" s="1" t="n">
        <v>45119.57728009259</v>
      </c>
      <c r="C460" s="1" t="n">
        <v>45931</v>
      </c>
      <c r="D460" t="inlineStr">
        <is>
          <t>STOCKHOLMS LÄN</t>
        </is>
      </c>
      <c r="E460" t="inlineStr">
        <is>
          <t>NORRTÄLJE</t>
        </is>
      </c>
      <c r="G460" t="n">
        <v>6.5</v>
      </c>
      <c r="H460" t="n">
        <v>0</v>
      </c>
      <c r="I460" t="n">
        <v>0</v>
      </c>
      <c r="J460" t="n">
        <v>0</v>
      </c>
      <c r="K460" t="n">
        <v>0</v>
      </c>
      <c r="L460" t="n">
        <v>0</v>
      </c>
      <c r="M460" t="n">
        <v>0</v>
      </c>
      <c r="N460" t="n">
        <v>0</v>
      </c>
      <c r="O460" t="n">
        <v>0</v>
      </c>
      <c r="P460" t="n">
        <v>0</v>
      </c>
      <c r="Q460" t="n">
        <v>0</v>
      </c>
      <c r="R460" s="2" t="inlineStr"/>
    </row>
    <row r="461" ht="15" customHeight="1">
      <c r="A461" t="inlineStr">
        <is>
          <t>A 25681-2024</t>
        </is>
      </c>
      <c r="B461" s="1" t="n">
        <v>45463.80486111111</v>
      </c>
      <c r="C461" s="1" t="n">
        <v>45931</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73992-2021</t>
        </is>
      </c>
      <c r="B462" s="1" t="n">
        <v>44556</v>
      </c>
      <c r="C462" s="1" t="n">
        <v>45931</v>
      </c>
      <c r="D462" t="inlineStr">
        <is>
          <t>STOCKHOLMS LÄN</t>
        </is>
      </c>
      <c r="E462" t="inlineStr">
        <is>
          <t>NORRTÄLJE</t>
        </is>
      </c>
      <c r="G462" t="n">
        <v>12.5</v>
      </c>
      <c r="H462" t="n">
        <v>0</v>
      </c>
      <c r="I462" t="n">
        <v>0</v>
      </c>
      <c r="J462" t="n">
        <v>0</v>
      </c>
      <c r="K462" t="n">
        <v>0</v>
      </c>
      <c r="L462" t="n">
        <v>0</v>
      </c>
      <c r="M462" t="n">
        <v>0</v>
      </c>
      <c r="N462" t="n">
        <v>0</v>
      </c>
      <c r="O462" t="n">
        <v>0</v>
      </c>
      <c r="P462" t="n">
        <v>0</v>
      </c>
      <c r="Q462" t="n">
        <v>0</v>
      </c>
      <c r="R462" s="2" t="inlineStr"/>
    </row>
    <row r="463" ht="15" customHeight="1">
      <c r="A463" t="inlineStr">
        <is>
          <t>A 58311-2023</t>
        </is>
      </c>
      <c r="B463" s="1" t="n">
        <v>45245</v>
      </c>
      <c r="C463" s="1" t="n">
        <v>45931</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21329-2022</t>
        </is>
      </c>
      <c r="B464" s="1" t="n">
        <v>44705.60626157407</v>
      </c>
      <c r="C464" s="1" t="n">
        <v>45931</v>
      </c>
      <c r="D464" t="inlineStr">
        <is>
          <t>STOCKHOLMS LÄN</t>
        </is>
      </c>
      <c r="E464" t="inlineStr">
        <is>
          <t>NORRTÄLJE</t>
        </is>
      </c>
      <c r="G464" t="n">
        <v>4.1</v>
      </c>
      <c r="H464" t="n">
        <v>0</v>
      </c>
      <c r="I464" t="n">
        <v>0</v>
      </c>
      <c r="J464" t="n">
        <v>0</v>
      </c>
      <c r="K464" t="n">
        <v>0</v>
      </c>
      <c r="L464" t="n">
        <v>0</v>
      </c>
      <c r="M464" t="n">
        <v>0</v>
      </c>
      <c r="N464" t="n">
        <v>0</v>
      </c>
      <c r="O464" t="n">
        <v>0</v>
      </c>
      <c r="P464" t="n">
        <v>0</v>
      </c>
      <c r="Q464" t="n">
        <v>0</v>
      </c>
      <c r="R464" s="2" t="inlineStr"/>
    </row>
    <row r="465" ht="15" customHeight="1">
      <c r="A465" t="inlineStr">
        <is>
          <t>A 8739-2024</t>
        </is>
      </c>
      <c r="B465" s="1" t="n">
        <v>45356.47784722222</v>
      </c>
      <c r="C465" s="1" t="n">
        <v>45931</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26640-2023</t>
        </is>
      </c>
      <c r="B466" s="1" t="n">
        <v>45092</v>
      </c>
      <c r="C466" s="1" t="n">
        <v>45931</v>
      </c>
      <c r="D466" t="inlineStr">
        <is>
          <t>STOCKHOLMS LÄN</t>
        </is>
      </c>
      <c r="E466" t="inlineStr">
        <is>
          <t>NORRTÄLJE</t>
        </is>
      </c>
      <c r="G466" t="n">
        <v>5.7</v>
      </c>
      <c r="H466" t="n">
        <v>0</v>
      </c>
      <c r="I466" t="n">
        <v>0</v>
      </c>
      <c r="J466" t="n">
        <v>0</v>
      </c>
      <c r="K466" t="n">
        <v>0</v>
      </c>
      <c r="L466" t="n">
        <v>0</v>
      </c>
      <c r="M466" t="n">
        <v>0</v>
      </c>
      <c r="N466" t="n">
        <v>0</v>
      </c>
      <c r="O466" t="n">
        <v>0</v>
      </c>
      <c r="P466" t="n">
        <v>0</v>
      </c>
      <c r="Q466" t="n">
        <v>0</v>
      </c>
      <c r="R466" s="2" t="inlineStr"/>
    </row>
    <row r="467" ht="15" customHeight="1">
      <c r="A467" t="inlineStr">
        <is>
          <t>A 24245-2024</t>
        </is>
      </c>
      <c r="B467" s="1" t="n">
        <v>45457</v>
      </c>
      <c r="C467" s="1" t="n">
        <v>45931</v>
      </c>
      <c r="D467" t="inlineStr">
        <is>
          <t>STOCKHOLMS LÄN</t>
        </is>
      </c>
      <c r="E467" t="inlineStr">
        <is>
          <t>NORRTÄLJE</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62765-2022</t>
        </is>
      </c>
      <c r="B468" s="1" t="n">
        <v>44637</v>
      </c>
      <c r="C468" s="1" t="n">
        <v>45931</v>
      </c>
      <c r="D468" t="inlineStr">
        <is>
          <t>STOCKHOLMS LÄN</t>
        </is>
      </c>
      <c r="E468" t="inlineStr">
        <is>
          <t>NORRTÄLJE</t>
        </is>
      </c>
      <c r="G468" t="n">
        <v>2.7</v>
      </c>
      <c r="H468" t="n">
        <v>0</v>
      </c>
      <c r="I468" t="n">
        <v>0</v>
      </c>
      <c r="J468" t="n">
        <v>0</v>
      </c>
      <c r="K468" t="n">
        <v>0</v>
      </c>
      <c r="L468" t="n">
        <v>0</v>
      </c>
      <c r="M468" t="n">
        <v>0</v>
      </c>
      <c r="N468" t="n">
        <v>0</v>
      </c>
      <c r="O468" t="n">
        <v>0</v>
      </c>
      <c r="P468" t="n">
        <v>0</v>
      </c>
      <c r="Q468" t="n">
        <v>0</v>
      </c>
      <c r="R468" s="2" t="inlineStr"/>
    </row>
    <row r="469" ht="15" customHeight="1">
      <c r="A469" t="inlineStr">
        <is>
          <t>A 46415-2025</t>
        </is>
      </c>
      <c r="B469" s="1" t="n">
        <v>45925.58636574074</v>
      </c>
      <c r="C469" s="1" t="n">
        <v>45931</v>
      </c>
      <c r="D469" t="inlineStr">
        <is>
          <t>STOCKHOLMS LÄN</t>
        </is>
      </c>
      <c r="E469" t="inlineStr">
        <is>
          <t>NORRTÄLJE</t>
        </is>
      </c>
      <c r="G469" t="n">
        <v>3.8</v>
      </c>
      <c r="H469" t="n">
        <v>0</v>
      </c>
      <c r="I469" t="n">
        <v>0</v>
      </c>
      <c r="J469" t="n">
        <v>0</v>
      </c>
      <c r="K469" t="n">
        <v>0</v>
      </c>
      <c r="L469" t="n">
        <v>0</v>
      </c>
      <c r="M469" t="n">
        <v>0</v>
      </c>
      <c r="N469" t="n">
        <v>0</v>
      </c>
      <c r="O469" t="n">
        <v>0</v>
      </c>
      <c r="P469" t="n">
        <v>0</v>
      </c>
      <c r="Q469" t="n">
        <v>0</v>
      </c>
      <c r="R469" s="2" t="inlineStr"/>
    </row>
    <row r="470" ht="15" customHeight="1">
      <c r="A470" t="inlineStr">
        <is>
          <t>A 54276-2021</t>
        </is>
      </c>
      <c r="B470" s="1" t="n">
        <v>44470</v>
      </c>
      <c r="C470" s="1" t="n">
        <v>45931</v>
      </c>
      <c r="D470" t="inlineStr">
        <is>
          <t>STOCKHOLMS LÄN</t>
        </is>
      </c>
      <c r="E470" t="inlineStr">
        <is>
          <t>NORRTÄLJE</t>
        </is>
      </c>
      <c r="G470" t="n">
        <v>7.3</v>
      </c>
      <c r="H470" t="n">
        <v>0</v>
      </c>
      <c r="I470" t="n">
        <v>0</v>
      </c>
      <c r="J470" t="n">
        <v>0</v>
      </c>
      <c r="K470" t="n">
        <v>0</v>
      </c>
      <c r="L470" t="n">
        <v>0</v>
      </c>
      <c r="M470" t="n">
        <v>0</v>
      </c>
      <c r="N470" t="n">
        <v>0</v>
      </c>
      <c r="O470" t="n">
        <v>0</v>
      </c>
      <c r="P470" t="n">
        <v>0</v>
      </c>
      <c r="Q470" t="n">
        <v>0</v>
      </c>
      <c r="R470" s="2" t="inlineStr"/>
    </row>
    <row r="471" ht="15" customHeight="1">
      <c r="A471" t="inlineStr">
        <is>
          <t>A 38990-2022</t>
        </is>
      </c>
      <c r="B471" s="1" t="n">
        <v>44816</v>
      </c>
      <c r="C471" s="1" t="n">
        <v>45931</v>
      </c>
      <c r="D471" t="inlineStr">
        <is>
          <t>STOCKHOLMS LÄN</t>
        </is>
      </c>
      <c r="E471" t="inlineStr">
        <is>
          <t>NORRTÄLJE</t>
        </is>
      </c>
      <c r="G471" t="n">
        <v>5.7</v>
      </c>
      <c r="H471" t="n">
        <v>0</v>
      </c>
      <c r="I471" t="n">
        <v>0</v>
      </c>
      <c r="J471" t="n">
        <v>0</v>
      </c>
      <c r="K471" t="n">
        <v>0</v>
      </c>
      <c r="L471" t="n">
        <v>0</v>
      </c>
      <c r="M471" t="n">
        <v>0</v>
      </c>
      <c r="N471" t="n">
        <v>0</v>
      </c>
      <c r="O471" t="n">
        <v>0</v>
      </c>
      <c r="P471" t="n">
        <v>0</v>
      </c>
      <c r="Q471" t="n">
        <v>0</v>
      </c>
      <c r="R471" s="2" t="inlineStr"/>
    </row>
    <row r="472" ht="15" customHeight="1">
      <c r="A472" t="inlineStr">
        <is>
          <t>A 17545-2025</t>
        </is>
      </c>
      <c r="B472" s="1" t="n">
        <v>45757.60658564815</v>
      </c>
      <c r="C472" s="1" t="n">
        <v>45931</v>
      </c>
      <c r="D472" t="inlineStr">
        <is>
          <t>STOCKHOLMS LÄN</t>
        </is>
      </c>
      <c r="E472" t="inlineStr">
        <is>
          <t>NORRTÄLJE</t>
        </is>
      </c>
      <c r="G472" t="n">
        <v>1.6</v>
      </c>
      <c r="H472" t="n">
        <v>0</v>
      </c>
      <c r="I472" t="n">
        <v>0</v>
      </c>
      <c r="J472" t="n">
        <v>0</v>
      </c>
      <c r="K472" t="n">
        <v>0</v>
      </c>
      <c r="L472" t="n">
        <v>0</v>
      </c>
      <c r="M472" t="n">
        <v>0</v>
      </c>
      <c r="N472" t="n">
        <v>0</v>
      </c>
      <c r="O472" t="n">
        <v>0</v>
      </c>
      <c r="P472" t="n">
        <v>0</v>
      </c>
      <c r="Q472" t="n">
        <v>0</v>
      </c>
      <c r="R472" s="2" t="inlineStr"/>
    </row>
    <row r="473" ht="15" customHeight="1">
      <c r="A473" t="inlineStr">
        <is>
          <t>A 26115-2024</t>
        </is>
      </c>
      <c r="B473" s="1" t="n">
        <v>45468.45628472222</v>
      </c>
      <c r="C473" s="1" t="n">
        <v>45931</v>
      </c>
      <c r="D473" t="inlineStr">
        <is>
          <t>STOCKHOLMS LÄN</t>
        </is>
      </c>
      <c r="E473" t="inlineStr">
        <is>
          <t>NORRTÄLJE</t>
        </is>
      </c>
      <c r="G473" t="n">
        <v>0.3</v>
      </c>
      <c r="H473" t="n">
        <v>0</v>
      </c>
      <c r="I473" t="n">
        <v>0</v>
      </c>
      <c r="J473" t="n">
        <v>0</v>
      </c>
      <c r="K473" t="n">
        <v>0</v>
      </c>
      <c r="L473" t="n">
        <v>0</v>
      </c>
      <c r="M473" t="n">
        <v>0</v>
      </c>
      <c r="N473" t="n">
        <v>0</v>
      </c>
      <c r="O473" t="n">
        <v>0</v>
      </c>
      <c r="P473" t="n">
        <v>0</v>
      </c>
      <c r="Q473" t="n">
        <v>0</v>
      </c>
      <c r="R473" s="2" t="inlineStr"/>
    </row>
    <row r="474" ht="15" customHeight="1">
      <c r="A474" t="inlineStr">
        <is>
          <t>A 10090-2022</t>
        </is>
      </c>
      <c r="B474" s="1" t="n">
        <v>44621</v>
      </c>
      <c r="C474" s="1" t="n">
        <v>45931</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13785-2024</t>
        </is>
      </c>
      <c r="B475" s="1" t="n">
        <v>45391.3395949074</v>
      </c>
      <c r="C475" s="1" t="n">
        <v>45931</v>
      </c>
      <c r="D475" t="inlineStr">
        <is>
          <t>STOCKHOLMS LÄN</t>
        </is>
      </c>
      <c r="E475" t="inlineStr">
        <is>
          <t>NORRTÄLJE</t>
        </is>
      </c>
      <c r="G475" t="n">
        <v>5</v>
      </c>
      <c r="H475" t="n">
        <v>0</v>
      </c>
      <c r="I475" t="n">
        <v>0</v>
      </c>
      <c r="J475" t="n">
        <v>0</v>
      </c>
      <c r="K475" t="n">
        <v>0</v>
      </c>
      <c r="L475" t="n">
        <v>0</v>
      </c>
      <c r="M475" t="n">
        <v>0</v>
      </c>
      <c r="N475" t="n">
        <v>0</v>
      </c>
      <c r="O475" t="n">
        <v>0</v>
      </c>
      <c r="P475" t="n">
        <v>0</v>
      </c>
      <c r="Q475" t="n">
        <v>0</v>
      </c>
      <c r="R475" s="2" t="inlineStr"/>
    </row>
    <row r="476" ht="15" customHeight="1">
      <c r="A476" t="inlineStr">
        <is>
          <t>A 51116-2022</t>
        </is>
      </c>
      <c r="B476" s="1" t="n">
        <v>44868.45741898148</v>
      </c>
      <c r="C476" s="1" t="n">
        <v>45931</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17956-2025</t>
        </is>
      </c>
      <c r="B477" s="1" t="n">
        <v>45760.91174768518</v>
      </c>
      <c r="C477" s="1" t="n">
        <v>45931</v>
      </c>
      <c r="D477" t="inlineStr">
        <is>
          <t>STOCKHOLMS LÄN</t>
        </is>
      </c>
      <c r="E477" t="inlineStr">
        <is>
          <t>NORRTÄLJE</t>
        </is>
      </c>
      <c r="G477" t="n">
        <v>4.3</v>
      </c>
      <c r="H477" t="n">
        <v>0</v>
      </c>
      <c r="I477" t="n">
        <v>0</v>
      </c>
      <c r="J477" t="n">
        <v>0</v>
      </c>
      <c r="K477" t="n">
        <v>0</v>
      </c>
      <c r="L477" t="n">
        <v>0</v>
      </c>
      <c r="M477" t="n">
        <v>0</v>
      </c>
      <c r="N477" t="n">
        <v>0</v>
      </c>
      <c r="O477" t="n">
        <v>0</v>
      </c>
      <c r="P477" t="n">
        <v>0</v>
      </c>
      <c r="Q477" t="n">
        <v>0</v>
      </c>
      <c r="R477" s="2" t="inlineStr"/>
    </row>
    <row r="478" ht="15" customHeight="1">
      <c r="A478" t="inlineStr">
        <is>
          <t>A 23265-2023</t>
        </is>
      </c>
      <c r="B478" s="1" t="n">
        <v>45075.90703703704</v>
      </c>
      <c r="C478" s="1" t="n">
        <v>45931</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29972-2024</t>
        </is>
      </c>
      <c r="B479" s="1" t="n">
        <v>45485</v>
      </c>
      <c r="C479" s="1" t="n">
        <v>45931</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30268-2024</t>
        </is>
      </c>
      <c r="B480" s="1" t="n">
        <v>45490.60572916667</v>
      </c>
      <c r="C480" s="1" t="n">
        <v>45931</v>
      </c>
      <c r="D480" t="inlineStr">
        <is>
          <t>STOCKHOLMS LÄN</t>
        </is>
      </c>
      <c r="E480" t="inlineStr">
        <is>
          <t>NORRTÄLJE</t>
        </is>
      </c>
      <c r="G480" t="n">
        <v>5.6</v>
      </c>
      <c r="H480" t="n">
        <v>0</v>
      </c>
      <c r="I480" t="n">
        <v>0</v>
      </c>
      <c r="J480" t="n">
        <v>0</v>
      </c>
      <c r="K480" t="n">
        <v>0</v>
      </c>
      <c r="L480" t="n">
        <v>0</v>
      </c>
      <c r="M480" t="n">
        <v>0</v>
      </c>
      <c r="N480" t="n">
        <v>0</v>
      </c>
      <c r="O480" t="n">
        <v>0</v>
      </c>
      <c r="P480" t="n">
        <v>0</v>
      </c>
      <c r="Q480" t="n">
        <v>0</v>
      </c>
      <c r="R480" s="2" t="inlineStr"/>
    </row>
    <row r="481" ht="15" customHeight="1">
      <c r="A481" t="inlineStr">
        <is>
          <t>A 59535-2024</t>
        </is>
      </c>
      <c r="B481" s="1" t="n">
        <v>45638.59979166667</v>
      </c>
      <c r="C481" s="1" t="n">
        <v>45931</v>
      </c>
      <c r="D481" t="inlineStr">
        <is>
          <t>STOCKHOLMS LÄN</t>
        </is>
      </c>
      <c r="E481" t="inlineStr">
        <is>
          <t>NORRTÄLJE</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9246-2024</t>
        </is>
      </c>
      <c r="B482" s="1" t="n">
        <v>45357</v>
      </c>
      <c r="C482" s="1" t="n">
        <v>45931</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28809-2023</t>
        </is>
      </c>
      <c r="B483" s="1" t="n">
        <v>45104</v>
      </c>
      <c r="C483" s="1" t="n">
        <v>45931</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28813-2023</t>
        </is>
      </c>
      <c r="B484" s="1" t="n">
        <v>45104</v>
      </c>
      <c r="C484" s="1" t="n">
        <v>45931</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54273-2021</t>
        </is>
      </c>
      <c r="B485" s="1" t="n">
        <v>44470.72987268519</v>
      </c>
      <c r="C485" s="1" t="n">
        <v>45931</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43212-2022</t>
        </is>
      </c>
      <c r="B486" s="1" t="n">
        <v>44834.38636574074</v>
      </c>
      <c r="C486" s="1" t="n">
        <v>45931</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19131-2025</t>
        </is>
      </c>
      <c r="B487" s="1" t="n">
        <v>45769</v>
      </c>
      <c r="C487" s="1" t="n">
        <v>45931</v>
      </c>
      <c r="D487" t="inlineStr">
        <is>
          <t>STOCKHOLMS LÄN</t>
        </is>
      </c>
      <c r="E487" t="inlineStr">
        <is>
          <t>NORRTÄLJE</t>
        </is>
      </c>
      <c r="G487" t="n">
        <v>1.6</v>
      </c>
      <c r="H487" t="n">
        <v>0</v>
      </c>
      <c r="I487" t="n">
        <v>0</v>
      </c>
      <c r="J487" t="n">
        <v>0</v>
      </c>
      <c r="K487" t="n">
        <v>0</v>
      </c>
      <c r="L487" t="n">
        <v>0</v>
      </c>
      <c r="M487" t="n">
        <v>0</v>
      </c>
      <c r="N487" t="n">
        <v>0</v>
      </c>
      <c r="O487" t="n">
        <v>0</v>
      </c>
      <c r="P487" t="n">
        <v>0</v>
      </c>
      <c r="Q487" t="n">
        <v>0</v>
      </c>
      <c r="R487" s="2" t="inlineStr"/>
    </row>
    <row r="488" ht="15" customHeight="1">
      <c r="A488" t="inlineStr">
        <is>
          <t>A 51720-2020</t>
        </is>
      </c>
      <c r="B488" s="1" t="n">
        <v>44113</v>
      </c>
      <c r="C488" s="1" t="n">
        <v>45931</v>
      </c>
      <c r="D488" t="inlineStr">
        <is>
          <t>STOCKHOLMS LÄN</t>
        </is>
      </c>
      <c r="E488" t="inlineStr">
        <is>
          <t>NORRTÄLJE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20852-2023</t>
        </is>
      </c>
      <c r="B489" s="1" t="n">
        <v>45058.78607638889</v>
      </c>
      <c r="C489" s="1" t="n">
        <v>45931</v>
      </c>
      <c r="D489" t="inlineStr">
        <is>
          <t>STOCKHOLMS LÄN</t>
        </is>
      </c>
      <c r="E489" t="inlineStr">
        <is>
          <t>NORRTÄLJE</t>
        </is>
      </c>
      <c r="G489" t="n">
        <v>3.5</v>
      </c>
      <c r="H489" t="n">
        <v>0</v>
      </c>
      <c r="I489" t="n">
        <v>0</v>
      </c>
      <c r="J489" t="n">
        <v>0</v>
      </c>
      <c r="K489" t="n">
        <v>0</v>
      </c>
      <c r="L489" t="n">
        <v>0</v>
      </c>
      <c r="M489" t="n">
        <v>0</v>
      </c>
      <c r="N489" t="n">
        <v>0</v>
      </c>
      <c r="O489" t="n">
        <v>0</v>
      </c>
      <c r="P489" t="n">
        <v>0</v>
      </c>
      <c r="Q489" t="n">
        <v>0</v>
      </c>
      <c r="R489" s="2" t="inlineStr"/>
    </row>
    <row r="490" ht="15" customHeight="1">
      <c r="A490" t="inlineStr">
        <is>
          <t>A 50355-2024</t>
        </is>
      </c>
      <c r="B490" s="1" t="n">
        <v>45600.86128472222</v>
      </c>
      <c r="C490" s="1" t="n">
        <v>45931</v>
      </c>
      <c r="D490" t="inlineStr">
        <is>
          <t>STOCKHOLMS LÄN</t>
        </is>
      </c>
      <c r="E490" t="inlineStr">
        <is>
          <t>NORRTÄLJE</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11929-2024</t>
        </is>
      </c>
      <c r="B491" s="1" t="n">
        <v>45376.64532407407</v>
      </c>
      <c r="C491" s="1" t="n">
        <v>45931</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60694-2024</t>
        </is>
      </c>
      <c r="B492" s="1" t="n">
        <v>45644.47878472223</v>
      </c>
      <c r="C492" s="1" t="n">
        <v>45931</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64145-2021</t>
        </is>
      </c>
      <c r="B493" s="1" t="n">
        <v>44510</v>
      </c>
      <c r="C493" s="1" t="n">
        <v>45931</v>
      </c>
      <c r="D493" t="inlineStr">
        <is>
          <t>STOCKHOLMS LÄN</t>
        </is>
      </c>
      <c r="E493" t="inlineStr">
        <is>
          <t>NORRTÄLJE</t>
        </is>
      </c>
      <c r="F493" t="inlineStr">
        <is>
          <t>Holmen skog AB</t>
        </is>
      </c>
      <c r="G493" t="n">
        <v>1.5</v>
      </c>
      <c r="H493" t="n">
        <v>0</v>
      </c>
      <c r="I493" t="n">
        <v>0</v>
      </c>
      <c r="J493" t="n">
        <v>0</v>
      </c>
      <c r="K493" t="n">
        <v>0</v>
      </c>
      <c r="L493" t="n">
        <v>0</v>
      </c>
      <c r="M493" t="n">
        <v>0</v>
      </c>
      <c r="N493" t="n">
        <v>0</v>
      </c>
      <c r="O493" t="n">
        <v>0</v>
      </c>
      <c r="P493" t="n">
        <v>0</v>
      </c>
      <c r="Q493" t="n">
        <v>0</v>
      </c>
      <c r="R493" s="2" t="inlineStr"/>
    </row>
    <row r="494" ht="15" customHeight="1">
      <c r="A494" t="inlineStr">
        <is>
          <t>A 45451-2024</t>
        </is>
      </c>
      <c r="B494" s="1" t="n">
        <v>45576</v>
      </c>
      <c r="C494" s="1" t="n">
        <v>45931</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49327-2020</t>
        </is>
      </c>
      <c r="B495" s="1" t="n">
        <v>44105</v>
      </c>
      <c r="C495" s="1" t="n">
        <v>45931</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25094-2023</t>
        </is>
      </c>
      <c r="B496" s="1" t="n">
        <v>45086.3629050926</v>
      </c>
      <c r="C496" s="1" t="n">
        <v>45931</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59276-2023</t>
        </is>
      </c>
      <c r="B497" s="1" t="n">
        <v>45253.55641203704</v>
      </c>
      <c r="C497" s="1" t="n">
        <v>45931</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13767-2025</t>
        </is>
      </c>
      <c r="B498" s="1" t="n">
        <v>45737.43347222222</v>
      </c>
      <c r="C498" s="1" t="n">
        <v>45931</v>
      </c>
      <c r="D498" t="inlineStr">
        <is>
          <t>STOCKHOLMS LÄN</t>
        </is>
      </c>
      <c r="E498" t="inlineStr">
        <is>
          <t>NORRTÄLJE</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34295-2024</t>
        </is>
      </c>
      <c r="B499" s="1" t="n">
        <v>45524</v>
      </c>
      <c r="C499" s="1" t="n">
        <v>45931</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41587-2023</t>
        </is>
      </c>
      <c r="B500" s="1" t="n">
        <v>45175</v>
      </c>
      <c r="C500" s="1" t="n">
        <v>45931</v>
      </c>
      <c r="D500" t="inlineStr">
        <is>
          <t>STOCKHOLMS LÄN</t>
        </is>
      </c>
      <c r="E500" t="inlineStr">
        <is>
          <t>NORRTÄLJE</t>
        </is>
      </c>
      <c r="G500" t="n">
        <v>1.3</v>
      </c>
      <c r="H500" t="n">
        <v>0</v>
      </c>
      <c r="I500" t="n">
        <v>0</v>
      </c>
      <c r="J500" t="n">
        <v>0</v>
      </c>
      <c r="K500" t="n">
        <v>0</v>
      </c>
      <c r="L500" t="n">
        <v>0</v>
      </c>
      <c r="M500" t="n">
        <v>0</v>
      </c>
      <c r="N500" t="n">
        <v>0</v>
      </c>
      <c r="O500" t="n">
        <v>0</v>
      </c>
      <c r="P500" t="n">
        <v>0</v>
      </c>
      <c r="Q500" t="n">
        <v>0</v>
      </c>
      <c r="R500" s="2" t="inlineStr"/>
    </row>
    <row r="501" ht="15" customHeight="1">
      <c r="A501" t="inlineStr">
        <is>
          <t>A 6537-2024</t>
        </is>
      </c>
      <c r="B501" s="1" t="n">
        <v>45341.39853009259</v>
      </c>
      <c r="C501" s="1" t="n">
        <v>45931</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17843-2024</t>
        </is>
      </c>
      <c r="B502" s="1" t="n">
        <v>45418</v>
      </c>
      <c r="C502" s="1" t="n">
        <v>45931</v>
      </c>
      <c r="D502" t="inlineStr">
        <is>
          <t>STOCKHOLMS LÄN</t>
        </is>
      </c>
      <c r="E502" t="inlineStr">
        <is>
          <t>NORRTÄLJE</t>
        </is>
      </c>
      <c r="G502" t="n">
        <v>5.4</v>
      </c>
      <c r="H502" t="n">
        <v>0</v>
      </c>
      <c r="I502" t="n">
        <v>0</v>
      </c>
      <c r="J502" t="n">
        <v>0</v>
      </c>
      <c r="K502" t="n">
        <v>0</v>
      </c>
      <c r="L502" t="n">
        <v>0</v>
      </c>
      <c r="M502" t="n">
        <v>0</v>
      </c>
      <c r="N502" t="n">
        <v>0</v>
      </c>
      <c r="O502" t="n">
        <v>0</v>
      </c>
      <c r="P502" t="n">
        <v>0</v>
      </c>
      <c r="Q502" t="n">
        <v>0</v>
      </c>
      <c r="R502" s="2" t="inlineStr"/>
    </row>
    <row r="503" ht="15" customHeight="1">
      <c r="A503" t="inlineStr">
        <is>
          <t>A 12890-2024</t>
        </is>
      </c>
      <c r="B503" s="1" t="n">
        <v>45385.36243055556</v>
      </c>
      <c r="C503" s="1" t="n">
        <v>45931</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52260-2022</t>
        </is>
      </c>
      <c r="B504" s="1" t="n">
        <v>44869</v>
      </c>
      <c r="C504" s="1" t="n">
        <v>45931</v>
      </c>
      <c r="D504" t="inlineStr">
        <is>
          <t>STOCKHOLMS LÄN</t>
        </is>
      </c>
      <c r="E504" t="inlineStr">
        <is>
          <t>NORRTÄLJE</t>
        </is>
      </c>
      <c r="G504" t="n">
        <v>3.1</v>
      </c>
      <c r="H504" t="n">
        <v>0</v>
      </c>
      <c r="I504" t="n">
        <v>0</v>
      </c>
      <c r="J504" t="n">
        <v>0</v>
      </c>
      <c r="K504" t="n">
        <v>0</v>
      </c>
      <c r="L504" t="n">
        <v>0</v>
      </c>
      <c r="M504" t="n">
        <v>0</v>
      </c>
      <c r="N504" t="n">
        <v>0</v>
      </c>
      <c r="O504" t="n">
        <v>0</v>
      </c>
      <c r="P504" t="n">
        <v>0</v>
      </c>
      <c r="Q504" t="n">
        <v>0</v>
      </c>
      <c r="R504" s="2" t="inlineStr"/>
    </row>
    <row r="505" ht="15" customHeight="1">
      <c r="A505" t="inlineStr">
        <is>
          <t>A 36430-2024</t>
        </is>
      </c>
      <c r="B505" s="1" t="n">
        <v>45536</v>
      </c>
      <c r="C505" s="1" t="n">
        <v>45931</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27381-2024</t>
        </is>
      </c>
      <c r="B506" s="1" t="n">
        <v>45473.94501157408</v>
      </c>
      <c r="C506" s="1" t="n">
        <v>45931</v>
      </c>
      <c r="D506" t="inlineStr">
        <is>
          <t>STOCKHOLMS LÄN</t>
        </is>
      </c>
      <c r="E506" t="inlineStr">
        <is>
          <t>NORRTÄLJE</t>
        </is>
      </c>
      <c r="G506" t="n">
        <v>4.5</v>
      </c>
      <c r="H506" t="n">
        <v>0</v>
      </c>
      <c r="I506" t="n">
        <v>0</v>
      </c>
      <c r="J506" t="n">
        <v>0</v>
      </c>
      <c r="K506" t="n">
        <v>0</v>
      </c>
      <c r="L506" t="n">
        <v>0</v>
      </c>
      <c r="M506" t="n">
        <v>0</v>
      </c>
      <c r="N506" t="n">
        <v>0</v>
      </c>
      <c r="O506" t="n">
        <v>0</v>
      </c>
      <c r="P506" t="n">
        <v>0</v>
      </c>
      <c r="Q506" t="n">
        <v>0</v>
      </c>
      <c r="R506" s="2" t="inlineStr"/>
    </row>
    <row r="507" ht="15" customHeight="1">
      <c r="A507" t="inlineStr">
        <is>
          <t>A 60529-2023</t>
        </is>
      </c>
      <c r="B507" s="1" t="n">
        <v>45259</v>
      </c>
      <c r="C507" s="1" t="n">
        <v>45931</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41172-2023</t>
        </is>
      </c>
      <c r="B508" s="1" t="n">
        <v>45170</v>
      </c>
      <c r="C508" s="1" t="n">
        <v>45931</v>
      </c>
      <c r="D508" t="inlineStr">
        <is>
          <t>STOCKHOLMS LÄN</t>
        </is>
      </c>
      <c r="E508" t="inlineStr">
        <is>
          <t>NORRTÄLJE</t>
        </is>
      </c>
      <c r="G508" t="n">
        <v>1.6</v>
      </c>
      <c r="H508" t="n">
        <v>0</v>
      </c>
      <c r="I508" t="n">
        <v>0</v>
      </c>
      <c r="J508" t="n">
        <v>0</v>
      </c>
      <c r="K508" t="n">
        <v>0</v>
      </c>
      <c r="L508" t="n">
        <v>0</v>
      </c>
      <c r="M508" t="n">
        <v>0</v>
      </c>
      <c r="N508" t="n">
        <v>0</v>
      </c>
      <c r="O508" t="n">
        <v>0</v>
      </c>
      <c r="P508" t="n">
        <v>0</v>
      </c>
      <c r="Q508" t="n">
        <v>0</v>
      </c>
      <c r="R508" s="2" t="inlineStr"/>
    </row>
    <row r="509" ht="15" customHeight="1">
      <c r="A509" t="inlineStr">
        <is>
          <t>A 67921-2021</t>
        </is>
      </c>
      <c r="B509" s="1" t="n">
        <v>44525</v>
      </c>
      <c r="C509" s="1" t="n">
        <v>45931</v>
      </c>
      <c r="D509" t="inlineStr">
        <is>
          <t>STOCKHOLMS LÄN</t>
        </is>
      </c>
      <c r="E509" t="inlineStr">
        <is>
          <t>NORRTÄLJE</t>
        </is>
      </c>
      <c r="G509" t="n">
        <v>6.3</v>
      </c>
      <c r="H509" t="n">
        <v>0</v>
      </c>
      <c r="I509" t="n">
        <v>0</v>
      </c>
      <c r="J509" t="n">
        <v>0</v>
      </c>
      <c r="K509" t="n">
        <v>0</v>
      </c>
      <c r="L509" t="n">
        <v>0</v>
      </c>
      <c r="M509" t="n">
        <v>0</v>
      </c>
      <c r="N509" t="n">
        <v>0</v>
      </c>
      <c r="O509" t="n">
        <v>0</v>
      </c>
      <c r="P509" t="n">
        <v>0</v>
      </c>
      <c r="Q509" t="n">
        <v>0</v>
      </c>
      <c r="R509" s="2" t="inlineStr"/>
    </row>
    <row r="510" ht="15" customHeight="1">
      <c r="A510" t="inlineStr">
        <is>
          <t>A 72704-2021</t>
        </is>
      </c>
      <c r="B510" s="1" t="n">
        <v>44546</v>
      </c>
      <c r="C510" s="1" t="n">
        <v>45931</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55058-2021</t>
        </is>
      </c>
      <c r="B511" s="1" t="n">
        <v>44474.62141203704</v>
      </c>
      <c r="C511" s="1" t="n">
        <v>45931</v>
      </c>
      <c r="D511" t="inlineStr">
        <is>
          <t>STOCKHOLMS LÄN</t>
        </is>
      </c>
      <c r="E511" t="inlineStr">
        <is>
          <t>NORRTÄLJE</t>
        </is>
      </c>
      <c r="G511" t="n">
        <v>1.9</v>
      </c>
      <c r="H511" t="n">
        <v>0</v>
      </c>
      <c r="I511" t="n">
        <v>0</v>
      </c>
      <c r="J511" t="n">
        <v>0</v>
      </c>
      <c r="K511" t="n">
        <v>0</v>
      </c>
      <c r="L511" t="n">
        <v>0</v>
      </c>
      <c r="M511" t="n">
        <v>0</v>
      </c>
      <c r="N511" t="n">
        <v>0</v>
      </c>
      <c r="O511" t="n">
        <v>0</v>
      </c>
      <c r="P511" t="n">
        <v>0</v>
      </c>
      <c r="Q511" t="n">
        <v>0</v>
      </c>
      <c r="R511" s="2" t="inlineStr"/>
    </row>
    <row r="512" ht="15" customHeight="1">
      <c r="A512" t="inlineStr">
        <is>
          <t>A 40192-2023</t>
        </is>
      </c>
      <c r="B512" s="1" t="n">
        <v>45169</v>
      </c>
      <c r="C512" s="1" t="n">
        <v>45931</v>
      </c>
      <c r="D512" t="inlineStr">
        <is>
          <t>STOCKHOLMS LÄN</t>
        </is>
      </c>
      <c r="E512" t="inlineStr">
        <is>
          <t>NORRTÄLJE</t>
        </is>
      </c>
      <c r="F512" t="inlineStr">
        <is>
          <t>Kyrkan</t>
        </is>
      </c>
      <c r="G512" t="n">
        <v>0.7</v>
      </c>
      <c r="H512" t="n">
        <v>0</v>
      </c>
      <c r="I512" t="n">
        <v>0</v>
      </c>
      <c r="J512" t="n">
        <v>0</v>
      </c>
      <c r="K512" t="n">
        <v>0</v>
      </c>
      <c r="L512" t="n">
        <v>0</v>
      </c>
      <c r="M512" t="n">
        <v>0</v>
      </c>
      <c r="N512" t="n">
        <v>0</v>
      </c>
      <c r="O512" t="n">
        <v>0</v>
      </c>
      <c r="P512" t="n">
        <v>0</v>
      </c>
      <c r="Q512" t="n">
        <v>0</v>
      </c>
      <c r="R512" s="2" t="inlineStr"/>
    </row>
    <row r="513" ht="15" customHeight="1">
      <c r="A513" t="inlineStr">
        <is>
          <t>A 65499-2021</t>
        </is>
      </c>
      <c r="B513" s="1" t="n">
        <v>44516</v>
      </c>
      <c r="C513" s="1" t="n">
        <v>45931</v>
      </c>
      <c r="D513" t="inlineStr">
        <is>
          <t>STOCKHOLMS LÄN</t>
        </is>
      </c>
      <c r="E513" t="inlineStr">
        <is>
          <t>NORRTÄLJE</t>
        </is>
      </c>
      <c r="F513" t="inlineStr">
        <is>
          <t>Kommuner</t>
        </is>
      </c>
      <c r="G513" t="n">
        <v>5.2</v>
      </c>
      <c r="H513" t="n">
        <v>0</v>
      </c>
      <c r="I513" t="n">
        <v>0</v>
      </c>
      <c r="J513" t="n">
        <v>0</v>
      </c>
      <c r="K513" t="n">
        <v>0</v>
      </c>
      <c r="L513" t="n">
        <v>0</v>
      </c>
      <c r="M513" t="n">
        <v>0</v>
      </c>
      <c r="N513" t="n">
        <v>0</v>
      </c>
      <c r="O513" t="n">
        <v>0</v>
      </c>
      <c r="P513" t="n">
        <v>0</v>
      </c>
      <c r="Q513" t="n">
        <v>0</v>
      </c>
      <c r="R513" s="2" t="inlineStr"/>
    </row>
    <row r="514" ht="15" customHeight="1">
      <c r="A514" t="inlineStr">
        <is>
          <t>A 65511-2021</t>
        </is>
      </c>
      <c r="B514" s="1" t="n">
        <v>44516.40674768519</v>
      </c>
      <c r="C514" s="1" t="n">
        <v>45931</v>
      </c>
      <c r="D514" t="inlineStr">
        <is>
          <t>STOCKHOLMS LÄN</t>
        </is>
      </c>
      <c r="E514" t="inlineStr">
        <is>
          <t>NORRTÄLJE</t>
        </is>
      </c>
      <c r="F514" t="inlineStr">
        <is>
          <t>Kommuner</t>
        </is>
      </c>
      <c r="G514" t="n">
        <v>2.8</v>
      </c>
      <c r="H514" t="n">
        <v>0</v>
      </c>
      <c r="I514" t="n">
        <v>0</v>
      </c>
      <c r="J514" t="n">
        <v>0</v>
      </c>
      <c r="K514" t="n">
        <v>0</v>
      </c>
      <c r="L514" t="n">
        <v>0</v>
      </c>
      <c r="M514" t="n">
        <v>0</v>
      </c>
      <c r="N514" t="n">
        <v>0</v>
      </c>
      <c r="O514" t="n">
        <v>0</v>
      </c>
      <c r="P514" t="n">
        <v>0</v>
      </c>
      <c r="Q514" t="n">
        <v>0</v>
      </c>
      <c r="R514" s="2" t="inlineStr"/>
    </row>
    <row r="515" ht="15" customHeight="1">
      <c r="A515" t="inlineStr">
        <is>
          <t>A 59326-2023</t>
        </is>
      </c>
      <c r="B515" s="1" t="n">
        <v>45253.63089120371</v>
      </c>
      <c r="C515" s="1" t="n">
        <v>45931</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26113-2024</t>
        </is>
      </c>
      <c r="B516" s="1" t="n">
        <v>45468.45541666666</v>
      </c>
      <c r="C516" s="1" t="n">
        <v>45931</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26116-2024</t>
        </is>
      </c>
      <c r="B517" s="1" t="n">
        <v>45468.45747685185</v>
      </c>
      <c r="C517" s="1" t="n">
        <v>45931</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20790-2025</t>
        </is>
      </c>
      <c r="B518" s="1" t="n">
        <v>45776.62563657408</v>
      </c>
      <c r="C518" s="1" t="n">
        <v>45931</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3152-2024</t>
        </is>
      </c>
      <c r="B519" s="1" t="n">
        <v>45316.60306712963</v>
      </c>
      <c r="C519" s="1" t="n">
        <v>45931</v>
      </c>
      <c r="D519" t="inlineStr">
        <is>
          <t>STOCKHOLMS LÄN</t>
        </is>
      </c>
      <c r="E519" t="inlineStr">
        <is>
          <t>NORRTÄLJE</t>
        </is>
      </c>
      <c r="G519" t="n">
        <v>7.9</v>
      </c>
      <c r="H519" t="n">
        <v>0</v>
      </c>
      <c r="I519" t="n">
        <v>0</v>
      </c>
      <c r="J519" t="n">
        <v>0</v>
      </c>
      <c r="K519" t="n">
        <v>0</v>
      </c>
      <c r="L519" t="n">
        <v>0</v>
      </c>
      <c r="M519" t="n">
        <v>0</v>
      </c>
      <c r="N519" t="n">
        <v>0</v>
      </c>
      <c r="O519" t="n">
        <v>0</v>
      </c>
      <c r="P519" t="n">
        <v>0</v>
      </c>
      <c r="Q519" t="n">
        <v>0</v>
      </c>
      <c r="R519" s="2" t="inlineStr"/>
    </row>
    <row r="520" ht="15" customHeight="1">
      <c r="A520" t="inlineStr">
        <is>
          <t>A 52686-2024</t>
        </is>
      </c>
      <c r="B520" s="1" t="n">
        <v>45610.39271990741</v>
      </c>
      <c r="C520" s="1" t="n">
        <v>45931</v>
      </c>
      <c r="D520" t="inlineStr">
        <is>
          <t>STOCKHOLMS LÄN</t>
        </is>
      </c>
      <c r="E520" t="inlineStr">
        <is>
          <t>NORRTÄLJE</t>
        </is>
      </c>
      <c r="G520" t="n">
        <v>5.7</v>
      </c>
      <c r="H520" t="n">
        <v>0</v>
      </c>
      <c r="I520" t="n">
        <v>0</v>
      </c>
      <c r="J520" t="n">
        <v>0</v>
      </c>
      <c r="K520" t="n">
        <v>0</v>
      </c>
      <c r="L520" t="n">
        <v>0</v>
      </c>
      <c r="M520" t="n">
        <v>0</v>
      </c>
      <c r="N520" t="n">
        <v>0</v>
      </c>
      <c r="O520" t="n">
        <v>0</v>
      </c>
      <c r="P520" t="n">
        <v>0</v>
      </c>
      <c r="Q520" t="n">
        <v>0</v>
      </c>
      <c r="R520" s="2" t="inlineStr"/>
    </row>
    <row r="521" ht="15" customHeight="1">
      <c r="A521" t="inlineStr">
        <is>
          <t>A 20699-2025</t>
        </is>
      </c>
      <c r="B521" s="1" t="n">
        <v>45776.47346064815</v>
      </c>
      <c r="C521" s="1" t="n">
        <v>45931</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47497-2025</t>
        </is>
      </c>
      <c r="B522" s="1" t="n">
        <v>45930.80217592593</v>
      </c>
      <c r="C522" s="1" t="n">
        <v>45931</v>
      </c>
      <c r="D522" t="inlineStr">
        <is>
          <t>STOCKHOLMS LÄN</t>
        </is>
      </c>
      <c r="E522" t="inlineStr">
        <is>
          <t>NORRTÄLJE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20779-2025</t>
        </is>
      </c>
      <c r="B523" s="1" t="n">
        <v>45776.59871527777</v>
      </c>
      <c r="C523" s="1" t="n">
        <v>45931</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39149-2025</t>
        </is>
      </c>
      <c r="B524" s="1" t="n">
        <v>45888.60714120371</v>
      </c>
      <c r="C524" s="1" t="n">
        <v>45931</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4035-2023</t>
        </is>
      </c>
      <c r="B525" s="1" t="n">
        <v>44952.57989583333</v>
      </c>
      <c r="C525" s="1" t="n">
        <v>45931</v>
      </c>
      <c r="D525" t="inlineStr">
        <is>
          <t>STOCKHOLMS LÄN</t>
        </is>
      </c>
      <c r="E525" t="inlineStr">
        <is>
          <t>NORRTÄLJE</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31105-2022</t>
        </is>
      </c>
      <c r="B526" s="1" t="n">
        <v>44769.66039351852</v>
      </c>
      <c r="C526" s="1" t="n">
        <v>45931</v>
      </c>
      <c r="D526" t="inlineStr">
        <is>
          <t>STOCKHOLMS LÄN</t>
        </is>
      </c>
      <c r="E526" t="inlineStr">
        <is>
          <t>NORRTÄLJE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26644-2024</t>
        </is>
      </c>
      <c r="B527" s="1" t="n">
        <v>45469</v>
      </c>
      <c r="C527" s="1" t="n">
        <v>45931</v>
      </c>
      <c r="D527" t="inlineStr">
        <is>
          <t>STOCKHOLMS LÄN</t>
        </is>
      </c>
      <c r="E527" t="inlineStr">
        <is>
          <t>NORRTÄLJE</t>
        </is>
      </c>
      <c r="G527" t="n">
        <v>4.3</v>
      </c>
      <c r="H527" t="n">
        <v>0</v>
      </c>
      <c r="I527" t="n">
        <v>0</v>
      </c>
      <c r="J527" t="n">
        <v>0</v>
      </c>
      <c r="K527" t="n">
        <v>0</v>
      </c>
      <c r="L527" t="n">
        <v>0</v>
      </c>
      <c r="M527" t="n">
        <v>0</v>
      </c>
      <c r="N527" t="n">
        <v>0</v>
      </c>
      <c r="O527" t="n">
        <v>0</v>
      </c>
      <c r="P527" t="n">
        <v>0</v>
      </c>
      <c r="Q527" t="n">
        <v>0</v>
      </c>
      <c r="R527" s="2" t="inlineStr"/>
    </row>
    <row r="528" ht="15" customHeight="1">
      <c r="A528" t="inlineStr">
        <is>
          <t>A 26668-2024</t>
        </is>
      </c>
      <c r="B528" s="1" t="n">
        <v>45469</v>
      </c>
      <c r="C528" s="1" t="n">
        <v>45931</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62644-2023</t>
        </is>
      </c>
      <c r="B529" s="1" t="n">
        <v>45271</v>
      </c>
      <c r="C529" s="1" t="n">
        <v>45931</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60185-2024</t>
        </is>
      </c>
      <c r="B530" s="1" t="n">
        <v>45642.64634259259</v>
      </c>
      <c r="C530" s="1" t="n">
        <v>45931</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60765-2023</t>
        </is>
      </c>
      <c r="B531" s="1" t="n">
        <v>45260</v>
      </c>
      <c r="C531" s="1" t="n">
        <v>45931</v>
      </c>
      <c r="D531" t="inlineStr">
        <is>
          <t>STOCKHOLMS LÄN</t>
        </is>
      </c>
      <c r="E531" t="inlineStr">
        <is>
          <t>NORRTÄLJE</t>
        </is>
      </c>
      <c r="G531" t="n">
        <v>3.7</v>
      </c>
      <c r="H531" t="n">
        <v>0</v>
      </c>
      <c r="I531" t="n">
        <v>0</v>
      </c>
      <c r="J531" t="n">
        <v>0</v>
      </c>
      <c r="K531" t="n">
        <v>0</v>
      </c>
      <c r="L531" t="n">
        <v>0</v>
      </c>
      <c r="M531" t="n">
        <v>0</v>
      </c>
      <c r="N531" t="n">
        <v>0</v>
      </c>
      <c r="O531" t="n">
        <v>0</v>
      </c>
      <c r="P531" t="n">
        <v>0</v>
      </c>
      <c r="Q531" t="n">
        <v>0</v>
      </c>
      <c r="R531" s="2" t="inlineStr"/>
    </row>
    <row r="532" ht="15" customHeight="1">
      <c r="A532" t="inlineStr">
        <is>
          <t>A 12268-2022</t>
        </is>
      </c>
      <c r="B532" s="1" t="n">
        <v>44637</v>
      </c>
      <c r="C532" s="1" t="n">
        <v>45931</v>
      </c>
      <c r="D532" t="inlineStr">
        <is>
          <t>STOCKHOLMS LÄN</t>
        </is>
      </c>
      <c r="E532" t="inlineStr">
        <is>
          <t>NORRTÄLJE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22832-2021</t>
        </is>
      </c>
      <c r="B533" s="1" t="n">
        <v>44325</v>
      </c>
      <c r="C533" s="1" t="n">
        <v>45931</v>
      </c>
      <c r="D533" t="inlineStr">
        <is>
          <t>STOCKHOLMS LÄN</t>
        </is>
      </c>
      <c r="E533" t="inlineStr">
        <is>
          <t>NORRTÄLJE</t>
        </is>
      </c>
      <c r="G533" t="n">
        <v>6.8</v>
      </c>
      <c r="H533" t="n">
        <v>0</v>
      </c>
      <c r="I533" t="n">
        <v>0</v>
      </c>
      <c r="J533" t="n">
        <v>0</v>
      </c>
      <c r="K533" t="n">
        <v>0</v>
      </c>
      <c r="L533" t="n">
        <v>0</v>
      </c>
      <c r="M533" t="n">
        <v>0</v>
      </c>
      <c r="N533" t="n">
        <v>0</v>
      </c>
      <c r="O533" t="n">
        <v>0</v>
      </c>
      <c r="P533" t="n">
        <v>0</v>
      </c>
      <c r="Q533" t="n">
        <v>0</v>
      </c>
      <c r="R533" s="2" t="inlineStr"/>
    </row>
    <row r="534" ht="15" customHeight="1">
      <c r="A534" t="inlineStr">
        <is>
          <t>A 51315-2021</t>
        </is>
      </c>
      <c r="B534" s="1" t="n">
        <v>44461</v>
      </c>
      <c r="C534" s="1" t="n">
        <v>45931</v>
      </c>
      <c r="D534" t="inlineStr">
        <is>
          <t>STOCKHOLMS LÄN</t>
        </is>
      </c>
      <c r="E534" t="inlineStr">
        <is>
          <t>NORRTÄLJE</t>
        </is>
      </c>
      <c r="F534" t="inlineStr">
        <is>
          <t>Holmen skog AB</t>
        </is>
      </c>
      <c r="G534" t="n">
        <v>2.2</v>
      </c>
      <c r="H534" t="n">
        <v>0</v>
      </c>
      <c r="I534" t="n">
        <v>0</v>
      </c>
      <c r="J534" t="n">
        <v>0</v>
      </c>
      <c r="K534" t="n">
        <v>0</v>
      </c>
      <c r="L534" t="n">
        <v>0</v>
      </c>
      <c r="M534" t="n">
        <v>0</v>
      </c>
      <c r="N534" t="n">
        <v>0</v>
      </c>
      <c r="O534" t="n">
        <v>0</v>
      </c>
      <c r="P534" t="n">
        <v>0</v>
      </c>
      <c r="Q534" t="n">
        <v>0</v>
      </c>
      <c r="R534" s="2" t="inlineStr"/>
    </row>
    <row r="535" ht="15" customHeight="1">
      <c r="A535" t="inlineStr">
        <is>
          <t>A 47498-2025</t>
        </is>
      </c>
      <c r="B535" s="1" t="n">
        <v>45930.8134375</v>
      </c>
      <c r="C535" s="1" t="n">
        <v>45931</v>
      </c>
      <c r="D535" t="inlineStr">
        <is>
          <t>STOCKHOLMS LÄN</t>
        </is>
      </c>
      <c r="E535" t="inlineStr">
        <is>
          <t>NORRTÄLJE</t>
        </is>
      </c>
      <c r="F535" t="inlineStr">
        <is>
          <t>Holmen skog AB</t>
        </is>
      </c>
      <c r="G535" t="n">
        <v>1.7</v>
      </c>
      <c r="H535" t="n">
        <v>0</v>
      </c>
      <c r="I535" t="n">
        <v>0</v>
      </c>
      <c r="J535" t="n">
        <v>0</v>
      </c>
      <c r="K535" t="n">
        <v>0</v>
      </c>
      <c r="L535" t="n">
        <v>0</v>
      </c>
      <c r="M535" t="n">
        <v>0</v>
      </c>
      <c r="N535" t="n">
        <v>0</v>
      </c>
      <c r="O535" t="n">
        <v>0</v>
      </c>
      <c r="P535" t="n">
        <v>0</v>
      </c>
      <c r="Q535" t="n">
        <v>0</v>
      </c>
      <c r="R535" s="2" t="inlineStr"/>
    </row>
    <row r="536" ht="15" customHeight="1">
      <c r="A536" t="inlineStr">
        <is>
          <t>A 38720-2025</t>
        </is>
      </c>
      <c r="B536" s="1" t="n">
        <v>45886</v>
      </c>
      <c r="C536" s="1" t="n">
        <v>45931</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44836-2023</t>
        </is>
      </c>
      <c r="B537" s="1" t="n">
        <v>45190.55609953704</v>
      </c>
      <c r="C537" s="1" t="n">
        <v>45931</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37085-2021</t>
        </is>
      </c>
      <c r="B538" s="1" t="n">
        <v>44395</v>
      </c>
      <c r="C538" s="1" t="n">
        <v>45931</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47460-2025</t>
        </is>
      </c>
      <c r="B539" s="1" t="n">
        <v>45930.66012731481</v>
      </c>
      <c r="C539" s="1" t="n">
        <v>45931</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22008-2024</t>
        </is>
      </c>
      <c r="B540" s="1" t="n">
        <v>45443</v>
      </c>
      <c r="C540" s="1" t="n">
        <v>45931</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55890-2020</t>
        </is>
      </c>
      <c r="B541" s="1" t="n">
        <v>44132</v>
      </c>
      <c r="C541" s="1" t="n">
        <v>45931</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46988-2024</t>
        </is>
      </c>
      <c r="B542" s="1" t="n">
        <v>45586</v>
      </c>
      <c r="C542" s="1" t="n">
        <v>45931</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71552-2021</t>
        </is>
      </c>
      <c r="B543" s="1" t="n">
        <v>44540</v>
      </c>
      <c r="C543" s="1" t="n">
        <v>45931</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58277-2023</t>
        </is>
      </c>
      <c r="B544" s="1" t="n">
        <v>45245</v>
      </c>
      <c r="C544" s="1" t="n">
        <v>45931</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47496-2025</t>
        </is>
      </c>
      <c r="B545" s="1" t="n">
        <v>45930.79252314815</v>
      </c>
      <c r="C545" s="1" t="n">
        <v>45931</v>
      </c>
      <c r="D545" t="inlineStr">
        <is>
          <t>STOCKHOLMS LÄN</t>
        </is>
      </c>
      <c r="E545" t="inlineStr">
        <is>
          <t>NORRTÄLJE</t>
        </is>
      </c>
      <c r="F545" t="inlineStr">
        <is>
          <t>Holmen skog AB</t>
        </is>
      </c>
      <c r="G545" t="n">
        <v>0.9</v>
      </c>
      <c r="H545" t="n">
        <v>0</v>
      </c>
      <c r="I545" t="n">
        <v>0</v>
      </c>
      <c r="J545" t="n">
        <v>0</v>
      </c>
      <c r="K545" t="n">
        <v>0</v>
      </c>
      <c r="L545" t="n">
        <v>0</v>
      </c>
      <c r="M545" t="n">
        <v>0</v>
      </c>
      <c r="N545" t="n">
        <v>0</v>
      </c>
      <c r="O545" t="n">
        <v>0</v>
      </c>
      <c r="P545" t="n">
        <v>0</v>
      </c>
      <c r="Q545" t="n">
        <v>0</v>
      </c>
      <c r="R545" s="2" t="inlineStr"/>
    </row>
    <row r="546" ht="15" customHeight="1">
      <c r="A546" t="inlineStr">
        <is>
          <t>A 9480-2025</t>
        </is>
      </c>
      <c r="B546" s="1" t="n">
        <v>45715</v>
      </c>
      <c r="C546" s="1" t="n">
        <v>45931</v>
      </c>
      <c r="D546" t="inlineStr">
        <is>
          <t>STOCKHOLMS LÄN</t>
        </is>
      </c>
      <c r="E546" t="inlineStr">
        <is>
          <t>NORRTÄLJE</t>
        </is>
      </c>
      <c r="F546" t="inlineStr">
        <is>
          <t>Övriga Aktiebolag</t>
        </is>
      </c>
      <c r="G546" t="n">
        <v>3.9</v>
      </c>
      <c r="H546" t="n">
        <v>0</v>
      </c>
      <c r="I546" t="n">
        <v>0</v>
      </c>
      <c r="J546" t="n">
        <v>0</v>
      </c>
      <c r="K546" t="n">
        <v>0</v>
      </c>
      <c r="L546" t="n">
        <v>0</v>
      </c>
      <c r="M546" t="n">
        <v>0</v>
      </c>
      <c r="N546" t="n">
        <v>0</v>
      </c>
      <c r="O546" t="n">
        <v>0</v>
      </c>
      <c r="P546" t="n">
        <v>0</v>
      </c>
      <c r="Q546" t="n">
        <v>0</v>
      </c>
      <c r="R546" s="2" t="inlineStr"/>
    </row>
    <row r="547" ht="15" customHeight="1">
      <c r="A547" t="inlineStr">
        <is>
          <t>A 17382-2024</t>
        </is>
      </c>
      <c r="B547" s="1" t="n">
        <v>45414.65855324074</v>
      </c>
      <c r="C547" s="1" t="n">
        <v>45931</v>
      </c>
      <c r="D547" t="inlineStr">
        <is>
          <t>STOCKHOLMS LÄN</t>
        </is>
      </c>
      <c r="E547" t="inlineStr">
        <is>
          <t>NORRTÄLJE</t>
        </is>
      </c>
      <c r="G547" t="n">
        <v>1.2</v>
      </c>
      <c r="H547" t="n">
        <v>0</v>
      </c>
      <c r="I547" t="n">
        <v>0</v>
      </c>
      <c r="J547" t="n">
        <v>0</v>
      </c>
      <c r="K547" t="n">
        <v>0</v>
      </c>
      <c r="L547" t="n">
        <v>0</v>
      </c>
      <c r="M547" t="n">
        <v>0</v>
      </c>
      <c r="N547" t="n">
        <v>0</v>
      </c>
      <c r="O547" t="n">
        <v>0</v>
      </c>
      <c r="P547" t="n">
        <v>0</v>
      </c>
      <c r="Q547" t="n">
        <v>0</v>
      </c>
      <c r="R547" s="2" t="inlineStr"/>
    </row>
    <row r="548" ht="15" customHeight="1">
      <c r="A548" t="inlineStr">
        <is>
          <t>A 56166-2020</t>
        </is>
      </c>
      <c r="B548" s="1" t="n">
        <v>44133</v>
      </c>
      <c r="C548" s="1" t="n">
        <v>45931</v>
      </c>
      <c r="D548" t="inlineStr">
        <is>
          <t>STOCKHOLMS LÄN</t>
        </is>
      </c>
      <c r="E548" t="inlineStr">
        <is>
          <t>NORRTÄLJE</t>
        </is>
      </c>
      <c r="G548" t="n">
        <v>4.4</v>
      </c>
      <c r="H548" t="n">
        <v>0</v>
      </c>
      <c r="I548" t="n">
        <v>0</v>
      </c>
      <c r="J548" t="n">
        <v>0</v>
      </c>
      <c r="K548" t="n">
        <v>0</v>
      </c>
      <c r="L548" t="n">
        <v>0</v>
      </c>
      <c r="M548" t="n">
        <v>0</v>
      </c>
      <c r="N548" t="n">
        <v>0</v>
      </c>
      <c r="O548" t="n">
        <v>0</v>
      </c>
      <c r="P548" t="n">
        <v>0</v>
      </c>
      <c r="Q548" t="n">
        <v>0</v>
      </c>
      <c r="R548" s="2" t="inlineStr"/>
    </row>
    <row r="549" ht="15" customHeight="1">
      <c r="A549" t="inlineStr">
        <is>
          <t>A 39152-2025</t>
        </is>
      </c>
      <c r="B549" s="1" t="n">
        <v>45888</v>
      </c>
      <c r="C549" s="1" t="n">
        <v>45931</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49898-2020</t>
        </is>
      </c>
      <c r="B550" s="1" t="n">
        <v>44108</v>
      </c>
      <c r="C550" s="1" t="n">
        <v>45931</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25557-2023</t>
        </is>
      </c>
      <c r="B551" s="1" t="n">
        <v>45089</v>
      </c>
      <c r="C551" s="1" t="n">
        <v>45931</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4322-2023</t>
        </is>
      </c>
      <c r="B552" s="1" t="n">
        <v>44953.69298611111</v>
      </c>
      <c r="C552" s="1" t="n">
        <v>45931</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21771-2025</t>
        </is>
      </c>
      <c r="B553" s="1" t="n">
        <v>45783</v>
      </c>
      <c r="C553" s="1" t="n">
        <v>45931</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35916-2024</t>
        </is>
      </c>
      <c r="B554" s="1" t="n">
        <v>45533</v>
      </c>
      <c r="C554" s="1" t="n">
        <v>45931</v>
      </c>
      <c r="D554" t="inlineStr">
        <is>
          <t>STOCKHOLMS LÄN</t>
        </is>
      </c>
      <c r="E554" t="inlineStr">
        <is>
          <t>NORRTÄLJE</t>
        </is>
      </c>
      <c r="G554" t="n">
        <v>0.5</v>
      </c>
      <c r="H554" t="n">
        <v>0</v>
      </c>
      <c r="I554" t="n">
        <v>0</v>
      </c>
      <c r="J554" t="n">
        <v>0</v>
      </c>
      <c r="K554" t="n">
        <v>0</v>
      </c>
      <c r="L554" t="n">
        <v>0</v>
      </c>
      <c r="M554" t="n">
        <v>0</v>
      </c>
      <c r="N554" t="n">
        <v>0</v>
      </c>
      <c r="O554" t="n">
        <v>0</v>
      </c>
      <c r="P554" t="n">
        <v>0</v>
      </c>
      <c r="Q554" t="n">
        <v>0</v>
      </c>
      <c r="R554" s="2" t="inlineStr"/>
    </row>
    <row r="555" ht="15" customHeight="1">
      <c r="A555" t="inlineStr">
        <is>
          <t>A 38889-2024</t>
        </is>
      </c>
      <c r="B555" s="1" t="n">
        <v>45547</v>
      </c>
      <c r="C555" s="1" t="n">
        <v>45931</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57216-2020</t>
        </is>
      </c>
      <c r="B556" s="1" t="n">
        <v>44139.54078703704</v>
      </c>
      <c r="C556" s="1" t="n">
        <v>45931</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9914-2023</t>
        </is>
      </c>
      <c r="B557" s="1" t="n">
        <v>44985</v>
      </c>
      <c r="C557" s="1" t="n">
        <v>45931</v>
      </c>
      <c r="D557" t="inlineStr">
        <is>
          <t>STOCKHOLMS LÄN</t>
        </is>
      </c>
      <c r="E557" t="inlineStr">
        <is>
          <t>NORRTÄLJE</t>
        </is>
      </c>
      <c r="G557" t="n">
        <v>4.2</v>
      </c>
      <c r="H557" t="n">
        <v>0</v>
      </c>
      <c r="I557" t="n">
        <v>0</v>
      </c>
      <c r="J557" t="n">
        <v>0</v>
      </c>
      <c r="K557" t="n">
        <v>0</v>
      </c>
      <c r="L557" t="n">
        <v>0</v>
      </c>
      <c r="M557" t="n">
        <v>0</v>
      </c>
      <c r="N557" t="n">
        <v>0</v>
      </c>
      <c r="O557" t="n">
        <v>0</v>
      </c>
      <c r="P557" t="n">
        <v>0</v>
      </c>
      <c r="Q557" t="n">
        <v>0</v>
      </c>
      <c r="R557" s="2" t="inlineStr"/>
    </row>
    <row r="558" ht="15" customHeight="1">
      <c r="A558" t="inlineStr">
        <is>
          <t>A 46900-2025</t>
        </is>
      </c>
      <c r="B558" s="1" t="n">
        <v>45929.38712962963</v>
      </c>
      <c r="C558" s="1" t="n">
        <v>45931</v>
      </c>
      <c r="D558" t="inlineStr">
        <is>
          <t>STOCKHOLMS LÄN</t>
        </is>
      </c>
      <c r="E558" t="inlineStr">
        <is>
          <t>NORRTÄLJE</t>
        </is>
      </c>
      <c r="F558" t="inlineStr">
        <is>
          <t>Holmen skog AB</t>
        </is>
      </c>
      <c r="G558" t="n">
        <v>6.2</v>
      </c>
      <c r="H558" t="n">
        <v>0</v>
      </c>
      <c r="I558" t="n">
        <v>0</v>
      </c>
      <c r="J558" t="n">
        <v>0</v>
      </c>
      <c r="K558" t="n">
        <v>0</v>
      </c>
      <c r="L558" t="n">
        <v>0</v>
      </c>
      <c r="M558" t="n">
        <v>0</v>
      </c>
      <c r="N558" t="n">
        <v>0</v>
      </c>
      <c r="O558" t="n">
        <v>0</v>
      </c>
      <c r="P558" t="n">
        <v>0</v>
      </c>
      <c r="Q558" t="n">
        <v>0</v>
      </c>
      <c r="R558" s="2" t="inlineStr"/>
    </row>
    <row r="559" ht="15" customHeight="1">
      <c r="A559" t="inlineStr">
        <is>
          <t>A 60525-2022</t>
        </is>
      </c>
      <c r="B559" s="1" t="n">
        <v>44904</v>
      </c>
      <c r="C559" s="1" t="n">
        <v>45931</v>
      </c>
      <c r="D559" t="inlineStr">
        <is>
          <t>STOCKHOLMS LÄN</t>
        </is>
      </c>
      <c r="E559" t="inlineStr">
        <is>
          <t>NORRTÄLJE</t>
        </is>
      </c>
      <c r="G559" t="n">
        <v>13.4</v>
      </c>
      <c r="H559" t="n">
        <v>0</v>
      </c>
      <c r="I559" t="n">
        <v>0</v>
      </c>
      <c r="J559" t="n">
        <v>0</v>
      </c>
      <c r="K559" t="n">
        <v>0</v>
      </c>
      <c r="L559" t="n">
        <v>0</v>
      </c>
      <c r="M559" t="n">
        <v>0</v>
      </c>
      <c r="N559" t="n">
        <v>0</v>
      </c>
      <c r="O559" t="n">
        <v>0</v>
      </c>
      <c r="P559" t="n">
        <v>0</v>
      </c>
      <c r="Q559" t="n">
        <v>0</v>
      </c>
      <c r="R559" s="2" t="inlineStr"/>
    </row>
    <row r="560" ht="15" customHeight="1">
      <c r="A560" t="inlineStr">
        <is>
          <t>A 21778-2025</t>
        </is>
      </c>
      <c r="B560" s="1" t="n">
        <v>45783.66429398148</v>
      </c>
      <c r="C560" s="1" t="n">
        <v>45931</v>
      </c>
      <c r="D560" t="inlineStr">
        <is>
          <t>STOCKHOLMS LÄN</t>
        </is>
      </c>
      <c r="E560" t="inlineStr">
        <is>
          <t>NORRTÄLJE</t>
        </is>
      </c>
      <c r="G560" t="n">
        <v>2</v>
      </c>
      <c r="H560" t="n">
        <v>0</v>
      </c>
      <c r="I560" t="n">
        <v>0</v>
      </c>
      <c r="J560" t="n">
        <v>0</v>
      </c>
      <c r="K560" t="n">
        <v>0</v>
      </c>
      <c r="L560" t="n">
        <v>0</v>
      </c>
      <c r="M560" t="n">
        <v>0</v>
      </c>
      <c r="N560" t="n">
        <v>0</v>
      </c>
      <c r="O560" t="n">
        <v>0</v>
      </c>
      <c r="P560" t="n">
        <v>0</v>
      </c>
      <c r="Q560" t="n">
        <v>0</v>
      </c>
      <c r="R560" s="2" t="inlineStr"/>
    </row>
    <row r="561" ht="15" customHeight="1">
      <c r="A561" t="inlineStr">
        <is>
          <t>A 3299-2022</t>
        </is>
      </c>
      <c r="B561" s="1" t="n">
        <v>44584.91001157407</v>
      </c>
      <c r="C561" s="1" t="n">
        <v>45931</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57987-2020</t>
        </is>
      </c>
      <c r="B562" s="1" t="n">
        <v>44143</v>
      </c>
      <c r="C562" s="1" t="n">
        <v>45931</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42075-2023</t>
        </is>
      </c>
      <c r="B563" s="1" t="n">
        <v>45177</v>
      </c>
      <c r="C563" s="1" t="n">
        <v>45931</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10676-2025</t>
        </is>
      </c>
      <c r="B564" s="1" t="n">
        <v>45721.88684027778</v>
      </c>
      <c r="C564" s="1" t="n">
        <v>45931</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58302-2022</t>
        </is>
      </c>
      <c r="B565" s="1" t="n">
        <v>44901</v>
      </c>
      <c r="C565" s="1" t="n">
        <v>45931</v>
      </c>
      <c r="D565" t="inlineStr">
        <is>
          <t>STOCKHOLMS LÄN</t>
        </is>
      </c>
      <c r="E565" t="inlineStr">
        <is>
          <t>NORRTÄLJE</t>
        </is>
      </c>
      <c r="G565" t="n">
        <v>3.9</v>
      </c>
      <c r="H565" t="n">
        <v>0</v>
      </c>
      <c r="I565" t="n">
        <v>0</v>
      </c>
      <c r="J565" t="n">
        <v>0</v>
      </c>
      <c r="K565" t="n">
        <v>0</v>
      </c>
      <c r="L565" t="n">
        <v>0</v>
      </c>
      <c r="M565" t="n">
        <v>0</v>
      </c>
      <c r="N565" t="n">
        <v>0</v>
      </c>
      <c r="O565" t="n">
        <v>0</v>
      </c>
      <c r="P565" t="n">
        <v>0</v>
      </c>
      <c r="Q565" t="n">
        <v>0</v>
      </c>
      <c r="R565" s="2" t="inlineStr"/>
    </row>
    <row r="566" ht="15" customHeight="1">
      <c r="A566" t="inlineStr">
        <is>
          <t>A 12902-2024</t>
        </is>
      </c>
      <c r="B566" s="1" t="n">
        <v>45385.38146990741</v>
      </c>
      <c r="C566" s="1" t="n">
        <v>45931</v>
      </c>
      <c r="D566" t="inlineStr">
        <is>
          <t>STOCKHOLMS LÄN</t>
        </is>
      </c>
      <c r="E566" t="inlineStr">
        <is>
          <t>NORRTÄLJE</t>
        </is>
      </c>
      <c r="G566" t="n">
        <v>3.7</v>
      </c>
      <c r="H566" t="n">
        <v>0</v>
      </c>
      <c r="I566" t="n">
        <v>0</v>
      </c>
      <c r="J566" t="n">
        <v>0</v>
      </c>
      <c r="K566" t="n">
        <v>0</v>
      </c>
      <c r="L566" t="n">
        <v>0</v>
      </c>
      <c r="M566" t="n">
        <v>0</v>
      </c>
      <c r="N566" t="n">
        <v>0</v>
      </c>
      <c r="O566" t="n">
        <v>0</v>
      </c>
      <c r="P566" t="n">
        <v>0</v>
      </c>
      <c r="Q566" t="n">
        <v>0</v>
      </c>
      <c r="R566" s="2" t="inlineStr"/>
    </row>
    <row r="567" ht="15" customHeight="1">
      <c r="A567" t="inlineStr">
        <is>
          <t>A 39237-2024</t>
        </is>
      </c>
      <c r="B567" s="1" t="n">
        <v>45549</v>
      </c>
      <c r="C567" s="1" t="n">
        <v>45931</v>
      </c>
      <c r="D567" t="inlineStr">
        <is>
          <t>STOCKHOLMS LÄN</t>
        </is>
      </c>
      <c r="E567" t="inlineStr">
        <is>
          <t>NORRTÄLJE</t>
        </is>
      </c>
      <c r="G567" t="n">
        <v>13.3</v>
      </c>
      <c r="H567" t="n">
        <v>0</v>
      </c>
      <c r="I567" t="n">
        <v>0</v>
      </c>
      <c r="J567" t="n">
        <v>0</v>
      </c>
      <c r="K567" t="n">
        <v>0</v>
      </c>
      <c r="L567" t="n">
        <v>0</v>
      </c>
      <c r="M567" t="n">
        <v>0</v>
      </c>
      <c r="N567" t="n">
        <v>0</v>
      </c>
      <c r="O567" t="n">
        <v>0</v>
      </c>
      <c r="P567" t="n">
        <v>0</v>
      </c>
      <c r="Q567" t="n">
        <v>0</v>
      </c>
      <c r="R567" s="2" t="inlineStr"/>
    </row>
    <row r="568" ht="15" customHeight="1">
      <c r="A568" t="inlineStr">
        <is>
          <t>A 44891-2023</t>
        </is>
      </c>
      <c r="B568" s="1" t="n">
        <v>45187</v>
      </c>
      <c r="C568" s="1" t="n">
        <v>45931</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13268-2025</t>
        </is>
      </c>
      <c r="B569" s="1" t="n">
        <v>45735</v>
      </c>
      <c r="C569" s="1" t="n">
        <v>45931</v>
      </c>
      <c r="D569" t="inlineStr">
        <is>
          <t>STOCKHOLMS LÄN</t>
        </is>
      </c>
      <c r="E569" t="inlineStr">
        <is>
          <t>NORRTÄLJE</t>
        </is>
      </c>
      <c r="G569" t="n">
        <v>11.4</v>
      </c>
      <c r="H569" t="n">
        <v>0</v>
      </c>
      <c r="I569" t="n">
        <v>0</v>
      </c>
      <c r="J569" t="n">
        <v>0</v>
      </c>
      <c r="K569" t="n">
        <v>0</v>
      </c>
      <c r="L569" t="n">
        <v>0</v>
      </c>
      <c r="M569" t="n">
        <v>0</v>
      </c>
      <c r="N569" t="n">
        <v>0</v>
      </c>
      <c r="O569" t="n">
        <v>0</v>
      </c>
      <c r="P569" t="n">
        <v>0</v>
      </c>
      <c r="Q569" t="n">
        <v>0</v>
      </c>
      <c r="R569" s="2" t="inlineStr"/>
    </row>
    <row r="570" ht="15" customHeight="1">
      <c r="A570" t="inlineStr">
        <is>
          <t>A 50154-2024</t>
        </is>
      </c>
      <c r="B570" s="1" t="n">
        <v>45600.4558912037</v>
      </c>
      <c r="C570" s="1" t="n">
        <v>45931</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8414-2025</t>
        </is>
      </c>
      <c r="B571" s="1" t="n">
        <v>45709.39361111111</v>
      </c>
      <c r="C571" s="1" t="n">
        <v>45931</v>
      </c>
      <c r="D571" t="inlineStr">
        <is>
          <t>STOCKHOLMS LÄN</t>
        </is>
      </c>
      <c r="E571" t="inlineStr">
        <is>
          <t>NORRTÄLJE</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37273-2024</t>
        </is>
      </c>
      <c r="B572" s="1" t="n">
        <v>45540</v>
      </c>
      <c r="C572" s="1" t="n">
        <v>45931</v>
      </c>
      <c r="D572" t="inlineStr">
        <is>
          <t>STOCKHOLMS LÄN</t>
        </is>
      </c>
      <c r="E572" t="inlineStr">
        <is>
          <t>NORRTÄLJE</t>
        </is>
      </c>
      <c r="F572" t="inlineStr">
        <is>
          <t>Sveaskog</t>
        </is>
      </c>
      <c r="G572" t="n">
        <v>12.5</v>
      </c>
      <c r="H572" t="n">
        <v>0</v>
      </c>
      <c r="I572" t="n">
        <v>0</v>
      </c>
      <c r="J572" t="n">
        <v>0</v>
      </c>
      <c r="K572" t="n">
        <v>0</v>
      </c>
      <c r="L572" t="n">
        <v>0</v>
      </c>
      <c r="M572" t="n">
        <v>0</v>
      </c>
      <c r="N572" t="n">
        <v>0</v>
      </c>
      <c r="O572" t="n">
        <v>0</v>
      </c>
      <c r="P572" t="n">
        <v>0</v>
      </c>
      <c r="Q572" t="n">
        <v>0</v>
      </c>
      <c r="R572" s="2" t="inlineStr"/>
    </row>
    <row r="573" ht="15" customHeight="1">
      <c r="A573" t="inlineStr">
        <is>
          <t>A 23269-2023</t>
        </is>
      </c>
      <c r="B573" s="1" t="n">
        <v>45075.91148148148</v>
      </c>
      <c r="C573" s="1" t="n">
        <v>45931</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23060-2023</t>
        </is>
      </c>
      <c r="B574" s="1" t="n">
        <v>45075</v>
      </c>
      <c r="C574" s="1" t="n">
        <v>45931</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34773-2022</t>
        </is>
      </c>
      <c r="B575" s="1" t="n">
        <v>44795</v>
      </c>
      <c r="C575" s="1" t="n">
        <v>45931</v>
      </c>
      <c r="D575" t="inlineStr">
        <is>
          <t>STOCKHOLMS LÄN</t>
        </is>
      </c>
      <c r="E575" t="inlineStr">
        <is>
          <t>NORRTÄLJE</t>
        </is>
      </c>
      <c r="G575" t="n">
        <v>3.9</v>
      </c>
      <c r="H575" t="n">
        <v>0</v>
      </c>
      <c r="I575" t="n">
        <v>0</v>
      </c>
      <c r="J575" t="n">
        <v>0</v>
      </c>
      <c r="K575" t="n">
        <v>0</v>
      </c>
      <c r="L575" t="n">
        <v>0</v>
      </c>
      <c r="M575" t="n">
        <v>0</v>
      </c>
      <c r="N575" t="n">
        <v>0</v>
      </c>
      <c r="O575" t="n">
        <v>0</v>
      </c>
      <c r="P575" t="n">
        <v>0</v>
      </c>
      <c r="Q575" t="n">
        <v>0</v>
      </c>
      <c r="R575" s="2" t="inlineStr"/>
    </row>
    <row r="576" ht="15" customHeight="1">
      <c r="A576" t="inlineStr">
        <is>
          <t>A 23263-2023</t>
        </is>
      </c>
      <c r="B576" s="1" t="n">
        <v>45075</v>
      </c>
      <c r="C576" s="1" t="n">
        <v>45931</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23264-2023</t>
        </is>
      </c>
      <c r="B577" s="1" t="n">
        <v>45075</v>
      </c>
      <c r="C577" s="1" t="n">
        <v>45931</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23267-2023</t>
        </is>
      </c>
      <c r="B578" s="1" t="n">
        <v>45075.90934027778</v>
      </c>
      <c r="C578" s="1" t="n">
        <v>45931</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58661-2020</t>
        </is>
      </c>
      <c r="B579" s="1" t="n">
        <v>44145</v>
      </c>
      <c r="C579" s="1" t="n">
        <v>45931</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25654-2023</t>
        </is>
      </c>
      <c r="B580" s="1" t="n">
        <v>45089</v>
      </c>
      <c r="C580" s="1" t="n">
        <v>45931</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44032-2024</t>
        </is>
      </c>
      <c r="B581" s="1" t="n">
        <v>45572.57828703704</v>
      </c>
      <c r="C581" s="1" t="n">
        <v>45931</v>
      </c>
      <c r="D581" t="inlineStr">
        <is>
          <t>STOCKHOLMS LÄN</t>
        </is>
      </c>
      <c r="E581" t="inlineStr">
        <is>
          <t>NORRTÄLJE</t>
        </is>
      </c>
      <c r="G581" t="n">
        <v>8.6</v>
      </c>
      <c r="H581" t="n">
        <v>0</v>
      </c>
      <c r="I581" t="n">
        <v>0</v>
      </c>
      <c r="J581" t="n">
        <v>0</v>
      </c>
      <c r="K581" t="n">
        <v>0</v>
      </c>
      <c r="L581" t="n">
        <v>0</v>
      </c>
      <c r="M581" t="n">
        <v>0</v>
      </c>
      <c r="N581" t="n">
        <v>0</v>
      </c>
      <c r="O581" t="n">
        <v>0</v>
      </c>
      <c r="P581" t="n">
        <v>0</v>
      </c>
      <c r="Q581" t="n">
        <v>0</v>
      </c>
      <c r="R581" s="2" t="inlineStr"/>
    </row>
    <row r="582" ht="15" customHeight="1">
      <c r="A582" t="inlineStr">
        <is>
          <t>A 47758-2023</t>
        </is>
      </c>
      <c r="B582" s="1" t="n">
        <v>45203.83891203703</v>
      </c>
      <c r="C582" s="1" t="n">
        <v>45931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52743-2024</t>
        </is>
      </c>
      <c r="B583" s="1" t="n">
        <v>45610.47414351852</v>
      </c>
      <c r="C583" s="1" t="n">
        <v>45931</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24563-2024</t>
        </is>
      </c>
      <c r="B584" s="1" t="n">
        <v>45460.44347222222</v>
      </c>
      <c r="C584" s="1" t="n">
        <v>45931</v>
      </c>
      <c r="D584" t="inlineStr">
        <is>
          <t>STOCKHOLMS LÄN</t>
        </is>
      </c>
      <c r="E584" t="inlineStr">
        <is>
          <t>NORRTÄLJE</t>
        </is>
      </c>
      <c r="G584" t="n">
        <v>1.9</v>
      </c>
      <c r="H584" t="n">
        <v>0</v>
      </c>
      <c r="I584" t="n">
        <v>0</v>
      </c>
      <c r="J584" t="n">
        <v>0</v>
      </c>
      <c r="K584" t="n">
        <v>0</v>
      </c>
      <c r="L584" t="n">
        <v>0</v>
      </c>
      <c r="M584" t="n">
        <v>0</v>
      </c>
      <c r="N584" t="n">
        <v>0</v>
      </c>
      <c r="O584" t="n">
        <v>0</v>
      </c>
      <c r="P584" t="n">
        <v>0</v>
      </c>
      <c r="Q584" t="n">
        <v>0</v>
      </c>
      <c r="R584" s="2" t="inlineStr"/>
    </row>
    <row r="585" ht="15" customHeight="1">
      <c r="A585" t="inlineStr">
        <is>
          <t>A 48151-2024</t>
        </is>
      </c>
      <c r="B585" s="1" t="n">
        <v>45589.68289351852</v>
      </c>
      <c r="C585" s="1" t="n">
        <v>45931</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22202-2025</t>
        </is>
      </c>
      <c r="B586" s="1" t="n">
        <v>45785.65300925926</v>
      </c>
      <c r="C586" s="1" t="n">
        <v>45931</v>
      </c>
      <c r="D586" t="inlineStr">
        <is>
          <t>STOCKHOLMS LÄN</t>
        </is>
      </c>
      <c r="E586" t="inlineStr">
        <is>
          <t>NORRTÄLJE</t>
        </is>
      </c>
      <c r="G586" t="n">
        <v>10.2</v>
      </c>
      <c r="H586" t="n">
        <v>0</v>
      </c>
      <c r="I586" t="n">
        <v>0</v>
      </c>
      <c r="J586" t="n">
        <v>0</v>
      </c>
      <c r="K586" t="n">
        <v>0</v>
      </c>
      <c r="L586" t="n">
        <v>0</v>
      </c>
      <c r="M586" t="n">
        <v>0</v>
      </c>
      <c r="N586" t="n">
        <v>0</v>
      </c>
      <c r="O586" t="n">
        <v>0</v>
      </c>
      <c r="P586" t="n">
        <v>0</v>
      </c>
      <c r="Q586" t="n">
        <v>0</v>
      </c>
      <c r="R586" s="2" t="inlineStr"/>
    </row>
    <row r="587" ht="15" customHeight="1">
      <c r="A587" t="inlineStr">
        <is>
          <t>A 36625-2024</t>
        </is>
      </c>
      <c r="B587" s="1" t="n">
        <v>45537</v>
      </c>
      <c r="C587" s="1" t="n">
        <v>45931</v>
      </c>
      <c r="D587" t="inlineStr">
        <is>
          <t>STOCKHOLMS LÄN</t>
        </is>
      </c>
      <c r="E587" t="inlineStr">
        <is>
          <t>NORRTÄLJE</t>
        </is>
      </c>
      <c r="G587" t="n">
        <v>3.8</v>
      </c>
      <c r="H587" t="n">
        <v>0</v>
      </c>
      <c r="I587" t="n">
        <v>0</v>
      </c>
      <c r="J587" t="n">
        <v>0</v>
      </c>
      <c r="K587" t="n">
        <v>0</v>
      </c>
      <c r="L587" t="n">
        <v>0</v>
      </c>
      <c r="M587" t="n">
        <v>0</v>
      </c>
      <c r="N587" t="n">
        <v>0</v>
      </c>
      <c r="O587" t="n">
        <v>0</v>
      </c>
      <c r="P587" t="n">
        <v>0</v>
      </c>
      <c r="Q587" t="n">
        <v>0</v>
      </c>
      <c r="R587" s="2" t="inlineStr"/>
    </row>
    <row r="588" ht="15" customHeight="1">
      <c r="A588" t="inlineStr">
        <is>
          <t>A 45746-2024</t>
        </is>
      </c>
      <c r="B588" s="1" t="n">
        <v>45579</v>
      </c>
      <c r="C588" s="1" t="n">
        <v>45931</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5831-2022</t>
        </is>
      </c>
      <c r="B589" s="1" t="n">
        <v>44596</v>
      </c>
      <c r="C589" s="1" t="n">
        <v>45931</v>
      </c>
      <c r="D589" t="inlineStr">
        <is>
          <t>STOCKHOLMS LÄN</t>
        </is>
      </c>
      <c r="E589" t="inlineStr">
        <is>
          <t>NORRTÄLJE</t>
        </is>
      </c>
      <c r="G589" t="n">
        <v>4.8</v>
      </c>
      <c r="H589" t="n">
        <v>0</v>
      </c>
      <c r="I589" t="n">
        <v>0</v>
      </c>
      <c r="J589" t="n">
        <v>0</v>
      </c>
      <c r="K589" t="n">
        <v>0</v>
      </c>
      <c r="L589" t="n">
        <v>0</v>
      </c>
      <c r="M589" t="n">
        <v>0</v>
      </c>
      <c r="N589" t="n">
        <v>0</v>
      </c>
      <c r="O589" t="n">
        <v>0</v>
      </c>
      <c r="P589" t="n">
        <v>0</v>
      </c>
      <c r="Q589" t="n">
        <v>0</v>
      </c>
      <c r="R589" s="2" t="inlineStr"/>
    </row>
    <row r="590" ht="15" customHeight="1">
      <c r="A590" t="inlineStr">
        <is>
          <t>A 11499-2023</t>
        </is>
      </c>
      <c r="B590" s="1" t="n">
        <v>44993.66707175926</v>
      </c>
      <c r="C590" s="1" t="n">
        <v>45931</v>
      </c>
      <c r="D590" t="inlineStr">
        <is>
          <t>STOCKHOLMS LÄN</t>
        </is>
      </c>
      <c r="E590" t="inlineStr">
        <is>
          <t>NORRTÄLJE</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53652-2020</t>
        </is>
      </c>
      <c r="B591" s="1" t="n">
        <v>44124</v>
      </c>
      <c r="C591" s="1" t="n">
        <v>45931</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64600-2021</t>
        </is>
      </c>
      <c r="B592" s="1" t="n">
        <v>44511.70518518519</v>
      </c>
      <c r="C592" s="1" t="n">
        <v>45931</v>
      </c>
      <c r="D592" t="inlineStr">
        <is>
          <t>STOCKHOLMS LÄN</t>
        </is>
      </c>
      <c r="E592" t="inlineStr">
        <is>
          <t>NORRTÄLJE</t>
        </is>
      </c>
      <c r="G592" t="n">
        <v>6.2</v>
      </c>
      <c r="H592" t="n">
        <v>0</v>
      </c>
      <c r="I592" t="n">
        <v>0</v>
      </c>
      <c r="J592" t="n">
        <v>0</v>
      </c>
      <c r="K592" t="n">
        <v>0</v>
      </c>
      <c r="L592" t="n">
        <v>0</v>
      </c>
      <c r="M592" t="n">
        <v>0</v>
      </c>
      <c r="N592" t="n">
        <v>0</v>
      </c>
      <c r="O592" t="n">
        <v>0</v>
      </c>
      <c r="P592" t="n">
        <v>0</v>
      </c>
      <c r="Q592" t="n">
        <v>0</v>
      </c>
      <c r="R592" s="2" t="inlineStr"/>
    </row>
    <row r="593" ht="15" customHeight="1">
      <c r="A593" t="inlineStr">
        <is>
          <t>A 35640-2024</t>
        </is>
      </c>
      <c r="B593" s="1" t="n">
        <v>45531</v>
      </c>
      <c r="C593" s="1" t="n">
        <v>45931</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30719-2025</t>
        </is>
      </c>
      <c r="B594" s="1" t="n">
        <v>45831.56521990741</v>
      </c>
      <c r="C594" s="1" t="n">
        <v>45931</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58853-2024</t>
        </is>
      </c>
      <c r="B595" s="1" t="n">
        <v>45636.38974537037</v>
      </c>
      <c r="C595" s="1" t="n">
        <v>45931</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8586-2023</t>
        </is>
      </c>
      <c r="B596" s="1" t="n">
        <v>44977</v>
      </c>
      <c r="C596" s="1" t="n">
        <v>45931</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8400-2024</t>
        </is>
      </c>
      <c r="B597" s="1" t="n">
        <v>45352.74090277778</v>
      </c>
      <c r="C597" s="1" t="n">
        <v>45931</v>
      </c>
      <c r="D597" t="inlineStr">
        <is>
          <t>STOCKHOLMS LÄN</t>
        </is>
      </c>
      <c r="E597" t="inlineStr">
        <is>
          <t>NORRTÄLJE</t>
        </is>
      </c>
      <c r="G597" t="n">
        <v>4.7</v>
      </c>
      <c r="H597" t="n">
        <v>0</v>
      </c>
      <c r="I597" t="n">
        <v>0</v>
      </c>
      <c r="J597" t="n">
        <v>0</v>
      </c>
      <c r="K597" t="n">
        <v>0</v>
      </c>
      <c r="L597" t="n">
        <v>0</v>
      </c>
      <c r="M597" t="n">
        <v>0</v>
      </c>
      <c r="N597" t="n">
        <v>0</v>
      </c>
      <c r="O597" t="n">
        <v>0</v>
      </c>
      <c r="P597" t="n">
        <v>0</v>
      </c>
      <c r="Q597" t="n">
        <v>0</v>
      </c>
      <c r="R597" s="2" t="inlineStr"/>
    </row>
    <row r="598" ht="15" customHeight="1">
      <c r="A598" t="inlineStr">
        <is>
          <t>A 67990-2021</t>
        </is>
      </c>
      <c r="B598" s="1" t="n">
        <v>44525</v>
      </c>
      <c r="C598" s="1" t="n">
        <v>45931</v>
      </c>
      <c r="D598" t="inlineStr">
        <is>
          <t>STOCKHOLMS LÄN</t>
        </is>
      </c>
      <c r="E598" t="inlineStr">
        <is>
          <t>NORRTÄLJE</t>
        </is>
      </c>
      <c r="F598" t="inlineStr">
        <is>
          <t>Sveaskog</t>
        </is>
      </c>
      <c r="G598" t="n">
        <v>7.8</v>
      </c>
      <c r="H598" t="n">
        <v>0</v>
      </c>
      <c r="I598" t="n">
        <v>0</v>
      </c>
      <c r="J598" t="n">
        <v>0</v>
      </c>
      <c r="K598" t="n">
        <v>0</v>
      </c>
      <c r="L598" t="n">
        <v>0</v>
      </c>
      <c r="M598" t="n">
        <v>0</v>
      </c>
      <c r="N598" t="n">
        <v>0</v>
      </c>
      <c r="O598" t="n">
        <v>0</v>
      </c>
      <c r="P598" t="n">
        <v>0</v>
      </c>
      <c r="Q598" t="n">
        <v>0</v>
      </c>
      <c r="R598" s="2" t="inlineStr"/>
    </row>
    <row r="599" ht="15" customHeight="1">
      <c r="A599" t="inlineStr">
        <is>
          <t>A 59712-2024</t>
        </is>
      </c>
      <c r="B599" s="1" t="n">
        <v>45639.45166666667</v>
      </c>
      <c r="C599" s="1" t="n">
        <v>45931</v>
      </c>
      <c r="D599" t="inlineStr">
        <is>
          <t>STOCKHOLMS LÄN</t>
        </is>
      </c>
      <c r="E599" t="inlineStr">
        <is>
          <t>NORRTÄLJE</t>
        </is>
      </c>
      <c r="G599" t="n">
        <v>4.4</v>
      </c>
      <c r="H599" t="n">
        <v>0</v>
      </c>
      <c r="I599" t="n">
        <v>0</v>
      </c>
      <c r="J599" t="n">
        <v>0</v>
      </c>
      <c r="K599" t="n">
        <v>0</v>
      </c>
      <c r="L599" t="n">
        <v>0</v>
      </c>
      <c r="M599" t="n">
        <v>0</v>
      </c>
      <c r="N599" t="n">
        <v>0</v>
      </c>
      <c r="O599" t="n">
        <v>0</v>
      </c>
      <c r="P599" t="n">
        <v>0</v>
      </c>
      <c r="Q599" t="n">
        <v>0</v>
      </c>
      <c r="R599" s="2" t="inlineStr"/>
    </row>
    <row r="600" ht="15" customHeight="1">
      <c r="A600" t="inlineStr">
        <is>
          <t>A 2182-2022</t>
        </is>
      </c>
      <c r="B600" s="1" t="n">
        <v>44578</v>
      </c>
      <c r="C600" s="1" t="n">
        <v>45931</v>
      </c>
      <c r="D600" t="inlineStr">
        <is>
          <t>STOCKHOLMS LÄN</t>
        </is>
      </c>
      <c r="E600" t="inlineStr">
        <is>
          <t>NORRTÄLJE</t>
        </is>
      </c>
      <c r="G600" t="n">
        <v>7.2</v>
      </c>
      <c r="H600" t="n">
        <v>0</v>
      </c>
      <c r="I600" t="n">
        <v>0</v>
      </c>
      <c r="J600" t="n">
        <v>0</v>
      </c>
      <c r="K600" t="n">
        <v>0</v>
      </c>
      <c r="L600" t="n">
        <v>0</v>
      </c>
      <c r="M600" t="n">
        <v>0</v>
      </c>
      <c r="N600" t="n">
        <v>0</v>
      </c>
      <c r="O600" t="n">
        <v>0</v>
      </c>
      <c r="P600" t="n">
        <v>0</v>
      </c>
      <c r="Q600" t="n">
        <v>0</v>
      </c>
      <c r="R600" s="2" t="inlineStr"/>
    </row>
    <row r="601" ht="15" customHeight="1">
      <c r="A601" t="inlineStr">
        <is>
          <t>A 59721-2024</t>
        </is>
      </c>
      <c r="B601" s="1" t="n">
        <v>45639.47385416667</v>
      </c>
      <c r="C601" s="1" t="n">
        <v>45931</v>
      </c>
      <c r="D601" t="inlineStr">
        <is>
          <t>STOCKHOLMS LÄN</t>
        </is>
      </c>
      <c r="E601" t="inlineStr">
        <is>
          <t>NORRTÄLJE</t>
        </is>
      </c>
      <c r="G601" t="n">
        <v>4.6</v>
      </c>
      <c r="H601" t="n">
        <v>0</v>
      </c>
      <c r="I601" t="n">
        <v>0</v>
      </c>
      <c r="J601" t="n">
        <v>0</v>
      </c>
      <c r="K601" t="n">
        <v>0</v>
      </c>
      <c r="L601" t="n">
        <v>0</v>
      </c>
      <c r="M601" t="n">
        <v>0</v>
      </c>
      <c r="N601" t="n">
        <v>0</v>
      </c>
      <c r="O601" t="n">
        <v>0</v>
      </c>
      <c r="P601" t="n">
        <v>0</v>
      </c>
      <c r="Q601" t="n">
        <v>0</v>
      </c>
      <c r="R601" s="2" t="inlineStr"/>
    </row>
    <row r="602" ht="15" customHeight="1">
      <c r="A602" t="inlineStr">
        <is>
          <t>A 16620-2024</t>
        </is>
      </c>
      <c r="B602" s="1" t="n">
        <v>45408.57707175926</v>
      </c>
      <c r="C602" s="1" t="n">
        <v>45931</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60884-2024</t>
        </is>
      </c>
      <c r="B603" s="1" t="n">
        <v>45644.90815972222</v>
      </c>
      <c r="C603" s="1" t="n">
        <v>45931</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23150-2024</t>
        </is>
      </c>
      <c r="B604" s="1" t="n">
        <v>45450.64643518518</v>
      </c>
      <c r="C604" s="1" t="n">
        <v>45931</v>
      </c>
      <c r="D604" t="inlineStr">
        <is>
          <t>STOCKHOLMS LÄN</t>
        </is>
      </c>
      <c r="E604" t="inlineStr">
        <is>
          <t>NORRTÄLJE</t>
        </is>
      </c>
      <c r="F604" t="inlineStr">
        <is>
          <t>Kommuner</t>
        </is>
      </c>
      <c r="G604" t="n">
        <v>2.7</v>
      </c>
      <c r="H604" t="n">
        <v>0</v>
      </c>
      <c r="I604" t="n">
        <v>0</v>
      </c>
      <c r="J604" t="n">
        <v>0</v>
      </c>
      <c r="K604" t="n">
        <v>0</v>
      </c>
      <c r="L604" t="n">
        <v>0</v>
      </c>
      <c r="M604" t="n">
        <v>0</v>
      </c>
      <c r="N604" t="n">
        <v>0</v>
      </c>
      <c r="O604" t="n">
        <v>0</v>
      </c>
      <c r="P604" t="n">
        <v>0</v>
      </c>
      <c r="Q604" t="n">
        <v>0</v>
      </c>
      <c r="R604" s="2" t="inlineStr"/>
    </row>
    <row r="605" ht="15" customHeight="1">
      <c r="A605" t="inlineStr">
        <is>
          <t>A 22416-2025</t>
        </is>
      </c>
      <c r="B605" s="1" t="n">
        <v>45786.55645833333</v>
      </c>
      <c r="C605" s="1" t="n">
        <v>45931</v>
      </c>
      <c r="D605" t="inlineStr">
        <is>
          <t>STOCKHOLMS LÄN</t>
        </is>
      </c>
      <c r="E605" t="inlineStr">
        <is>
          <t>NORRTÄLJE</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59878-2024</t>
        </is>
      </c>
      <c r="B606" s="1" t="n">
        <v>45640.60240740741</v>
      </c>
      <c r="C606" s="1" t="n">
        <v>45931</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50182-2024</t>
        </is>
      </c>
      <c r="B607" s="1" t="n">
        <v>45600.47275462963</v>
      </c>
      <c r="C607" s="1" t="n">
        <v>45931</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2549-2022</t>
        </is>
      </c>
      <c r="B608" s="1" t="n">
        <v>44580</v>
      </c>
      <c r="C608" s="1" t="n">
        <v>45931</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21696-2024</t>
        </is>
      </c>
      <c r="B609" s="1" t="n">
        <v>45442.45686342593</v>
      </c>
      <c r="C609" s="1" t="n">
        <v>45931</v>
      </c>
      <c r="D609" t="inlineStr">
        <is>
          <t>STOCKHOLMS LÄN</t>
        </is>
      </c>
      <c r="E609" t="inlineStr">
        <is>
          <t>NORRTÄLJE</t>
        </is>
      </c>
      <c r="G609" t="n">
        <v>2.9</v>
      </c>
      <c r="H609" t="n">
        <v>0</v>
      </c>
      <c r="I609" t="n">
        <v>0</v>
      </c>
      <c r="J609" t="n">
        <v>0</v>
      </c>
      <c r="K609" t="n">
        <v>0</v>
      </c>
      <c r="L609" t="n">
        <v>0</v>
      </c>
      <c r="M609" t="n">
        <v>0</v>
      </c>
      <c r="N609" t="n">
        <v>0</v>
      </c>
      <c r="O609" t="n">
        <v>0</v>
      </c>
      <c r="P609" t="n">
        <v>0</v>
      </c>
      <c r="Q609" t="n">
        <v>0</v>
      </c>
      <c r="R609" s="2" t="inlineStr"/>
    </row>
    <row r="610" ht="15" customHeight="1">
      <c r="A610" t="inlineStr">
        <is>
          <t>A 58785-2024</t>
        </is>
      </c>
      <c r="B610" s="1" t="n">
        <v>45635.88849537037</v>
      </c>
      <c r="C610" s="1" t="n">
        <v>45931</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37136-2023</t>
        </is>
      </c>
      <c r="B611" s="1" t="n">
        <v>45155</v>
      </c>
      <c r="C611" s="1" t="n">
        <v>45931</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31140-2023</t>
        </is>
      </c>
      <c r="B612" s="1" t="n">
        <v>45113</v>
      </c>
      <c r="C612" s="1" t="n">
        <v>45931</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31149-2023</t>
        </is>
      </c>
      <c r="B613" s="1" t="n">
        <v>45113</v>
      </c>
      <c r="C613" s="1" t="n">
        <v>45931</v>
      </c>
      <c r="D613" t="inlineStr">
        <is>
          <t>STOCKHOLMS LÄN</t>
        </is>
      </c>
      <c r="E613" t="inlineStr">
        <is>
          <t>NORRTÄLJE</t>
        </is>
      </c>
      <c r="G613" t="n">
        <v>7.1</v>
      </c>
      <c r="H613" t="n">
        <v>0</v>
      </c>
      <c r="I613" t="n">
        <v>0</v>
      </c>
      <c r="J613" t="n">
        <v>0</v>
      </c>
      <c r="K613" t="n">
        <v>0</v>
      </c>
      <c r="L613" t="n">
        <v>0</v>
      </c>
      <c r="M613" t="n">
        <v>0</v>
      </c>
      <c r="N613" t="n">
        <v>0</v>
      </c>
      <c r="O613" t="n">
        <v>0</v>
      </c>
      <c r="P613" t="n">
        <v>0</v>
      </c>
      <c r="Q613" t="n">
        <v>0</v>
      </c>
      <c r="R613" s="2" t="inlineStr"/>
    </row>
    <row r="614" ht="15" customHeight="1">
      <c r="A614" t="inlineStr">
        <is>
          <t>A 16835-2022</t>
        </is>
      </c>
      <c r="B614" s="1" t="n">
        <v>44673</v>
      </c>
      <c r="C614" s="1" t="n">
        <v>45931</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1740-2023</t>
        </is>
      </c>
      <c r="B615" s="1" t="n">
        <v>44938</v>
      </c>
      <c r="C615" s="1" t="n">
        <v>45931</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13701-2022</t>
        </is>
      </c>
      <c r="B616" s="1" t="n">
        <v>44648</v>
      </c>
      <c r="C616" s="1" t="n">
        <v>45931</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13089-2022</t>
        </is>
      </c>
      <c r="B617" s="1" t="n">
        <v>44643</v>
      </c>
      <c r="C617" s="1" t="n">
        <v>45931</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38759-2022</t>
        </is>
      </c>
      <c r="B618" s="1" t="n">
        <v>44816</v>
      </c>
      <c r="C618" s="1" t="n">
        <v>45931</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23998-2024</t>
        </is>
      </c>
      <c r="B619" s="1" t="n">
        <v>45456</v>
      </c>
      <c r="C619" s="1" t="n">
        <v>45931</v>
      </c>
      <c r="D619" t="inlineStr">
        <is>
          <t>STOCKHOLMS LÄN</t>
        </is>
      </c>
      <c r="E619" t="inlineStr">
        <is>
          <t>NORRTÄLJE</t>
        </is>
      </c>
      <c r="G619" t="n">
        <v>2.3</v>
      </c>
      <c r="H619" t="n">
        <v>0</v>
      </c>
      <c r="I619" t="n">
        <v>0</v>
      </c>
      <c r="J619" t="n">
        <v>0</v>
      </c>
      <c r="K619" t="n">
        <v>0</v>
      </c>
      <c r="L619" t="n">
        <v>0</v>
      </c>
      <c r="M619" t="n">
        <v>0</v>
      </c>
      <c r="N619" t="n">
        <v>0</v>
      </c>
      <c r="O619" t="n">
        <v>0</v>
      </c>
      <c r="P619" t="n">
        <v>0</v>
      </c>
      <c r="Q619" t="n">
        <v>0</v>
      </c>
      <c r="R619" s="2" t="inlineStr"/>
    </row>
    <row r="620" ht="15" customHeight="1">
      <c r="A620" t="inlineStr">
        <is>
          <t>A 62998-2023</t>
        </is>
      </c>
      <c r="B620" s="1" t="n">
        <v>45272.64479166667</v>
      </c>
      <c r="C620" s="1" t="n">
        <v>45931</v>
      </c>
      <c r="D620" t="inlineStr">
        <is>
          <t>STOCKHOLMS LÄN</t>
        </is>
      </c>
      <c r="E620" t="inlineStr">
        <is>
          <t>NORRTÄLJE</t>
        </is>
      </c>
      <c r="G620" t="n">
        <v>16.3</v>
      </c>
      <c r="H620" t="n">
        <v>0</v>
      </c>
      <c r="I620" t="n">
        <v>0</v>
      </c>
      <c r="J620" t="n">
        <v>0</v>
      </c>
      <c r="K620" t="n">
        <v>0</v>
      </c>
      <c r="L620" t="n">
        <v>0</v>
      </c>
      <c r="M620" t="n">
        <v>0</v>
      </c>
      <c r="N620" t="n">
        <v>0</v>
      </c>
      <c r="O620" t="n">
        <v>0</v>
      </c>
      <c r="P620" t="n">
        <v>0</v>
      </c>
      <c r="Q620" t="n">
        <v>0</v>
      </c>
      <c r="R620" s="2" t="inlineStr"/>
    </row>
    <row r="621" ht="15" customHeight="1">
      <c r="A621" t="inlineStr">
        <is>
          <t>A 63015-2023</t>
        </is>
      </c>
      <c r="B621" s="1" t="n">
        <v>45272</v>
      </c>
      <c r="C621" s="1" t="n">
        <v>45931</v>
      </c>
      <c r="D621" t="inlineStr">
        <is>
          <t>STOCKHOLMS LÄN</t>
        </is>
      </c>
      <c r="E621" t="inlineStr">
        <is>
          <t>NORRTÄLJE</t>
        </is>
      </c>
      <c r="G621" t="n">
        <v>13.1</v>
      </c>
      <c r="H621" t="n">
        <v>0</v>
      </c>
      <c r="I621" t="n">
        <v>0</v>
      </c>
      <c r="J621" t="n">
        <v>0</v>
      </c>
      <c r="K621" t="n">
        <v>0</v>
      </c>
      <c r="L621" t="n">
        <v>0</v>
      </c>
      <c r="M621" t="n">
        <v>0</v>
      </c>
      <c r="N621" t="n">
        <v>0</v>
      </c>
      <c r="O621" t="n">
        <v>0</v>
      </c>
      <c r="P621" t="n">
        <v>0</v>
      </c>
      <c r="Q621" t="n">
        <v>0</v>
      </c>
      <c r="R621" s="2" t="inlineStr"/>
    </row>
    <row r="622" ht="15" customHeight="1">
      <c r="A622" t="inlineStr">
        <is>
          <t>A 54504-2024</t>
        </is>
      </c>
      <c r="B622" s="1" t="n">
        <v>45617.58453703704</v>
      </c>
      <c r="C622" s="1" t="n">
        <v>45931</v>
      </c>
      <c r="D622" t="inlineStr">
        <is>
          <t>STOCKHOLMS LÄN</t>
        </is>
      </c>
      <c r="E622" t="inlineStr">
        <is>
          <t>NORRTÄLJE</t>
        </is>
      </c>
      <c r="G622" t="n">
        <v>3.4</v>
      </c>
      <c r="H622" t="n">
        <v>0</v>
      </c>
      <c r="I622" t="n">
        <v>0</v>
      </c>
      <c r="J622" t="n">
        <v>0</v>
      </c>
      <c r="K622" t="n">
        <v>0</v>
      </c>
      <c r="L622" t="n">
        <v>0</v>
      </c>
      <c r="M622" t="n">
        <v>0</v>
      </c>
      <c r="N622" t="n">
        <v>0</v>
      </c>
      <c r="O622" t="n">
        <v>0</v>
      </c>
      <c r="P622" t="n">
        <v>0</v>
      </c>
      <c r="Q622" t="n">
        <v>0</v>
      </c>
      <c r="R622" s="2" t="inlineStr"/>
    </row>
    <row r="623" ht="15" customHeight="1">
      <c r="A623" t="inlineStr">
        <is>
          <t>A 32595-2023</t>
        </is>
      </c>
      <c r="B623" s="1" t="n">
        <v>45121</v>
      </c>
      <c r="C623" s="1" t="n">
        <v>45931</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66662-2020</t>
        </is>
      </c>
      <c r="B624" s="1" t="n">
        <v>44179</v>
      </c>
      <c r="C624" s="1" t="n">
        <v>45931</v>
      </c>
      <c r="D624" t="inlineStr">
        <is>
          <t>STOCKHOLMS LÄN</t>
        </is>
      </c>
      <c r="E624" t="inlineStr">
        <is>
          <t>NORRTÄLJE</t>
        </is>
      </c>
      <c r="G624" t="n">
        <v>1.9</v>
      </c>
      <c r="H624" t="n">
        <v>0</v>
      </c>
      <c r="I624" t="n">
        <v>0</v>
      </c>
      <c r="J624" t="n">
        <v>0</v>
      </c>
      <c r="K624" t="n">
        <v>0</v>
      </c>
      <c r="L624" t="n">
        <v>0</v>
      </c>
      <c r="M624" t="n">
        <v>0</v>
      </c>
      <c r="N624" t="n">
        <v>0</v>
      </c>
      <c r="O624" t="n">
        <v>0</v>
      </c>
      <c r="P624" t="n">
        <v>0</v>
      </c>
      <c r="Q624" t="n">
        <v>0</v>
      </c>
      <c r="R624" s="2" t="inlineStr"/>
    </row>
    <row r="625" ht="15" customHeight="1">
      <c r="A625" t="inlineStr">
        <is>
          <t>A 11332-2025</t>
        </is>
      </c>
      <c r="B625" s="1" t="n">
        <v>45726.48152777777</v>
      </c>
      <c r="C625" s="1" t="n">
        <v>45931</v>
      </c>
      <c r="D625" t="inlineStr">
        <is>
          <t>STOCKHOLMS LÄN</t>
        </is>
      </c>
      <c r="E625" t="inlineStr">
        <is>
          <t>NORRTÄLJE</t>
        </is>
      </c>
      <c r="G625" t="n">
        <v>4.6</v>
      </c>
      <c r="H625" t="n">
        <v>0</v>
      </c>
      <c r="I625" t="n">
        <v>0</v>
      </c>
      <c r="J625" t="n">
        <v>0</v>
      </c>
      <c r="K625" t="n">
        <v>0</v>
      </c>
      <c r="L625" t="n">
        <v>0</v>
      </c>
      <c r="M625" t="n">
        <v>0</v>
      </c>
      <c r="N625" t="n">
        <v>0</v>
      </c>
      <c r="O625" t="n">
        <v>0</v>
      </c>
      <c r="P625" t="n">
        <v>0</v>
      </c>
      <c r="Q625" t="n">
        <v>0</v>
      </c>
      <c r="R625" s="2" t="inlineStr"/>
    </row>
    <row r="626" ht="15" customHeight="1">
      <c r="A626" t="inlineStr">
        <is>
          <t>A 63824-2020</t>
        </is>
      </c>
      <c r="B626" s="1" t="n">
        <v>44162</v>
      </c>
      <c r="C626" s="1" t="n">
        <v>45931</v>
      </c>
      <c r="D626" t="inlineStr">
        <is>
          <t>STOCKHOLMS LÄN</t>
        </is>
      </c>
      <c r="E626" t="inlineStr">
        <is>
          <t>NORRTÄLJE</t>
        </is>
      </c>
      <c r="F626" t="inlineStr">
        <is>
          <t>Övriga Aktiebolag</t>
        </is>
      </c>
      <c r="G626" t="n">
        <v>1.9</v>
      </c>
      <c r="H626" t="n">
        <v>0</v>
      </c>
      <c r="I626" t="n">
        <v>0</v>
      </c>
      <c r="J626" t="n">
        <v>0</v>
      </c>
      <c r="K626" t="n">
        <v>0</v>
      </c>
      <c r="L626" t="n">
        <v>0</v>
      </c>
      <c r="M626" t="n">
        <v>0</v>
      </c>
      <c r="N626" t="n">
        <v>0</v>
      </c>
      <c r="O626" t="n">
        <v>0</v>
      </c>
      <c r="P626" t="n">
        <v>0</v>
      </c>
      <c r="Q626" t="n">
        <v>0</v>
      </c>
      <c r="R626" s="2" t="inlineStr"/>
    </row>
    <row r="627" ht="15" customHeight="1">
      <c r="A627" t="inlineStr">
        <is>
          <t>A 12901-2024</t>
        </is>
      </c>
      <c r="B627" s="1" t="n">
        <v>45385.37922453704</v>
      </c>
      <c r="C627" s="1" t="n">
        <v>45931</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12301-2025</t>
        </is>
      </c>
      <c r="B628" s="1" t="n">
        <v>45729.7271875</v>
      </c>
      <c r="C628" s="1" t="n">
        <v>45931</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5423-2023</t>
        </is>
      </c>
      <c r="B629" s="1" t="n">
        <v>44959.74533564815</v>
      </c>
      <c r="C629" s="1" t="n">
        <v>45931</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8950-2025</t>
        </is>
      </c>
      <c r="B630" s="1" t="n">
        <v>45713</v>
      </c>
      <c r="C630" s="1" t="n">
        <v>45931</v>
      </c>
      <c r="D630" t="inlineStr">
        <is>
          <t>STOCKHOLMS LÄN</t>
        </is>
      </c>
      <c r="E630" t="inlineStr">
        <is>
          <t>NORRTÄLJE</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58492-2022</t>
        </is>
      </c>
      <c r="B631" s="1" t="n">
        <v>44902</v>
      </c>
      <c r="C631" s="1" t="n">
        <v>45931</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20730-2024</t>
        </is>
      </c>
      <c r="B632" s="1" t="n">
        <v>45436</v>
      </c>
      <c r="C632" s="1" t="n">
        <v>45931</v>
      </c>
      <c r="D632" t="inlineStr">
        <is>
          <t>STOCKHOLMS LÄN</t>
        </is>
      </c>
      <c r="E632" t="inlineStr">
        <is>
          <t>NORRTÄLJE</t>
        </is>
      </c>
      <c r="G632" t="n">
        <v>7.3</v>
      </c>
      <c r="H632" t="n">
        <v>0</v>
      </c>
      <c r="I632" t="n">
        <v>0</v>
      </c>
      <c r="J632" t="n">
        <v>0</v>
      </c>
      <c r="K632" t="n">
        <v>0</v>
      </c>
      <c r="L632" t="n">
        <v>0</v>
      </c>
      <c r="M632" t="n">
        <v>0</v>
      </c>
      <c r="N632" t="n">
        <v>0</v>
      </c>
      <c r="O632" t="n">
        <v>0</v>
      </c>
      <c r="P632" t="n">
        <v>0</v>
      </c>
      <c r="Q632" t="n">
        <v>0</v>
      </c>
      <c r="R632" s="2" t="inlineStr"/>
    </row>
    <row r="633" ht="15" customHeight="1">
      <c r="A633" t="inlineStr">
        <is>
          <t>A 33175-2024</t>
        </is>
      </c>
      <c r="B633" s="1" t="n">
        <v>45518</v>
      </c>
      <c r="C633" s="1" t="n">
        <v>45931</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13283-2025</t>
        </is>
      </c>
      <c r="B634" s="1" t="n">
        <v>45735</v>
      </c>
      <c r="C634" s="1" t="n">
        <v>45931</v>
      </c>
      <c r="D634" t="inlineStr">
        <is>
          <t>STOCKHOLMS LÄN</t>
        </is>
      </c>
      <c r="E634" t="inlineStr">
        <is>
          <t>NORRTÄLJE</t>
        </is>
      </c>
      <c r="G634" t="n">
        <v>4.9</v>
      </c>
      <c r="H634" t="n">
        <v>0</v>
      </c>
      <c r="I634" t="n">
        <v>0</v>
      </c>
      <c r="J634" t="n">
        <v>0</v>
      </c>
      <c r="K634" t="n">
        <v>0</v>
      </c>
      <c r="L634" t="n">
        <v>0</v>
      </c>
      <c r="M634" t="n">
        <v>0</v>
      </c>
      <c r="N634" t="n">
        <v>0</v>
      </c>
      <c r="O634" t="n">
        <v>0</v>
      </c>
      <c r="P634" t="n">
        <v>0</v>
      </c>
      <c r="Q634" t="n">
        <v>0</v>
      </c>
      <c r="R634" s="2" t="inlineStr"/>
    </row>
    <row r="635" ht="15" customHeight="1">
      <c r="A635" t="inlineStr">
        <is>
          <t>A 27831-2024</t>
        </is>
      </c>
      <c r="B635" s="1" t="n">
        <v>45475.61896990741</v>
      </c>
      <c r="C635" s="1" t="n">
        <v>45931</v>
      </c>
      <c r="D635" t="inlineStr">
        <is>
          <t>STOCKHOLMS LÄN</t>
        </is>
      </c>
      <c r="E635" t="inlineStr">
        <is>
          <t>NORRTÄLJE</t>
        </is>
      </c>
      <c r="G635" t="n">
        <v>3.8</v>
      </c>
      <c r="H635" t="n">
        <v>0</v>
      </c>
      <c r="I635" t="n">
        <v>0</v>
      </c>
      <c r="J635" t="n">
        <v>0</v>
      </c>
      <c r="K635" t="n">
        <v>0</v>
      </c>
      <c r="L635" t="n">
        <v>0</v>
      </c>
      <c r="M635" t="n">
        <v>0</v>
      </c>
      <c r="N635" t="n">
        <v>0</v>
      </c>
      <c r="O635" t="n">
        <v>0</v>
      </c>
      <c r="P635" t="n">
        <v>0</v>
      </c>
      <c r="Q635" t="n">
        <v>0</v>
      </c>
      <c r="R635" s="2" t="inlineStr"/>
    </row>
    <row r="636" ht="15" customHeight="1">
      <c r="A636" t="inlineStr">
        <is>
          <t>A 13718-2022</t>
        </is>
      </c>
      <c r="B636" s="1" t="n">
        <v>44649</v>
      </c>
      <c r="C636" s="1" t="n">
        <v>45931</v>
      </c>
      <c r="D636" t="inlineStr">
        <is>
          <t>STOCKHOLMS LÄN</t>
        </is>
      </c>
      <c r="E636" t="inlineStr">
        <is>
          <t>NORRTÄLJE</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13291-2025</t>
        </is>
      </c>
      <c r="B637" s="1" t="n">
        <v>45735</v>
      </c>
      <c r="C637" s="1" t="n">
        <v>45931</v>
      </c>
      <c r="D637" t="inlineStr">
        <is>
          <t>STOCKHOLMS LÄN</t>
        </is>
      </c>
      <c r="E637" t="inlineStr">
        <is>
          <t>NORRTÄLJE</t>
        </is>
      </c>
      <c r="G637" t="n">
        <v>3.8</v>
      </c>
      <c r="H637" t="n">
        <v>0</v>
      </c>
      <c r="I637" t="n">
        <v>0</v>
      </c>
      <c r="J637" t="n">
        <v>0</v>
      </c>
      <c r="K637" t="n">
        <v>0</v>
      </c>
      <c r="L637" t="n">
        <v>0</v>
      </c>
      <c r="M637" t="n">
        <v>0</v>
      </c>
      <c r="N637" t="n">
        <v>0</v>
      </c>
      <c r="O637" t="n">
        <v>0</v>
      </c>
      <c r="P637" t="n">
        <v>0</v>
      </c>
      <c r="Q637" t="n">
        <v>0</v>
      </c>
      <c r="R637" s="2" t="inlineStr"/>
    </row>
    <row r="638" ht="15" customHeight="1">
      <c r="A638" t="inlineStr">
        <is>
          <t>A 61363-2020</t>
        </is>
      </c>
      <c r="B638" s="1" t="n">
        <v>44155.69458333333</v>
      </c>
      <c r="C638" s="1" t="n">
        <v>45931</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54259-2023</t>
        </is>
      </c>
      <c r="B639" s="1" t="n">
        <v>45232</v>
      </c>
      <c r="C639" s="1" t="n">
        <v>45931</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13171-2025</t>
        </is>
      </c>
      <c r="B640" s="1" t="n">
        <v>45735.36594907408</v>
      </c>
      <c r="C640" s="1" t="n">
        <v>45931</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4581-2025</t>
        </is>
      </c>
      <c r="B641" s="1" t="n">
        <v>45687</v>
      </c>
      <c r="C641" s="1" t="n">
        <v>45931</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12299-2025</t>
        </is>
      </c>
      <c r="B642" s="1" t="n">
        <v>45729.71065972222</v>
      </c>
      <c r="C642" s="1" t="n">
        <v>45931</v>
      </c>
      <c r="D642" t="inlineStr">
        <is>
          <t>STOCKHOLMS LÄN</t>
        </is>
      </c>
      <c r="E642" t="inlineStr">
        <is>
          <t>NORRTÄLJE</t>
        </is>
      </c>
      <c r="F642" t="inlineStr">
        <is>
          <t>Holmen skog AB</t>
        </is>
      </c>
      <c r="G642" t="n">
        <v>6.9</v>
      </c>
      <c r="H642" t="n">
        <v>0</v>
      </c>
      <c r="I642" t="n">
        <v>0</v>
      </c>
      <c r="J642" t="n">
        <v>0</v>
      </c>
      <c r="K642" t="n">
        <v>0</v>
      </c>
      <c r="L642" t="n">
        <v>0</v>
      </c>
      <c r="M642" t="n">
        <v>0</v>
      </c>
      <c r="N642" t="n">
        <v>0</v>
      </c>
      <c r="O642" t="n">
        <v>0</v>
      </c>
      <c r="P642" t="n">
        <v>0</v>
      </c>
      <c r="Q642" t="n">
        <v>0</v>
      </c>
      <c r="R642" s="2" t="inlineStr"/>
    </row>
    <row r="643" ht="15" customHeight="1">
      <c r="A643" t="inlineStr">
        <is>
          <t>A 11900-2024</t>
        </is>
      </c>
      <c r="B643" s="1" t="n">
        <v>45376.55484953704</v>
      </c>
      <c r="C643" s="1" t="n">
        <v>45931</v>
      </c>
      <c r="D643" t="inlineStr">
        <is>
          <t>STOCKHOLMS LÄN</t>
        </is>
      </c>
      <c r="E643" t="inlineStr">
        <is>
          <t>NORRTÄLJE</t>
        </is>
      </c>
      <c r="G643" t="n">
        <v>4.2</v>
      </c>
      <c r="H643" t="n">
        <v>0</v>
      </c>
      <c r="I643" t="n">
        <v>0</v>
      </c>
      <c r="J643" t="n">
        <v>0</v>
      </c>
      <c r="K643" t="n">
        <v>0</v>
      </c>
      <c r="L643" t="n">
        <v>0</v>
      </c>
      <c r="M643" t="n">
        <v>0</v>
      </c>
      <c r="N643" t="n">
        <v>0</v>
      </c>
      <c r="O643" t="n">
        <v>0</v>
      </c>
      <c r="P643" t="n">
        <v>0</v>
      </c>
      <c r="Q643" t="n">
        <v>0</v>
      </c>
      <c r="R643" s="2" t="inlineStr"/>
    </row>
    <row r="644" ht="15" customHeight="1">
      <c r="A644" t="inlineStr">
        <is>
          <t>A 21803-2022</t>
        </is>
      </c>
      <c r="B644" s="1" t="n">
        <v>44708.67822916667</v>
      </c>
      <c r="C644" s="1" t="n">
        <v>45931</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43300-2023</t>
        </is>
      </c>
      <c r="B645" s="1" t="n">
        <v>45183</v>
      </c>
      <c r="C645" s="1" t="n">
        <v>45931</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13276-2022</t>
        </is>
      </c>
      <c r="B646" s="1" t="n">
        <v>44644</v>
      </c>
      <c r="C646" s="1" t="n">
        <v>45931</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33279-2025</t>
        </is>
      </c>
      <c r="B647" s="1" t="n">
        <v>45840.70885416667</v>
      </c>
      <c r="C647" s="1" t="n">
        <v>45931</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24687-2025</t>
        </is>
      </c>
      <c r="B648" s="1" t="n">
        <v>45798.66767361111</v>
      </c>
      <c r="C648" s="1" t="n">
        <v>45931</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36157-2024</t>
        </is>
      </c>
      <c r="B649" s="1" t="n">
        <v>45534.38240740741</v>
      </c>
      <c r="C649" s="1" t="n">
        <v>45931</v>
      </c>
      <c r="D649" t="inlineStr">
        <is>
          <t>STOCKHOLMS LÄN</t>
        </is>
      </c>
      <c r="E649" t="inlineStr">
        <is>
          <t>NORRTÄLJE</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62398-2022</t>
        </is>
      </c>
      <c r="B650" s="1" t="n">
        <v>44923.90159722222</v>
      </c>
      <c r="C650" s="1" t="n">
        <v>45931</v>
      </c>
      <c r="D650" t="inlineStr">
        <is>
          <t>STOCKHOLMS LÄN</t>
        </is>
      </c>
      <c r="E650" t="inlineStr">
        <is>
          <t>NORRTÄLJE</t>
        </is>
      </c>
      <c r="G650" t="n">
        <v>4</v>
      </c>
      <c r="H650" t="n">
        <v>0</v>
      </c>
      <c r="I650" t="n">
        <v>0</v>
      </c>
      <c r="J650" t="n">
        <v>0</v>
      </c>
      <c r="K650" t="n">
        <v>0</v>
      </c>
      <c r="L650" t="n">
        <v>0</v>
      </c>
      <c r="M650" t="n">
        <v>0</v>
      </c>
      <c r="N650" t="n">
        <v>0</v>
      </c>
      <c r="O650" t="n">
        <v>0</v>
      </c>
      <c r="P650" t="n">
        <v>0</v>
      </c>
      <c r="Q650" t="n">
        <v>0</v>
      </c>
      <c r="R650" s="2" t="inlineStr"/>
    </row>
    <row r="651" ht="15" customHeight="1">
      <c r="A651" t="inlineStr">
        <is>
          <t>A 11900-2022</t>
        </is>
      </c>
      <c r="B651" s="1" t="n">
        <v>44635</v>
      </c>
      <c r="C651" s="1" t="n">
        <v>45931</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68081-2020</t>
        </is>
      </c>
      <c r="B652" s="1" t="n">
        <v>44183</v>
      </c>
      <c r="C652" s="1" t="n">
        <v>45931</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14724-2022</t>
        </is>
      </c>
      <c r="B653" s="1" t="n">
        <v>44656</v>
      </c>
      <c r="C653" s="1" t="n">
        <v>45931</v>
      </c>
      <c r="D653" t="inlineStr">
        <is>
          <t>STOCKHOLMS LÄN</t>
        </is>
      </c>
      <c r="E653" t="inlineStr">
        <is>
          <t>NORRTÄLJE</t>
        </is>
      </c>
      <c r="F653" t="inlineStr">
        <is>
          <t>Sveaskog</t>
        </is>
      </c>
      <c r="G653" t="n">
        <v>9</v>
      </c>
      <c r="H653" t="n">
        <v>0</v>
      </c>
      <c r="I653" t="n">
        <v>0</v>
      </c>
      <c r="J653" t="n">
        <v>0</v>
      </c>
      <c r="K653" t="n">
        <v>0</v>
      </c>
      <c r="L653" t="n">
        <v>0</v>
      </c>
      <c r="M653" t="n">
        <v>0</v>
      </c>
      <c r="N653" t="n">
        <v>0</v>
      </c>
      <c r="O653" t="n">
        <v>0</v>
      </c>
      <c r="P653" t="n">
        <v>0</v>
      </c>
      <c r="Q653" t="n">
        <v>0</v>
      </c>
      <c r="R653" s="2" t="inlineStr"/>
    </row>
    <row r="654" ht="15" customHeight="1">
      <c r="A654" t="inlineStr">
        <is>
          <t>A 17039-2024</t>
        </is>
      </c>
      <c r="B654" s="1" t="n">
        <v>45412.4104050926</v>
      </c>
      <c r="C654" s="1" t="n">
        <v>45931</v>
      </c>
      <c r="D654" t="inlineStr">
        <is>
          <t>STOCKHOLMS LÄN</t>
        </is>
      </c>
      <c r="E654" t="inlineStr">
        <is>
          <t>NORRTÄLJE</t>
        </is>
      </c>
      <c r="G654" t="n">
        <v>5.9</v>
      </c>
      <c r="H654" t="n">
        <v>0</v>
      </c>
      <c r="I654" t="n">
        <v>0</v>
      </c>
      <c r="J654" t="n">
        <v>0</v>
      </c>
      <c r="K654" t="n">
        <v>0</v>
      </c>
      <c r="L654" t="n">
        <v>0</v>
      </c>
      <c r="M654" t="n">
        <v>0</v>
      </c>
      <c r="N654" t="n">
        <v>0</v>
      </c>
      <c r="O654" t="n">
        <v>0</v>
      </c>
      <c r="P654" t="n">
        <v>0</v>
      </c>
      <c r="Q654" t="n">
        <v>0</v>
      </c>
      <c r="R654" s="2" t="inlineStr"/>
    </row>
    <row r="655" ht="15" customHeight="1">
      <c r="A655" t="inlineStr">
        <is>
          <t>A 4580-2025</t>
        </is>
      </c>
      <c r="B655" s="1" t="n">
        <v>45687.5038425926</v>
      </c>
      <c r="C655" s="1" t="n">
        <v>45931</v>
      </c>
      <c r="D655" t="inlineStr">
        <is>
          <t>STOCKHOLMS LÄN</t>
        </is>
      </c>
      <c r="E655" t="inlineStr">
        <is>
          <t>NORRTÄLJE</t>
        </is>
      </c>
      <c r="F655" t="inlineStr">
        <is>
          <t>Holmen skog AB</t>
        </is>
      </c>
      <c r="G655" t="n">
        <v>4.8</v>
      </c>
      <c r="H655" t="n">
        <v>0</v>
      </c>
      <c r="I655" t="n">
        <v>0</v>
      </c>
      <c r="J655" t="n">
        <v>0</v>
      </c>
      <c r="K655" t="n">
        <v>0</v>
      </c>
      <c r="L655" t="n">
        <v>0</v>
      </c>
      <c r="M655" t="n">
        <v>0</v>
      </c>
      <c r="N655" t="n">
        <v>0</v>
      </c>
      <c r="O655" t="n">
        <v>0</v>
      </c>
      <c r="P655" t="n">
        <v>0</v>
      </c>
      <c r="Q655" t="n">
        <v>0</v>
      </c>
      <c r="R655" s="2" t="inlineStr"/>
    </row>
    <row r="656" ht="15" customHeight="1">
      <c r="A656" t="inlineStr">
        <is>
          <t>A 16202-2022</t>
        </is>
      </c>
      <c r="B656" s="1" t="n">
        <v>44670</v>
      </c>
      <c r="C656" s="1" t="n">
        <v>45931</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6003-2025</t>
        </is>
      </c>
      <c r="B657" s="1" t="n">
        <v>45695.57881944445</v>
      </c>
      <c r="C657" s="1" t="n">
        <v>45931</v>
      </c>
      <c r="D657" t="inlineStr">
        <is>
          <t>STOCKHOLMS LÄN</t>
        </is>
      </c>
      <c r="E657" t="inlineStr">
        <is>
          <t>NORRTÄLJE</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24690-2025</t>
        </is>
      </c>
      <c r="B658" s="1" t="n">
        <v>45798.67082175926</v>
      </c>
      <c r="C658" s="1" t="n">
        <v>45931</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52321-2024</t>
        </is>
      </c>
      <c r="B659" s="1" t="n">
        <v>45608</v>
      </c>
      <c r="C659" s="1" t="n">
        <v>45931</v>
      </c>
      <c r="D659" t="inlineStr">
        <is>
          <t>STOCKHOLMS LÄN</t>
        </is>
      </c>
      <c r="E659" t="inlineStr">
        <is>
          <t>NORRTÄLJE</t>
        </is>
      </c>
      <c r="G659" t="n">
        <v>18.1</v>
      </c>
      <c r="H659" t="n">
        <v>0</v>
      </c>
      <c r="I659" t="n">
        <v>0</v>
      </c>
      <c r="J659" t="n">
        <v>0</v>
      </c>
      <c r="K659" t="n">
        <v>0</v>
      </c>
      <c r="L659" t="n">
        <v>0</v>
      </c>
      <c r="M659" t="n">
        <v>0</v>
      </c>
      <c r="N659" t="n">
        <v>0</v>
      </c>
      <c r="O659" t="n">
        <v>0</v>
      </c>
      <c r="P659" t="n">
        <v>0</v>
      </c>
      <c r="Q659" t="n">
        <v>0</v>
      </c>
      <c r="R659" s="2" t="inlineStr"/>
    </row>
    <row r="660" ht="15" customHeight="1">
      <c r="A660" t="inlineStr">
        <is>
          <t>A 3509-2022</t>
        </is>
      </c>
      <c r="B660" s="1" t="n">
        <v>44585</v>
      </c>
      <c r="C660" s="1" t="n">
        <v>45931</v>
      </c>
      <c r="D660" t="inlineStr">
        <is>
          <t>STOCKHOLMS LÄN</t>
        </is>
      </c>
      <c r="E660" t="inlineStr">
        <is>
          <t>NORRTÄLJE</t>
        </is>
      </c>
      <c r="F660" t="inlineStr">
        <is>
          <t>Kommuner</t>
        </is>
      </c>
      <c r="G660" t="n">
        <v>0.8</v>
      </c>
      <c r="H660" t="n">
        <v>0</v>
      </c>
      <c r="I660" t="n">
        <v>0</v>
      </c>
      <c r="J660" t="n">
        <v>0</v>
      </c>
      <c r="K660" t="n">
        <v>0</v>
      </c>
      <c r="L660" t="n">
        <v>0</v>
      </c>
      <c r="M660" t="n">
        <v>0</v>
      </c>
      <c r="N660" t="n">
        <v>0</v>
      </c>
      <c r="O660" t="n">
        <v>0</v>
      </c>
      <c r="P660" t="n">
        <v>0</v>
      </c>
      <c r="Q660" t="n">
        <v>0</v>
      </c>
      <c r="R660" s="2" t="inlineStr"/>
    </row>
    <row r="661" ht="15" customHeight="1">
      <c r="A661" t="inlineStr">
        <is>
          <t>A 24638-2025</t>
        </is>
      </c>
      <c r="B661" s="1" t="n">
        <v>45798</v>
      </c>
      <c r="C661" s="1" t="n">
        <v>45931</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24351-2025</t>
        </is>
      </c>
      <c r="B662" s="1" t="n">
        <v>45797.58399305555</v>
      </c>
      <c r="C662" s="1" t="n">
        <v>45931</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54558-2024</t>
        </is>
      </c>
      <c r="B663" s="1" t="n">
        <v>45617.62358796296</v>
      </c>
      <c r="C663" s="1" t="n">
        <v>45931</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22157-2023</t>
        </is>
      </c>
      <c r="B664" s="1" t="n">
        <v>45069</v>
      </c>
      <c r="C664" s="1" t="n">
        <v>45931</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c r="U664">
        <f>HYPERLINK("https://klasma.github.io/Logging_0188/knärot/A 22157-2023 karta knärot.png", "A 22157-2023")</f>
        <v/>
      </c>
      <c r="V664">
        <f>HYPERLINK("https://klasma.github.io/Logging_0188/klagomål/A 22157-2023 FSC-klagomål.docx", "A 22157-2023")</f>
        <v/>
      </c>
      <c r="W664">
        <f>HYPERLINK("https://klasma.github.io/Logging_0188/klagomålsmail/A 22157-2023 FSC-klagomål mail.docx", "A 22157-2023")</f>
        <v/>
      </c>
      <c r="X664">
        <f>HYPERLINK("https://klasma.github.io/Logging_0188/tillsyn/A 22157-2023 tillsynsbegäran.docx", "A 22157-2023")</f>
        <v/>
      </c>
      <c r="Y664">
        <f>HYPERLINK("https://klasma.github.io/Logging_0188/tillsynsmail/A 22157-2023 tillsynsbegäran mail.docx", "A 22157-2023")</f>
        <v/>
      </c>
    </row>
    <row r="665" ht="15" customHeight="1">
      <c r="A665" t="inlineStr">
        <is>
          <t>A 7697-2025</t>
        </is>
      </c>
      <c r="B665" s="1" t="n">
        <v>45706.40086805556</v>
      </c>
      <c r="C665" s="1" t="n">
        <v>45931</v>
      </c>
      <c r="D665" t="inlineStr">
        <is>
          <t>STOCKHOLMS LÄN</t>
        </is>
      </c>
      <c r="E665" t="inlineStr">
        <is>
          <t>NORRTÄLJE</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48633-2023</t>
        </is>
      </c>
      <c r="B666" s="1" t="n">
        <v>45208.58004629629</v>
      </c>
      <c r="C666" s="1" t="n">
        <v>45931</v>
      </c>
      <c r="D666" t="inlineStr">
        <is>
          <t>STOCKHOLMS LÄN</t>
        </is>
      </c>
      <c r="E666" t="inlineStr">
        <is>
          <t>NORRTÄLJE</t>
        </is>
      </c>
      <c r="G666" t="n">
        <v>3.3</v>
      </c>
      <c r="H666" t="n">
        <v>0</v>
      </c>
      <c r="I666" t="n">
        <v>0</v>
      </c>
      <c r="J666" t="n">
        <v>0</v>
      </c>
      <c r="K666" t="n">
        <v>0</v>
      </c>
      <c r="L666" t="n">
        <v>0</v>
      </c>
      <c r="M666" t="n">
        <v>0</v>
      </c>
      <c r="N666" t="n">
        <v>0</v>
      </c>
      <c r="O666" t="n">
        <v>0</v>
      </c>
      <c r="P666" t="n">
        <v>0</v>
      </c>
      <c r="Q666" t="n">
        <v>0</v>
      </c>
      <c r="R666" s="2" t="inlineStr"/>
    </row>
    <row r="667" ht="15" customHeight="1">
      <c r="A667" t="inlineStr">
        <is>
          <t>A 39669-2024</t>
        </is>
      </c>
      <c r="B667" s="1" t="n">
        <v>45552.52827546297</v>
      </c>
      <c r="C667" s="1" t="n">
        <v>45931</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28603-2024</t>
        </is>
      </c>
      <c r="B668" s="1" t="n">
        <v>45478.42887731481</v>
      </c>
      <c r="C668" s="1" t="n">
        <v>45931</v>
      </c>
      <c r="D668" t="inlineStr">
        <is>
          <t>STOCKHOLMS LÄN</t>
        </is>
      </c>
      <c r="E668" t="inlineStr">
        <is>
          <t>NORRTÄLJE</t>
        </is>
      </c>
      <c r="G668" t="n">
        <v>5.6</v>
      </c>
      <c r="H668" t="n">
        <v>0</v>
      </c>
      <c r="I668" t="n">
        <v>0</v>
      </c>
      <c r="J668" t="n">
        <v>0</v>
      </c>
      <c r="K668" t="n">
        <v>0</v>
      </c>
      <c r="L668" t="n">
        <v>0</v>
      </c>
      <c r="M668" t="n">
        <v>0</v>
      </c>
      <c r="N668" t="n">
        <v>0</v>
      </c>
      <c r="O668" t="n">
        <v>0</v>
      </c>
      <c r="P668" t="n">
        <v>0</v>
      </c>
      <c r="Q668" t="n">
        <v>0</v>
      </c>
      <c r="R668" s="2" t="inlineStr"/>
    </row>
    <row r="669" ht="15" customHeight="1">
      <c r="A669" t="inlineStr">
        <is>
          <t>A 25702-2025</t>
        </is>
      </c>
      <c r="B669" s="1" t="n">
        <v>45800</v>
      </c>
      <c r="C669" s="1" t="n">
        <v>45931</v>
      </c>
      <c r="D669" t="inlineStr">
        <is>
          <t>STOCKHOLMS LÄN</t>
        </is>
      </c>
      <c r="E669" t="inlineStr">
        <is>
          <t>NORRTÄLJE</t>
        </is>
      </c>
      <c r="G669" t="n">
        <v>5.3</v>
      </c>
      <c r="H669" t="n">
        <v>0</v>
      </c>
      <c r="I669" t="n">
        <v>0</v>
      </c>
      <c r="J669" t="n">
        <v>0</v>
      </c>
      <c r="K669" t="n">
        <v>0</v>
      </c>
      <c r="L669" t="n">
        <v>0</v>
      </c>
      <c r="M669" t="n">
        <v>0</v>
      </c>
      <c r="N669" t="n">
        <v>0</v>
      </c>
      <c r="O669" t="n">
        <v>0</v>
      </c>
      <c r="P669" t="n">
        <v>0</v>
      </c>
      <c r="Q669" t="n">
        <v>0</v>
      </c>
      <c r="R669" s="2" t="inlineStr"/>
    </row>
    <row r="670" ht="15" customHeight="1">
      <c r="A670" t="inlineStr">
        <is>
          <t>A 19057-2024</t>
        </is>
      </c>
      <c r="B670" s="1" t="n">
        <v>45427.88731481481</v>
      </c>
      <c r="C670" s="1" t="n">
        <v>45931</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47419-2023</t>
        </is>
      </c>
      <c r="B671" s="1" t="n">
        <v>45202.65660879629</v>
      </c>
      <c r="C671" s="1" t="n">
        <v>45931</v>
      </c>
      <c r="D671" t="inlineStr">
        <is>
          <t>STOCKHOLMS LÄN</t>
        </is>
      </c>
      <c r="E671" t="inlineStr">
        <is>
          <t>NORRTÄLJE</t>
        </is>
      </c>
      <c r="G671" t="n">
        <v>11.4</v>
      </c>
      <c r="H671" t="n">
        <v>0</v>
      </c>
      <c r="I671" t="n">
        <v>0</v>
      </c>
      <c r="J671" t="n">
        <v>0</v>
      </c>
      <c r="K671" t="n">
        <v>0</v>
      </c>
      <c r="L671" t="n">
        <v>0</v>
      </c>
      <c r="M671" t="n">
        <v>0</v>
      </c>
      <c r="N671" t="n">
        <v>0</v>
      </c>
      <c r="O671" t="n">
        <v>0</v>
      </c>
      <c r="P671" t="n">
        <v>0</v>
      </c>
      <c r="Q671" t="n">
        <v>0</v>
      </c>
      <c r="R671" s="2" t="inlineStr"/>
    </row>
    <row r="672" ht="15" customHeight="1">
      <c r="A672" t="inlineStr">
        <is>
          <t>A 25709-2025</t>
        </is>
      </c>
      <c r="B672" s="1" t="n">
        <v>45800</v>
      </c>
      <c r="C672" s="1" t="n">
        <v>45931</v>
      </c>
      <c r="D672" t="inlineStr">
        <is>
          <t>STOCKHOLMS LÄN</t>
        </is>
      </c>
      <c r="E672" t="inlineStr">
        <is>
          <t>NORRTÄLJE</t>
        </is>
      </c>
      <c r="G672" t="n">
        <v>4.6</v>
      </c>
      <c r="H672" t="n">
        <v>0</v>
      </c>
      <c r="I672" t="n">
        <v>0</v>
      </c>
      <c r="J672" t="n">
        <v>0</v>
      </c>
      <c r="K672" t="n">
        <v>0</v>
      </c>
      <c r="L672" t="n">
        <v>0</v>
      </c>
      <c r="M672" t="n">
        <v>0</v>
      </c>
      <c r="N672" t="n">
        <v>0</v>
      </c>
      <c r="O672" t="n">
        <v>0</v>
      </c>
      <c r="P672" t="n">
        <v>0</v>
      </c>
      <c r="Q672" t="n">
        <v>0</v>
      </c>
      <c r="R672" s="2" t="inlineStr"/>
    </row>
    <row r="673" ht="15" customHeight="1">
      <c r="A673" t="inlineStr">
        <is>
          <t>A 25721-2025</t>
        </is>
      </c>
      <c r="B673" s="1" t="n">
        <v>45800</v>
      </c>
      <c r="C673" s="1" t="n">
        <v>45931</v>
      </c>
      <c r="D673" t="inlineStr">
        <is>
          <t>STOCKHOLMS LÄN</t>
        </is>
      </c>
      <c r="E673" t="inlineStr">
        <is>
          <t>NORRTÄLJE</t>
        </is>
      </c>
      <c r="G673" t="n">
        <v>6</v>
      </c>
      <c r="H673" t="n">
        <v>0</v>
      </c>
      <c r="I673" t="n">
        <v>0</v>
      </c>
      <c r="J673" t="n">
        <v>0</v>
      </c>
      <c r="K673" t="n">
        <v>0</v>
      </c>
      <c r="L673" t="n">
        <v>0</v>
      </c>
      <c r="M673" t="n">
        <v>0</v>
      </c>
      <c r="N673" t="n">
        <v>0</v>
      </c>
      <c r="O673" t="n">
        <v>0</v>
      </c>
      <c r="P673" t="n">
        <v>0</v>
      </c>
      <c r="Q673" t="n">
        <v>0</v>
      </c>
      <c r="R673" s="2" t="inlineStr"/>
    </row>
    <row r="674" ht="15" customHeight="1">
      <c r="A674" t="inlineStr">
        <is>
          <t>A 652-2025</t>
        </is>
      </c>
      <c r="B674" s="1" t="n">
        <v>45664</v>
      </c>
      <c r="C674" s="1" t="n">
        <v>45931</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24835-2025</t>
        </is>
      </c>
      <c r="B675" s="1" t="n">
        <v>45799</v>
      </c>
      <c r="C675" s="1" t="n">
        <v>45931</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2982-2023</t>
        </is>
      </c>
      <c r="B676" s="1" t="n">
        <v>44945.67409722223</v>
      </c>
      <c r="C676" s="1" t="n">
        <v>45931</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1448-2023</t>
        </is>
      </c>
      <c r="B677" s="1" t="n">
        <v>44937</v>
      </c>
      <c r="C677" s="1" t="n">
        <v>45931</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10653-2022</t>
        </is>
      </c>
      <c r="B678" s="1" t="n">
        <v>44624.59434027778</v>
      </c>
      <c r="C678" s="1" t="n">
        <v>45931</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25733-2025</t>
        </is>
      </c>
      <c r="B679" s="1" t="n">
        <v>45800</v>
      </c>
      <c r="C679" s="1" t="n">
        <v>45931</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25725-2025</t>
        </is>
      </c>
      <c r="B680" s="1" t="n">
        <v>45800</v>
      </c>
      <c r="C680" s="1" t="n">
        <v>45931</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35127-2023</t>
        </is>
      </c>
      <c r="B681" s="1" t="n">
        <v>45145.51</v>
      </c>
      <c r="C681" s="1" t="n">
        <v>45931</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25571-2025</t>
        </is>
      </c>
      <c r="B682" s="1" t="n">
        <v>45803.4675</v>
      </c>
      <c r="C682" s="1" t="n">
        <v>45931</v>
      </c>
      <c r="D682" t="inlineStr">
        <is>
          <t>STOCKHOLMS LÄN</t>
        </is>
      </c>
      <c r="E682" t="inlineStr">
        <is>
          <t>NORRTÄLJE</t>
        </is>
      </c>
      <c r="G682" t="n">
        <v>5.4</v>
      </c>
      <c r="H682" t="n">
        <v>0</v>
      </c>
      <c r="I682" t="n">
        <v>0</v>
      </c>
      <c r="J682" t="n">
        <v>0</v>
      </c>
      <c r="K682" t="n">
        <v>0</v>
      </c>
      <c r="L682" t="n">
        <v>0</v>
      </c>
      <c r="M682" t="n">
        <v>0</v>
      </c>
      <c r="N682" t="n">
        <v>0</v>
      </c>
      <c r="O682" t="n">
        <v>0</v>
      </c>
      <c r="P682" t="n">
        <v>0</v>
      </c>
      <c r="Q682" t="n">
        <v>0</v>
      </c>
      <c r="R682" s="2" t="inlineStr"/>
    </row>
    <row r="683" ht="15" customHeight="1">
      <c r="A683" t="inlineStr">
        <is>
          <t>A 53561-2023</t>
        </is>
      </c>
      <c r="B683" s="1" t="n">
        <v>45224</v>
      </c>
      <c r="C683" s="1" t="n">
        <v>45931</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50136-2023</t>
        </is>
      </c>
      <c r="B684" s="1" t="n">
        <v>45215</v>
      </c>
      <c r="C684" s="1" t="n">
        <v>45931</v>
      </c>
      <c r="D684" t="inlineStr">
        <is>
          <t>STOCKHOLMS LÄN</t>
        </is>
      </c>
      <c r="E684" t="inlineStr">
        <is>
          <t>NORRTÄLJE</t>
        </is>
      </c>
      <c r="G684" t="n">
        <v>5.2</v>
      </c>
      <c r="H684" t="n">
        <v>0</v>
      </c>
      <c r="I684" t="n">
        <v>0</v>
      </c>
      <c r="J684" t="n">
        <v>0</v>
      </c>
      <c r="K684" t="n">
        <v>0</v>
      </c>
      <c r="L684" t="n">
        <v>0</v>
      </c>
      <c r="M684" t="n">
        <v>0</v>
      </c>
      <c r="N684" t="n">
        <v>0</v>
      </c>
      <c r="O684" t="n">
        <v>0</v>
      </c>
      <c r="P684" t="n">
        <v>0</v>
      </c>
      <c r="Q684" t="n">
        <v>0</v>
      </c>
      <c r="R684" s="2" t="inlineStr"/>
    </row>
    <row r="685" ht="15" customHeight="1">
      <c r="A685" t="inlineStr">
        <is>
          <t>A 25270-2025</t>
        </is>
      </c>
      <c r="B685" s="1" t="n">
        <v>45800</v>
      </c>
      <c r="C685" s="1" t="n">
        <v>45931</v>
      </c>
      <c r="D685" t="inlineStr">
        <is>
          <t>STOCKHOLMS LÄN</t>
        </is>
      </c>
      <c r="E685" t="inlineStr">
        <is>
          <t>NORRTÄLJE</t>
        </is>
      </c>
      <c r="F685" t="inlineStr">
        <is>
          <t>Övriga Aktiebolag</t>
        </is>
      </c>
      <c r="G685" t="n">
        <v>30</v>
      </c>
      <c r="H685" t="n">
        <v>0</v>
      </c>
      <c r="I685" t="n">
        <v>0</v>
      </c>
      <c r="J685" t="n">
        <v>0</v>
      </c>
      <c r="K685" t="n">
        <v>0</v>
      </c>
      <c r="L685" t="n">
        <v>0</v>
      </c>
      <c r="M685" t="n">
        <v>0</v>
      </c>
      <c r="N685" t="n">
        <v>0</v>
      </c>
      <c r="O685" t="n">
        <v>0</v>
      </c>
      <c r="P685" t="n">
        <v>0</v>
      </c>
      <c r="Q685" t="n">
        <v>0</v>
      </c>
      <c r="R685" s="2" t="inlineStr"/>
    </row>
    <row r="686" ht="15" customHeight="1">
      <c r="A686" t="inlineStr">
        <is>
          <t>A 25712-2025</t>
        </is>
      </c>
      <c r="B686" s="1" t="n">
        <v>45803.69228009259</v>
      </c>
      <c r="C686" s="1" t="n">
        <v>45931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41218-2024</t>
        </is>
      </c>
      <c r="B687" s="1" t="n">
        <v>45559.54706018518</v>
      </c>
      <c r="C687" s="1" t="n">
        <v>45931</v>
      </c>
      <c r="D687" t="inlineStr">
        <is>
          <t>STOCKHOLMS LÄN</t>
        </is>
      </c>
      <c r="E687" t="inlineStr">
        <is>
          <t>NORRTÄLJE</t>
        </is>
      </c>
      <c r="G687" t="n">
        <v>6</v>
      </c>
      <c r="H687" t="n">
        <v>0</v>
      </c>
      <c r="I687" t="n">
        <v>0</v>
      </c>
      <c r="J687" t="n">
        <v>0</v>
      </c>
      <c r="K687" t="n">
        <v>0</v>
      </c>
      <c r="L687" t="n">
        <v>0</v>
      </c>
      <c r="M687" t="n">
        <v>0</v>
      </c>
      <c r="N687" t="n">
        <v>0</v>
      </c>
      <c r="O687" t="n">
        <v>0</v>
      </c>
      <c r="P687" t="n">
        <v>0</v>
      </c>
      <c r="Q687" t="n">
        <v>0</v>
      </c>
      <c r="R687" s="2" t="inlineStr"/>
    </row>
    <row r="688" ht="15" customHeight="1">
      <c r="A688" t="inlineStr">
        <is>
          <t>A 26051-2025</t>
        </is>
      </c>
      <c r="B688" s="1" t="n">
        <v>45804.74479166666</v>
      </c>
      <c r="C688" s="1" t="n">
        <v>45931</v>
      </c>
      <c r="D688" t="inlineStr">
        <is>
          <t>STOCKHOLMS LÄN</t>
        </is>
      </c>
      <c r="E688" t="inlineStr">
        <is>
          <t>NORRTÄLJE</t>
        </is>
      </c>
      <c r="G688" t="n">
        <v>3.2</v>
      </c>
      <c r="H688" t="n">
        <v>0</v>
      </c>
      <c r="I688" t="n">
        <v>0</v>
      </c>
      <c r="J688" t="n">
        <v>0</v>
      </c>
      <c r="K688" t="n">
        <v>0</v>
      </c>
      <c r="L688" t="n">
        <v>0</v>
      </c>
      <c r="M688" t="n">
        <v>0</v>
      </c>
      <c r="N688" t="n">
        <v>0</v>
      </c>
      <c r="O688" t="n">
        <v>0</v>
      </c>
      <c r="P688" t="n">
        <v>0</v>
      </c>
      <c r="Q688" t="n">
        <v>0</v>
      </c>
      <c r="R688" s="2" t="inlineStr"/>
    </row>
    <row r="689" ht="15" customHeight="1">
      <c r="A689" t="inlineStr">
        <is>
          <t>A 11229-2022</t>
        </is>
      </c>
      <c r="B689" s="1" t="n">
        <v>44629</v>
      </c>
      <c r="C689" s="1" t="n">
        <v>45931</v>
      </c>
      <c r="D689" t="inlineStr">
        <is>
          <t>STOCKHOLMS LÄN</t>
        </is>
      </c>
      <c r="E689" t="inlineStr">
        <is>
          <t>NORRTÄLJE</t>
        </is>
      </c>
      <c r="F689" t="inlineStr">
        <is>
          <t>Övriga Aktiebolag</t>
        </is>
      </c>
      <c r="G689" t="n">
        <v>4.1</v>
      </c>
      <c r="H689" t="n">
        <v>0</v>
      </c>
      <c r="I689" t="n">
        <v>0</v>
      </c>
      <c r="J689" t="n">
        <v>0</v>
      </c>
      <c r="K689" t="n">
        <v>0</v>
      </c>
      <c r="L689" t="n">
        <v>0</v>
      </c>
      <c r="M689" t="n">
        <v>0</v>
      </c>
      <c r="N689" t="n">
        <v>0</v>
      </c>
      <c r="O689" t="n">
        <v>0</v>
      </c>
      <c r="P689" t="n">
        <v>0</v>
      </c>
      <c r="Q689" t="n">
        <v>0</v>
      </c>
      <c r="R689" s="2" t="inlineStr"/>
    </row>
    <row r="690" ht="15" customHeight="1">
      <c r="A690" t="inlineStr">
        <is>
          <t>A 9654-2022</t>
        </is>
      </c>
      <c r="B690" s="1" t="n">
        <v>44617</v>
      </c>
      <c r="C690" s="1" t="n">
        <v>45931</v>
      </c>
      <c r="D690" t="inlineStr">
        <is>
          <t>STOCKHOLMS LÄN</t>
        </is>
      </c>
      <c r="E690" t="inlineStr">
        <is>
          <t>NORRTÄLJE</t>
        </is>
      </c>
      <c r="G690" t="n">
        <v>6.4</v>
      </c>
      <c r="H690" t="n">
        <v>0</v>
      </c>
      <c r="I690" t="n">
        <v>0</v>
      </c>
      <c r="J690" t="n">
        <v>0</v>
      </c>
      <c r="K690" t="n">
        <v>0</v>
      </c>
      <c r="L690" t="n">
        <v>0</v>
      </c>
      <c r="M690" t="n">
        <v>0</v>
      </c>
      <c r="N690" t="n">
        <v>0</v>
      </c>
      <c r="O690" t="n">
        <v>0</v>
      </c>
      <c r="P690" t="n">
        <v>0</v>
      </c>
      <c r="Q690" t="n">
        <v>0</v>
      </c>
      <c r="R690" s="2" t="inlineStr"/>
    </row>
    <row r="691" ht="15" customHeight="1">
      <c r="A691" t="inlineStr">
        <is>
          <t>A 5389-2025</t>
        </is>
      </c>
      <c r="B691" s="1" t="n">
        <v>45692</v>
      </c>
      <c r="C691" s="1" t="n">
        <v>45931</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39238-2024</t>
        </is>
      </c>
      <c r="B692" s="1" t="n">
        <v>45549</v>
      </c>
      <c r="C692" s="1" t="n">
        <v>45931</v>
      </c>
      <c r="D692" t="inlineStr">
        <is>
          <t>STOCKHOLMS LÄN</t>
        </is>
      </c>
      <c r="E692" t="inlineStr">
        <is>
          <t>NORRTÄLJE</t>
        </is>
      </c>
      <c r="G692" t="n">
        <v>3.6</v>
      </c>
      <c r="H692" t="n">
        <v>0</v>
      </c>
      <c r="I692" t="n">
        <v>0</v>
      </c>
      <c r="J692" t="n">
        <v>0</v>
      </c>
      <c r="K692" t="n">
        <v>0</v>
      </c>
      <c r="L692" t="n">
        <v>0</v>
      </c>
      <c r="M692" t="n">
        <v>0</v>
      </c>
      <c r="N692" t="n">
        <v>0</v>
      </c>
      <c r="O692" t="n">
        <v>0</v>
      </c>
      <c r="P692" t="n">
        <v>0</v>
      </c>
      <c r="Q692" t="n">
        <v>0</v>
      </c>
      <c r="R692" s="2" t="inlineStr"/>
    </row>
    <row r="693" ht="15" customHeight="1">
      <c r="A693" t="inlineStr">
        <is>
          <t>A 38449-2022</t>
        </is>
      </c>
      <c r="B693" s="1" t="n">
        <v>44813</v>
      </c>
      <c r="C693" s="1" t="n">
        <v>45931</v>
      </c>
      <c r="D693" t="inlineStr">
        <is>
          <t>STOCKHOLMS LÄN</t>
        </is>
      </c>
      <c r="E693" t="inlineStr">
        <is>
          <t>NORRTÄLJE</t>
        </is>
      </c>
      <c r="G693" t="n">
        <v>4.2</v>
      </c>
      <c r="H693" t="n">
        <v>0</v>
      </c>
      <c r="I693" t="n">
        <v>0</v>
      </c>
      <c r="J693" t="n">
        <v>0</v>
      </c>
      <c r="K693" t="n">
        <v>0</v>
      </c>
      <c r="L693" t="n">
        <v>0</v>
      </c>
      <c r="M693" t="n">
        <v>0</v>
      </c>
      <c r="N693" t="n">
        <v>0</v>
      </c>
      <c r="O693" t="n">
        <v>0</v>
      </c>
      <c r="P693" t="n">
        <v>0</v>
      </c>
      <c r="Q693" t="n">
        <v>0</v>
      </c>
      <c r="R693" s="2" t="inlineStr"/>
    </row>
    <row r="694" ht="15" customHeight="1">
      <c r="A694" t="inlineStr">
        <is>
          <t>A 25697-2025</t>
        </is>
      </c>
      <c r="B694" s="1" t="n">
        <v>45803.66587962963</v>
      </c>
      <c r="C694" s="1" t="n">
        <v>45931</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35695-2023</t>
        </is>
      </c>
      <c r="B695" s="1" t="n">
        <v>45147.65407407407</v>
      </c>
      <c r="C695" s="1" t="n">
        <v>45931</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18665-2022</t>
        </is>
      </c>
      <c r="B696" s="1" t="n">
        <v>44687</v>
      </c>
      <c r="C696" s="1" t="n">
        <v>45931</v>
      </c>
      <c r="D696" t="inlineStr">
        <is>
          <t>STOCKHOLMS LÄN</t>
        </is>
      </c>
      <c r="E696" t="inlineStr">
        <is>
          <t>NORRTÄLJE</t>
        </is>
      </c>
      <c r="F696" t="inlineStr">
        <is>
          <t>Kyrkan</t>
        </is>
      </c>
      <c r="G696" t="n">
        <v>1.1</v>
      </c>
      <c r="H696" t="n">
        <v>0</v>
      </c>
      <c r="I696" t="n">
        <v>0</v>
      </c>
      <c r="J696" t="n">
        <v>0</v>
      </c>
      <c r="K696" t="n">
        <v>0</v>
      </c>
      <c r="L696" t="n">
        <v>0</v>
      </c>
      <c r="M696" t="n">
        <v>0</v>
      </c>
      <c r="N696" t="n">
        <v>0</v>
      </c>
      <c r="O696" t="n">
        <v>0</v>
      </c>
      <c r="P696" t="n">
        <v>0</v>
      </c>
      <c r="Q696" t="n">
        <v>0</v>
      </c>
      <c r="R696" s="2" t="inlineStr"/>
    </row>
    <row r="697" ht="15" customHeight="1">
      <c r="A697" t="inlineStr">
        <is>
          <t>A 17574-2025</t>
        </is>
      </c>
      <c r="B697" s="1" t="n">
        <v>45757.65178240741</v>
      </c>
      <c r="C697" s="1" t="n">
        <v>45931</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20370-2025</t>
        </is>
      </c>
      <c r="B698" s="1" t="n">
        <v>45775.41451388889</v>
      </c>
      <c r="C698" s="1" t="n">
        <v>45931</v>
      </c>
      <c r="D698" t="inlineStr">
        <is>
          <t>STOCKHOLMS LÄN</t>
        </is>
      </c>
      <c r="E698" t="inlineStr">
        <is>
          <t>NORRTÄLJE</t>
        </is>
      </c>
      <c r="G698" t="n">
        <v>2.9</v>
      </c>
      <c r="H698" t="n">
        <v>0</v>
      </c>
      <c r="I698" t="n">
        <v>0</v>
      </c>
      <c r="J698" t="n">
        <v>0</v>
      </c>
      <c r="K698" t="n">
        <v>0</v>
      </c>
      <c r="L698" t="n">
        <v>0</v>
      </c>
      <c r="M698" t="n">
        <v>0</v>
      </c>
      <c r="N698" t="n">
        <v>0</v>
      </c>
      <c r="O698" t="n">
        <v>0</v>
      </c>
      <c r="P698" t="n">
        <v>0</v>
      </c>
      <c r="Q698" t="n">
        <v>0</v>
      </c>
      <c r="R698" s="2" t="inlineStr"/>
    </row>
    <row r="699" ht="15" customHeight="1">
      <c r="A699" t="inlineStr">
        <is>
          <t>A 47259-2024</t>
        </is>
      </c>
      <c r="B699" s="1" t="n">
        <v>45586</v>
      </c>
      <c r="C699" s="1" t="n">
        <v>45931</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37147-2023</t>
        </is>
      </c>
      <c r="B700" s="1" t="n">
        <v>45155</v>
      </c>
      <c r="C700" s="1" t="n">
        <v>45931</v>
      </c>
      <c r="D700" t="inlineStr">
        <is>
          <t>STOCKHOLMS LÄN</t>
        </is>
      </c>
      <c r="E700" t="inlineStr">
        <is>
          <t>NORRTÄLJE</t>
        </is>
      </c>
      <c r="G700" t="n">
        <v>8</v>
      </c>
      <c r="H700" t="n">
        <v>0</v>
      </c>
      <c r="I700" t="n">
        <v>0</v>
      </c>
      <c r="J700" t="n">
        <v>0</v>
      </c>
      <c r="K700" t="n">
        <v>0</v>
      </c>
      <c r="L700" t="n">
        <v>0</v>
      </c>
      <c r="M700" t="n">
        <v>0</v>
      </c>
      <c r="N700" t="n">
        <v>0</v>
      </c>
      <c r="O700" t="n">
        <v>0</v>
      </c>
      <c r="P700" t="n">
        <v>0</v>
      </c>
      <c r="Q700" t="n">
        <v>0</v>
      </c>
      <c r="R700" s="2" t="inlineStr"/>
    </row>
    <row r="701" ht="15" customHeight="1">
      <c r="A701" t="inlineStr">
        <is>
          <t>A 59499-2023</t>
        </is>
      </c>
      <c r="B701" s="1" t="n">
        <v>45254</v>
      </c>
      <c r="C701" s="1" t="n">
        <v>45931</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60654-2023</t>
        </is>
      </c>
      <c r="B702" s="1" t="n">
        <v>45260.43225694444</v>
      </c>
      <c r="C702" s="1" t="n">
        <v>45931</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60656-2023</t>
        </is>
      </c>
      <c r="B703" s="1" t="n">
        <v>45260.4333449074</v>
      </c>
      <c r="C703" s="1" t="n">
        <v>45931</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19982-2022</t>
        </is>
      </c>
      <c r="B704" s="1" t="n">
        <v>44697</v>
      </c>
      <c r="C704" s="1" t="n">
        <v>45931</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22697-2022</t>
        </is>
      </c>
      <c r="B705" s="1" t="n">
        <v>44714.56040509259</v>
      </c>
      <c r="C705" s="1" t="n">
        <v>45931</v>
      </c>
      <c r="D705" t="inlineStr">
        <is>
          <t>STOCKHOLMS LÄN</t>
        </is>
      </c>
      <c r="E705" t="inlineStr">
        <is>
          <t>NORRTÄLJE</t>
        </is>
      </c>
      <c r="G705" t="n">
        <v>5.6</v>
      </c>
      <c r="H705" t="n">
        <v>0</v>
      </c>
      <c r="I705" t="n">
        <v>0</v>
      </c>
      <c r="J705" t="n">
        <v>0</v>
      </c>
      <c r="K705" t="n">
        <v>0</v>
      </c>
      <c r="L705" t="n">
        <v>0</v>
      </c>
      <c r="M705" t="n">
        <v>0</v>
      </c>
      <c r="N705" t="n">
        <v>0</v>
      </c>
      <c r="O705" t="n">
        <v>0</v>
      </c>
      <c r="P705" t="n">
        <v>0</v>
      </c>
      <c r="Q705" t="n">
        <v>0</v>
      </c>
      <c r="R705" s="2" t="inlineStr"/>
    </row>
    <row r="706" ht="15" customHeight="1">
      <c r="A706" t="inlineStr">
        <is>
          <t>A 35438-2023</t>
        </is>
      </c>
      <c r="B706" s="1" t="n">
        <v>45146</v>
      </c>
      <c r="C706" s="1" t="n">
        <v>45931</v>
      </c>
      <c r="D706" t="inlineStr">
        <is>
          <t>STOCKHOLMS LÄN</t>
        </is>
      </c>
      <c r="E706" t="inlineStr">
        <is>
          <t>NORRTÄLJE</t>
        </is>
      </c>
      <c r="F706" t="inlineStr">
        <is>
          <t>Kommuner</t>
        </is>
      </c>
      <c r="G706" t="n">
        <v>1.9</v>
      </c>
      <c r="H706" t="n">
        <v>0</v>
      </c>
      <c r="I706" t="n">
        <v>0</v>
      </c>
      <c r="J706" t="n">
        <v>0</v>
      </c>
      <c r="K706" t="n">
        <v>0</v>
      </c>
      <c r="L706" t="n">
        <v>0</v>
      </c>
      <c r="M706" t="n">
        <v>0</v>
      </c>
      <c r="N706" t="n">
        <v>0</v>
      </c>
      <c r="O706" t="n">
        <v>0</v>
      </c>
      <c r="P706" t="n">
        <v>0</v>
      </c>
      <c r="Q706" t="n">
        <v>0</v>
      </c>
      <c r="R706" s="2" t="inlineStr"/>
    </row>
    <row r="707" ht="15" customHeight="1">
      <c r="A707" t="inlineStr">
        <is>
          <t>A 34478-2025</t>
        </is>
      </c>
      <c r="B707" s="1" t="n">
        <v>45847.37414351852</v>
      </c>
      <c r="C707" s="1" t="n">
        <v>45931</v>
      </c>
      <c r="D707" t="inlineStr">
        <is>
          <t>STOCKHOLMS LÄN</t>
        </is>
      </c>
      <c r="E707" t="inlineStr">
        <is>
          <t>NORRTÄLJE</t>
        </is>
      </c>
      <c r="F707" t="inlineStr">
        <is>
          <t>Övriga Aktiebolag</t>
        </is>
      </c>
      <c r="G707" t="n">
        <v>10.8</v>
      </c>
      <c r="H707" t="n">
        <v>0</v>
      </c>
      <c r="I707" t="n">
        <v>0</v>
      </c>
      <c r="J707" t="n">
        <v>0</v>
      </c>
      <c r="K707" t="n">
        <v>0</v>
      </c>
      <c r="L707" t="n">
        <v>0</v>
      </c>
      <c r="M707" t="n">
        <v>0</v>
      </c>
      <c r="N707" t="n">
        <v>0</v>
      </c>
      <c r="O707" t="n">
        <v>0</v>
      </c>
      <c r="P707" t="n">
        <v>0</v>
      </c>
      <c r="Q707" t="n">
        <v>0</v>
      </c>
      <c r="R707" s="2" t="inlineStr"/>
    </row>
    <row r="708" ht="15" customHeight="1">
      <c r="A708" t="inlineStr">
        <is>
          <t>A 33878-2024</t>
        </is>
      </c>
      <c r="B708" s="1" t="n">
        <v>45522.44414351852</v>
      </c>
      <c r="C708" s="1" t="n">
        <v>45931</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4183-2025</t>
        </is>
      </c>
      <c r="B709" s="1" t="n">
        <v>45685.44592592592</v>
      </c>
      <c r="C709" s="1" t="n">
        <v>45931</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17556-2025</t>
        </is>
      </c>
      <c r="B710" s="1" t="n">
        <v>45757.62482638889</v>
      </c>
      <c r="C710" s="1" t="n">
        <v>45931</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26675-2025</t>
        </is>
      </c>
      <c r="B711" s="1" t="n">
        <v>45810.42393518519</v>
      </c>
      <c r="C711" s="1" t="n">
        <v>45931</v>
      </c>
      <c r="D711" t="inlineStr">
        <is>
          <t>STOCKHOLMS LÄN</t>
        </is>
      </c>
      <c r="E711" t="inlineStr">
        <is>
          <t>NORRTÄLJE</t>
        </is>
      </c>
      <c r="G711" t="n">
        <v>2.7</v>
      </c>
      <c r="H711" t="n">
        <v>0</v>
      </c>
      <c r="I711" t="n">
        <v>0</v>
      </c>
      <c r="J711" t="n">
        <v>0</v>
      </c>
      <c r="K711" t="n">
        <v>0</v>
      </c>
      <c r="L711" t="n">
        <v>0</v>
      </c>
      <c r="M711" t="n">
        <v>0</v>
      </c>
      <c r="N711" t="n">
        <v>0</v>
      </c>
      <c r="O711" t="n">
        <v>0</v>
      </c>
      <c r="P711" t="n">
        <v>0</v>
      </c>
      <c r="Q711" t="n">
        <v>0</v>
      </c>
      <c r="R711" s="2" t="inlineStr"/>
    </row>
    <row r="712" ht="15" customHeight="1">
      <c r="A712" t="inlineStr">
        <is>
          <t>A 41335-2023</t>
        </is>
      </c>
      <c r="B712" s="1" t="n">
        <v>45174.68702546296</v>
      </c>
      <c r="C712" s="1" t="n">
        <v>45931</v>
      </c>
      <c r="D712" t="inlineStr">
        <is>
          <t>STOCKHOLMS LÄN</t>
        </is>
      </c>
      <c r="E712" t="inlineStr">
        <is>
          <t>NORRTÄLJE</t>
        </is>
      </c>
      <c r="F712" t="inlineStr">
        <is>
          <t>Holmen skog AB</t>
        </is>
      </c>
      <c r="G712" t="n">
        <v>4.4</v>
      </c>
      <c r="H712" t="n">
        <v>0</v>
      </c>
      <c r="I712" t="n">
        <v>0</v>
      </c>
      <c r="J712" t="n">
        <v>0</v>
      </c>
      <c r="K712" t="n">
        <v>0</v>
      </c>
      <c r="L712" t="n">
        <v>0</v>
      </c>
      <c r="M712" t="n">
        <v>0</v>
      </c>
      <c r="N712" t="n">
        <v>0</v>
      </c>
      <c r="O712" t="n">
        <v>0</v>
      </c>
      <c r="P712" t="n">
        <v>0</v>
      </c>
      <c r="Q712" t="n">
        <v>0</v>
      </c>
      <c r="R712" s="2" t="inlineStr"/>
    </row>
    <row r="713" ht="15" customHeight="1">
      <c r="A713" t="inlineStr">
        <is>
          <t>A 4484-2025</t>
        </is>
      </c>
      <c r="B713" s="1" t="n">
        <v>45686.65545138889</v>
      </c>
      <c r="C713" s="1" t="n">
        <v>45931</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10511-2025</t>
        </is>
      </c>
      <c r="B714" s="1" t="n">
        <v>45721.40780092592</v>
      </c>
      <c r="C714" s="1" t="n">
        <v>45931</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8419-2025</t>
        </is>
      </c>
      <c r="B715" s="1" t="n">
        <v>45709.40231481481</v>
      </c>
      <c r="C715" s="1" t="n">
        <v>45931</v>
      </c>
      <c r="D715" t="inlineStr">
        <is>
          <t>STOCKHOLMS LÄN</t>
        </is>
      </c>
      <c r="E715" t="inlineStr">
        <is>
          <t>NORRTÄLJE</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21480-2022</t>
        </is>
      </c>
      <c r="B716" s="1" t="n">
        <v>44704</v>
      </c>
      <c r="C716" s="1" t="n">
        <v>45931</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48180-2023</t>
        </is>
      </c>
      <c r="B717" s="1" t="n">
        <v>45205</v>
      </c>
      <c r="C717" s="1" t="n">
        <v>45931</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57353-2024</t>
        </is>
      </c>
      <c r="B718" s="1" t="n">
        <v>45629.65143518519</v>
      </c>
      <c r="C718" s="1" t="n">
        <v>45931</v>
      </c>
      <c r="D718" t="inlineStr">
        <is>
          <t>STOCKHOLMS LÄN</t>
        </is>
      </c>
      <c r="E718" t="inlineStr">
        <is>
          <t>NORRTÄLJE</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1654-2025</t>
        </is>
      </c>
      <c r="B719" s="1" t="n">
        <v>45670.65921296296</v>
      </c>
      <c r="C719" s="1" t="n">
        <v>45931</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23061-2025</t>
        </is>
      </c>
      <c r="B720" s="1" t="n">
        <v>45790.81410879629</v>
      </c>
      <c r="C720" s="1" t="n">
        <v>45931</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48686-2023</t>
        </is>
      </c>
      <c r="B721" s="1" t="n">
        <v>45208</v>
      </c>
      <c r="C721" s="1" t="n">
        <v>45931</v>
      </c>
      <c r="D721" t="inlineStr">
        <is>
          <t>STOCKHOLMS LÄN</t>
        </is>
      </c>
      <c r="E721" t="inlineStr">
        <is>
          <t>NORRTÄLJE</t>
        </is>
      </c>
      <c r="G721" t="n">
        <v>6</v>
      </c>
      <c r="H721" t="n">
        <v>0</v>
      </c>
      <c r="I721" t="n">
        <v>0</v>
      </c>
      <c r="J721" t="n">
        <v>0</v>
      </c>
      <c r="K721" t="n">
        <v>0</v>
      </c>
      <c r="L721" t="n">
        <v>0</v>
      </c>
      <c r="M721" t="n">
        <v>0</v>
      </c>
      <c r="N721" t="n">
        <v>0</v>
      </c>
      <c r="O721" t="n">
        <v>0</v>
      </c>
      <c r="P721" t="n">
        <v>0</v>
      </c>
      <c r="Q721" t="n">
        <v>0</v>
      </c>
      <c r="R721" s="2" t="inlineStr"/>
    </row>
    <row r="722" ht="15" customHeight="1">
      <c r="A722" t="inlineStr">
        <is>
          <t>A 48691-2023</t>
        </is>
      </c>
      <c r="B722" s="1" t="n">
        <v>45208</v>
      </c>
      <c r="C722" s="1" t="n">
        <v>45931</v>
      </c>
      <c r="D722" t="inlineStr">
        <is>
          <t>STOCKHOLMS LÄN</t>
        </is>
      </c>
      <c r="E722" t="inlineStr">
        <is>
          <t>NORRTÄLJE</t>
        </is>
      </c>
      <c r="G722" t="n">
        <v>5.8</v>
      </c>
      <c r="H722" t="n">
        <v>0</v>
      </c>
      <c r="I722" t="n">
        <v>0</v>
      </c>
      <c r="J722" t="n">
        <v>0</v>
      </c>
      <c r="K722" t="n">
        <v>0</v>
      </c>
      <c r="L722" t="n">
        <v>0</v>
      </c>
      <c r="M722" t="n">
        <v>0</v>
      </c>
      <c r="N722" t="n">
        <v>0</v>
      </c>
      <c r="O722" t="n">
        <v>0</v>
      </c>
      <c r="P722" t="n">
        <v>0</v>
      </c>
      <c r="Q722" t="n">
        <v>0</v>
      </c>
      <c r="R722" s="2" t="inlineStr"/>
    </row>
    <row r="723" ht="15" customHeight="1">
      <c r="A723" t="inlineStr">
        <is>
          <t>A 55696-2022</t>
        </is>
      </c>
      <c r="B723" s="1" t="n">
        <v>44888</v>
      </c>
      <c r="C723" s="1" t="n">
        <v>45931</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50907-2022</t>
        </is>
      </c>
      <c r="B724" s="1" t="n">
        <v>44867.62090277778</v>
      </c>
      <c r="C724" s="1" t="n">
        <v>45931</v>
      </c>
      <c r="D724" t="inlineStr">
        <is>
          <t>STOCKHOLMS LÄN</t>
        </is>
      </c>
      <c r="E724" t="inlineStr">
        <is>
          <t>NORRTÄLJE</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6919-2025</t>
        </is>
      </c>
      <c r="B725" s="1" t="n">
        <v>45701.44372685185</v>
      </c>
      <c r="C725" s="1" t="n">
        <v>45931</v>
      </c>
      <c r="D725" t="inlineStr">
        <is>
          <t>STOCKHOLMS LÄN</t>
        </is>
      </c>
      <c r="E725" t="inlineStr">
        <is>
          <t>NORRTÄLJE</t>
        </is>
      </c>
      <c r="G725" t="n">
        <v>3.5</v>
      </c>
      <c r="H725" t="n">
        <v>0</v>
      </c>
      <c r="I725" t="n">
        <v>0</v>
      </c>
      <c r="J725" t="n">
        <v>0</v>
      </c>
      <c r="K725" t="n">
        <v>0</v>
      </c>
      <c r="L725" t="n">
        <v>0</v>
      </c>
      <c r="M725" t="n">
        <v>0</v>
      </c>
      <c r="N725" t="n">
        <v>0</v>
      </c>
      <c r="O725" t="n">
        <v>0</v>
      </c>
      <c r="P725" t="n">
        <v>0</v>
      </c>
      <c r="Q725" t="n">
        <v>0</v>
      </c>
      <c r="R725" s="2" t="inlineStr"/>
    </row>
    <row r="726" ht="15" customHeight="1">
      <c r="A726" t="inlineStr">
        <is>
          <t>A 55243-2023</t>
        </is>
      </c>
      <c r="B726" s="1" t="n">
        <v>45237</v>
      </c>
      <c r="C726" s="1" t="n">
        <v>45931</v>
      </c>
      <c r="D726" t="inlineStr">
        <is>
          <t>STOCKHOLMS LÄN</t>
        </is>
      </c>
      <c r="E726" t="inlineStr">
        <is>
          <t>NORRTÄLJE</t>
        </is>
      </c>
      <c r="G726" t="n">
        <v>6.5</v>
      </c>
      <c r="H726" t="n">
        <v>0</v>
      </c>
      <c r="I726" t="n">
        <v>0</v>
      </c>
      <c r="J726" t="n">
        <v>0</v>
      </c>
      <c r="K726" t="n">
        <v>0</v>
      </c>
      <c r="L726" t="n">
        <v>0</v>
      </c>
      <c r="M726" t="n">
        <v>0</v>
      </c>
      <c r="N726" t="n">
        <v>0</v>
      </c>
      <c r="O726" t="n">
        <v>0</v>
      </c>
      <c r="P726" t="n">
        <v>0</v>
      </c>
      <c r="Q726" t="n">
        <v>0</v>
      </c>
      <c r="R726" s="2" t="inlineStr"/>
    </row>
    <row r="727" ht="15" customHeight="1">
      <c r="A727" t="inlineStr">
        <is>
          <t>A 53362-2023</t>
        </is>
      </c>
      <c r="B727" s="1" t="n">
        <v>45223</v>
      </c>
      <c r="C727" s="1" t="n">
        <v>45931</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35210-2023</t>
        </is>
      </c>
      <c r="B728" s="1" t="n">
        <v>45145.63584490741</v>
      </c>
      <c r="C728" s="1" t="n">
        <v>45931</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26747-2025</t>
        </is>
      </c>
      <c r="B729" s="1" t="n">
        <v>45810.5333912037</v>
      </c>
      <c r="C729" s="1" t="n">
        <v>45931</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26702-2025</t>
        </is>
      </c>
      <c r="B730" s="1" t="n">
        <v>45810.45236111111</v>
      </c>
      <c r="C730" s="1" t="n">
        <v>45931</v>
      </c>
      <c r="D730" t="inlineStr">
        <is>
          <t>STOCKHOLMS LÄN</t>
        </is>
      </c>
      <c r="E730" t="inlineStr">
        <is>
          <t>NORRTÄLJE</t>
        </is>
      </c>
      <c r="G730" t="n">
        <v>7.3</v>
      </c>
      <c r="H730" t="n">
        <v>0</v>
      </c>
      <c r="I730" t="n">
        <v>0</v>
      </c>
      <c r="J730" t="n">
        <v>0</v>
      </c>
      <c r="K730" t="n">
        <v>0</v>
      </c>
      <c r="L730" t="n">
        <v>0</v>
      </c>
      <c r="M730" t="n">
        <v>0</v>
      </c>
      <c r="N730" t="n">
        <v>0</v>
      </c>
      <c r="O730" t="n">
        <v>0</v>
      </c>
      <c r="P730" t="n">
        <v>0</v>
      </c>
      <c r="Q730" t="n">
        <v>0</v>
      </c>
      <c r="R730" s="2" t="inlineStr"/>
    </row>
    <row r="731" ht="15" customHeight="1">
      <c r="A731" t="inlineStr">
        <is>
          <t>A 6678-2025</t>
        </is>
      </c>
      <c r="B731" s="1" t="n">
        <v>45700</v>
      </c>
      <c r="C731" s="1" t="n">
        <v>45931</v>
      </c>
      <c r="D731" t="inlineStr">
        <is>
          <t>STOCKHOLMS LÄN</t>
        </is>
      </c>
      <c r="E731" t="inlineStr">
        <is>
          <t>NORRTÄLJE</t>
        </is>
      </c>
      <c r="F731" t="inlineStr">
        <is>
          <t>Övriga Aktiebolag</t>
        </is>
      </c>
      <c r="G731" t="n">
        <v>6.6</v>
      </c>
      <c r="H731" t="n">
        <v>0</v>
      </c>
      <c r="I731" t="n">
        <v>0</v>
      </c>
      <c r="J731" t="n">
        <v>0</v>
      </c>
      <c r="K731" t="n">
        <v>0</v>
      </c>
      <c r="L731" t="n">
        <v>0</v>
      </c>
      <c r="M731" t="n">
        <v>0</v>
      </c>
      <c r="N731" t="n">
        <v>0</v>
      </c>
      <c r="O731" t="n">
        <v>0</v>
      </c>
      <c r="P731" t="n">
        <v>0</v>
      </c>
      <c r="Q731" t="n">
        <v>0</v>
      </c>
      <c r="R731" s="2" t="inlineStr"/>
    </row>
    <row r="732" ht="15" customHeight="1">
      <c r="A732" t="inlineStr">
        <is>
          <t>A 17612-2022</t>
        </is>
      </c>
      <c r="B732" s="1" t="n">
        <v>44680</v>
      </c>
      <c r="C732" s="1" t="n">
        <v>45931</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8433-2022</t>
        </is>
      </c>
      <c r="B733" s="1" t="n">
        <v>44611</v>
      </c>
      <c r="C733" s="1" t="n">
        <v>45931</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26708-2025</t>
        </is>
      </c>
      <c r="B734" s="1" t="n">
        <v>45810.45633101852</v>
      </c>
      <c r="C734" s="1" t="n">
        <v>45931</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27040-2025</t>
        </is>
      </c>
      <c r="B735" s="1" t="n">
        <v>45811.60451388889</v>
      </c>
      <c r="C735" s="1" t="n">
        <v>45931</v>
      </c>
      <c r="D735" t="inlineStr">
        <is>
          <t>STOCKHOLMS LÄN</t>
        </is>
      </c>
      <c r="E735" t="inlineStr">
        <is>
          <t>NORRTÄLJE</t>
        </is>
      </c>
      <c r="G735" t="n">
        <v>4.3</v>
      </c>
      <c r="H735" t="n">
        <v>0</v>
      </c>
      <c r="I735" t="n">
        <v>0</v>
      </c>
      <c r="J735" t="n">
        <v>0</v>
      </c>
      <c r="K735" t="n">
        <v>0</v>
      </c>
      <c r="L735" t="n">
        <v>0</v>
      </c>
      <c r="M735" t="n">
        <v>0</v>
      </c>
      <c r="N735" t="n">
        <v>0</v>
      </c>
      <c r="O735" t="n">
        <v>0</v>
      </c>
      <c r="P735" t="n">
        <v>0</v>
      </c>
      <c r="Q735" t="n">
        <v>0</v>
      </c>
      <c r="R735" s="2" t="inlineStr"/>
    </row>
    <row r="736" ht="15" customHeight="1">
      <c r="A736" t="inlineStr">
        <is>
          <t>A 10215-2023</t>
        </is>
      </c>
      <c r="B736" s="1" t="n">
        <v>44986.5887962963</v>
      </c>
      <c r="C736" s="1" t="n">
        <v>45931</v>
      </c>
      <c r="D736" t="inlineStr">
        <is>
          <t>STOCKHOLMS LÄN</t>
        </is>
      </c>
      <c r="E736" t="inlineStr">
        <is>
          <t>NORRTÄLJE</t>
        </is>
      </c>
      <c r="G736" t="n">
        <v>6.5</v>
      </c>
      <c r="H736" t="n">
        <v>0</v>
      </c>
      <c r="I736" t="n">
        <v>0</v>
      </c>
      <c r="J736" t="n">
        <v>0</v>
      </c>
      <c r="K736" t="n">
        <v>0</v>
      </c>
      <c r="L736" t="n">
        <v>0</v>
      </c>
      <c r="M736" t="n">
        <v>0</v>
      </c>
      <c r="N736" t="n">
        <v>0</v>
      </c>
      <c r="O736" t="n">
        <v>0</v>
      </c>
      <c r="P736" t="n">
        <v>0</v>
      </c>
      <c r="Q736" t="n">
        <v>0</v>
      </c>
      <c r="R736" s="2" t="inlineStr"/>
    </row>
    <row r="737" ht="15" customHeight="1">
      <c r="A737" t="inlineStr">
        <is>
          <t>A 19058-2023</t>
        </is>
      </c>
      <c r="B737" s="1" t="n">
        <v>45048</v>
      </c>
      <c r="C737" s="1" t="n">
        <v>45931</v>
      </c>
      <c r="D737" t="inlineStr">
        <is>
          <t>STOCKHOLMS LÄN</t>
        </is>
      </c>
      <c r="E737" t="inlineStr">
        <is>
          <t>NORRTÄLJE</t>
        </is>
      </c>
      <c r="G737" t="n">
        <v>3.7</v>
      </c>
      <c r="H737" t="n">
        <v>0</v>
      </c>
      <c r="I737" t="n">
        <v>0</v>
      </c>
      <c r="J737" t="n">
        <v>0</v>
      </c>
      <c r="K737" t="n">
        <v>0</v>
      </c>
      <c r="L737" t="n">
        <v>0</v>
      </c>
      <c r="M737" t="n">
        <v>0</v>
      </c>
      <c r="N737" t="n">
        <v>0</v>
      </c>
      <c r="O737" t="n">
        <v>0</v>
      </c>
      <c r="P737" t="n">
        <v>0</v>
      </c>
      <c r="Q737" t="n">
        <v>0</v>
      </c>
      <c r="R737" s="2" t="inlineStr"/>
    </row>
    <row r="738" ht="15" customHeight="1">
      <c r="A738" t="inlineStr">
        <is>
          <t>A 58297-2023</t>
        </is>
      </c>
      <c r="B738" s="1" t="n">
        <v>45245</v>
      </c>
      <c r="C738" s="1" t="n">
        <v>45931</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21726-2022</t>
        </is>
      </c>
      <c r="B739" s="1" t="n">
        <v>44708</v>
      </c>
      <c r="C739" s="1" t="n">
        <v>45931</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21739-2022</t>
        </is>
      </c>
      <c r="B740" s="1" t="n">
        <v>44708.36708333333</v>
      </c>
      <c r="C740" s="1" t="n">
        <v>45931</v>
      </c>
      <c r="D740" t="inlineStr">
        <is>
          <t>STOCKHOLMS LÄN</t>
        </is>
      </c>
      <c r="E740" t="inlineStr">
        <is>
          <t>NORRTÄLJE</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28182-2022</t>
        </is>
      </c>
      <c r="B741" s="1" t="n">
        <v>44746.58530092592</v>
      </c>
      <c r="C741" s="1" t="n">
        <v>45931</v>
      </c>
      <c r="D741" t="inlineStr">
        <is>
          <t>STOCKHOLMS LÄN</t>
        </is>
      </c>
      <c r="E741" t="inlineStr">
        <is>
          <t>NORRTÄLJE</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3283-2025</t>
        </is>
      </c>
      <c r="B742" s="1" t="n">
        <v>45679</v>
      </c>
      <c r="C742" s="1" t="n">
        <v>45931</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18092-2022</t>
        </is>
      </c>
      <c r="B743" s="1" t="n">
        <v>44684</v>
      </c>
      <c r="C743" s="1" t="n">
        <v>45931</v>
      </c>
      <c r="D743" t="inlineStr">
        <is>
          <t>STOCKHOLMS LÄN</t>
        </is>
      </c>
      <c r="E743" t="inlineStr">
        <is>
          <t>NORRTÄLJE</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33295-2023</t>
        </is>
      </c>
      <c r="B744" s="1" t="n">
        <v>45127.69371527778</v>
      </c>
      <c r="C744" s="1" t="n">
        <v>45931</v>
      </c>
      <c r="D744" t="inlineStr">
        <is>
          <t>STOCKHOLMS LÄN</t>
        </is>
      </c>
      <c r="E744" t="inlineStr">
        <is>
          <t>NORRTÄLJE</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14127-2025</t>
        </is>
      </c>
      <c r="B745" s="1" t="n">
        <v>45740.47055555556</v>
      </c>
      <c r="C745" s="1" t="n">
        <v>45931</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58404-2023</t>
        </is>
      </c>
      <c r="B746" s="1" t="n">
        <v>45245</v>
      </c>
      <c r="C746" s="1" t="n">
        <v>45931</v>
      </c>
      <c r="D746" t="inlineStr">
        <is>
          <t>STOCKHOLMS LÄN</t>
        </is>
      </c>
      <c r="E746" t="inlineStr">
        <is>
          <t>NORRTÄLJE</t>
        </is>
      </c>
      <c r="G746" t="n">
        <v>53.5</v>
      </c>
      <c r="H746" t="n">
        <v>0</v>
      </c>
      <c r="I746" t="n">
        <v>0</v>
      </c>
      <c r="J746" t="n">
        <v>0</v>
      </c>
      <c r="K746" t="n">
        <v>0</v>
      </c>
      <c r="L746" t="n">
        <v>0</v>
      </c>
      <c r="M746" t="n">
        <v>0</v>
      </c>
      <c r="N746" t="n">
        <v>0</v>
      </c>
      <c r="O746" t="n">
        <v>0</v>
      </c>
      <c r="P746" t="n">
        <v>0</v>
      </c>
      <c r="Q746" t="n">
        <v>0</v>
      </c>
      <c r="R746" s="2" t="inlineStr"/>
    </row>
    <row r="747" ht="15" customHeight="1">
      <c r="A747" t="inlineStr">
        <is>
          <t>A 27885-2022</t>
        </is>
      </c>
      <c r="B747" s="1" t="n">
        <v>44743.67418981482</v>
      </c>
      <c r="C747" s="1" t="n">
        <v>45931</v>
      </c>
      <c r="D747" t="inlineStr">
        <is>
          <t>STOCKHOLMS LÄN</t>
        </is>
      </c>
      <c r="E747" t="inlineStr">
        <is>
          <t>NORRTÄLJE</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27677-2025</t>
        </is>
      </c>
      <c r="B748" s="1" t="n">
        <v>45813.63650462963</v>
      </c>
      <c r="C748" s="1" t="n">
        <v>45931</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31559-2022</t>
        </is>
      </c>
      <c r="B749" s="1" t="n">
        <v>44775</v>
      </c>
      <c r="C749" s="1" t="n">
        <v>45931</v>
      </c>
      <c r="D749" t="inlineStr">
        <is>
          <t>STOCKHOLMS LÄN</t>
        </is>
      </c>
      <c r="E749" t="inlineStr">
        <is>
          <t>NORRTÄLJE</t>
        </is>
      </c>
      <c r="G749" t="n">
        <v>5.6</v>
      </c>
      <c r="H749" t="n">
        <v>0</v>
      </c>
      <c r="I749" t="n">
        <v>0</v>
      </c>
      <c r="J749" t="n">
        <v>0</v>
      </c>
      <c r="K749" t="n">
        <v>0</v>
      </c>
      <c r="L749" t="n">
        <v>0</v>
      </c>
      <c r="M749" t="n">
        <v>0</v>
      </c>
      <c r="N749" t="n">
        <v>0</v>
      </c>
      <c r="O749" t="n">
        <v>0</v>
      </c>
      <c r="P749" t="n">
        <v>0</v>
      </c>
      <c r="Q749" t="n">
        <v>0</v>
      </c>
      <c r="R749" s="2" t="inlineStr"/>
    </row>
    <row r="750" ht="15" customHeight="1">
      <c r="A750" t="inlineStr">
        <is>
          <t>A 27697-2025</t>
        </is>
      </c>
      <c r="B750" s="1" t="n">
        <v>45813.66961805556</v>
      </c>
      <c r="C750" s="1" t="n">
        <v>45931</v>
      </c>
      <c r="D750" t="inlineStr">
        <is>
          <t>STOCKHOLMS LÄN</t>
        </is>
      </c>
      <c r="E750" t="inlineStr">
        <is>
          <t>NORRTÄLJE</t>
        </is>
      </c>
      <c r="G750" t="n">
        <v>6.2</v>
      </c>
      <c r="H750" t="n">
        <v>0</v>
      </c>
      <c r="I750" t="n">
        <v>0</v>
      </c>
      <c r="J750" t="n">
        <v>0</v>
      </c>
      <c r="K750" t="n">
        <v>0</v>
      </c>
      <c r="L750" t="n">
        <v>0</v>
      </c>
      <c r="M750" t="n">
        <v>0</v>
      </c>
      <c r="N750" t="n">
        <v>0</v>
      </c>
      <c r="O750" t="n">
        <v>0</v>
      </c>
      <c r="P750" t="n">
        <v>0</v>
      </c>
      <c r="Q750" t="n">
        <v>0</v>
      </c>
      <c r="R750" s="2" t="inlineStr"/>
    </row>
    <row r="751" ht="15" customHeight="1">
      <c r="A751" t="inlineStr">
        <is>
          <t>A 27700-2025</t>
        </is>
      </c>
      <c r="B751" s="1" t="n">
        <v>45813.6799537037</v>
      </c>
      <c r="C751" s="1" t="n">
        <v>45931</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27554-2025</t>
        </is>
      </c>
      <c r="B752" s="1" t="n">
        <v>45813.4709375</v>
      </c>
      <c r="C752" s="1" t="n">
        <v>45931</v>
      </c>
      <c r="D752" t="inlineStr">
        <is>
          <t>STOCKHOLMS LÄN</t>
        </is>
      </c>
      <c r="E752" t="inlineStr">
        <is>
          <t>NORRTÄLJE</t>
        </is>
      </c>
      <c r="F752" t="inlineStr">
        <is>
          <t>Övriga Aktiebolag</t>
        </is>
      </c>
      <c r="G752" t="n">
        <v>2.5</v>
      </c>
      <c r="H752" t="n">
        <v>0</v>
      </c>
      <c r="I752" t="n">
        <v>0</v>
      </c>
      <c r="J752" t="n">
        <v>0</v>
      </c>
      <c r="K752" t="n">
        <v>0</v>
      </c>
      <c r="L752" t="n">
        <v>0</v>
      </c>
      <c r="M752" t="n">
        <v>0</v>
      </c>
      <c r="N752" t="n">
        <v>0</v>
      </c>
      <c r="O752" t="n">
        <v>0</v>
      </c>
      <c r="P752" t="n">
        <v>0</v>
      </c>
      <c r="Q752" t="n">
        <v>0</v>
      </c>
      <c r="R752" s="2" t="inlineStr"/>
    </row>
    <row r="753" ht="15" customHeight="1">
      <c r="A753" t="inlineStr">
        <is>
          <t>A 52001-2023</t>
        </is>
      </c>
      <c r="B753" s="1" t="n">
        <v>45223</v>
      </c>
      <c r="C753" s="1" t="n">
        <v>45931</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25525-2022</t>
        </is>
      </c>
      <c r="B754" s="1" t="n">
        <v>44732</v>
      </c>
      <c r="C754" s="1" t="n">
        <v>45931</v>
      </c>
      <c r="D754" t="inlineStr">
        <is>
          <t>STOCKHOLMS LÄN</t>
        </is>
      </c>
      <c r="E754" t="inlineStr">
        <is>
          <t>NORRTÄLJE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48722-2023</t>
        </is>
      </c>
      <c r="B755" s="1" t="n">
        <v>45208.70996527778</v>
      </c>
      <c r="C755" s="1" t="n">
        <v>45931</v>
      </c>
      <c r="D755" t="inlineStr">
        <is>
          <t>STOCKHOLMS LÄN</t>
        </is>
      </c>
      <c r="E755" t="inlineStr">
        <is>
          <t>NORRTÄLJE</t>
        </is>
      </c>
      <c r="G755" t="n">
        <v>0.3</v>
      </c>
      <c r="H755" t="n">
        <v>0</v>
      </c>
      <c r="I755" t="n">
        <v>0</v>
      </c>
      <c r="J755" t="n">
        <v>0</v>
      </c>
      <c r="K755" t="n">
        <v>0</v>
      </c>
      <c r="L755" t="n">
        <v>0</v>
      </c>
      <c r="M755" t="n">
        <v>0</v>
      </c>
      <c r="N755" t="n">
        <v>0</v>
      </c>
      <c r="O755" t="n">
        <v>0</v>
      </c>
      <c r="P755" t="n">
        <v>0</v>
      </c>
      <c r="Q755" t="n">
        <v>0</v>
      </c>
      <c r="R755" s="2" t="inlineStr"/>
    </row>
    <row r="756" ht="15" customHeight="1">
      <c r="A756" t="inlineStr">
        <is>
          <t>A 11901-2024</t>
        </is>
      </c>
      <c r="B756" s="1" t="n">
        <v>45376.55638888889</v>
      </c>
      <c r="C756" s="1" t="n">
        <v>45931</v>
      </c>
      <c r="D756" t="inlineStr">
        <is>
          <t>STOCKHOLMS LÄN</t>
        </is>
      </c>
      <c r="E756" t="inlineStr">
        <is>
          <t>NORRTÄLJE</t>
        </is>
      </c>
      <c r="F756" t="inlineStr">
        <is>
          <t>Holmen skog AB</t>
        </is>
      </c>
      <c r="G756" t="n">
        <v>3.5</v>
      </c>
      <c r="H756" t="n">
        <v>0</v>
      </c>
      <c r="I756" t="n">
        <v>0</v>
      </c>
      <c r="J756" t="n">
        <v>0</v>
      </c>
      <c r="K756" t="n">
        <v>0</v>
      </c>
      <c r="L756" t="n">
        <v>0</v>
      </c>
      <c r="M756" t="n">
        <v>0</v>
      </c>
      <c r="N756" t="n">
        <v>0</v>
      </c>
      <c r="O756" t="n">
        <v>0</v>
      </c>
      <c r="P756" t="n">
        <v>0</v>
      </c>
      <c r="Q756" t="n">
        <v>0</v>
      </c>
      <c r="R756" s="2" t="inlineStr"/>
    </row>
    <row r="757" ht="15" customHeight="1">
      <c r="A757" t="inlineStr">
        <is>
          <t>A 27802-2025</t>
        </is>
      </c>
      <c r="B757" s="1" t="n">
        <v>45817.2565625</v>
      </c>
      <c r="C757" s="1" t="n">
        <v>45931</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27806-2025</t>
        </is>
      </c>
      <c r="B758" s="1" t="n">
        <v>45817.30329861111</v>
      </c>
      <c r="C758" s="1" t="n">
        <v>45931</v>
      </c>
      <c r="D758" t="inlineStr">
        <is>
          <t>STOCKHOLMS LÄN</t>
        </is>
      </c>
      <c r="E758" t="inlineStr">
        <is>
          <t>NORRTÄLJE</t>
        </is>
      </c>
      <c r="G758" t="n">
        <v>3</v>
      </c>
      <c r="H758" t="n">
        <v>0</v>
      </c>
      <c r="I758" t="n">
        <v>0</v>
      </c>
      <c r="J758" t="n">
        <v>0</v>
      </c>
      <c r="K758" t="n">
        <v>0</v>
      </c>
      <c r="L758" t="n">
        <v>0</v>
      </c>
      <c r="M758" t="n">
        <v>0</v>
      </c>
      <c r="N758" t="n">
        <v>0</v>
      </c>
      <c r="O758" t="n">
        <v>0</v>
      </c>
      <c r="P758" t="n">
        <v>0</v>
      </c>
      <c r="Q758" t="n">
        <v>0</v>
      </c>
      <c r="R758" s="2" t="inlineStr"/>
    </row>
    <row r="759" ht="15" customHeight="1">
      <c r="A759" t="inlineStr">
        <is>
          <t>A 27808-2025</t>
        </is>
      </c>
      <c r="B759" s="1" t="n">
        <v>45817.31085648148</v>
      </c>
      <c r="C759" s="1" t="n">
        <v>45931</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27810-2025</t>
        </is>
      </c>
      <c r="B760" s="1" t="n">
        <v>45817.31708333334</v>
      </c>
      <c r="C760" s="1" t="n">
        <v>45931</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27811-2025</t>
        </is>
      </c>
      <c r="B761" s="1" t="n">
        <v>45817.31986111111</v>
      </c>
      <c r="C761" s="1" t="n">
        <v>45931</v>
      </c>
      <c r="D761" t="inlineStr">
        <is>
          <t>STOCKHOLMS LÄN</t>
        </is>
      </c>
      <c r="E761" t="inlineStr">
        <is>
          <t>NORRTÄLJE</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27818-2025</t>
        </is>
      </c>
      <c r="B762" s="1" t="n">
        <v>45817.33503472222</v>
      </c>
      <c r="C762" s="1" t="n">
        <v>45931</v>
      </c>
      <c r="D762" t="inlineStr">
        <is>
          <t>STOCKHOLMS LÄN</t>
        </is>
      </c>
      <c r="E762" t="inlineStr">
        <is>
          <t>NORRTÄLJE</t>
        </is>
      </c>
      <c r="F762" t="inlineStr">
        <is>
          <t>Sveaskog</t>
        </is>
      </c>
      <c r="G762" t="n">
        <v>0.3</v>
      </c>
      <c r="H762" t="n">
        <v>0</v>
      </c>
      <c r="I762" t="n">
        <v>0</v>
      </c>
      <c r="J762" t="n">
        <v>0</v>
      </c>
      <c r="K762" t="n">
        <v>0</v>
      </c>
      <c r="L762" t="n">
        <v>0</v>
      </c>
      <c r="M762" t="n">
        <v>0</v>
      </c>
      <c r="N762" t="n">
        <v>0</v>
      </c>
      <c r="O762" t="n">
        <v>0</v>
      </c>
      <c r="P762" t="n">
        <v>0</v>
      </c>
      <c r="Q762" t="n">
        <v>0</v>
      </c>
      <c r="R762" s="2" t="inlineStr"/>
    </row>
    <row r="763" ht="15" customHeight="1">
      <c r="A763" t="inlineStr">
        <is>
          <t>A 22456-2023</t>
        </is>
      </c>
      <c r="B763" s="1" t="n">
        <v>45070</v>
      </c>
      <c r="C763" s="1" t="n">
        <v>45931</v>
      </c>
      <c r="D763" t="inlineStr">
        <is>
          <t>STOCKHOLMS LÄN</t>
        </is>
      </c>
      <c r="E763" t="inlineStr">
        <is>
          <t>NORRTÄLJE</t>
        </is>
      </c>
      <c r="G763" t="n">
        <v>3.1</v>
      </c>
      <c r="H763" t="n">
        <v>0</v>
      </c>
      <c r="I763" t="n">
        <v>0</v>
      </c>
      <c r="J763" t="n">
        <v>0</v>
      </c>
      <c r="K763" t="n">
        <v>0</v>
      </c>
      <c r="L763" t="n">
        <v>0</v>
      </c>
      <c r="M763" t="n">
        <v>0</v>
      </c>
      <c r="N763" t="n">
        <v>0</v>
      </c>
      <c r="O763" t="n">
        <v>0</v>
      </c>
      <c r="P763" t="n">
        <v>0</v>
      </c>
      <c r="Q763" t="n">
        <v>0</v>
      </c>
      <c r="R763" s="2" t="inlineStr"/>
    </row>
    <row r="764" ht="15" customHeight="1">
      <c r="A764" t="inlineStr">
        <is>
          <t>A 67393-2020</t>
        </is>
      </c>
      <c r="B764" s="1" t="n">
        <v>44181</v>
      </c>
      <c r="C764" s="1" t="n">
        <v>45931</v>
      </c>
      <c r="D764" t="inlineStr">
        <is>
          <t>STOCKHOLMS LÄN</t>
        </is>
      </c>
      <c r="E764" t="inlineStr">
        <is>
          <t>NORRTÄLJE</t>
        </is>
      </c>
      <c r="G764" t="n">
        <v>5.5</v>
      </c>
      <c r="H764" t="n">
        <v>0</v>
      </c>
      <c r="I764" t="n">
        <v>0</v>
      </c>
      <c r="J764" t="n">
        <v>0</v>
      </c>
      <c r="K764" t="n">
        <v>0</v>
      </c>
      <c r="L764" t="n">
        <v>0</v>
      </c>
      <c r="M764" t="n">
        <v>0</v>
      </c>
      <c r="N764" t="n">
        <v>0</v>
      </c>
      <c r="O764" t="n">
        <v>0</v>
      </c>
      <c r="P764" t="n">
        <v>0</v>
      </c>
      <c r="Q764" t="n">
        <v>0</v>
      </c>
      <c r="R764" s="2" t="inlineStr"/>
    </row>
    <row r="765" ht="15" customHeight="1">
      <c r="A765" t="inlineStr">
        <is>
          <t>A 15528-2025</t>
        </is>
      </c>
      <c r="B765" s="1" t="n">
        <v>45747.63471064815</v>
      </c>
      <c r="C765" s="1" t="n">
        <v>45931</v>
      </c>
      <c r="D765" t="inlineStr">
        <is>
          <t>STOCKHOLMS LÄN</t>
        </is>
      </c>
      <c r="E765" t="inlineStr">
        <is>
          <t>NORRTÄLJE</t>
        </is>
      </c>
      <c r="G765" t="n">
        <v>10</v>
      </c>
      <c r="H765" t="n">
        <v>0</v>
      </c>
      <c r="I765" t="n">
        <v>0</v>
      </c>
      <c r="J765" t="n">
        <v>0</v>
      </c>
      <c r="K765" t="n">
        <v>0</v>
      </c>
      <c r="L765" t="n">
        <v>0</v>
      </c>
      <c r="M765" t="n">
        <v>0</v>
      </c>
      <c r="N765" t="n">
        <v>0</v>
      </c>
      <c r="O765" t="n">
        <v>0</v>
      </c>
      <c r="P765" t="n">
        <v>0</v>
      </c>
      <c r="Q765" t="n">
        <v>0</v>
      </c>
      <c r="R765" s="2" t="inlineStr"/>
    </row>
    <row r="766" ht="15" customHeight="1">
      <c r="A766" t="inlineStr">
        <is>
          <t>A 27803-2025</t>
        </is>
      </c>
      <c r="B766" s="1" t="n">
        <v>45817.291875</v>
      </c>
      <c r="C766" s="1" t="n">
        <v>45931</v>
      </c>
      <c r="D766" t="inlineStr">
        <is>
          <t>STOCKHOLMS LÄN</t>
        </is>
      </c>
      <c r="E766" t="inlineStr">
        <is>
          <t>NORRTÄLJE</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27813-2025</t>
        </is>
      </c>
      <c r="B767" s="1" t="n">
        <v>45817.32538194444</v>
      </c>
      <c r="C767" s="1" t="n">
        <v>45931</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23801-2022</t>
        </is>
      </c>
      <c r="B768" s="1" t="n">
        <v>44722</v>
      </c>
      <c r="C768" s="1" t="n">
        <v>45931</v>
      </c>
      <c r="D768" t="inlineStr">
        <is>
          <t>STOCKHOLMS LÄN</t>
        </is>
      </c>
      <c r="E768" t="inlineStr">
        <is>
          <t>NORRTÄLJE</t>
        </is>
      </c>
      <c r="G768" t="n">
        <v>6.8</v>
      </c>
      <c r="H768" t="n">
        <v>0</v>
      </c>
      <c r="I768" t="n">
        <v>0</v>
      </c>
      <c r="J768" t="n">
        <v>0</v>
      </c>
      <c r="K768" t="n">
        <v>0</v>
      </c>
      <c r="L768" t="n">
        <v>0</v>
      </c>
      <c r="M768" t="n">
        <v>0</v>
      </c>
      <c r="N768" t="n">
        <v>0</v>
      </c>
      <c r="O768" t="n">
        <v>0</v>
      </c>
      <c r="P768" t="n">
        <v>0</v>
      </c>
      <c r="Q768" t="n">
        <v>0</v>
      </c>
      <c r="R768" s="2" t="inlineStr"/>
    </row>
    <row r="769" ht="15" customHeight="1">
      <c r="A769" t="inlineStr">
        <is>
          <t>A 27801-2025</t>
        </is>
      </c>
      <c r="B769" s="1" t="n">
        <v>45817.25471064815</v>
      </c>
      <c r="C769" s="1" t="n">
        <v>45931</v>
      </c>
      <c r="D769" t="inlineStr">
        <is>
          <t>STOCKHOLMS LÄN</t>
        </is>
      </c>
      <c r="E769" t="inlineStr">
        <is>
          <t>NORRTÄLJE</t>
        </is>
      </c>
      <c r="G769" t="n">
        <v>2</v>
      </c>
      <c r="H769" t="n">
        <v>0</v>
      </c>
      <c r="I769" t="n">
        <v>0</v>
      </c>
      <c r="J769" t="n">
        <v>0</v>
      </c>
      <c r="K769" t="n">
        <v>0</v>
      </c>
      <c r="L769" t="n">
        <v>0</v>
      </c>
      <c r="M769" t="n">
        <v>0</v>
      </c>
      <c r="N769" t="n">
        <v>0</v>
      </c>
      <c r="O769" t="n">
        <v>0</v>
      </c>
      <c r="P769" t="n">
        <v>0</v>
      </c>
      <c r="Q769" t="n">
        <v>0</v>
      </c>
      <c r="R769" s="2" t="inlineStr"/>
    </row>
    <row r="770" ht="15" customHeight="1">
      <c r="A770" t="inlineStr">
        <is>
          <t>A 27821-2025</t>
        </is>
      </c>
      <c r="B770" s="1" t="n">
        <v>45817.34083333334</v>
      </c>
      <c r="C770" s="1" t="n">
        <v>45931</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19580-2022</t>
        </is>
      </c>
      <c r="B771" s="1" t="n">
        <v>44693</v>
      </c>
      <c r="C771" s="1" t="n">
        <v>45931</v>
      </c>
      <c r="D771" t="inlineStr">
        <is>
          <t>STOCKHOLMS LÄN</t>
        </is>
      </c>
      <c r="E771" t="inlineStr">
        <is>
          <t>NORRTÄLJE</t>
        </is>
      </c>
      <c r="G771" t="n">
        <v>0.4</v>
      </c>
      <c r="H771" t="n">
        <v>0</v>
      </c>
      <c r="I771" t="n">
        <v>0</v>
      </c>
      <c r="J771" t="n">
        <v>0</v>
      </c>
      <c r="K771" t="n">
        <v>0</v>
      </c>
      <c r="L771" t="n">
        <v>0</v>
      </c>
      <c r="M771" t="n">
        <v>0</v>
      </c>
      <c r="N771" t="n">
        <v>0</v>
      </c>
      <c r="O771" t="n">
        <v>0</v>
      </c>
      <c r="P771" t="n">
        <v>0</v>
      </c>
      <c r="Q771" t="n">
        <v>0</v>
      </c>
      <c r="R771" s="2" t="inlineStr"/>
    </row>
    <row r="772" ht="15" customHeight="1">
      <c r="A772" t="inlineStr">
        <is>
          <t>A 5823-2023</t>
        </is>
      </c>
      <c r="B772" s="1" t="n">
        <v>44963</v>
      </c>
      <c r="C772" s="1" t="n">
        <v>45931</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30731-2023</t>
        </is>
      </c>
      <c r="B773" s="1" t="n">
        <v>45112</v>
      </c>
      <c r="C773" s="1" t="n">
        <v>45931</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33353-2023</t>
        </is>
      </c>
      <c r="B774" s="1" t="n">
        <v>45128</v>
      </c>
      <c r="C774" s="1" t="n">
        <v>45931</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11988-2021</t>
        </is>
      </c>
      <c r="B775" s="1" t="n">
        <v>44266</v>
      </c>
      <c r="C775" s="1" t="n">
        <v>45931</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12132-2021</t>
        </is>
      </c>
      <c r="B776" s="1" t="n">
        <v>44266</v>
      </c>
      <c r="C776" s="1" t="n">
        <v>45931</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44075-2023</t>
        </is>
      </c>
      <c r="B777" s="1" t="n">
        <v>45188.41637731482</v>
      </c>
      <c r="C777" s="1" t="n">
        <v>45931</v>
      </c>
      <c r="D777" t="inlineStr">
        <is>
          <t>STOCKHOLMS LÄN</t>
        </is>
      </c>
      <c r="E777" t="inlineStr">
        <is>
          <t>NORRTÄLJE</t>
        </is>
      </c>
      <c r="F777" t="inlineStr">
        <is>
          <t>Holmen skog AB</t>
        </is>
      </c>
      <c r="G777" t="n">
        <v>2.4</v>
      </c>
      <c r="H777" t="n">
        <v>0</v>
      </c>
      <c r="I777" t="n">
        <v>0</v>
      </c>
      <c r="J777" t="n">
        <v>0</v>
      </c>
      <c r="K777" t="n">
        <v>0</v>
      </c>
      <c r="L777" t="n">
        <v>0</v>
      </c>
      <c r="M777" t="n">
        <v>0</v>
      </c>
      <c r="N777" t="n">
        <v>0</v>
      </c>
      <c r="O777" t="n">
        <v>0</v>
      </c>
      <c r="P777" t="n">
        <v>0</v>
      </c>
      <c r="Q777" t="n">
        <v>0</v>
      </c>
      <c r="R777" s="2" t="inlineStr"/>
    </row>
    <row r="778" ht="15" customHeight="1">
      <c r="A778" t="inlineStr">
        <is>
          <t>A 51653-2022</t>
        </is>
      </c>
      <c r="B778" s="1" t="n">
        <v>44867</v>
      </c>
      <c r="C778" s="1" t="n">
        <v>45931</v>
      </c>
      <c r="D778" t="inlineStr">
        <is>
          <t>STOCKHOLMS LÄN</t>
        </is>
      </c>
      <c r="E778" t="inlineStr">
        <is>
          <t>NORRTÄLJE</t>
        </is>
      </c>
      <c r="G778" t="n">
        <v>6.6</v>
      </c>
      <c r="H778" t="n">
        <v>0</v>
      </c>
      <c r="I778" t="n">
        <v>0</v>
      </c>
      <c r="J778" t="n">
        <v>0</v>
      </c>
      <c r="K778" t="n">
        <v>0</v>
      </c>
      <c r="L778" t="n">
        <v>0</v>
      </c>
      <c r="M778" t="n">
        <v>0</v>
      </c>
      <c r="N778" t="n">
        <v>0</v>
      </c>
      <c r="O778" t="n">
        <v>0</v>
      </c>
      <c r="P778" t="n">
        <v>0</v>
      </c>
      <c r="Q778" t="n">
        <v>0</v>
      </c>
      <c r="R778" s="2" t="inlineStr"/>
    </row>
    <row r="779" ht="15" customHeight="1">
      <c r="A779" t="inlineStr">
        <is>
          <t>A 32103-2022</t>
        </is>
      </c>
      <c r="B779" s="1" t="n">
        <v>44778</v>
      </c>
      <c r="C779" s="1" t="n">
        <v>45931</v>
      </c>
      <c r="D779" t="inlineStr">
        <is>
          <t>STOCKHOLMS LÄN</t>
        </is>
      </c>
      <c r="E779" t="inlineStr">
        <is>
          <t>NORRTÄLJE</t>
        </is>
      </c>
      <c r="G779" t="n">
        <v>3.4</v>
      </c>
      <c r="H779" t="n">
        <v>0</v>
      </c>
      <c r="I779" t="n">
        <v>0</v>
      </c>
      <c r="J779" t="n">
        <v>0</v>
      </c>
      <c r="K779" t="n">
        <v>0</v>
      </c>
      <c r="L779" t="n">
        <v>0</v>
      </c>
      <c r="M779" t="n">
        <v>0</v>
      </c>
      <c r="N779" t="n">
        <v>0</v>
      </c>
      <c r="O779" t="n">
        <v>0</v>
      </c>
      <c r="P779" t="n">
        <v>0</v>
      </c>
      <c r="Q779" t="n">
        <v>0</v>
      </c>
      <c r="R779" s="2" t="inlineStr"/>
    </row>
    <row r="780" ht="15" customHeight="1">
      <c r="A780" t="inlineStr">
        <is>
          <t>A 55952-2024</t>
        </is>
      </c>
      <c r="B780" s="1" t="n">
        <v>45623.62563657408</v>
      </c>
      <c r="C780" s="1" t="n">
        <v>45931</v>
      </c>
      <c r="D780" t="inlineStr">
        <is>
          <t>STOCKHOLMS LÄN</t>
        </is>
      </c>
      <c r="E780" t="inlineStr">
        <is>
          <t>NORRTÄLJE</t>
        </is>
      </c>
      <c r="F780" t="inlineStr">
        <is>
          <t>Holmen skog AB</t>
        </is>
      </c>
      <c r="G780" t="n">
        <v>2.8</v>
      </c>
      <c r="H780" t="n">
        <v>0</v>
      </c>
      <c r="I780" t="n">
        <v>0</v>
      </c>
      <c r="J780" t="n">
        <v>0</v>
      </c>
      <c r="K780" t="n">
        <v>0</v>
      </c>
      <c r="L780" t="n">
        <v>0</v>
      </c>
      <c r="M780" t="n">
        <v>0</v>
      </c>
      <c r="N780" t="n">
        <v>0</v>
      </c>
      <c r="O780" t="n">
        <v>0</v>
      </c>
      <c r="P780" t="n">
        <v>0</v>
      </c>
      <c r="Q780" t="n">
        <v>0</v>
      </c>
      <c r="R780" s="2" t="inlineStr"/>
    </row>
    <row r="781" ht="15" customHeight="1">
      <c r="A781" t="inlineStr">
        <is>
          <t>A 23070-2023</t>
        </is>
      </c>
      <c r="B781" s="1" t="n">
        <v>45075</v>
      </c>
      <c r="C781" s="1" t="n">
        <v>45931</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29250-2025</t>
        </is>
      </c>
      <c r="B782" s="1" t="n">
        <v>45824.37275462963</v>
      </c>
      <c r="C782" s="1" t="n">
        <v>45931</v>
      </c>
      <c r="D782" t="inlineStr">
        <is>
          <t>STOCKHOLMS LÄN</t>
        </is>
      </c>
      <c r="E782" t="inlineStr">
        <is>
          <t>NORRTÄLJE</t>
        </is>
      </c>
      <c r="F782" t="inlineStr">
        <is>
          <t>Sveaskog</t>
        </is>
      </c>
      <c r="G782" t="n">
        <v>6.4</v>
      </c>
      <c r="H782" t="n">
        <v>0</v>
      </c>
      <c r="I782" t="n">
        <v>0</v>
      </c>
      <c r="J782" t="n">
        <v>0</v>
      </c>
      <c r="K782" t="n">
        <v>0</v>
      </c>
      <c r="L782" t="n">
        <v>0</v>
      </c>
      <c r="M782" t="n">
        <v>0</v>
      </c>
      <c r="N782" t="n">
        <v>0</v>
      </c>
      <c r="O782" t="n">
        <v>0</v>
      </c>
      <c r="P782" t="n">
        <v>0</v>
      </c>
      <c r="Q782" t="n">
        <v>0</v>
      </c>
      <c r="R782" s="2" t="inlineStr"/>
    </row>
    <row r="783" ht="15" customHeight="1">
      <c r="A783" t="inlineStr">
        <is>
          <t>A 35708-2022</t>
        </is>
      </c>
      <c r="B783" s="1" t="n">
        <v>44799.65013888889</v>
      </c>
      <c r="C783" s="1" t="n">
        <v>45931</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8792-2025</t>
        </is>
      </c>
      <c r="B784" s="1" t="n">
        <v>45712</v>
      </c>
      <c r="C784" s="1" t="n">
        <v>45931</v>
      </c>
      <c r="D784" t="inlineStr">
        <is>
          <t>STOCKHOLMS LÄN</t>
        </is>
      </c>
      <c r="E784" t="inlineStr">
        <is>
          <t>NORRTÄLJE</t>
        </is>
      </c>
      <c r="F784" t="inlineStr">
        <is>
          <t>Övriga Aktiebolag</t>
        </is>
      </c>
      <c r="G784" t="n">
        <v>6.6</v>
      </c>
      <c r="H784" t="n">
        <v>0</v>
      </c>
      <c r="I784" t="n">
        <v>0</v>
      </c>
      <c r="J784" t="n">
        <v>0</v>
      </c>
      <c r="K784" t="n">
        <v>0</v>
      </c>
      <c r="L784" t="n">
        <v>0</v>
      </c>
      <c r="M784" t="n">
        <v>0</v>
      </c>
      <c r="N784" t="n">
        <v>0</v>
      </c>
      <c r="O784" t="n">
        <v>0</v>
      </c>
      <c r="P784" t="n">
        <v>0</v>
      </c>
      <c r="Q784" t="n">
        <v>0</v>
      </c>
      <c r="R784" s="2" t="inlineStr"/>
    </row>
    <row r="785" ht="15" customHeight="1">
      <c r="A785" t="inlineStr">
        <is>
          <t>A 7571-2024</t>
        </is>
      </c>
      <c r="B785" s="1" t="n">
        <v>45348.46300925926</v>
      </c>
      <c r="C785" s="1" t="n">
        <v>45931</v>
      </c>
      <c r="D785" t="inlineStr">
        <is>
          <t>STOCKHOLMS LÄN</t>
        </is>
      </c>
      <c r="E785" t="inlineStr">
        <is>
          <t>NORRTÄLJE</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3426-2025</t>
        </is>
      </c>
      <c r="B786" s="1" t="n">
        <v>45680.42665509259</v>
      </c>
      <c r="C786" s="1" t="n">
        <v>45931</v>
      </c>
      <c r="D786" t="inlineStr">
        <is>
          <t>STOCKHOLMS LÄN</t>
        </is>
      </c>
      <c r="E786" t="inlineStr">
        <is>
          <t>NORRTÄLJE</t>
        </is>
      </c>
      <c r="G786" t="n">
        <v>3.2</v>
      </c>
      <c r="H786" t="n">
        <v>0</v>
      </c>
      <c r="I786" t="n">
        <v>0</v>
      </c>
      <c r="J786" t="n">
        <v>0</v>
      </c>
      <c r="K786" t="n">
        <v>0</v>
      </c>
      <c r="L786" t="n">
        <v>0</v>
      </c>
      <c r="M786" t="n">
        <v>0</v>
      </c>
      <c r="N786" t="n">
        <v>0</v>
      </c>
      <c r="O786" t="n">
        <v>0</v>
      </c>
      <c r="P786" t="n">
        <v>0</v>
      </c>
      <c r="Q786" t="n">
        <v>0</v>
      </c>
      <c r="R786" s="2" t="inlineStr"/>
    </row>
    <row r="787" ht="15" customHeight="1">
      <c r="A787" t="inlineStr">
        <is>
          <t>A 9-2024</t>
        </is>
      </c>
      <c r="B787" s="1" t="n">
        <v>45293</v>
      </c>
      <c r="C787" s="1" t="n">
        <v>45931</v>
      </c>
      <c r="D787" t="inlineStr">
        <is>
          <t>STOCKHOLMS LÄN</t>
        </is>
      </c>
      <c r="E787" t="inlineStr">
        <is>
          <t>NORRTÄLJE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51312-2023</t>
        </is>
      </c>
      <c r="B788" s="1" t="n">
        <v>45219.56697916667</v>
      </c>
      <c r="C788" s="1" t="n">
        <v>45931</v>
      </c>
      <c r="D788" t="inlineStr">
        <is>
          <t>STOCKHOLMS LÄN</t>
        </is>
      </c>
      <c r="E788" t="inlineStr">
        <is>
          <t>NORRTÄLJE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36269-2022</t>
        </is>
      </c>
      <c r="B789" s="1" t="n">
        <v>44803</v>
      </c>
      <c r="C789" s="1" t="n">
        <v>45931</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11849-2025</t>
        </is>
      </c>
      <c r="B790" s="1" t="n">
        <v>45728.38409722222</v>
      </c>
      <c r="C790" s="1" t="n">
        <v>45931</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38610-2022</t>
        </is>
      </c>
      <c r="B791" s="1" t="n">
        <v>44813.59915509259</v>
      </c>
      <c r="C791" s="1" t="n">
        <v>45931</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22816-2021</t>
        </is>
      </c>
      <c r="B792" s="1" t="n">
        <v>44325</v>
      </c>
      <c r="C792" s="1" t="n">
        <v>45931</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5665-2025</t>
        </is>
      </c>
      <c r="B793" s="1" t="n">
        <v>45693</v>
      </c>
      <c r="C793" s="1" t="n">
        <v>45931</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12407-2025</t>
        </is>
      </c>
      <c r="B794" s="1" t="n">
        <v>45730.42851851852</v>
      </c>
      <c r="C794" s="1" t="n">
        <v>45931</v>
      </c>
      <c r="D794" t="inlineStr">
        <is>
          <t>STOCKHOLMS LÄN</t>
        </is>
      </c>
      <c r="E794" t="inlineStr">
        <is>
          <t>NORRTÄLJE</t>
        </is>
      </c>
      <c r="F794" t="inlineStr">
        <is>
          <t>Holmen skog AB</t>
        </is>
      </c>
      <c r="G794" t="n">
        <v>2.6</v>
      </c>
      <c r="H794" t="n">
        <v>0</v>
      </c>
      <c r="I794" t="n">
        <v>0</v>
      </c>
      <c r="J794" t="n">
        <v>0</v>
      </c>
      <c r="K794" t="n">
        <v>0</v>
      </c>
      <c r="L794" t="n">
        <v>0</v>
      </c>
      <c r="M794" t="n">
        <v>0</v>
      </c>
      <c r="N794" t="n">
        <v>0</v>
      </c>
      <c r="O794" t="n">
        <v>0</v>
      </c>
      <c r="P794" t="n">
        <v>0</v>
      </c>
      <c r="Q794" t="n">
        <v>0</v>
      </c>
      <c r="R794" s="2" t="inlineStr"/>
    </row>
    <row r="795" ht="15" customHeight="1">
      <c r="A795" t="inlineStr">
        <is>
          <t>A 26636-2023</t>
        </is>
      </c>
      <c r="B795" s="1" t="n">
        <v>45092</v>
      </c>
      <c r="C795" s="1" t="n">
        <v>45931</v>
      </c>
      <c r="D795" t="inlineStr">
        <is>
          <t>STOCKHOLMS LÄN</t>
        </is>
      </c>
      <c r="E795" t="inlineStr">
        <is>
          <t>NORRTÄLJE</t>
        </is>
      </c>
      <c r="G795" t="n">
        <v>1.7</v>
      </c>
      <c r="H795" t="n">
        <v>0</v>
      </c>
      <c r="I795" t="n">
        <v>0</v>
      </c>
      <c r="J795" t="n">
        <v>0</v>
      </c>
      <c r="K795" t="n">
        <v>0</v>
      </c>
      <c r="L795" t="n">
        <v>0</v>
      </c>
      <c r="M795" t="n">
        <v>0</v>
      </c>
      <c r="N795" t="n">
        <v>0</v>
      </c>
      <c r="O795" t="n">
        <v>0</v>
      </c>
      <c r="P795" t="n">
        <v>0</v>
      </c>
      <c r="Q795" t="n">
        <v>0</v>
      </c>
      <c r="R795" s="2" t="inlineStr"/>
    </row>
    <row r="796" ht="15" customHeight="1">
      <c r="A796" t="inlineStr">
        <is>
          <t>A 26637-2023</t>
        </is>
      </c>
      <c r="B796" s="1" t="n">
        <v>45092</v>
      </c>
      <c r="C796" s="1" t="n">
        <v>45931</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59468-2023</t>
        </is>
      </c>
      <c r="B797" s="1" t="n">
        <v>45254.41509259259</v>
      </c>
      <c r="C797" s="1" t="n">
        <v>45931</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18846-2022</t>
        </is>
      </c>
      <c r="B798" s="1" t="n">
        <v>44690</v>
      </c>
      <c r="C798" s="1" t="n">
        <v>45931</v>
      </c>
      <c r="D798" t="inlineStr">
        <is>
          <t>STOCKHOLMS LÄN</t>
        </is>
      </c>
      <c r="E798" t="inlineStr">
        <is>
          <t>NORRTÄLJE</t>
        </is>
      </c>
      <c r="G798" t="n">
        <v>7</v>
      </c>
      <c r="H798" t="n">
        <v>0</v>
      </c>
      <c r="I798" t="n">
        <v>0</v>
      </c>
      <c r="J798" t="n">
        <v>0</v>
      </c>
      <c r="K798" t="n">
        <v>0</v>
      </c>
      <c r="L798" t="n">
        <v>0</v>
      </c>
      <c r="M798" t="n">
        <v>0</v>
      </c>
      <c r="N798" t="n">
        <v>0</v>
      </c>
      <c r="O798" t="n">
        <v>0</v>
      </c>
      <c r="P798" t="n">
        <v>0</v>
      </c>
      <c r="Q798" t="n">
        <v>0</v>
      </c>
      <c r="R798" s="2" t="inlineStr"/>
    </row>
    <row r="799" ht="15" customHeight="1">
      <c r="A799" t="inlineStr">
        <is>
          <t>A 23266-2023</t>
        </is>
      </c>
      <c r="B799" s="1" t="n">
        <v>45075.90817129629</v>
      </c>
      <c r="C799" s="1" t="n">
        <v>45931</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30668-2025</t>
        </is>
      </c>
      <c r="B800" s="1" t="n">
        <v>45831.51659722222</v>
      </c>
      <c r="C800" s="1" t="n">
        <v>45931</v>
      </c>
      <c r="D800" t="inlineStr">
        <is>
          <t>STOCKHOLMS LÄN</t>
        </is>
      </c>
      <c r="E800" t="inlineStr">
        <is>
          <t>NORRTÄLJE</t>
        </is>
      </c>
      <c r="G800" t="n">
        <v>4.9</v>
      </c>
      <c r="H800" t="n">
        <v>0</v>
      </c>
      <c r="I800" t="n">
        <v>0</v>
      </c>
      <c r="J800" t="n">
        <v>0</v>
      </c>
      <c r="K800" t="n">
        <v>0</v>
      </c>
      <c r="L800" t="n">
        <v>0</v>
      </c>
      <c r="M800" t="n">
        <v>0</v>
      </c>
      <c r="N800" t="n">
        <v>0</v>
      </c>
      <c r="O800" t="n">
        <v>0</v>
      </c>
      <c r="P800" t="n">
        <v>0</v>
      </c>
      <c r="Q800" t="n">
        <v>0</v>
      </c>
      <c r="R800" s="2" t="inlineStr"/>
    </row>
    <row r="801" ht="15" customHeight="1">
      <c r="A801" t="inlineStr">
        <is>
          <t>A 35161-2022</t>
        </is>
      </c>
      <c r="B801" s="1" t="n">
        <v>44797</v>
      </c>
      <c r="C801" s="1" t="n">
        <v>45931</v>
      </c>
      <c r="D801" t="inlineStr">
        <is>
          <t>STOCKHOLMS LÄN</t>
        </is>
      </c>
      <c r="E801" t="inlineStr">
        <is>
          <t>NORRTÄLJE</t>
        </is>
      </c>
      <c r="G801" t="n">
        <v>6</v>
      </c>
      <c r="H801" t="n">
        <v>0</v>
      </c>
      <c r="I801" t="n">
        <v>0</v>
      </c>
      <c r="J801" t="n">
        <v>0</v>
      </c>
      <c r="K801" t="n">
        <v>0</v>
      </c>
      <c r="L801" t="n">
        <v>0</v>
      </c>
      <c r="M801" t="n">
        <v>0</v>
      </c>
      <c r="N801" t="n">
        <v>0</v>
      </c>
      <c r="O801" t="n">
        <v>0</v>
      </c>
      <c r="P801" t="n">
        <v>0</v>
      </c>
      <c r="Q801" t="n">
        <v>0</v>
      </c>
      <c r="R801" s="2" t="inlineStr"/>
    </row>
    <row r="802" ht="15" customHeight="1">
      <c r="A802" t="inlineStr">
        <is>
          <t>A 12535-2025</t>
        </is>
      </c>
      <c r="B802" s="1" t="n">
        <v>45730.69502314815</v>
      </c>
      <c r="C802" s="1" t="n">
        <v>45931</v>
      </c>
      <c r="D802" t="inlineStr">
        <is>
          <t>STOCKHOLMS LÄN</t>
        </is>
      </c>
      <c r="E802" t="inlineStr">
        <is>
          <t>NORRTÄLJE</t>
        </is>
      </c>
      <c r="G802" t="n">
        <v>7.1</v>
      </c>
      <c r="H802" t="n">
        <v>0</v>
      </c>
      <c r="I802" t="n">
        <v>0</v>
      </c>
      <c r="J802" t="n">
        <v>0</v>
      </c>
      <c r="K802" t="n">
        <v>0</v>
      </c>
      <c r="L802" t="n">
        <v>0</v>
      </c>
      <c r="M802" t="n">
        <v>0</v>
      </c>
      <c r="N802" t="n">
        <v>0</v>
      </c>
      <c r="O802" t="n">
        <v>0</v>
      </c>
      <c r="P802" t="n">
        <v>0</v>
      </c>
      <c r="Q802" t="n">
        <v>0</v>
      </c>
      <c r="R802" s="2" t="inlineStr"/>
    </row>
    <row r="803" ht="15" customHeight="1">
      <c r="A803" t="inlineStr">
        <is>
          <t>A 574-2023</t>
        </is>
      </c>
      <c r="B803" s="1" t="n">
        <v>44925</v>
      </c>
      <c r="C803" s="1" t="n">
        <v>45931</v>
      </c>
      <c r="D803" t="inlineStr">
        <is>
          <t>STOCKHOLMS LÄN</t>
        </is>
      </c>
      <c r="E803" t="inlineStr">
        <is>
          <t>NORRTÄLJE</t>
        </is>
      </c>
      <c r="G803" t="n">
        <v>5</v>
      </c>
      <c r="H803" t="n">
        <v>0</v>
      </c>
      <c r="I803" t="n">
        <v>0</v>
      </c>
      <c r="J803" t="n">
        <v>0</v>
      </c>
      <c r="K803" t="n">
        <v>0</v>
      </c>
      <c r="L803" t="n">
        <v>0</v>
      </c>
      <c r="M803" t="n">
        <v>0</v>
      </c>
      <c r="N803" t="n">
        <v>0</v>
      </c>
      <c r="O803" t="n">
        <v>0</v>
      </c>
      <c r="P803" t="n">
        <v>0</v>
      </c>
      <c r="Q803" t="n">
        <v>0</v>
      </c>
      <c r="R803" s="2" t="inlineStr"/>
    </row>
    <row r="804" ht="15" customHeight="1">
      <c r="A804" t="inlineStr">
        <is>
          <t>A 30639-2025</t>
        </is>
      </c>
      <c r="B804" s="1" t="n">
        <v>45831.4844212963</v>
      </c>
      <c r="C804" s="1" t="n">
        <v>45931</v>
      </c>
      <c r="D804" t="inlineStr">
        <is>
          <t>STOCKHOLMS LÄN</t>
        </is>
      </c>
      <c r="E804" t="inlineStr">
        <is>
          <t>NORRTÄLJE</t>
        </is>
      </c>
      <c r="G804" t="n">
        <v>2</v>
      </c>
      <c r="H804" t="n">
        <v>0</v>
      </c>
      <c r="I804" t="n">
        <v>0</v>
      </c>
      <c r="J804" t="n">
        <v>0</v>
      </c>
      <c r="K804" t="n">
        <v>0</v>
      </c>
      <c r="L804" t="n">
        <v>0</v>
      </c>
      <c r="M804" t="n">
        <v>0</v>
      </c>
      <c r="N804" t="n">
        <v>0</v>
      </c>
      <c r="O804" t="n">
        <v>0</v>
      </c>
      <c r="P804" t="n">
        <v>0</v>
      </c>
      <c r="Q804" t="n">
        <v>0</v>
      </c>
      <c r="R804" s="2" t="inlineStr"/>
    </row>
    <row r="805" ht="15" customHeight="1">
      <c r="A805" t="inlineStr">
        <is>
          <t>A 31170-2025</t>
        </is>
      </c>
      <c r="B805" s="1" t="n">
        <v>45832.66385416667</v>
      </c>
      <c r="C805" s="1" t="n">
        <v>45931</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30699-2025</t>
        </is>
      </c>
      <c r="B806" s="1" t="n">
        <v>45831.54618055555</v>
      </c>
      <c r="C806" s="1" t="n">
        <v>45931</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7903-2021</t>
        </is>
      </c>
      <c r="B807" s="1" t="n">
        <v>44243.33587962963</v>
      </c>
      <c r="C807" s="1" t="n">
        <v>45931</v>
      </c>
      <c r="D807" t="inlineStr">
        <is>
          <t>STOCKHOLMS LÄN</t>
        </is>
      </c>
      <c r="E807" t="inlineStr">
        <is>
          <t>NORRTÄLJE</t>
        </is>
      </c>
      <c r="G807" t="n">
        <v>3.5</v>
      </c>
      <c r="H807" t="n">
        <v>0</v>
      </c>
      <c r="I807" t="n">
        <v>0</v>
      </c>
      <c r="J807" t="n">
        <v>0</v>
      </c>
      <c r="K807" t="n">
        <v>0</v>
      </c>
      <c r="L807" t="n">
        <v>0</v>
      </c>
      <c r="M807" t="n">
        <v>0</v>
      </c>
      <c r="N807" t="n">
        <v>0</v>
      </c>
      <c r="O807" t="n">
        <v>0</v>
      </c>
      <c r="P807" t="n">
        <v>0</v>
      </c>
      <c r="Q807" t="n">
        <v>0</v>
      </c>
      <c r="R807" s="2" t="inlineStr"/>
    </row>
    <row r="808" ht="15" customHeight="1">
      <c r="A808" t="inlineStr">
        <is>
          <t>A 58863-2024</t>
        </is>
      </c>
      <c r="B808" s="1" t="n">
        <v>45636.41572916666</v>
      </c>
      <c r="C808" s="1" t="n">
        <v>45931</v>
      </c>
      <c r="D808" t="inlineStr">
        <is>
          <t>STOCKHOLMS LÄN</t>
        </is>
      </c>
      <c r="E808" t="inlineStr">
        <is>
          <t>NORRTÄLJE</t>
        </is>
      </c>
      <c r="G808" t="n">
        <v>0.7</v>
      </c>
      <c r="H808" t="n">
        <v>0</v>
      </c>
      <c r="I808" t="n">
        <v>0</v>
      </c>
      <c r="J808" t="n">
        <v>0</v>
      </c>
      <c r="K808" t="n">
        <v>0</v>
      </c>
      <c r="L808" t="n">
        <v>0</v>
      </c>
      <c r="M808" t="n">
        <v>0</v>
      </c>
      <c r="N808" t="n">
        <v>0</v>
      </c>
      <c r="O808" t="n">
        <v>0</v>
      </c>
      <c r="P808" t="n">
        <v>0</v>
      </c>
      <c r="Q808" t="n">
        <v>0</v>
      </c>
      <c r="R808" s="2" t="inlineStr"/>
    </row>
    <row r="809" ht="15" customHeight="1">
      <c r="A809" t="inlineStr">
        <is>
          <t>A 15447-2023</t>
        </is>
      </c>
      <c r="B809" s="1" t="n">
        <v>45020</v>
      </c>
      <c r="C809" s="1" t="n">
        <v>45931</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34391-2023</t>
        </is>
      </c>
      <c r="B810" s="1" t="n">
        <v>45139.51457175926</v>
      </c>
      <c r="C810" s="1" t="n">
        <v>45931</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50738-2020</t>
        </is>
      </c>
      <c r="B811" s="1" t="n">
        <v>44111.44373842593</v>
      </c>
      <c r="C811" s="1" t="n">
        <v>45931</v>
      </c>
      <c r="D811" t="inlineStr">
        <is>
          <t>STOCKHOLMS LÄN</t>
        </is>
      </c>
      <c r="E811" t="inlineStr">
        <is>
          <t>NORRTÄLJE</t>
        </is>
      </c>
      <c r="G811" t="n">
        <v>0.5</v>
      </c>
      <c r="H811" t="n">
        <v>0</v>
      </c>
      <c r="I811" t="n">
        <v>0</v>
      </c>
      <c r="J811" t="n">
        <v>0</v>
      </c>
      <c r="K811" t="n">
        <v>0</v>
      </c>
      <c r="L811" t="n">
        <v>0</v>
      </c>
      <c r="M811" t="n">
        <v>0</v>
      </c>
      <c r="N811" t="n">
        <v>0</v>
      </c>
      <c r="O811" t="n">
        <v>0</v>
      </c>
      <c r="P811" t="n">
        <v>0</v>
      </c>
      <c r="Q811" t="n">
        <v>0</v>
      </c>
      <c r="R811" s="2" t="inlineStr"/>
    </row>
    <row r="812" ht="15" customHeight="1">
      <c r="A812" t="inlineStr">
        <is>
          <t>A 37010-2022</t>
        </is>
      </c>
      <c r="B812" s="1" t="n">
        <v>44806.41576388889</v>
      </c>
      <c r="C812" s="1" t="n">
        <v>45931</v>
      </c>
      <c r="D812" t="inlineStr">
        <is>
          <t>STOCKHOLMS LÄN</t>
        </is>
      </c>
      <c r="E812" t="inlineStr">
        <is>
          <t>NORRTÄLJE</t>
        </is>
      </c>
      <c r="G812" t="n">
        <v>2.7</v>
      </c>
      <c r="H812" t="n">
        <v>0</v>
      </c>
      <c r="I812" t="n">
        <v>0</v>
      </c>
      <c r="J812" t="n">
        <v>0</v>
      </c>
      <c r="K812" t="n">
        <v>0</v>
      </c>
      <c r="L812" t="n">
        <v>0</v>
      </c>
      <c r="M812" t="n">
        <v>0</v>
      </c>
      <c r="N812" t="n">
        <v>0</v>
      </c>
      <c r="O812" t="n">
        <v>0</v>
      </c>
      <c r="P812" t="n">
        <v>0</v>
      </c>
      <c r="Q812" t="n">
        <v>0</v>
      </c>
      <c r="R812" s="2" t="inlineStr"/>
    </row>
    <row r="813" ht="15" customHeight="1">
      <c r="A813" t="inlineStr">
        <is>
          <t>A 53312-2024</t>
        </is>
      </c>
      <c r="B813" s="1" t="n">
        <v>45614.39627314815</v>
      </c>
      <c r="C813" s="1" t="n">
        <v>45931</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32705-2022</t>
        </is>
      </c>
      <c r="B814" s="1" t="n">
        <v>44783</v>
      </c>
      <c r="C814" s="1" t="n">
        <v>45931</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31874-2025</t>
        </is>
      </c>
      <c r="B815" s="1" t="n">
        <v>45834</v>
      </c>
      <c r="C815" s="1" t="n">
        <v>45931</v>
      </c>
      <c r="D815" t="inlineStr">
        <is>
          <t>STOCKHOLMS LÄN</t>
        </is>
      </c>
      <c r="E815" t="inlineStr">
        <is>
          <t>NORRTÄLJE</t>
        </is>
      </c>
      <c r="G815" t="n">
        <v>1.4</v>
      </c>
      <c r="H815" t="n">
        <v>0</v>
      </c>
      <c r="I815" t="n">
        <v>0</v>
      </c>
      <c r="J815" t="n">
        <v>0</v>
      </c>
      <c r="K815" t="n">
        <v>0</v>
      </c>
      <c r="L815" t="n">
        <v>0</v>
      </c>
      <c r="M815" t="n">
        <v>0</v>
      </c>
      <c r="N815" t="n">
        <v>0</v>
      </c>
      <c r="O815" t="n">
        <v>0</v>
      </c>
      <c r="P815" t="n">
        <v>0</v>
      </c>
      <c r="Q815" t="n">
        <v>0</v>
      </c>
      <c r="R815" s="2" t="inlineStr"/>
    </row>
    <row r="816" ht="15" customHeight="1">
      <c r="A816" t="inlineStr">
        <is>
          <t>A 33149-2022</t>
        </is>
      </c>
      <c r="B816" s="1" t="n">
        <v>44785</v>
      </c>
      <c r="C816" s="1" t="n">
        <v>45931</v>
      </c>
      <c r="D816" t="inlineStr">
        <is>
          <t>STOCKHOLMS LÄN</t>
        </is>
      </c>
      <c r="E816" t="inlineStr">
        <is>
          <t>NORRTÄLJE</t>
        </is>
      </c>
      <c r="F816" t="inlineStr">
        <is>
          <t>Holmen skog AB</t>
        </is>
      </c>
      <c r="G816" t="n">
        <v>4.4</v>
      </c>
      <c r="H816" t="n">
        <v>0</v>
      </c>
      <c r="I816" t="n">
        <v>0</v>
      </c>
      <c r="J816" t="n">
        <v>0</v>
      </c>
      <c r="K816" t="n">
        <v>0</v>
      </c>
      <c r="L816" t="n">
        <v>0</v>
      </c>
      <c r="M816" t="n">
        <v>0</v>
      </c>
      <c r="N816" t="n">
        <v>0</v>
      </c>
      <c r="O816" t="n">
        <v>0</v>
      </c>
      <c r="P816" t="n">
        <v>0</v>
      </c>
      <c r="Q816" t="n">
        <v>0</v>
      </c>
      <c r="R816" s="2" t="inlineStr"/>
    </row>
    <row r="817" ht="15" customHeight="1">
      <c r="A817" t="inlineStr">
        <is>
          <t>A 31868-2025</t>
        </is>
      </c>
      <c r="B817" s="1" t="n">
        <v>45834.6447337963</v>
      </c>
      <c r="C817" s="1" t="n">
        <v>45931</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21158-2022</t>
        </is>
      </c>
      <c r="B818" s="1" t="n">
        <v>44704</v>
      </c>
      <c r="C818" s="1" t="n">
        <v>45931</v>
      </c>
      <c r="D818" t="inlineStr">
        <is>
          <t>STOCKHOLMS LÄN</t>
        </is>
      </c>
      <c r="E818" t="inlineStr">
        <is>
          <t>NORRTÄLJE</t>
        </is>
      </c>
      <c r="G818" t="n">
        <v>17.8</v>
      </c>
      <c r="H818" t="n">
        <v>0</v>
      </c>
      <c r="I818" t="n">
        <v>0</v>
      </c>
      <c r="J818" t="n">
        <v>0</v>
      </c>
      <c r="K818" t="n">
        <v>0</v>
      </c>
      <c r="L818" t="n">
        <v>0</v>
      </c>
      <c r="M818" t="n">
        <v>0</v>
      </c>
      <c r="N818" t="n">
        <v>0</v>
      </c>
      <c r="O818" t="n">
        <v>0</v>
      </c>
      <c r="P818" t="n">
        <v>0</v>
      </c>
      <c r="Q818" t="n">
        <v>0</v>
      </c>
      <c r="R818" s="2" t="inlineStr"/>
    </row>
    <row r="819" ht="15" customHeight="1">
      <c r="A819" t="inlineStr">
        <is>
          <t>A 6413-2025</t>
        </is>
      </c>
      <c r="B819" s="1" t="n">
        <v>45699.46283564815</v>
      </c>
      <c r="C819" s="1" t="n">
        <v>45931</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14559-2024</t>
        </is>
      </c>
      <c r="B820" s="1" t="n">
        <v>45394.72869212963</v>
      </c>
      <c r="C820" s="1" t="n">
        <v>45931</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15915-2023</t>
        </is>
      </c>
      <c r="B821" s="1" t="n">
        <v>45022</v>
      </c>
      <c r="C821" s="1" t="n">
        <v>45931</v>
      </c>
      <c r="D821" t="inlineStr">
        <is>
          <t>STOCKHOLMS LÄN</t>
        </is>
      </c>
      <c r="E821" t="inlineStr">
        <is>
          <t>NORRTÄLJE</t>
        </is>
      </c>
      <c r="G821" t="n">
        <v>2.9</v>
      </c>
      <c r="H821" t="n">
        <v>0</v>
      </c>
      <c r="I821" t="n">
        <v>0</v>
      </c>
      <c r="J821" t="n">
        <v>0</v>
      </c>
      <c r="K821" t="n">
        <v>0</v>
      </c>
      <c r="L821" t="n">
        <v>0</v>
      </c>
      <c r="M821" t="n">
        <v>0</v>
      </c>
      <c r="N821" t="n">
        <v>0</v>
      </c>
      <c r="O821" t="n">
        <v>0</v>
      </c>
      <c r="P821" t="n">
        <v>0</v>
      </c>
      <c r="Q821" t="n">
        <v>0</v>
      </c>
      <c r="R821" s="2" t="inlineStr"/>
    </row>
    <row r="822" ht="15" customHeight="1">
      <c r="A822" t="inlineStr">
        <is>
          <t>A 58993-2022</t>
        </is>
      </c>
      <c r="B822" s="1" t="n">
        <v>44903</v>
      </c>
      <c r="C822" s="1" t="n">
        <v>45931</v>
      </c>
      <c r="D822" t="inlineStr">
        <is>
          <t>STOCKHOLMS LÄN</t>
        </is>
      </c>
      <c r="E822" t="inlineStr">
        <is>
          <t>NORRTÄLJE</t>
        </is>
      </c>
      <c r="G822" t="n">
        <v>2.3</v>
      </c>
      <c r="H822" t="n">
        <v>0</v>
      </c>
      <c r="I822" t="n">
        <v>0</v>
      </c>
      <c r="J822" t="n">
        <v>0</v>
      </c>
      <c r="K822" t="n">
        <v>0</v>
      </c>
      <c r="L822" t="n">
        <v>0</v>
      </c>
      <c r="M822" t="n">
        <v>0</v>
      </c>
      <c r="N822" t="n">
        <v>0</v>
      </c>
      <c r="O822" t="n">
        <v>0</v>
      </c>
      <c r="P822" t="n">
        <v>0</v>
      </c>
      <c r="Q822" t="n">
        <v>0</v>
      </c>
      <c r="R822" s="2" t="inlineStr"/>
    </row>
    <row r="823" ht="15" customHeight="1">
      <c r="A823" t="inlineStr">
        <is>
          <t>A 31880-2025</t>
        </is>
      </c>
      <c r="B823" s="1" t="n">
        <v>45834.65538194445</v>
      </c>
      <c r="C823" s="1" t="n">
        <v>45931</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39905-2023</t>
        </is>
      </c>
      <c r="B824" s="1" t="n">
        <v>45168.44489583333</v>
      </c>
      <c r="C824" s="1" t="n">
        <v>45931</v>
      </c>
      <c r="D824" t="inlineStr">
        <is>
          <t>STOCKHOLMS LÄN</t>
        </is>
      </c>
      <c r="E824" t="inlineStr">
        <is>
          <t>NORRTÄLJE</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32283-2025</t>
        </is>
      </c>
      <c r="B825" s="1" t="n">
        <v>45835.68076388889</v>
      </c>
      <c r="C825" s="1" t="n">
        <v>45931</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33793-2022</t>
        </is>
      </c>
      <c r="B826" s="1" t="n">
        <v>44790</v>
      </c>
      <c r="C826" s="1" t="n">
        <v>45931</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32122-2025</t>
        </is>
      </c>
      <c r="B827" s="1" t="n">
        <v>45835.4928125</v>
      </c>
      <c r="C827" s="1" t="n">
        <v>45931</v>
      </c>
      <c r="D827" t="inlineStr">
        <is>
          <t>STOCKHOLMS LÄN</t>
        </is>
      </c>
      <c r="E827" t="inlineStr">
        <is>
          <t>NORRTÄLJE</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32094-2025</t>
        </is>
      </c>
      <c r="B828" s="1" t="n">
        <v>45835.46034722222</v>
      </c>
      <c r="C828" s="1" t="n">
        <v>45931</v>
      </c>
      <c r="D828" t="inlineStr">
        <is>
          <t>STOCKHOLMS LÄN</t>
        </is>
      </c>
      <c r="E828" t="inlineStr">
        <is>
          <t>NORRTÄLJE</t>
        </is>
      </c>
      <c r="F828" t="inlineStr">
        <is>
          <t>Holmen skog AB</t>
        </is>
      </c>
      <c r="G828" t="n">
        <v>2.9</v>
      </c>
      <c r="H828" t="n">
        <v>0</v>
      </c>
      <c r="I828" t="n">
        <v>0</v>
      </c>
      <c r="J828" t="n">
        <v>0</v>
      </c>
      <c r="K828" t="n">
        <v>0</v>
      </c>
      <c r="L828" t="n">
        <v>0</v>
      </c>
      <c r="M828" t="n">
        <v>0</v>
      </c>
      <c r="N828" t="n">
        <v>0</v>
      </c>
      <c r="O828" t="n">
        <v>0</v>
      </c>
      <c r="P828" t="n">
        <v>0</v>
      </c>
      <c r="Q828" t="n">
        <v>0</v>
      </c>
      <c r="R828" s="2" t="inlineStr"/>
    </row>
    <row r="829" ht="15" customHeight="1">
      <c r="A829" t="inlineStr">
        <is>
          <t>A 11-2024</t>
        </is>
      </c>
      <c r="B829" s="1" t="n">
        <v>45293</v>
      </c>
      <c r="C829" s="1" t="n">
        <v>45931</v>
      </c>
      <c r="D829" t="inlineStr">
        <is>
          <t>STOCKHOLMS LÄN</t>
        </is>
      </c>
      <c r="E829" t="inlineStr">
        <is>
          <t>NORRTÄLJE</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17304-2024</t>
        </is>
      </c>
      <c r="B830" s="1" t="n">
        <v>45414</v>
      </c>
      <c r="C830" s="1" t="n">
        <v>45931</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15256-2023</t>
        </is>
      </c>
      <c r="B831" s="1" t="n">
        <v>45019.3959837963</v>
      </c>
      <c r="C831" s="1" t="n">
        <v>45931</v>
      </c>
      <c r="D831" t="inlineStr">
        <is>
          <t>STOCKHOLMS LÄN</t>
        </is>
      </c>
      <c r="E831" t="inlineStr">
        <is>
          <t>NORRTÄLJE</t>
        </is>
      </c>
      <c r="G831" t="n">
        <v>2.4</v>
      </c>
      <c r="H831" t="n">
        <v>0</v>
      </c>
      <c r="I831" t="n">
        <v>0</v>
      </c>
      <c r="J831" t="n">
        <v>0</v>
      </c>
      <c r="K831" t="n">
        <v>0</v>
      </c>
      <c r="L831" t="n">
        <v>0</v>
      </c>
      <c r="M831" t="n">
        <v>0</v>
      </c>
      <c r="N831" t="n">
        <v>0</v>
      </c>
      <c r="O831" t="n">
        <v>0</v>
      </c>
      <c r="P831" t="n">
        <v>0</v>
      </c>
      <c r="Q831" t="n">
        <v>0</v>
      </c>
      <c r="R831" s="2" t="inlineStr"/>
    </row>
    <row r="832" ht="15" customHeight="1">
      <c r="A832" t="inlineStr">
        <is>
          <t>A 32016-2025</t>
        </is>
      </c>
      <c r="B832" s="1" t="n">
        <v>45835</v>
      </c>
      <c r="C832" s="1" t="n">
        <v>45931</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32396-2025</t>
        </is>
      </c>
      <c r="B833" s="1" t="n">
        <v>45837</v>
      </c>
      <c r="C833" s="1" t="n">
        <v>45931</v>
      </c>
      <c r="D833" t="inlineStr">
        <is>
          <t>STOCKHOLMS LÄN</t>
        </is>
      </c>
      <c r="E833" t="inlineStr">
        <is>
          <t>NORRTÄLJE</t>
        </is>
      </c>
      <c r="G833" t="n">
        <v>2</v>
      </c>
      <c r="H833" t="n">
        <v>0</v>
      </c>
      <c r="I833" t="n">
        <v>0</v>
      </c>
      <c r="J833" t="n">
        <v>0</v>
      </c>
      <c r="K833" t="n">
        <v>0</v>
      </c>
      <c r="L833" t="n">
        <v>0</v>
      </c>
      <c r="M833" t="n">
        <v>0</v>
      </c>
      <c r="N833" t="n">
        <v>0</v>
      </c>
      <c r="O833" t="n">
        <v>0</v>
      </c>
      <c r="P833" t="n">
        <v>0</v>
      </c>
      <c r="Q833" t="n">
        <v>0</v>
      </c>
      <c r="R833" s="2" t="inlineStr"/>
    </row>
    <row r="834" ht="15" customHeight="1">
      <c r="A834" t="inlineStr">
        <is>
          <t>A 32397-2025</t>
        </is>
      </c>
      <c r="B834" s="1" t="n">
        <v>45837.94081018519</v>
      </c>
      <c r="C834" s="1" t="n">
        <v>45931</v>
      </c>
      <c r="D834" t="inlineStr">
        <is>
          <t>STOCKHOLMS LÄN</t>
        </is>
      </c>
      <c r="E834" t="inlineStr">
        <is>
          <t>NORRTÄLJE</t>
        </is>
      </c>
      <c r="G834" t="n">
        <v>5.9</v>
      </c>
      <c r="H834" t="n">
        <v>0</v>
      </c>
      <c r="I834" t="n">
        <v>0</v>
      </c>
      <c r="J834" t="n">
        <v>0</v>
      </c>
      <c r="K834" t="n">
        <v>0</v>
      </c>
      <c r="L834" t="n">
        <v>0</v>
      </c>
      <c r="M834" t="n">
        <v>0</v>
      </c>
      <c r="N834" t="n">
        <v>0</v>
      </c>
      <c r="O834" t="n">
        <v>0</v>
      </c>
      <c r="P834" t="n">
        <v>0</v>
      </c>
      <c r="Q834" t="n">
        <v>0</v>
      </c>
      <c r="R834" s="2" t="inlineStr"/>
    </row>
    <row r="835" ht="15" customHeight="1">
      <c r="A835" t="inlineStr">
        <is>
          <t>A 32480-2025</t>
        </is>
      </c>
      <c r="B835" s="1" t="n">
        <v>45838.43261574074</v>
      </c>
      <c r="C835" s="1" t="n">
        <v>45931</v>
      </c>
      <c r="D835" t="inlineStr">
        <is>
          <t>STOCKHOLMS LÄN</t>
        </is>
      </c>
      <c r="E835" t="inlineStr">
        <is>
          <t>NORRTÄLJE</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7413-2024</t>
        </is>
      </c>
      <c r="B836" s="1" t="n">
        <v>45345.6059837963</v>
      </c>
      <c r="C836" s="1" t="n">
        <v>45931</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58040-2024</t>
        </is>
      </c>
      <c r="B837" s="1" t="n">
        <v>45631.73952546297</v>
      </c>
      <c r="C837" s="1" t="n">
        <v>45931</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58041-2024</t>
        </is>
      </c>
      <c r="B838" s="1" t="n">
        <v>45631.74673611111</v>
      </c>
      <c r="C838" s="1" t="n">
        <v>45931</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32395-2025</t>
        </is>
      </c>
      <c r="B839" s="1" t="n">
        <v>45837.93730324074</v>
      </c>
      <c r="C839" s="1" t="n">
        <v>45931</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16852-2024</t>
        </is>
      </c>
      <c r="B840" s="1" t="n">
        <v>45411.54768518519</v>
      </c>
      <c r="C840" s="1" t="n">
        <v>45931</v>
      </c>
      <c r="D840" t="inlineStr">
        <is>
          <t>STOCKHOLMS LÄN</t>
        </is>
      </c>
      <c r="E840" t="inlineStr">
        <is>
          <t>NORRTÄLJE</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31057-2022</t>
        </is>
      </c>
      <c r="B841" s="1" t="n">
        <v>44769</v>
      </c>
      <c r="C841" s="1" t="n">
        <v>45931</v>
      </c>
      <c r="D841" t="inlineStr">
        <is>
          <t>STOCKHOLMS LÄN</t>
        </is>
      </c>
      <c r="E841" t="inlineStr">
        <is>
          <t>NORRTÄLJE</t>
        </is>
      </c>
      <c r="G841" t="n">
        <v>6.5</v>
      </c>
      <c r="H841" t="n">
        <v>0</v>
      </c>
      <c r="I841" t="n">
        <v>0</v>
      </c>
      <c r="J841" t="n">
        <v>0</v>
      </c>
      <c r="K841" t="n">
        <v>0</v>
      </c>
      <c r="L841" t="n">
        <v>0</v>
      </c>
      <c r="M841" t="n">
        <v>0</v>
      </c>
      <c r="N841" t="n">
        <v>0</v>
      </c>
      <c r="O841" t="n">
        <v>0</v>
      </c>
      <c r="P841" t="n">
        <v>0</v>
      </c>
      <c r="Q841" t="n">
        <v>0</v>
      </c>
      <c r="R841" s="2" t="inlineStr"/>
    </row>
    <row r="842" ht="15" customHeight="1">
      <c r="A842" t="inlineStr">
        <is>
          <t>A 33211-2025</t>
        </is>
      </c>
      <c r="B842" s="1" t="n">
        <v>45840.62755787037</v>
      </c>
      <c r="C842" s="1" t="n">
        <v>45931</v>
      </c>
      <c r="D842" t="inlineStr">
        <is>
          <t>STOCKHOLMS LÄN</t>
        </is>
      </c>
      <c r="E842" t="inlineStr">
        <is>
          <t>NORRTÄLJE</t>
        </is>
      </c>
      <c r="G842" t="n">
        <v>5.1</v>
      </c>
      <c r="H842" t="n">
        <v>0</v>
      </c>
      <c r="I842" t="n">
        <v>0</v>
      </c>
      <c r="J842" t="n">
        <v>0</v>
      </c>
      <c r="K842" t="n">
        <v>0</v>
      </c>
      <c r="L842" t="n">
        <v>0</v>
      </c>
      <c r="M842" t="n">
        <v>0</v>
      </c>
      <c r="N842" t="n">
        <v>0</v>
      </c>
      <c r="O842" t="n">
        <v>0</v>
      </c>
      <c r="P842" t="n">
        <v>0</v>
      </c>
      <c r="Q842" t="n">
        <v>0</v>
      </c>
      <c r="R842" s="2" t="inlineStr"/>
    </row>
    <row r="843" ht="15" customHeight="1">
      <c r="A843" t="inlineStr">
        <is>
          <t>A 4326-2023</t>
        </is>
      </c>
      <c r="B843" s="1" t="n">
        <v>44953.70481481482</v>
      </c>
      <c r="C843" s="1" t="n">
        <v>45931</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32903-2025</t>
        </is>
      </c>
      <c r="B844" s="1" t="n">
        <v>45839.62398148148</v>
      </c>
      <c r="C844" s="1" t="n">
        <v>45931</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33265-2025</t>
        </is>
      </c>
      <c r="B845" s="1" t="n">
        <v>45840.67829861111</v>
      </c>
      <c r="C845" s="1" t="n">
        <v>45931</v>
      </c>
      <c r="D845" t="inlineStr">
        <is>
          <t>STOCKHOLMS LÄN</t>
        </is>
      </c>
      <c r="E845" t="inlineStr">
        <is>
          <t>NORRTÄLJE</t>
        </is>
      </c>
      <c r="G845" t="n">
        <v>5.5</v>
      </c>
      <c r="H845" t="n">
        <v>0</v>
      </c>
      <c r="I845" t="n">
        <v>0</v>
      </c>
      <c r="J845" t="n">
        <v>0</v>
      </c>
      <c r="K845" t="n">
        <v>0</v>
      </c>
      <c r="L845" t="n">
        <v>0</v>
      </c>
      <c r="M845" t="n">
        <v>0</v>
      </c>
      <c r="N845" t="n">
        <v>0</v>
      </c>
      <c r="O845" t="n">
        <v>0</v>
      </c>
      <c r="P845" t="n">
        <v>0</v>
      </c>
      <c r="Q845" t="n">
        <v>0</v>
      </c>
      <c r="R845" s="2" t="inlineStr"/>
    </row>
    <row r="846" ht="15" customHeight="1">
      <c r="A846" t="inlineStr">
        <is>
          <t>A 32872-2025</t>
        </is>
      </c>
      <c r="B846" s="1" t="n">
        <v>45839</v>
      </c>
      <c r="C846" s="1" t="n">
        <v>45931</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3143-2021</t>
        </is>
      </c>
      <c r="B847" s="1" t="n">
        <v>44217.40149305556</v>
      </c>
      <c r="C847" s="1" t="n">
        <v>45931</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33385-2024</t>
        </is>
      </c>
      <c r="B848" s="1" t="n">
        <v>45519</v>
      </c>
      <c r="C848" s="1" t="n">
        <v>45931</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29714-2023</t>
        </is>
      </c>
      <c r="B849" s="1" t="n">
        <v>45107.42538194444</v>
      </c>
      <c r="C849" s="1" t="n">
        <v>45931</v>
      </c>
      <c r="D849" t="inlineStr">
        <is>
          <t>STOCKHOLMS LÄN</t>
        </is>
      </c>
      <c r="E849" t="inlineStr">
        <is>
          <t>NORRTÄLJE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30508-2023</t>
        </is>
      </c>
      <c r="B850" s="1" t="n">
        <v>45111</v>
      </c>
      <c r="C850" s="1" t="n">
        <v>45931</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33702-2025</t>
        </is>
      </c>
      <c r="B851" s="1" t="n">
        <v>45841.74596064815</v>
      </c>
      <c r="C851" s="1" t="n">
        <v>45931</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45931</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33336-2025</t>
        </is>
      </c>
      <c r="B853" s="1" t="n">
        <v>45841.35611111111</v>
      </c>
      <c r="C853" s="1" t="n">
        <v>45931</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15422-2024</t>
        </is>
      </c>
      <c r="B854" s="1" t="n">
        <v>45401.3653125</v>
      </c>
      <c r="C854" s="1" t="n">
        <v>45931</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48716-2023</t>
        </is>
      </c>
      <c r="B855" s="1" t="n">
        <v>45208.69671296296</v>
      </c>
      <c r="C855" s="1" t="n">
        <v>45931</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55369-2023</t>
        </is>
      </c>
      <c r="B856" s="1" t="n">
        <v>45238</v>
      </c>
      <c r="C856" s="1" t="n">
        <v>45931</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12031-2021</t>
        </is>
      </c>
      <c r="B857" s="1" t="n">
        <v>44266</v>
      </c>
      <c r="C857" s="1" t="n">
        <v>45931</v>
      </c>
      <c r="D857" t="inlineStr">
        <is>
          <t>STOCKHOLMS LÄN</t>
        </is>
      </c>
      <c r="E857" t="inlineStr">
        <is>
          <t>NORRTÄLJE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20121-2022</t>
        </is>
      </c>
      <c r="B858" s="1" t="n">
        <v>44698</v>
      </c>
      <c r="C858" s="1" t="n">
        <v>45931</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26407-2024</t>
        </is>
      </c>
      <c r="B859" s="1" t="n">
        <v>45469</v>
      </c>
      <c r="C859" s="1" t="n">
        <v>45931</v>
      </c>
      <c r="D859" t="inlineStr">
        <is>
          <t>STOCKHOLMS LÄN</t>
        </is>
      </c>
      <c r="E859" t="inlineStr">
        <is>
          <t>NORRTÄLJE</t>
        </is>
      </c>
      <c r="G859" t="n">
        <v>3.5</v>
      </c>
      <c r="H859" t="n">
        <v>0</v>
      </c>
      <c r="I859" t="n">
        <v>0</v>
      </c>
      <c r="J859" t="n">
        <v>0</v>
      </c>
      <c r="K859" t="n">
        <v>0</v>
      </c>
      <c r="L859" t="n">
        <v>0</v>
      </c>
      <c r="M859" t="n">
        <v>0</v>
      </c>
      <c r="N859" t="n">
        <v>0</v>
      </c>
      <c r="O859" t="n">
        <v>0</v>
      </c>
      <c r="P859" t="n">
        <v>0</v>
      </c>
      <c r="Q859" t="n">
        <v>0</v>
      </c>
      <c r="R859" s="2" t="inlineStr"/>
    </row>
    <row r="860" ht="15" customHeight="1">
      <c r="A860" t="inlineStr">
        <is>
          <t>A 33552-2025</t>
        </is>
      </c>
      <c r="B860" s="1" t="n">
        <v>45841.5737962963</v>
      </c>
      <c r="C860" s="1" t="n">
        <v>45931</v>
      </c>
      <c r="D860" t="inlineStr">
        <is>
          <t>STOCKHOLMS LÄN</t>
        </is>
      </c>
      <c r="E860" t="inlineStr">
        <is>
          <t>NORRTÄLJE</t>
        </is>
      </c>
      <c r="G860" t="n">
        <v>8.9</v>
      </c>
      <c r="H860" t="n">
        <v>0</v>
      </c>
      <c r="I860" t="n">
        <v>0</v>
      </c>
      <c r="J860" t="n">
        <v>0</v>
      </c>
      <c r="K860" t="n">
        <v>0</v>
      </c>
      <c r="L860" t="n">
        <v>0</v>
      </c>
      <c r="M860" t="n">
        <v>0</v>
      </c>
      <c r="N860" t="n">
        <v>0</v>
      </c>
      <c r="O860" t="n">
        <v>0</v>
      </c>
      <c r="P860" t="n">
        <v>0</v>
      </c>
      <c r="Q860" t="n">
        <v>0</v>
      </c>
      <c r="R860" s="2" t="inlineStr"/>
    </row>
    <row r="861" ht="15" customHeight="1">
      <c r="A861" t="inlineStr">
        <is>
          <t>A 58888-2020</t>
        </is>
      </c>
      <c r="B861" s="1" t="n">
        <v>44146</v>
      </c>
      <c r="C861" s="1" t="n">
        <v>45931</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10098-2022</t>
        </is>
      </c>
      <c r="B862" s="1" t="n">
        <v>44621</v>
      </c>
      <c r="C862" s="1" t="n">
        <v>45931</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33824-2025</t>
        </is>
      </c>
      <c r="B863" s="1" t="n">
        <v>45842.46885416667</v>
      </c>
      <c r="C863" s="1" t="n">
        <v>45931</v>
      </c>
      <c r="D863" t="inlineStr">
        <is>
          <t>STOCKHOLMS LÄN</t>
        </is>
      </c>
      <c r="E863" t="inlineStr">
        <is>
          <t>NORRTÄLJE</t>
        </is>
      </c>
      <c r="G863" t="n">
        <v>1.9</v>
      </c>
      <c r="H863" t="n">
        <v>0</v>
      </c>
      <c r="I863" t="n">
        <v>0</v>
      </c>
      <c r="J863" t="n">
        <v>0</v>
      </c>
      <c r="K863" t="n">
        <v>0</v>
      </c>
      <c r="L863" t="n">
        <v>0</v>
      </c>
      <c r="M863" t="n">
        <v>0</v>
      </c>
      <c r="N863" t="n">
        <v>0</v>
      </c>
      <c r="O863" t="n">
        <v>0</v>
      </c>
      <c r="P863" t="n">
        <v>0</v>
      </c>
      <c r="Q863" t="n">
        <v>0</v>
      </c>
      <c r="R863" s="2" t="inlineStr"/>
    </row>
    <row r="864" ht="15" customHeight="1">
      <c r="A864" t="inlineStr">
        <is>
          <t>A 46073-2024</t>
        </is>
      </c>
      <c r="B864" s="1" t="n">
        <v>45581</v>
      </c>
      <c r="C864" s="1" t="n">
        <v>45931</v>
      </c>
      <c r="D864" t="inlineStr">
        <is>
          <t>STOCKHOLMS LÄN</t>
        </is>
      </c>
      <c r="E864" t="inlineStr">
        <is>
          <t>NORRTÄLJE</t>
        </is>
      </c>
      <c r="G864" t="n">
        <v>2</v>
      </c>
      <c r="H864" t="n">
        <v>0</v>
      </c>
      <c r="I864" t="n">
        <v>0</v>
      </c>
      <c r="J864" t="n">
        <v>0</v>
      </c>
      <c r="K864" t="n">
        <v>0</v>
      </c>
      <c r="L864" t="n">
        <v>0</v>
      </c>
      <c r="M864" t="n">
        <v>0</v>
      </c>
      <c r="N864" t="n">
        <v>0</v>
      </c>
      <c r="O864" t="n">
        <v>0</v>
      </c>
      <c r="P864" t="n">
        <v>0</v>
      </c>
      <c r="Q864" t="n">
        <v>0</v>
      </c>
      <c r="R864" s="2" t="inlineStr"/>
    </row>
    <row r="865" ht="15" customHeight="1">
      <c r="A865" t="inlineStr">
        <is>
          <t>A 49700-2023</t>
        </is>
      </c>
      <c r="B865" s="1" t="n">
        <v>45212</v>
      </c>
      <c r="C865" s="1" t="n">
        <v>45931</v>
      </c>
      <c r="D865" t="inlineStr">
        <is>
          <t>STOCKHOLMS LÄN</t>
        </is>
      </c>
      <c r="E865" t="inlineStr">
        <is>
          <t>NORRTÄLJE</t>
        </is>
      </c>
      <c r="G865" t="n">
        <v>1.4</v>
      </c>
      <c r="H865" t="n">
        <v>0</v>
      </c>
      <c r="I865" t="n">
        <v>0</v>
      </c>
      <c r="J865" t="n">
        <v>0</v>
      </c>
      <c r="K865" t="n">
        <v>0</v>
      </c>
      <c r="L865" t="n">
        <v>0</v>
      </c>
      <c r="M865" t="n">
        <v>0</v>
      </c>
      <c r="N865" t="n">
        <v>0</v>
      </c>
      <c r="O865" t="n">
        <v>0</v>
      </c>
      <c r="P865" t="n">
        <v>0</v>
      </c>
      <c r="Q865" t="n">
        <v>0</v>
      </c>
      <c r="R865" s="2" t="inlineStr"/>
    </row>
    <row r="866" ht="15" customHeight="1">
      <c r="A866" t="inlineStr">
        <is>
          <t>A 59875-2024</t>
        </is>
      </c>
      <c r="B866" s="1" t="n">
        <v>45640.58716435185</v>
      </c>
      <c r="C866" s="1" t="n">
        <v>45931</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36689-2023</t>
        </is>
      </c>
      <c r="B867" s="1" t="n">
        <v>45152</v>
      </c>
      <c r="C867" s="1" t="n">
        <v>45931</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34139-2025</t>
        </is>
      </c>
      <c r="B868" s="1" t="n">
        <v>45845</v>
      </c>
      <c r="C868" s="1" t="n">
        <v>45931</v>
      </c>
      <c r="D868" t="inlineStr">
        <is>
          <t>STOCKHOLMS LÄN</t>
        </is>
      </c>
      <c r="E868" t="inlineStr">
        <is>
          <t>NORRTÄLJE</t>
        </is>
      </c>
      <c r="G868" t="n">
        <v>5.5</v>
      </c>
      <c r="H868" t="n">
        <v>0</v>
      </c>
      <c r="I868" t="n">
        <v>0</v>
      </c>
      <c r="J868" t="n">
        <v>0</v>
      </c>
      <c r="K868" t="n">
        <v>0</v>
      </c>
      <c r="L868" t="n">
        <v>0</v>
      </c>
      <c r="M868" t="n">
        <v>0</v>
      </c>
      <c r="N868" t="n">
        <v>0</v>
      </c>
      <c r="O868" t="n">
        <v>0</v>
      </c>
      <c r="P868" t="n">
        <v>0</v>
      </c>
      <c r="Q868" t="n">
        <v>0</v>
      </c>
      <c r="R868" s="2" t="inlineStr"/>
    </row>
    <row r="869" ht="15" customHeight="1">
      <c r="A869" t="inlineStr">
        <is>
          <t>A 34006-2025</t>
        </is>
      </c>
      <c r="B869" s="1" t="n">
        <v>45844.62609953704</v>
      </c>
      <c r="C869" s="1" t="n">
        <v>45931</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8296-2023</t>
        </is>
      </c>
      <c r="B870" s="1" t="n">
        <v>44974</v>
      </c>
      <c r="C870" s="1" t="n">
        <v>45931</v>
      </c>
      <c r="D870" t="inlineStr">
        <is>
          <t>STOCKHOLMS LÄN</t>
        </is>
      </c>
      <c r="E870" t="inlineStr">
        <is>
          <t>NORRTÄLJE</t>
        </is>
      </c>
      <c r="G870" t="n">
        <v>3.8</v>
      </c>
      <c r="H870" t="n">
        <v>0</v>
      </c>
      <c r="I870" t="n">
        <v>0</v>
      </c>
      <c r="J870" t="n">
        <v>0</v>
      </c>
      <c r="K870" t="n">
        <v>0</v>
      </c>
      <c r="L870" t="n">
        <v>0</v>
      </c>
      <c r="M870" t="n">
        <v>0</v>
      </c>
      <c r="N870" t="n">
        <v>0</v>
      </c>
      <c r="O870" t="n">
        <v>0</v>
      </c>
      <c r="P870" t="n">
        <v>0</v>
      </c>
      <c r="Q870" t="n">
        <v>0</v>
      </c>
      <c r="R870" s="2" t="inlineStr"/>
    </row>
    <row r="871" ht="15" customHeight="1">
      <c r="A871" t="inlineStr">
        <is>
          <t>A 45220-2024</t>
        </is>
      </c>
      <c r="B871" s="1" t="n">
        <v>45575</v>
      </c>
      <c r="C871" s="1" t="n">
        <v>45931</v>
      </c>
      <c r="D871" t="inlineStr">
        <is>
          <t>STOCKHOLMS LÄN</t>
        </is>
      </c>
      <c r="E871" t="inlineStr">
        <is>
          <t>NORRTÄLJE</t>
        </is>
      </c>
      <c r="G871" t="n">
        <v>4.3</v>
      </c>
      <c r="H871" t="n">
        <v>0</v>
      </c>
      <c r="I871" t="n">
        <v>0</v>
      </c>
      <c r="J871" t="n">
        <v>0</v>
      </c>
      <c r="K871" t="n">
        <v>0</v>
      </c>
      <c r="L871" t="n">
        <v>0</v>
      </c>
      <c r="M871" t="n">
        <v>0</v>
      </c>
      <c r="N871" t="n">
        <v>0</v>
      </c>
      <c r="O871" t="n">
        <v>0</v>
      </c>
      <c r="P871" t="n">
        <v>0</v>
      </c>
      <c r="Q871" t="n">
        <v>0</v>
      </c>
      <c r="R871" s="2" t="inlineStr"/>
    </row>
    <row r="872" ht="15" customHeight="1">
      <c r="A872" t="inlineStr">
        <is>
          <t>A 34010-2025</t>
        </is>
      </c>
      <c r="B872" s="1" t="n">
        <v>45844.91234953704</v>
      </c>
      <c r="C872" s="1" t="n">
        <v>45931</v>
      </c>
      <c r="D872" t="inlineStr">
        <is>
          <t>STOCKHOLMS LÄN</t>
        </is>
      </c>
      <c r="E872" t="inlineStr">
        <is>
          <t>NORRTÄLJE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31236-2022</t>
        </is>
      </c>
      <c r="B873" s="1" t="n">
        <v>44771</v>
      </c>
      <c r="C873" s="1" t="n">
        <v>45931</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39610-2025</t>
        </is>
      </c>
      <c r="B874" s="1" t="n">
        <v>45890.56001157407</v>
      </c>
      <c r="C874" s="1" t="n">
        <v>45931</v>
      </c>
      <c r="D874" t="inlineStr">
        <is>
          <t>STOCKHOLMS LÄN</t>
        </is>
      </c>
      <c r="E874" t="inlineStr">
        <is>
          <t>NORRTÄLJE</t>
        </is>
      </c>
      <c r="G874" t="n">
        <v>28.6</v>
      </c>
      <c r="H874" t="n">
        <v>0</v>
      </c>
      <c r="I874" t="n">
        <v>0</v>
      </c>
      <c r="J874" t="n">
        <v>0</v>
      </c>
      <c r="K874" t="n">
        <v>0</v>
      </c>
      <c r="L874" t="n">
        <v>0</v>
      </c>
      <c r="M874" t="n">
        <v>0</v>
      </c>
      <c r="N874" t="n">
        <v>0</v>
      </c>
      <c r="O874" t="n">
        <v>0</v>
      </c>
      <c r="P874" t="n">
        <v>0</v>
      </c>
      <c r="Q874" t="n">
        <v>0</v>
      </c>
      <c r="R874" s="2" t="inlineStr"/>
    </row>
    <row r="875" ht="15" customHeight="1">
      <c r="A875" t="inlineStr">
        <is>
          <t>A 4658-2024</t>
        </is>
      </c>
      <c r="B875" s="1" t="n">
        <v>45328.46336805556</v>
      </c>
      <c r="C875" s="1" t="n">
        <v>45931</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48145-2024</t>
        </is>
      </c>
      <c r="B876" s="1" t="n">
        <v>45589.6756712963</v>
      </c>
      <c r="C876" s="1" t="n">
        <v>45931</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52593-2024</t>
        </is>
      </c>
      <c r="B877" s="1" t="n">
        <v>45609.70778935185</v>
      </c>
      <c r="C877" s="1" t="n">
        <v>45931</v>
      </c>
      <c r="D877" t="inlineStr">
        <is>
          <t>STOCKHOLMS LÄN</t>
        </is>
      </c>
      <c r="E877" t="inlineStr">
        <is>
          <t>NORRTÄLJE</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15733-2025</t>
        </is>
      </c>
      <c r="B878" s="1" t="n">
        <v>45748</v>
      </c>
      <c r="C878" s="1" t="n">
        <v>45931</v>
      </c>
      <c r="D878" t="inlineStr">
        <is>
          <t>STOCKHOLMS LÄN</t>
        </is>
      </c>
      <c r="E878" t="inlineStr">
        <is>
          <t>NORRTÄLJE</t>
        </is>
      </c>
      <c r="G878" t="n">
        <v>13.3</v>
      </c>
      <c r="H878" t="n">
        <v>0</v>
      </c>
      <c r="I878" t="n">
        <v>0</v>
      </c>
      <c r="J878" t="n">
        <v>0</v>
      </c>
      <c r="K878" t="n">
        <v>0</v>
      </c>
      <c r="L878" t="n">
        <v>0</v>
      </c>
      <c r="M878" t="n">
        <v>0</v>
      </c>
      <c r="N878" t="n">
        <v>0</v>
      </c>
      <c r="O878" t="n">
        <v>0</v>
      </c>
      <c r="P878" t="n">
        <v>0</v>
      </c>
      <c r="Q878" t="n">
        <v>0</v>
      </c>
      <c r="R878" s="2" t="inlineStr"/>
    </row>
    <row r="879" ht="15" customHeight="1">
      <c r="A879" t="inlineStr">
        <is>
          <t>A 10642-2025</t>
        </is>
      </c>
      <c r="B879" s="1" t="n">
        <v>45721.65858796296</v>
      </c>
      <c r="C879" s="1" t="n">
        <v>45931</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52617-2024</t>
        </is>
      </c>
      <c r="B880" s="1" t="n">
        <v>45609.85146990741</v>
      </c>
      <c r="C880" s="1" t="n">
        <v>45931</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27824-2022</t>
        </is>
      </c>
      <c r="B881" s="1" t="n">
        <v>44743.59331018518</v>
      </c>
      <c r="C881" s="1" t="n">
        <v>45931</v>
      </c>
      <c r="D881" t="inlineStr">
        <is>
          <t>STOCKHOLMS LÄN</t>
        </is>
      </c>
      <c r="E881" t="inlineStr">
        <is>
          <t>NORRTÄLJE</t>
        </is>
      </c>
      <c r="F881" t="inlineStr">
        <is>
          <t>Kommuner</t>
        </is>
      </c>
      <c r="G881" t="n">
        <v>3.1</v>
      </c>
      <c r="H881" t="n">
        <v>0</v>
      </c>
      <c r="I881" t="n">
        <v>0</v>
      </c>
      <c r="J881" t="n">
        <v>0</v>
      </c>
      <c r="K881" t="n">
        <v>0</v>
      </c>
      <c r="L881" t="n">
        <v>0</v>
      </c>
      <c r="M881" t="n">
        <v>0</v>
      </c>
      <c r="N881" t="n">
        <v>0</v>
      </c>
      <c r="O881" t="n">
        <v>0</v>
      </c>
      <c r="P881" t="n">
        <v>0</v>
      </c>
      <c r="Q881" t="n">
        <v>0</v>
      </c>
      <c r="R881" s="2" t="inlineStr"/>
    </row>
    <row r="882" ht="15" customHeight="1">
      <c r="A882" t="inlineStr">
        <is>
          <t>A 24024-2024</t>
        </is>
      </c>
      <c r="B882" s="1" t="n">
        <v>45456</v>
      </c>
      <c r="C882" s="1" t="n">
        <v>45931</v>
      </c>
      <c r="D882" t="inlineStr">
        <is>
          <t>STOCKHOLMS LÄN</t>
        </is>
      </c>
      <c r="E882" t="inlineStr">
        <is>
          <t>NORRTÄLJE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39692-2025</t>
        </is>
      </c>
      <c r="B883" s="1" t="n">
        <v>45890.68083333333</v>
      </c>
      <c r="C883" s="1" t="n">
        <v>45931</v>
      </c>
      <c r="D883" t="inlineStr">
        <is>
          <t>STOCKHOLMS LÄN</t>
        </is>
      </c>
      <c r="E883" t="inlineStr">
        <is>
          <t>NORRTÄLJE</t>
        </is>
      </c>
      <c r="G883" t="n">
        <v>10.5</v>
      </c>
      <c r="H883" t="n">
        <v>0</v>
      </c>
      <c r="I883" t="n">
        <v>0</v>
      </c>
      <c r="J883" t="n">
        <v>0</v>
      </c>
      <c r="K883" t="n">
        <v>0</v>
      </c>
      <c r="L883" t="n">
        <v>0</v>
      </c>
      <c r="M883" t="n">
        <v>0</v>
      </c>
      <c r="N883" t="n">
        <v>0</v>
      </c>
      <c r="O883" t="n">
        <v>0</v>
      </c>
      <c r="P883" t="n">
        <v>0</v>
      </c>
      <c r="Q883" t="n">
        <v>0</v>
      </c>
      <c r="R883" s="2" t="inlineStr"/>
    </row>
    <row r="884" ht="15" customHeight="1">
      <c r="A884" t="inlineStr">
        <is>
          <t>A 19058-2024</t>
        </is>
      </c>
      <c r="B884" s="1" t="n">
        <v>45427.89121527778</v>
      </c>
      <c r="C884" s="1" t="n">
        <v>45931</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40097-2025</t>
        </is>
      </c>
      <c r="B885" s="1" t="n">
        <v>45894.48322916667</v>
      </c>
      <c r="C885" s="1" t="n">
        <v>45931</v>
      </c>
      <c r="D885" t="inlineStr">
        <is>
          <t>STOCKHOLMS LÄN</t>
        </is>
      </c>
      <c r="E885" t="inlineStr">
        <is>
          <t>NORRTÄLJE</t>
        </is>
      </c>
      <c r="G885" t="n">
        <v>3</v>
      </c>
      <c r="H885" t="n">
        <v>0</v>
      </c>
      <c r="I885" t="n">
        <v>0</v>
      </c>
      <c r="J885" t="n">
        <v>0</v>
      </c>
      <c r="K885" t="n">
        <v>0</v>
      </c>
      <c r="L885" t="n">
        <v>0</v>
      </c>
      <c r="M885" t="n">
        <v>0</v>
      </c>
      <c r="N885" t="n">
        <v>0</v>
      </c>
      <c r="O885" t="n">
        <v>0</v>
      </c>
      <c r="P885" t="n">
        <v>0</v>
      </c>
      <c r="Q885" t="n">
        <v>0</v>
      </c>
      <c r="R885" s="2" t="inlineStr"/>
    </row>
    <row r="886" ht="15" customHeight="1">
      <c r="A886" t="inlineStr">
        <is>
          <t>A 47521-2024</t>
        </is>
      </c>
      <c r="B886" s="1" t="n">
        <v>45587.62565972222</v>
      </c>
      <c r="C886" s="1" t="n">
        <v>45931</v>
      </c>
      <c r="D886" t="inlineStr">
        <is>
          <t>STOCKHOLMS LÄN</t>
        </is>
      </c>
      <c r="E886" t="inlineStr">
        <is>
          <t>NORRTÄLJE</t>
        </is>
      </c>
      <c r="G886" t="n">
        <v>4.7</v>
      </c>
      <c r="H886" t="n">
        <v>0</v>
      </c>
      <c r="I886" t="n">
        <v>0</v>
      </c>
      <c r="J886" t="n">
        <v>0</v>
      </c>
      <c r="K886" t="n">
        <v>0</v>
      </c>
      <c r="L886" t="n">
        <v>0</v>
      </c>
      <c r="M886" t="n">
        <v>0</v>
      </c>
      <c r="N886" t="n">
        <v>0</v>
      </c>
      <c r="O886" t="n">
        <v>0</v>
      </c>
      <c r="P886" t="n">
        <v>0</v>
      </c>
      <c r="Q886" t="n">
        <v>0</v>
      </c>
      <c r="R886" s="2" t="inlineStr"/>
    </row>
    <row r="887" ht="15" customHeight="1">
      <c r="A887" t="inlineStr">
        <is>
          <t>A 60321-2020</t>
        </is>
      </c>
      <c r="B887" s="1" t="n">
        <v>44152</v>
      </c>
      <c r="C887" s="1" t="n">
        <v>45931</v>
      </c>
      <c r="D887" t="inlineStr">
        <is>
          <t>STOCKHOLMS LÄN</t>
        </is>
      </c>
      <c r="E887" t="inlineStr">
        <is>
          <t>NORRTÄLJE</t>
        </is>
      </c>
      <c r="F887" t="inlineStr">
        <is>
          <t>Holmen skog AB</t>
        </is>
      </c>
      <c r="G887" t="n">
        <v>3.4</v>
      </c>
      <c r="H887" t="n">
        <v>0</v>
      </c>
      <c r="I887" t="n">
        <v>0</v>
      </c>
      <c r="J887" t="n">
        <v>0</v>
      </c>
      <c r="K887" t="n">
        <v>0</v>
      </c>
      <c r="L887" t="n">
        <v>0</v>
      </c>
      <c r="M887" t="n">
        <v>0</v>
      </c>
      <c r="N887" t="n">
        <v>0</v>
      </c>
      <c r="O887" t="n">
        <v>0</v>
      </c>
      <c r="P887" t="n">
        <v>0</v>
      </c>
      <c r="Q887" t="n">
        <v>0</v>
      </c>
      <c r="R887" s="2" t="inlineStr"/>
    </row>
    <row r="888" ht="15" customHeight="1">
      <c r="A888" t="inlineStr">
        <is>
          <t>A 40033-2025</t>
        </is>
      </c>
      <c r="B888" s="1" t="n">
        <v>45893</v>
      </c>
      <c r="C888" s="1" t="n">
        <v>45931</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40217-2025</t>
        </is>
      </c>
      <c r="B889" s="1" t="n">
        <v>45894.68864583333</v>
      </c>
      <c r="C889" s="1" t="n">
        <v>45931</v>
      </c>
      <c r="D889" t="inlineStr">
        <is>
          <t>STOCKHOLMS LÄN</t>
        </is>
      </c>
      <c r="E889" t="inlineStr">
        <is>
          <t>NORRTÄLJE</t>
        </is>
      </c>
      <c r="G889" t="n">
        <v>0.8</v>
      </c>
      <c r="H889" t="n">
        <v>0</v>
      </c>
      <c r="I889" t="n">
        <v>0</v>
      </c>
      <c r="J889" t="n">
        <v>0</v>
      </c>
      <c r="K889" t="n">
        <v>0</v>
      </c>
      <c r="L889" t="n">
        <v>0</v>
      </c>
      <c r="M889" t="n">
        <v>0</v>
      </c>
      <c r="N889" t="n">
        <v>0</v>
      </c>
      <c r="O889" t="n">
        <v>0</v>
      </c>
      <c r="P889" t="n">
        <v>0</v>
      </c>
      <c r="Q889" t="n">
        <v>0</v>
      </c>
      <c r="R889" s="2" t="inlineStr"/>
    </row>
    <row r="890" ht="15" customHeight="1">
      <c r="A890" t="inlineStr">
        <is>
          <t>A 35532-2024</t>
        </is>
      </c>
      <c r="B890" s="1" t="n">
        <v>45531</v>
      </c>
      <c r="C890" s="1" t="n">
        <v>45931</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40032-2025</t>
        </is>
      </c>
      <c r="B891" s="1" t="n">
        <v>45893</v>
      </c>
      <c r="C891" s="1" t="n">
        <v>45931</v>
      </c>
      <c r="D891" t="inlineStr">
        <is>
          <t>STOCKHOLMS LÄN</t>
        </is>
      </c>
      <c r="E891" t="inlineStr">
        <is>
          <t>NORRTÄLJE</t>
        </is>
      </c>
      <c r="G891" t="n">
        <v>2.6</v>
      </c>
      <c r="H891" t="n">
        <v>0</v>
      </c>
      <c r="I891" t="n">
        <v>0</v>
      </c>
      <c r="J891" t="n">
        <v>0</v>
      </c>
      <c r="K891" t="n">
        <v>0</v>
      </c>
      <c r="L891" t="n">
        <v>0</v>
      </c>
      <c r="M891" t="n">
        <v>0</v>
      </c>
      <c r="N891" t="n">
        <v>0</v>
      </c>
      <c r="O891" t="n">
        <v>0</v>
      </c>
      <c r="P891" t="n">
        <v>0</v>
      </c>
      <c r="Q891" t="n">
        <v>0</v>
      </c>
      <c r="R891" s="2" t="inlineStr"/>
    </row>
    <row r="892" ht="15" customHeight="1">
      <c r="A892" t="inlineStr">
        <is>
          <t>A 40172-2025</t>
        </is>
      </c>
      <c r="B892" s="1" t="n">
        <v>45894.6353125</v>
      </c>
      <c r="C892" s="1" t="n">
        <v>45931</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21291-2021</t>
        </is>
      </c>
      <c r="B893" s="1" t="n">
        <v>44319</v>
      </c>
      <c r="C893" s="1" t="n">
        <v>45931</v>
      </c>
      <c r="D893" t="inlineStr">
        <is>
          <t>STOCKHOLMS LÄN</t>
        </is>
      </c>
      <c r="E893" t="inlineStr">
        <is>
          <t>NORRTÄLJE</t>
        </is>
      </c>
      <c r="G893" t="n">
        <v>12.7</v>
      </c>
      <c r="H893" t="n">
        <v>0</v>
      </c>
      <c r="I893" t="n">
        <v>0</v>
      </c>
      <c r="J893" t="n">
        <v>0</v>
      </c>
      <c r="K893" t="n">
        <v>0</v>
      </c>
      <c r="L893" t="n">
        <v>0</v>
      </c>
      <c r="M893" t="n">
        <v>0</v>
      </c>
      <c r="N893" t="n">
        <v>0</v>
      </c>
      <c r="O893" t="n">
        <v>0</v>
      </c>
      <c r="P893" t="n">
        <v>0</v>
      </c>
      <c r="Q893" t="n">
        <v>0</v>
      </c>
      <c r="R893" s="2" t="inlineStr"/>
    </row>
    <row r="894" ht="15" customHeight="1">
      <c r="A894" t="inlineStr">
        <is>
          <t>A 19118-2022</t>
        </is>
      </c>
      <c r="B894" s="1" t="n">
        <v>44691.5652662037</v>
      </c>
      <c r="C894" s="1" t="n">
        <v>45931</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35110-2025</t>
        </is>
      </c>
      <c r="B895" s="1" t="n">
        <v>45852.58030092593</v>
      </c>
      <c r="C895" s="1" t="n">
        <v>45931</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22421-2021</t>
        </is>
      </c>
      <c r="B896" s="1" t="n">
        <v>44326</v>
      </c>
      <c r="C896" s="1" t="n">
        <v>45931</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59893-2022</t>
        </is>
      </c>
      <c r="B897" s="1" t="n">
        <v>44908.77368055555</v>
      </c>
      <c r="C897" s="1" t="n">
        <v>45931</v>
      </c>
      <c r="D897" t="inlineStr">
        <is>
          <t>STOCKHOLMS LÄN</t>
        </is>
      </c>
      <c r="E897" t="inlineStr">
        <is>
          <t>NORRTÄLJE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50534-2024</t>
        </is>
      </c>
      <c r="B898" s="1" t="n">
        <v>45601.56726851852</v>
      </c>
      <c r="C898" s="1" t="n">
        <v>45931</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40228-2025</t>
        </is>
      </c>
      <c r="B899" s="1" t="n">
        <v>45894.70854166667</v>
      </c>
      <c r="C899" s="1" t="n">
        <v>45931</v>
      </c>
      <c r="D899" t="inlineStr">
        <is>
          <t>STOCKHOLMS LÄN</t>
        </is>
      </c>
      <c r="E899" t="inlineStr">
        <is>
          <t>NORRTÄLJE</t>
        </is>
      </c>
      <c r="G899" t="n">
        <v>2.1</v>
      </c>
      <c r="H899" t="n">
        <v>0</v>
      </c>
      <c r="I899" t="n">
        <v>0</v>
      </c>
      <c r="J899" t="n">
        <v>0</v>
      </c>
      <c r="K899" t="n">
        <v>0</v>
      </c>
      <c r="L899" t="n">
        <v>0</v>
      </c>
      <c r="M899" t="n">
        <v>0</v>
      </c>
      <c r="N899" t="n">
        <v>0</v>
      </c>
      <c r="O899" t="n">
        <v>0</v>
      </c>
      <c r="P899" t="n">
        <v>0</v>
      </c>
      <c r="Q899" t="n">
        <v>0</v>
      </c>
      <c r="R899" s="2" t="inlineStr"/>
    </row>
    <row r="900" ht="15" customHeight="1">
      <c r="A900" t="inlineStr">
        <is>
          <t>A 40230-2025</t>
        </is>
      </c>
      <c r="B900" s="1" t="n">
        <v>45894.71101851852</v>
      </c>
      <c r="C900" s="1" t="n">
        <v>45931</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42094-2023</t>
        </is>
      </c>
      <c r="B901" s="1" t="n">
        <v>45177.61498842593</v>
      </c>
      <c r="C901" s="1" t="n">
        <v>45931</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40292-2025</t>
        </is>
      </c>
      <c r="B902" s="1" t="n">
        <v>45895.3867824074</v>
      </c>
      <c r="C902" s="1" t="n">
        <v>45931</v>
      </c>
      <c r="D902" t="inlineStr">
        <is>
          <t>STOCKHOLMS LÄN</t>
        </is>
      </c>
      <c r="E902" t="inlineStr">
        <is>
          <t>NORRTÄLJE</t>
        </is>
      </c>
      <c r="G902" t="n">
        <v>3.5</v>
      </c>
      <c r="H902" t="n">
        <v>0</v>
      </c>
      <c r="I902" t="n">
        <v>0</v>
      </c>
      <c r="J902" t="n">
        <v>0</v>
      </c>
      <c r="K902" t="n">
        <v>0</v>
      </c>
      <c r="L902" t="n">
        <v>0</v>
      </c>
      <c r="M902" t="n">
        <v>0</v>
      </c>
      <c r="N902" t="n">
        <v>0</v>
      </c>
      <c r="O902" t="n">
        <v>0</v>
      </c>
      <c r="P902" t="n">
        <v>0</v>
      </c>
      <c r="Q902" t="n">
        <v>0</v>
      </c>
      <c r="R902" s="2" t="inlineStr"/>
    </row>
    <row r="903" ht="15" customHeight="1">
      <c r="A903" t="inlineStr">
        <is>
          <t>A 58530-2024</t>
        </is>
      </c>
      <c r="B903" s="1" t="n">
        <v>45635.44788194444</v>
      </c>
      <c r="C903" s="1" t="n">
        <v>45931</v>
      </c>
      <c r="D903" t="inlineStr">
        <is>
          <t>STOCKHOLMS LÄN</t>
        </is>
      </c>
      <c r="E903" t="inlineStr">
        <is>
          <t>NORRTÄLJE</t>
        </is>
      </c>
      <c r="G903" t="n">
        <v>4.5</v>
      </c>
      <c r="H903" t="n">
        <v>0</v>
      </c>
      <c r="I903" t="n">
        <v>0</v>
      </c>
      <c r="J903" t="n">
        <v>0</v>
      </c>
      <c r="K903" t="n">
        <v>0</v>
      </c>
      <c r="L903" t="n">
        <v>0</v>
      </c>
      <c r="M903" t="n">
        <v>0</v>
      </c>
      <c r="N903" t="n">
        <v>0</v>
      </c>
      <c r="O903" t="n">
        <v>0</v>
      </c>
      <c r="P903" t="n">
        <v>0</v>
      </c>
      <c r="Q903" t="n">
        <v>0</v>
      </c>
      <c r="R903" s="2" t="inlineStr"/>
    </row>
    <row r="904" ht="15" customHeight="1">
      <c r="A904" t="inlineStr">
        <is>
          <t>A 9469-2021</t>
        </is>
      </c>
      <c r="B904" s="1" t="n">
        <v>44251</v>
      </c>
      <c r="C904" s="1" t="n">
        <v>45931</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30620-2022</t>
        </is>
      </c>
      <c r="B905" s="1" t="n">
        <v>44763.40914351852</v>
      </c>
      <c r="C905" s="1" t="n">
        <v>45931</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35256-2025</t>
        </is>
      </c>
      <c r="B906" s="1" t="n">
        <v>45853</v>
      </c>
      <c r="C906" s="1" t="n">
        <v>45931</v>
      </c>
      <c r="D906" t="inlineStr">
        <is>
          <t>STOCKHOLMS LÄN</t>
        </is>
      </c>
      <c r="E906" t="inlineStr">
        <is>
          <t>NORRTÄLJE</t>
        </is>
      </c>
      <c r="G906" t="n">
        <v>6.4</v>
      </c>
      <c r="H906" t="n">
        <v>0</v>
      </c>
      <c r="I906" t="n">
        <v>0</v>
      </c>
      <c r="J906" t="n">
        <v>0</v>
      </c>
      <c r="K906" t="n">
        <v>0</v>
      </c>
      <c r="L906" t="n">
        <v>0</v>
      </c>
      <c r="M906" t="n">
        <v>0</v>
      </c>
      <c r="N906" t="n">
        <v>0</v>
      </c>
      <c r="O906" t="n">
        <v>0</v>
      </c>
      <c r="P906" t="n">
        <v>0</v>
      </c>
      <c r="Q906" t="n">
        <v>0</v>
      </c>
      <c r="R906" s="2" t="inlineStr"/>
    </row>
    <row r="907" ht="15" customHeight="1">
      <c r="A907" t="inlineStr">
        <is>
          <t>A 40294-2025</t>
        </is>
      </c>
      <c r="B907" s="1" t="n">
        <v>45895.38778935185</v>
      </c>
      <c r="C907" s="1" t="n">
        <v>45931</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57602-2024</t>
        </is>
      </c>
      <c r="B908" s="1" t="n">
        <v>45630.52866898148</v>
      </c>
      <c r="C908" s="1" t="n">
        <v>45931</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33226-2024</t>
        </is>
      </c>
      <c r="B909" s="1" t="n">
        <v>45518</v>
      </c>
      <c r="C909" s="1" t="n">
        <v>45931</v>
      </c>
      <c r="D909" t="inlineStr">
        <is>
          <t>STOCKHOLMS LÄN</t>
        </is>
      </c>
      <c r="E909" t="inlineStr">
        <is>
          <t>NORRTÄLJE</t>
        </is>
      </c>
      <c r="G909" t="n">
        <v>13.8</v>
      </c>
      <c r="H909" t="n">
        <v>0</v>
      </c>
      <c r="I909" t="n">
        <v>0</v>
      </c>
      <c r="J909" t="n">
        <v>0</v>
      </c>
      <c r="K909" t="n">
        <v>0</v>
      </c>
      <c r="L909" t="n">
        <v>0</v>
      </c>
      <c r="M909" t="n">
        <v>0</v>
      </c>
      <c r="N909" t="n">
        <v>0</v>
      </c>
      <c r="O909" t="n">
        <v>0</v>
      </c>
      <c r="P909" t="n">
        <v>0</v>
      </c>
      <c r="Q909" t="n">
        <v>0</v>
      </c>
      <c r="R909" s="2" t="inlineStr"/>
    </row>
    <row r="910" ht="15" customHeight="1">
      <c r="A910" t="inlineStr">
        <is>
          <t>A 35254-2025</t>
        </is>
      </c>
      <c r="B910" s="1" t="n">
        <v>45853</v>
      </c>
      <c r="C910" s="1" t="n">
        <v>45931</v>
      </c>
      <c r="D910" t="inlineStr">
        <is>
          <t>STOCKHOLMS LÄN</t>
        </is>
      </c>
      <c r="E910" t="inlineStr">
        <is>
          <t>NORRTÄLJE</t>
        </is>
      </c>
      <c r="G910" t="n">
        <v>6.5</v>
      </c>
      <c r="H910" t="n">
        <v>0</v>
      </c>
      <c r="I910" t="n">
        <v>0</v>
      </c>
      <c r="J910" t="n">
        <v>0</v>
      </c>
      <c r="K910" t="n">
        <v>0</v>
      </c>
      <c r="L910" t="n">
        <v>0</v>
      </c>
      <c r="M910" t="n">
        <v>0</v>
      </c>
      <c r="N910" t="n">
        <v>0</v>
      </c>
      <c r="O910" t="n">
        <v>0</v>
      </c>
      <c r="P910" t="n">
        <v>0</v>
      </c>
      <c r="Q910" t="n">
        <v>0</v>
      </c>
      <c r="R910" s="2" t="inlineStr"/>
    </row>
    <row r="911" ht="15" customHeight="1">
      <c r="A911" t="inlineStr">
        <is>
          <t>A 11854-2025</t>
        </is>
      </c>
      <c r="B911" s="1" t="n">
        <v>45728.38924768518</v>
      </c>
      <c r="C911" s="1" t="n">
        <v>45931</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40529-2025</t>
        </is>
      </c>
      <c r="B912" s="1" t="n">
        <v>45896.38466435186</v>
      </c>
      <c r="C912" s="1" t="n">
        <v>45931</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1283-2025</t>
        </is>
      </c>
      <c r="B913" s="1" t="n">
        <v>45667.49878472222</v>
      </c>
      <c r="C913" s="1" t="n">
        <v>45931</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40829-2025</t>
        </is>
      </c>
      <c r="B914" s="1" t="n">
        <v>45897.50802083333</v>
      </c>
      <c r="C914" s="1" t="n">
        <v>45931</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40831-2025</t>
        </is>
      </c>
      <c r="B915" s="1" t="n">
        <v>45897.51077546296</v>
      </c>
      <c r="C915" s="1" t="n">
        <v>45931</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40837-2025</t>
        </is>
      </c>
      <c r="B916" s="1" t="n">
        <v>45897.51328703704</v>
      </c>
      <c r="C916" s="1" t="n">
        <v>45931</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35479-2025</t>
        </is>
      </c>
      <c r="B917" s="1" t="n">
        <v>45855.69387731481</v>
      </c>
      <c r="C917" s="1" t="n">
        <v>45931</v>
      </c>
      <c r="D917" t="inlineStr">
        <is>
          <t>STOCKHOLMS LÄN</t>
        </is>
      </c>
      <c r="E917" t="inlineStr">
        <is>
          <t>NORRTÄLJE</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16980-2023</t>
        </is>
      </c>
      <c r="B918" s="1" t="n">
        <v>45033</v>
      </c>
      <c r="C918" s="1" t="n">
        <v>45931</v>
      </c>
      <c r="D918" t="inlineStr">
        <is>
          <t>STOCKHOLMS LÄN</t>
        </is>
      </c>
      <c r="E918" t="inlineStr">
        <is>
          <t>NORRTÄLJE</t>
        </is>
      </c>
      <c r="G918" t="n">
        <v>2.3</v>
      </c>
      <c r="H918" t="n">
        <v>0</v>
      </c>
      <c r="I918" t="n">
        <v>0</v>
      </c>
      <c r="J918" t="n">
        <v>0</v>
      </c>
      <c r="K918" t="n">
        <v>0</v>
      </c>
      <c r="L918" t="n">
        <v>0</v>
      </c>
      <c r="M918" t="n">
        <v>0</v>
      </c>
      <c r="N918" t="n">
        <v>0</v>
      </c>
      <c r="O918" t="n">
        <v>0</v>
      </c>
      <c r="P918" t="n">
        <v>0</v>
      </c>
      <c r="Q918" t="n">
        <v>0</v>
      </c>
      <c r="R918" s="2" t="inlineStr"/>
    </row>
    <row r="919" ht="15" customHeight="1">
      <c r="A919" t="inlineStr">
        <is>
          <t>A 41174-2025</t>
        </is>
      </c>
      <c r="B919" s="1" t="n">
        <v>45898.54921296296</v>
      </c>
      <c r="C919" s="1" t="n">
        <v>45931</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41259-2025</t>
        </is>
      </c>
      <c r="B920" s="1" t="n">
        <v>45898.61054398148</v>
      </c>
      <c r="C920" s="1" t="n">
        <v>45931</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41275-2025</t>
        </is>
      </c>
      <c r="B921" s="1" t="n">
        <v>45898.62625</v>
      </c>
      <c r="C921" s="1" t="n">
        <v>45931</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41036-2025</t>
        </is>
      </c>
      <c r="B922" s="1" t="n">
        <v>45898.38552083333</v>
      </c>
      <c r="C922" s="1" t="n">
        <v>45931</v>
      </c>
      <c r="D922" t="inlineStr">
        <is>
          <t>STOCKHOLMS LÄN</t>
        </is>
      </c>
      <c r="E922" t="inlineStr">
        <is>
          <t>NORRTÄLJE</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41053-2025</t>
        </is>
      </c>
      <c r="B923" s="1" t="n">
        <v>45898.40480324074</v>
      </c>
      <c r="C923" s="1" t="n">
        <v>45931</v>
      </c>
      <c r="D923" t="inlineStr">
        <is>
          <t>STOCKHOLMS LÄN</t>
        </is>
      </c>
      <c r="E923" t="inlineStr">
        <is>
          <t>NORRTÄLJE</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41106-2025</t>
        </is>
      </c>
      <c r="B924" s="1" t="n">
        <v>45898.45636574074</v>
      </c>
      <c r="C924" s="1" t="n">
        <v>45931</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35451-2025</t>
        </is>
      </c>
      <c r="B925" s="1" t="n">
        <v>45855.57033564815</v>
      </c>
      <c r="C925" s="1" t="n">
        <v>45931</v>
      </c>
      <c r="D925" t="inlineStr">
        <is>
          <t>STOCKHOLMS LÄN</t>
        </is>
      </c>
      <c r="E925" t="inlineStr">
        <is>
          <t>NORRTÄLJE</t>
        </is>
      </c>
      <c r="F925" t="inlineStr">
        <is>
          <t>Holmen skog AB</t>
        </is>
      </c>
      <c r="G925" t="n">
        <v>7.4</v>
      </c>
      <c r="H925" t="n">
        <v>0</v>
      </c>
      <c r="I925" t="n">
        <v>0</v>
      </c>
      <c r="J925" t="n">
        <v>0</v>
      </c>
      <c r="K925" t="n">
        <v>0</v>
      </c>
      <c r="L925" t="n">
        <v>0</v>
      </c>
      <c r="M925" t="n">
        <v>0</v>
      </c>
      <c r="N925" t="n">
        <v>0</v>
      </c>
      <c r="O925" t="n">
        <v>0</v>
      </c>
      <c r="P925" t="n">
        <v>0</v>
      </c>
      <c r="Q925" t="n">
        <v>0</v>
      </c>
      <c r="R925" s="2" t="inlineStr"/>
    </row>
    <row r="926" ht="15" customHeight="1">
      <c r="A926" t="inlineStr">
        <is>
          <t>A 35478-2025</t>
        </is>
      </c>
      <c r="B926" s="1" t="n">
        <v>45855.68413194444</v>
      </c>
      <c r="C926" s="1" t="n">
        <v>45931</v>
      </c>
      <c r="D926" t="inlineStr">
        <is>
          <t>STOCKHOLMS LÄN</t>
        </is>
      </c>
      <c r="E926" t="inlineStr">
        <is>
          <t>NORRTÄLJE</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31107-2022</t>
        </is>
      </c>
      <c r="B927" s="1" t="n">
        <v>44769.66864583334</v>
      </c>
      <c r="C927" s="1" t="n">
        <v>45931</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60217-2021</t>
        </is>
      </c>
      <c r="B928" s="1" t="n">
        <v>44495.5893287037</v>
      </c>
      <c r="C928" s="1" t="n">
        <v>45931</v>
      </c>
      <c r="D928" t="inlineStr">
        <is>
          <t>STOCKHOLMS LÄN</t>
        </is>
      </c>
      <c r="E928" t="inlineStr">
        <is>
          <t>NORRTÄLJE</t>
        </is>
      </c>
      <c r="G928" t="n">
        <v>4.3</v>
      </c>
      <c r="H928" t="n">
        <v>0</v>
      </c>
      <c r="I928" t="n">
        <v>0</v>
      </c>
      <c r="J928" t="n">
        <v>0</v>
      </c>
      <c r="K928" t="n">
        <v>0</v>
      </c>
      <c r="L928" t="n">
        <v>0</v>
      </c>
      <c r="M928" t="n">
        <v>0</v>
      </c>
      <c r="N928" t="n">
        <v>0</v>
      </c>
      <c r="O928" t="n">
        <v>0</v>
      </c>
      <c r="P928" t="n">
        <v>0</v>
      </c>
      <c r="Q928" t="n">
        <v>0</v>
      </c>
      <c r="R928" s="2" t="inlineStr"/>
    </row>
    <row r="929" ht="15" customHeight="1">
      <c r="A929" t="inlineStr">
        <is>
          <t>A 41301-2025</t>
        </is>
      </c>
      <c r="B929" s="1" t="n">
        <v>45898.68826388889</v>
      </c>
      <c r="C929" s="1" t="n">
        <v>45931</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41110-2025</t>
        </is>
      </c>
      <c r="B930" s="1" t="n">
        <v>45898.45976851852</v>
      </c>
      <c r="C930" s="1" t="n">
        <v>45931</v>
      </c>
      <c r="D930" t="inlineStr">
        <is>
          <t>STOCKHOLMS LÄN</t>
        </is>
      </c>
      <c r="E930" t="inlineStr">
        <is>
          <t>NORRTÄLJE</t>
        </is>
      </c>
      <c r="F930" t="inlineStr">
        <is>
          <t>Holmen skog AB</t>
        </is>
      </c>
      <c r="G930" t="n">
        <v>6.7</v>
      </c>
      <c r="H930" t="n">
        <v>0</v>
      </c>
      <c r="I930" t="n">
        <v>0</v>
      </c>
      <c r="J930" t="n">
        <v>0</v>
      </c>
      <c r="K930" t="n">
        <v>0</v>
      </c>
      <c r="L930" t="n">
        <v>0</v>
      </c>
      <c r="M930" t="n">
        <v>0</v>
      </c>
      <c r="N930" t="n">
        <v>0</v>
      </c>
      <c r="O930" t="n">
        <v>0</v>
      </c>
      <c r="P930" t="n">
        <v>0</v>
      </c>
      <c r="Q930" t="n">
        <v>0</v>
      </c>
      <c r="R930" s="2" t="inlineStr"/>
    </row>
    <row r="931" ht="15" customHeight="1">
      <c r="A931" t="inlineStr">
        <is>
          <t>A 41030-2025</t>
        </is>
      </c>
      <c r="B931" s="1" t="n">
        <v>45898.37636574074</v>
      </c>
      <c r="C931" s="1" t="n">
        <v>45931</v>
      </c>
      <c r="D931" t="inlineStr">
        <is>
          <t>STOCKHOLMS LÄN</t>
        </is>
      </c>
      <c r="E931" t="inlineStr">
        <is>
          <t>NORRTÄLJE</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41158-2025</t>
        </is>
      </c>
      <c r="B932" s="1" t="n">
        <v>45898.5315625</v>
      </c>
      <c r="C932" s="1" t="n">
        <v>45931</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28900-2022</t>
        </is>
      </c>
      <c r="B933" s="1" t="n">
        <v>44749.55258101852</v>
      </c>
      <c r="C933" s="1" t="n">
        <v>45931</v>
      </c>
      <c r="D933" t="inlineStr">
        <is>
          <t>STOCKHOLMS LÄN</t>
        </is>
      </c>
      <c r="E933" t="inlineStr">
        <is>
          <t>NORRTÄLJE</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32514-2022</t>
        </is>
      </c>
      <c r="B934" s="1" t="n">
        <v>44782</v>
      </c>
      <c r="C934" s="1" t="n">
        <v>45931</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41272-2025</t>
        </is>
      </c>
      <c r="B935" s="1" t="n">
        <v>45898.62373842593</v>
      </c>
      <c r="C935" s="1" t="n">
        <v>45931</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18539-2021</t>
        </is>
      </c>
      <c r="B936" s="1" t="n">
        <v>44306</v>
      </c>
      <c r="C936" s="1" t="n">
        <v>45931</v>
      </c>
      <c r="D936" t="inlineStr">
        <is>
          <t>STOCKHOLMS LÄN</t>
        </is>
      </c>
      <c r="E936" t="inlineStr">
        <is>
          <t>NORRTÄLJE</t>
        </is>
      </c>
      <c r="F936" t="inlineStr">
        <is>
          <t>Holmen skog AB</t>
        </is>
      </c>
      <c r="G936" t="n">
        <v>5.5</v>
      </c>
      <c r="H936" t="n">
        <v>0</v>
      </c>
      <c r="I936" t="n">
        <v>0</v>
      </c>
      <c r="J936" t="n">
        <v>0</v>
      </c>
      <c r="K936" t="n">
        <v>0</v>
      </c>
      <c r="L936" t="n">
        <v>0</v>
      </c>
      <c r="M936" t="n">
        <v>0</v>
      </c>
      <c r="N936" t="n">
        <v>0</v>
      </c>
      <c r="O936" t="n">
        <v>0</v>
      </c>
      <c r="P936" t="n">
        <v>0</v>
      </c>
      <c r="Q936" t="n">
        <v>0</v>
      </c>
      <c r="R936" s="2" t="inlineStr"/>
    </row>
    <row r="937" ht="15" customHeight="1">
      <c r="A937" t="inlineStr">
        <is>
          <t>A 43170-2023</t>
        </is>
      </c>
      <c r="B937" s="1" t="n">
        <v>45183</v>
      </c>
      <c r="C937" s="1" t="n">
        <v>45931</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47626-2022</t>
        </is>
      </c>
      <c r="B938" s="1" t="n">
        <v>44854</v>
      </c>
      <c r="C938" s="1" t="n">
        <v>45931</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23125-2022</t>
        </is>
      </c>
      <c r="B939" s="1" t="n">
        <v>44719</v>
      </c>
      <c r="C939" s="1" t="n">
        <v>45931</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32101-2022</t>
        </is>
      </c>
      <c r="B940" s="1" t="n">
        <v>44778.69210648148</v>
      </c>
      <c r="C940" s="1" t="n">
        <v>45931</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28365-2022</t>
        </is>
      </c>
      <c r="B941" s="1" t="n">
        <v>44747</v>
      </c>
      <c r="C941" s="1" t="n">
        <v>45931</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42867-2022</t>
        </is>
      </c>
      <c r="B942" s="1" t="n">
        <v>44832</v>
      </c>
      <c r="C942" s="1" t="n">
        <v>45931</v>
      </c>
      <c r="D942" t="inlineStr">
        <is>
          <t>STOCKHOLMS LÄN</t>
        </is>
      </c>
      <c r="E942" t="inlineStr">
        <is>
          <t>NORRTÄLJE</t>
        </is>
      </c>
      <c r="G942" t="n">
        <v>6.4</v>
      </c>
      <c r="H942" t="n">
        <v>0</v>
      </c>
      <c r="I942" t="n">
        <v>0</v>
      </c>
      <c r="J942" t="n">
        <v>0</v>
      </c>
      <c r="K942" t="n">
        <v>0</v>
      </c>
      <c r="L942" t="n">
        <v>0</v>
      </c>
      <c r="M942" t="n">
        <v>0</v>
      </c>
      <c r="N942" t="n">
        <v>0</v>
      </c>
      <c r="O942" t="n">
        <v>0</v>
      </c>
      <c r="P942" t="n">
        <v>0</v>
      </c>
      <c r="Q942" t="n">
        <v>0</v>
      </c>
      <c r="R942" s="2" t="inlineStr"/>
    </row>
    <row r="943" ht="15" customHeight="1">
      <c r="A943" t="inlineStr">
        <is>
          <t>A 41964-2025</t>
        </is>
      </c>
      <c r="B943" s="1" t="n">
        <v>45903.47270833333</v>
      </c>
      <c r="C943" s="1" t="n">
        <v>45931</v>
      </c>
      <c r="D943" t="inlineStr">
        <is>
          <t>STOCKHOLMS LÄN</t>
        </is>
      </c>
      <c r="E943" t="inlineStr">
        <is>
          <t>NORRTÄLJE</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5645-2023</t>
        </is>
      </c>
      <c r="B944" s="1" t="n">
        <v>44960.60469907407</v>
      </c>
      <c r="C944" s="1" t="n">
        <v>45931</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42038-2025</t>
        </is>
      </c>
      <c r="B945" s="1" t="n">
        <v>45903.61431712963</v>
      </c>
      <c r="C945" s="1" t="n">
        <v>45931</v>
      </c>
      <c r="D945" t="inlineStr">
        <is>
          <t>STOCKHOLMS LÄN</t>
        </is>
      </c>
      <c r="E945" t="inlineStr">
        <is>
          <t>NORRTÄLJE</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41966-2025</t>
        </is>
      </c>
      <c r="B946" s="1" t="n">
        <v>45903.47456018518</v>
      </c>
      <c r="C946" s="1" t="n">
        <v>45931</v>
      </c>
      <c r="D946" t="inlineStr">
        <is>
          <t>STOCKHOLMS LÄN</t>
        </is>
      </c>
      <c r="E946" t="inlineStr">
        <is>
          <t>NORRTÄLJE</t>
        </is>
      </c>
      <c r="F946" t="inlineStr">
        <is>
          <t>Sveaskog</t>
        </is>
      </c>
      <c r="G946" t="n">
        <v>3.7</v>
      </c>
      <c r="H946" t="n">
        <v>0</v>
      </c>
      <c r="I946" t="n">
        <v>0</v>
      </c>
      <c r="J946" t="n">
        <v>0</v>
      </c>
      <c r="K946" t="n">
        <v>0</v>
      </c>
      <c r="L946" t="n">
        <v>0</v>
      </c>
      <c r="M946" t="n">
        <v>0</v>
      </c>
      <c r="N946" t="n">
        <v>0</v>
      </c>
      <c r="O946" t="n">
        <v>0</v>
      </c>
      <c r="P946" t="n">
        <v>0</v>
      </c>
      <c r="Q946" t="n">
        <v>0</v>
      </c>
      <c r="R946" s="2" t="inlineStr"/>
    </row>
    <row r="947" ht="15" customHeight="1">
      <c r="A947" t="inlineStr">
        <is>
          <t>A 9329-2023</t>
        </is>
      </c>
      <c r="B947" s="1" t="n">
        <v>44980</v>
      </c>
      <c r="C947" s="1" t="n">
        <v>45931</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6855-2025</t>
        </is>
      </c>
      <c r="B948" s="1" t="n">
        <v>45700</v>
      </c>
      <c r="C948" s="1" t="n">
        <v>45931</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17775-2022</t>
        </is>
      </c>
      <c r="B949" s="1" t="n">
        <v>44682.78430555556</v>
      </c>
      <c r="C949" s="1" t="n">
        <v>45931</v>
      </c>
      <c r="D949" t="inlineStr">
        <is>
          <t>STOCKHOLMS LÄN</t>
        </is>
      </c>
      <c r="E949" t="inlineStr">
        <is>
          <t>NORRTÄLJE</t>
        </is>
      </c>
      <c r="G949" t="n">
        <v>4.7</v>
      </c>
      <c r="H949" t="n">
        <v>0</v>
      </c>
      <c r="I949" t="n">
        <v>0</v>
      </c>
      <c r="J949" t="n">
        <v>0</v>
      </c>
      <c r="K949" t="n">
        <v>0</v>
      </c>
      <c r="L949" t="n">
        <v>0</v>
      </c>
      <c r="M949" t="n">
        <v>0</v>
      </c>
      <c r="N949" t="n">
        <v>0</v>
      </c>
      <c r="O949" t="n">
        <v>0</v>
      </c>
      <c r="P949" t="n">
        <v>0</v>
      </c>
      <c r="Q949" t="n">
        <v>0</v>
      </c>
      <c r="R949" s="2" t="inlineStr"/>
    </row>
    <row r="950" ht="15" customHeight="1">
      <c r="A950" t="inlineStr">
        <is>
          <t>A 9703-2021</t>
        </is>
      </c>
      <c r="B950" s="1" t="n">
        <v>44252</v>
      </c>
      <c r="C950" s="1" t="n">
        <v>45931</v>
      </c>
      <c r="D950" t="inlineStr">
        <is>
          <t>STOCKHOLMS LÄN</t>
        </is>
      </c>
      <c r="E950" t="inlineStr">
        <is>
          <t>NORRTÄLJE</t>
        </is>
      </c>
      <c r="G950" t="n">
        <v>3.4</v>
      </c>
      <c r="H950" t="n">
        <v>0</v>
      </c>
      <c r="I950" t="n">
        <v>0</v>
      </c>
      <c r="J950" t="n">
        <v>0</v>
      </c>
      <c r="K950" t="n">
        <v>0</v>
      </c>
      <c r="L950" t="n">
        <v>0</v>
      </c>
      <c r="M950" t="n">
        <v>0</v>
      </c>
      <c r="N950" t="n">
        <v>0</v>
      </c>
      <c r="O950" t="n">
        <v>0</v>
      </c>
      <c r="P950" t="n">
        <v>0</v>
      </c>
      <c r="Q950" t="n">
        <v>0</v>
      </c>
      <c r="R950" s="2" t="inlineStr"/>
    </row>
    <row r="951" ht="15" customHeight="1">
      <c r="A951" t="inlineStr">
        <is>
          <t>A 14873-2025</t>
        </is>
      </c>
      <c r="B951" s="1" t="n">
        <v>45743.44953703704</v>
      </c>
      <c r="C951" s="1" t="n">
        <v>45931</v>
      </c>
      <c r="D951" t="inlineStr">
        <is>
          <t>STOCKHOLMS LÄN</t>
        </is>
      </c>
      <c r="E951" t="inlineStr">
        <is>
          <t>NORRTÄLJE</t>
        </is>
      </c>
      <c r="G951" t="n">
        <v>10.2</v>
      </c>
      <c r="H951" t="n">
        <v>0</v>
      </c>
      <c r="I951" t="n">
        <v>0</v>
      </c>
      <c r="J951" t="n">
        <v>0</v>
      </c>
      <c r="K951" t="n">
        <v>0</v>
      </c>
      <c r="L951" t="n">
        <v>0</v>
      </c>
      <c r="M951" t="n">
        <v>0</v>
      </c>
      <c r="N951" t="n">
        <v>0</v>
      </c>
      <c r="O951" t="n">
        <v>0</v>
      </c>
      <c r="P951" t="n">
        <v>0</v>
      </c>
      <c r="Q951" t="n">
        <v>0</v>
      </c>
      <c r="R951" s="2" t="inlineStr"/>
    </row>
    <row r="952" ht="15" customHeight="1">
      <c r="A952" t="inlineStr">
        <is>
          <t>A 8135-2025</t>
        </is>
      </c>
      <c r="B952" s="1" t="n">
        <v>45707.84997685185</v>
      </c>
      <c r="C952" s="1" t="n">
        <v>45931</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47481-2024</t>
        </is>
      </c>
      <c r="B953" s="1" t="n">
        <v>45587</v>
      </c>
      <c r="C953" s="1" t="n">
        <v>45931</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24933-2023</t>
        </is>
      </c>
      <c r="B954" s="1" t="n">
        <v>45085.5309375</v>
      </c>
      <c r="C954" s="1" t="n">
        <v>45931</v>
      </c>
      <c r="D954" t="inlineStr">
        <is>
          <t>STOCKHOLMS LÄN</t>
        </is>
      </c>
      <c r="E954" t="inlineStr">
        <is>
          <t>NORRTÄLJE</t>
        </is>
      </c>
      <c r="F954" t="inlineStr">
        <is>
          <t>Holmen skog AB</t>
        </is>
      </c>
      <c r="G954" t="n">
        <v>1.8</v>
      </c>
      <c r="H954" t="n">
        <v>0</v>
      </c>
      <c r="I954" t="n">
        <v>0</v>
      </c>
      <c r="J954" t="n">
        <v>0</v>
      </c>
      <c r="K954" t="n">
        <v>0</v>
      </c>
      <c r="L954" t="n">
        <v>0</v>
      </c>
      <c r="M954" t="n">
        <v>0</v>
      </c>
      <c r="N954" t="n">
        <v>0</v>
      </c>
      <c r="O954" t="n">
        <v>0</v>
      </c>
      <c r="P954" t="n">
        <v>0</v>
      </c>
      <c r="Q954" t="n">
        <v>0</v>
      </c>
      <c r="R954" s="2" t="inlineStr"/>
    </row>
    <row r="955" ht="15" customHeight="1">
      <c r="A955" t="inlineStr">
        <is>
          <t>A 31936-2022</t>
        </is>
      </c>
      <c r="B955" s="1" t="n">
        <v>44777</v>
      </c>
      <c r="C955" s="1" t="n">
        <v>45931</v>
      </c>
      <c r="D955" t="inlineStr">
        <is>
          <t>STOCKHOLMS LÄN</t>
        </is>
      </c>
      <c r="E955" t="inlineStr">
        <is>
          <t>NORRTÄLJE</t>
        </is>
      </c>
      <c r="G955" t="n">
        <v>5.2</v>
      </c>
      <c r="H955" t="n">
        <v>0</v>
      </c>
      <c r="I955" t="n">
        <v>0</v>
      </c>
      <c r="J955" t="n">
        <v>0</v>
      </c>
      <c r="K955" t="n">
        <v>0</v>
      </c>
      <c r="L955" t="n">
        <v>0</v>
      </c>
      <c r="M955" t="n">
        <v>0</v>
      </c>
      <c r="N955" t="n">
        <v>0</v>
      </c>
      <c r="O955" t="n">
        <v>0</v>
      </c>
      <c r="P955" t="n">
        <v>0</v>
      </c>
      <c r="Q955" t="n">
        <v>0</v>
      </c>
      <c r="R955" s="2" t="inlineStr"/>
    </row>
    <row r="956" ht="15" customHeight="1">
      <c r="A956" t="inlineStr">
        <is>
          <t>A 24887-2023</t>
        </is>
      </c>
      <c r="B956" s="1" t="n">
        <v>45085</v>
      </c>
      <c r="C956" s="1" t="n">
        <v>45931</v>
      </c>
      <c r="D956" t="inlineStr">
        <is>
          <t>STOCKHOLMS LÄN</t>
        </is>
      </c>
      <c r="E956" t="inlineStr">
        <is>
          <t>NORRTÄLJE</t>
        </is>
      </c>
      <c r="G956" t="n">
        <v>13.9</v>
      </c>
      <c r="H956" t="n">
        <v>0</v>
      </c>
      <c r="I956" t="n">
        <v>0</v>
      </c>
      <c r="J956" t="n">
        <v>0</v>
      </c>
      <c r="K956" t="n">
        <v>0</v>
      </c>
      <c r="L956" t="n">
        <v>0</v>
      </c>
      <c r="M956" t="n">
        <v>0</v>
      </c>
      <c r="N956" t="n">
        <v>0</v>
      </c>
      <c r="O956" t="n">
        <v>0</v>
      </c>
      <c r="P956" t="n">
        <v>0</v>
      </c>
      <c r="Q956" t="n">
        <v>0</v>
      </c>
      <c r="R956" s="2" t="inlineStr"/>
    </row>
    <row r="957" ht="15" customHeight="1">
      <c r="A957" t="inlineStr">
        <is>
          <t>A 11062-2024</t>
        </is>
      </c>
      <c r="B957" s="1" t="n">
        <v>45370</v>
      </c>
      <c r="C957" s="1" t="n">
        <v>45931</v>
      </c>
      <c r="D957" t="inlineStr">
        <is>
          <t>STOCKHOLMS LÄN</t>
        </is>
      </c>
      <c r="E957" t="inlineStr">
        <is>
          <t>NORRTÄLJE</t>
        </is>
      </c>
      <c r="G957" t="n">
        <v>3.2</v>
      </c>
      <c r="H957" t="n">
        <v>0</v>
      </c>
      <c r="I957" t="n">
        <v>0</v>
      </c>
      <c r="J957" t="n">
        <v>0</v>
      </c>
      <c r="K957" t="n">
        <v>0</v>
      </c>
      <c r="L957" t="n">
        <v>0</v>
      </c>
      <c r="M957" t="n">
        <v>0</v>
      </c>
      <c r="N957" t="n">
        <v>0</v>
      </c>
      <c r="O957" t="n">
        <v>0</v>
      </c>
      <c r="P957" t="n">
        <v>0</v>
      </c>
      <c r="Q957" t="n">
        <v>0</v>
      </c>
      <c r="R957" s="2" t="inlineStr"/>
    </row>
    <row r="958" ht="15" customHeight="1">
      <c r="A958" t="inlineStr">
        <is>
          <t>A 56428-2023</t>
        </is>
      </c>
      <c r="B958" s="1" t="n">
        <v>45243.45289351852</v>
      </c>
      <c r="C958" s="1" t="n">
        <v>45931</v>
      </c>
      <c r="D958" t="inlineStr">
        <is>
          <t>STOCKHOLMS LÄN</t>
        </is>
      </c>
      <c r="E958" t="inlineStr">
        <is>
          <t>NORRTÄLJE</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20698-2025</t>
        </is>
      </c>
      <c r="B959" s="1" t="n">
        <v>45776.47122685185</v>
      </c>
      <c r="C959" s="1" t="n">
        <v>45931</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36396-2025</t>
        </is>
      </c>
      <c r="B960" s="1" t="n">
        <v>45868.62267361111</v>
      </c>
      <c r="C960" s="1" t="n">
        <v>45931</v>
      </c>
      <c r="D960" t="inlineStr">
        <is>
          <t>STOCKHOLMS LÄN</t>
        </is>
      </c>
      <c r="E960" t="inlineStr">
        <is>
          <t>NORRTÄLJE</t>
        </is>
      </c>
      <c r="G960" t="n">
        <v>4.1</v>
      </c>
      <c r="H960" t="n">
        <v>0</v>
      </c>
      <c r="I960" t="n">
        <v>0</v>
      </c>
      <c r="J960" t="n">
        <v>0</v>
      </c>
      <c r="K960" t="n">
        <v>0</v>
      </c>
      <c r="L960" t="n">
        <v>0</v>
      </c>
      <c r="M960" t="n">
        <v>0</v>
      </c>
      <c r="N960" t="n">
        <v>0</v>
      </c>
      <c r="O960" t="n">
        <v>0</v>
      </c>
      <c r="P960" t="n">
        <v>0</v>
      </c>
      <c r="Q960" t="n">
        <v>0</v>
      </c>
      <c r="R960" s="2" t="inlineStr"/>
    </row>
    <row r="961" ht="15" customHeight="1">
      <c r="A961" t="inlineStr">
        <is>
          <t>A 30338-2022</t>
        </is>
      </c>
      <c r="B961" s="1" t="n">
        <v>44760</v>
      </c>
      <c r="C961" s="1" t="n">
        <v>45931</v>
      </c>
      <c r="D961" t="inlineStr">
        <is>
          <t>STOCKHOLMS LÄN</t>
        </is>
      </c>
      <c r="E961" t="inlineStr">
        <is>
          <t>NORRTÄLJE</t>
        </is>
      </c>
      <c r="G961" t="n">
        <v>0.3</v>
      </c>
      <c r="H961" t="n">
        <v>0</v>
      </c>
      <c r="I961" t="n">
        <v>0</v>
      </c>
      <c r="J961" t="n">
        <v>0</v>
      </c>
      <c r="K961" t="n">
        <v>0</v>
      </c>
      <c r="L961" t="n">
        <v>0</v>
      </c>
      <c r="M961" t="n">
        <v>0</v>
      </c>
      <c r="N961" t="n">
        <v>0</v>
      </c>
      <c r="O961" t="n">
        <v>0</v>
      </c>
      <c r="P961" t="n">
        <v>0</v>
      </c>
      <c r="Q961" t="n">
        <v>0</v>
      </c>
      <c r="R961" s="2" t="inlineStr"/>
    </row>
    <row r="962" ht="15" customHeight="1">
      <c r="A962" t="inlineStr">
        <is>
          <t>A 576-2023</t>
        </is>
      </c>
      <c r="B962" s="1" t="n">
        <v>44925</v>
      </c>
      <c r="C962" s="1" t="n">
        <v>45931</v>
      </c>
      <c r="D962" t="inlineStr">
        <is>
          <t>STOCKHOLMS LÄN</t>
        </is>
      </c>
      <c r="E962" t="inlineStr">
        <is>
          <t>NORRTÄLJE</t>
        </is>
      </c>
      <c r="G962" t="n">
        <v>7.2</v>
      </c>
      <c r="H962" t="n">
        <v>0</v>
      </c>
      <c r="I962" t="n">
        <v>0</v>
      </c>
      <c r="J962" t="n">
        <v>0</v>
      </c>
      <c r="K962" t="n">
        <v>0</v>
      </c>
      <c r="L962" t="n">
        <v>0</v>
      </c>
      <c r="M962" t="n">
        <v>0</v>
      </c>
      <c r="N962" t="n">
        <v>0</v>
      </c>
      <c r="O962" t="n">
        <v>0</v>
      </c>
      <c r="P962" t="n">
        <v>0</v>
      </c>
      <c r="Q962" t="n">
        <v>0</v>
      </c>
      <c r="R962" s="2" t="inlineStr"/>
    </row>
    <row r="963" ht="15" customHeight="1">
      <c r="A963" t="inlineStr">
        <is>
          <t>A 18541-2023</t>
        </is>
      </c>
      <c r="B963" s="1" t="n">
        <v>45042.74291666667</v>
      </c>
      <c r="C963" s="1" t="n">
        <v>45931</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32857-2021</t>
        </is>
      </c>
      <c r="B964" s="1" t="n">
        <v>44375</v>
      </c>
      <c r="C964" s="1" t="n">
        <v>45931</v>
      </c>
      <c r="D964" t="inlineStr">
        <is>
          <t>STOCKHOLMS LÄN</t>
        </is>
      </c>
      <c r="E964" t="inlineStr">
        <is>
          <t>NORRTÄLJE</t>
        </is>
      </c>
      <c r="G964" t="n">
        <v>2.9</v>
      </c>
      <c r="H964" t="n">
        <v>0</v>
      </c>
      <c r="I964" t="n">
        <v>0</v>
      </c>
      <c r="J964" t="n">
        <v>0</v>
      </c>
      <c r="K964" t="n">
        <v>0</v>
      </c>
      <c r="L964" t="n">
        <v>0</v>
      </c>
      <c r="M964" t="n">
        <v>0</v>
      </c>
      <c r="N964" t="n">
        <v>0</v>
      </c>
      <c r="O964" t="n">
        <v>0</v>
      </c>
      <c r="P964" t="n">
        <v>0</v>
      </c>
      <c r="Q964" t="n">
        <v>0</v>
      </c>
      <c r="R964" s="2" t="inlineStr"/>
    </row>
    <row r="965" ht="15" customHeight="1">
      <c r="A965" t="inlineStr">
        <is>
          <t>A 51325-2023</t>
        </is>
      </c>
      <c r="B965" s="1" t="n">
        <v>45219</v>
      </c>
      <c r="C965" s="1" t="n">
        <v>45931</v>
      </c>
      <c r="D965" t="inlineStr">
        <is>
          <t>STOCKHOLMS LÄN</t>
        </is>
      </c>
      <c r="E965" t="inlineStr">
        <is>
          <t>NORRTÄLJE</t>
        </is>
      </c>
      <c r="G965" t="n">
        <v>2.2</v>
      </c>
      <c r="H965" t="n">
        <v>0</v>
      </c>
      <c r="I965" t="n">
        <v>0</v>
      </c>
      <c r="J965" t="n">
        <v>0</v>
      </c>
      <c r="K965" t="n">
        <v>0</v>
      </c>
      <c r="L965" t="n">
        <v>0</v>
      </c>
      <c r="M965" t="n">
        <v>0</v>
      </c>
      <c r="N965" t="n">
        <v>0</v>
      </c>
      <c r="O965" t="n">
        <v>0</v>
      </c>
      <c r="P965" t="n">
        <v>0</v>
      </c>
      <c r="Q965" t="n">
        <v>0</v>
      </c>
      <c r="R965" s="2" t="inlineStr"/>
    </row>
    <row r="966" ht="15" customHeight="1">
      <c r="A966" t="inlineStr">
        <is>
          <t>A 21729-2024</t>
        </is>
      </c>
      <c r="B966" s="1" t="n">
        <v>45442</v>
      </c>
      <c r="C966" s="1" t="n">
        <v>45931</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12908-2025</t>
        </is>
      </c>
      <c r="B967" s="1" t="n">
        <v>45733.82105324074</v>
      </c>
      <c r="C967" s="1" t="n">
        <v>45931</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68361-2021</t>
        </is>
      </c>
      <c r="B968" s="1" t="n">
        <v>44528.91494212963</v>
      </c>
      <c r="C968" s="1" t="n">
        <v>45931</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50469-2022</t>
        </is>
      </c>
      <c r="B969" s="1" t="n">
        <v>44866.49827546296</v>
      </c>
      <c r="C969" s="1" t="n">
        <v>45931</v>
      </c>
      <c r="D969" t="inlineStr">
        <is>
          <t>STOCKHOLMS LÄN</t>
        </is>
      </c>
      <c r="E969" t="inlineStr">
        <is>
          <t>NORRTÄLJE</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43269-2025</t>
        </is>
      </c>
      <c r="B970" s="1" t="n">
        <v>45910.5819212963</v>
      </c>
      <c r="C970" s="1" t="n">
        <v>45931</v>
      </c>
      <c r="D970" t="inlineStr">
        <is>
          <t>STOCKHOLMS LÄN</t>
        </is>
      </c>
      <c r="E970" t="inlineStr">
        <is>
          <t>NORRTÄLJE</t>
        </is>
      </c>
      <c r="G970" t="n">
        <v>3.7</v>
      </c>
      <c r="H970" t="n">
        <v>0</v>
      </c>
      <c r="I970" t="n">
        <v>0</v>
      </c>
      <c r="J970" t="n">
        <v>0</v>
      </c>
      <c r="K970" t="n">
        <v>0</v>
      </c>
      <c r="L970" t="n">
        <v>0</v>
      </c>
      <c r="M970" t="n">
        <v>0</v>
      </c>
      <c r="N970" t="n">
        <v>0</v>
      </c>
      <c r="O970" t="n">
        <v>0</v>
      </c>
      <c r="P970" t="n">
        <v>0</v>
      </c>
      <c r="Q970" t="n">
        <v>0</v>
      </c>
      <c r="R970" s="2" t="inlineStr"/>
    </row>
    <row r="971" ht="15" customHeight="1">
      <c r="A971" t="inlineStr">
        <is>
          <t>A 22232-2024</t>
        </is>
      </c>
      <c r="B971" s="1" t="n">
        <v>45446.4287962963</v>
      </c>
      <c r="C971" s="1" t="n">
        <v>45931</v>
      </c>
      <c r="D971" t="inlineStr">
        <is>
          <t>STOCKHOLMS LÄN</t>
        </is>
      </c>
      <c r="E971" t="inlineStr">
        <is>
          <t>NORRTÄLJE</t>
        </is>
      </c>
      <c r="G971" t="n">
        <v>12.8</v>
      </c>
      <c r="H971" t="n">
        <v>0</v>
      </c>
      <c r="I971" t="n">
        <v>0</v>
      </c>
      <c r="J971" t="n">
        <v>0</v>
      </c>
      <c r="K971" t="n">
        <v>0</v>
      </c>
      <c r="L971" t="n">
        <v>0</v>
      </c>
      <c r="M971" t="n">
        <v>0</v>
      </c>
      <c r="N971" t="n">
        <v>0</v>
      </c>
      <c r="O971" t="n">
        <v>0</v>
      </c>
      <c r="P971" t="n">
        <v>0</v>
      </c>
      <c r="Q971" t="n">
        <v>0</v>
      </c>
      <c r="R971" s="2" t="inlineStr"/>
    </row>
    <row r="972" ht="15" customHeight="1">
      <c r="A972" t="inlineStr">
        <is>
          <t>A 34444-2024</t>
        </is>
      </c>
      <c r="B972" s="1" t="n">
        <v>45525</v>
      </c>
      <c r="C972" s="1" t="n">
        <v>45931</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42856-2025</t>
        </is>
      </c>
      <c r="B973" s="1" t="n">
        <v>45908</v>
      </c>
      <c r="C973" s="1" t="n">
        <v>45931</v>
      </c>
      <c r="D973" t="inlineStr">
        <is>
          <t>STOCKHOLMS LÄN</t>
        </is>
      </c>
      <c r="E973" t="inlineStr">
        <is>
          <t>NORRTÄLJE</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43169-2025</t>
        </is>
      </c>
      <c r="B974" s="1" t="n">
        <v>45910</v>
      </c>
      <c r="C974" s="1" t="n">
        <v>45931</v>
      </c>
      <c r="D974" t="inlineStr">
        <is>
          <t>STOCKHOLMS LÄN</t>
        </is>
      </c>
      <c r="E974" t="inlineStr">
        <is>
          <t>NORRTÄLJE</t>
        </is>
      </c>
      <c r="G974" t="n">
        <v>6.9</v>
      </c>
      <c r="H974" t="n">
        <v>0</v>
      </c>
      <c r="I974" t="n">
        <v>0</v>
      </c>
      <c r="J974" t="n">
        <v>0</v>
      </c>
      <c r="K974" t="n">
        <v>0</v>
      </c>
      <c r="L974" t="n">
        <v>0</v>
      </c>
      <c r="M974" t="n">
        <v>0</v>
      </c>
      <c r="N974" t="n">
        <v>0</v>
      </c>
      <c r="O974" t="n">
        <v>0</v>
      </c>
      <c r="P974" t="n">
        <v>0</v>
      </c>
      <c r="Q974" t="n">
        <v>0</v>
      </c>
      <c r="R974" s="2" t="inlineStr"/>
    </row>
    <row r="975" ht="15" customHeight="1">
      <c r="A975" t="inlineStr">
        <is>
          <t>A 21894-2023</t>
        </is>
      </c>
      <c r="B975" s="1" t="n">
        <v>45068.51783564815</v>
      </c>
      <c r="C975" s="1" t="n">
        <v>45931</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41976-2024</t>
        </is>
      </c>
      <c r="B976" s="1" t="n">
        <v>45561.62141203704</v>
      </c>
      <c r="C976" s="1" t="n">
        <v>45931</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62206-2022</t>
        </is>
      </c>
      <c r="B977" s="1" t="n">
        <v>44922</v>
      </c>
      <c r="C977" s="1" t="n">
        <v>45931</v>
      </c>
      <c r="D977" t="inlineStr">
        <is>
          <t>STOCKHOLMS LÄN</t>
        </is>
      </c>
      <c r="E977" t="inlineStr">
        <is>
          <t>NORRTÄLJE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30886-2022</t>
        </is>
      </c>
      <c r="B978" s="1" t="n">
        <v>44767.60601851852</v>
      </c>
      <c r="C978" s="1" t="n">
        <v>45931</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58989-2021</t>
        </is>
      </c>
      <c r="B979" s="1" t="n">
        <v>44490.02482638889</v>
      </c>
      <c r="C979" s="1" t="n">
        <v>45931</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58990-2021</t>
        </is>
      </c>
      <c r="B980" s="1" t="n">
        <v>44490.03621527777</v>
      </c>
      <c r="C980" s="1" t="n">
        <v>45931</v>
      </c>
      <c r="D980" t="inlineStr">
        <is>
          <t>STOCKHOLMS LÄN</t>
        </is>
      </c>
      <c r="E980" t="inlineStr">
        <is>
          <t>NORRTÄLJE</t>
        </is>
      </c>
      <c r="G980" t="n">
        <v>4.2</v>
      </c>
      <c r="H980" t="n">
        <v>0</v>
      </c>
      <c r="I980" t="n">
        <v>0</v>
      </c>
      <c r="J980" t="n">
        <v>0</v>
      </c>
      <c r="K980" t="n">
        <v>0</v>
      </c>
      <c r="L980" t="n">
        <v>0</v>
      </c>
      <c r="M980" t="n">
        <v>0</v>
      </c>
      <c r="N980" t="n">
        <v>0</v>
      </c>
      <c r="O980" t="n">
        <v>0</v>
      </c>
      <c r="P980" t="n">
        <v>0</v>
      </c>
      <c r="Q980" t="n">
        <v>0</v>
      </c>
      <c r="R980" s="2" t="inlineStr"/>
    </row>
    <row r="981" ht="15" customHeight="1">
      <c r="A981" t="inlineStr">
        <is>
          <t>A 11940-2023</t>
        </is>
      </c>
      <c r="B981" s="1" t="n">
        <v>44995</v>
      </c>
      <c r="C981" s="1" t="n">
        <v>45931</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29266-2022</t>
        </is>
      </c>
      <c r="B982" s="1" t="n">
        <v>44750.66068287037</v>
      </c>
      <c r="C982" s="1" t="n">
        <v>45931</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29278-2022</t>
        </is>
      </c>
      <c r="B983" s="1" t="n">
        <v>44750</v>
      </c>
      <c r="C983" s="1" t="n">
        <v>45931</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21732-2023</t>
        </is>
      </c>
      <c r="B984" s="1" t="n">
        <v>45063</v>
      </c>
      <c r="C984" s="1" t="n">
        <v>45931</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6401-2024</t>
        </is>
      </c>
      <c r="B985" s="1" t="n">
        <v>45338</v>
      </c>
      <c r="C985" s="1" t="n">
        <v>45931</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24501-2023</t>
        </is>
      </c>
      <c r="B986" s="1" t="n">
        <v>45082</v>
      </c>
      <c r="C986" s="1" t="n">
        <v>45931</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24520-2023</t>
        </is>
      </c>
      <c r="B987" s="1" t="n">
        <v>45082.68922453704</v>
      </c>
      <c r="C987" s="1" t="n">
        <v>45931</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31281-2022</t>
        </is>
      </c>
      <c r="B988" s="1" t="n">
        <v>44771</v>
      </c>
      <c r="C988" s="1" t="n">
        <v>45931</v>
      </c>
      <c r="D988" t="inlineStr">
        <is>
          <t>STOCKHOLMS LÄN</t>
        </is>
      </c>
      <c r="E988" t="inlineStr">
        <is>
          <t>NORRTÄLJE</t>
        </is>
      </c>
      <c r="F988" t="inlineStr">
        <is>
          <t>Holmen skog AB</t>
        </is>
      </c>
      <c r="G988" t="n">
        <v>5.2</v>
      </c>
      <c r="H988" t="n">
        <v>0</v>
      </c>
      <c r="I988" t="n">
        <v>0</v>
      </c>
      <c r="J988" t="n">
        <v>0</v>
      </c>
      <c r="K988" t="n">
        <v>0</v>
      </c>
      <c r="L988" t="n">
        <v>0</v>
      </c>
      <c r="M988" t="n">
        <v>0</v>
      </c>
      <c r="N988" t="n">
        <v>0</v>
      </c>
      <c r="O988" t="n">
        <v>0</v>
      </c>
      <c r="P988" t="n">
        <v>0</v>
      </c>
      <c r="Q988" t="n">
        <v>0</v>
      </c>
      <c r="R988" s="2" t="inlineStr"/>
    </row>
    <row r="989" ht="15" customHeight="1">
      <c r="A989" t="inlineStr">
        <is>
          <t>A 43916-2025</t>
        </is>
      </c>
      <c r="B989" s="1" t="n">
        <v>45914.78884259259</v>
      </c>
      <c r="C989" s="1" t="n">
        <v>45931</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22359-2025</t>
        </is>
      </c>
      <c r="B990" s="1" t="n">
        <v>45786</v>
      </c>
      <c r="C990" s="1" t="n">
        <v>45931</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44349-2025</t>
        </is>
      </c>
      <c r="B991" s="1" t="n">
        <v>45916.43929398148</v>
      </c>
      <c r="C991" s="1" t="n">
        <v>45931</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7806-2025</t>
        </is>
      </c>
      <c r="B992" s="1" t="n">
        <v>45706.61178240741</v>
      </c>
      <c r="C992" s="1" t="n">
        <v>45931</v>
      </c>
      <c r="D992" t="inlineStr">
        <is>
          <t>STOCKHOLMS LÄN</t>
        </is>
      </c>
      <c r="E992" t="inlineStr">
        <is>
          <t>NORRTÄLJE</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44333-2025</t>
        </is>
      </c>
      <c r="B993" s="1" t="n">
        <v>45916.42293981482</v>
      </c>
      <c r="C993" s="1" t="n">
        <v>45931</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37444-2021</t>
        </is>
      </c>
      <c r="B994" s="1" t="n">
        <v>44398</v>
      </c>
      <c r="C994" s="1" t="n">
        <v>45931</v>
      </c>
      <c r="D994" t="inlineStr">
        <is>
          <t>STOCKHOLMS LÄN</t>
        </is>
      </c>
      <c r="E994" t="inlineStr">
        <is>
          <t>NORRTÄLJE</t>
        </is>
      </c>
      <c r="F994" t="inlineStr">
        <is>
          <t>Holmen skog AB</t>
        </is>
      </c>
      <c r="G994" t="n">
        <v>3.2</v>
      </c>
      <c r="H994" t="n">
        <v>0</v>
      </c>
      <c r="I994" t="n">
        <v>0</v>
      </c>
      <c r="J994" t="n">
        <v>0</v>
      </c>
      <c r="K994" t="n">
        <v>0</v>
      </c>
      <c r="L994" t="n">
        <v>0</v>
      </c>
      <c r="M994" t="n">
        <v>0</v>
      </c>
      <c r="N994" t="n">
        <v>0</v>
      </c>
      <c r="O994" t="n">
        <v>0</v>
      </c>
      <c r="P994" t="n">
        <v>0</v>
      </c>
      <c r="Q994" t="n">
        <v>0</v>
      </c>
      <c r="R994" s="2" t="inlineStr"/>
    </row>
    <row r="995" ht="15" customHeight="1">
      <c r="A995" t="inlineStr">
        <is>
          <t>A 44343-2025</t>
        </is>
      </c>
      <c r="B995" s="1" t="n">
        <v>45916.43378472222</v>
      </c>
      <c r="C995" s="1" t="n">
        <v>45931</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44354-2025</t>
        </is>
      </c>
      <c r="B996" s="1" t="n">
        <v>45916.44655092592</v>
      </c>
      <c r="C996" s="1" t="n">
        <v>45931</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45173-2023</t>
        </is>
      </c>
      <c r="B997" s="1" t="n">
        <v>45191</v>
      </c>
      <c r="C997" s="1" t="n">
        <v>45931</v>
      </c>
      <c r="D997" t="inlineStr">
        <is>
          <t>STOCKHOLMS LÄN</t>
        </is>
      </c>
      <c r="E997" t="inlineStr">
        <is>
          <t>NORRTÄLJE</t>
        </is>
      </c>
      <c r="F997" t="inlineStr">
        <is>
          <t>Sveaskog</t>
        </is>
      </c>
      <c r="G997" t="n">
        <v>3.6</v>
      </c>
      <c r="H997" t="n">
        <v>0</v>
      </c>
      <c r="I997" t="n">
        <v>0</v>
      </c>
      <c r="J997" t="n">
        <v>0</v>
      </c>
      <c r="K997" t="n">
        <v>0</v>
      </c>
      <c r="L997" t="n">
        <v>0</v>
      </c>
      <c r="M997" t="n">
        <v>0</v>
      </c>
      <c r="N997" t="n">
        <v>0</v>
      </c>
      <c r="O997" t="n">
        <v>0</v>
      </c>
      <c r="P997" t="n">
        <v>0</v>
      </c>
      <c r="Q997" t="n">
        <v>0</v>
      </c>
      <c r="R997" s="2" t="inlineStr"/>
    </row>
    <row r="998" ht="15" customHeight="1">
      <c r="A998" t="inlineStr">
        <is>
          <t>A 38612-2022</t>
        </is>
      </c>
      <c r="B998" s="1" t="n">
        <v>44813</v>
      </c>
      <c r="C998" s="1" t="n">
        <v>45931</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33040-2021</t>
        </is>
      </c>
      <c r="B999" s="1" t="n">
        <v>44376.50728009259</v>
      </c>
      <c r="C999" s="1" t="n">
        <v>45931</v>
      </c>
      <c r="D999" t="inlineStr">
        <is>
          <t>STOCKHOLMS LÄN</t>
        </is>
      </c>
      <c r="E999" t="inlineStr">
        <is>
          <t>NORRTÄLJE</t>
        </is>
      </c>
      <c r="G999" t="n">
        <v>2.7</v>
      </c>
      <c r="H999" t="n">
        <v>0</v>
      </c>
      <c r="I999" t="n">
        <v>0</v>
      </c>
      <c r="J999" t="n">
        <v>0</v>
      </c>
      <c r="K999" t="n">
        <v>0</v>
      </c>
      <c r="L999" t="n">
        <v>0</v>
      </c>
      <c r="M999" t="n">
        <v>0</v>
      </c>
      <c r="N999" t="n">
        <v>0</v>
      </c>
      <c r="O999" t="n">
        <v>0</v>
      </c>
      <c r="P999" t="n">
        <v>0</v>
      </c>
      <c r="Q999" t="n">
        <v>0</v>
      </c>
      <c r="R999" s="2" t="inlineStr"/>
    </row>
    <row r="1000" ht="15" customHeight="1">
      <c r="A1000" t="inlineStr">
        <is>
          <t>A 26117-2024</t>
        </is>
      </c>
      <c r="B1000" s="1" t="n">
        <v>45468.45877314815</v>
      </c>
      <c r="C1000" s="1" t="n">
        <v>45931</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64137-2021</t>
        </is>
      </c>
      <c r="B1001" s="1" t="n">
        <v>44510.51422453704</v>
      </c>
      <c r="C1001" s="1" t="n">
        <v>45931</v>
      </c>
      <c r="D1001" t="inlineStr">
        <is>
          <t>STOCKHOLMS LÄN</t>
        </is>
      </c>
      <c r="E1001" t="inlineStr">
        <is>
          <t>NORRTÄLJE</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61113-2023</t>
        </is>
      </c>
      <c r="B1002" s="1" t="n">
        <v>45261</v>
      </c>
      <c r="C1002" s="1" t="n">
        <v>45931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44311-2025</t>
        </is>
      </c>
      <c r="B1003" s="1" t="n">
        <v>45916.38394675926</v>
      </c>
      <c r="C1003" s="1" t="n">
        <v>45931</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38720-2022</t>
        </is>
      </c>
      <c r="B1004" s="1" t="n">
        <v>44815.74539351852</v>
      </c>
      <c r="C1004" s="1" t="n">
        <v>45931</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34432-2021</t>
        </is>
      </c>
      <c r="B1005" s="1" t="n">
        <v>44380.77346064815</v>
      </c>
      <c r="C1005" s="1" t="n">
        <v>45931</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19911-2025</t>
        </is>
      </c>
      <c r="B1006" s="1" t="n">
        <v>45771</v>
      </c>
      <c r="C1006" s="1" t="n">
        <v>45931</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60822-2023</t>
        </is>
      </c>
      <c r="B1007" s="1" t="n">
        <v>45259</v>
      </c>
      <c r="C1007" s="1" t="n">
        <v>45931</v>
      </c>
      <c r="D1007" t="inlineStr">
        <is>
          <t>STOCKHOLMS LÄN</t>
        </is>
      </c>
      <c r="E1007" t="inlineStr">
        <is>
          <t>NORRTÄLJE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59310-2023</t>
        </is>
      </c>
      <c r="B1008" s="1" t="n">
        <v>45253.61146990741</v>
      </c>
      <c r="C1008" s="1" t="n">
        <v>45931</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20343-2024</t>
        </is>
      </c>
      <c r="B1009" s="1" t="n">
        <v>45435.43466435185</v>
      </c>
      <c r="C1009" s="1" t="n">
        <v>45931</v>
      </c>
      <c r="D1009" t="inlineStr">
        <is>
          <t>STOCKHOLMS LÄN</t>
        </is>
      </c>
      <c r="E1009" t="inlineStr">
        <is>
          <t>NORRTÄLJE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20345-2024</t>
        </is>
      </c>
      <c r="B1010" s="1" t="n">
        <v>45435.43820601852</v>
      </c>
      <c r="C1010" s="1" t="n">
        <v>45931</v>
      </c>
      <c r="D1010" t="inlineStr">
        <is>
          <t>STOCKHOLMS LÄN</t>
        </is>
      </c>
      <c r="E1010" t="inlineStr">
        <is>
          <t>NORRTÄLJE</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55010-2024</t>
        </is>
      </c>
      <c r="B1011" s="1" t="n">
        <v>45621.34425925926</v>
      </c>
      <c r="C1011" s="1" t="n">
        <v>45931</v>
      </c>
      <c r="D1011" t="inlineStr">
        <is>
          <t>STOCKHOLMS LÄN</t>
        </is>
      </c>
      <c r="E1011" t="inlineStr">
        <is>
          <t>NORRTÄLJE</t>
        </is>
      </c>
      <c r="F1011" t="inlineStr">
        <is>
          <t>Sveaskog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55018-2024</t>
        </is>
      </c>
      <c r="B1012" s="1" t="n">
        <v>45621.35712962963</v>
      </c>
      <c r="C1012" s="1" t="n">
        <v>45931</v>
      </c>
      <c r="D1012" t="inlineStr">
        <is>
          <t>STOCKHOLMS LÄN</t>
        </is>
      </c>
      <c r="E1012" t="inlineStr">
        <is>
          <t>NORRTÄLJE</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44306-2025</t>
        </is>
      </c>
      <c r="B1013" s="1" t="n">
        <v>45916.37736111111</v>
      </c>
      <c r="C1013" s="1" t="n">
        <v>45931</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50113-2024</t>
        </is>
      </c>
      <c r="B1014" s="1" t="n">
        <v>45600.411875</v>
      </c>
      <c r="C1014" s="1" t="n">
        <v>45931</v>
      </c>
      <c r="D1014" t="inlineStr">
        <is>
          <t>STOCKHOLMS LÄN</t>
        </is>
      </c>
      <c r="E1014" t="inlineStr">
        <is>
          <t>NORRTÄLJE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20336-2024</t>
        </is>
      </c>
      <c r="B1015" s="1" t="n">
        <v>45435.43123842592</v>
      </c>
      <c r="C1015" s="1" t="n">
        <v>45931</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64899-2023</t>
        </is>
      </c>
      <c r="B1016" s="1" t="n">
        <v>45282</v>
      </c>
      <c r="C1016" s="1" t="n">
        <v>45931</v>
      </c>
      <c r="D1016" t="inlineStr">
        <is>
          <t>STOCKHOLMS LÄN</t>
        </is>
      </c>
      <c r="E1016" t="inlineStr">
        <is>
          <t>NORRTÄLJE</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1847-2023</t>
        </is>
      </c>
      <c r="B1017" s="1" t="n">
        <v>44938</v>
      </c>
      <c r="C1017" s="1" t="n">
        <v>45931</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11122-2021</t>
        </is>
      </c>
      <c r="B1018" s="1" t="n">
        <v>44260</v>
      </c>
      <c r="C1018" s="1" t="n">
        <v>45931</v>
      </c>
      <c r="D1018" t="inlineStr">
        <is>
          <t>STOCKHOLMS LÄN</t>
        </is>
      </c>
      <c r="E1018" t="inlineStr">
        <is>
          <t>NORRTÄLJE</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44937-2025</t>
        </is>
      </c>
      <c r="B1019" s="1" t="n">
        <v>45918.58224537037</v>
      </c>
      <c r="C1019" s="1" t="n">
        <v>45931</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29362-2022</t>
        </is>
      </c>
      <c r="B1020" s="1" t="n">
        <v>44753</v>
      </c>
      <c r="C1020" s="1" t="n">
        <v>45931</v>
      </c>
      <c r="D1020" t="inlineStr">
        <is>
          <t>STOCKHOLMS LÄN</t>
        </is>
      </c>
      <c r="E1020" t="inlineStr">
        <is>
          <t>NORRTÄLJE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20291-2022</t>
        </is>
      </c>
      <c r="B1021" s="1" t="n">
        <v>44698</v>
      </c>
      <c r="C1021" s="1" t="n">
        <v>45931</v>
      </c>
      <c r="D1021" t="inlineStr">
        <is>
          <t>STOCKHOLMS LÄN</t>
        </is>
      </c>
      <c r="E1021" t="inlineStr">
        <is>
          <t>NORRTÄLJE</t>
        </is>
      </c>
      <c r="F1021" t="inlineStr">
        <is>
          <t>Naturvårdsverket</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12302-2025</t>
        </is>
      </c>
      <c r="B1022" s="1" t="n">
        <v>45729.72851851852</v>
      </c>
      <c r="C1022" s="1" t="n">
        <v>45931</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37261-2025</t>
        </is>
      </c>
      <c r="B1023" s="1" t="n">
        <v>45876.45253472222</v>
      </c>
      <c r="C1023" s="1" t="n">
        <v>45931</v>
      </c>
      <c r="D1023" t="inlineStr">
        <is>
          <t>STOCKHOLMS LÄN</t>
        </is>
      </c>
      <c r="E1023" t="inlineStr">
        <is>
          <t>NORRTÄLJE</t>
        </is>
      </c>
      <c r="F1023" t="inlineStr">
        <is>
          <t>Kommuner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31926-2022</t>
        </is>
      </c>
      <c r="B1024" s="1" t="n">
        <v>44777</v>
      </c>
      <c r="C1024" s="1" t="n">
        <v>45931</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1425-2025</t>
        </is>
      </c>
      <c r="B1025" s="1" t="n">
        <v>45668.67446759259</v>
      </c>
      <c r="C1025" s="1" t="n">
        <v>45931</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1453-2025</t>
        </is>
      </c>
      <c r="B1026" s="1" t="n">
        <v>45670.3079050926</v>
      </c>
      <c r="C1026" s="1" t="n">
        <v>45931</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3386-2021</t>
        </is>
      </c>
      <c r="B1027" s="1" t="n">
        <v>44218</v>
      </c>
      <c r="C1027" s="1" t="n">
        <v>45931</v>
      </c>
      <c r="D1027" t="inlineStr">
        <is>
          <t>STOCKHOLMS LÄN</t>
        </is>
      </c>
      <c r="E1027" t="inlineStr">
        <is>
          <t>NORRTÄLJE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13860-2023</t>
        </is>
      </c>
      <c r="B1028" s="1" t="n">
        <v>45007</v>
      </c>
      <c r="C1028" s="1" t="n">
        <v>45931</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6070-2022</t>
        </is>
      </c>
      <c r="B1029" s="1" t="n">
        <v>44599.58428240741</v>
      </c>
      <c r="C1029" s="1" t="n">
        <v>45931</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9130-2025</t>
        </is>
      </c>
      <c r="B1030" s="1" t="n">
        <v>45713.92623842593</v>
      </c>
      <c r="C1030" s="1" t="n">
        <v>45931</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27828-2022</t>
        </is>
      </c>
      <c r="B1031" s="1" t="n">
        <v>44743.59765046297</v>
      </c>
      <c r="C1031" s="1" t="n">
        <v>45931</v>
      </c>
      <c r="D1031" t="inlineStr">
        <is>
          <t>STOCKHOLMS LÄN</t>
        </is>
      </c>
      <c r="E1031" t="inlineStr">
        <is>
          <t>NORRTÄLJE</t>
        </is>
      </c>
      <c r="F1031" t="inlineStr">
        <is>
          <t>Kommuner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20692-2025</t>
        </is>
      </c>
      <c r="B1032" s="1" t="n">
        <v>45776.46369212963</v>
      </c>
      <c r="C1032" s="1" t="n">
        <v>45931</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35636-2025</t>
        </is>
      </c>
      <c r="B1033" s="1" t="n">
        <v>45859</v>
      </c>
      <c r="C1033" s="1" t="n">
        <v>45931</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35639-2025</t>
        </is>
      </c>
      <c r="B1034" s="1" t="n">
        <v>45859</v>
      </c>
      <c r="C1034" s="1" t="n">
        <v>45931</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59873-2024</t>
        </is>
      </c>
      <c r="B1035" s="1" t="n">
        <v>45640.57305555556</v>
      </c>
      <c r="C1035" s="1" t="n">
        <v>45931</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22412-2021</t>
        </is>
      </c>
      <c r="B1036" s="1" t="n">
        <v>44326.61967592593</v>
      </c>
      <c r="C1036" s="1" t="n">
        <v>45931</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48161-2022</t>
        </is>
      </c>
      <c r="B1037" s="1" t="n">
        <v>44858</v>
      </c>
      <c r="C1037" s="1" t="n">
        <v>45931</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46071-2024</t>
        </is>
      </c>
      <c r="B1038" s="1" t="n">
        <v>45581</v>
      </c>
      <c r="C1038" s="1" t="n">
        <v>45931</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43150-2023</t>
        </is>
      </c>
      <c r="B1039" s="1" t="n">
        <v>45183</v>
      </c>
      <c r="C1039" s="1" t="n">
        <v>45931</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29369-2024</t>
        </is>
      </c>
      <c r="B1040" s="1" t="n">
        <v>45483.57244212963</v>
      </c>
      <c r="C1040" s="1" t="n">
        <v>45931</v>
      </c>
      <c r="D1040" t="inlineStr">
        <is>
          <t>STOCKHOLMS LÄN</t>
        </is>
      </c>
      <c r="E1040" t="inlineStr">
        <is>
          <t>NORRTÄLJE</t>
        </is>
      </c>
      <c r="G1040" t="n">
        <v>15.9</v>
      </c>
      <c r="H1040" t="n">
        <v>0</v>
      </c>
      <c r="I1040" t="n">
        <v>0</v>
      </c>
      <c r="J1040" t="n">
        <v>0</v>
      </c>
      <c r="K1040" t="n">
        <v>0</v>
      </c>
      <c r="L1040" t="n">
        <v>0</v>
      </c>
      <c r="M1040" t="n">
        <v>0</v>
      </c>
      <c r="N1040" t="n">
        <v>0</v>
      </c>
      <c r="O1040" t="n">
        <v>0</v>
      </c>
      <c r="P1040" t="n">
        <v>0</v>
      </c>
      <c r="Q1040" t="n">
        <v>0</v>
      </c>
      <c r="R1040" s="2" t="inlineStr"/>
    </row>
    <row r="1041" ht="15" customHeight="1">
      <c r="A1041" t="inlineStr">
        <is>
          <t>A 37630-2025</t>
        </is>
      </c>
      <c r="B1041" s="1" t="n">
        <v>45880.46372685185</v>
      </c>
      <c r="C1041" s="1" t="n">
        <v>45931</v>
      </c>
      <c r="D1041" t="inlineStr">
        <is>
          <t>STOCKHOLMS LÄN</t>
        </is>
      </c>
      <c r="E1041" t="inlineStr">
        <is>
          <t>NORRTÄLJE</t>
        </is>
      </c>
      <c r="F1041" t="inlineStr">
        <is>
          <t>Sveaskog</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59534-2024</t>
        </is>
      </c>
      <c r="B1042" s="1" t="n">
        <v>45638.5987037037</v>
      </c>
      <c r="C1042" s="1" t="n">
        <v>45931</v>
      </c>
      <c r="D1042" t="inlineStr">
        <is>
          <t>STOCKHOLMS LÄN</t>
        </is>
      </c>
      <c r="E1042" t="inlineStr">
        <is>
          <t>NORRTÄLJE</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23307-2024</t>
        </is>
      </c>
      <c r="B1043" s="1" t="n">
        <v>45453</v>
      </c>
      <c r="C1043" s="1" t="n">
        <v>45931</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37632-2025</t>
        </is>
      </c>
      <c r="B1044" s="1" t="n">
        <v>45880.46524305556</v>
      </c>
      <c r="C1044" s="1" t="n">
        <v>45931</v>
      </c>
      <c r="D1044" t="inlineStr">
        <is>
          <t>STOCKHOLMS LÄN</t>
        </is>
      </c>
      <c r="E1044" t="inlineStr">
        <is>
          <t>NORRTÄLJE</t>
        </is>
      </c>
      <c r="F1044" t="inlineStr">
        <is>
          <t>Sveaskog</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29841-2024</t>
        </is>
      </c>
      <c r="B1045" s="1" t="n">
        <v>45485.60261574074</v>
      </c>
      <c r="C1045" s="1" t="n">
        <v>45931</v>
      </c>
      <c r="D1045" t="inlineStr">
        <is>
          <t>STOCKHOLMS LÄN</t>
        </is>
      </c>
      <c r="E1045" t="inlineStr">
        <is>
          <t>NORRTÄLJE</t>
        </is>
      </c>
      <c r="G1045" t="n">
        <v>15.9</v>
      </c>
      <c r="H1045" t="n">
        <v>0</v>
      </c>
      <c r="I1045" t="n">
        <v>0</v>
      </c>
      <c r="J1045" t="n">
        <v>0</v>
      </c>
      <c r="K1045" t="n">
        <v>0</v>
      </c>
      <c r="L1045" t="n">
        <v>0</v>
      </c>
      <c r="M1045" t="n">
        <v>0</v>
      </c>
      <c r="N1045" t="n">
        <v>0</v>
      </c>
      <c r="O1045" t="n">
        <v>0</v>
      </c>
      <c r="P1045" t="n">
        <v>0</v>
      </c>
      <c r="Q1045" t="n">
        <v>0</v>
      </c>
      <c r="R1045" s="2" t="inlineStr"/>
    </row>
    <row r="1046" ht="15" customHeight="1">
      <c r="A1046" t="inlineStr">
        <is>
          <t>A 19450-2025</t>
        </is>
      </c>
      <c r="B1046" s="1" t="n">
        <v>45770</v>
      </c>
      <c r="C1046" s="1" t="n">
        <v>45931</v>
      </c>
      <c r="D1046" t="inlineStr">
        <is>
          <t>STOCKHOLMS LÄN</t>
        </is>
      </c>
      <c r="E1046" t="inlineStr">
        <is>
          <t>NORRTÄLJE</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2281-2024</t>
        </is>
      </c>
      <c r="B1047" s="1" t="n">
        <v>45310.40628472222</v>
      </c>
      <c r="C1047" s="1" t="n">
        <v>45931</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2287-2024</t>
        </is>
      </c>
      <c r="B1048" s="1" t="n">
        <v>45310</v>
      </c>
      <c r="C1048" s="1" t="n">
        <v>45931</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20618-2022</t>
        </is>
      </c>
      <c r="B1049" s="1" t="n">
        <v>44700.50659722222</v>
      </c>
      <c r="C1049" s="1" t="n">
        <v>45931</v>
      </c>
      <c r="D1049" t="inlineStr">
        <is>
          <t>STOCKHOLMS LÄN</t>
        </is>
      </c>
      <c r="E1049" t="inlineStr">
        <is>
          <t>NORRTÄLJE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37628-2025</t>
        </is>
      </c>
      <c r="B1050" s="1" t="n">
        <v>45880.46189814815</v>
      </c>
      <c r="C1050" s="1" t="n">
        <v>45931</v>
      </c>
      <c r="D1050" t="inlineStr">
        <is>
          <t>STOCKHOLMS LÄN</t>
        </is>
      </c>
      <c r="E1050" t="inlineStr">
        <is>
          <t>NORRTÄLJE</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59504-2023</t>
        </is>
      </c>
      <c r="B1051" s="1" t="n">
        <v>45254</v>
      </c>
      <c r="C1051" s="1" t="n">
        <v>45931</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45697-2025</t>
        </is>
      </c>
      <c r="B1052" s="1" t="n">
        <v>45923.39877314815</v>
      </c>
      <c r="C1052" s="1" t="n">
        <v>45931</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24350-2025</t>
        </is>
      </c>
      <c r="B1053" s="1" t="n">
        <v>45797.58350694444</v>
      </c>
      <c r="C1053" s="1" t="n">
        <v>45931</v>
      </c>
      <c r="D1053" t="inlineStr">
        <is>
          <t>STOCKHOLMS LÄN</t>
        </is>
      </c>
      <c r="E1053" t="inlineStr">
        <is>
          <t>NORRTÄLJE</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25656-2023</t>
        </is>
      </c>
      <c r="B1054" s="1" t="n">
        <v>45089</v>
      </c>
      <c r="C1054" s="1" t="n">
        <v>45931</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38049-2023</t>
        </is>
      </c>
      <c r="B1055" s="1" t="n">
        <v>45159</v>
      </c>
      <c r="C1055" s="1" t="n">
        <v>45931</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3966-2024</t>
        </is>
      </c>
      <c r="B1056" s="1" t="n">
        <v>45322</v>
      </c>
      <c r="C1056" s="1" t="n">
        <v>45931</v>
      </c>
      <c r="D1056" t="inlineStr">
        <is>
          <t>STOCKHOLMS LÄN</t>
        </is>
      </c>
      <c r="E1056" t="inlineStr">
        <is>
          <t>NORRTÄLJE</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26703-2025</t>
        </is>
      </c>
      <c r="B1057" s="1" t="n">
        <v>45810.45263888889</v>
      </c>
      <c r="C1057" s="1" t="n">
        <v>45931</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13137-2024</t>
        </is>
      </c>
      <c r="B1058" s="1" t="n">
        <v>45386.34175925926</v>
      </c>
      <c r="C1058" s="1" t="n">
        <v>45931</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38153-2025</t>
        </is>
      </c>
      <c r="B1059" s="1" t="n">
        <v>45882.59722222222</v>
      </c>
      <c r="C1059" s="1" t="n">
        <v>45931</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c r="A1060" t="inlineStr">
        <is>
          <t>A 38593-2025</t>
        </is>
      </c>
      <c r="B1060" s="1" t="n">
        <v>45884.48696759259</v>
      </c>
      <c r="C1060" s="1" t="n">
        <v>45931</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2025-10-01T12:51:22Z</dcterms:created>
  <dcterms:modified xmlns:dcterms="http://purl.org/dc/terms/" xmlns:xsi="http://www.w3.org/2001/XMLSchema-instance" xsi:type="dcterms:W3CDTF">2025-10-01T12:51:22Z</dcterms:modified>
</cp:coreProperties>
</file>