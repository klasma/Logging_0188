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46113</v>
      </c>
      <c r="D4" t="inlineStr">
        <is>
          <t>STOCKHOLMS LÄN</t>
        </is>
      </c>
      <c r="E4" t="inlineStr">
        <is>
          <t>NORRTÄLJE</t>
        </is>
      </c>
      <c r="G4" t="n">
        <v>35.4</v>
      </c>
      <c r="H4" t="n">
        <v>3</v>
      </c>
      <c r="I4" t="n">
        <v>22</v>
      </c>
      <c r="J4" t="n">
        <v>11</v>
      </c>
      <c r="K4" t="n">
        <v>2</v>
      </c>
      <c r="L4" t="n">
        <v>1</v>
      </c>
      <c r="M4" t="n">
        <v>0</v>
      </c>
      <c r="N4" t="n">
        <v>0</v>
      </c>
      <c r="O4" t="n">
        <v>14</v>
      </c>
      <c r="P4" t="n">
        <v>3</v>
      </c>
      <c r="Q4" t="n">
        <v>37</v>
      </c>
      <c r="R4"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46113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46113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46113</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46113</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46113</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46113</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46113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46113</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46113</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46113</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46113</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46113</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46113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46113</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46113</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46113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46113</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46113</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46113</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46113</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46113</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46113</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46113</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46113</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46113</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46113</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46113</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46113</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46113</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46113</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30687-2025</t>
        </is>
      </c>
      <c r="B40" s="1" t="n">
        <v>45831.53390046296</v>
      </c>
      <c r="C40" s="1" t="n">
        <v>46113</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21922-2023</t>
        </is>
      </c>
      <c r="B41" s="1" t="n">
        <v>45068</v>
      </c>
      <c r="C41" s="1" t="n">
        <v>46113</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46113</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56791-2025</t>
        </is>
      </c>
      <c r="B43" s="1" t="n">
        <v>45978</v>
      </c>
      <c r="C43" s="1" t="n">
        <v>46113</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72111-2021</t>
        </is>
      </c>
      <c r="B44" s="1" t="n">
        <v>44544</v>
      </c>
      <c r="C44" s="1" t="n">
        <v>46113</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46113</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46113</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46113</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25687-2025</t>
        </is>
      </c>
      <c r="B48" s="1" t="n">
        <v>45800</v>
      </c>
      <c r="C48" s="1" t="n">
        <v>46113</v>
      </c>
      <c r="D48" t="inlineStr">
        <is>
          <t>STOCKHOLMS LÄN</t>
        </is>
      </c>
      <c r="E48" t="inlineStr">
        <is>
          <t>NORRTÄLJE</t>
        </is>
      </c>
      <c r="G48" t="n">
        <v>15.7</v>
      </c>
      <c r="H48" t="n">
        <v>2</v>
      </c>
      <c r="I48" t="n">
        <v>1</v>
      </c>
      <c r="J48" t="n">
        <v>2</v>
      </c>
      <c r="K48" t="n">
        <v>0</v>
      </c>
      <c r="L48" t="n">
        <v>0</v>
      </c>
      <c r="M48" t="n">
        <v>0</v>
      </c>
      <c r="N48" t="n">
        <v>0</v>
      </c>
      <c r="O48" t="n">
        <v>2</v>
      </c>
      <c r="P48" t="n">
        <v>0</v>
      </c>
      <c r="Q48" t="n">
        <v>4</v>
      </c>
      <c r="R48" s="2" t="inlineStr">
        <is>
          <t>Spillkråka
Ullticka
Grönpyrola
Kungsfågel</t>
        </is>
      </c>
      <c r="S48">
        <f>HYPERLINK("https://klasma.github.io/Logging_0188/artfynd/A 25687-2025 artfynd.xlsx", "A 25687-2025")</f>
        <v/>
      </c>
      <c r="T48">
        <f>HYPERLINK("https://klasma.github.io/Logging_0188/kartor/A 25687-2025 karta.png", "A 25687-2025")</f>
        <v/>
      </c>
      <c r="V48">
        <f>HYPERLINK("https://klasma.github.io/Logging_0188/klagomål/A 25687-2025 FSC-klagomål.docx", "A 25687-2025")</f>
        <v/>
      </c>
      <c r="W48">
        <f>HYPERLINK("https://klasma.github.io/Logging_0188/klagomålsmail/A 25687-2025 FSC-klagomål mail.docx", "A 25687-2025")</f>
        <v/>
      </c>
      <c r="X48">
        <f>HYPERLINK("https://klasma.github.io/Logging_0188/tillsyn/A 25687-2025 tillsynsbegäran.docx", "A 25687-2025")</f>
        <v/>
      </c>
      <c r="Y48">
        <f>HYPERLINK("https://klasma.github.io/Logging_0188/tillsynsmail/A 25687-2025 tillsynsbegäran mail.docx", "A 25687-2025")</f>
        <v/>
      </c>
      <c r="Z48">
        <f>HYPERLINK("https://klasma.github.io/Logging_0188/fåglar/A 25687-2025 prioriterade fågelarter.docx", "A 25687-2025")</f>
        <v/>
      </c>
    </row>
    <row r="49" ht="15" customHeight="1">
      <c r="A49" t="inlineStr">
        <is>
          <t>A 47212-2025</t>
        </is>
      </c>
      <c r="B49" s="1" t="n">
        <v>45930</v>
      </c>
      <c r="C49" s="1" t="n">
        <v>46113</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72305-2021</t>
        </is>
      </c>
      <c r="B50" s="1" t="n">
        <v>44545</v>
      </c>
      <c r="C50" s="1" t="n">
        <v>46113</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24052-2021</t>
        </is>
      </c>
      <c r="B51" s="1" t="n">
        <v>44336</v>
      </c>
      <c r="C51" s="1" t="n">
        <v>46113</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34521-2025</t>
        </is>
      </c>
      <c r="B52" s="1" t="n">
        <v>45847.47052083333</v>
      </c>
      <c r="C52" s="1" t="n">
        <v>46113</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44709-2022</t>
        </is>
      </c>
      <c r="B53" s="1" t="n">
        <v>44839</v>
      </c>
      <c r="C53" s="1" t="n">
        <v>46113</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46113</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46113</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46113</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46113</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2851-2023</t>
        </is>
      </c>
      <c r="B58" s="1" t="n">
        <v>44945</v>
      </c>
      <c r="C58" s="1" t="n">
        <v>46113</v>
      </c>
      <c r="D58" t="inlineStr">
        <is>
          <t>STOCKHOLMS LÄN</t>
        </is>
      </c>
      <c r="E58" t="inlineStr">
        <is>
          <t>NORRTÄLJE</t>
        </is>
      </c>
      <c r="G58" t="n">
        <v>5.8</v>
      </c>
      <c r="H58" t="n">
        <v>1</v>
      </c>
      <c r="I58" t="n">
        <v>1</v>
      </c>
      <c r="J58" t="n">
        <v>2</v>
      </c>
      <c r="K58" t="n">
        <v>0</v>
      </c>
      <c r="L58" t="n">
        <v>0</v>
      </c>
      <c r="M58" t="n">
        <v>0</v>
      </c>
      <c r="N58" t="n">
        <v>0</v>
      </c>
      <c r="O58" t="n">
        <v>2</v>
      </c>
      <c r="P58" t="n">
        <v>0</v>
      </c>
      <c r="Q58" t="n">
        <v>3</v>
      </c>
      <c r="R58" s="2" t="inlineStr">
        <is>
          <t>Gulsparv
Vedflikmossa
Terpentinmossa</t>
        </is>
      </c>
      <c r="S58">
        <f>HYPERLINK("https://klasma.github.io/Logging_0188/artfynd/A 2851-2023 artfynd.xlsx", "A 2851-2023")</f>
        <v/>
      </c>
      <c r="T58">
        <f>HYPERLINK("https://klasma.github.io/Logging_0188/kartor/A 2851-2023 karta.png", "A 2851-2023")</f>
        <v/>
      </c>
      <c r="V58">
        <f>HYPERLINK("https://klasma.github.io/Logging_0188/klagomål/A 2851-2023 FSC-klagomål.docx", "A 2851-2023")</f>
        <v/>
      </c>
      <c r="W58">
        <f>HYPERLINK("https://klasma.github.io/Logging_0188/klagomålsmail/A 2851-2023 FSC-klagomål mail.docx", "A 2851-2023")</f>
        <v/>
      </c>
      <c r="X58">
        <f>HYPERLINK("https://klasma.github.io/Logging_0188/tillsyn/A 2851-2023 tillsynsbegäran.docx", "A 2851-2023")</f>
        <v/>
      </c>
      <c r="Y58">
        <f>HYPERLINK("https://klasma.github.io/Logging_0188/tillsynsmail/A 2851-2023 tillsynsbegäran mail.docx", "A 2851-2023")</f>
        <v/>
      </c>
      <c r="Z58">
        <f>HYPERLINK("https://klasma.github.io/Logging_0188/fåglar/A 2851-2023 prioriterade fågelarter.docx", "A 2851-2023")</f>
        <v/>
      </c>
    </row>
    <row r="59" ht="15" customHeight="1">
      <c r="A59" t="inlineStr">
        <is>
          <t>A 20185-2022</t>
        </is>
      </c>
      <c r="B59" s="1" t="n">
        <v>44698</v>
      </c>
      <c r="C59" s="1" t="n">
        <v>46113</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54110-2024</t>
        </is>
      </c>
      <c r="B60" s="1" t="n">
        <v>45616.54866898148</v>
      </c>
      <c r="C60" s="1" t="n">
        <v>46113</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46113</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52726-2025</t>
        </is>
      </c>
      <c r="B62" s="1" t="n">
        <v>45957.34722222222</v>
      </c>
      <c r="C62" s="1" t="n">
        <v>46113</v>
      </c>
      <c r="D62" t="inlineStr">
        <is>
          <t>STOCKHOLMS LÄN</t>
        </is>
      </c>
      <c r="E62" t="inlineStr">
        <is>
          <t>NORRTÄLJE</t>
        </is>
      </c>
      <c r="G62" t="n">
        <v>4.7</v>
      </c>
      <c r="H62" t="n">
        <v>2</v>
      </c>
      <c r="I62" t="n">
        <v>2</v>
      </c>
      <c r="J62" t="n">
        <v>0</v>
      </c>
      <c r="K62" t="n">
        <v>0</v>
      </c>
      <c r="L62" t="n">
        <v>0</v>
      </c>
      <c r="M62" t="n">
        <v>0</v>
      </c>
      <c r="N62" t="n">
        <v>0</v>
      </c>
      <c r="O62" t="n">
        <v>0</v>
      </c>
      <c r="P62" t="n">
        <v>0</v>
      </c>
      <c r="Q62" t="n">
        <v>3</v>
      </c>
      <c r="R62" s="2" t="inlineStr">
        <is>
          <t>Grön sköldmossa
Vågbandad barkbock
Tjäder</t>
        </is>
      </c>
      <c r="S62">
        <f>HYPERLINK("https://klasma.github.io/Logging_0188/artfynd/A 52726-2025 artfynd.xlsx", "A 52726-2025")</f>
        <v/>
      </c>
      <c r="T62">
        <f>HYPERLINK("https://klasma.github.io/Logging_0188/kartor/A 52726-2025 karta.png", "A 52726-2025")</f>
        <v/>
      </c>
      <c r="V62">
        <f>HYPERLINK("https://klasma.github.io/Logging_0188/klagomål/A 52726-2025 FSC-klagomål.docx", "A 52726-2025")</f>
        <v/>
      </c>
      <c r="W62">
        <f>HYPERLINK("https://klasma.github.io/Logging_0188/klagomålsmail/A 52726-2025 FSC-klagomål mail.docx", "A 52726-2025")</f>
        <v/>
      </c>
      <c r="X62">
        <f>HYPERLINK("https://klasma.github.io/Logging_0188/tillsyn/A 52726-2025 tillsynsbegäran.docx", "A 52726-2025")</f>
        <v/>
      </c>
      <c r="Y62">
        <f>HYPERLINK("https://klasma.github.io/Logging_0188/tillsynsmail/A 52726-2025 tillsynsbegäran mail.docx", "A 52726-2025")</f>
        <v/>
      </c>
      <c r="Z62">
        <f>HYPERLINK("https://klasma.github.io/Logging_0188/fåglar/A 52726-2025 prioriterade fågelarter.docx", "A 52726-2025")</f>
        <v/>
      </c>
    </row>
    <row r="63" ht="15" customHeight="1">
      <c r="A63" t="inlineStr">
        <is>
          <t>A 29185-2025</t>
        </is>
      </c>
      <c r="B63" s="1" t="n">
        <v>45821</v>
      </c>
      <c r="C63" s="1" t="n">
        <v>46113</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53065-2024</t>
        </is>
      </c>
      <c r="B64" s="1" t="n">
        <v>45611.47233796296</v>
      </c>
      <c r="C64" s="1" t="n">
        <v>46113</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46113</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34524-2025</t>
        </is>
      </c>
      <c r="B66" s="1" t="n">
        <v>45847.47685185185</v>
      </c>
      <c r="C66" s="1" t="n">
        <v>46113</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27870-2022</t>
        </is>
      </c>
      <c r="B67" s="1" t="n">
        <v>44743.64592592593</v>
      </c>
      <c r="C67" s="1" t="n">
        <v>46113</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15913-2026</t>
        </is>
      </c>
      <c r="B68" s="1" t="n">
        <v>46107.6456712963</v>
      </c>
      <c r="C68" s="1" t="n">
        <v>46113</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52133-2022</t>
        </is>
      </c>
      <c r="B69" s="1" t="n">
        <v>44868</v>
      </c>
      <c r="C69" s="1" t="n">
        <v>46113</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46113</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46113</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46113</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16260-2022</t>
        </is>
      </c>
      <c r="B73" s="1" t="n">
        <v>44670</v>
      </c>
      <c r="C73" s="1" t="n">
        <v>46113</v>
      </c>
      <c r="D73" t="inlineStr">
        <is>
          <t>STOCKHOLMS LÄN</t>
        </is>
      </c>
      <c r="E73" t="inlineStr">
        <is>
          <t>NORRTÄLJE</t>
        </is>
      </c>
      <c r="G73" t="n">
        <v>6.6</v>
      </c>
      <c r="H73" t="n">
        <v>1</v>
      </c>
      <c r="I73" t="n">
        <v>2</v>
      </c>
      <c r="J73" t="n">
        <v>0</v>
      </c>
      <c r="K73" t="n">
        <v>0</v>
      </c>
      <c r="L73" t="n">
        <v>0</v>
      </c>
      <c r="M73" t="n">
        <v>0</v>
      </c>
      <c r="N73" t="n">
        <v>0</v>
      </c>
      <c r="O73" t="n">
        <v>0</v>
      </c>
      <c r="P73" t="n">
        <v>0</v>
      </c>
      <c r="Q73" t="n">
        <v>2</v>
      </c>
      <c r="R73" s="2" t="inlineStr">
        <is>
          <t>Nästrot
Vårärt</t>
        </is>
      </c>
      <c r="S73">
        <f>HYPERLINK("https://klasma.github.io/Logging_0188/artfynd/A 16260-2022 artfynd.xlsx", "A 16260-2022")</f>
        <v/>
      </c>
      <c r="T73">
        <f>HYPERLINK("https://klasma.github.io/Logging_0188/kartor/A 16260-2022 karta.png", "A 16260-2022")</f>
        <v/>
      </c>
      <c r="V73">
        <f>HYPERLINK("https://klasma.github.io/Logging_0188/klagomål/A 16260-2022 FSC-klagomål.docx", "A 16260-2022")</f>
        <v/>
      </c>
      <c r="W73">
        <f>HYPERLINK("https://klasma.github.io/Logging_0188/klagomålsmail/A 16260-2022 FSC-klagomål mail.docx", "A 16260-2022")</f>
        <v/>
      </c>
      <c r="X73">
        <f>HYPERLINK("https://klasma.github.io/Logging_0188/tillsyn/A 16260-2022 tillsynsbegäran.docx", "A 16260-2022")</f>
        <v/>
      </c>
      <c r="Y73">
        <f>HYPERLINK("https://klasma.github.io/Logging_0188/tillsynsmail/A 16260-2022 tillsynsbegäran mail.docx", "A 16260-2022")</f>
        <v/>
      </c>
    </row>
    <row r="74" ht="15" customHeight="1">
      <c r="A74" t="inlineStr">
        <is>
          <t>A 51220-2023</t>
        </is>
      </c>
      <c r="B74" s="1" t="n">
        <v>45219</v>
      </c>
      <c r="C74" s="1" t="n">
        <v>46113</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46113</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46113</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22190-2024</t>
        </is>
      </c>
      <c r="B77" s="1" t="n">
        <v>45446.35888888889</v>
      </c>
      <c r="C77" s="1" t="n">
        <v>46113</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46113</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50697-2025</t>
        </is>
      </c>
      <c r="B79" s="1" t="n">
        <v>45945.90854166666</v>
      </c>
      <c r="C79" s="1" t="n">
        <v>46113</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52360-2024</t>
        </is>
      </c>
      <c r="B80" s="1" t="n">
        <v>45609.37094907407</v>
      </c>
      <c r="C80" s="1" t="n">
        <v>46113</v>
      </c>
      <c r="D80" t="inlineStr">
        <is>
          <t>STOCKHOLMS LÄN</t>
        </is>
      </c>
      <c r="E80" t="inlineStr">
        <is>
          <t>NORRTÄLJE</t>
        </is>
      </c>
      <c r="G80" t="n">
        <v>2.2</v>
      </c>
      <c r="H80" t="n">
        <v>1</v>
      </c>
      <c r="I80" t="n">
        <v>1</v>
      </c>
      <c r="J80" t="n">
        <v>0</v>
      </c>
      <c r="K80" t="n">
        <v>0</v>
      </c>
      <c r="L80" t="n">
        <v>0</v>
      </c>
      <c r="M80" t="n">
        <v>0</v>
      </c>
      <c r="N80" t="n">
        <v>0</v>
      </c>
      <c r="O80" t="n">
        <v>0</v>
      </c>
      <c r="P80" t="n">
        <v>0</v>
      </c>
      <c r="Q80" t="n">
        <v>2</v>
      </c>
      <c r="R80" s="2" t="inlineStr">
        <is>
          <t>Brandticka
Blåsippa</t>
        </is>
      </c>
      <c r="S80">
        <f>HYPERLINK("https://klasma.github.io/Logging_0188/artfynd/A 52360-2024 artfynd.xlsx", "A 52360-2024")</f>
        <v/>
      </c>
      <c r="T80">
        <f>HYPERLINK("https://klasma.github.io/Logging_0188/kartor/A 52360-2024 karta.png", "A 52360-2024")</f>
        <v/>
      </c>
      <c r="V80">
        <f>HYPERLINK("https://klasma.github.io/Logging_0188/klagomål/A 52360-2024 FSC-klagomål.docx", "A 52360-2024")</f>
        <v/>
      </c>
      <c r="W80">
        <f>HYPERLINK("https://klasma.github.io/Logging_0188/klagomålsmail/A 52360-2024 FSC-klagomål mail.docx", "A 52360-2024")</f>
        <v/>
      </c>
      <c r="X80">
        <f>HYPERLINK("https://klasma.github.io/Logging_0188/tillsyn/A 52360-2024 tillsynsbegäran.docx", "A 52360-2024")</f>
        <v/>
      </c>
      <c r="Y80">
        <f>HYPERLINK("https://klasma.github.io/Logging_0188/tillsynsmail/A 52360-2024 tillsynsbegäran mail.docx", "A 52360-2024")</f>
        <v/>
      </c>
    </row>
    <row r="81" ht="15" customHeight="1">
      <c r="A81" t="inlineStr">
        <is>
          <t>A 53608-2025</t>
        </is>
      </c>
      <c r="B81" s="1" t="n">
        <v>45960</v>
      </c>
      <c r="C81" s="1" t="n">
        <v>46113</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33548-2025</t>
        </is>
      </c>
      <c r="B82" s="1" t="n">
        <v>45841.5721875</v>
      </c>
      <c r="C82" s="1" t="n">
        <v>46113</v>
      </c>
      <c r="D82" t="inlineStr">
        <is>
          <t>STOCKHOLMS LÄN</t>
        </is>
      </c>
      <c r="E82" t="inlineStr">
        <is>
          <t>NORRTÄLJE</t>
        </is>
      </c>
      <c r="G82" t="n">
        <v>12.2</v>
      </c>
      <c r="H82" t="n">
        <v>1</v>
      </c>
      <c r="I82" t="n">
        <v>0</v>
      </c>
      <c r="J82" t="n">
        <v>1</v>
      </c>
      <c r="K82" t="n">
        <v>0</v>
      </c>
      <c r="L82" t="n">
        <v>0</v>
      </c>
      <c r="M82" t="n">
        <v>0</v>
      </c>
      <c r="N82" t="n">
        <v>0</v>
      </c>
      <c r="O82" t="n">
        <v>1</v>
      </c>
      <c r="P82" t="n">
        <v>0</v>
      </c>
      <c r="Q82" t="n">
        <v>2</v>
      </c>
      <c r="R82" s="2" t="inlineStr">
        <is>
          <t>Dofttaggsvamp
Sparvuggla</t>
        </is>
      </c>
      <c r="S82">
        <f>HYPERLINK("https://klasma.github.io/Logging_0188/artfynd/A 33548-2025 artfynd.xlsx", "A 33548-2025")</f>
        <v/>
      </c>
      <c r="T82">
        <f>HYPERLINK("https://klasma.github.io/Logging_0188/kartor/A 33548-2025 karta.png", "A 33548-2025")</f>
        <v/>
      </c>
      <c r="V82">
        <f>HYPERLINK("https://klasma.github.io/Logging_0188/klagomål/A 33548-2025 FSC-klagomål.docx", "A 33548-2025")</f>
        <v/>
      </c>
      <c r="W82">
        <f>HYPERLINK("https://klasma.github.io/Logging_0188/klagomålsmail/A 33548-2025 FSC-klagomål mail.docx", "A 33548-2025")</f>
        <v/>
      </c>
      <c r="X82">
        <f>HYPERLINK("https://klasma.github.io/Logging_0188/tillsyn/A 33548-2025 tillsynsbegäran.docx", "A 33548-2025")</f>
        <v/>
      </c>
      <c r="Y82">
        <f>HYPERLINK("https://klasma.github.io/Logging_0188/tillsynsmail/A 33548-2025 tillsynsbegäran mail.docx", "A 33548-2025")</f>
        <v/>
      </c>
      <c r="Z82">
        <f>HYPERLINK("https://klasma.github.io/Logging_0188/fåglar/A 33548-2025 prioriterade fågelarter.docx", "A 33548-2025")</f>
        <v/>
      </c>
    </row>
    <row r="83" ht="15" customHeight="1">
      <c r="A83" t="inlineStr">
        <is>
          <t>A 52825-2023</t>
        </is>
      </c>
      <c r="B83" s="1" t="n">
        <v>45226</v>
      </c>
      <c r="C83" s="1" t="n">
        <v>46113</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52124-2022</t>
        </is>
      </c>
      <c r="B84" s="1" t="n">
        <v>44868</v>
      </c>
      <c r="C84" s="1" t="n">
        <v>46113</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15925-2026</t>
        </is>
      </c>
      <c r="B85" s="1" t="n">
        <v>46107.66046296297</v>
      </c>
      <c r="C85" s="1" t="n">
        <v>46113</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51980-2022</t>
        </is>
      </c>
      <c r="B86" s="1" t="n">
        <v>44872</v>
      </c>
      <c r="C86" s="1" t="n">
        <v>46113</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46113</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46113</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46113</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46113</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46113</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23905-2025</t>
        </is>
      </c>
      <c r="B92" s="1" t="n">
        <v>45794.63298611111</v>
      </c>
      <c r="C92" s="1" t="n">
        <v>46113</v>
      </c>
      <c r="D92" t="inlineStr">
        <is>
          <t>STOCKHOLMS LÄN</t>
        </is>
      </c>
      <c r="E92" t="inlineStr">
        <is>
          <t>NORRTÄLJE</t>
        </is>
      </c>
      <c r="G92" t="n">
        <v>8.4</v>
      </c>
      <c r="H92" t="n">
        <v>1</v>
      </c>
      <c r="I92" t="n">
        <v>0</v>
      </c>
      <c r="J92" t="n">
        <v>0</v>
      </c>
      <c r="K92" t="n">
        <v>0</v>
      </c>
      <c r="L92" t="n">
        <v>0</v>
      </c>
      <c r="M92" t="n">
        <v>0</v>
      </c>
      <c r="N92" t="n">
        <v>0</v>
      </c>
      <c r="O92" t="n">
        <v>0</v>
      </c>
      <c r="P92" t="n">
        <v>0</v>
      </c>
      <c r="Q92" t="n">
        <v>1</v>
      </c>
      <c r="R92" s="2" t="inlineStr">
        <is>
          <t>Blåsippa</t>
        </is>
      </c>
      <c r="S92">
        <f>HYPERLINK("https://klasma.github.io/Logging_0188/artfynd/A 23905-2025 artfynd.xlsx", "A 23905-2025")</f>
        <v/>
      </c>
      <c r="T92">
        <f>HYPERLINK("https://klasma.github.io/Logging_0188/kartor/A 23905-2025 karta.png", "A 23905-2025")</f>
        <v/>
      </c>
      <c r="V92">
        <f>HYPERLINK("https://klasma.github.io/Logging_0188/klagomål/A 23905-2025 FSC-klagomål.docx", "A 23905-2025")</f>
        <v/>
      </c>
      <c r="W92">
        <f>HYPERLINK("https://klasma.github.io/Logging_0188/klagomålsmail/A 23905-2025 FSC-klagomål mail.docx", "A 23905-2025")</f>
        <v/>
      </c>
      <c r="X92">
        <f>HYPERLINK("https://klasma.github.io/Logging_0188/tillsyn/A 23905-2025 tillsynsbegäran.docx", "A 23905-2025")</f>
        <v/>
      </c>
      <c r="Y92">
        <f>HYPERLINK("https://klasma.github.io/Logging_0188/tillsynsmail/A 23905-2025 tillsynsbegäran mail.docx", "A 23905-2025")</f>
        <v/>
      </c>
    </row>
    <row r="93" ht="15" customHeight="1">
      <c r="A93" t="inlineStr">
        <is>
          <t>A 32111-2022</t>
        </is>
      </c>
      <c r="B93" s="1" t="n">
        <v>44778.92797453704</v>
      </c>
      <c r="C93" s="1" t="n">
        <v>46113</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58888-2021</t>
        </is>
      </c>
      <c r="B94" s="1" t="n">
        <v>44489</v>
      </c>
      <c r="C94" s="1" t="n">
        <v>46113</v>
      </c>
      <c r="D94" t="inlineStr">
        <is>
          <t>STOCKHOLMS LÄN</t>
        </is>
      </c>
      <c r="E94" t="inlineStr">
        <is>
          <t>NORRTÄLJE</t>
        </is>
      </c>
      <c r="F94" t="inlineStr">
        <is>
          <t>Holmen skog AB</t>
        </is>
      </c>
      <c r="G94" t="n">
        <v>2.5</v>
      </c>
      <c r="H94" t="n">
        <v>1</v>
      </c>
      <c r="I94" t="n">
        <v>0</v>
      </c>
      <c r="J94" t="n">
        <v>0</v>
      </c>
      <c r="K94" t="n">
        <v>0</v>
      </c>
      <c r="L94" t="n">
        <v>1</v>
      </c>
      <c r="M94" t="n">
        <v>0</v>
      </c>
      <c r="N94" t="n">
        <v>0</v>
      </c>
      <c r="O94" t="n">
        <v>1</v>
      </c>
      <c r="P94" t="n">
        <v>1</v>
      </c>
      <c r="Q94" t="n">
        <v>1</v>
      </c>
      <c r="R94" s="2" t="inlineStr">
        <is>
          <t>Asknätfjäril</t>
        </is>
      </c>
      <c r="S94">
        <f>HYPERLINK("https://klasma.github.io/Logging_0188/artfynd/A 58888-2021 artfynd.xlsx", "A 58888-2021")</f>
        <v/>
      </c>
      <c r="T94">
        <f>HYPERLINK("https://klasma.github.io/Logging_0188/kartor/A 58888-2021 karta.png", "A 58888-2021")</f>
        <v/>
      </c>
      <c r="V94">
        <f>HYPERLINK("https://klasma.github.io/Logging_0188/klagomål/A 58888-2021 FSC-klagomål.docx", "A 58888-2021")</f>
        <v/>
      </c>
      <c r="W94">
        <f>HYPERLINK("https://klasma.github.io/Logging_0188/klagomålsmail/A 58888-2021 FSC-klagomål mail.docx", "A 58888-2021")</f>
        <v/>
      </c>
      <c r="X94">
        <f>HYPERLINK("https://klasma.github.io/Logging_0188/tillsyn/A 58888-2021 tillsynsbegäran.docx", "A 58888-2021")</f>
        <v/>
      </c>
      <c r="Y94">
        <f>HYPERLINK("https://klasma.github.io/Logging_0188/tillsynsmail/A 58888-2021 tillsynsbegäran mail.docx", "A 58888-2021")</f>
        <v/>
      </c>
    </row>
    <row r="95" ht="15" customHeight="1">
      <c r="A95" t="inlineStr">
        <is>
          <t>A 40861-2025</t>
        </is>
      </c>
      <c r="B95" s="1" t="n">
        <v>45897.56356481482</v>
      </c>
      <c r="C95" s="1" t="n">
        <v>46113</v>
      </c>
      <c r="D95" t="inlineStr">
        <is>
          <t>STOCKHOLMS LÄN</t>
        </is>
      </c>
      <c r="E95" t="inlineStr">
        <is>
          <t>NORRTÄLJE</t>
        </is>
      </c>
      <c r="G95" t="n">
        <v>4</v>
      </c>
      <c r="H95" t="n">
        <v>0</v>
      </c>
      <c r="I95" t="n">
        <v>0</v>
      </c>
      <c r="J95" t="n">
        <v>1</v>
      </c>
      <c r="K95" t="n">
        <v>0</v>
      </c>
      <c r="L95" t="n">
        <v>0</v>
      </c>
      <c r="M95" t="n">
        <v>0</v>
      </c>
      <c r="N95" t="n">
        <v>0</v>
      </c>
      <c r="O95" t="n">
        <v>1</v>
      </c>
      <c r="P95" t="n">
        <v>0</v>
      </c>
      <c r="Q95" t="n">
        <v>1</v>
      </c>
      <c r="R95" s="2" t="inlineStr">
        <is>
          <t>Skogsklocka</t>
        </is>
      </c>
      <c r="S95">
        <f>HYPERLINK("https://klasma.github.io/Logging_0188/artfynd/A 40861-2025 artfynd.xlsx", "A 40861-2025")</f>
        <v/>
      </c>
      <c r="T95">
        <f>HYPERLINK("https://klasma.github.io/Logging_0188/kartor/A 40861-2025 karta.png", "A 40861-2025")</f>
        <v/>
      </c>
      <c r="V95">
        <f>HYPERLINK("https://klasma.github.io/Logging_0188/klagomål/A 40861-2025 FSC-klagomål.docx", "A 40861-2025")</f>
        <v/>
      </c>
      <c r="W95">
        <f>HYPERLINK("https://klasma.github.io/Logging_0188/klagomålsmail/A 40861-2025 FSC-klagomål mail.docx", "A 40861-2025")</f>
        <v/>
      </c>
      <c r="X95">
        <f>HYPERLINK("https://klasma.github.io/Logging_0188/tillsyn/A 40861-2025 tillsynsbegäran.docx", "A 40861-2025")</f>
        <v/>
      </c>
      <c r="Y95">
        <f>HYPERLINK("https://klasma.github.io/Logging_0188/tillsynsmail/A 40861-2025 tillsynsbegäran mail.docx", "A 40861-2025")</f>
        <v/>
      </c>
    </row>
    <row r="96" ht="15" customHeight="1">
      <c r="A96" t="inlineStr">
        <is>
          <t>A 13271-2025</t>
        </is>
      </c>
      <c r="B96" s="1" t="n">
        <v>45735.54510416667</v>
      </c>
      <c r="C96" s="1" t="n">
        <v>46113</v>
      </c>
      <c r="D96" t="inlineStr">
        <is>
          <t>STOCKHOLMS LÄN</t>
        </is>
      </c>
      <c r="E96" t="inlineStr">
        <is>
          <t>NORRTÄLJE</t>
        </is>
      </c>
      <c r="G96" t="n">
        <v>7.2</v>
      </c>
      <c r="H96" t="n">
        <v>1</v>
      </c>
      <c r="I96" t="n">
        <v>0</v>
      </c>
      <c r="J96" t="n">
        <v>0</v>
      </c>
      <c r="K96" t="n">
        <v>0</v>
      </c>
      <c r="L96" t="n">
        <v>1</v>
      </c>
      <c r="M96" t="n">
        <v>0</v>
      </c>
      <c r="N96" t="n">
        <v>0</v>
      </c>
      <c r="O96" t="n">
        <v>1</v>
      </c>
      <c r="P96" t="n">
        <v>1</v>
      </c>
      <c r="Q96" t="n">
        <v>1</v>
      </c>
      <c r="R96" s="2" t="inlineStr">
        <is>
          <t>Asknätfjäril</t>
        </is>
      </c>
      <c r="S96">
        <f>HYPERLINK("https://klasma.github.io/Logging_0188/artfynd/A 13271-2025 artfynd.xlsx", "A 13271-2025")</f>
        <v/>
      </c>
      <c r="T96">
        <f>HYPERLINK("https://klasma.github.io/Logging_0188/kartor/A 13271-2025 karta.png", "A 13271-2025")</f>
        <v/>
      </c>
      <c r="V96">
        <f>HYPERLINK("https://klasma.github.io/Logging_0188/klagomål/A 13271-2025 FSC-klagomål.docx", "A 13271-2025")</f>
        <v/>
      </c>
      <c r="W96">
        <f>HYPERLINK("https://klasma.github.io/Logging_0188/klagomålsmail/A 13271-2025 FSC-klagomål mail.docx", "A 13271-2025")</f>
        <v/>
      </c>
      <c r="X96">
        <f>HYPERLINK("https://klasma.github.io/Logging_0188/tillsyn/A 13271-2025 tillsynsbegäran.docx", "A 13271-2025")</f>
        <v/>
      </c>
      <c r="Y96">
        <f>HYPERLINK("https://klasma.github.io/Logging_0188/tillsynsmail/A 13271-2025 tillsynsbegäran mail.docx", "A 13271-2025")</f>
        <v/>
      </c>
    </row>
    <row r="97" ht="15" customHeight="1">
      <c r="A97" t="inlineStr">
        <is>
          <t>A 42313-2025</t>
        </is>
      </c>
      <c r="B97" s="1" t="n">
        <v>45904.6575</v>
      </c>
      <c r="C97" s="1" t="n">
        <v>46113</v>
      </c>
      <c r="D97" t="inlineStr">
        <is>
          <t>STOCKHOLMS LÄN</t>
        </is>
      </c>
      <c r="E97" t="inlineStr">
        <is>
          <t>NORRTÄLJE</t>
        </is>
      </c>
      <c r="G97" t="n">
        <v>1.7</v>
      </c>
      <c r="H97" t="n">
        <v>1</v>
      </c>
      <c r="I97" t="n">
        <v>0</v>
      </c>
      <c r="J97" t="n">
        <v>0</v>
      </c>
      <c r="K97" t="n">
        <v>0</v>
      </c>
      <c r="L97" t="n">
        <v>0</v>
      </c>
      <c r="M97" t="n">
        <v>0</v>
      </c>
      <c r="N97" t="n">
        <v>0</v>
      </c>
      <c r="O97" t="n">
        <v>0</v>
      </c>
      <c r="P97" t="n">
        <v>0</v>
      </c>
      <c r="Q97" t="n">
        <v>1</v>
      </c>
      <c r="R97" s="2" t="inlineStr">
        <is>
          <t>Vanlig padda</t>
        </is>
      </c>
      <c r="S97">
        <f>HYPERLINK("https://klasma.github.io/Logging_0188/artfynd/A 42313-2025 artfynd.xlsx", "A 42313-2025")</f>
        <v/>
      </c>
      <c r="T97">
        <f>HYPERLINK("https://klasma.github.io/Logging_0188/kartor/A 42313-2025 karta.png", "A 42313-2025")</f>
        <v/>
      </c>
      <c r="V97">
        <f>HYPERLINK("https://klasma.github.io/Logging_0188/klagomål/A 42313-2025 FSC-klagomål.docx", "A 42313-2025")</f>
        <v/>
      </c>
      <c r="W97">
        <f>HYPERLINK("https://klasma.github.io/Logging_0188/klagomålsmail/A 42313-2025 FSC-klagomål mail.docx", "A 42313-2025")</f>
        <v/>
      </c>
      <c r="X97">
        <f>HYPERLINK("https://klasma.github.io/Logging_0188/tillsyn/A 42313-2025 tillsynsbegäran.docx", "A 42313-2025")</f>
        <v/>
      </c>
      <c r="Y97">
        <f>HYPERLINK("https://klasma.github.io/Logging_0188/tillsynsmail/A 42313-2025 tillsynsbegäran mail.docx", "A 42313-2025")</f>
        <v/>
      </c>
    </row>
    <row r="98" ht="15" customHeight="1">
      <c r="A98" t="inlineStr">
        <is>
          <t>A 47898-2022</t>
        </is>
      </c>
      <c r="B98" s="1" t="n">
        <v>44855</v>
      </c>
      <c r="C98" s="1" t="n">
        <v>46113</v>
      </c>
      <c r="D98" t="inlineStr">
        <is>
          <t>STOCKHOLMS LÄN</t>
        </is>
      </c>
      <c r="E98" t="inlineStr">
        <is>
          <t>NORRTÄLJE</t>
        </is>
      </c>
      <c r="G98" t="n">
        <v>6.7</v>
      </c>
      <c r="H98" t="n">
        <v>1</v>
      </c>
      <c r="I98" t="n">
        <v>1</v>
      </c>
      <c r="J98" t="n">
        <v>0</v>
      </c>
      <c r="K98" t="n">
        <v>0</v>
      </c>
      <c r="L98" t="n">
        <v>0</v>
      </c>
      <c r="M98" t="n">
        <v>0</v>
      </c>
      <c r="N98" t="n">
        <v>0</v>
      </c>
      <c r="O98" t="n">
        <v>0</v>
      </c>
      <c r="P98" t="n">
        <v>0</v>
      </c>
      <c r="Q98" t="n">
        <v>1</v>
      </c>
      <c r="R98" s="2" t="inlineStr">
        <is>
          <t>Guckusko</t>
        </is>
      </c>
      <c r="S98">
        <f>HYPERLINK("https://klasma.github.io/Logging_0188/artfynd/A 47898-2022 artfynd.xlsx", "A 47898-2022")</f>
        <v/>
      </c>
      <c r="T98">
        <f>HYPERLINK("https://klasma.github.io/Logging_0188/kartor/A 47898-2022 karta.png", "A 47898-2022")</f>
        <v/>
      </c>
      <c r="V98">
        <f>HYPERLINK("https://klasma.github.io/Logging_0188/klagomål/A 47898-2022 FSC-klagomål.docx", "A 47898-2022")</f>
        <v/>
      </c>
      <c r="W98">
        <f>HYPERLINK("https://klasma.github.io/Logging_0188/klagomålsmail/A 47898-2022 FSC-klagomål mail.docx", "A 47898-2022")</f>
        <v/>
      </c>
      <c r="X98">
        <f>HYPERLINK("https://klasma.github.io/Logging_0188/tillsyn/A 47898-2022 tillsynsbegäran.docx", "A 47898-2022")</f>
        <v/>
      </c>
      <c r="Y98">
        <f>HYPERLINK("https://klasma.github.io/Logging_0188/tillsynsmail/A 47898-2022 tillsynsbegäran mail.docx", "A 47898-2022")</f>
        <v/>
      </c>
    </row>
    <row r="99" ht="15" customHeight="1">
      <c r="A99" t="inlineStr">
        <is>
          <t>A 4595-2023</t>
        </is>
      </c>
      <c r="B99" s="1" t="n">
        <v>44956</v>
      </c>
      <c r="C99" s="1" t="n">
        <v>46113</v>
      </c>
      <c r="D99" t="inlineStr">
        <is>
          <t>STOCKHOLMS LÄN</t>
        </is>
      </c>
      <c r="E99" t="inlineStr">
        <is>
          <t>NORRTÄLJE</t>
        </is>
      </c>
      <c r="G99" t="n">
        <v>0.6</v>
      </c>
      <c r="H99" t="n">
        <v>1</v>
      </c>
      <c r="I99" t="n">
        <v>0</v>
      </c>
      <c r="J99" t="n">
        <v>0</v>
      </c>
      <c r="K99" t="n">
        <v>0</v>
      </c>
      <c r="L99" t="n">
        <v>0</v>
      </c>
      <c r="M99" t="n">
        <v>0</v>
      </c>
      <c r="N99" t="n">
        <v>0</v>
      </c>
      <c r="O99" t="n">
        <v>0</v>
      </c>
      <c r="P99" t="n">
        <v>0</v>
      </c>
      <c r="Q99" t="n">
        <v>1</v>
      </c>
      <c r="R99" s="2" t="inlineStr">
        <is>
          <t>Blåsippa</t>
        </is>
      </c>
      <c r="S99">
        <f>HYPERLINK("https://klasma.github.io/Logging_0188/artfynd/A 4595-2023 artfynd.xlsx", "A 4595-2023")</f>
        <v/>
      </c>
      <c r="T99">
        <f>HYPERLINK("https://klasma.github.io/Logging_0188/kartor/A 4595-2023 karta.png", "A 4595-2023")</f>
        <v/>
      </c>
      <c r="V99">
        <f>HYPERLINK("https://klasma.github.io/Logging_0188/klagomål/A 4595-2023 FSC-klagomål.docx", "A 4595-2023")</f>
        <v/>
      </c>
      <c r="W99">
        <f>HYPERLINK("https://klasma.github.io/Logging_0188/klagomålsmail/A 4595-2023 FSC-klagomål mail.docx", "A 4595-2023")</f>
        <v/>
      </c>
      <c r="X99">
        <f>HYPERLINK("https://klasma.github.io/Logging_0188/tillsyn/A 4595-2023 tillsynsbegäran.docx", "A 4595-2023")</f>
        <v/>
      </c>
      <c r="Y99">
        <f>HYPERLINK("https://klasma.github.io/Logging_0188/tillsynsmail/A 4595-2023 tillsynsbegäran mail.docx", "A 4595-2023")</f>
        <v/>
      </c>
    </row>
    <row r="100" ht="15" customHeight="1">
      <c r="A100" t="inlineStr">
        <is>
          <t>A 21744-2023</t>
        </is>
      </c>
      <c r="B100" s="1" t="n">
        <v>45065</v>
      </c>
      <c r="C100" s="1" t="n">
        <v>46113</v>
      </c>
      <c r="D100" t="inlineStr">
        <is>
          <t>STOCKHOLMS LÄN</t>
        </is>
      </c>
      <c r="E100" t="inlineStr">
        <is>
          <t>NORRTÄLJE</t>
        </is>
      </c>
      <c r="F100" t="inlineStr">
        <is>
          <t>Holmen skog AB</t>
        </is>
      </c>
      <c r="G100" t="n">
        <v>4.2</v>
      </c>
      <c r="H100" t="n">
        <v>0</v>
      </c>
      <c r="I100" t="n">
        <v>1</v>
      </c>
      <c r="J100" t="n">
        <v>0</v>
      </c>
      <c r="K100" t="n">
        <v>0</v>
      </c>
      <c r="L100" t="n">
        <v>0</v>
      </c>
      <c r="M100" t="n">
        <v>0</v>
      </c>
      <c r="N100" t="n">
        <v>0</v>
      </c>
      <c r="O100" t="n">
        <v>0</v>
      </c>
      <c r="P100" t="n">
        <v>0</v>
      </c>
      <c r="Q100" t="n">
        <v>1</v>
      </c>
      <c r="R100" s="2" t="inlineStr">
        <is>
          <t>Korallblylav</t>
        </is>
      </c>
      <c r="S100">
        <f>HYPERLINK("https://klasma.github.io/Logging_0188/artfynd/A 21744-2023 artfynd.xlsx", "A 21744-2023")</f>
        <v/>
      </c>
      <c r="T100">
        <f>HYPERLINK("https://klasma.github.io/Logging_0188/kartor/A 21744-2023 karta.png", "A 21744-2023")</f>
        <v/>
      </c>
      <c r="V100">
        <f>HYPERLINK("https://klasma.github.io/Logging_0188/klagomål/A 21744-2023 FSC-klagomål.docx", "A 21744-2023")</f>
        <v/>
      </c>
      <c r="W100">
        <f>HYPERLINK("https://klasma.github.io/Logging_0188/klagomålsmail/A 21744-2023 FSC-klagomål mail.docx", "A 21744-2023")</f>
        <v/>
      </c>
      <c r="X100">
        <f>HYPERLINK("https://klasma.github.io/Logging_0188/tillsyn/A 21744-2023 tillsynsbegäran.docx", "A 21744-2023")</f>
        <v/>
      </c>
      <c r="Y100">
        <f>HYPERLINK("https://klasma.github.io/Logging_0188/tillsynsmail/A 21744-2023 tillsynsbegäran mail.docx", "A 21744-2023")</f>
        <v/>
      </c>
    </row>
    <row r="101" ht="15" customHeight="1">
      <c r="A101" t="inlineStr">
        <is>
          <t>A 25709-2025</t>
        </is>
      </c>
      <c r="B101" s="1" t="n">
        <v>45800</v>
      </c>
      <c r="C101" s="1" t="n">
        <v>46113</v>
      </c>
      <c r="D101" t="inlineStr">
        <is>
          <t>STOCKHOLMS LÄN</t>
        </is>
      </c>
      <c r="E101" t="inlineStr">
        <is>
          <t>NORRTÄLJE</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HYPERLINK("https://klasma.github.io/Logging_0188/artfynd/A 25709-2025 artfynd.xlsx", "A 25709-2025")</f>
        <v/>
      </c>
      <c r="T101">
        <f>HYPERLINK("https://klasma.github.io/Logging_0188/kartor/A 25709-2025 karta.png", "A 25709-2025")</f>
        <v/>
      </c>
      <c r="V101">
        <f>HYPERLINK("https://klasma.github.io/Logging_0188/klagomål/A 25709-2025 FSC-klagomål.docx", "A 25709-2025")</f>
        <v/>
      </c>
      <c r="W101">
        <f>HYPERLINK("https://klasma.github.io/Logging_0188/klagomålsmail/A 25709-2025 FSC-klagomål mail.docx", "A 25709-2025")</f>
        <v/>
      </c>
      <c r="X101">
        <f>HYPERLINK("https://klasma.github.io/Logging_0188/tillsyn/A 25709-2025 tillsynsbegäran.docx", "A 25709-2025")</f>
        <v/>
      </c>
      <c r="Y101">
        <f>HYPERLINK("https://klasma.github.io/Logging_0188/tillsynsmail/A 25709-2025 tillsynsbegäran mail.docx", "A 25709-2025")</f>
        <v/>
      </c>
    </row>
    <row r="102" ht="15" customHeight="1">
      <c r="A102" t="inlineStr">
        <is>
          <t>A 23146-2024</t>
        </is>
      </c>
      <c r="B102" s="1" t="n">
        <v>45450.63958333333</v>
      </c>
      <c r="C102" s="1" t="n">
        <v>46113</v>
      </c>
      <c r="D102" t="inlineStr">
        <is>
          <t>STOCKHOLMS LÄN</t>
        </is>
      </c>
      <c r="E102" t="inlineStr">
        <is>
          <t>NORRTÄLJE</t>
        </is>
      </c>
      <c r="F102" t="inlineStr">
        <is>
          <t>Kommuner</t>
        </is>
      </c>
      <c r="G102" t="n">
        <v>6</v>
      </c>
      <c r="H102" t="n">
        <v>0</v>
      </c>
      <c r="I102" t="n">
        <v>0</v>
      </c>
      <c r="J102" t="n">
        <v>1</v>
      </c>
      <c r="K102" t="n">
        <v>0</v>
      </c>
      <c r="L102" t="n">
        <v>0</v>
      </c>
      <c r="M102" t="n">
        <v>0</v>
      </c>
      <c r="N102" t="n">
        <v>0</v>
      </c>
      <c r="O102" t="n">
        <v>1</v>
      </c>
      <c r="P102" t="n">
        <v>0</v>
      </c>
      <c r="Q102" t="n">
        <v>1</v>
      </c>
      <c r="R102" s="2" t="inlineStr">
        <is>
          <t>Motaggsvamp</t>
        </is>
      </c>
      <c r="S102">
        <f>HYPERLINK("https://klasma.github.io/Logging_0188/artfynd/A 23146-2024 artfynd.xlsx", "A 23146-2024")</f>
        <v/>
      </c>
      <c r="T102">
        <f>HYPERLINK("https://klasma.github.io/Logging_0188/kartor/A 23146-2024 karta.png", "A 23146-2024")</f>
        <v/>
      </c>
      <c r="V102">
        <f>HYPERLINK("https://klasma.github.io/Logging_0188/klagomål/A 23146-2024 FSC-klagomål.docx", "A 23146-2024")</f>
        <v/>
      </c>
      <c r="W102">
        <f>HYPERLINK("https://klasma.github.io/Logging_0188/klagomålsmail/A 23146-2024 FSC-klagomål mail.docx", "A 23146-2024")</f>
        <v/>
      </c>
      <c r="X102">
        <f>HYPERLINK("https://klasma.github.io/Logging_0188/tillsyn/A 23146-2024 tillsynsbegäran.docx", "A 23146-2024")</f>
        <v/>
      </c>
      <c r="Y102">
        <f>HYPERLINK("https://klasma.github.io/Logging_0188/tillsynsmail/A 23146-2024 tillsynsbegäran mail.docx", "A 23146-2024")</f>
        <v/>
      </c>
    </row>
    <row r="103" ht="15" customHeight="1">
      <c r="A103" t="inlineStr">
        <is>
          <t>A 4860-2022</t>
        </is>
      </c>
      <c r="B103" s="1" t="n">
        <v>44592</v>
      </c>
      <c r="C103" s="1" t="n">
        <v>46113</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25725-2025</t>
        </is>
      </c>
      <c r="B104" s="1" t="n">
        <v>45800</v>
      </c>
      <c r="C104" s="1" t="n">
        <v>46113</v>
      </c>
      <c r="D104" t="inlineStr">
        <is>
          <t>STOCKHOLMS LÄN</t>
        </is>
      </c>
      <c r="E104" t="inlineStr">
        <is>
          <t>NORRTÄLJE</t>
        </is>
      </c>
      <c r="G104" t="n">
        <v>5.2</v>
      </c>
      <c r="H104" t="n">
        <v>0</v>
      </c>
      <c r="I104" t="n">
        <v>0</v>
      </c>
      <c r="J104" t="n">
        <v>1</v>
      </c>
      <c r="K104" t="n">
        <v>0</v>
      </c>
      <c r="L104" t="n">
        <v>0</v>
      </c>
      <c r="M104" t="n">
        <v>0</v>
      </c>
      <c r="N104" t="n">
        <v>0</v>
      </c>
      <c r="O104" t="n">
        <v>1</v>
      </c>
      <c r="P104" t="n">
        <v>0</v>
      </c>
      <c r="Q104" t="n">
        <v>1</v>
      </c>
      <c r="R104" s="2" t="inlineStr">
        <is>
          <t>Tallticka</t>
        </is>
      </c>
      <c r="S104">
        <f>HYPERLINK("https://klasma.github.io/Logging_0188/artfynd/A 25725-2025 artfynd.xlsx", "A 25725-2025")</f>
        <v/>
      </c>
      <c r="T104">
        <f>HYPERLINK("https://klasma.github.io/Logging_0188/kartor/A 25725-2025 karta.png", "A 25725-2025")</f>
        <v/>
      </c>
      <c r="V104">
        <f>HYPERLINK("https://klasma.github.io/Logging_0188/klagomål/A 25725-2025 FSC-klagomål.docx", "A 25725-2025")</f>
        <v/>
      </c>
      <c r="W104">
        <f>HYPERLINK("https://klasma.github.io/Logging_0188/klagomålsmail/A 25725-2025 FSC-klagomål mail.docx", "A 25725-2025")</f>
        <v/>
      </c>
      <c r="X104">
        <f>HYPERLINK("https://klasma.github.io/Logging_0188/tillsyn/A 25725-2025 tillsynsbegäran.docx", "A 25725-2025")</f>
        <v/>
      </c>
      <c r="Y104">
        <f>HYPERLINK("https://klasma.github.io/Logging_0188/tillsynsmail/A 25725-2025 tillsynsbegäran mail.docx", "A 25725-2025")</f>
        <v/>
      </c>
    </row>
    <row r="105" ht="15" customHeight="1">
      <c r="A105" t="inlineStr">
        <is>
          <t>A 27538-2024</t>
        </is>
      </c>
      <c r="B105" s="1" t="n">
        <v>45474</v>
      </c>
      <c r="C105" s="1" t="n">
        <v>46113</v>
      </c>
      <c r="D105" t="inlineStr">
        <is>
          <t>STOCKHOLMS LÄN</t>
        </is>
      </c>
      <c r="E105" t="inlineStr">
        <is>
          <t>NORRTÄLJE</t>
        </is>
      </c>
      <c r="G105" t="n">
        <v>1.5</v>
      </c>
      <c r="H105" t="n">
        <v>1</v>
      </c>
      <c r="I105" t="n">
        <v>1</v>
      </c>
      <c r="J105" t="n">
        <v>0</v>
      </c>
      <c r="K105" t="n">
        <v>0</v>
      </c>
      <c r="L105" t="n">
        <v>0</v>
      </c>
      <c r="M105" t="n">
        <v>0</v>
      </c>
      <c r="N105" t="n">
        <v>0</v>
      </c>
      <c r="O105" t="n">
        <v>0</v>
      </c>
      <c r="P105" t="n">
        <v>0</v>
      </c>
      <c r="Q105" t="n">
        <v>1</v>
      </c>
      <c r="R105" s="2" t="inlineStr">
        <is>
          <t>Skogsknipprot</t>
        </is>
      </c>
      <c r="S105">
        <f>HYPERLINK("https://klasma.github.io/Logging_0188/artfynd/A 27538-2024 artfynd.xlsx", "A 27538-2024")</f>
        <v/>
      </c>
      <c r="T105">
        <f>HYPERLINK("https://klasma.github.io/Logging_0188/kartor/A 27538-2024 karta.png", "A 27538-2024")</f>
        <v/>
      </c>
      <c r="V105">
        <f>HYPERLINK("https://klasma.github.io/Logging_0188/klagomål/A 27538-2024 FSC-klagomål.docx", "A 27538-2024")</f>
        <v/>
      </c>
      <c r="W105">
        <f>HYPERLINK("https://klasma.github.io/Logging_0188/klagomålsmail/A 27538-2024 FSC-klagomål mail.docx", "A 27538-2024")</f>
        <v/>
      </c>
      <c r="X105">
        <f>HYPERLINK("https://klasma.github.io/Logging_0188/tillsyn/A 27538-2024 tillsynsbegäran.docx", "A 27538-2024")</f>
        <v/>
      </c>
      <c r="Y105">
        <f>HYPERLINK("https://klasma.github.io/Logging_0188/tillsynsmail/A 27538-2024 tillsynsbegäran mail.docx", "A 27538-2024")</f>
        <v/>
      </c>
    </row>
    <row r="106" ht="15" customHeight="1">
      <c r="A106" t="inlineStr">
        <is>
          <t>A 39158-2025</t>
        </is>
      </c>
      <c r="B106" s="1" t="n">
        <v>45888</v>
      </c>
      <c r="C106" s="1" t="n">
        <v>46113</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4385-2023</t>
        </is>
      </c>
      <c r="B107" s="1" t="n">
        <v>44955.71322916666</v>
      </c>
      <c r="C107" s="1" t="n">
        <v>46113</v>
      </c>
      <c r="D107" t="inlineStr">
        <is>
          <t>STOCKHOLMS LÄN</t>
        </is>
      </c>
      <c r="E107" t="inlineStr">
        <is>
          <t>NORRTÄLJE</t>
        </is>
      </c>
      <c r="G107" t="n">
        <v>7.8</v>
      </c>
      <c r="H107" t="n">
        <v>1</v>
      </c>
      <c r="I107" t="n">
        <v>1</v>
      </c>
      <c r="J107" t="n">
        <v>0</v>
      </c>
      <c r="K107" t="n">
        <v>0</v>
      </c>
      <c r="L107" t="n">
        <v>0</v>
      </c>
      <c r="M107" t="n">
        <v>0</v>
      </c>
      <c r="N107" t="n">
        <v>0</v>
      </c>
      <c r="O107" t="n">
        <v>0</v>
      </c>
      <c r="P107" t="n">
        <v>0</v>
      </c>
      <c r="Q107" t="n">
        <v>1</v>
      </c>
      <c r="R107" s="2" t="inlineStr">
        <is>
          <t>Skogsknipprot</t>
        </is>
      </c>
      <c r="S107">
        <f>HYPERLINK("https://klasma.github.io/Logging_0188/artfynd/A 4385-2023 artfynd.xlsx", "A 4385-2023")</f>
        <v/>
      </c>
      <c r="T107">
        <f>HYPERLINK("https://klasma.github.io/Logging_0188/kartor/A 4385-2023 karta.png", "A 4385-2023")</f>
        <v/>
      </c>
      <c r="V107">
        <f>HYPERLINK("https://klasma.github.io/Logging_0188/klagomål/A 4385-2023 FSC-klagomål.docx", "A 4385-2023")</f>
        <v/>
      </c>
      <c r="W107">
        <f>HYPERLINK("https://klasma.github.io/Logging_0188/klagomålsmail/A 4385-2023 FSC-klagomål mail.docx", "A 4385-2023")</f>
        <v/>
      </c>
      <c r="X107">
        <f>HYPERLINK("https://klasma.github.io/Logging_0188/tillsyn/A 4385-2023 tillsynsbegäran.docx", "A 4385-2023")</f>
        <v/>
      </c>
      <c r="Y107">
        <f>HYPERLINK("https://klasma.github.io/Logging_0188/tillsynsmail/A 4385-2023 tillsynsbegäran mail.docx", "A 4385-2023")</f>
        <v/>
      </c>
    </row>
    <row r="108" ht="15" customHeight="1">
      <c r="A108" t="inlineStr">
        <is>
          <t>A 35649-2023</t>
        </is>
      </c>
      <c r="B108" s="1" t="n">
        <v>45146</v>
      </c>
      <c r="C108" s="1" t="n">
        <v>46113</v>
      </c>
      <c r="D108" t="inlineStr">
        <is>
          <t>STOCKHOLMS LÄN</t>
        </is>
      </c>
      <c r="E108" t="inlineStr">
        <is>
          <t>NORRTÄLJE</t>
        </is>
      </c>
      <c r="G108" t="n">
        <v>25.1</v>
      </c>
      <c r="H108" t="n">
        <v>0</v>
      </c>
      <c r="I108" t="n">
        <v>0</v>
      </c>
      <c r="J108" t="n">
        <v>1</v>
      </c>
      <c r="K108" t="n">
        <v>0</v>
      </c>
      <c r="L108" t="n">
        <v>0</v>
      </c>
      <c r="M108" t="n">
        <v>0</v>
      </c>
      <c r="N108" t="n">
        <v>0</v>
      </c>
      <c r="O108" t="n">
        <v>1</v>
      </c>
      <c r="P108" t="n">
        <v>0</v>
      </c>
      <c r="Q108" t="n">
        <v>1</v>
      </c>
      <c r="R108" s="2" t="inlineStr">
        <is>
          <t>Månlåsbräken</t>
        </is>
      </c>
      <c r="S108">
        <f>HYPERLINK("https://klasma.github.io/Logging_0188/artfynd/A 35649-2023 artfynd.xlsx", "A 35649-2023")</f>
        <v/>
      </c>
      <c r="T108">
        <f>HYPERLINK("https://klasma.github.io/Logging_0188/kartor/A 35649-2023 karta.png", "A 35649-2023")</f>
        <v/>
      </c>
      <c r="V108">
        <f>HYPERLINK("https://klasma.github.io/Logging_0188/klagomål/A 35649-2023 FSC-klagomål.docx", "A 35649-2023")</f>
        <v/>
      </c>
      <c r="W108">
        <f>HYPERLINK("https://klasma.github.io/Logging_0188/klagomålsmail/A 35649-2023 FSC-klagomål mail.docx", "A 35649-2023")</f>
        <v/>
      </c>
      <c r="X108">
        <f>HYPERLINK("https://klasma.github.io/Logging_0188/tillsyn/A 35649-2023 tillsynsbegäran.docx", "A 35649-2023")</f>
        <v/>
      </c>
      <c r="Y108">
        <f>HYPERLINK("https://klasma.github.io/Logging_0188/tillsynsmail/A 35649-2023 tillsynsbegäran mail.docx", "A 35649-2023")</f>
        <v/>
      </c>
    </row>
    <row r="109" ht="15" customHeight="1">
      <c r="A109" t="inlineStr">
        <is>
          <t>A 13291-2025</t>
        </is>
      </c>
      <c r="B109" s="1" t="n">
        <v>45735</v>
      </c>
      <c r="C109" s="1" t="n">
        <v>46113</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24330-2023</t>
        </is>
      </c>
      <c r="B110" s="1" t="n">
        <v>45081</v>
      </c>
      <c r="C110" s="1" t="n">
        <v>46113</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35764-2024</t>
        </is>
      </c>
      <c r="B111" s="1" t="n">
        <v>45532</v>
      </c>
      <c r="C111" s="1" t="n">
        <v>46113</v>
      </c>
      <c r="D111" t="inlineStr">
        <is>
          <t>STOCKHOLMS LÄN</t>
        </is>
      </c>
      <c r="E111" t="inlineStr">
        <is>
          <t>NORRTÄLJE</t>
        </is>
      </c>
      <c r="G111" t="n">
        <v>14.2</v>
      </c>
      <c r="H111" t="n">
        <v>1</v>
      </c>
      <c r="I111" t="n">
        <v>0</v>
      </c>
      <c r="J111" t="n">
        <v>0</v>
      </c>
      <c r="K111" t="n">
        <v>1</v>
      </c>
      <c r="L111" t="n">
        <v>0</v>
      </c>
      <c r="M111" t="n">
        <v>0</v>
      </c>
      <c r="N111" t="n">
        <v>0</v>
      </c>
      <c r="O111" t="n">
        <v>1</v>
      </c>
      <c r="P111" t="n">
        <v>1</v>
      </c>
      <c r="Q111" t="n">
        <v>1</v>
      </c>
      <c r="R111" s="2" t="inlineStr">
        <is>
          <t>Knärot</t>
        </is>
      </c>
      <c r="S111">
        <f>HYPERLINK("https://klasma.github.io/Logging_0188/artfynd/A 35764-2024 artfynd.xlsx", "A 35764-2024")</f>
        <v/>
      </c>
      <c r="T111">
        <f>HYPERLINK("https://klasma.github.io/Logging_0188/kartor/A 35764-2024 karta.png", "A 35764-2024")</f>
        <v/>
      </c>
      <c r="U111">
        <f>HYPERLINK("https://klasma.github.io/Logging_0188/knärot/A 35764-2024 karta knärot.png", "A 35764-2024")</f>
        <v/>
      </c>
      <c r="V111">
        <f>HYPERLINK("https://klasma.github.io/Logging_0188/klagomål/A 35764-2024 FSC-klagomål.docx", "A 35764-2024")</f>
        <v/>
      </c>
      <c r="W111">
        <f>HYPERLINK("https://klasma.github.io/Logging_0188/klagomålsmail/A 35764-2024 FSC-klagomål mail.docx", "A 35764-2024")</f>
        <v/>
      </c>
      <c r="X111">
        <f>HYPERLINK("https://klasma.github.io/Logging_0188/tillsyn/A 35764-2024 tillsynsbegäran.docx", "A 35764-2024")</f>
        <v/>
      </c>
      <c r="Y111">
        <f>HYPERLINK("https://klasma.github.io/Logging_0188/tillsynsmail/A 35764-2024 tillsynsbegäran mail.docx", "A 35764-2024")</f>
        <v/>
      </c>
    </row>
    <row r="112" ht="15" customHeight="1">
      <c r="A112" t="inlineStr">
        <is>
          <t>A 24535-2023</t>
        </is>
      </c>
      <c r="B112" s="1" t="n">
        <v>45082</v>
      </c>
      <c r="C112" s="1" t="n">
        <v>46113</v>
      </c>
      <c r="D112" t="inlineStr">
        <is>
          <t>STOCKHOLMS LÄN</t>
        </is>
      </c>
      <c r="E112" t="inlineStr">
        <is>
          <t>NORRTÄLJE</t>
        </is>
      </c>
      <c r="F112" t="inlineStr">
        <is>
          <t>Kommuner</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HYPERLINK("https://klasma.github.io/Logging_0188/artfynd/A 24535-2023 artfynd.xlsx", "A 24535-2023")</f>
        <v/>
      </c>
      <c r="T112">
        <f>HYPERLINK("https://klasma.github.io/Logging_0188/kartor/A 24535-2023 karta.png", "A 24535-2023")</f>
        <v/>
      </c>
      <c r="V112">
        <f>HYPERLINK("https://klasma.github.io/Logging_0188/klagomål/A 24535-2023 FSC-klagomål.docx", "A 24535-2023")</f>
        <v/>
      </c>
      <c r="W112">
        <f>HYPERLINK("https://klasma.github.io/Logging_0188/klagomålsmail/A 24535-2023 FSC-klagomål mail.docx", "A 24535-2023")</f>
        <v/>
      </c>
      <c r="X112">
        <f>HYPERLINK("https://klasma.github.io/Logging_0188/tillsyn/A 24535-2023 tillsynsbegäran.docx", "A 24535-2023")</f>
        <v/>
      </c>
      <c r="Y112">
        <f>HYPERLINK("https://klasma.github.io/Logging_0188/tillsynsmail/A 24535-2023 tillsynsbegäran mail.docx", "A 24535-2023")</f>
        <v/>
      </c>
    </row>
    <row r="113" ht="15" customHeight="1">
      <c r="A113" t="inlineStr">
        <is>
          <t>A 25669-2025</t>
        </is>
      </c>
      <c r="B113" s="1" t="n">
        <v>45803.62766203703</v>
      </c>
      <c r="C113" s="1" t="n">
        <v>46113</v>
      </c>
      <c r="D113" t="inlineStr">
        <is>
          <t>STOCKHOLMS LÄN</t>
        </is>
      </c>
      <c r="E113" t="inlineStr">
        <is>
          <t>NORRTÄLJE</t>
        </is>
      </c>
      <c r="F113" t="inlineStr">
        <is>
          <t>Holmen skog AB</t>
        </is>
      </c>
      <c r="G113" t="n">
        <v>3.1</v>
      </c>
      <c r="H113" t="n">
        <v>1</v>
      </c>
      <c r="I113" t="n">
        <v>0</v>
      </c>
      <c r="J113" t="n">
        <v>0</v>
      </c>
      <c r="K113" t="n">
        <v>0</v>
      </c>
      <c r="L113" t="n">
        <v>0</v>
      </c>
      <c r="M113" t="n">
        <v>0</v>
      </c>
      <c r="N113" t="n">
        <v>0</v>
      </c>
      <c r="O113" t="n">
        <v>0</v>
      </c>
      <c r="P113" t="n">
        <v>0</v>
      </c>
      <c r="Q113" t="n">
        <v>1</v>
      </c>
      <c r="R113" s="2" t="inlineStr">
        <is>
          <t>Tjäder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26635-2023</t>
        </is>
      </c>
      <c r="B114" s="1" t="n">
        <v>45092</v>
      </c>
      <c r="C114" s="1" t="n">
        <v>46113</v>
      </c>
      <c r="D114" t="inlineStr">
        <is>
          <t>STOCKHOLMS LÄN</t>
        </is>
      </c>
      <c r="E114" t="inlineStr">
        <is>
          <t>NORRTÄLJE</t>
        </is>
      </c>
      <c r="G114" t="n">
        <v>3.1</v>
      </c>
      <c r="H114" t="n">
        <v>1</v>
      </c>
      <c r="I114" t="n">
        <v>0</v>
      </c>
      <c r="J114" t="n">
        <v>0</v>
      </c>
      <c r="K114" t="n">
        <v>0</v>
      </c>
      <c r="L114" t="n">
        <v>0</v>
      </c>
      <c r="M114" t="n">
        <v>0</v>
      </c>
      <c r="N114" t="n">
        <v>0</v>
      </c>
      <c r="O114" t="n">
        <v>0</v>
      </c>
      <c r="P114" t="n">
        <v>0</v>
      </c>
      <c r="Q114" t="n">
        <v>1</v>
      </c>
      <c r="R114" s="2" t="inlineStr">
        <is>
          <t>Fläcknycklar</t>
        </is>
      </c>
      <c r="S114">
        <f>HYPERLINK("https://klasma.github.io/Logging_0188/artfynd/A 26635-2023 artfynd.xlsx", "A 26635-2023")</f>
        <v/>
      </c>
      <c r="T114">
        <f>HYPERLINK("https://klasma.github.io/Logging_0188/kartor/A 26635-2023 karta.png", "A 26635-2023")</f>
        <v/>
      </c>
      <c r="V114">
        <f>HYPERLINK("https://klasma.github.io/Logging_0188/klagomål/A 26635-2023 FSC-klagomål.docx", "A 26635-2023")</f>
        <v/>
      </c>
      <c r="W114">
        <f>HYPERLINK("https://klasma.github.io/Logging_0188/klagomålsmail/A 26635-2023 FSC-klagomål mail.docx", "A 26635-2023")</f>
        <v/>
      </c>
      <c r="X114">
        <f>HYPERLINK("https://klasma.github.io/Logging_0188/tillsyn/A 26635-2023 tillsynsbegäran.docx", "A 26635-2023")</f>
        <v/>
      </c>
      <c r="Y114">
        <f>HYPERLINK("https://klasma.github.io/Logging_0188/tillsynsmail/A 26635-2023 tillsynsbegäran mail.docx", "A 26635-2023")</f>
        <v/>
      </c>
    </row>
    <row r="115" ht="15" customHeight="1">
      <c r="A115" t="inlineStr">
        <is>
          <t>A 28816-2023</t>
        </is>
      </c>
      <c r="B115" s="1" t="n">
        <v>45104</v>
      </c>
      <c r="C115" s="1" t="n">
        <v>46113</v>
      </c>
      <c r="D115" t="inlineStr">
        <is>
          <t>STOCKHOLMS LÄN</t>
        </is>
      </c>
      <c r="E115" t="inlineStr">
        <is>
          <t>NORRTÄLJE</t>
        </is>
      </c>
      <c r="F115" t="inlineStr">
        <is>
          <t>Kommuner</t>
        </is>
      </c>
      <c r="G115" t="n">
        <v>0.5</v>
      </c>
      <c r="H115" t="n">
        <v>1</v>
      </c>
      <c r="I115" t="n">
        <v>0</v>
      </c>
      <c r="J115" t="n">
        <v>0</v>
      </c>
      <c r="K115" t="n">
        <v>0</v>
      </c>
      <c r="L115" t="n">
        <v>0</v>
      </c>
      <c r="M115" t="n">
        <v>0</v>
      </c>
      <c r="N115" t="n">
        <v>0</v>
      </c>
      <c r="O115" t="n">
        <v>0</v>
      </c>
      <c r="P115" t="n">
        <v>0</v>
      </c>
      <c r="Q115" t="n">
        <v>1</v>
      </c>
      <c r="R115" s="2" t="inlineStr">
        <is>
          <t>Kungsfågel</t>
        </is>
      </c>
      <c r="S115">
        <f>HYPERLINK("https://klasma.github.io/Logging_0188/artfynd/A 28816-2023 artfynd.xlsx", "A 28816-2023")</f>
        <v/>
      </c>
      <c r="T115">
        <f>HYPERLINK("https://klasma.github.io/Logging_0188/kartor/A 28816-2023 karta.png", "A 28816-2023")</f>
        <v/>
      </c>
      <c r="V115">
        <f>HYPERLINK("https://klasma.github.io/Logging_0188/klagomål/A 28816-2023 FSC-klagomål.docx", "A 28816-2023")</f>
        <v/>
      </c>
      <c r="W115">
        <f>HYPERLINK("https://klasma.github.io/Logging_0188/klagomålsmail/A 28816-2023 FSC-klagomål mail.docx", "A 28816-2023")</f>
        <v/>
      </c>
      <c r="X115">
        <f>HYPERLINK("https://klasma.github.io/Logging_0188/tillsyn/A 28816-2023 tillsynsbegäran.docx", "A 28816-2023")</f>
        <v/>
      </c>
      <c r="Y115">
        <f>HYPERLINK("https://klasma.github.io/Logging_0188/tillsynsmail/A 28816-2023 tillsynsbegäran mail.docx", "A 28816-2023")</f>
        <v/>
      </c>
      <c r="Z115">
        <f>HYPERLINK("https://klasma.github.io/Logging_0188/fåglar/A 28816-2023 prioriterade fågelarter.docx", "A 28816-2023")</f>
        <v/>
      </c>
    </row>
    <row r="116" ht="15" customHeight="1">
      <c r="A116" t="inlineStr">
        <is>
          <t>A 19829-2022</t>
        </is>
      </c>
      <c r="B116" s="1" t="n">
        <v>44695.43527777777</v>
      </c>
      <c r="C116" s="1" t="n">
        <v>46113</v>
      </c>
      <c r="D116" t="inlineStr">
        <is>
          <t>STOCKHOLMS LÄN</t>
        </is>
      </c>
      <c r="E116" t="inlineStr">
        <is>
          <t>NORRTÄLJE</t>
        </is>
      </c>
      <c r="G116" t="n">
        <v>2</v>
      </c>
      <c r="H116" t="n">
        <v>1</v>
      </c>
      <c r="I116" t="n">
        <v>1</v>
      </c>
      <c r="J116" t="n">
        <v>0</v>
      </c>
      <c r="K116" t="n">
        <v>0</v>
      </c>
      <c r="L116" t="n">
        <v>0</v>
      </c>
      <c r="M116" t="n">
        <v>0</v>
      </c>
      <c r="N116" t="n">
        <v>0</v>
      </c>
      <c r="O116" t="n">
        <v>0</v>
      </c>
      <c r="P116" t="n">
        <v>0</v>
      </c>
      <c r="Q116" t="n">
        <v>1</v>
      </c>
      <c r="R116" s="2" t="inlineStr">
        <is>
          <t>Guckusko</t>
        </is>
      </c>
      <c r="S116">
        <f>HYPERLINK("https://klasma.github.io/Logging_0188/artfynd/A 19829-2022 artfynd.xlsx", "A 19829-2022")</f>
        <v/>
      </c>
      <c r="T116">
        <f>HYPERLINK("https://klasma.github.io/Logging_0188/kartor/A 19829-2022 karta.png", "A 19829-2022")</f>
        <v/>
      </c>
      <c r="V116">
        <f>HYPERLINK("https://klasma.github.io/Logging_0188/klagomål/A 19829-2022 FSC-klagomål.docx", "A 19829-2022")</f>
        <v/>
      </c>
      <c r="W116">
        <f>HYPERLINK("https://klasma.github.io/Logging_0188/klagomålsmail/A 19829-2022 FSC-klagomål mail.docx", "A 19829-2022")</f>
        <v/>
      </c>
      <c r="X116">
        <f>HYPERLINK("https://klasma.github.io/Logging_0188/tillsyn/A 19829-2022 tillsynsbegäran.docx", "A 19829-2022")</f>
        <v/>
      </c>
      <c r="Y116">
        <f>HYPERLINK("https://klasma.github.io/Logging_0188/tillsynsmail/A 19829-2022 tillsynsbegäran mail.docx", "A 19829-2022")</f>
        <v/>
      </c>
    </row>
    <row r="117" ht="15" customHeight="1">
      <c r="A117" t="inlineStr">
        <is>
          <t>A 35691-2023</t>
        </is>
      </c>
      <c r="B117" s="1" t="n">
        <v>45147.65222222222</v>
      </c>
      <c r="C117" s="1" t="n">
        <v>46113</v>
      </c>
      <c r="D117" t="inlineStr">
        <is>
          <t>STOCKHOLMS LÄN</t>
        </is>
      </c>
      <c r="E117" t="inlineStr">
        <is>
          <t>NORRTÄLJE</t>
        </is>
      </c>
      <c r="G117" t="n">
        <v>2.3</v>
      </c>
      <c r="H117" t="n">
        <v>1</v>
      </c>
      <c r="I117" t="n">
        <v>0</v>
      </c>
      <c r="J117" t="n">
        <v>0</v>
      </c>
      <c r="K117" t="n">
        <v>0</v>
      </c>
      <c r="L117" t="n">
        <v>0</v>
      </c>
      <c r="M117" t="n">
        <v>0</v>
      </c>
      <c r="N117" t="n">
        <v>0</v>
      </c>
      <c r="O117" t="n">
        <v>0</v>
      </c>
      <c r="P117" t="n">
        <v>0</v>
      </c>
      <c r="Q117" t="n">
        <v>1</v>
      </c>
      <c r="R117" s="2" t="inlineStr">
        <is>
          <t>Kungsfågel</t>
        </is>
      </c>
      <c r="S117">
        <f>HYPERLINK("https://klasma.github.io/Logging_0188/artfynd/A 35691-2023 artfynd.xlsx", "A 35691-2023")</f>
        <v/>
      </c>
      <c r="T117">
        <f>HYPERLINK("https://klasma.github.io/Logging_0188/kartor/A 35691-2023 karta.png", "A 35691-2023")</f>
        <v/>
      </c>
      <c r="V117">
        <f>HYPERLINK("https://klasma.github.io/Logging_0188/klagomål/A 35691-2023 FSC-klagomål.docx", "A 35691-2023")</f>
        <v/>
      </c>
      <c r="W117">
        <f>HYPERLINK("https://klasma.github.io/Logging_0188/klagomålsmail/A 35691-2023 FSC-klagomål mail.docx", "A 35691-2023")</f>
        <v/>
      </c>
      <c r="X117">
        <f>HYPERLINK("https://klasma.github.io/Logging_0188/tillsyn/A 35691-2023 tillsynsbegäran.docx", "A 35691-2023")</f>
        <v/>
      </c>
      <c r="Y117">
        <f>HYPERLINK("https://klasma.github.io/Logging_0188/tillsynsmail/A 35691-2023 tillsynsbegäran mail.docx", "A 35691-2023")</f>
        <v/>
      </c>
      <c r="Z117">
        <f>HYPERLINK("https://klasma.github.io/Logging_0188/fåglar/A 35691-2023 prioriterade fågelarter.docx", "A 35691-2023")</f>
        <v/>
      </c>
    </row>
    <row r="118" ht="15" customHeight="1">
      <c r="A118" t="inlineStr">
        <is>
          <t>A 35693-2023</t>
        </is>
      </c>
      <c r="B118" s="1" t="n">
        <v>45147.65311342593</v>
      </c>
      <c r="C118" s="1" t="n">
        <v>46113</v>
      </c>
      <c r="D118" t="inlineStr">
        <is>
          <t>STOCKHOLMS LÄN</t>
        </is>
      </c>
      <c r="E118" t="inlineStr">
        <is>
          <t>NORRTÄLJE</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HYPERLINK("https://klasma.github.io/Logging_0188/artfynd/A 35693-2023 artfynd.xlsx", "A 35693-2023")</f>
        <v/>
      </c>
      <c r="T118">
        <f>HYPERLINK("https://klasma.github.io/Logging_0188/kartor/A 35693-2023 karta.png", "A 35693-2023")</f>
        <v/>
      </c>
      <c r="V118">
        <f>HYPERLINK("https://klasma.github.io/Logging_0188/klagomål/A 35693-2023 FSC-klagomål.docx", "A 35693-2023")</f>
        <v/>
      </c>
      <c r="W118">
        <f>HYPERLINK("https://klasma.github.io/Logging_0188/klagomålsmail/A 35693-2023 FSC-klagomål mail.docx", "A 35693-2023")</f>
        <v/>
      </c>
      <c r="X118">
        <f>HYPERLINK("https://klasma.github.io/Logging_0188/tillsyn/A 35693-2023 tillsynsbegäran.docx", "A 35693-2023")</f>
        <v/>
      </c>
      <c r="Y118">
        <f>HYPERLINK("https://klasma.github.io/Logging_0188/tillsynsmail/A 35693-2023 tillsynsbegäran mail.docx", "A 35693-2023")</f>
        <v/>
      </c>
    </row>
    <row r="119" ht="15" customHeight="1">
      <c r="A119" t="inlineStr">
        <is>
          <t>A 52775-2025</t>
        </is>
      </c>
      <c r="B119" s="1" t="n">
        <v>45957.41608796296</v>
      </c>
      <c r="C119" s="1" t="n">
        <v>46113</v>
      </c>
      <c r="D119" t="inlineStr">
        <is>
          <t>STOCKHOLMS LÄN</t>
        </is>
      </c>
      <c r="E119" t="inlineStr">
        <is>
          <t>NORRTÄLJE</t>
        </is>
      </c>
      <c r="F119" t="inlineStr">
        <is>
          <t>Sveaskog</t>
        </is>
      </c>
      <c r="G119" t="n">
        <v>5.6</v>
      </c>
      <c r="H119" t="n">
        <v>0</v>
      </c>
      <c r="I119" t="n">
        <v>0</v>
      </c>
      <c r="J119" t="n">
        <v>1</v>
      </c>
      <c r="K119" t="n">
        <v>0</v>
      </c>
      <c r="L119" t="n">
        <v>0</v>
      </c>
      <c r="M119" t="n">
        <v>0</v>
      </c>
      <c r="N119" t="n">
        <v>0</v>
      </c>
      <c r="O119" t="n">
        <v>1</v>
      </c>
      <c r="P119" t="n">
        <v>0</v>
      </c>
      <c r="Q119" t="n">
        <v>1</v>
      </c>
      <c r="R119" s="2" t="inlineStr">
        <is>
          <t>Vedtrappmossa</t>
        </is>
      </c>
      <c r="S119">
        <f>HYPERLINK("https://klasma.github.io/Logging_0188/artfynd/A 52775-2025 artfynd.xlsx", "A 52775-2025")</f>
        <v/>
      </c>
      <c r="T119">
        <f>HYPERLINK("https://klasma.github.io/Logging_0188/kartor/A 52775-2025 karta.png", "A 52775-2025")</f>
        <v/>
      </c>
      <c r="V119">
        <f>HYPERLINK("https://klasma.github.io/Logging_0188/klagomål/A 52775-2025 FSC-klagomål.docx", "A 52775-2025")</f>
        <v/>
      </c>
      <c r="W119">
        <f>HYPERLINK("https://klasma.github.io/Logging_0188/klagomålsmail/A 52775-2025 FSC-klagomål mail.docx", "A 52775-2025")</f>
        <v/>
      </c>
      <c r="X119">
        <f>HYPERLINK("https://klasma.github.io/Logging_0188/tillsyn/A 52775-2025 tillsynsbegäran.docx", "A 52775-2025")</f>
        <v/>
      </c>
      <c r="Y119">
        <f>HYPERLINK("https://klasma.github.io/Logging_0188/tillsynsmail/A 52775-2025 tillsynsbegäran mail.docx", "A 52775-2025")</f>
        <v/>
      </c>
    </row>
    <row r="120" ht="15" customHeight="1">
      <c r="A120" t="inlineStr">
        <is>
          <t>A 53716-2025</t>
        </is>
      </c>
      <c r="B120" s="1" t="n">
        <v>45960.61782407408</v>
      </c>
      <c r="C120" s="1" t="n">
        <v>46113</v>
      </c>
      <c r="D120" t="inlineStr">
        <is>
          <t>STOCKHOLMS LÄN</t>
        </is>
      </c>
      <c r="E120" t="inlineStr">
        <is>
          <t>NORRTÄLJE</t>
        </is>
      </c>
      <c r="G120" t="n">
        <v>3.4</v>
      </c>
      <c r="H120" t="n">
        <v>0</v>
      </c>
      <c r="I120" t="n">
        <v>0</v>
      </c>
      <c r="J120" t="n">
        <v>0</v>
      </c>
      <c r="K120" t="n">
        <v>0</v>
      </c>
      <c r="L120" t="n">
        <v>1</v>
      </c>
      <c r="M120" t="n">
        <v>0</v>
      </c>
      <c r="N120" t="n">
        <v>0</v>
      </c>
      <c r="O120" t="n">
        <v>1</v>
      </c>
      <c r="P120" t="n">
        <v>1</v>
      </c>
      <c r="Q120" t="n">
        <v>1</v>
      </c>
      <c r="R120" s="2" t="inlineStr">
        <is>
          <t>Fältgentiana</t>
        </is>
      </c>
      <c r="S120">
        <f>HYPERLINK("https://klasma.github.io/Logging_0188/artfynd/A 53716-2025 artfynd.xlsx", "A 53716-2025")</f>
        <v/>
      </c>
      <c r="T120">
        <f>HYPERLINK("https://klasma.github.io/Logging_0188/kartor/A 53716-2025 karta.png", "A 53716-2025")</f>
        <v/>
      </c>
      <c r="V120">
        <f>HYPERLINK("https://klasma.github.io/Logging_0188/klagomål/A 53716-2025 FSC-klagomål.docx", "A 53716-2025")</f>
        <v/>
      </c>
      <c r="W120">
        <f>HYPERLINK("https://klasma.github.io/Logging_0188/klagomålsmail/A 53716-2025 FSC-klagomål mail.docx", "A 53716-2025")</f>
        <v/>
      </c>
      <c r="X120">
        <f>HYPERLINK("https://klasma.github.io/Logging_0188/tillsyn/A 53716-2025 tillsynsbegäran.docx", "A 53716-2025")</f>
        <v/>
      </c>
      <c r="Y120">
        <f>HYPERLINK("https://klasma.github.io/Logging_0188/tillsynsmail/A 53716-2025 tillsynsbegäran mail.docx", "A 53716-2025")</f>
        <v/>
      </c>
    </row>
    <row r="121" ht="15" customHeight="1">
      <c r="A121" t="inlineStr">
        <is>
          <t>A 6381-2023</t>
        </is>
      </c>
      <c r="B121" s="1" t="n">
        <v>44965</v>
      </c>
      <c r="C121" s="1" t="n">
        <v>46113</v>
      </c>
      <c r="D121" t="inlineStr">
        <is>
          <t>STOCKHOLMS LÄN</t>
        </is>
      </c>
      <c r="E121" t="inlineStr">
        <is>
          <t>NORRTÄLJE</t>
        </is>
      </c>
      <c r="G121" t="n">
        <v>3.5</v>
      </c>
      <c r="H121" t="n">
        <v>1</v>
      </c>
      <c r="I121" t="n">
        <v>1</v>
      </c>
      <c r="J121" t="n">
        <v>0</v>
      </c>
      <c r="K121" t="n">
        <v>0</v>
      </c>
      <c r="L121" t="n">
        <v>0</v>
      </c>
      <c r="M121" t="n">
        <v>0</v>
      </c>
      <c r="N121" t="n">
        <v>0</v>
      </c>
      <c r="O121" t="n">
        <v>0</v>
      </c>
      <c r="P121" t="n">
        <v>0</v>
      </c>
      <c r="Q121" t="n">
        <v>1</v>
      </c>
      <c r="R121" s="2" t="inlineStr">
        <is>
          <t>Guckusko</t>
        </is>
      </c>
      <c r="S121">
        <f>HYPERLINK("https://klasma.github.io/Logging_0188/artfynd/A 6381-2023 artfynd.xlsx", "A 6381-2023")</f>
        <v/>
      </c>
      <c r="T121">
        <f>HYPERLINK("https://klasma.github.io/Logging_0188/kartor/A 6381-2023 karta.png", "A 6381-2023")</f>
        <v/>
      </c>
      <c r="V121">
        <f>HYPERLINK("https://klasma.github.io/Logging_0188/klagomål/A 6381-2023 FSC-klagomål.docx", "A 6381-2023")</f>
        <v/>
      </c>
      <c r="W121">
        <f>HYPERLINK("https://klasma.github.io/Logging_0188/klagomålsmail/A 6381-2023 FSC-klagomål mail.docx", "A 6381-2023")</f>
        <v/>
      </c>
      <c r="X121">
        <f>HYPERLINK("https://klasma.github.io/Logging_0188/tillsyn/A 6381-2023 tillsynsbegäran.docx", "A 6381-2023")</f>
        <v/>
      </c>
      <c r="Y121">
        <f>HYPERLINK("https://klasma.github.io/Logging_0188/tillsynsmail/A 6381-2023 tillsynsbegäran mail.docx", "A 6381-2023")</f>
        <v/>
      </c>
    </row>
    <row r="122" ht="15" customHeight="1">
      <c r="A122" t="inlineStr">
        <is>
          <t>A 16870-2025</t>
        </is>
      </c>
      <c r="B122" s="1" t="n">
        <v>45754</v>
      </c>
      <c r="C122" s="1" t="n">
        <v>46113</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29946-2025</t>
        </is>
      </c>
      <c r="B123" s="1" t="n">
        <v>45826.46392361111</v>
      </c>
      <c r="C123" s="1" t="n">
        <v>46113</v>
      </c>
      <c r="D123" t="inlineStr">
        <is>
          <t>STOCKHOLMS LÄN</t>
        </is>
      </c>
      <c r="E123" t="inlineStr">
        <is>
          <t>NORRTÄLJE</t>
        </is>
      </c>
      <c r="F123" t="inlineStr">
        <is>
          <t>Holmen skog AB</t>
        </is>
      </c>
      <c r="G123" t="n">
        <v>3.6</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29946-2025 artfynd.xlsx", "A 29946-2025")</f>
        <v/>
      </c>
      <c r="T123">
        <f>HYPERLINK("https://klasma.github.io/Logging_0188/kartor/A 29946-2025 karta.png", "A 29946-2025")</f>
        <v/>
      </c>
      <c r="V123">
        <f>HYPERLINK("https://klasma.github.io/Logging_0188/klagomål/A 29946-2025 FSC-klagomål.docx", "A 29946-2025")</f>
        <v/>
      </c>
      <c r="W123">
        <f>HYPERLINK("https://klasma.github.io/Logging_0188/klagomålsmail/A 29946-2025 FSC-klagomål mail.docx", "A 29946-2025")</f>
        <v/>
      </c>
      <c r="X123">
        <f>HYPERLINK("https://klasma.github.io/Logging_0188/tillsyn/A 29946-2025 tillsynsbegäran.docx", "A 29946-2025")</f>
        <v/>
      </c>
      <c r="Y123">
        <f>HYPERLINK("https://klasma.github.io/Logging_0188/tillsynsmail/A 29946-2025 tillsynsbegäran mail.docx", "A 29946-2025")</f>
        <v/>
      </c>
    </row>
    <row r="124" ht="15" customHeight="1">
      <c r="A124" t="inlineStr">
        <is>
          <t>A 59682-2025</t>
        </is>
      </c>
      <c r="B124" s="1" t="n">
        <v>45992.47116898148</v>
      </c>
      <c r="C124" s="1" t="n">
        <v>46113</v>
      </c>
      <c r="D124" t="inlineStr">
        <is>
          <t>STOCKHOLMS LÄN</t>
        </is>
      </c>
      <c r="E124" t="inlineStr">
        <is>
          <t>NORRTÄLJE</t>
        </is>
      </c>
      <c r="G124" t="n">
        <v>1.6</v>
      </c>
      <c r="H124" t="n">
        <v>0</v>
      </c>
      <c r="I124" t="n">
        <v>1</v>
      </c>
      <c r="J124" t="n">
        <v>0</v>
      </c>
      <c r="K124" t="n">
        <v>0</v>
      </c>
      <c r="L124" t="n">
        <v>0</v>
      </c>
      <c r="M124" t="n">
        <v>0</v>
      </c>
      <c r="N124" t="n">
        <v>0</v>
      </c>
      <c r="O124" t="n">
        <v>0</v>
      </c>
      <c r="P124" t="n">
        <v>0</v>
      </c>
      <c r="Q124" t="n">
        <v>1</v>
      </c>
      <c r="R124" s="2" t="inlineStr">
        <is>
          <t>Grönpyrola</t>
        </is>
      </c>
      <c r="S124">
        <f>HYPERLINK("https://klasma.github.io/Logging_0188/artfynd/A 59682-2025 artfynd.xlsx", "A 59682-2025")</f>
        <v/>
      </c>
      <c r="T124">
        <f>HYPERLINK("https://klasma.github.io/Logging_0188/kartor/A 59682-2025 karta.png", "A 59682-2025")</f>
        <v/>
      </c>
      <c r="V124">
        <f>HYPERLINK("https://klasma.github.io/Logging_0188/klagomål/A 59682-2025 FSC-klagomål.docx", "A 59682-2025")</f>
        <v/>
      </c>
      <c r="W124">
        <f>HYPERLINK("https://klasma.github.io/Logging_0188/klagomålsmail/A 59682-2025 FSC-klagomål mail.docx", "A 59682-2025")</f>
        <v/>
      </c>
      <c r="X124">
        <f>HYPERLINK("https://klasma.github.io/Logging_0188/tillsyn/A 59682-2025 tillsynsbegäran.docx", "A 59682-2025")</f>
        <v/>
      </c>
      <c r="Y124">
        <f>HYPERLINK("https://klasma.github.io/Logging_0188/tillsynsmail/A 59682-2025 tillsynsbegäran mail.docx", "A 59682-2025")</f>
        <v/>
      </c>
    </row>
    <row r="125" ht="15" customHeight="1">
      <c r="A125" t="inlineStr">
        <is>
          <t>A 4532-2025</t>
        </is>
      </c>
      <c r="B125" s="1" t="n">
        <v>45687.34177083334</v>
      </c>
      <c r="C125" s="1" t="n">
        <v>46113</v>
      </c>
      <c r="D125" t="inlineStr">
        <is>
          <t>STOCKHOLMS LÄN</t>
        </is>
      </c>
      <c r="E125" t="inlineStr">
        <is>
          <t>NORRTÄLJE</t>
        </is>
      </c>
      <c r="F125" t="inlineStr">
        <is>
          <t>Holmen skog AB</t>
        </is>
      </c>
      <c r="G125" t="n">
        <v>6.4</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4532-2025 artfynd.xlsx", "A 4532-2025")</f>
        <v/>
      </c>
      <c r="T125">
        <f>HYPERLINK("https://klasma.github.io/Logging_0188/kartor/A 4532-2025 karta.png", "A 4532-2025")</f>
        <v/>
      </c>
      <c r="V125">
        <f>HYPERLINK("https://klasma.github.io/Logging_0188/klagomål/A 4532-2025 FSC-klagomål.docx", "A 4532-2025")</f>
        <v/>
      </c>
      <c r="W125">
        <f>HYPERLINK("https://klasma.github.io/Logging_0188/klagomålsmail/A 4532-2025 FSC-klagomål mail.docx", "A 4532-2025")</f>
        <v/>
      </c>
      <c r="X125">
        <f>HYPERLINK("https://klasma.github.io/Logging_0188/tillsyn/A 4532-2025 tillsynsbegäran.docx", "A 4532-2025")</f>
        <v/>
      </c>
      <c r="Y125">
        <f>HYPERLINK("https://klasma.github.io/Logging_0188/tillsynsmail/A 4532-2025 tillsynsbegäran mail.docx", "A 4532-2025")</f>
        <v/>
      </c>
    </row>
    <row r="126" ht="15" customHeight="1">
      <c r="A126" t="inlineStr">
        <is>
          <t>A 62715-2025</t>
        </is>
      </c>
      <c r="B126" s="1" t="n">
        <v>46008.52034722222</v>
      </c>
      <c r="C126" s="1" t="n">
        <v>46113</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46113</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33546-2025</t>
        </is>
      </c>
      <c r="B128" s="1" t="n">
        <v>45841.56996527778</v>
      </c>
      <c r="C128" s="1" t="n">
        <v>46113</v>
      </c>
      <c r="D128" t="inlineStr">
        <is>
          <t>STOCKHOLMS LÄN</t>
        </is>
      </c>
      <c r="E128" t="inlineStr">
        <is>
          <t>NORRTÄLJE</t>
        </is>
      </c>
      <c r="G128" t="n">
        <v>7.2</v>
      </c>
      <c r="H128" t="n">
        <v>1</v>
      </c>
      <c r="I128" t="n">
        <v>1</v>
      </c>
      <c r="J128" t="n">
        <v>0</v>
      </c>
      <c r="K128" t="n">
        <v>0</v>
      </c>
      <c r="L128" t="n">
        <v>0</v>
      </c>
      <c r="M128" t="n">
        <v>0</v>
      </c>
      <c r="N128" t="n">
        <v>0</v>
      </c>
      <c r="O128" t="n">
        <v>0</v>
      </c>
      <c r="P128" t="n">
        <v>0</v>
      </c>
      <c r="Q128" t="n">
        <v>1</v>
      </c>
      <c r="R128" s="2" t="inlineStr">
        <is>
          <t>Nästrot</t>
        </is>
      </c>
      <c r="S128">
        <f>HYPERLINK("https://klasma.github.io/Logging_0188/artfynd/A 33546-2025 artfynd.xlsx", "A 33546-2025")</f>
        <v/>
      </c>
      <c r="T128">
        <f>HYPERLINK("https://klasma.github.io/Logging_0188/kartor/A 33546-2025 karta.png", "A 33546-2025")</f>
        <v/>
      </c>
      <c r="V128">
        <f>HYPERLINK("https://klasma.github.io/Logging_0188/klagomål/A 33546-2025 FSC-klagomål.docx", "A 33546-2025")</f>
        <v/>
      </c>
      <c r="W128">
        <f>HYPERLINK("https://klasma.github.io/Logging_0188/klagomålsmail/A 33546-2025 FSC-klagomål mail.docx", "A 33546-2025")</f>
        <v/>
      </c>
      <c r="X128">
        <f>HYPERLINK("https://klasma.github.io/Logging_0188/tillsyn/A 33546-2025 tillsynsbegäran.docx", "A 33546-2025")</f>
        <v/>
      </c>
      <c r="Y128">
        <f>HYPERLINK("https://klasma.github.io/Logging_0188/tillsynsmail/A 33546-2025 tillsynsbegäran mail.docx", "A 33546-2025")</f>
        <v/>
      </c>
    </row>
    <row r="129" ht="15" customHeight="1">
      <c r="A129" t="inlineStr">
        <is>
          <t>A 364-2026</t>
        </is>
      </c>
      <c r="B129" s="1" t="n">
        <v>46027.67134259259</v>
      </c>
      <c r="C129" s="1" t="n">
        <v>46113</v>
      </c>
      <c r="D129" t="inlineStr">
        <is>
          <t>STOCKHOLMS LÄN</t>
        </is>
      </c>
      <c r="E129" t="inlineStr">
        <is>
          <t>NORRTÄLJE</t>
        </is>
      </c>
      <c r="F129" t="inlineStr">
        <is>
          <t>Holmen skog AB</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364-2026 artfynd.xlsx", "A 364-2026")</f>
        <v/>
      </c>
      <c r="T129">
        <f>HYPERLINK("https://klasma.github.io/Logging_0188/kartor/A 364-2026 karta.png", "A 364-2026")</f>
        <v/>
      </c>
      <c r="V129">
        <f>HYPERLINK("https://klasma.github.io/Logging_0188/klagomål/A 364-2026 FSC-klagomål.docx", "A 364-2026")</f>
        <v/>
      </c>
      <c r="W129">
        <f>HYPERLINK("https://klasma.github.io/Logging_0188/klagomålsmail/A 364-2026 FSC-klagomål mail.docx", "A 364-2026")</f>
        <v/>
      </c>
      <c r="X129">
        <f>HYPERLINK("https://klasma.github.io/Logging_0188/tillsyn/A 364-2026 tillsynsbegäran.docx", "A 364-2026")</f>
        <v/>
      </c>
      <c r="Y129">
        <f>HYPERLINK("https://klasma.github.io/Logging_0188/tillsynsmail/A 364-2026 tillsynsbegäran mail.docx", "A 364-2026")</f>
        <v/>
      </c>
    </row>
    <row r="130" ht="15" customHeight="1">
      <c r="A130" t="inlineStr">
        <is>
          <t>A 14365-2025</t>
        </is>
      </c>
      <c r="B130" s="1" t="n">
        <v>45741.38688657407</v>
      </c>
      <c r="C130" s="1" t="n">
        <v>46113</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21150-2022</t>
        </is>
      </c>
      <c r="B131" s="1" t="n">
        <v>44704</v>
      </c>
      <c r="C131" s="1" t="n">
        <v>46113</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26120-2024</t>
        </is>
      </c>
      <c r="B132" s="1" t="n">
        <v>45468.45995370371</v>
      </c>
      <c r="C132" s="1" t="n">
        <v>46113</v>
      </c>
      <c r="D132" t="inlineStr">
        <is>
          <t>STOCKHOLMS LÄN</t>
        </is>
      </c>
      <c r="E132" t="inlineStr">
        <is>
          <t>NORRTÄLJE</t>
        </is>
      </c>
      <c r="G132" t="n">
        <v>1.8</v>
      </c>
      <c r="H132" t="n">
        <v>0</v>
      </c>
      <c r="I132" t="n">
        <v>0</v>
      </c>
      <c r="J132" t="n">
        <v>1</v>
      </c>
      <c r="K132" t="n">
        <v>0</v>
      </c>
      <c r="L132" t="n">
        <v>0</v>
      </c>
      <c r="M132" t="n">
        <v>0</v>
      </c>
      <c r="N132" t="n">
        <v>0</v>
      </c>
      <c r="O132" t="n">
        <v>1</v>
      </c>
      <c r="P132" t="n">
        <v>0</v>
      </c>
      <c r="Q132" t="n">
        <v>1</v>
      </c>
      <c r="R132" s="2" t="inlineStr">
        <is>
          <t>Majviva</t>
        </is>
      </c>
      <c r="S132">
        <f>HYPERLINK("https://klasma.github.io/Logging_0188/artfynd/A 26120-2024 artfynd.xlsx", "A 26120-2024")</f>
        <v/>
      </c>
      <c r="T132">
        <f>HYPERLINK("https://klasma.github.io/Logging_0188/kartor/A 26120-2024 karta.png", "A 26120-2024")</f>
        <v/>
      </c>
      <c r="V132">
        <f>HYPERLINK("https://klasma.github.io/Logging_0188/klagomål/A 26120-2024 FSC-klagomål.docx", "A 26120-2024")</f>
        <v/>
      </c>
      <c r="W132">
        <f>HYPERLINK("https://klasma.github.io/Logging_0188/klagomålsmail/A 26120-2024 FSC-klagomål mail.docx", "A 26120-2024")</f>
        <v/>
      </c>
      <c r="X132">
        <f>HYPERLINK("https://klasma.github.io/Logging_0188/tillsyn/A 26120-2024 tillsynsbegäran.docx", "A 26120-2024")</f>
        <v/>
      </c>
      <c r="Y132">
        <f>HYPERLINK("https://klasma.github.io/Logging_0188/tillsynsmail/A 26120-2024 tillsynsbegäran mail.docx", "A 26120-2024")</f>
        <v/>
      </c>
    </row>
    <row r="133" ht="15" customHeight="1">
      <c r="A133" t="inlineStr">
        <is>
          <t>A 11429-2023</t>
        </is>
      </c>
      <c r="B133" s="1" t="n">
        <v>44993</v>
      </c>
      <c r="C133" s="1" t="n">
        <v>46113</v>
      </c>
      <c r="D133" t="inlineStr">
        <is>
          <t>STOCKHOLMS LÄN</t>
        </is>
      </c>
      <c r="E133" t="inlineStr">
        <is>
          <t>NORRTÄLJE</t>
        </is>
      </c>
      <c r="G133" t="n">
        <v>2</v>
      </c>
      <c r="H133" t="n">
        <v>0</v>
      </c>
      <c r="I133" t="n">
        <v>0</v>
      </c>
      <c r="J133" t="n">
        <v>1</v>
      </c>
      <c r="K133" t="n">
        <v>0</v>
      </c>
      <c r="L133" t="n">
        <v>0</v>
      </c>
      <c r="M133" t="n">
        <v>0</v>
      </c>
      <c r="N133" t="n">
        <v>0</v>
      </c>
      <c r="O133" t="n">
        <v>1</v>
      </c>
      <c r="P133" t="n">
        <v>0</v>
      </c>
      <c r="Q133" t="n">
        <v>1</v>
      </c>
      <c r="R133" s="2" t="inlineStr">
        <is>
          <t>Skogsklocka</t>
        </is>
      </c>
      <c r="S133">
        <f>HYPERLINK("https://klasma.github.io/Logging_0188/artfynd/A 11429-2023 artfynd.xlsx", "A 11429-2023")</f>
        <v/>
      </c>
      <c r="T133">
        <f>HYPERLINK("https://klasma.github.io/Logging_0188/kartor/A 11429-2023 karta.png", "A 11429-2023")</f>
        <v/>
      </c>
      <c r="V133">
        <f>HYPERLINK("https://klasma.github.io/Logging_0188/klagomål/A 11429-2023 FSC-klagomål.docx", "A 11429-2023")</f>
        <v/>
      </c>
      <c r="W133">
        <f>HYPERLINK("https://klasma.github.io/Logging_0188/klagomålsmail/A 11429-2023 FSC-klagomål mail.docx", "A 11429-2023")</f>
        <v/>
      </c>
      <c r="X133">
        <f>HYPERLINK("https://klasma.github.io/Logging_0188/tillsyn/A 11429-2023 tillsynsbegäran.docx", "A 11429-2023")</f>
        <v/>
      </c>
      <c r="Y133">
        <f>HYPERLINK("https://klasma.github.io/Logging_0188/tillsynsmail/A 11429-2023 tillsynsbegäran mail.docx", "A 11429-2023")</f>
        <v/>
      </c>
    </row>
    <row r="134" ht="15" customHeight="1">
      <c r="A134" t="inlineStr">
        <is>
          <t>A 8371-2025</t>
        </is>
      </c>
      <c r="B134" s="1" t="n">
        <v>45708</v>
      </c>
      <c r="C134" s="1" t="n">
        <v>46113</v>
      </c>
      <c r="D134" t="inlineStr">
        <is>
          <t>STOCKHOLMS LÄN</t>
        </is>
      </c>
      <c r="E134" t="inlineStr">
        <is>
          <t>NORRTÄLJE</t>
        </is>
      </c>
      <c r="F134" t="inlineStr">
        <is>
          <t>Övriga Aktiebolag</t>
        </is>
      </c>
      <c r="G134" t="n">
        <v>2.9</v>
      </c>
      <c r="H134" t="n">
        <v>1</v>
      </c>
      <c r="I134" t="n">
        <v>0</v>
      </c>
      <c r="J134" t="n">
        <v>1</v>
      </c>
      <c r="K134" t="n">
        <v>0</v>
      </c>
      <c r="L134" t="n">
        <v>0</v>
      </c>
      <c r="M134" t="n">
        <v>0</v>
      </c>
      <c r="N134" t="n">
        <v>0</v>
      </c>
      <c r="O134" t="n">
        <v>1</v>
      </c>
      <c r="P134" t="n">
        <v>0</v>
      </c>
      <c r="Q134" t="n">
        <v>1</v>
      </c>
      <c r="R134" s="2" t="inlineStr">
        <is>
          <t>Spillkråka</t>
        </is>
      </c>
      <c r="S134">
        <f>HYPERLINK("https://klasma.github.io/Logging_0188/artfynd/A 8371-2025 artfynd.xlsx", "A 8371-2025")</f>
        <v/>
      </c>
      <c r="T134">
        <f>HYPERLINK("https://klasma.github.io/Logging_0188/kartor/A 8371-2025 karta.png", "A 8371-2025")</f>
        <v/>
      </c>
      <c r="V134">
        <f>HYPERLINK("https://klasma.github.io/Logging_0188/klagomål/A 8371-2025 FSC-klagomål.docx", "A 8371-2025")</f>
        <v/>
      </c>
      <c r="W134">
        <f>HYPERLINK("https://klasma.github.io/Logging_0188/klagomålsmail/A 8371-2025 FSC-klagomål mail.docx", "A 8371-2025")</f>
        <v/>
      </c>
      <c r="X134">
        <f>HYPERLINK("https://klasma.github.io/Logging_0188/tillsyn/A 8371-2025 tillsynsbegäran.docx", "A 8371-2025")</f>
        <v/>
      </c>
      <c r="Y134">
        <f>HYPERLINK("https://klasma.github.io/Logging_0188/tillsynsmail/A 8371-2025 tillsynsbegäran mail.docx", "A 8371-2025")</f>
        <v/>
      </c>
      <c r="Z134">
        <f>HYPERLINK("https://klasma.github.io/Logging_0188/fåglar/A 8371-2025 prioriterade fågelarter.docx", "A 8371-2025")</f>
        <v/>
      </c>
    </row>
    <row r="135" ht="15" customHeight="1">
      <c r="A135" t="inlineStr">
        <is>
          <t>A 50854-2022</t>
        </is>
      </c>
      <c r="B135" s="1" t="n">
        <v>44863</v>
      </c>
      <c r="C135" s="1" t="n">
        <v>46113</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64456-2023</t>
        </is>
      </c>
      <c r="B136" s="1" t="n">
        <v>45280</v>
      </c>
      <c r="C136" s="1" t="n">
        <v>46113</v>
      </c>
      <c r="D136" t="inlineStr">
        <is>
          <t>STOCKHOLMS LÄN</t>
        </is>
      </c>
      <c r="E136" t="inlineStr">
        <is>
          <t>NORRTÄLJE</t>
        </is>
      </c>
      <c r="G136" t="n">
        <v>2.5</v>
      </c>
      <c r="H136" t="n">
        <v>0</v>
      </c>
      <c r="I136" t="n">
        <v>1</v>
      </c>
      <c r="J136" t="n">
        <v>0</v>
      </c>
      <c r="K136" t="n">
        <v>0</v>
      </c>
      <c r="L136" t="n">
        <v>0</v>
      </c>
      <c r="M136" t="n">
        <v>0</v>
      </c>
      <c r="N136" t="n">
        <v>0</v>
      </c>
      <c r="O136" t="n">
        <v>0</v>
      </c>
      <c r="P136" t="n">
        <v>0</v>
      </c>
      <c r="Q136" t="n">
        <v>1</v>
      </c>
      <c r="R136" s="2" t="inlineStr">
        <is>
          <t>Rödgul trumpetsvamp</t>
        </is>
      </c>
      <c r="S136">
        <f>HYPERLINK("https://klasma.github.io/Logging_0188/artfynd/A 64456-2023 artfynd.xlsx", "A 64456-2023")</f>
        <v/>
      </c>
      <c r="T136">
        <f>HYPERLINK("https://klasma.github.io/Logging_0188/kartor/A 64456-2023 karta.png", "A 64456-2023")</f>
        <v/>
      </c>
      <c r="V136">
        <f>HYPERLINK("https://klasma.github.io/Logging_0188/klagomål/A 64456-2023 FSC-klagomål.docx", "A 64456-2023")</f>
        <v/>
      </c>
      <c r="W136">
        <f>HYPERLINK("https://klasma.github.io/Logging_0188/klagomålsmail/A 64456-2023 FSC-klagomål mail.docx", "A 64456-2023")</f>
        <v/>
      </c>
      <c r="X136">
        <f>HYPERLINK("https://klasma.github.io/Logging_0188/tillsyn/A 64456-2023 tillsynsbegäran.docx", "A 64456-2023")</f>
        <v/>
      </c>
      <c r="Y136">
        <f>HYPERLINK("https://klasma.github.io/Logging_0188/tillsynsmail/A 64456-2023 tillsynsbegäran mail.docx", "A 64456-2023")</f>
        <v/>
      </c>
    </row>
    <row r="137" ht="15" customHeight="1">
      <c r="A137" t="inlineStr">
        <is>
          <t>A 31281-2022</t>
        </is>
      </c>
      <c r="B137" s="1" t="n">
        <v>44771</v>
      </c>
      <c r="C137" s="1" t="n">
        <v>46113</v>
      </c>
      <c r="D137" t="inlineStr">
        <is>
          <t>STOCKHOLMS LÄN</t>
        </is>
      </c>
      <c r="E137" t="inlineStr">
        <is>
          <t>NORRTÄLJE</t>
        </is>
      </c>
      <c r="F137" t="inlineStr">
        <is>
          <t>Holmen skog AB</t>
        </is>
      </c>
      <c r="G137" t="n">
        <v>5.2</v>
      </c>
      <c r="H137" t="n">
        <v>1</v>
      </c>
      <c r="I137" t="n">
        <v>0</v>
      </c>
      <c r="J137" t="n">
        <v>1</v>
      </c>
      <c r="K137" t="n">
        <v>0</v>
      </c>
      <c r="L137" t="n">
        <v>0</v>
      </c>
      <c r="M137" t="n">
        <v>0</v>
      </c>
      <c r="N137" t="n">
        <v>0</v>
      </c>
      <c r="O137" t="n">
        <v>1</v>
      </c>
      <c r="P137" t="n">
        <v>0</v>
      </c>
      <c r="Q137" t="n">
        <v>1</v>
      </c>
      <c r="R137" s="2" t="inlineStr">
        <is>
          <t>Kråka</t>
        </is>
      </c>
      <c r="S137">
        <f>HYPERLINK("https://klasma.github.io/Logging_0188/artfynd/A 31281-2022 artfynd.xlsx", "A 31281-2022")</f>
        <v/>
      </c>
      <c r="T137">
        <f>HYPERLINK("https://klasma.github.io/Logging_0188/kartor/A 31281-2022 karta.png", "A 31281-2022")</f>
        <v/>
      </c>
      <c r="V137">
        <f>HYPERLINK("https://klasma.github.io/Logging_0188/klagomål/A 31281-2022 FSC-klagomål.docx", "A 31281-2022")</f>
        <v/>
      </c>
      <c r="W137">
        <f>HYPERLINK("https://klasma.github.io/Logging_0188/klagomålsmail/A 31281-2022 FSC-klagomål mail.docx", "A 31281-2022")</f>
        <v/>
      </c>
      <c r="X137">
        <f>HYPERLINK("https://klasma.github.io/Logging_0188/tillsyn/A 31281-2022 tillsynsbegäran.docx", "A 31281-2022")</f>
        <v/>
      </c>
      <c r="Y137">
        <f>HYPERLINK("https://klasma.github.io/Logging_0188/tillsynsmail/A 31281-2022 tillsynsbegäran mail.docx", "A 31281-2022")</f>
        <v/>
      </c>
      <c r="Z137">
        <f>HYPERLINK("https://klasma.github.io/Logging_0188/fåglar/A 31281-2022 prioriterade fågelarter.docx", "A 31281-2022")</f>
        <v/>
      </c>
    </row>
    <row r="138" ht="15" customHeight="1">
      <c r="A138" t="inlineStr">
        <is>
          <t>A 7734-2026</t>
        </is>
      </c>
      <c r="B138" s="1" t="n">
        <v>46062.52902777777</v>
      </c>
      <c r="C138" s="1" t="n">
        <v>46113</v>
      </c>
      <c r="D138" t="inlineStr">
        <is>
          <t>STOCKHOLMS LÄN</t>
        </is>
      </c>
      <c r="E138" t="inlineStr">
        <is>
          <t>NORRTÄLJE</t>
        </is>
      </c>
      <c r="G138" t="n">
        <v>6.6</v>
      </c>
      <c r="H138" t="n">
        <v>0</v>
      </c>
      <c r="I138" t="n">
        <v>1</v>
      </c>
      <c r="J138" t="n">
        <v>0</v>
      </c>
      <c r="K138" t="n">
        <v>0</v>
      </c>
      <c r="L138" t="n">
        <v>0</v>
      </c>
      <c r="M138" t="n">
        <v>0</v>
      </c>
      <c r="N138" t="n">
        <v>0</v>
      </c>
      <c r="O138" t="n">
        <v>0</v>
      </c>
      <c r="P138" t="n">
        <v>0</v>
      </c>
      <c r="Q138" t="n">
        <v>1</v>
      </c>
      <c r="R138" s="2" t="inlineStr">
        <is>
          <t>Kastanjefjällskivling</t>
        </is>
      </c>
      <c r="S138">
        <f>HYPERLINK("https://klasma.github.io/Logging_0188/artfynd/A 7734-2026 artfynd.xlsx", "A 7734-2026")</f>
        <v/>
      </c>
      <c r="T138">
        <f>HYPERLINK("https://klasma.github.io/Logging_0188/kartor/A 7734-2026 karta.png", "A 7734-2026")</f>
        <v/>
      </c>
      <c r="V138">
        <f>HYPERLINK("https://klasma.github.io/Logging_0188/klagomål/A 7734-2026 FSC-klagomål.docx", "A 7734-2026")</f>
        <v/>
      </c>
      <c r="W138">
        <f>HYPERLINK("https://klasma.github.io/Logging_0188/klagomålsmail/A 7734-2026 FSC-klagomål mail.docx", "A 7734-2026")</f>
        <v/>
      </c>
      <c r="X138">
        <f>HYPERLINK("https://klasma.github.io/Logging_0188/tillsyn/A 7734-2026 tillsynsbegäran.docx", "A 7734-2026")</f>
        <v/>
      </c>
      <c r="Y138">
        <f>HYPERLINK("https://klasma.github.io/Logging_0188/tillsynsmail/A 7734-2026 tillsynsbegäran mail.docx", "A 7734-2026")</f>
        <v/>
      </c>
    </row>
    <row r="139" ht="15" customHeight="1">
      <c r="A139" t="inlineStr">
        <is>
          <t>A 52611-2024</t>
        </is>
      </c>
      <c r="B139" s="1" t="n">
        <v>45609.83747685186</v>
      </c>
      <c r="C139" s="1" t="n">
        <v>46113</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46113</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15886-2026</t>
        </is>
      </c>
      <c r="B141" s="1" t="n">
        <v>46107</v>
      </c>
      <c r="C141" s="1" t="n">
        <v>46113</v>
      </c>
      <c r="D141" t="inlineStr">
        <is>
          <t>STOCKHOLMS LÄN</t>
        </is>
      </c>
      <c r="E141" t="inlineStr">
        <is>
          <t>NORRTÄLJE</t>
        </is>
      </c>
      <c r="G141" t="n">
        <v>1.3</v>
      </c>
      <c r="H141" t="n">
        <v>1</v>
      </c>
      <c r="I141" t="n">
        <v>0</v>
      </c>
      <c r="J141" t="n">
        <v>0</v>
      </c>
      <c r="K141" t="n">
        <v>0</v>
      </c>
      <c r="L141" t="n">
        <v>1</v>
      </c>
      <c r="M141" t="n">
        <v>0</v>
      </c>
      <c r="N141" t="n">
        <v>0</v>
      </c>
      <c r="O141" t="n">
        <v>1</v>
      </c>
      <c r="P141" t="n">
        <v>1</v>
      </c>
      <c r="Q141" t="n">
        <v>1</v>
      </c>
      <c r="R141" s="2" t="inlineStr">
        <is>
          <t>Grönfink</t>
        </is>
      </c>
      <c r="S141">
        <f>HYPERLINK("https://klasma.github.io/Logging_0188/artfynd/A 15886-2026 artfynd.xlsx", "A 15886-2026")</f>
        <v/>
      </c>
      <c r="T141">
        <f>HYPERLINK("https://klasma.github.io/Logging_0188/kartor/A 15886-2026 karta.png", "A 15886-2026")</f>
        <v/>
      </c>
      <c r="V141">
        <f>HYPERLINK("https://klasma.github.io/Logging_0188/klagomål/A 15886-2026 FSC-klagomål.docx", "A 15886-2026")</f>
        <v/>
      </c>
      <c r="W141">
        <f>HYPERLINK("https://klasma.github.io/Logging_0188/klagomålsmail/A 15886-2026 FSC-klagomål mail.docx", "A 15886-2026")</f>
        <v/>
      </c>
      <c r="X141">
        <f>HYPERLINK("https://klasma.github.io/Logging_0188/tillsyn/A 15886-2026 tillsynsbegäran.docx", "A 15886-2026")</f>
        <v/>
      </c>
      <c r="Y141">
        <f>HYPERLINK("https://klasma.github.io/Logging_0188/tillsynsmail/A 15886-2026 tillsynsbegäran mail.docx", "A 15886-2026")</f>
        <v/>
      </c>
      <c r="Z141">
        <f>HYPERLINK("https://klasma.github.io/Logging_0188/fåglar/A 15886-2026 prioriterade fågelarter.docx", "A 15886-2026")</f>
        <v/>
      </c>
    </row>
    <row r="142" ht="15" customHeight="1">
      <c r="A142" t="inlineStr">
        <is>
          <t>A 48131-2023</t>
        </is>
      </c>
      <c r="B142" s="1" t="n">
        <v>45205</v>
      </c>
      <c r="C142" s="1" t="n">
        <v>46113</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27827-2022</t>
        </is>
      </c>
      <c r="B143" s="1" t="n">
        <v>44743.59504629629</v>
      </c>
      <c r="C143" s="1" t="n">
        <v>46113</v>
      </c>
      <c r="D143" t="inlineStr">
        <is>
          <t>STOCKHOLMS LÄN</t>
        </is>
      </c>
      <c r="E143" t="inlineStr">
        <is>
          <t>NORRTÄLJE</t>
        </is>
      </c>
      <c r="F143" t="inlineStr">
        <is>
          <t>Holmen skog AB</t>
        </is>
      </c>
      <c r="G143" t="n">
        <v>4.7</v>
      </c>
      <c r="H143" t="n">
        <v>1</v>
      </c>
      <c r="I143" t="n">
        <v>0</v>
      </c>
      <c r="J143" t="n">
        <v>1</v>
      </c>
      <c r="K143" t="n">
        <v>0</v>
      </c>
      <c r="L143" t="n">
        <v>0</v>
      </c>
      <c r="M143" t="n">
        <v>0</v>
      </c>
      <c r="N143" t="n">
        <v>0</v>
      </c>
      <c r="O143" t="n">
        <v>1</v>
      </c>
      <c r="P143" t="n">
        <v>0</v>
      </c>
      <c r="Q143" t="n">
        <v>1</v>
      </c>
      <c r="R143" s="2" t="inlineStr">
        <is>
          <t>Nordfladdermus</t>
        </is>
      </c>
      <c r="S143">
        <f>HYPERLINK("https://klasma.github.io/Logging_0188/artfynd/A 27827-2022 artfynd.xlsx", "A 27827-2022")</f>
        <v/>
      </c>
      <c r="T143">
        <f>HYPERLINK("https://klasma.github.io/Logging_0188/kartor/A 27827-2022 karta.png", "A 27827-2022")</f>
        <v/>
      </c>
      <c r="V143">
        <f>HYPERLINK("https://klasma.github.io/Logging_0188/klagomål/A 27827-2022 FSC-klagomål.docx", "A 27827-2022")</f>
        <v/>
      </c>
      <c r="W143">
        <f>HYPERLINK("https://klasma.github.io/Logging_0188/klagomålsmail/A 27827-2022 FSC-klagomål mail.docx", "A 27827-2022")</f>
        <v/>
      </c>
      <c r="X143">
        <f>HYPERLINK("https://klasma.github.io/Logging_0188/tillsyn/A 27827-2022 tillsynsbegäran.docx", "A 27827-2022")</f>
        <v/>
      </c>
      <c r="Y143">
        <f>HYPERLINK("https://klasma.github.io/Logging_0188/tillsynsmail/A 27827-2022 tillsynsbegäran mail.docx", "A 27827-2022")</f>
        <v/>
      </c>
    </row>
    <row r="144" ht="15" customHeight="1">
      <c r="A144" t="inlineStr">
        <is>
          <t>A 9955-2022</t>
        </is>
      </c>
      <c r="B144" s="1" t="n">
        <v>44620</v>
      </c>
      <c r="C144" s="1" t="n">
        <v>46113</v>
      </c>
      <c r="D144" t="inlineStr">
        <is>
          <t>STOCKHOLMS LÄN</t>
        </is>
      </c>
      <c r="E144" t="inlineStr">
        <is>
          <t>NORRTÄLJE</t>
        </is>
      </c>
      <c r="G144" t="n">
        <v>7.8</v>
      </c>
      <c r="H144" t="n">
        <v>1</v>
      </c>
      <c r="I144" t="n">
        <v>0</v>
      </c>
      <c r="J144" t="n">
        <v>0</v>
      </c>
      <c r="K144" t="n">
        <v>0</v>
      </c>
      <c r="L144" t="n">
        <v>0</v>
      </c>
      <c r="M144" t="n">
        <v>0</v>
      </c>
      <c r="N144" t="n">
        <v>0</v>
      </c>
      <c r="O144" t="n">
        <v>0</v>
      </c>
      <c r="P144" t="n">
        <v>0</v>
      </c>
      <c r="Q144" t="n">
        <v>1</v>
      </c>
      <c r="R144" s="2" t="inlineStr">
        <is>
          <t>Åkergroda</t>
        </is>
      </c>
      <c r="S144">
        <f>HYPERLINK("https://klasma.github.io/Logging_0188/artfynd/A 9955-2022 artfynd.xlsx", "A 9955-2022")</f>
        <v/>
      </c>
      <c r="T144">
        <f>HYPERLINK("https://klasma.github.io/Logging_0188/kartor/A 9955-2022 karta.png", "A 9955-2022")</f>
        <v/>
      </c>
      <c r="V144">
        <f>HYPERLINK("https://klasma.github.io/Logging_0188/klagomål/A 9955-2022 FSC-klagomål.docx", "A 9955-2022")</f>
        <v/>
      </c>
      <c r="W144">
        <f>HYPERLINK("https://klasma.github.io/Logging_0188/klagomålsmail/A 9955-2022 FSC-klagomål mail.docx", "A 9955-2022")</f>
        <v/>
      </c>
      <c r="X144">
        <f>HYPERLINK("https://klasma.github.io/Logging_0188/tillsyn/A 9955-2022 tillsynsbegäran.docx", "A 9955-2022")</f>
        <v/>
      </c>
      <c r="Y144">
        <f>HYPERLINK("https://klasma.github.io/Logging_0188/tillsynsmail/A 9955-2022 tillsynsbegäran mail.docx", "A 9955-2022")</f>
        <v/>
      </c>
    </row>
    <row r="145" ht="15" customHeight="1">
      <c r="A145" t="inlineStr">
        <is>
          <t>A 18580-2021</t>
        </is>
      </c>
      <c r="B145" s="1" t="n">
        <v>44306</v>
      </c>
      <c r="C145" s="1" t="n">
        <v>46113</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71543-2021</t>
        </is>
      </c>
      <c r="B146" s="1" t="n">
        <v>44540</v>
      </c>
      <c r="C146" s="1" t="n">
        <v>46113</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46113</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46113</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46113</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46113</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46113</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46113</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46113</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46113</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46113</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46113</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46113</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46113</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46113</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46113</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46113</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46113</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46113</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46113</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46113</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46113</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46113</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46113</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46113</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46113</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46113</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46113</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46113</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46113</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46113</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46113</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46113</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46113</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46113</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46113</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46113</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46113</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46113</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46113</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46113</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46113</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46113</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46113</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46113</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46113</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46113</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46113</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46113</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46113</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46113</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46113</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46113</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46113</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46113</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46113</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46113</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46113</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46113</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46113</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46113</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46113</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46113</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46113</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46113</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46113</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46113</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46113</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46113</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46113</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46113</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46113</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46113</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5351-2022</t>
        </is>
      </c>
      <c r="B218" s="1" t="n">
        <v>44594.75950231482</v>
      </c>
      <c r="C218" s="1" t="n">
        <v>46113</v>
      </c>
      <c r="D218" t="inlineStr">
        <is>
          <t>STOCKHOLMS LÄN</t>
        </is>
      </c>
      <c r="E218" t="inlineStr">
        <is>
          <t>NORRTÄLJE</t>
        </is>
      </c>
      <c r="G218" t="n">
        <v>4</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46113</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46113</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46113</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46113</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46113</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46113</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46113</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46113</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46113</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46113</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46113</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46113</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46113</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46113</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46113</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46113</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46113</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14051-2022</t>
        </is>
      </c>
      <c r="B237" s="1" t="n">
        <v>44650.92714120371</v>
      </c>
      <c r="C237" s="1" t="n">
        <v>46113</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46113</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46113</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46113</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46113</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46113</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12270-2022</t>
        </is>
      </c>
      <c r="B243" s="1" t="n">
        <v>44637</v>
      </c>
      <c r="C243" s="1" t="n">
        <v>46113</v>
      </c>
      <c r="D243" t="inlineStr">
        <is>
          <t>STOCKHOLMS LÄN</t>
        </is>
      </c>
      <c r="E243" t="inlineStr">
        <is>
          <t>NORRTÄLJE</t>
        </is>
      </c>
      <c r="G243" t="n">
        <v>2.3</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46113</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46113</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46113</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46113</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46113</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46113</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46113</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46113</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46113</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46113</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46113</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62030-2021</t>
        </is>
      </c>
      <c r="B255" s="1" t="n">
        <v>44502</v>
      </c>
      <c r="C255" s="1" t="n">
        <v>46113</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46113</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46113</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11229-2022</t>
        </is>
      </c>
      <c r="B258" s="1" t="n">
        <v>44629</v>
      </c>
      <c r="C258" s="1" t="n">
        <v>46113</v>
      </c>
      <c r="D258" t="inlineStr">
        <is>
          <t>STOCKHOLMS LÄN</t>
        </is>
      </c>
      <c r="E258" t="inlineStr">
        <is>
          <t>NORRTÄLJE</t>
        </is>
      </c>
      <c r="F258" t="inlineStr">
        <is>
          <t>Övriga Aktiebolag</t>
        </is>
      </c>
      <c r="G258" t="n">
        <v>4.1</v>
      </c>
      <c r="H258" t="n">
        <v>0</v>
      </c>
      <c r="I258" t="n">
        <v>0</v>
      </c>
      <c r="J258" t="n">
        <v>0</v>
      </c>
      <c r="K258" t="n">
        <v>0</v>
      </c>
      <c r="L258" t="n">
        <v>0</v>
      </c>
      <c r="M258" t="n">
        <v>0</v>
      </c>
      <c r="N258" t="n">
        <v>0</v>
      </c>
      <c r="O258" t="n">
        <v>0</v>
      </c>
      <c r="P258" t="n">
        <v>0</v>
      </c>
      <c r="Q258" t="n">
        <v>0</v>
      </c>
      <c r="R258" s="2" t="inlineStr"/>
    </row>
    <row r="259" ht="15" customHeight="1">
      <c r="A259" t="inlineStr">
        <is>
          <t>A 9654-2022</t>
        </is>
      </c>
      <c r="B259" s="1" t="n">
        <v>44617</v>
      </c>
      <c r="C259" s="1" t="n">
        <v>46113</v>
      </c>
      <c r="D259" t="inlineStr">
        <is>
          <t>STOCKHOLMS LÄN</t>
        </is>
      </c>
      <c r="E259" t="inlineStr">
        <is>
          <t>NORRTÄLJE</t>
        </is>
      </c>
      <c r="G259" t="n">
        <v>6.4</v>
      </c>
      <c r="H259" t="n">
        <v>0</v>
      </c>
      <c r="I259" t="n">
        <v>0</v>
      </c>
      <c r="J259" t="n">
        <v>0</v>
      </c>
      <c r="K259" t="n">
        <v>0</v>
      </c>
      <c r="L259" t="n">
        <v>0</v>
      </c>
      <c r="M259" t="n">
        <v>0</v>
      </c>
      <c r="N259" t="n">
        <v>0</v>
      </c>
      <c r="O259" t="n">
        <v>0</v>
      </c>
      <c r="P259" t="n">
        <v>0</v>
      </c>
      <c r="Q259" t="n">
        <v>0</v>
      </c>
      <c r="R259" s="2" t="inlineStr"/>
    </row>
    <row r="260" ht="15" customHeight="1">
      <c r="A260" t="inlineStr">
        <is>
          <t>A 5389-2025</t>
        </is>
      </c>
      <c r="B260" s="1" t="n">
        <v>45692</v>
      </c>
      <c r="C260" s="1" t="n">
        <v>46113</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46113</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44032-2024</t>
        </is>
      </c>
      <c r="B262" s="1" t="n">
        <v>45572.57828703704</v>
      </c>
      <c r="C262" s="1" t="n">
        <v>46113</v>
      </c>
      <c r="D262" t="inlineStr">
        <is>
          <t>STOCKHOLMS LÄN</t>
        </is>
      </c>
      <c r="E262" t="inlineStr">
        <is>
          <t>NORRTÄLJE</t>
        </is>
      </c>
      <c r="G262" t="n">
        <v>8.6</v>
      </c>
      <c r="H262" t="n">
        <v>0</v>
      </c>
      <c r="I262" t="n">
        <v>0</v>
      </c>
      <c r="J262" t="n">
        <v>0</v>
      </c>
      <c r="K262" t="n">
        <v>0</v>
      </c>
      <c r="L262" t="n">
        <v>0</v>
      </c>
      <c r="M262" t="n">
        <v>0</v>
      </c>
      <c r="N262" t="n">
        <v>0</v>
      </c>
      <c r="O262" t="n">
        <v>0</v>
      </c>
      <c r="P262" t="n">
        <v>0</v>
      </c>
      <c r="Q262" t="n">
        <v>0</v>
      </c>
      <c r="R262" s="2" t="inlineStr"/>
    </row>
    <row r="263" ht="15" customHeight="1">
      <c r="A263" t="inlineStr">
        <is>
          <t>A 24563-2024</t>
        </is>
      </c>
      <c r="B263" s="1" t="n">
        <v>45460.44347222222</v>
      </c>
      <c r="C263" s="1" t="n">
        <v>46113</v>
      </c>
      <c r="D263" t="inlineStr">
        <is>
          <t>STOCKHOLMS LÄN</t>
        </is>
      </c>
      <c r="E263" t="inlineStr">
        <is>
          <t>NORRTÄLJE</t>
        </is>
      </c>
      <c r="G263" t="n">
        <v>1.9</v>
      </c>
      <c r="H263" t="n">
        <v>0</v>
      </c>
      <c r="I263" t="n">
        <v>0</v>
      </c>
      <c r="J263" t="n">
        <v>0</v>
      </c>
      <c r="K263" t="n">
        <v>0</v>
      </c>
      <c r="L263" t="n">
        <v>0</v>
      </c>
      <c r="M263" t="n">
        <v>0</v>
      </c>
      <c r="N263" t="n">
        <v>0</v>
      </c>
      <c r="O263" t="n">
        <v>0</v>
      </c>
      <c r="P263" t="n">
        <v>0</v>
      </c>
      <c r="Q263" t="n">
        <v>0</v>
      </c>
      <c r="R263" s="2" t="inlineStr"/>
    </row>
    <row r="264" ht="15" customHeight="1">
      <c r="A264" t="inlineStr">
        <is>
          <t>A 22202-2025</t>
        </is>
      </c>
      <c r="B264" s="1" t="n">
        <v>45785.65300925926</v>
      </c>
      <c r="C264" s="1" t="n">
        <v>46113</v>
      </c>
      <c r="D264" t="inlineStr">
        <is>
          <t>STOCKHOLMS LÄN</t>
        </is>
      </c>
      <c r="E264" t="inlineStr">
        <is>
          <t>NORRTÄLJE</t>
        </is>
      </c>
      <c r="G264" t="n">
        <v>10.2</v>
      </c>
      <c r="H264" t="n">
        <v>0</v>
      </c>
      <c r="I264" t="n">
        <v>0</v>
      </c>
      <c r="J264" t="n">
        <v>0</v>
      </c>
      <c r="K264" t="n">
        <v>0</v>
      </c>
      <c r="L264" t="n">
        <v>0</v>
      </c>
      <c r="M264" t="n">
        <v>0</v>
      </c>
      <c r="N264" t="n">
        <v>0</v>
      </c>
      <c r="O264" t="n">
        <v>0</v>
      </c>
      <c r="P264" t="n">
        <v>0</v>
      </c>
      <c r="Q264" t="n">
        <v>0</v>
      </c>
      <c r="R264" s="2" t="inlineStr"/>
    </row>
    <row r="265" ht="15" customHeight="1">
      <c r="A265" t="inlineStr">
        <is>
          <t>A 36625-2024</t>
        </is>
      </c>
      <c r="B265" s="1" t="n">
        <v>45537</v>
      </c>
      <c r="C265" s="1" t="n">
        <v>46113</v>
      </c>
      <c r="D265" t="inlineStr">
        <is>
          <t>STOCKHOLMS LÄN</t>
        </is>
      </c>
      <c r="E265" t="inlineStr">
        <is>
          <t>NORRTÄLJE</t>
        </is>
      </c>
      <c r="G265" t="n">
        <v>3.8</v>
      </c>
      <c r="H265" t="n">
        <v>0</v>
      </c>
      <c r="I265" t="n">
        <v>0</v>
      </c>
      <c r="J265" t="n">
        <v>0</v>
      </c>
      <c r="K265" t="n">
        <v>0</v>
      </c>
      <c r="L265" t="n">
        <v>0</v>
      </c>
      <c r="M265" t="n">
        <v>0</v>
      </c>
      <c r="N265" t="n">
        <v>0</v>
      </c>
      <c r="O265" t="n">
        <v>0</v>
      </c>
      <c r="P265" t="n">
        <v>0</v>
      </c>
      <c r="Q265" t="n">
        <v>0</v>
      </c>
      <c r="R265" s="2" t="inlineStr"/>
    </row>
    <row r="266" ht="15" customHeight="1">
      <c r="A266" t="inlineStr">
        <is>
          <t>A 45746-2024</t>
        </is>
      </c>
      <c r="B266" s="1" t="n">
        <v>45579</v>
      </c>
      <c r="C266" s="1" t="n">
        <v>46113</v>
      </c>
      <c r="D266" t="inlineStr">
        <is>
          <t>STOCKHOLMS LÄN</t>
        </is>
      </c>
      <c r="E266" t="inlineStr">
        <is>
          <t>NORRTÄLJE</t>
        </is>
      </c>
      <c r="G266" t="n">
        <v>3.3</v>
      </c>
      <c r="H266" t="n">
        <v>0</v>
      </c>
      <c r="I266" t="n">
        <v>0</v>
      </c>
      <c r="J266" t="n">
        <v>0</v>
      </c>
      <c r="K266" t="n">
        <v>0</v>
      </c>
      <c r="L266" t="n">
        <v>0</v>
      </c>
      <c r="M266" t="n">
        <v>0</v>
      </c>
      <c r="N266" t="n">
        <v>0</v>
      </c>
      <c r="O266" t="n">
        <v>0</v>
      </c>
      <c r="P266" t="n">
        <v>0</v>
      </c>
      <c r="Q266" t="n">
        <v>0</v>
      </c>
      <c r="R266" s="2" t="inlineStr"/>
    </row>
    <row r="267" ht="15" customHeight="1">
      <c r="A267" t="inlineStr">
        <is>
          <t>A 37147-2023</t>
        </is>
      </c>
      <c r="B267" s="1" t="n">
        <v>45155</v>
      </c>
      <c r="C267" s="1" t="n">
        <v>46113</v>
      </c>
      <c r="D267" t="inlineStr">
        <is>
          <t>STOCKHOLMS LÄN</t>
        </is>
      </c>
      <c r="E267" t="inlineStr">
        <is>
          <t>NORRTÄLJE</t>
        </is>
      </c>
      <c r="G267" t="n">
        <v>8</v>
      </c>
      <c r="H267" t="n">
        <v>0</v>
      </c>
      <c r="I267" t="n">
        <v>0</v>
      </c>
      <c r="J267" t="n">
        <v>0</v>
      </c>
      <c r="K267" t="n">
        <v>0</v>
      </c>
      <c r="L267" t="n">
        <v>0</v>
      </c>
      <c r="M267" t="n">
        <v>0</v>
      </c>
      <c r="N267" t="n">
        <v>0</v>
      </c>
      <c r="O267" t="n">
        <v>0</v>
      </c>
      <c r="P267" t="n">
        <v>0</v>
      </c>
      <c r="Q267" t="n">
        <v>0</v>
      </c>
      <c r="R267" s="2" t="inlineStr"/>
    </row>
    <row r="268" ht="15" customHeight="1">
      <c r="A268" t="inlineStr">
        <is>
          <t>A 59499-2023</t>
        </is>
      </c>
      <c r="B268" s="1" t="n">
        <v>45254</v>
      </c>
      <c r="C268" s="1" t="n">
        <v>46113</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60654-2023</t>
        </is>
      </c>
      <c r="B269" s="1" t="n">
        <v>45260.43225694444</v>
      </c>
      <c r="C269" s="1" t="n">
        <v>46113</v>
      </c>
      <c r="D269" t="inlineStr">
        <is>
          <t>STOCKHOLMS LÄN</t>
        </is>
      </c>
      <c r="E269" t="inlineStr">
        <is>
          <t>NORRTÄLJE</t>
        </is>
      </c>
      <c r="G269" t="n">
        <v>2.1</v>
      </c>
      <c r="H269" t="n">
        <v>0</v>
      </c>
      <c r="I269" t="n">
        <v>0</v>
      </c>
      <c r="J269" t="n">
        <v>0</v>
      </c>
      <c r="K269" t="n">
        <v>0</v>
      </c>
      <c r="L269" t="n">
        <v>0</v>
      </c>
      <c r="M269" t="n">
        <v>0</v>
      </c>
      <c r="N269" t="n">
        <v>0</v>
      </c>
      <c r="O269" t="n">
        <v>0</v>
      </c>
      <c r="P269" t="n">
        <v>0</v>
      </c>
      <c r="Q269" t="n">
        <v>0</v>
      </c>
      <c r="R269" s="2" t="inlineStr"/>
    </row>
    <row r="270" ht="15" customHeight="1">
      <c r="A270" t="inlineStr">
        <is>
          <t>A 60656-2023</t>
        </is>
      </c>
      <c r="B270" s="1" t="n">
        <v>45260.4333449074</v>
      </c>
      <c r="C270" s="1" t="n">
        <v>46113</v>
      </c>
      <c r="D270" t="inlineStr">
        <is>
          <t>STOCKHOLMS LÄN</t>
        </is>
      </c>
      <c r="E270" t="inlineStr">
        <is>
          <t>NORRTÄLJE</t>
        </is>
      </c>
      <c r="G270" t="n">
        <v>4.8</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46113</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46113</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22697-2022</t>
        </is>
      </c>
      <c r="B273" s="1" t="n">
        <v>44714.56040509259</v>
      </c>
      <c r="C273" s="1" t="n">
        <v>46113</v>
      </c>
      <c r="D273" t="inlineStr">
        <is>
          <t>STOCKHOLMS LÄN</t>
        </is>
      </c>
      <c r="E273" t="inlineStr">
        <is>
          <t>NORRTÄLJE</t>
        </is>
      </c>
      <c r="G273" t="n">
        <v>5.6</v>
      </c>
      <c r="H273" t="n">
        <v>0</v>
      </c>
      <c r="I273" t="n">
        <v>0</v>
      </c>
      <c r="J273" t="n">
        <v>0</v>
      </c>
      <c r="K273" t="n">
        <v>0</v>
      </c>
      <c r="L273" t="n">
        <v>0</v>
      </c>
      <c r="M273" t="n">
        <v>0</v>
      </c>
      <c r="N273" t="n">
        <v>0</v>
      </c>
      <c r="O273" t="n">
        <v>0</v>
      </c>
      <c r="P273" t="n">
        <v>0</v>
      </c>
      <c r="Q273" t="n">
        <v>0</v>
      </c>
      <c r="R273" s="2" t="inlineStr"/>
    </row>
    <row r="274" ht="15" customHeight="1">
      <c r="A274" t="inlineStr">
        <is>
          <t>A 7565-2022</t>
        </is>
      </c>
      <c r="B274" s="1" t="n">
        <v>44607</v>
      </c>
      <c r="C274" s="1" t="n">
        <v>46113</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8400-2024</t>
        </is>
      </c>
      <c r="B275" s="1" t="n">
        <v>45352.74090277778</v>
      </c>
      <c r="C275" s="1" t="n">
        <v>46113</v>
      </c>
      <c r="D275" t="inlineStr">
        <is>
          <t>STOCKHOLMS LÄN</t>
        </is>
      </c>
      <c r="E275" t="inlineStr">
        <is>
          <t>NORRTÄLJE</t>
        </is>
      </c>
      <c r="G275" t="n">
        <v>4.7</v>
      </c>
      <c r="H275" t="n">
        <v>0</v>
      </c>
      <c r="I275" t="n">
        <v>0</v>
      </c>
      <c r="J275" t="n">
        <v>0</v>
      </c>
      <c r="K275" t="n">
        <v>0</v>
      </c>
      <c r="L275" t="n">
        <v>0</v>
      </c>
      <c r="M275" t="n">
        <v>0</v>
      </c>
      <c r="N275" t="n">
        <v>0</v>
      </c>
      <c r="O275" t="n">
        <v>0</v>
      </c>
      <c r="P275" t="n">
        <v>0</v>
      </c>
      <c r="Q275" t="n">
        <v>0</v>
      </c>
      <c r="R275" s="2" t="inlineStr"/>
    </row>
    <row r="276" ht="15" customHeight="1">
      <c r="A276" t="inlineStr">
        <is>
          <t>A 2182-2022</t>
        </is>
      </c>
      <c r="B276" s="1" t="n">
        <v>44578</v>
      </c>
      <c r="C276" s="1" t="n">
        <v>46113</v>
      </c>
      <c r="D276" t="inlineStr">
        <is>
          <t>STOCKHOLMS LÄN</t>
        </is>
      </c>
      <c r="E276" t="inlineStr">
        <is>
          <t>NORRTÄLJE</t>
        </is>
      </c>
      <c r="G276" t="n">
        <v>7.2</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46113</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46113</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16620-2024</t>
        </is>
      </c>
      <c r="B279" s="1" t="n">
        <v>45408.57707175926</v>
      </c>
      <c r="C279" s="1" t="n">
        <v>46113</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22416-2025</t>
        </is>
      </c>
      <c r="B280" s="1" t="n">
        <v>45786.55645833333</v>
      </c>
      <c r="C280" s="1" t="n">
        <v>46113</v>
      </c>
      <c r="D280" t="inlineStr">
        <is>
          <t>STOCKHOLMS LÄN</t>
        </is>
      </c>
      <c r="E280" t="inlineStr">
        <is>
          <t>NORRTÄLJE</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58785-2024</t>
        </is>
      </c>
      <c r="B281" s="1" t="n">
        <v>45635.88849537037</v>
      </c>
      <c r="C281" s="1" t="n">
        <v>46113</v>
      </c>
      <c r="D281" t="inlineStr">
        <is>
          <t>STOCKHOLMS LÄN</t>
        </is>
      </c>
      <c r="E281" t="inlineStr">
        <is>
          <t>NORRTÄLJE</t>
        </is>
      </c>
      <c r="G281" t="n">
        <v>3.3</v>
      </c>
      <c r="H281" t="n">
        <v>0</v>
      </c>
      <c r="I281" t="n">
        <v>0</v>
      </c>
      <c r="J281" t="n">
        <v>0</v>
      </c>
      <c r="K281" t="n">
        <v>0</v>
      </c>
      <c r="L281" t="n">
        <v>0</v>
      </c>
      <c r="M281" t="n">
        <v>0</v>
      </c>
      <c r="N281" t="n">
        <v>0</v>
      </c>
      <c r="O281" t="n">
        <v>0</v>
      </c>
      <c r="P281" t="n">
        <v>0</v>
      </c>
      <c r="Q281" t="n">
        <v>0</v>
      </c>
      <c r="R281" s="2" t="inlineStr"/>
    </row>
    <row r="282" ht="15" customHeight="1">
      <c r="A282" t="inlineStr">
        <is>
          <t>A 20295-2022</t>
        </is>
      </c>
      <c r="B282" s="1" t="n">
        <v>44698</v>
      </c>
      <c r="C282" s="1" t="n">
        <v>46113</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37415-2021</t>
        </is>
      </c>
      <c r="B283" s="1" t="n">
        <v>44397</v>
      </c>
      <c r="C283" s="1" t="n">
        <v>46113</v>
      </c>
      <c r="D283" t="inlineStr">
        <is>
          <t>STOCKHOLMS LÄN</t>
        </is>
      </c>
      <c r="E283" t="inlineStr">
        <is>
          <t>NORRTÄLJE</t>
        </is>
      </c>
      <c r="F283" t="inlineStr">
        <is>
          <t>Övriga Aktiebolag</t>
        </is>
      </c>
      <c r="G283" t="n">
        <v>3</v>
      </c>
      <c r="H283" t="n">
        <v>0</v>
      </c>
      <c r="I283" t="n">
        <v>0</v>
      </c>
      <c r="J283" t="n">
        <v>0</v>
      </c>
      <c r="K283" t="n">
        <v>0</v>
      </c>
      <c r="L283" t="n">
        <v>0</v>
      </c>
      <c r="M283" t="n">
        <v>0</v>
      </c>
      <c r="N283" t="n">
        <v>0</v>
      </c>
      <c r="O283" t="n">
        <v>0</v>
      </c>
      <c r="P283" t="n">
        <v>0</v>
      </c>
      <c r="Q283" t="n">
        <v>0</v>
      </c>
      <c r="R283" s="2" t="inlineStr"/>
    </row>
    <row r="284" ht="15" customHeight="1">
      <c r="A284" t="inlineStr">
        <is>
          <t>A 22816-2021</t>
        </is>
      </c>
      <c r="B284" s="1" t="n">
        <v>44325</v>
      </c>
      <c r="C284" s="1" t="n">
        <v>46113</v>
      </c>
      <c r="D284" t="inlineStr">
        <is>
          <t>STOCKHOLMS LÄN</t>
        </is>
      </c>
      <c r="E284" t="inlineStr">
        <is>
          <t>NORRTÄLJE</t>
        </is>
      </c>
      <c r="G284" t="n">
        <v>4.5</v>
      </c>
      <c r="H284" t="n">
        <v>0</v>
      </c>
      <c r="I284" t="n">
        <v>0</v>
      </c>
      <c r="J284" t="n">
        <v>0</v>
      </c>
      <c r="K284" t="n">
        <v>0</v>
      </c>
      <c r="L284" t="n">
        <v>0</v>
      </c>
      <c r="M284" t="n">
        <v>0</v>
      </c>
      <c r="N284" t="n">
        <v>0</v>
      </c>
      <c r="O284" t="n">
        <v>0</v>
      </c>
      <c r="P284" t="n">
        <v>0</v>
      </c>
      <c r="Q284" t="n">
        <v>0</v>
      </c>
      <c r="R284" s="2" t="inlineStr"/>
    </row>
    <row r="285" ht="15" customHeight="1">
      <c r="A285" t="inlineStr">
        <is>
          <t>A 48180-2023</t>
        </is>
      </c>
      <c r="B285" s="1" t="n">
        <v>45205</v>
      </c>
      <c r="C285" s="1" t="n">
        <v>46113</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57353-2024</t>
        </is>
      </c>
      <c r="B286" s="1" t="n">
        <v>45629.65143518519</v>
      </c>
      <c r="C286" s="1" t="n">
        <v>46113</v>
      </c>
      <c r="D286" t="inlineStr">
        <is>
          <t>STOCKHOLMS LÄN</t>
        </is>
      </c>
      <c r="E286" t="inlineStr">
        <is>
          <t>NORRTÄLJE</t>
        </is>
      </c>
      <c r="F286" t="inlineStr">
        <is>
          <t>Holmen skog AB</t>
        </is>
      </c>
      <c r="G286" t="n">
        <v>0.9</v>
      </c>
      <c r="H286" t="n">
        <v>0</v>
      </c>
      <c r="I286" t="n">
        <v>0</v>
      </c>
      <c r="J286" t="n">
        <v>0</v>
      </c>
      <c r="K286" t="n">
        <v>0</v>
      </c>
      <c r="L286" t="n">
        <v>0</v>
      </c>
      <c r="M286" t="n">
        <v>0</v>
      </c>
      <c r="N286" t="n">
        <v>0</v>
      </c>
      <c r="O286" t="n">
        <v>0</v>
      </c>
      <c r="P286" t="n">
        <v>0</v>
      </c>
      <c r="Q286" t="n">
        <v>0</v>
      </c>
      <c r="R286" s="2" t="inlineStr"/>
    </row>
    <row r="287" ht="15" customHeight="1">
      <c r="A287" t="inlineStr">
        <is>
          <t>A 30286-2022</t>
        </is>
      </c>
      <c r="B287" s="1" t="n">
        <v>44760</v>
      </c>
      <c r="C287" s="1" t="n">
        <v>46113</v>
      </c>
      <c r="D287" t="inlineStr">
        <is>
          <t>STOCKHOLMS LÄN</t>
        </is>
      </c>
      <c r="E287" t="inlineStr">
        <is>
          <t>NORRTÄLJE</t>
        </is>
      </c>
      <c r="G287" t="n">
        <v>0.3</v>
      </c>
      <c r="H287" t="n">
        <v>0</v>
      </c>
      <c r="I287" t="n">
        <v>0</v>
      </c>
      <c r="J287" t="n">
        <v>0</v>
      </c>
      <c r="K287" t="n">
        <v>0</v>
      </c>
      <c r="L287" t="n">
        <v>0</v>
      </c>
      <c r="M287" t="n">
        <v>0</v>
      </c>
      <c r="N287" t="n">
        <v>0</v>
      </c>
      <c r="O287" t="n">
        <v>0</v>
      </c>
      <c r="P287" t="n">
        <v>0</v>
      </c>
      <c r="Q287" t="n">
        <v>0</v>
      </c>
      <c r="R287" s="2" t="inlineStr"/>
    </row>
    <row r="288" ht="15" customHeight="1">
      <c r="A288" t="inlineStr">
        <is>
          <t>A 8160-2022</t>
        </is>
      </c>
      <c r="B288" s="1" t="n">
        <v>44609</v>
      </c>
      <c r="C288" s="1" t="n">
        <v>46113</v>
      </c>
      <c r="D288" t="inlineStr">
        <is>
          <t>STOCKHOLMS LÄN</t>
        </is>
      </c>
      <c r="E288" t="inlineStr">
        <is>
          <t>NORRTÄLJE</t>
        </is>
      </c>
      <c r="G288" t="n">
        <v>3.9</v>
      </c>
      <c r="H288" t="n">
        <v>0</v>
      </c>
      <c r="I288" t="n">
        <v>0</v>
      </c>
      <c r="J288" t="n">
        <v>0</v>
      </c>
      <c r="K288" t="n">
        <v>0</v>
      </c>
      <c r="L288" t="n">
        <v>0</v>
      </c>
      <c r="M288" t="n">
        <v>0</v>
      </c>
      <c r="N288" t="n">
        <v>0</v>
      </c>
      <c r="O288" t="n">
        <v>0</v>
      </c>
      <c r="P288" t="n">
        <v>0</v>
      </c>
      <c r="Q288" t="n">
        <v>0</v>
      </c>
      <c r="R288" s="2" t="inlineStr"/>
    </row>
    <row r="289" ht="15" customHeight="1">
      <c r="A289" t="inlineStr">
        <is>
          <t>A 65499-2021</t>
        </is>
      </c>
      <c r="B289" s="1" t="n">
        <v>44516</v>
      </c>
      <c r="C289" s="1" t="n">
        <v>46113</v>
      </c>
      <c r="D289" t="inlineStr">
        <is>
          <t>STOCKHOLMS LÄN</t>
        </is>
      </c>
      <c r="E289" t="inlineStr">
        <is>
          <t>NORRTÄLJE</t>
        </is>
      </c>
      <c r="F289" t="inlineStr">
        <is>
          <t>Kommuner</t>
        </is>
      </c>
      <c r="G289" t="n">
        <v>5.2</v>
      </c>
      <c r="H289" t="n">
        <v>0</v>
      </c>
      <c r="I289" t="n">
        <v>0</v>
      </c>
      <c r="J289" t="n">
        <v>0</v>
      </c>
      <c r="K289" t="n">
        <v>0</v>
      </c>
      <c r="L289" t="n">
        <v>0</v>
      </c>
      <c r="M289" t="n">
        <v>0</v>
      </c>
      <c r="N289" t="n">
        <v>0</v>
      </c>
      <c r="O289" t="n">
        <v>0</v>
      </c>
      <c r="P289" t="n">
        <v>0</v>
      </c>
      <c r="Q289" t="n">
        <v>0</v>
      </c>
      <c r="R289" s="2" t="inlineStr"/>
    </row>
    <row r="290" ht="15" customHeight="1">
      <c r="A290" t="inlineStr">
        <is>
          <t>A 39319-2022</t>
        </is>
      </c>
      <c r="B290" s="1" t="n">
        <v>44817.70516203704</v>
      </c>
      <c r="C290" s="1" t="n">
        <v>46113</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55696-2022</t>
        </is>
      </c>
      <c r="B291" s="1" t="n">
        <v>44888</v>
      </c>
      <c r="C291" s="1" t="n">
        <v>46113</v>
      </c>
      <c r="D291" t="inlineStr">
        <is>
          <t>STOCKHOLMS LÄN</t>
        </is>
      </c>
      <c r="E291" t="inlineStr">
        <is>
          <t>NORRTÄLJE</t>
        </is>
      </c>
      <c r="G291" t="n">
        <v>2.2</v>
      </c>
      <c r="H291" t="n">
        <v>0</v>
      </c>
      <c r="I291" t="n">
        <v>0</v>
      </c>
      <c r="J291" t="n">
        <v>0</v>
      </c>
      <c r="K291" t="n">
        <v>0</v>
      </c>
      <c r="L291" t="n">
        <v>0</v>
      </c>
      <c r="M291" t="n">
        <v>0</v>
      </c>
      <c r="N291" t="n">
        <v>0</v>
      </c>
      <c r="O291" t="n">
        <v>0</v>
      </c>
      <c r="P291" t="n">
        <v>0</v>
      </c>
      <c r="Q291" t="n">
        <v>0</v>
      </c>
      <c r="R291" s="2" t="inlineStr"/>
    </row>
    <row r="292" ht="15" customHeight="1">
      <c r="A292" t="inlineStr">
        <is>
          <t>A 50907-2022</t>
        </is>
      </c>
      <c r="B292" s="1" t="n">
        <v>44867.62090277778</v>
      </c>
      <c r="C292" s="1" t="n">
        <v>46113</v>
      </c>
      <c r="D292" t="inlineStr">
        <is>
          <t>STOCKHOLMS LÄN</t>
        </is>
      </c>
      <c r="E292" t="inlineStr">
        <is>
          <t>NORRTÄLJE</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6919-2025</t>
        </is>
      </c>
      <c r="B293" s="1" t="n">
        <v>45701.44372685185</v>
      </c>
      <c r="C293" s="1" t="n">
        <v>46113</v>
      </c>
      <c r="D293" t="inlineStr">
        <is>
          <t>STOCKHOLMS LÄN</t>
        </is>
      </c>
      <c r="E293" t="inlineStr">
        <is>
          <t>NORRTÄLJE</t>
        </is>
      </c>
      <c r="G293" t="n">
        <v>3.5</v>
      </c>
      <c r="H293" t="n">
        <v>0</v>
      </c>
      <c r="I293" t="n">
        <v>0</v>
      </c>
      <c r="J293" t="n">
        <v>0</v>
      </c>
      <c r="K293" t="n">
        <v>0</v>
      </c>
      <c r="L293" t="n">
        <v>0</v>
      </c>
      <c r="M293" t="n">
        <v>0</v>
      </c>
      <c r="N293" t="n">
        <v>0</v>
      </c>
      <c r="O293" t="n">
        <v>0</v>
      </c>
      <c r="P293" t="n">
        <v>0</v>
      </c>
      <c r="Q293" t="n">
        <v>0</v>
      </c>
      <c r="R293" s="2" t="inlineStr"/>
    </row>
    <row r="294" ht="15" customHeight="1">
      <c r="A294" t="inlineStr">
        <is>
          <t>A 56219-2021</t>
        </is>
      </c>
      <c r="B294" s="1" t="n">
        <v>44477</v>
      </c>
      <c r="C294" s="1" t="n">
        <v>46113</v>
      </c>
      <c r="D294" t="inlineStr">
        <is>
          <t>STOCKHOLMS LÄN</t>
        </is>
      </c>
      <c r="E294" t="inlineStr">
        <is>
          <t>NORRTÄLJE</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53362-2023</t>
        </is>
      </c>
      <c r="B295" s="1" t="n">
        <v>45223</v>
      </c>
      <c r="C295" s="1" t="n">
        <v>46113</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8433-2022</t>
        </is>
      </c>
      <c r="B296" s="1" t="n">
        <v>44611</v>
      </c>
      <c r="C296" s="1" t="n">
        <v>46113</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15226-2022</t>
        </is>
      </c>
      <c r="B297" s="1" t="n">
        <v>44658</v>
      </c>
      <c r="C297" s="1" t="n">
        <v>46113</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3300-2022</t>
        </is>
      </c>
      <c r="B298" s="1" t="n">
        <v>44584.91538194445</v>
      </c>
      <c r="C298" s="1" t="n">
        <v>46113</v>
      </c>
      <c r="D298" t="inlineStr">
        <is>
          <t>STOCKHOLMS LÄN</t>
        </is>
      </c>
      <c r="E298" t="inlineStr">
        <is>
          <t>NORRTÄLJE</t>
        </is>
      </c>
      <c r="G298" t="n">
        <v>0.4</v>
      </c>
      <c r="H298" t="n">
        <v>0</v>
      </c>
      <c r="I298" t="n">
        <v>0</v>
      </c>
      <c r="J298" t="n">
        <v>0</v>
      </c>
      <c r="K298" t="n">
        <v>0</v>
      </c>
      <c r="L298" t="n">
        <v>0</v>
      </c>
      <c r="M298" t="n">
        <v>0</v>
      </c>
      <c r="N298" t="n">
        <v>0</v>
      </c>
      <c r="O298" t="n">
        <v>0</v>
      </c>
      <c r="P298" t="n">
        <v>0</v>
      </c>
      <c r="Q298" t="n">
        <v>0</v>
      </c>
      <c r="R298" s="2" t="inlineStr"/>
    </row>
    <row r="299" ht="15" customHeight="1">
      <c r="A299" t="inlineStr">
        <is>
          <t>A 17388-2022</t>
        </is>
      </c>
      <c r="B299" s="1" t="n">
        <v>44678</v>
      </c>
      <c r="C299" s="1" t="n">
        <v>46113</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17771-2022</t>
        </is>
      </c>
      <c r="B300" s="1" t="n">
        <v>44682.75924768519</v>
      </c>
      <c r="C300" s="1" t="n">
        <v>46113</v>
      </c>
      <c r="D300" t="inlineStr">
        <is>
          <t>STOCKHOLMS LÄN</t>
        </is>
      </c>
      <c r="E300" t="inlineStr">
        <is>
          <t>NORRTÄLJE</t>
        </is>
      </c>
      <c r="G300" t="n">
        <v>13.3</v>
      </c>
      <c r="H300" t="n">
        <v>0</v>
      </c>
      <c r="I300" t="n">
        <v>0</v>
      </c>
      <c r="J300" t="n">
        <v>0</v>
      </c>
      <c r="K300" t="n">
        <v>0</v>
      </c>
      <c r="L300" t="n">
        <v>0</v>
      </c>
      <c r="M300" t="n">
        <v>0</v>
      </c>
      <c r="N300" t="n">
        <v>0</v>
      </c>
      <c r="O300" t="n">
        <v>0</v>
      </c>
      <c r="P300" t="n">
        <v>0</v>
      </c>
      <c r="Q300" t="n">
        <v>0</v>
      </c>
      <c r="R300" s="2" t="inlineStr"/>
    </row>
    <row r="301" ht="15" customHeight="1">
      <c r="A301" t="inlineStr">
        <is>
          <t>A 17773-2022</t>
        </is>
      </c>
      <c r="B301" s="1" t="n">
        <v>44682.77616898148</v>
      </c>
      <c r="C301" s="1" t="n">
        <v>46113</v>
      </c>
      <c r="D301" t="inlineStr">
        <is>
          <t>STOCKHOLMS LÄN</t>
        </is>
      </c>
      <c r="E301" t="inlineStr">
        <is>
          <t>NORRTÄLJE</t>
        </is>
      </c>
      <c r="G301" t="n">
        <v>10.8</v>
      </c>
      <c r="H301" t="n">
        <v>0</v>
      </c>
      <c r="I301" t="n">
        <v>0</v>
      </c>
      <c r="J301" t="n">
        <v>0</v>
      </c>
      <c r="K301" t="n">
        <v>0</v>
      </c>
      <c r="L301" t="n">
        <v>0</v>
      </c>
      <c r="M301" t="n">
        <v>0</v>
      </c>
      <c r="N301" t="n">
        <v>0</v>
      </c>
      <c r="O301" t="n">
        <v>0</v>
      </c>
      <c r="P301" t="n">
        <v>0</v>
      </c>
      <c r="Q301" t="n">
        <v>0</v>
      </c>
      <c r="R301" s="2" t="inlineStr"/>
    </row>
    <row r="302" ht="15" customHeight="1">
      <c r="A302" t="inlineStr">
        <is>
          <t>A 10521-2022</t>
        </is>
      </c>
      <c r="B302" s="1" t="n">
        <v>44623</v>
      </c>
      <c r="C302" s="1" t="n">
        <v>46113</v>
      </c>
      <c r="D302" t="inlineStr">
        <is>
          <t>STOCKHOLMS LÄN</t>
        </is>
      </c>
      <c r="E302" t="inlineStr">
        <is>
          <t>NORRTÄLJE</t>
        </is>
      </c>
      <c r="G302" t="n">
        <v>2.9</v>
      </c>
      <c r="H302" t="n">
        <v>0</v>
      </c>
      <c r="I302" t="n">
        <v>0</v>
      </c>
      <c r="J302" t="n">
        <v>0</v>
      </c>
      <c r="K302" t="n">
        <v>0</v>
      </c>
      <c r="L302" t="n">
        <v>0</v>
      </c>
      <c r="M302" t="n">
        <v>0</v>
      </c>
      <c r="N302" t="n">
        <v>0</v>
      </c>
      <c r="O302" t="n">
        <v>0</v>
      </c>
      <c r="P302" t="n">
        <v>0</v>
      </c>
      <c r="Q302" t="n">
        <v>0</v>
      </c>
      <c r="R302" s="2" t="inlineStr"/>
    </row>
    <row r="303" ht="15" customHeight="1">
      <c r="A303" t="inlineStr">
        <is>
          <t>A 10215-2023</t>
        </is>
      </c>
      <c r="B303" s="1" t="n">
        <v>44986.5887962963</v>
      </c>
      <c r="C303" s="1" t="n">
        <v>46113</v>
      </c>
      <c r="D303" t="inlineStr">
        <is>
          <t>STOCKHOLMS LÄN</t>
        </is>
      </c>
      <c r="E303" t="inlineStr">
        <is>
          <t>NORRTÄLJE</t>
        </is>
      </c>
      <c r="G303" t="n">
        <v>6.5</v>
      </c>
      <c r="H303" t="n">
        <v>0</v>
      </c>
      <c r="I303" t="n">
        <v>0</v>
      </c>
      <c r="J303" t="n">
        <v>0</v>
      </c>
      <c r="K303" t="n">
        <v>0</v>
      </c>
      <c r="L303" t="n">
        <v>0</v>
      </c>
      <c r="M303" t="n">
        <v>0</v>
      </c>
      <c r="N303" t="n">
        <v>0</v>
      </c>
      <c r="O303" t="n">
        <v>0</v>
      </c>
      <c r="P303" t="n">
        <v>0</v>
      </c>
      <c r="Q303" t="n">
        <v>0</v>
      </c>
      <c r="R303" s="2" t="inlineStr"/>
    </row>
    <row r="304" ht="15" customHeight="1">
      <c r="A304" t="inlineStr">
        <is>
          <t>A 62998-2023</t>
        </is>
      </c>
      <c r="B304" s="1" t="n">
        <v>45272.64479166667</v>
      </c>
      <c r="C304" s="1" t="n">
        <v>46113</v>
      </c>
      <c r="D304" t="inlineStr">
        <is>
          <t>STOCKHOLMS LÄN</t>
        </is>
      </c>
      <c r="E304" t="inlineStr">
        <is>
          <t>NORRTÄLJE</t>
        </is>
      </c>
      <c r="G304" t="n">
        <v>16.3</v>
      </c>
      <c r="H304" t="n">
        <v>0</v>
      </c>
      <c r="I304" t="n">
        <v>0</v>
      </c>
      <c r="J304" t="n">
        <v>0</v>
      </c>
      <c r="K304" t="n">
        <v>0</v>
      </c>
      <c r="L304" t="n">
        <v>0</v>
      </c>
      <c r="M304" t="n">
        <v>0</v>
      </c>
      <c r="N304" t="n">
        <v>0</v>
      </c>
      <c r="O304" t="n">
        <v>0</v>
      </c>
      <c r="P304" t="n">
        <v>0</v>
      </c>
      <c r="Q304" t="n">
        <v>0</v>
      </c>
      <c r="R304" s="2" t="inlineStr"/>
    </row>
    <row r="305" ht="15" customHeight="1">
      <c r="A305" t="inlineStr">
        <is>
          <t>A 63015-2023</t>
        </is>
      </c>
      <c r="B305" s="1" t="n">
        <v>45272</v>
      </c>
      <c r="C305" s="1" t="n">
        <v>46113</v>
      </c>
      <c r="D305" t="inlineStr">
        <is>
          <t>STOCKHOLMS LÄN</t>
        </is>
      </c>
      <c r="E305" t="inlineStr">
        <is>
          <t>NORRTÄLJE</t>
        </is>
      </c>
      <c r="G305" t="n">
        <v>13.1</v>
      </c>
      <c r="H305" t="n">
        <v>0</v>
      </c>
      <c r="I305" t="n">
        <v>0</v>
      </c>
      <c r="J305" t="n">
        <v>0</v>
      </c>
      <c r="K305" t="n">
        <v>0</v>
      </c>
      <c r="L305" t="n">
        <v>0</v>
      </c>
      <c r="M305" t="n">
        <v>0</v>
      </c>
      <c r="N305" t="n">
        <v>0</v>
      </c>
      <c r="O305" t="n">
        <v>0</v>
      </c>
      <c r="P305" t="n">
        <v>0</v>
      </c>
      <c r="Q305" t="n">
        <v>0</v>
      </c>
      <c r="R305" s="2" t="inlineStr"/>
    </row>
    <row r="306" ht="15" customHeight="1">
      <c r="A306" t="inlineStr">
        <is>
          <t>A 16117-2022</t>
        </is>
      </c>
      <c r="B306" s="1" t="n">
        <v>44665.65474537037</v>
      </c>
      <c r="C306" s="1" t="n">
        <v>46113</v>
      </c>
      <c r="D306" t="inlineStr">
        <is>
          <t>STOCKHOLMS LÄN</t>
        </is>
      </c>
      <c r="E306" t="inlineStr">
        <is>
          <t>NORRTÄLJE</t>
        </is>
      </c>
      <c r="G306" t="n">
        <v>8.1</v>
      </c>
      <c r="H306" t="n">
        <v>0</v>
      </c>
      <c r="I306" t="n">
        <v>0</v>
      </c>
      <c r="J306" t="n">
        <v>0</v>
      </c>
      <c r="K306" t="n">
        <v>0</v>
      </c>
      <c r="L306" t="n">
        <v>0</v>
      </c>
      <c r="M306" t="n">
        <v>0</v>
      </c>
      <c r="N306" t="n">
        <v>0</v>
      </c>
      <c r="O306" t="n">
        <v>0</v>
      </c>
      <c r="P306" t="n">
        <v>0</v>
      </c>
      <c r="Q306" t="n">
        <v>0</v>
      </c>
      <c r="R306" s="2" t="inlineStr"/>
    </row>
    <row r="307" ht="15" customHeight="1">
      <c r="A307" t="inlineStr">
        <is>
          <t>A 16132-2022</t>
        </is>
      </c>
      <c r="B307" s="1" t="n">
        <v>44665.78351851852</v>
      </c>
      <c r="C307" s="1" t="n">
        <v>46113</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12901-2024</t>
        </is>
      </c>
      <c r="B308" s="1" t="n">
        <v>45385.37922453704</v>
      </c>
      <c r="C308" s="1" t="n">
        <v>46113</v>
      </c>
      <c r="D308" t="inlineStr">
        <is>
          <t>STOCKHOLMS LÄN</t>
        </is>
      </c>
      <c r="E308" t="inlineStr">
        <is>
          <t>NORRTÄLJE</t>
        </is>
      </c>
      <c r="G308" t="n">
        <v>2.7</v>
      </c>
      <c r="H308" t="n">
        <v>0</v>
      </c>
      <c r="I308" t="n">
        <v>0</v>
      </c>
      <c r="J308" t="n">
        <v>0</v>
      </c>
      <c r="K308" t="n">
        <v>0</v>
      </c>
      <c r="L308" t="n">
        <v>0</v>
      </c>
      <c r="M308" t="n">
        <v>0</v>
      </c>
      <c r="N308" t="n">
        <v>0</v>
      </c>
      <c r="O308" t="n">
        <v>0</v>
      </c>
      <c r="P308" t="n">
        <v>0</v>
      </c>
      <c r="Q308" t="n">
        <v>0</v>
      </c>
      <c r="R308" s="2" t="inlineStr"/>
    </row>
    <row r="309" ht="15" customHeight="1">
      <c r="A309" t="inlineStr">
        <is>
          <t>A 12301-2025</t>
        </is>
      </c>
      <c r="B309" s="1" t="n">
        <v>45729.7271875</v>
      </c>
      <c r="C309" s="1" t="n">
        <v>46113</v>
      </c>
      <c r="D309" t="inlineStr">
        <is>
          <t>STOCKHOLMS LÄN</t>
        </is>
      </c>
      <c r="E309" t="inlineStr">
        <is>
          <t>NORRTÄLJE</t>
        </is>
      </c>
      <c r="G309" t="n">
        <v>3.2</v>
      </c>
      <c r="H309" t="n">
        <v>0</v>
      </c>
      <c r="I309" t="n">
        <v>0</v>
      </c>
      <c r="J309" t="n">
        <v>0</v>
      </c>
      <c r="K309" t="n">
        <v>0</v>
      </c>
      <c r="L309" t="n">
        <v>0</v>
      </c>
      <c r="M309" t="n">
        <v>0</v>
      </c>
      <c r="N309" t="n">
        <v>0</v>
      </c>
      <c r="O309" t="n">
        <v>0</v>
      </c>
      <c r="P309" t="n">
        <v>0</v>
      </c>
      <c r="Q309" t="n">
        <v>0</v>
      </c>
      <c r="R309" s="2" t="inlineStr"/>
    </row>
    <row r="310" ht="15" customHeight="1">
      <c r="A310" t="inlineStr">
        <is>
          <t>A 70170-2021</t>
        </is>
      </c>
      <c r="B310" s="1" t="n">
        <v>44533</v>
      </c>
      <c r="C310" s="1" t="n">
        <v>46113</v>
      </c>
      <c r="D310" t="inlineStr">
        <is>
          <t>STOCKHOLMS LÄN</t>
        </is>
      </c>
      <c r="E310" t="inlineStr">
        <is>
          <t>NORRTÄLJE</t>
        </is>
      </c>
      <c r="G310" t="n">
        <v>2.7</v>
      </c>
      <c r="H310" t="n">
        <v>0</v>
      </c>
      <c r="I310" t="n">
        <v>0</v>
      </c>
      <c r="J310" t="n">
        <v>0</v>
      </c>
      <c r="K310" t="n">
        <v>0</v>
      </c>
      <c r="L310" t="n">
        <v>0</v>
      </c>
      <c r="M310" t="n">
        <v>0</v>
      </c>
      <c r="N310" t="n">
        <v>0</v>
      </c>
      <c r="O310" t="n">
        <v>0</v>
      </c>
      <c r="P310" t="n">
        <v>0</v>
      </c>
      <c r="Q310" t="n">
        <v>0</v>
      </c>
      <c r="R310" s="2" t="inlineStr"/>
    </row>
    <row r="311" ht="15" customHeight="1">
      <c r="A311" t="inlineStr">
        <is>
          <t>A 8950-2025</t>
        </is>
      </c>
      <c r="B311" s="1" t="n">
        <v>45713</v>
      </c>
      <c r="C311" s="1" t="n">
        <v>46113</v>
      </c>
      <c r="D311" t="inlineStr">
        <is>
          <t>STOCKHOLMS LÄN</t>
        </is>
      </c>
      <c r="E311" t="inlineStr">
        <is>
          <t>NORRTÄLJE</t>
        </is>
      </c>
      <c r="F311" t="inlineStr">
        <is>
          <t>Övriga Aktiebolag</t>
        </is>
      </c>
      <c r="G311" t="n">
        <v>3.6</v>
      </c>
      <c r="H311" t="n">
        <v>0</v>
      </c>
      <c r="I311" t="n">
        <v>0</v>
      </c>
      <c r="J311" t="n">
        <v>0</v>
      </c>
      <c r="K311" t="n">
        <v>0</v>
      </c>
      <c r="L311" t="n">
        <v>0</v>
      </c>
      <c r="M311" t="n">
        <v>0</v>
      </c>
      <c r="N311" t="n">
        <v>0</v>
      </c>
      <c r="O311" t="n">
        <v>0</v>
      </c>
      <c r="P311" t="n">
        <v>0</v>
      </c>
      <c r="Q311" t="n">
        <v>0</v>
      </c>
      <c r="R311" s="2" t="inlineStr"/>
    </row>
    <row r="312" ht="15" customHeight="1">
      <c r="A312" t="inlineStr">
        <is>
          <t>A 39149-2025</t>
        </is>
      </c>
      <c r="B312" s="1" t="n">
        <v>45888.60714120371</v>
      </c>
      <c r="C312" s="1" t="n">
        <v>46113</v>
      </c>
      <c r="D312" t="inlineStr">
        <is>
          <t>STOCKHOLMS LÄN</t>
        </is>
      </c>
      <c r="E312" t="inlineStr">
        <is>
          <t>NORRTÄLJE</t>
        </is>
      </c>
      <c r="G312" t="n">
        <v>3.5</v>
      </c>
      <c r="H312" t="n">
        <v>0</v>
      </c>
      <c r="I312" t="n">
        <v>0</v>
      </c>
      <c r="J312" t="n">
        <v>0</v>
      </c>
      <c r="K312" t="n">
        <v>0</v>
      </c>
      <c r="L312" t="n">
        <v>0</v>
      </c>
      <c r="M312" t="n">
        <v>0</v>
      </c>
      <c r="N312" t="n">
        <v>0</v>
      </c>
      <c r="O312" t="n">
        <v>0</v>
      </c>
      <c r="P312" t="n">
        <v>0</v>
      </c>
      <c r="Q312" t="n">
        <v>0</v>
      </c>
      <c r="R312" s="2" t="inlineStr"/>
    </row>
    <row r="313" ht="15" customHeight="1">
      <c r="A313" t="inlineStr">
        <is>
          <t>A 38720-2025</t>
        </is>
      </c>
      <c r="B313" s="1" t="n">
        <v>45886</v>
      </c>
      <c r="C313" s="1" t="n">
        <v>46113</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25463-2021</t>
        </is>
      </c>
      <c r="B314" s="1" t="n">
        <v>44342</v>
      </c>
      <c r="C314" s="1" t="n">
        <v>46113</v>
      </c>
      <c r="D314" t="inlineStr">
        <is>
          <t>STOCKHOLMS LÄN</t>
        </is>
      </c>
      <c r="E314" t="inlineStr">
        <is>
          <t>NORRTÄLJE</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20730-2024</t>
        </is>
      </c>
      <c r="B315" s="1" t="n">
        <v>45436</v>
      </c>
      <c r="C315" s="1" t="n">
        <v>46113</v>
      </c>
      <c r="D315" t="inlineStr">
        <is>
          <t>STOCKHOLMS LÄN</t>
        </is>
      </c>
      <c r="E315" t="inlineStr">
        <is>
          <t>NORRTÄLJE</t>
        </is>
      </c>
      <c r="G315" t="n">
        <v>7.3</v>
      </c>
      <c r="H315" t="n">
        <v>0</v>
      </c>
      <c r="I315" t="n">
        <v>0</v>
      </c>
      <c r="J315" t="n">
        <v>0</v>
      </c>
      <c r="K315" t="n">
        <v>0</v>
      </c>
      <c r="L315" t="n">
        <v>0</v>
      </c>
      <c r="M315" t="n">
        <v>0</v>
      </c>
      <c r="N315" t="n">
        <v>0</v>
      </c>
      <c r="O315" t="n">
        <v>0</v>
      </c>
      <c r="P315" t="n">
        <v>0</v>
      </c>
      <c r="Q315" t="n">
        <v>0</v>
      </c>
      <c r="R315" s="2" t="inlineStr"/>
    </row>
    <row r="316" ht="15" customHeight="1">
      <c r="A316" t="inlineStr">
        <is>
          <t>A 33175-2024</t>
        </is>
      </c>
      <c r="B316" s="1" t="n">
        <v>45518</v>
      </c>
      <c r="C316" s="1" t="n">
        <v>46113</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21102-2022</t>
        </is>
      </c>
      <c r="B317" s="1" t="n">
        <v>44704</v>
      </c>
      <c r="C317" s="1" t="n">
        <v>46113</v>
      </c>
      <c r="D317" t="inlineStr">
        <is>
          <t>STOCKHOLMS LÄN</t>
        </is>
      </c>
      <c r="E317" t="inlineStr">
        <is>
          <t>NORRTÄLJE</t>
        </is>
      </c>
      <c r="G317" t="n">
        <v>0.2</v>
      </c>
      <c r="H317" t="n">
        <v>0</v>
      </c>
      <c r="I317" t="n">
        <v>0</v>
      </c>
      <c r="J317" t="n">
        <v>0</v>
      </c>
      <c r="K317" t="n">
        <v>0</v>
      </c>
      <c r="L317" t="n">
        <v>0</v>
      </c>
      <c r="M317" t="n">
        <v>0</v>
      </c>
      <c r="N317" t="n">
        <v>0</v>
      </c>
      <c r="O317" t="n">
        <v>0</v>
      </c>
      <c r="P317" t="n">
        <v>0</v>
      </c>
      <c r="Q317" t="n">
        <v>0</v>
      </c>
      <c r="R317" s="2" t="inlineStr"/>
    </row>
    <row r="318" ht="15" customHeight="1">
      <c r="A318" t="inlineStr">
        <is>
          <t>A 13283-2025</t>
        </is>
      </c>
      <c r="B318" s="1" t="n">
        <v>45735</v>
      </c>
      <c r="C318" s="1" t="n">
        <v>46113</v>
      </c>
      <c r="D318" t="inlineStr">
        <is>
          <t>STOCKHOLMS LÄN</t>
        </is>
      </c>
      <c r="E318" t="inlineStr">
        <is>
          <t>NORRTÄLJE</t>
        </is>
      </c>
      <c r="G318" t="n">
        <v>4.9</v>
      </c>
      <c r="H318" t="n">
        <v>0</v>
      </c>
      <c r="I318" t="n">
        <v>0</v>
      </c>
      <c r="J318" t="n">
        <v>0</v>
      </c>
      <c r="K318" t="n">
        <v>0</v>
      </c>
      <c r="L318" t="n">
        <v>0</v>
      </c>
      <c r="M318" t="n">
        <v>0</v>
      </c>
      <c r="N318" t="n">
        <v>0</v>
      </c>
      <c r="O318" t="n">
        <v>0</v>
      </c>
      <c r="P318" t="n">
        <v>0</v>
      </c>
      <c r="Q318" t="n">
        <v>0</v>
      </c>
      <c r="R318" s="2" t="inlineStr"/>
    </row>
    <row r="319" ht="15" customHeight="1">
      <c r="A319" t="inlineStr">
        <is>
          <t>A 71880-2021</t>
        </is>
      </c>
      <c r="B319" s="1" t="n">
        <v>44543</v>
      </c>
      <c r="C319" s="1" t="n">
        <v>46113</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14127-2025</t>
        </is>
      </c>
      <c r="B320" s="1" t="n">
        <v>45740.47055555556</v>
      </c>
      <c r="C320" s="1" t="n">
        <v>46113</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17772-2022</t>
        </is>
      </c>
      <c r="B321" s="1" t="n">
        <v>44682.76528935185</v>
      </c>
      <c r="C321" s="1" t="n">
        <v>46113</v>
      </c>
      <c r="D321" t="inlineStr">
        <is>
          <t>STOCKHOLMS LÄN</t>
        </is>
      </c>
      <c r="E321" t="inlineStr">
        <is>
          <t>NORRTÄLJE</t>
        </is>
      </c>
      <c r="G321" t="n">
        <v>4</v>
      </c>
      <c r="H321" t="n">
        <v>0</v>
      </c>
      <c r="I321" t="n">
        <v>0</v>
      </c>
      <c r="J321" t="n">
        <v>0</v>
      </c>
      <c r="K321" t="n">
        <v>0</v>
      </c>
      <c r="L321" t="n">
        <v>0</v>
      </c>
      <c r="M321" t="n">
        <v>0</v>
      </c>
      <c r="N321" t="n">
        <v>0</v>
      </c>
      <c r="O321" t="n">
        <v>0</v>
      </c>
      <c r="P321" t="n">
        <v>0</v>
      </c>
      <c r="Q321" t="n">
        <v>0</v>
      </c>
      <c r="R321" s="2" t="inlineStr"/>
    </row>
    <row r="322" ht="15" customHeight="1">
      <c r="A322" t="inlineStr">
        <is>
          <t>A 27831-2024</t>
        </is>
      </c>
      <c r="B322" s="1" t="n">
        <v>45475.61896990741</v>
      </c>
      <c r="C322" s="1" t="n">
        <v>46113</v>
      </c>
      <c r="D322" t="inlineStr">
        <is>
          <t>STOCKHOLMS LÄN</t>
        </is>
      </c>
      <c r="E322" t="inlineStr">
        <is>
          <t>NORRTÄLJE</t>
        </is>
      </c>
      <c r="G322" t="n">
        <v>3.8</v>
      </c>
      <c r="H322" t="n">
        <v>0</v>
      </c>
      <c r="I322" t="n">
        <v>0</v>
      </c>
      <c r="J322" t="n">
        <v>0</v>
      </c>
      <c r="K322" t="n">
        <v>0</v>
      </c>
      <c r="L322" t="n">
        <v>0</v>
      </c>
      <c r="M322" t="n">
        <v>0</v>
      </c>
      <c r="N322" t="n">
        <v>0</v>
      </c>
      <c r="O322" t="n">
        <v>0</v>
      </c>
      <c r="P322" t="n">
        <v>0</v>
      </c>
      <c r="Q322" t="n">
        <v>0</v>
      </c>
      <c r="R322" s="2" t="inlineStr"/>
    </row>
    <row r="323" ht="15" customHeight="1">
      <c r="A323" t="inlineStr">
        <is>
          <t>A 67285-2021</t>
        </is>
      </c>
      <c r="B323" s="1" t="n">
        <v>44523.61635416667</v>
      </c>
      <c r="C323" s="1" t="n">
        <v>46113</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5611-2022</t>
        </is>
      </c>
      <c r="B324" s="1" t="n">
        <v>44595</v>
      </c>
      <c r="C324" s="1" t="n">
        <v>46113</v>
      </c>
      <c r="D324" t="inlineStr">
        <is>
          <t>STOCKHOLMS LÄN</t>
        </is>
      </c>
      <c r="E324" t="inlineStr">
        <is>
          <t>NORRTÄLJE</t>
        </is>
      </c>
      <c r="G324" t="n">
        <v>0.5</v>
      </c>
      <c r="H324" t="n">
        <v>0</v>
      </c>
      <c r="I324" t="n">
        <v>0</v>
      </c>
      <c r="J324" t="n">
        <v>0</v>
      </c>
      <c r="K324" t="n">
        <v>0</v>
      </c>
      <c r="L324" t="n">
        <v>0</v>
      </c>
      <c r="M324" t="n">
        <v>0</v>
      </c>
      <c r="N324" t="n">
        <v>0</v>
      </c>
      <c r="O324" t="n">
        <v>0</v>
      </c>
      <c r="P324" t="n">
        <v>0</v>
      </c>
      <c r="Q324" t="n">
        <v>0</v>
      </c>
      <c r="R324" s="2" t="inlineStr"/>
    </row>
    <row r="325" ht="15" customHeight="1">
      <c r="A325" t="inlineStr">
        <is>
          <t>A 32055-2021</t>
        </is>
      </c>
      <c r="B325" s="1" t="n">
        <v>44370.72197916666</v>
      </c>
      <c r="C325" s="1" t="n">
        <v>46113</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24101-2022</t>
        </is>
      </c>
      <c r="B326" s="1" t="n">
        <v>44725</v>
      </c>
      <c r="C326" s="1" t="n">
        <v>46113</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31559-2022</t>
        </is>
      </c>
      <c r="B327" s="1" t="n">
        <v>44775</v>
      </c>
      <c r="C327" s="1" t="n">
        <v>46113</v>
      </c>
      <c r="D327" t="inlineStr">
        <is>
          <t>STOCKHOLMS LÄN</t>
        </is>
      </c>
      <c r="E327" t="inlineStr">
        <is>
          <t>NORRTÄLJE</t>
        </is>
      </c>
      <c r="G327" t="n">
        <v>5.6</v>
      </c>
      <c r="H327" t="n">
        <v>0</v>
      </c>
      <c r="I327" t="n">
        <v>0</v>
      </c>
      <c r="J327" t="n">
        <v>0</v>
      </c>
      <c r="K327" t="n">
        <v>0</v>
      </c>
      <c r="L327" t="n">
        <v>0</v>
      </c>
      <c r="M327" t="n">
        <v>0</v>
      </c>
      <c r="N327" t="n">
        <v>0</v>
      </c>
      <c r="O327" t="n">
        <v>0</v>
      </c>
      <c r="P327" t="n">
        <v>0</v>
      </c>
      <c r="Q327" t="n">
        <v>0</v>
      </c>
      <c r="R327" s="2" t="inlineStr"/>
    </row>
    <row r="328" ht="15" customHeight="1">
      <c r="A328" t="inlineStr">
        <is>
          <t>A 39152-2025</t>
        </is>
      </c>
      <c r="B328" s="1" t="n">
        <v>45888</v>
      </c>
      <c r="C328" s="1" t="n">
        <v>46113</v>
      </c>
      <c r="D328" t="inlineStr">
        <is>
          <t>STOCKHOLMS LÄN</t>
        </is>
      </c>
      <c r="E328" t="inlineStr">
        <is>
          <t>NORRTÄLJE</t>
        </is>
      </c>
      <c r="G328" t="n">
        <v>4.6</v>
      </c>
      <c r="H328" t="n">
        <v>0</v>
      </c>
      <c r="I328" t="n">
        <v>0</v>
      </c>
      <c r="J328" t="n">
        <v>0</v>
      </c>
      <c r="K328" t="n">
        <v>0</v>
      </c>
      <c r="L328" t="n">
        <v>0</v>
      </c>
      <c r="M328" t="n">
        <v>0</v>
      </c>
      <c r="N328" t="n">
        <v>0</v>
      </c>
      <c r="O328" t="n">
        <v>0</v>
      </c>
      <c r="P328" t="n">
        <v>0</v>
      </c>
      <c r="Q328" t="n">
        <v>0</v>
      </c>
      <c r="R328" s="2" t="inlineStr"/>
    </row>
    <row r="329" ht="15" customHeight="1">
      <c r="A329" t="inlineStr">
        <is>
          <t>A 52001-2023</t>
        </is>
      </c>
      <c r="B329" s="1" t="n">
        <v>45223</v>
      </c>
      <c r="C329" s="1" t="n">
        <v>46113</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38721-2022</t>
        </is>
      </c>
      <c r="B330" s="1" t="n">
        <v>44815</v>
      </c>
      <c r="C330" s="1" t="n">
        <v>46113</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60184-2021</t>
        </is>
      </c>
      <c r="B331" s="1" t="n">
        <v>44495</v>
      </c>
      <c r="C331" s="1" t="n">
        <v>46113</v>
      </c>
      <c r="D331" t="inlineStr">
        <is>
          <t>STOCKHOLMS LÄN</t>
        </is>
      </c>
      <c r="E331" t="inlineStr">
        <is>
          <t>NORRTÄLJE</t>
        </is>
      </c>
      <c r="G331" t="n">
        <v>1.8</v>
      </c>
      <c r="H331" t="n">
        <v>0</v>
      </c>
      <c r="I331" t="n">
        <v>0</v>
      </c>
      <c r="J331" t="n">
        <v>0</v>
      </c>
      <c r="K331" t="n">
        <v>0</v>
      </c>
      <c r="L331" t="n">
        <v>0</v>
      </c>
      <c r="M331" t="n">
        <v>0</v>
      </c>
      <c r="N331" t="n">
        <v>0</v>
      </c>
      <c r="O331" t="n">
        <v>0</v>
      </c>
      <c r="P331" t="n">
        <v>0</v>
      </c>
      <c r="Q331" t="n">
        <v>0</v>
      </c>
      <c r="R331" s="2" t="inlineStr"/>
    </row>
    <row r="332" ht="15" customHeight="1">
      <c r="A332" t="inlineStr">
        <is>
          <t>A 55012-2024</t>
        </is>
      </c>
      <c r="B332" s="1" t="n">
        <v>45621.34813657407</v>
      </c>
      <c r="C332" s="1" t="n">
        <v>46113</v>
      </c>
      <c r="D332" t="inlineStr">
        <is>
          <t>STOCKHOLMS LÄN</t>
        </is>
      </c>
      <c r="E332" t="inlineStr">
        <is>
          <t>NORRTÄLJE</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22456-2023</t>
        </is>
      </c>
      <c r="B333" s="1" t="n">
        <v>45070</v>
      </c>
      <c r="C333" s="1" t="n">
        <v>46113</v>
      </c>
      <c r="D333" t="inlineStr">
        <is>
          <t>STOCKHOLMS LÄN</t>
        </is>
      </c>
      <c r="E333" t="inlineStr">
        <is>
          <t>NORRTÄLJE</t>
        </is>
      </c>
      <c r="G333" t="n">
        <v>3.1</v>
      </c>
      <c r="H333" t="n">
        <v>0</v>
      </c>
      <c r="I333" t="n">
        <v>0</v>
      </c>
      <c r="J333" t="n">
        <v>0</v>
      </c>
      <c r="K333" t="n">
        <v>0</v>
      </c>
      <c r="L333" t="n">
        <v>0</v>
      </c>
      <c r="M333" t="n">
        <v>0</v>
      </c>
      <c r="N333" t="n">
        <v>0</v>
      </c>
      <c r="O333" t="n">
        <v>0</v>
      </c>
      <c r="P333" t="n">
        <v>0</v>
      </c>
      <c r="Q333" t="n">
        <v>0</v>
      </c>
      <c r="R333" s="2" t="inlineStr"/>
    </row>
    <row r="334" ht="15" customHeight="1">
      <c r="A334" t="inlineStr">
        <is>
          <t>A 39692-2025</t>
        </is>
      </c>
      <c r="B334" s="1" t="n">
        <v>45890.68083333333</v>
      </c>
      <c r="C334" s="1" t="n">
        <v>46113</v>
      </c>
      <c r="D334" t="inlineStr">
        <is>
          <t>STOCKHOLMS LÄN</t>
        </is>
      </c>
      <c r="E334" t="inlineStr">
        <is>
          <t>NORRTÄLJE</t>
        </is>
      </c>
      <c r="G334" t="n">
        <v>10.5</v>
      </c>
      <c r="H334" t="n">
        <v>0</v>
      </c>
      <c r="I334" t="n">
        <v>0</v>
      </c>
      <c r="J334" t="n">
        <v>0</v>
      </c>
      <c r="K334" t="n">
        <v>0</v>
      </c>
      <c r="L334" t="n">
        <v>0</v>
      </c>
      <c r="M334" t="n">
        <v>0</v>
      </c>
      <c r="N334" t="n">
        <v>0</v>
      </c>
      <c r="O334" t="n">
        <v>0</v>
      </c>
      <c r="P334" t="n">
        <v>0</v>
      </c>
      <c r="Q334" t="n">
        <v>0</v>
      </c>
      <c r="R334" s="2" t="inlineStr"/>
    </row>
    <row r="335" ht="15" customHeight="1">
      <c r="A335" t="inlineStr">
        <is>
          <t>A 12348-2025</t>
        </is>
      </c>
      <c r="B335" s="1" t="n">
        <v>45730.35026620371</v>
      </c>
      <c r="C335" s="1" t="n">
        <v>46113</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19580-2022</t>
        </is>
      </c>
      <c r="B336" s="1" t="n">
        <v>44693</v>
      </c>
      <c r="C336" s="1" t="n">
        <v>46113</v>
      </c>
      <c r="D336" t="inlineStr">
        <is>
          <t>STOCKHOLMS LÄN</t>
        </is>
      </c>
      <c r="E336" t="inlineStr">
        <is>
          <t>NORRTÄLJE</t>
        </is>
      </c>
      <c r="G336" t="n">
        <v>0.4</v>
      </c>
      <c r="H336" t="n">
        <v>0</v>
      </c>
      <c r="I336" t="n">
        <v>0</v>
      </c>
      <c r="J336" t="n">
        <v>0</v>
      </c>
      <c r="K336" t="n">
        <v>0</v>
      </c>
      <c r="L336" t="n">
        <v>0</v>
      </c>
      <c r="M336" t="n">
        <v>0</v>
      </c>
      <c r="N336" t="n">
        <v>0</v>
      </c>
      <c r="O336" t="n">
        <v>0</v>
      </c>
      <c r="P336" t="n">
        <v>0</v>
      </c>
      <c r="Q336" t="n">
        <v>0</v>
      </c>
      <c r="R336" s="2" t="inlineStr"/>
    </row>
    <row r="337" ht="15" customHeight="1">
      <c r="A337" t="inlineStr">
        <is>
          <t>A 27677-2025</t>
        </is>
      </c>
      <c r="B337" s="1" t="n">
        <v>45813.63650462963</v>
      </c>
      <c r="C337" s="1" t="n">
        <v>46113</v>
      </c>
      <c r="D337" t="inlineStr">
        <is>
          <t>STOCKHOLMS LÄN</t>
        </is>
      </c>
      <c r="E337" t="inlineStr">
        <is>
          <t>NORRTÄLJE</t>
        </is>
      </c>
      <c r="G337" t="n">
        <v>2</v>
      </c>
      <c r="H337" t="n">
        <v>0</v>
      </c>
      <c r="I337" t="n">
        <v>0</v>
      </c>
      <c r="J337" t="n">
        <v>0</v>
      </c>
      <c r="K337" t="n">
        <v>0</v>
      </c>
      <c r="L337" t="n">
        <v>0</v>
      </c>
      <c r="M337" t="n">
        <v>0</v>
      </c>
      <c r="N337" t="n">
        <v>0</v>
      </c>
      <c r="O337" t="n">
        <v>0</v>
      </c>
      <c r="P337" t="n">
        <v>0</v>
      </c>
      <c r="Q337" t="n">
        <v>0</v>
      </c>
      <c r="R337" s="2" t="inlineStr"/>
    </row>
    <row r="338" ht="15" customHeight="1">
      <c r="A338" t="inlineStr">
        <is>
          <t>A 27715-2022</t>
        </is>
      </c>
      <c r="B338" s="1" t="n">
        <v>44743.47407407407</v>
      </c>
      <c r="C338" s="1" t="n">
        <v>46113</v>
      </c>
      <c r="D338" t="inlineStr">
        <is>
          <t>STOCKHOLMS LÄN</t>
        </is>
      </c>
      <c r="E338" t="inlineStr">
        <is>
          <t>NORRTÄLJE</t>
        </is>
      </c>
      <c r="G338" t="n">
        <v>2.2</v>
      </c>
      <c r="H338" t="n">
        <v>0</v>
      </c>
      <c r="I338" t="n">
        <v>0</v>
      </c>
      <c r="J338" t="n">
        <v>0</v>
      </c>
      <c r="K338" t="n">
        <v>0</v>
      </c>
      <c r="L338" t="n">
        <v>0</v>
      </c>
      <c r="M338" t="n">
        <v>0</v>
      </c>
      <c r="N338" t="n">
        <v>0</v>
      </c>
      <c r="O338" t="n">
        <v>0</v>
      </c>
      <c r="P338" t="n">
        <v>0</v>
      </c>
      <c r="Q338" t="n">
        <v>0</v>
      </c>
      <c r="R338" s="2" t="inlineStr"/>
    </row>
    <row r="339" ht="15" customHeight="1">
      <c r="A339" t="inlineStr">
        <is>
          <t>A 5823-2023</t>
        </is>
      </c>
      <c r="B339" s="1" t="n">
        <v>44963</v>
      </c>
      <c r="C339" s="1" t="n">
        <v>46113</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30731-2023</t>
        </is>
      </c>
      <c r="B340" s="1" t="n">
        <v>45112</v>
      </c>
      <c r="C340" s="1" t="n">
        <v>46113</v>
      </c>
      <c r="D340" t="inlineStr">
        <is>
          <t>STOCKHOLMS LÄN</t>
        </is>
      </c>
      <c r="E340" t="inlineStr">
        <is>
          <t>NORRTÄLJE</t>
        </is>
      </c>
      <c r="G340" t="n">
        <v>1.6</v>
      </c>
      <c r="H340" t="n">
        <v>0</v>
      </c>
      <c r="I340" t="n">
        <v>0</v>
      </c>
      <c r="J340" t="n">
        <v>0</v>
      </c>
      <c r="K340" t="n">
        <v>0</v>
      </c>
      <c r="L340" t="n">
        <v>0</v>
      </c>
      <c r="M340" t="n">
        <v>0</v>
      </c>
      <c r="N340" t="n">
        <v>0</v>
      </c>
      <c r="O340" t="n">
        <v>0</v>
      </c>
      <c r="P340" t="n">
        <v>0</v>
      </c>
      <c r="Q340" t="n">
        <v>0</v>
      </c>
      <c r="R340" s="2" t="inlineStr"/>
    </row>
    <row r="341" ht="15" customHeight="1">
      <c r="A341" t="inlineStr">
        <is>
          <t>A 33053-2021</t>
        </is>
      </c>
      <c r="B341" s="1" t="n">
        <v>44376</v>
      </c>
      <c r="C341" s="1" t="n">
        <v>46113</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20013-2025</t>
        </is>
      </c>
      <c r="B342" s="1" t="n">
        <v>45772.30436342592</v>
      </c>
      <c r="C342" s="1" t="n">
        <v>46113</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63161-2023</t>
        </is>
      </c>
      <c r="B343" s="1" t="n">
        <v>45273</v>
      </c>
      <c r="C343" s="1" t="n">
        <v>46113</v>
      </c>
      <c r="D343" t="inlineStr">
        <is>
          <t>STOCKHOLMS LÄN</t>
        </is>
      </c>
      <c r="E343" t="inlineStr">
        <is>
          <t>NORRTÄLJE</t>
        </is>
      </c>
      <c r="G343" t="n">
        <v>1.6</v>
      </c>
      <c r="H343" t="n">
        <v>0</v>
      </c>
      <c r="I343" t="n">
        <v>0</v>
      </c>
      <c r="J343" t="n">
        <v>0</v>
      </c>
      <c r="K343" t="n">
        <v>0</v>
      </c>
      <c r="L343" t="n">
        <v>0</v>
      </c>
      <c r="M343" t="n">
        <v>0</v>
      </c>
      <c r="N343" t="n">
        <v>0</v>
      </c>
      <c r="O343" t="n">
        <v>0</v>
      </c>
      <c r="P343" t="n">
        <v>0</v>
      </c>
      <c r="Q343" t="n">
        <v>0</v>
      </c>
      <c r="R343" s="2" t="inlineStr"/>
    </row>
    <row r="344" ht="15" customHeight="1">
      <c r="A344" t="inlineStr">
        <is>
          <t>A 40230-2025</t>
        </is>
      </c>
      <c r="B344" s="1" t="n">
        <v>45894.71101851852</v>
      </c>
      <c r="C344" s="1" t="n">
        <v>46113</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23271-2023</t>
        </is>
      </c>
      <c r="B345" s="1" t="n">
        <v>45075.91362268518</v>
      </c>
      <c r="C345" s="1" t="n">
        <v>46113</v>
      </c>
      <c r="D345" t="inlineStr">
        <is>
          <t>STOCKHOLMS LÄN</t>
        </is>
      </c>
      <c r="E345" t="inlineStr">
        <is>
          <t>NORRTÄLJE</t>
        </is>
      </c>
      <c r="G345" t="n">
        <v>5.1</v>
      </c>
      <c r="H345" t="n">
        <v>0</v>
      </c>
      <c r="I345" t="n">
        <v>0</v>
      </c>
      <c r="J345" t="n">
        <v>0</v>
      </c>
      <c r="K345" t="n">
        <v>0</v>
      </c>
      <c r="L345" t="n">
        <v>0</v>
      </c>
      <c r="M345" t="n">
        <v>0</v>
      </c>
      <c r="N345" t="n">
        <v>0</v>
      </c>
      <c r="O345" t="n">
        <v>0</v>
      </c>
      <c r="P345" t="n">
        <v>0</v>
      </c>
      <c r="Q345" t="n">
        <v>0</v>
      </c>
      <c r="R345" s="2" t="inlineStr"/>
    </row>
    <row r="346" ht="15" customHeight="1">
      <c r="A346" t="inlineStr">
        <is>
          <t>A 23273-2023</t>
        </is>
      </c>
      <c r="B346" s="1" t="n">
        <v>45075.91971064815</v>
      </c>
      <c r="C346" s="1" t="n">
        <v>46113</v>
      </c>
      <c r="D346" t="inlineStr">
        <is>
          <t>STOCKHOLMS LÄN</t>
        </is>
      </c>
      <c r="E346" t="inlineStr">
        <is>
          <t>NORRTÄLJE</t>
        </is>
      </c>
      <c r="G346" t="n">
        <v>7.5</v>
      </c>
      <c r="H346" t="n">
        <v>0</v>
      </c>
      <c r="I346" t="n">
        <v>0</v>
      </c>
      <c r="J346" t="n">
        <v>0</v>
      </c>
      <c r="K346" t="n">
        <v>0</v>
      </c>
      <c r="L346" t="n">
        <v>0</v>
      </c>
      <c r="M346" t="n">
        <v>0</v>
      </c>
      <c r="N346" t="n">
        <v>0</v>
      </c>
      <c r="O346" t="n">
        <v>0</v>
      </c>
      <c r="P346" t="n">
        <v>0</v>
      </c>
      <c r="Q346" t="n">
        <v>0</v>
      </c>
      <c r="R346" s="2" t="inlineStr"/>
    </row>
    <row r="347" ht="15" customHeight="1">
      <c r="A347" t="inlineStr">
        <is>
          <t>A 30802-2022</t>
        </is>
      </c>
      <c r="B347" s="1" t="n">
        <v>44764</v>
      </c>
      <c r="C347" s="1" t="n">
        <v>46113</v>
      </c>
      <c r="D347" t="inlineStr">
        <is>
          <t>STOCKHOLMS LÄN</t>
        </is>
      </c>
      <c r="E347" t="inlineStr">
        <is>
          <t>NORRTÄLJE</t>
        </is>
      </c>
      <c r="G347" t="n">
        <v>1.7</v>
      </c>
      <c r="H347" t="n">
        <v>0</v>
      </c>
      <c r="I347" t="n">
        <v>0</v>
      </c>
      <c r="J347" t="n">
        <v>0</v>
      </c>
      <c r="K347" t="n">
        <v>0</v>
      </c>
      <c r="L347" t="n">
        <v>0</v>
      </c>
      <c r="M347" t="n">
        <v>0</v>
      </c>
      <c r="N347" t="n">
        <v>0</v>
      </c>
      <c r="O347" t="n">
        <v>0</v>
      </c>
      <c r="P347" t="n">
        <v>0</v>
      </c>
      <c r="Q347" t="n">
        <v>0</v>
      </c>
      <c r="R347" s="2" t="inlineStr"/>
    </row>
    <row r="348" ht="15" customHeight="1">
      <c r="A348" t="inlineStr">
        <is>
          <t>A 19706-2023</t>
        </is>
      </c>
      <c r="B348" s="1" t="n">
        <v>45051.455</v>
      </c>
      <c r="C348" s="1" t="n">
        <v>46113</v>
      </c>
      <c r="D348" t="inlineStr">
        <is>
          <t>STOCKHOLMS LÄN</t>
        </is>
      </c>
      <c r="E348" t="inlineStr">
        <is>
          <t>NORRTÄLJE</t>
        </is>
      </c>
      <c r="G348" t="n">
        <v>0.2</v>
      </c>
      <c r="H348" t="n">
        <v>0</v>
      </c>
      <c r="I348" t="n">
        <v>0</v>
      </c>
      <c r="J348" t="n">
        <v>0</v>
      </c>
      <c r="K348" t="n">
        <v>0</v>
      </c>
      <c r="L348" t="n">
        <v>0</v>
      </c>
      <c r="M348" t="n">
        <v>0</v>
      </c>
      <c r="N348" t="n">
        <v>0</v>
      </c>
      <c r="O348" t="n">
        <v>0</v>
      </c>
      <c r="P348" t="n">
        <v>0</v>
      </c>
      <c r="Q348" t="n">
        <v>0</v>
      </c>
      <c r="R348" s="2" t="inlineStr"/>
    </row>
    <row r="349" ht="15" customHeight="1">
      <c r="A349" t="inlineStr">
        <is>
          <t>A 16008-2025</t>
        </is>
      </c>
      <c r="B349" s="1" t="n">
        <v>45749</v>
      </c>
      <c r="C349" s="1" t="n">
        <v>46113</v>
      </c>
      <c r="D349" t="inlineStr">
        <is>
          <t>STOCKHOLMS LÄN</t>
        </is>
      </c>
      <c r="E349" t="inlineStr">
        <is>
          <t>NORRTÄLJE</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9765-2024</t>
        </is>
      </c>
      <c r="B350" s="1" t="n">
        <v>45362.62811342593</v>
      </c>
      <c r="C350" s="1" t="n">
        <v>46113</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40228-2025</t>
        </is>
      </c>
      <c r="B351" s="1" t="n">
        <v>45894.70854166667</v>
      </c>
      <c r="C351" s="1" t="n">
        <v>46113</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35636-2025</t>
        </is>
      </c>
      <c r="B352" s="1" t="n">
        <v>45859</v>
      </c>
      <c r="C352" s="1" t="n">
        <v>46113</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51653-2022</t>
        </is>
      </c>
      <c r="B353" s="1" t="n">
        <v>44867</v>
      </c>
      <c r="C353" s="1" t="n">
        <v>46113</v>
      </c>
      <c r="D353" t="inlineStr">
        <is>
          <t>STOCKHOLMS LÄN</t>
        </is>
      </c>
      <c r="E353" t="inlineStr">
        <is>
          <t>NORRTÄLJE</t>
        </is>
      </c>
      <c r="G353" t="n">
        <v>6.6</v>
      </c>
      <c r="H353" t="n">
        <v>0</v>
      </c>
      <c r="I353" t="n">
        <v>0</v>
      </c>
      <c r="J353" t="n">
        <v>0</v>
      </c>
      <c r="K353" t="n">
        <v>0</v>
      </c>
      <c r="L353" t="n">
        <v>0</v>
      </c>
      <c r="M353" t="n">
        <v>0</v>
      </c>
      <c r="N353" t="n">
        <v>0</v>
      </c>
      <c r="O353" t="n">
        <v>0</v>
      </c>
      <c r="P353" t="n">
        <v>0</v>
      </c>
      <c r="Q353" t="n">
        <v>0</v>
      </c>
      <c r="R353" s="2" t="inlineStr"/>
    </row>
    <row r="354" ht="15" customHeight="1">
      <c r="A354" t="inlineStr">
        <is>
          <t>A 40172-2025</t>
        </is>
      </c>
      <c r="B354" s="1" t="n">
        <v>45894.6353125</v>
      </c>
      <c r="C354" s="1" t="n">
        <v>46113</v>
      </c>
      <c r="D354" t="inlineStr">
        <is>
          <t>STOCKHOLMS LÄN</t>
        </is>
      </c>
      <c r="E354" t="inlineStr">
        <is>
          <t>NORRTÄLJE</t>
        </is>
      </c>
      <c r="G354" t="n">
        <v>6</v>
      </c>
      <c r="H354" t="n">
        <v>0</v>
      </c>
      <c r="I354" t="n">
        <v>0</v>
      </c>
      <c r="J354" t="n">
        <v>0</v>
      </c>
      <c r="K354" t="n">
        <v>0</v>
      </c>
      <c r="L354" t="n">
        <v>0</v>
      </c>
      <c r="M354" t="n">
        <v>0</v>
      </c>
      <c r="N354" t="n">
        <v>0</v>
      </c>
      <c r="O354" t="n">
        <v>0</v>
      </c>
      <c r="P354" t="n">
        <v>0</v>
      </c>
      <c r="Q354" t="n">
        <v>0</v>
      </c>
      <c r="R354" s="2" t="inlineStr"/>
    </row>
    <row r="355" ht="15" customHeight="1">
      <c r="A355" t="inlineStr">
        <is>
          <t>A 40033-2025</t>
        </is>
      </c>
      <c r="B355" s="1" t="n">
        <v>45893</v>
      </c>
      <c r="C355" s="1" t="n">
        <v>46113</v>
      </c>
      <c r="D355" t="inlineStr">
        <is>
          <t>STOCKHOLMS LÄN</t>
        </is>
      </c>
      <c r="E355" t="inlineStr">
        <is>
          <t>NORRTÄLJE</t>
        </is>
      </c>
      <c r="G355" t="n">
        <v>1.7</v>
      </c>
      <c r="H355" t="n">
        <v>0</v>
      </c>
      <c r="I355" t="n">
        <v>0</v>
      </c>
      <c r="J355" t="n">
        <v>0</v>
      </c>
      <c r="K355" t="n">
        <v>0</v>
      </c>
      <c r="L355" t="n">
        <v>0</v>
      </c>
      <c r="M355" t="n">
        <v>0</v>
      </c>
      <c r="N355" t="n">
        <v>0</v>
      </c>
      <c r="O355" t="n">
        <v>0</v>
      </c>
      <c r="P355" t="n">
        <v>0</v>
      </c>
      <c r="Q355" t="n">
        <v>0</v>
      </c>
      <c r="R355" s="2" t="inlineStr"/>
    </row>
    <row r="356" ht="15" customHeight="1">
      <c r="A356" t="inlineStr">
        <is>
          <t>A 40217-2025</t>
        </is>
      </c>
      <c r="B356" s="1" t="n">
        <v>45894.68864583333</v>
      </c>
      <c r="C356" s="1" t="n">
        <v>46113</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35639-2025</t>
        </is>
      </c>
      <c r="B357" s="1" t="n">
        <v>45859</v>
      </c>
      <c r="C357" s="1" t="n">
        <v>46113</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47694-2023</t>
        </is>
      </c>
      <c r="B358" s="1" t="n">
        <v>45203.63303240741</v>
      </c>
      <c r="C358" s="1" t="n">
        <v>46113</v>
      </c>
      <c r="D358" t="inlineStr">
        <is>
          <t>STOCKHOLMS LÄN</t>
        </is>
      </c>
      <c r="E358" t="inlineStr">
        <is>
          <t>NORRTÄLJE</t>
        </is>
      </c>
      <c r="G358" t="n">
        <v>5.2</v>
      </c>
      <c r="H358" t="n">
        <v>0</v>
      </c>
      <c r="I358" t="n">
        <v>0</v>
      </c>
      <c r="J358" t="n">
        <v>0</v>
      </c>
      <c r="K358" t="n">
        <v>0</v>
      </c>
      <c r="L358" t="n">
        <v>0</v>
      </c>
      <c r="M358" t="n">
        <v>0</v>
      </c>
      <c r="N358" t="n">
        <v>0</v>
      </c>
      <c r="O358" t="n">
        <v>0</v>
      </c>
      <c r="P358" t="n">
        <v>0</v>
      </c>
      <c r="Q358" t="n">
        <v>0</v>
      </c>
      <c r="R358" s="2" t="inlineStr"/>
    </row>
    <row r="359" ht="15" customHeight="1">
      <c r="A359" t="inlineStr">
        <is>
          <t>A 40032-2025</t>
        </is>
      </c>
      <c r="B359" s="1" t="n">
        <v>45893</v>
      </c>
      <c r="C359" s="1" t="n">
        <v>46113</v>
      </c>
      <c r="D359" t="inlineStr">
        <is>
          <t>STOCKHOLMS LÄN</t>
        </is>
      </c>
      <c r="E359" t="inlineStr">
        <is>
          <t>NORRTÄLJE</t>
        </is>
      </c>
      <c r="G359" t="n">
        <v>2.6</v>
      </c>
      <c r="H359" t="n">
        <v>0</v>
      </c>
      <c r="I359" t="n">
        <v>0</v>
      </c>
      <c r="J359" t="n">
        <v>0</v>
      </c>
      <c r="K359" t="n">
        <v>0</v>
      </c>
      <c r="L359" t="n">
        <v>0</v>
      </c>
      <c r="M359" t="n">
        <v>0</v>
      </c>
      <c r="N359" t="n">
        <v>0</v>
      </c>
      <c r="O359" t="n">
        <v>0</v>
      </c>
      <c r="P359" t="n">
        <v>0</v>
      </c>
      <c r="Q359" t="n">
        <v>0</v>
      </c>
      <c r="R359" s="2" t="inlineStr"/>
    </row>
    <row r="360" ht="15" customHeight="1">
      <c r="A360" t="inlineStr">
        <is>
          <t>A 32103-2022</t>
        </is>
      </c>
      <c r="B360" s="1" t="n">
        <v>44778</v>
      </c>
      <c r="C360" s="1" t="n">
        <v>46113</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40097-2025</t>
        </is>
      </c>
      <c r="B361" s="1" t="n">
        <v>45894.48322916667</v>
      </c>
      <c r="C361" s="1" t="n">
        <v>46113</v>
      </c>
      <c r="D361" t="inlineStr">
        <is>
          <t>STOCKHOLMS LÄN</t>
        </is>
      </c>
      <c r="E361" t="inlineStr">
        <is>
          <t>NORRTÄLJE</t>
        </is>
      </c>
      <c r="G361" t="n">
        <v>3</v>
      </c>
      <c r="H361" t="n">
        <v>0</v>
      </c>
      <c r="I361" t="n">
        <v>0</v>
      </c>
      <c r="J361" t="n">
        <v>0</v>
      </c>
      <c r="K361" t="n">
        <v>0</v>
      </c>
      <c r="L361" t="n">
        <v>0</v>
      </c>
      <c r="M361" t="n">
        <v>0</v>
      </c>
      <c r="N361" t="n">
        <v>0</v>
      </c>
      <c r="O361" t="n">
        <v>0</v>
      </c>
      <c r="P361" t="n">
        <v>0</v>
      </c>
      <c r="Q361" t="n">
        <v>0</v>
      </c>
      <c r="R361" s="2" t="inlineStr"/>
    </row>
    <row r="362" ht="15" customHeight="1">
      <c r="A362" t="inlineStr">
        <is>
          <t>A 55952-2024</t>
        </is>
      </c>
      <c r="B362" s="1" t="n">
        <v>45623.62563657408</v>
      </c>
      <c r="C362" s="1" t="n">
        <v>46113</v>
      </c>
      <c r="D362" t="inlineStr">
        <is>
          <t>STOCKHOLMS LÄN</t>
        </is>
      </c>
      <c r="E362" t="inlineStr">
        <is>
          <t>NORRTÄLJE</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40656-2022</t>
        </is>
      </c>
      <c r="B363" s="1" t="n">
        <v>44824.36069444445</v>
      </c>
      <c r="C363" s="1" t="n">
        <v>46113</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21803-2022</t>
        </is>
      </c>
      <c r="B364" s="1" t="n">
        <v>44708.67822916667</v>
      </c>
      <c r="C364" s="1" t="n">
        <v>46113</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40425-2021</t>
        </is>
      </c>
      <c r="B365" s="1" t="n">
        <v>44419</v>
      </c>
      <c r="C365" s="1" t="n">
        <v>46113</v>
      </c>
      <c r="D365" t="inlineStr">
        <is>
          <t>STOCKHOLMS LÄN</t>
        </is>
      </c>
      <c r="E365" t="inlineStr">
        <is>
          <t>NORRTÄLJE</t>
        </is>
      </c>
      <c r="G365" t="n">
        <v>5</v>
      </c>
      <c r="H365" t="n">
        <v>0</v>
      </c>
      <c r="I365" t="n">
        <v>0</v>
      </c>
      <c r="J365" t="n">
        <v>0</v>
      </c>
      <c r="K365" t="n">
        <v>0</v>
      </c>
      <c r="L365" t="n">
        <v>0</v>
      </c>
      <c r="M365" t="n">
        <v>0</v>
      </c>
      <c r="N365" t="n">
        <v>0</v>
      </c>
      <c r="O365" t="n">
        <v>0</v>
      </c>
      <c r="P365" t="n">
        <v>0</v>
      </c>
      <c r="Q365" t="n">
        <v>0</v>
      </c>
      <c r="R365" s="2" t="inlineStr"/>
    </row>
    <row r="366" ht="15" customHeight="1">
      <c r="A366" t="inlineStr">
        <is>
          <t>A 23070-2023</t>
        </is>
      </c>
      <c r="B366" s="1" t="n">
        <v>45075</v>
      </c>
      <c r="C366" s="1" t="n">
        <v>46113</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20014-2025</t>
        </is>
      </c>
      <c r="B367" s="1" t="n">
        <v>45772.3078125</v>
      </c>
      <c r="C367" s="1" t="n">
        <v>46113</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56631-2024</t>
        </is>
      </c>
      <c r="B368" s="1" t="n">
        <v>45625</v>
      </c>
      <c r="C368" s="1" t="n">
        <v>46113</v>
      </c>
      <c r="D368" t="inlineStr">
        <is>
          <t>STOCKHOLMS LÄN</t>
        </is>
      </c>
      <c r="E368" t="inlineStr">
        <is>
          <t>NORRTÄLJE</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8792-2025</t>
        </is>
      </c>
      <c r="B369" s="1" t="n">
        <v>45712</v>
      </c>
      <c r="C369" s="1" t="n">
        <v>46113</v>
      </c>
      <c r="D369" t="inlineStr">
        <is>
          <t>STOCKHOLMS LÄN</t>
        </is>
      </c>
      <c r="E369" t="inlineStr">
        <is>
          <t>NORRTÄLJE</t>
        </is>
      </c>
      <c r="F369" t="inlineStr">
        <is>
          <t>Övriga Aktiebolag</t>
        </is>
      </c>
      <c r="G369" t="n">
        <v>6.6</v>
      </c>
      <c r="H369" t="n">
        <v>0</v>
      </c>
      <c r="I369" t="n">
        <v>0</v>
      </c>
      <c r="J369" t="n">
        <v>0</v>
      </c>
      <c r="K369" t="n">
        <v>0</v>
      </c>
      <c r="L369" t="n">
        <v>0</v>
      </c>
      <c r="M369" t="n">
        <v>0</v>
      </c>
      <c r="N369" t="n">
        <v>0</v>
      </c>
      <c r="O369" t="n">
        <v>0</v>
      </c>
      <c r="P369" t="n">
        <v>0</v>
      </c>
      <c r="Q369" t="n">
        <v>0</v>
      </c>
      <c r="R369" s="2" t="inlineStr"/>
    </row>
    <row r="370" ht="15" customHeight="1">
      <c r="A370" t="inlineStr">
        <is>
          <t>A 48587-2023</t>
        </is>
      </c>
      <c r="B370" s="1" t="n">
        <v>45208</v>
      </c>
      <c r="C370" s="1" t="n">
        <v>46113</v>
      </c>
      <c r="D370" t="inlineStr">
        <is>
          <t>STOCKHOLMS LÄN</t>
        </is>
      </c>
      <c r="E370" t="inlineStr">
        <is>
          <t>NORRTÄLJE</t>
        </is>
      </c>
      <c r="G370" t="n">
        <v>7</v>
      </c>
      <c r="H370" t="n">
        <v>0</v>
      </c>
      <c r="I370" t="n">
        <v>0</v>
      </c>
      <c r="J370" t="n">
        <v>0</v>
      </c>
      <c r="K370" t="n">
        <v>0</v>
      </c>
      <c r="L370" t="n">
        <v>0</v>
      </c>
      <c r="M370" t="n">
        <v>0</v>
      </c>
      <c r="N370" t="n">
        <v>0</v>
      </c>
      <c r="O370" t="n">
        <v>0</v>
      </c>
      <c r="P370" t="n">
        <v>0</v>
      </c>
      <c r="Q370" t="n">
        <v>0</v>
      </c>
      <c r="R370" s="2" t="inlineStr"/>
    </row>
    <row r="371" ht="15" customHeight="1">
      <c r="A371" t="inlineStr">
        <is>
          <t>A 40529-2025</t>
        </is>
      </c>
      <c r="B371" s="1" t="n">
        <v>45896.38466435186</v>
      </c>
      <c r="C371" s="1" t="n">
        <v>46113</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53600-2022</t>
        </is>
      </c>
      <c r="B372" s="1" t="n">
        <v>44879.70518518519</v>
      </c>
      <c r="C372" s="1" t="n">
        <v>46113</v>
      </c>
      <c r="D372" t="inlineStr">
        <is>
          <t>STOCKHOLMS LÄN</t>
        </is>
      </c>
      <c r="E372" t="inlineStr">
        <is>
          <t>NORRTÄLJE</t>
        </is>
      </c>
      <c r="G372" t="n">
        <v>4.3</v>
      </c>
      <c r="H372" t="n">
        <v>0</v>
      </c>
      <c r="I372" t="n">
        <v>0</v>
      </c>
      <c r="J372" t="n">
        <v>0</v>
      </c>
      <c r="K372" t="n">
        <v>0</v>
      </c>
      <c r="L372" t="n">
        <v>0</v>
      </c>
      <c r="M372" t="n">
        <v>0</v>
      </c>
      <c r="N372" t="n">
        <v>0</v>
      </c>
      <c r="O372" t="n">
        <v>0</v>
      </c>
      <c r="P372" t="n">
        <v>0</v>
      </c>
      <c r="Q372" t="n">
        <v>0</v>
      </c>
      <c r="R372" s="2" t="inlineStr"/>
    </row>
    <row r="373" ht="15" customHeight="1">
      <c r="A373" t="inlineStr">
        <is>
          <t>A 7571-2024</t>
        </is>
      </c>
      <c r="B373" s="1" t="n">
        <v>45348.46300925926</v>
      </c>
      <c r="C373" s="1" t="n">
        <v>46113</v>
      </c>
      <c r="D373" t="inlineStr">
        <is>
          <t>STOCKHOLMS LÄN</t>
        </is>
      </c>
      <c r="E373" t="inlineStr">
        <is>
          <t>NORRTÄLJE</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40292-2025</t>
        </is>
      </c>
      <c r="B374" s="1" t="n">
        <v>45895.3867824074</v>
      </c>
      <c r="C374" s="1" t="n">
        <v>46113</v>
      </c>
      <c r="D374" t="inlineStr">
        <is>
          <t>STOCKHOLMS LÄN</t>
        </is>
      </c>
      <c r="E374" t="inlineStr">
        <is>
          <t>NORRTÄLJE</t>
        </is>
      </c>
      <c r="G374" t="n">
        <v>3.5</v>
      </c>
      <c r="H374" t="n">
        <v>0</v>
      </c>
      <c r="I374" t="n">
        <v>0</v>
      </c>
      <c r="J374" t="n">
        <v>0</v>
      </c>
      <c r="K374" t="n">
        <v>0</v>
      </c>
      <c r="L374" t="n">
        <v>0</v>
      </c>
      <c r="M374" t="n">
        <v>0</v>
      </c>
      <c r="N374" t="n">
        <v>0</v>
      </c>
      <c r="O374" t="n">
        <v>0</v>
      </c>
      <c r="P374" t="n">
        <v>0</v>
      </c>
      <c r="Q374" t="n">
        <v>0</v>
      </c>
      <c r="R374" s="2" t="inlineStr"/>
    </row>
    <row r="375" ht="15" customHeight="1">
      <c r="A375" t="inlineStr">
        <is>
          <t>A 40294-2025</t>
        </is>
      </c>
      <c r="B375" s="1" t="n">
        <v>45895.38778935185</v>
      </c>
      <c r="C375" s="1" t="n">
        <v>46113</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36269-2022</t>
        </is>
      </c>
      <c r="B376" s="1" t="n">
        <v>44803</v>
      </c>
      <c r="C376" s="1" t="n">
        <v>46113</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42955-2022</t>
        </is>
      </c>
      <c r="B377" s="1" t="n">
        <v>44833.40876157407</v>
      </c>
      <c r="C377" s="1" t="n">
        <v>46113</v>
      </c>
      <c r="D377" t="inlineStr">
        <is>
          <t>STOCKHOLMS LÄN</t>
        </is>
      </c>
      <c r="E377" t="inlineStr">
        <is>
          <t>NORRTÄLJE</t>
        </is>
      </c>
      <c r="G377" t="n">
        <v>13.1</v>
      </c>
      <c r="H377" t="n">
        <v>0</v>
      </c>
      <c r="I377" t="n">
        <v>0</v>
      </c>
      <c r="J377" t="n">
        <v>0</v>
      </c>
      <c r="K377" t="n">
        <v>0</v>
      </c>
      <c r="L377" t="n">
        <v>0</v>
      </c>
      <c r="M377" t="n">
        <v>0</v>
      </c>
      <c r="N377" t="n">
        <v>0</v>
      </c>
      <c r="O377" t="n">
        <v>0</v>
      </c>
      <c r="P377" t="n">
        <v>0</v>
      </c>
      <c r="Q377" t="n">
        <v>0</v>
      </c>
      <c r="R377" s="2" t="inlineStr"/>
    </row>
    <row r="378" ht="15" customHeight="1">
      <c r="A378" t="inlineStr">
        <is>
          <t>A 41275-2025</t>
        </is>
      </c>
      <c r="B378" s="1" t="n">
        <v>45898.62625</v>
      </c>
      <c r="C378" s="1" t="n">
        <v>46113</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40837-2025</t>
        </is>
      </c>
      <c r="B379" s="1" t="n">
        <v>45897.51328703704</v>
      </c>
      <c r="C379" s="1" t="n">
        <v>46113</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41030-2025</t>
        </is>
      </c>
      <c r="B380" s="1" t="n">
        <v>45898.37636574074</v>
      </c>
      <c r="C380" s="1" t="n">
        <v>46113</v>
      </c>
      <c r="D380" t="inlineStr">
        <is>
          <t>STOCKHOLMS LÄN</t>
        </is>
      </c>
      <c r="E380" t="inlineStr">
        <is>
          <t>NORRTÄLJE</t>
        </is>
      </c>
      <c r="F380" t="inlineStr">
        <is>
          <t>Holmen skog AB</t>
        </is>
      </c>
      <c r="G380" t="n">
        <v>2.6</v>
      </c>
      <c r="H380" t="n">
        <v>0</v>
      </c>
      <c r="I380" t="n">
        <v>0</v>
      </c>
      <c r="J380" t="n">
        <v>0</v>
      </c>
      <c r="K380" t="n">
        <v>0</v>
      </c>
      <c r="L380" t="n">
        <v>0</v>
      </c>
      <c r="M380" t="n">
        <v>0</v>
      </c>
      <c r="N380" t="n">
        <v>0</v>
      </c>
      <c r="O380" t="n">
        <v>0</v>
      </c>
      <c r="P380" t="n">
        <v>0</v>
      </c>
      <c r="Q380" t="n">
        <v>0</v>
      </c>
      <c r="R380" s="2" t="inlineStr"/>
    </row>
    <row r="381" ht="15" customHeight="1">
      <c r="A381" t="inlineStr">
        <is>
          <t>A 5665-2025</t>
        </is>
      </c>
      <c r="B381" s="1" t="n">
        <v>45693</v>
      </c>
      <c r="C381" s="1" t="n">
        <v>46113</v>
      </c>
      <c r="D381" t="inlineStr">
        <is>
          <t>STOCKHOLMS LÄN</t>
        </is>
      </c>
      <c r="E381" t="inlineStr">
        <is>
          <t>NORRTÄLJE</t>
        </is>
      </c>
      <c r="G381" t="n">
        <v>4</v>
      </c>
      <c r="H381" t="n">
        <v>0</v>
      </c>
      <c r="I381" t="n">
        <v>0</v>
      </c>
      <c r="J381" t="n">
        <v>0</v>
      </c>
      <c r="K381" t="n">
        <v>0</v>
      </c>
      <c r="L381" t="n">
        <v>0</v>
      </c>
      <c r="M381" t="n">
        <v>0</v>
      </c>
      <c r="N381" t="n">
        <v>0</v>
      </c>
      <c r="O381" t="n">
        <v>0</v>
      </c>
      <c r="P381" t="n">
        <v>0</v>
      </c>
      <c r="Q381" t="n">
        <v>0</v>
      </c>
      <c r="R381" s="2" t="inlineStr"/>
    </row>
    <row r="382" ht="15" customHeight="1">
      <c r="A382" t="inlineStr">
        <is>
          <t>A 41158-2025</t>
        </is>
      </c>
      <c r="B382" s="1" t="n">
        <v>45898.5315625</v>
      </c>
      <c r="C382" s="1" t="n">
        <v>46113</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12407-2025</t>
        </is>
      </c>
      <c r="B383" s="1" t="n">
        <v>45730.42851851852</v>
      </c>
      <c r="C383" s="1" t="n">
        <v>46113</v>
      </c>
      <c r="D383" t="inlineStr">
        <is>
          <t>STOCKHOLMS LÄN</t>
        </is>
      </c>
      <c r="E383" t="inlineStr">
        <is>
          <t>NORRTÄLJE</t>
        </is>
      </c>
      <c r="F383" t="inlineStr">
        <is>
          <t>Holmen skog AB</t>
        </is>
      </c>
      <c r="G383" t="n">
        <v>2.6</v>
      </c>
      <c r="H383" t="n">
        <v>0</v>
      </c>
      <c r="I383" t="n">
        <v>0</v>
      </c>
      <c r="J383" t="n">
        <v>0</v>
      </c>
      <c r="K383" t="n">
        <v>0</v>
      </c>
      <c r="L383" t="n">
        <v>0</v>
      </c>
      <c r="M383" t="n">
        <v>0</v>
      </c>
      <c r="N383" t="n">
        <v>0</v>
      </c>
      <c r="O383" t="n">
        <v>0</v>
      </c>
      <c r="P383" t="n">
        <v>0</v>
      </c>
      <c r="Q383" t="n">
        <v>0</v>
      </c>
      <c r="R383" s="2" t="inlineStr"/>
    </row>
    <row r="384" ht="15" customHeight="1">
      <c r="A384" t="inlineStr">
        <is>
          <t>A 41301-2025</t>
        </is>
      </c>
      <c r="B384" s="1" t="n">
        <v>45898.68826388889</v>
      </c>
      <c r="C384" s="1" t="n">
        <v>46113</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41106-2025</t>
        </is>
      </c>
      <c r="B385" s="1" t="n">
        <v>45898.45636574074</v>
      </c>
      <c r="C385" s="1" t="n">
        <v>46113</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20136-2025</t>
        </is>
      </c>
      <c r="B386" s="1" t="n">
        <v>45772.51127314815</v>
      </c>
      <c r="C386" s="1" t="n">
        <v>46113</v>
      </c>
      <c r="D386" t="inlineStr">
        <is>
          <t>STOCKHOLMS LÄN</t>
        </is>
      </c>
      <c r="E386" t="inlineStr">
        <is>
          <t>NORRTÄLJE</t>
        </is>
      </c>
      <c r="G386" t="n">
        <v>1.3</v>
      </c>
      <c r="H386" t="n">
        <v>0</v>
      </c>
      <c r="I386" t="n">
        <v>0</v>
      </c>
      <c r="J386" t="n">
        <v>0</v>
      </c>
      <c r="K386" t="n">
        <v>0</v>
      </c>
      <c r="L386" t="n">
        <v>0</v>
      </c>
      <c r="M386" t="n">
        <v>0</v>
      </c>
      <c r="N386" t="n">
        <v>0</v>
      </c>
      <c r="O386" t="n">
        <v>0</v>
      </c>
      <c r="P386" t="n">
        <v>0</v>
      </c>
      <c r="Q386" t="n">
        <v>0</v>
      </c>
      <c r="R386" s="2" t="inlineStr"/>
    </row>
    <row r="387" ht="15" customHeight="1">
      <c r="A387" t="inlineStr">
        <is>
          <t>A 26636-2023</t>
        </is>
      </c>
      <c r="B387" s="1" t="n">
        <v>45092</v>
      </c>
      <c r="C387" s="1" t="n">
        <v>46113</v>
      </c>
      <c r="D387" t="inlineStr">
        <is>
          <t>STOCKHOLMS LÄN</t>
        </is>
      </c>
      <c r="E387" t="inlineStr">
        <is>
          <t>NORRTÄLJE</t>
        </is>
      </c>
      <c r="G387" t="n">
        <v>1.7</v>
      </c>
      <c r="H387" t="n">
        <v>0</v>
      </c>
      <c r="I387" t="n">
        <v>0</v>
      </c>
      <c r="J387" t="n">
        <v>0</v>
      </c>
      <c r="K387" t="n">
        <v>0</v>
      </c>
      <c r="L387" t="n">
        <v>0</v>
      </c>
      <c r="M387" t="n">
        <v>0</v>
      </c>
      <c r="N387" t="n">
        <v>0</v>
      </c>
      <c r="O387" t="n">
        <v>0</v>
      </c>
      <c r="P387" t="n">
        <v>0</v>
      </c>
      <c r="Q387" t="n">
        <v>0</v>
      </c>
      <c r="R387" s="2" t="inlineStr"/>
    </row>
    <row r="388" ht="15" customHeight="1">
      <c r="A388" t="inlineStr">
        <is>
          <t>A 26637-2023</t>
        </is>
      </c>
      <c r="B388" s="1" t="n">
        <v>45092</v>
      </c>
      <c r="C388" s="1" t="n">
        <v>46113</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15978-2024</t>
        </is>
      </c>
      <c r="B389" s="1" t="n">
        <v>45405.57927083333</v>
      </c>
      <c r="C389" s="1" t="n">
        <v>46113</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41174-2025</t>
        </is>
      </c>
      <c r="B390" s="1" t="n">
        <v>45898.54921296296</v>
      </c>
      <c r="C390" s="1" t="n">
        <v>46113</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24687-2025</t>
        </is>
      </c>
      <c r="B391" s="1" t="n">
        <v>45798.66767361111</v>
      </c>
      <c r="C391" s="1" t="n">
        <v>46113</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23266-2023</t>
        </is>
      </c>
      <c r="B392" s="1" t="n">
        <v>45075.90817129629</v>
      </c>
      <c r="C392" s="1" t="n">
        <v>46113</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41110-2025</t>
        </is>
      </c>
      <c r="B393" s="1" t="n">
        <v>45898.45976851852</v>
      </c>
      <c r="C393" s="1" t="n">
        <v>46113</v>
      </c>
      <c r="D393" t="inlineStr">
        <is>
          <t>STOCKHOLMS LÄN</t>
        </is>
      </c>
      <c r="E393" t="inlineStr">
        <is>
          <t>NORRTÄLJE</t>
        </is>
      </c>
      <c r="F393" t="inlineStr">
        <is>
          <t>Holmen skog AB</t>
        </is>
      </c>
      <c r="G393" t="n">
        <v>6.7</v>
      </c>
      <c r="H393" t="n">
        <v>0</v>
      </c>
      <c r="I393" t="n">
        <v>0</v>
      </c>
      <c r="J393" t="n">
        <v>0</v>
      </c>
      <c r="K393" t="n">
        <v>0</v>
      </c>
      <c r="L393" t="n">
        <v>0</v>
      </c>
      <c r="M393" t="n">
        <v>0</v>
      </c>
      <c r="N393" t="n">
        <v>0</v>
      </c>
      <c r="O393" t="n">
        <v>0</v>
      </c>
      <c r="P393" t="n">
        <v>0</v>
      </c>
      <c r="Q393" t="n">
        <v>0</v>
      </c>
      <c r="R393" s="2" t="inlineStr"/>
    </row>
    <row r="394" ht="15" customHeight="1">
      <c r="A394" t="inlineStr">
        <is>
          <t>A 41259-2025</t>
        </is>
      </c>
      <c r="B394" s="1" t="n">
        <v>45898.61054398148</v>
      </c>
      <c r="C394" s="1" t="n">
        <v>46113</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41053-2025</t>
        </is>
      </c>
      <c r="B395" s="1" t="n">
        <v>45898.40480324074</v>
      </c>
      <c r="C395" s="1" t="n">
        <v>46113</v>
      </c>
      <c r="D395" t="inlineStr">
        <is>
          <t>STOCKHOLMS LÄN</t>
        </is>
      </c>
      <c r="E395" t="inlineStr">
        <is>
          <t>NORRTÄLJE</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20473-2021</t>
        </is>
      </c>
      <c r="B396" s="1" t="n">
        <v>44315</v>
      </c>
      <c r="C396" s="1" t="n">
        <v>46113</v>
      </c>
      <c r="D396" t="inlineStr">
        <is>
          <t>STOCKHOLMS LÄN</t>
        </is>
      </c>
      <c r="E396" t="inlineStr">
        <is>
          <t>NORRTÄLJE</t>
        </is>
      </c>
      <c r="F396" t="inlineStr">
        <is>
          <t>Övriga Aktiebolag</t>
        </is>
      </c>
      <c r="G396" t="n">
        <v>3.6</v>
      </c>
      <c r="H396" t="n">
        <v>0</v>
      </c>
      <c r="I396" t="n">
        <v>0</v>
      </c>
      <c r="J396" t="n">
        <v>0</v>
      </c>
      <c r="K396" t="n">
        <v>0</v>
      </c>
      <c r="L396" t="n">
        <v>0</v>
      </c>
      <c r="M396" t="n">
        <v>0</v>
      </c>
      <c r="N396" t="n">
        <v>0</v>
      </c>
      <c r="O396" t="n">
        <v>0</v>
      </c>
      <c r="P396" t="n">
        <v>0</v>
      </c>
      <c r="Q396" t="n">
        <v>0</v>
      </c>
      <c r="R396" s="2" t="inlineStr"/>
    </row>
    <row r="397" ht="15" customHeight="1">
      <c r="A397" t="inlineStr">
        <is>
          <t>A 40829-2025</t>
        </is>
      </c>
      <c r="B397" s="1" t="n">
        <v>45897.50802083333</v>
      </c>
      <c r="C397" s="1" t="n">
        <v>46113</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40831-2025</t>
        </is>
      </c>
      <c r="B398" s="1" t="n">
        <v>45897.51077546296</v>
      </c>
      <c r="C398" s="1" t="n">
        <v>46113</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7603-2025</t>
        </is>
      </c>
      <c r="B399" s="1" t="n">
        <v>45705.66126157407</v>
      </c>
      <c r="C399" s="1" t="n">
        <v>46113</v>
      </c>
      <c r="D399" t="inlineStr">
        <is>
          <t>STOCKHOLMS LÄN</t>
        </is>
      </c>
      <c r="E399" t="inlineStr">
        <is>
          <t>NORRTÄLJE</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35161-2022</t>
        </is>
      </c>
      <c r="B400" s="1" t="n">
        <v>44797</v>
      </c>
      <c r="C400" s="1" t="n">
        <v>46113</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41272-2025</t>
        </is>
      </c>
      <c r="B401" s="1" t="n">
        <v>45898.62373842593</v>
      </c>
      <c r="C401" s="1" t="n">
        <v>46113</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5158-2024</t>
        </is>
      </c>
      <c r="B402" s="1" t="n">
        <v>45330.50098379629</v>
      </c>
      <c r="C402" s="1" t="n">
        <v>46113</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41036-2025</t>
        </is>
      </c>
      <c r="B403" s="1" t="n">
        <v>45898.38552083333</v>
      </c>
      <c r="C403" s="1" t="n">
        <v>46113</v>
      </c>
      <c r="D403" t="inlineStr">
        <is>
          <t>STOCKHOLMS LÄN</t>
        </is>
      </c>
      <c r="E403" t="inlineStr">
        <is>
          <t>NORRTÄLJE</t>
        </is>
      </c>
      <c r="F403" t="inlineStr">
        <is>
          <t>Holmen skog AB</t>
        </is>
      </c>
      <c r="G403" t="n">
        <v>2.7</v>
      </c>
      <c r="H403" t="n">
        <v>0</v>
      </c>
      <c r="I403" t="n">
        <v>0</v>
      </c>
      <c r="J403" t="n">
        <v>0</v>
      </c>
      <c r="K403" t="n">
        <v>0</v>
      </c>
      <c r="L403" t="n">
        <v>0</v>
      </c>
      <c r="M403" t="n">
        <v>0</v>
      </c>
      <c r="N403" t="n">
        <v>0</v>
      </c>
      <c r="O403" t="n">
        <v>0</v>
      </c>
      <c r="P403" t="n">
        <v>0</v>
      </c>
      <c r="Q403" t="n">
        <v>0</v>
      </c>
      <c r="R403" s="2" t="inlineStr"/>
    </row>
    <row r="404" ht="15" customHeight="1">
      <c r="A404" t="inlineStr">
        <is>
          <t>A 19058-2024</t>
        </is>
      </c>
      <c r="B404" s="1" t="n">
        <v>45427.89121527778</v>
      </c>
      <c r="C404" s="1" t="n">
        <v>46113</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51046-2023</t>
        </is>
      </c>
      <c r="B405" s="1" t="n">
        <v>45218</v>
      </c>
      <c r="C405" s="1" t="n">
        <v>46113</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58863-2024</t>
        </is>
      </c>
      <c r="B406" s="1" t="n">
        <v>45636.41572916666</v>
      </c>
      <c r="C406" s="1" t="n">
        <v>46113</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8736-2024</t>
        </is>
      </c>
      <c r="B407" s="1" t="n">
        <v>45356.4722800926</v>
      </c>
      <c r="C407" s="1" t="n">
        <v>46113</v>
      </c>
      <c r="D407" t="inlineStr">
        <is>
          <t>STOCKHOLMS LÄN</t>
        </is>
      </c>
      <c r="E407" t="inlineStr">
        <is>
          <t>NORRTÄLJE</t>
        </is>
      </c>
      <c r="G407" t="n">
        <v>8.9</v>
      </c>
      <c r="H407" t="n">
        <v>0</v>
      </c>
      <c r="I407" t="n">
        <v>0</v>
      </c>
      <c r="J407" t="n">
        <v>0</v>
      </c>
      <c r="K407" t="n">
        <v>0</v>
      </c>
      <c r="L407" t="n">
        <v>0</v>
      </c>
      <c r="M407" t="n">
        <v>0</v>
      </c>
      <c r="N407" t="n">
        <v>0</v>
      </c>
      <c r="O407" t="n">
        <v>0</v>
      </c>
      <c r="P407" t="n">
        <v>0</v>
      </c>
      <c r="Q407" t="n">
        <v>0</v>
      </c>
      <c r="R407" s="2" t="inlineStr"/>
    </row>
    <row r="408" ht="15" customHeight="1">
      <c r="A408" t="inlineStr">
        <is>
          <t>A 15447-2023</t>
        </is>
      </c>
      <c r="B408" s="1" t="n">
        <v>45020</v>
      </c>
      <c r="C408" s="1" t="n">
        <v>46113</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19057-2024</t>
        </is>
      </c>
      <c r="B409" s="1" t="n">
        <v>45427.88731481481</v>
      </c>
      <c r="C409" s="1" t="n">
        <v>46113</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34391-2023</t>
        </is>
      </c>
      <c r="B410" s="1" t="n">
        <v>45139.51457175926</v>
      </c>
      <c r="C410" s="1" t="n">
        <v>46113</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15733-2025</t>
        </is>
      </c>
      <c r="B411" s="1" t="n">
        <v>45748</v>
      </c>
      <c r="C411" s="1" t="n">
        <v>46113</v>
      </c>
      <c r="D411" t="inlineStr">
        <is>
          <t>STOCKHOLMS LÄN</t>
        </is>
      </c>
      <c r="E411" t="inlineStr">
        <is>
          <t>NORRTÄLJE</t>
        </is>
      </c>
      <c r="G411" t="n">
        <v>13.3</v>
      </c>
      <c r="H411" t="n">
        <v>0</v>
      </c>
      <c r="I411" t="n">
        <v>0</v>
      </c>
      <c r="J411" t="n">
        <v>0</v>
      </c>
      <c r="K411" t="n">
        <v>0</v>
      </c>
      <c r="L411" t="n">
        <v>0</v>
      </c>
      <c r="M411" t="n">
        <v>0</v>
      </c>
      <c r="N411" t="n">
        <v>0</v>
      </c>
      <c r="O411" t="n">
        <v>0</v>
      </c>
      <c r="P411" t="n">
        <v>0</v>
      </c>
      <c r="Q411" t="n">
        <v>0</v>
      </c>
      <c r="R411" s="2" t="inlineStr"/>
    </row>
    <row r="412" ht="15" customHeight="1">
      <c r="A412" t="inlineStr">
        <is>
          <t>A 53312-2024</t>
        </is>
      </c>
      <c r="B412" s="1" t="n">
        <v>45614.39627314815</v>
      </c>
      <c r="C412" s="1" t="n">
        <v>46113</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10511-2025</t>
        </is>
      </c>
      <c r="B413" s="1" t="n">
        <v>45721.40780092592</v>
      </c>
      <c r="C413" s="1" t="n">
        <v>46113</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45255-2022</t>
        </is>
      </c>
      <c r="B414" s="1" t="n">
        <v>44840</v>
      </c>
      <c r="C414" s="1" t="n">
        <v>46113</v>
      </c>
      <c r="D414" t="inlineStr">
        <is>
          <t>STOCKHOLMS LÄN</t>
        </is>
      </c>
      <c r="E414" t="inlineStr">
        <is>
          <t>NORRTÄLJE</t>
        </is>
      </c>
      <c r="G414" t="n">
        <v>4.1</v>
      </c>
      <c r="H414" t="n">
        <v>0</v>
      </c>
      <c r="I414" t="n">
        <v>0</v>
      </c>
      <c r="J414" t="n">
        <v>0</v>
      </c>
      <c r="K414" t="n">
        <v>0</v>
      </c>
      <c r="L414" t="n">
        <v>0</v>
      </c>
      <c r="M414" t="n">
        <v>0</v>
      </c>
      <c r="N414" t="n">
        <v>0</v>
      </c>
      <c r="O414" t="n">
        <v>0</v>
      </c>
      <c r="P414" t="n">
        <v>0</v>
      </c>
      <c r="Q414" t="n">
        <v>0</v>
      </c>
      <c r="R414" s="2" t="inlineStr"/>
    </row>
    <row r="415" ht="15" customHeight="1">
      <c r="A415" t="inlineStr">
        <is>
          <t>A 19915-2024</t>
        </is>
      </c>
      <c r="B415" s="1" t="n">
        <v>45433.58431712963</v>
      </c>
      <c r="C415" s="1" t="n">
        <v>46113</v>
      </c>
      <c r="D415" t="inlineStr">
        <is>
          <t>STOCKHOLMS LÄN</t>
        </is>
      </c>
      <c r="E415" t="inlineStr">
        <is>
          <t>NORRTÄLJE</t>
        </is>
      </c>
      <c r="G415" t="n">
        <v>2</v>
      </c>
      <c r="H415" t="n">
        <v>0</v>
      </c>
      <c r="I415" t="n">
        <v>0</v>
      </c>
      <c r="J415" t="n">
        <v>0</v>
      </c>
      <c r="K415" t="n">
        <v>0</v>
      </c>
      <c r="L415" t="n">
        <v>0</v>
      </c>
      <c r="M415" t="n">
        <v>0</v>
      </c>
      <c r="N415" t="n">
        <v>0</v>
      </c>
      <c r="O415" t="n">
        <v>0</v>
      </c>
      <c r="P415" t="n">
        <v>0</v>
      </c>
      <c r="Q415" t="n">
        <v>0</v>
      </c>
      <c r="R415" s="2" t="inlineStr"/>
    </row>
    <row r="416" ht="15" customHeight="1">
      <c r="A416" t="inlineStr">
        <is>
          <t>A 12629-2024</t>
        </is>
      </c>
      <c r="B416" s="1" t="n">
        <v>45383</v>
      </c>
      <c r="C416" s="1" t="n">
        <v>46113</v>
      </c>
      <c r="D416" t="inlineStr">
        <is>
          <t>STOCKHOLMS LÄN</t>
        </is>
      </c>
      <c r="E416" t="inlineStr">
        <is>
          <t>NORRTÄLJE</t>
        </is>
      </c>
      <c r="G416" t="n">
        <v>2.6</v>
      </c>
      <c r="H416" t="n">
        <v>0</v>
      </c>
      <c r="I416" t="n">
        <v>0</v>
      </c>
      <c r="J416" t="n">
        <v>0</v>
      </c>
      <c r="K416" t="n">
        <v>0</v>
      </c>
      <c r="L416" t="n">
        <v>0</v>
      </c>
      <c r="M416" t="n">
        <v>0</v>
      </c>
      <c r="N416" t="n">
        <v>0</v>
      </c>
      <c r="O416" t="n">
        <v>0</v>
      </c>
      <c r="P416" t="n">
        <v>0</v>
      </c>
      <c r="Q416" t="n">
        <v>0</v>
      </c>
      <c r="R416" s="2" t="inlineStr"/>
    </row>
    <row r="417" ht="15" customHeight="1">
      <c r="A417" t="inlineStr">
        <is>
          <t>A 20428-2024</t>
        </is>
      </c>
      <c r="B417" s="1" t="n">
        <v>45435</v>
      </c>
      <c r="C417" s="1" t="n">
        <v>46113</v>
      </c>
      <c r="D417" t="inlineStr">
        <is>
          <t>STOCKHOLMS LÄN</t>
        </is>
      </c>
      <c r="E417" t="inlineStr">
        <is>
          <t>NORRTÄLJE</t>
        </is>
      </c>
      <c r="G417" t="n">
        <v>3.7</v>
      </c>
      <c r="H417" t="n">
        <v>0</v>
      </c>
      <c r="I417" t="n">
        <v>0</v>
      </c>
      <c r="J417" t="n">
        <v>0</v>
      </c>
      <c r="K417" t="n">
        <v>0</v>
      </c>
      <c r="L417" t="n">
        <v>0</v>
      </c>
      <c r="M417" t="n">
        <v>0</v>
      </c>
      <c r="N417" t="n">
        <v>0</v>
      </c>
      <c r="O417" t="n">
        <v>0</v>
      </c>
      <c r="P417" t="n">
        <v>0</v>
      </c>
      <c r="Q417" t="n">
        <v>0</v>
      </c>
      <c r="R417" s="2" t="inlineStr"/>
    </row>
    <row r="418" ht="15" customHeight="1">
      <c r="A418" t="inlineStr">
        <is>
          <t>A 42038-2025</t>
        </is>
      </c>
      <c r="B418" s="1" t="n">
        <v>45903.61431712963</v>
      </c>
      <c r="C418" s="1" t="n">
        <v>46113</v>
      </c>
      <c r="D418" t="inlineStr">
        <is>
          <t>STOCKHOLMS LÄN</t>
        </is>
      </c>
      <c r="E418" t="inlineStr">
        <is>
          <t>NORRTÄLJE</t>
        </is>
      </c>
      <c r="F418" t="inlineStr">
        <is>
          <t>Sveaskog</t>
        </is>
      </c>
      <c r="G418" t="n">
        <v>6.4</v>
      </c>
      <c r="H418" t="n">
        <v>0</v>
      </c>
      <c r="I418" t="n">
        <v>0</v>
      </c>
      <c r="J418" t="n">
        <v>0</v>
      </c>
      <c r="K418" t="n">
        <v>0</v>
      </c>
      <c r="L418" t="n">
        <v>0</v>
      </c>
      <c r="M418" t="n">
        <v>0</v>
      </c>
      <c r="N418" t="n">
        <v>0</v>
      </c>
      <c r="O418" t="n">
        <v>0</v>
      </c>
      <c r="P418" t="n">
        <v>0</v>
      </c>
      <c r="Q418" t="n">
        <v>0</v>
      </c>
      <c r="R418" s="2" t="inlineStr"/>
    </row>
    <row r="419" ht="15" customHeight="1">
      <c r="A419" t="inlineStr">
        <is>
          <t>A 21158-2022</t>
        </is>
      </c>
      <c r="B419" s="1" t="n">
        <v>44704</v>
      </c>
      <c r="C419" s="1" t="n">
        <v>46113</v>
      </c>
      <c r="D419" t="inlineStr">
        <is>
          <t>STOCKHOLMS LÄN</t>
        </is>
      </c>
      <c r="E419" t="inlineStr">
        <is>
          <t>NORRTÄLJE</t>
        </is>
      </c>
      <c r="G419" t="n">
        <v>17.8</v>
      </c>
      <c r="H419" t="n">
        <v>0</v>
      </c>
      <c r="I419" t="n">
        <v>0</v>
      </c>
      <c r="J419" t="n">
        <v>0</v>
      </c>
      <c r="K419" t="n">
        <v>0</v>
      </c>
      <c r="L419" t="n">
        <v>0</v>
      </c>
      <c r="M419" t="n">
        <v>0</v>
      </c>
      <c r="N419" t="n">
        <v>0</v>
      </c>
      <c r="O419" t="n">
        <v>0</v>
      </c>
      <c r="P419" t="n">
        <v>0</v>
      </c>
      <c r="Q419" t="n">
        <v>0</v>
      </c>
      <c r="R419" s="2" t="inlineStr"/>
    </row>
    <row r="420" ht="15" customHeight="1">
      <c r="A420" t="inlineStr">
        <is>
          <t>A 57037-2022</t>
        </is>
      </c>
      <c r="B420" s="1" t="n">
        <v>44895</v>
      </c>
      <c r="C420" s="1" t="n">
        <v>46113</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15915-2023</t>
        </is>
      </c>
      <c r="B421" s="1" t="n">
        <v>45022</v>
      </c>
      <c r="C421" s="1" t="n">
        <v>46113</v>
      </c>
      <c r="D421" t="inlineStr">
        <is>
          <t>STOCKHOLMS LÄN</t>
        </is>
      </c>
      <c r="E421" t="inlineStr">
        <is>
          <t>NORRTÄLJE</t>
        </is>
      </c>
      <c r="G421" t="n">
        <v>2.9</v>
      </c>
      <c r="H421" t="n">
        <v>0</v>
      </c>
      <c r="I421" t="n">
        <v>0</v>
      </c>
      <c r="J421" t="n">
        <v>0</v>
      </c>
      <c r="K421" t="n">
        <v>0</v>
      </c>
      <c r="L421" t="n">
        <v>0</v>
      </c>
      <c r="M421" t="n">
        <v>0</v>
      </c>
      <c r="N421" t="n">
        <v>0</v>
      </c>
      <c r="O421" t="n">
        <v>0</v>
      </c>
      <c r="P421" t="n">
        <v>0</v>
      </c>
      <c r="Q421" t="n">
        <v>0</v>
      </c>
      <c r="R421" s="2" t="inlineStr"/>
    </row>
    <row r="422" ht="15" customHeight="1">
      <c r="A422" t="inlineStr">
        <is>
          <t>A 14762-2024</t>
        </is>
      </c>
      <c r="B422" s="1" t="n">
        <v>45397</v>
      </c>
      <c r="C422" s="1" t="n">
        <v>46113</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24690-2025</t>
        </is>
      </c>
      <c r="B423" s="1" t="n">
        <v>45798.67082175926</v>
      </c>
      <c r="C423" s="1" t="n">
        <v>46113</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58993-2022</t>
        </is>
      </c>
      <c r="B424" s="1" t="n">
        <v>44903</v>
      </c>
      <c r="C424" s="1" t="n">
        <v>46113</v>
      </c>
      <c r="D424" t="inlineStr">
        <is>
          <t>STOCKHOLMS LÄN</t>
        </is>
      </c>
      <c r="E424" t="inlineStr">
        <is>
          <t>NORRTÄLJE</t>
        </is>
      </c>
      <c r="G424" t="n">
        <v>2.3</v>
      </c>
      <c r="H424" t="n">
        <v>0</v>
      </c>
      <c r="I424" t="n">
        <v>0</v>
      </c>
      <c r="J424" t="n">
        <v>0</v>
      </c>
      <c r="K424" t="n">
        <v>0</v>
      </c>
      <c r="L424" t="n">
        <v>0</v>
      </c>
      <c r="M424" t="n">
        <v>0</v>
      </c>
      <c r="N424" t="n">
        <v>0</v>
      </c>
      <c r="O424" t="n">
        <v>0</v>
      </c>
      <c r="P424" t="n">
        <v>0</v>
      </c>
      <c r="Q424" t="n">
        <v>0</v>
      </c>
      <c r="R424" s="2" t="inlineStr"/>
    </row>
    <row r="425" ht="15" customHeight="1">
      <c r="A425" t="inlineStr">
        <is>
          <t>A 24638-2025</t>
        </is>
      </c>
      <c r="B425" s="1" t="n">
        <v>45798</v>
      </c>
      <c r="C425" s="1" t="n">
        <v>46113</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24351-2025</t>
        </is>
      </c>
      <c r="B426" s="1" t="n">
        <v>45797.58399305555</v>
      </c>
      <c r="C426" s="1" t="n">
        <v>46113</v>
      </c>
      <c r="D426" t="inlineStr">
        <is>
          <t>STOCKHOLMS LÄN</t>
        </is>
      </c>
      <c r="E426" t="inlineStr">
        <is>
          <t>NORRTÄLJE</t>
        </is>
      </c>
      <c r="G426" t="n">
        <v>1.5</v>
      </c>
      <c r="H426" t="n">
        <v>0</v>
      </c>
      <c r="I426" t="n">
        <v>0</v>
      </c>
      <c r="J426" t="n">
        <v>0</v>
      </c>
      <c r="K426" t="n">
        <v>0</v>
      </c>
      <c r="L426" t="n">
        <v>0</v>
      </c>
      <c r="M426" t="n">
        <v>0</v>
      </c>
      <c r="N426" t="n">
        <v>0</v>
      </c>
      <c r="O426" t="n">
        <v>0</v>
      </c>
      <c r="P426" t="n">
        <v>0</v>
      </c>
      <c r="Q426" t="n">
        <v>0</v>
      </c>
      <c r="R426" s="2" t="inlineStr"/>
    </row>
    <row r="427" ht="15" customHeight="1">
      <c r="A427" t="inlineStr">
        <is>
          <t>A 39905-2023</t>
        </is>
      </c>
      <c r="B427" s="1" t="n">
        <v>45168.44489583333</v>
      </c>
      <c r="C427" s="1" t="n">
        <v>46113</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33793-2022</t>
        </is>
      </c>
      <c r="B428" s="1" t="n">
        <v>44790</v>
      </c>
      <c r="C428" s="1" t="n">
        <v>46113</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41964-2025</t>
        </is>
      </c>
      <c r="B429" s="1" t="n">
        <v>45903.47270833333</v>
      </c>
      <c r="C429" s="1" t="n">
        <v>46113</v>
      </c>
      <c r="D429" t="inlineStr">
        <is>
          <t>STOCKHOLMS LÄN</t>
        </is>
      </c>
      <c r="E429" t="inlineStr">
        <is>
          <t>NORRTÄLJE</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17304-2024</t>
        </is>
      </c>
      <c r="B430" s="1" t="n">
        <v>45414</v>
      </c>
      <c r="C430" s="1" t="n">
        <v>46113</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41966-2025</t>
        </is>
      </c>
      <c r="B431" s="1" t="n">
        <v>45903.47456018518</v>
      </c>
      <c r="C431" s="1" t="n">
        <v>46113</v>
      </c>
      <c r="D431" t="inlineStr">
        <is>
          <t>STOCKHOLMS LÄN</t>
        </is>
      </c>
      <c r="E431" t="inlineStr">
        <is>
          <t>NORRTÄLJE</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23149-2024</t>
        </is>
      </c>
      <c r="B432" s="1" t="n">
        <v>45450.64208333333</v>
      </c>
      <c r="C432" s="1" t="n">
        <v>46113</v>
      </c>
      <c r="D432" t="inlineStr">
        <is>
          <t>STOCKHOLMS LÄN</t>
        </is>
      </c>
      <c r="E432" t="inlineStr">
        <is>
          <t>NORRTÄLJE</t>
        </is>
      </c>
      <c r="F432" t="inlineStr">
        <is>
          <t>Kommuner</t>
        </is>
      </c>
      <c r="G432" t="n">
        <v>1.3</v>
      </c>
      <c r="H432" t="n">
        <v>0</v>
      </c>
      <c r="I432" t="n">
        <v>0</v>
      </c>
      <c r="J432" t="n">
        <v>0</v>
      </c>
      <c r="K432" t="n">
        <v>0</v>
      </c>
      <c r="L432" t="n">
        <v>0</v>
      </c>
      <c r="M432" t="n">
        <v>0</v>
      </c>
      <c r="N432" t="n">
        <v>0</v>
      </c>
      <c r="O432" t="n">
        <v>0</v>
      </c>
      <c r="P432" t="n">
        <v>0</v>
      </c>
      <c r="Q432" t="n">
        <v>0</v>
      </c>
      <c r="R432" s="2" t="inlineStr"/>
    </row>
    <row r="433" ht="15" customHeight="1">
      <c r="A433" t="inlineStr">
        <is>
          <t>A 23151-2024</t>
        </is>
      </c>
      <c r="B433" s="1" t="n">
        <v>45450</v>
      </c>
      <c r="C433" s="1" t="n">
        <v>46113</v>
      </c>
      <c r="D433" t="inlineStr">
        <is>
          <t>STOCKHOLMS LÄN</t>
        </is>
      </c>
      <c r="E433" t="inlineStr">
        <is>
          <t>NORRTÄLJE</t>
        </is>
      </c>
      <c r="F433" t="inlineStr">
        <is>
          <t>Kommuner</t>
        </is>
      </c>
      <c r="G433" t="n">
        <v>1.2</v>
      </c>
      <c r="H433" t="n">
        <v>0</v>
      </c>
      <c r="I433" t="n">
        <v>0</v>
      </c>
      <c r="J433" t="n">
        <v>0</v>
      </c>
      <c r="K433" t="n">
        <v>0</v>
      </c>
      <c r="L433" t="n">
        <v>0</v>
      </c>
      <c r="M433" t="n">
        <v>0</v>
      </c>
      <c r="N433" t="n">
        <v>0</v>
      </c>
      <c r="O433" t="n">
        <v>0</v>
      </c>
      <c r="P433" t="n">
        <v>0</v>
      </c>
      <c r="Q433" t="n">
        <v>0</v>
      </c>
      <c r="R433" s="2" t="inlineStr"/>
    </row>
    <row r="434" ht="15" customHeight="1">
      <c r="A434" t="inlineStr">
        <is>
          <t>A 16852-2024</t>
        </is>
      </c>
      <c r="B434" s="1" t="n">
        <v>45411.54768518519</v>
      </c>
      <c r="C434" s="1" t="n">
        <v>46113</v>
      </c>
      <c r="D434" t="inlineStr">
        <is>
          <t>STOCKHOLMS LÄN</t>
        </is>
      </c>
      <c r="E434" t="inlineStr">
        <is>
          <t>NORRTÄLJE</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4326-2023</t>
        </is>
      </c>
      <c r="B435" s="1" t="n">
        <v>44953.70481481482</v>
      </c>
      <c r="C435" s="1" t="n">
        <v>46113</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16913-2025</t>
        </is>
      </c>
      <c r="B436" s="1" t="n">
        <v>45755.36583333334</v>
      </c>
      <c r="C436" s="1" t="n">
        <v>46113</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51978-2023</t>
        </is>
      </c>
      <c r="B437" s="1" t="n">
        <v>45223</v>
      </c>
      <c r="C437" s="1" t="n">
        <v>46113</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33385-2024</t>
        </is>
      </c>
      <c r="B438" s="1" t="n">
        <v>45519</v>
      </c>
      <c r="C438" s="1" t="n">
        <v>46113</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29714-2023</t>
        </is>
      </c>
      <c r="B439" s="1" t="n">
        <v>45107.42538194444</v>
      </c>
      <c r="C439" s="1" t="n">
        <v>46113</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30508-2023</t>
        </is>
      </c>
      <c r="B440" s="1" t="n">
        <v>45111</v>
      </c>
      <c r="C440" s="1" t="n">
        <v>46113</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55755-2023</t>
        </is>
      </c>
      <c r="B441" s="1" t="n">
        <v>45239</v>
      </c>
      <c r="C441" s="1" t="n">
        <v>46113</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45549-2022</t>
        </is>
      </c>
      <c r="B442" s="1" t="n">
        <v>44845.48064814815</v>
      </c>
      <c r="C442" s="1" t="n">
        <v>46113</v>
      </c>
      <c r="D442" t="inlineStr">
        <is>
          <t>STOCKHOLMS LÄN</t>
        </is>
      </c>
      <c r="E442" t="inlineStr">
        <is>
          <t>NORRTÄLJE</t>
        </is>
      </c>
      <c r="G442" t="n">
        <v>0.8</v>
      </c>
      <c r="H442" t="n">
        <v>0</v>
      </c>
      <c r="I442" t="n">
        <v>0</v>
      </c>
      <c r="J442" t="n">
        <v>0</v>
      </c>
      <c r="K442" t="n">
        <v>0</v>
      </c>
      <c r="L442" t="n">
        <v>0</v>
      </c>
      <c r="M442" t="n">
        <v>0</v>
      </c>
      <c r="N442" t="n">
        <v>0</v>
      </c>
      <c r="O442" t="n">
        <v>0</v>
      </c>
      <c r="P442" t="n">
        <v>0</v>
      </c>
      <c r="Q442" t="n">
        <v>0</v>
      </c>
      <c r="R442" s="2" t="inlineStr"/>
    </row>
    <row r="443" ht="15" customHeight="1">
      <c r="A443" t="inlineStr">
        <is>
          <t>A 30699-2025</t>
        </is>
      </c>
      <c r="B443" s="1" t="n">
        <v>45831.54618055555</v>
      </c>
      <c r="C443" s="1" t="n">
        <v>46113</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40761-2024</t>
        </is>
      </c>
      <c r="B444" s="1" t="n">
        <v>45558.46283564815</v>
      </c>
      <c r="C444" s="1" t="n">
        <v>46113</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23692-2024</t>
        </is>
      </c>
      <c r="B445" s="1" t="n">
        <v>45454.65774305556</v>
      </c>
      <c r="C445" s="1" t="n">
        <v>46113</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42856-2025</t>
        </is>
      </c>
      <c r="B446" s="1" t="n">
        <v>45908</v>
      </c>
      <c r="C446" s="1" t="n">
        <v>46113</v>
      </c>
      <c r="D446" t="inlineStr">
        <is>
          <t>STOCKHOLMS LÄN</t>
        </is>
      </c>
      <c r="E446" t="inlineStr">
        <is>
          <t>NORRTÄLJE</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20011-2025</t>
        </is>
      </c>
      <c r="B447" s="1" t="n">
        <v>45772.29622685185</v>
      </c>
      <c r="C447" s="1" t="n">
        <v>46113</v>
      </c>
      <c r="D447" t="inlineStr">
        <is>
          <t>STOCKHOLMS LÄN</t>
        </is>
      </c>
      <c r="E447" t="inlineStr">
        <is>
          <t>NORRTÄLJE</t>
        </is>
      </c>
      <c r="G447" t="n">
        <v>3.5</v>
      </c>
      <c r="H447" t="n">
        <v>0</v>
      </c>
      <c r="I447" t="n">
        <v>0</v>
      </c>
      <c r="J447" t="n">
        <v>0</v>
      </c>
      <c r="K447" t="n">
        <v>0</v>
      </c>
      <c r="L447" t="n">
        <v>0</v>
      </c>
      <c r="M447" t="n">
        <v>0</v>
      </c>
      <c r="N447" t="n">
        <v>0</v>
      </c>
      <c r="O447" t="n">
        <v>0</v>
      </c>
      <c r="P447" t="n">
        <v>0</v>
      </c>
      <c r="Q447" t="n">
        <v>0</v>
      </c>
      <c r="R447" s="2" t="inlineStr"/>
    </row>
    <row r="448" ht="15" customHeight="1">
      <c r="A448" t="inlineStr">
        <is>
          <t>A 8296-2023</t>
        </is>
      </c>
      <c r="B448" s="1" t="n">
        <v>44974</v>
      </c>
      <c r="C448" s="1" t="n">
        <v>46113</v>
      </c>
      <c r="D448" t="inlineStr">
        <is>
          <t>STOCKHOLMS LÄN</t>
        </is>
      </c>
      <c r="E448" t="inlineStr">
        <is>
          <t>NORRTÄLJE</t>
        </is>
      </c>
      <c r="G448" t="n">
        <v>3.8</v>
      </c>
      <c r="H448" t="n">
        <v>0</v>
      </c>
      <c r="I448" t="n">
        <v>0</v>
      </c>
      <c r="J448" t="n">
        <v>0</v>
      </c>
      <c r="K448" t="n">
        <v>0</v>
      </c>
      <c r="L448" t="n">
        <v>0</v>
      </c>
      <c r="M448" t="n">
        <v>0</v>
      </c>
      <c r="N448" t="n">
        <v>0</v>
      </c>
      <c r="O448" t="n">
        <v>0</v>
      </c>
      <c r="P448" t="n">
        <v>0</v>
      </c>
      <c r="Q448" t="n">
        <v>0</v>
      </c>
      <c r="R448" s="2" t="inlineStr"/>
    </row>
    <row r="449" ht="15" customHeight="1">
      <c r="A449" t="inlineStr">
        <is>
          <t>A 37550-2022</t>
        </is>
      </c>
      <c r="B449" s="1" t="n">
        <v>44809</v>
      </c>
      <c r="C449" s="1" t="n">
        <v>46113</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47431-2023</t>
        </is>
      </c>
      <c r="B450" s="1" t="n">
        <v>45202</v>
      </c>
      <c r="C450" s="1" t="n">
        <v>46113</v>
      </c>
      <c r="D450" t="inlineStr">
        <is>
          <t>STOCKHOLMS LÄN</t>
        </is>
      </c>
      <c r="E450" t="inlineStr">
        <is>
          <t>NORRTÄLJE</t>
        </is>
      </c>
      <c r="F450" t="inlineStr">
        <is>
          <t>Naturvårdsverket</t>
        </is>
      </c>
      <c r="G450" t="n">
        <v>1.2</v>
      </c>
      <c r="H450" t="n">
        <v>0</v>
      </c>
      <c r="I450" t="n">
        <v>0</v>
      </c>
      <c r="J450" t="n">
        <v>0</v>
      </c>
      <c r="K450" t="n">
        <v>0</v>
      </c>
      <c r="L450" t="n">
        <v>0</v>
      </c>
      <c r="M450" t="n">
        <v>0</v>
      </c>
      <c r="N450" t="n">
        <v>0</v>
      </c>
      <c r="O450" t="n">
        <v>0</v>
      </c>
      <c r="P450" t="n">
        <v>0</v>
      </c>
      <c r="Q450" t="n">
        <v>0</v>
      </c>
      <c r="R450" s="2" t="inlineStr"/>
    </row>
    <row r="451" ht="15" customHeight="1">
      <c r="A451" t="inlineStr">
        <is>
          <t>A 23262-2023</t>
        </is>
      </c>
      <c r="B451" s="1" t="n">
        <v>45075.90270833333</v>
      </c>
      <c r="C451" s="1" t="n">
        <v>46113</v>
      </c>
      <c r="D451" t="inlineStr">
        <is>
          <t>STOCKHOLMS LÄN</t>
        </is>
      </c>
      <c r="E451" t="inlineStr">
        <is>
          <t>NORRTÄLJE</t>
        </is>
      </c>
      <c r="F451" t="inlineStr">
        <is>
          <t>Kommuner</t>
        </is>
      </c>
      <c r="G451" t="n">
        <v>1.9</v>
      </c>
      <c r="H451" t="n">
        <v>0</v>
      </c>
      <c r="I451" t="n">
        <v>0</v>
      </c>
      <c r="J451" t="n">
        <v>0</v>
      </c>
      <c r="K451" t="n">
        <v>0</v>
      </c>
      <c r="L451" t="n">
        <v>0</v>
      </c>
      <c r="M451" t="n">
        <v>0</v>
      </c>
      <c r="N451" t="n">
        <v>0</v>
      </c>
      <c r="O451" t="n">
        <v>0</v>
      </c>
      <c r="P451" t="n">
        <v>0</v>
      </c>
      <c r="Q451" t="n">
        <v>0</v>
      </c>
      <c r="R451" s="2" t="inlineStr"/>
    </row>
    <row r="452" ht="15" customHeight="1">
      <c r="A452" t="inlineStr">
        <is>
          <t>A 23268-2023</t>
        </is>
      </c>
      <c r="B452" s="1" t="n">
        <v>45075.91042824074</v>
      </c>
      <c r="C452" s="1" t="n">
        <v>46113</v>
      </c>
      <c r="D452" t="inlineStr">
        <is>
          <t>STOCKHOLMS LÄN</t>
        </is>
      </c>
      <c r="E452" t="inlineStr">
        <is>
          <t>NORRTÄLJE</t>
        </is>
      </c>
      <c r="G452" t="n">
        <v>3.3</v>
      </c>
      <c r="H452" t="n">
        <v>0</v>
      </c>
      <c r="I452" t="n">
        <v>0</v>
      </c>
      <c r="J452" t="n">
        <v>0</v>
      </c>
      <c r="K452" t="n">
        <v>0</v>
      </c>
      <c r="L452" t="n">
        <v>0</v>
      </c>
      <c r="M452" t="n">
        <v>0</v>
      </c>
      <c r="N452" t="n">
        <v>0</v>
      </c>
      <c r="O452" t="n">
        <v>0</v>
      </c>
      <c r="P452" t="n">
        <v>0</v>
      </c>
      <c r="Q452" t="n">
        <v>0</v>
      </c>
      <c r="R452" s="2" t="inlineStr"/>
    </row>
    <row r="453" ht="15" customHeight="1">
      <c r="A453" t="inlineStr">
        <is>
          <t>A 23270-2023</t>
        </is>
      </c>
      <c r="B453" s="1" t="n">
        <v>45075.91265046296</v>
      </c>
      <c r="C453" s="1" t="n">
        <v>46113</v>
      </c>
      <c r="D453" t="inlineStr">
        <is>
          <t>STOCKHOLMS LÄN</t>
        </is>
      </c>
      <c r="E453" t="inlineStr">
        <is>
          <t>NORRTÄLJE</t>
        </is>
      </c>
      <c r="G453" t="n">
        <v>12.3</v>
      </c>
      <c r="H453" t="n">
        <v>0</v>
      </c>
      <c r="I453" t="n">
        <v>0</v>
      </c>
      <c r="J453" t="n">
        <v>0</v>
      </c>
      <c r="K453" t="n">
        <v>0</v>
      </c>
      <c r="L453" t="n">
        <v>0</v>
      </c>
      <c r="M453" t="n">
        <v>0</v>
      </c>
      <c r="N453" t="n">
        <v>0</v>
      </c>
      <c r="O453" t="n">
        <v>0</v>
      </c>
      <c r="P453" t="n">
        <v>0</v>
      </c>
      <c r="Q453" t="n">
        <v>0</v>
      </c>
      <c r="R453" s="2" t="inlineStr"/>
    </row>
    <row r="454" ht="15" customHeight="1">
      <c r="A454" t="inlineStr">
        <is>
          <t>A 23274-2023</t>
        </is>
      </c>
      <c r="B454" s="1" t="n">
        <v>45075.92153935185</v>
      </c>
      <c r="C454" s="1" t="n">
        <v>46113</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31236-2022</t>
        </is>
      </c>
      <c r="B455" s="1" t="n">
        <v>44771</v>
      </c>
      <c r="C455" s="1" t="n">
        <v>46113</v>
      </c>
      <c r="D455" t="inlineStr">
        <is>
          <t>STOCKHOLMS LÄN</t>
        </is>
      </c>
      <c r="E455" t="inlineStr">
        <is>
          <t>NORRTÄLJE</t>
        </is>
      </c>
      <c r="G455" t="n">
        <v>1.7</v>
      </c>
      <c r="H455" t="n">
        <v>0</v>
      </c>
      <c r="I455" t="n">
        <v>0</v>
      </c>
      <c r="J455" t="n">
        <v>0</v>
      </c>
      <c r="K455" t="n">
        <v>0</v>
      </c>
      <c r="L455" t="n">
        <v>0</v>
      </c>
      <c r="M455" t="n">
        <v>0</v>
      </c>
      <c r="N455" t="n">
        <v>0</v>
      </c>
      <c r="O455" t="n">
        <v>0</v>
      </c>
      <c r="P455" t="n">
        <v>0</v>
      </c>
      <c r="Q455" t="n">
        <v>0</v>
      </c>
      <c r="R455" s="2" t="inlineStr"/>
    </row>
    <row r="456" ht="15" customHeight="1">
      <c r="A456" t="inlineStr">
        <is>
          <t>A 5732-2023</t>
        </is>
      </c>
      <c r="B456" s="1" t="n">
        <v>44962</v>
      </c>
      <c r="C456" s="1" t="n">
        <v>46113</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25609-2023</t>
        </is>
      </c>
      <c r="B457" s="1" t="n">
        <v>45089</v>
      </c>
      <c r="C457" s="1" t="n">
        <v>46113</v>
      </c>
      <c r="D457" t="inlineStr">
        <is>
          <t>STOCKHOLMS LÄN</t>
        </is>
      </c>
      <c r="E457" t="inlineStr">
        <is>
          <t>NORRTÄLJE</t>
        </is>
      </c>
      <c r="G457" t="n">
        <v>2.5</v>
      </c>
      <c r="H457" t="n">
        <v>0</v>
      </c>
      <c r="I457" t="n">
        <v>0</v>
      </c>
      <c r="J457" t="n">
        <v>0</v>
      </c>
      <c r="K457" t="n">
        <v>0</v>
      </c>
      <c r="L457" t="n">
        <v>0</v>
      </c>
      <c r="M457" t="n">
        <v>0</v>
      </c>
      <c r="N457" t="n">
        <v>0</v>
      </c>
      <c r="O457" t="n">
        <v>0</v>
      </c>
      <c r="P457" t="n">
        <v>0</v>
      </c>
      <c r="Q457" t="n">
        <v>0</v>
      </c>
      <c r="R457" s="2" t="inlineStr"/>
    </row>
    <row r="458" ht="15" customHeight="1">
      <c r="A458" t="inlineStr">
        <is>
          <t>A 33569-2023</t>
        </is>
      </c>
      <c r="B458" s="1" t="n">
        <v>45131.666875</v>
      </c>
      <c r="C458" s="1" t="n">
        <v>46113</v>
      </c>
      <c r="D458" t="inlineStr">
        <is>
          <t>STOCKHOLMS LÄN</t>
        </is>
      </c>
      <c r="E458" t="inlineStr">
        <is>
          <t>NORRTÄLJE</t>
        </is>
      </c>
      <c r="G458" t="n">
        <v>2.3</v>
      </c>
      <c r="H458" t="n">
        <v>0</v>
      </c>
      <c r="I458" t="n">
        <v>0</v>
      </c>
      <c r="J458" t="n">
        <v>0</v>
      </c>
      <c r="K458" t="n">
        <v>0</v>
      </c>
      <c r="L458" t="n">
        <v>0</v>
      </c>
      <c r="M458" t="n">
        <v>0</v>
      </c>
      <c r="N458" t="n">
        <v>0</v>
      </c>
      <c r="O458" t="n">
        <v>0</v>
      </c>
      <c r="P458" t="n">
        <v>0</v>
      </c>
      <c r="Q458" t="n">
        <v>0</v>
      </c>
      <c r="R458" s="2" t="inlineStr"/>
    </row>
    <row r="459" ht="15" customHeight="1">
      <c r="A459" t="inlineStr">
        <is>
          <t>A 50569-2022</t>
        </is>
      </c>
      <c r="B459" s="1" t="n">
        <v>44866.63775462963</v>
      </c>
      <c r="C459" s="1" t="n">
        <v>46113</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24835-2025</t>
        </is>
      </c>
      <c r="B460" s="1" t="n">
        <v>45799</v>
      </c>
      <c r="C460" s="1" t="n">
        <v>46113</v>
      </c>
      <c r="D460" t="inlineStr">
        <is>
          <t>STOCKHOLMS LÄN</t>
        </is>
      </c>
      <c r="E460" t="inlineStr">
        <is>
          <t>NORRTÄLJE</t>
        </is>
      </c>
      <c r="G460" t="n">
        <v>2.5</v>
      </c>
      <c r="H460" t="n">
        <v>0</v>
      </c>
      <c r="I460" t="n">
        <v>0</v>
      </c>
      <c r="J460" t="n">
        <v>0</v>
      </c>
      <c r="K460" t="n">
        <v>0</v>
      </c>
      <c r="L460" t="n">
        <v>0</v>
      </c>
      <c r="M460" t="n">
        <v>0</v>
      </c>
      <c r="N460" t="n">
        <v>0</v>
      </c>
      <c r="O460" t="n">
        <v>0</v>
      </c>
      <c r="P460" t="n">
        <v>0</v>
      </c>
      <c r="Q460" t="n">
        <v>0</v>
      </c>
      <c r="R460" s="2" t="inlineStr"/>
    </row>
    <row r="461" ht="15" customHeight="1">
      <c r="A461" t="inlineStr">
        <is>
          <t>A 52593-2024</t>
        </is>
      </c>
      <c r="B461" s="1" t="n">
        <v>45609.70778935185</v>
      </c>
      <c r="C461" s="1" t="n">
        <v>46113</v>
      </c>
      <c r="D461" t="inlineStr">
        <is>
          <t>STOCKHOLMS LÄN</t>
        </is>
      </c>
      <c r="E461" t="inlineStr">
        <is>
          <t>NORRTÄLJE</t>
        </is>
      </c>
      <c r="F461" t="inlineStr">
        <is>
          <t>Holmen skog AB</t>
        </is>
      </c>
      <c r="G461" t="n">
        <v>2.4</v>
      </c>
      <c r="H461" t="n">
        <v>0</v>
      </c>
      <c r="I461" t="n">
        <v>0</v>
      </c>
      <c r="J461" t="n">
        <v>0</v>
      </c>
      <c r="K461" t="n">
        <v>0</v>
      </c>
      <c r="L461" t="n">
        <v>0</v>
      </c>
      <c r="M461" t="n">
        <v>0</v>
      </c>
      <c r="N461" t="n">
        <v>0</v>
      </c>
      <c r="O461" t="n">
        <v>0</v>
      </c>
      <c r="P461" t="n">
        <v>0</v>
      </c>
      <c r="Q461" t="n">
        <v>0</v>
      </c>
      <c r="R461" s="2" t="inlineStr"/>
    </row>
    <row r="462" ht="15" customHeight="1">
      <c r="A462" t="inlineStr">
        <is>
          <t>A 52617-2024</t>
        </is>
      </c>
      <c r="B462" s="1" t="n">
        <v>45609.85146990741</v>
      </c>
      <c r="C462" s="1" t="n">
        <v>46113</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27824-2022</t>
        </is>
      </c>
      <c r="B463" s="1" t="n">
        <v>44743.59331018518</v>
      </c>
      <c r="C463" s="1" t="n">
        <v>46113</v>
      </c>
      <c r="D463" t="inlineStr">
        <is>
          <t>STOCKHOLMS LÄN</t>
        </is>
      </c>
      <c r="E463" t="inlineStr">
        <is>
          <t>NORRTÄLJE</t>
        </is>
      </c>
      <c r="F463" t="inlineStr">
        <is>
          <t>Kommuner</t>
        </is>
      </c>
      <c r="G463" t="n">
        <v>3.1</v>
      </c>
      <c r="H463" t="n">
        <v>0</v>
      </c>
      <c r="I463" t="n">
        <v>0</v>
      </c>
      <c r="J463" t="n">
        <v>0</v>
      </c>
      <c r="K463" t="n">
        <v>0</v>
      </c>
      <c r="L463" t="n">
        <v>0</v>
      </c>
      <c r="M463" t="n">
        <v>0</v>
      </c>
      <c r="N463" t="n">
        <v>0</v>
      </c>
      <c r="O463" t="n">
        <v>0</v>
      </c>
      <c r="P463" t="n">
        <v>0</v>
      </c>
      <c r="Q463" t="n">
        <v>0</v>
      </c>
      <c r="R463" s="2" t="inlineStr"/>
    </row>
    <row r="464" ht="15" customHeight="1">
      <c r="A464" t="inlineStr">
        <is>
          <t>A 43169-2025</t>
        </is>
      </c>
      <c r="B464" s="1" t="n">
        <v>45910</v>
      </c>
      <c r="C464" s="1" t="n">
        <v>46113</v>
      </c>
      <c r="D464" t="inlineStr">
        <is>
          <t>STOCKHOLMS LÄN</t>
        </is>
      </c>
      <c r="E464" t="inlineStr">
        <is>
          <t>NORRTÄLJE</t>
        </is>
      </c>
      <c r="G464" t="n">
        <v>6.9</v>
      </c>
      <c r="H464" t="n">
        <v>0</v>
      </c>
      <c r="I464" t="n">
        <v>0</v>
      </c>
      <c r="J464" t="n">
        <v>0</v>
      </c>
      <c r="K464" t="n">
        <v>0</v>
      </c>
      <c r="L464" t="n">
        <v>0</v>
      </c>
      <c r="M464" t="n">
        <v>0</v>
      </c>
      <c r="N464" t="n">
        <v>0</v>
      </c>
      <c r="O464" t="n">
        <v>0</v>
      </c>
      <c r="P464" t="n">
        <v>0</v>
      </c>
      <c r="Q464" t="n">
        <v>0</v>
      </c>
      <c r="R464" s="2" t="inlineStr"/>
    </row>
    <row r="465" ht="15" customHeight="1">
      <c r="A465" t="inlineStr">
        <is>
          <t>A 43269-2025</t>
        </is>
      </c>
      <c r="B465" s="1" t="n">
        <v>45910.5819212963</v>
      </c>
      <c r="C465" s="1" t="n">
        <v>46113</v>
      </c>
      <c r="D465" t="inlineStr">
        <is>
          <t>STOCKHOLMS LÄN</t>
        </is>
      </c>
      <c r="E465" t="inlineStr">
        <is>
          <t>NORRTÄLJE</t>
        </is>
      </c>
      <c r="G465" t="n">
        <v>3.7</v>
      </c>
      <c r="H465" t="n">
        <v>0</v>
      </c>
      <c r="I465" t="n">
        <v>0</v>
      </c>
      <c r="J465" t="n">
        <v>0</v>
      </c>
      <c r="K465" t="n">
        <v>0</v>
      </c>
      <c r="L465" t="n">
        <v>0</v>
      </c>
      <c r="M465" t="n">
        <v>0</v>
      </c>
      <c r="N465" t="n">
        <v>0</v>
      </c>
      <c r="O465" t="n">
        <v>0</v>
      </c>
      <c r="P465" t="n">
        <v>0</v>
      </c>
      <c r="Q465" t="n">
        <v>0</v>
      </c>
      <c r="R465" s="2" t="inlineStr"/>
    </row>
    <row r="466" ht="15" customHeight="1">
      <c r="A466" t="inlineStr">
        <is>
          <t>A 22833-2024</t>
        </is>
      </c>
      <c r="B466" s="1" t="n">
        <v>45448.56746527777</v>
      </c>
      <c r="C466" s="1" t="n">
        <v>46113</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47521-2024</t>
        </is>
      </c>
      <c r="B467" s="1" t="n">
        <v>45587.62565972222</v>
      </c>
      <c r="C467" s="1" t="n">
        <v>46113</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60224-2023</t>
        </is>
      </c>
      <c r="B468" s="1" t="n">
        <v>45257</v>
      </c>
      <c r="C468" s="1" t="n">
        <v>46113</v>
      </c>
      <c r="D468" t="inlineStr">
        <is>
          <t>STOCKHOLMS LÄN</t>
        </is>
      </c>
      <c r="E468" t="inlineStr">
        <is>
          <t>NORRTÄLJE</t>
        </is>
      </c>
      <c r="G468" t="n">
        <v>8.1</v>
      </c>
      <c r="H468" t="n">
        <v>0</v>
      </c>
      <c r="I468" t="n">
        <v>0</v>
      </c>
      <c r="J468" t="n">
        <v>0</v>
      </c>
      <c r="K468" t="n">
        <v>0</v>
      </c>
      <c r="L468" t="n">
        <v>0</v>
      </c>
      <c r="M468" t="n">
        <v>0</v>
      </c>
      <c r="N468" t="n">
        <v>0</v>
      </c>
      <c r="O468" t="n">
        <v>0</v>
      </c>
      <c r="P468" t="n">
        <v>0</v>
      </c>
      <c r="Q468" t="n">
        <v>0</v>
      </c>
      <c r="R468" s="2" t="inlineStr"/>
    </row>
    <row r="469" ht="15" customHeight="1">
      <c r="A469" t="inlineStr">
        <is>
          <t>A 17785-2024</t>
        </is>
      </c>
      <c r="B469" s="1" t="n">
        <v>45418.6968287037</v>
      </c>
      <c r="C469" s="1" t="n">
        <v>46113</v>
      </c>
      <c r="D469" t="inlineStr">
        <is>
          <t>STOCKHOLMS LÄN</t>
        </is>
      </c>
      <c r="E469" t="inlineStr">
        <is>
          <t>NORRTÄLJE</t>
        </is>
      </c>
      <c r="G469" t="n">
        <v>1</v>
      </c>
      <c r="H469" t="n">
        <v>0</v>
      </c>
      <c r="I469" t="n">
        <v>0</v>
      </c>
      <c r="J469" t="n">
        <v>0</v>
      </c>
      <c r="K469" t="n">
        <v>0</v>
      </c>
      <c r="L469" t="n">
        <v>0</v>
      </c>
      <c r="M469" t="n">
        <v>0</v>
      </c>
      <c r="N469" t="n">
        <v>0</v>
      </c>
      <c r="O469" t="n">
        <v>0</v>
      </c>
      <c r="P469" t="n">
        <v>0</v>
      </c>
      <c r="Q469" t="n">
        <v>0</v>
      </c>
      <c r="R469" s="2" t="inlineStr"/>
    </row>
    <row r="470" ht="15" customHeight="1">
      <c r="A470" t="inlineStr">
        <is>
          <t>A 29684-2021</t>
        </is>
      </c>
      <c r="B470" s="1" t="n">
        <v>44362.37172453704</v>
      </c>
      <c r="C470" s="1" t="n">
        <v>46113</v>
      </c>
      <c r="D470" t="inlineStr">
        <is>
          <t>STOCKHOLMS LÄN</t>
        </is>
      </c>
      <c r="E470" t="inlineStr">
        <is>
          <t>NORRTÄLJE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50534-2024</t>
        </is>
      </c>
      <c r="B471" s="1" t="n">
        <v>45601.56726851852</v>
      </c>
      <c r="C471" s="1" t="n">
        <v>46113</v>
      </c>
      <c r="D471" t="inlineStr">
        <is>
          <t>STOCKHOLMS LÄN</t>
        </is>
      </c>
      <c r="E471" t="inlineStr">
        <is>
          <t>NORRTÄLJE</t>
        </is>
      </c>
      <c r="G471" t="n">
        <v>2.6</v>
      </c>
      <c r="H471" t="n">
        <v>0</v>
      </c>
      <c r="I471" t="n">
        <v>0</v>
      </c>
      <c r="J471" t="n">
        <v>0</v>
      </c>
      <c r="K471" t="n">
        <v>0</v>
      </c>
      <c r="L471" t="n">
        <v>0</v>
      </c>
      <c r="M471" t="n">
        <v>0</v>
      </c>
      <c r="N471" t="n">
        <v>0</v>
      </c>
      <c r="O471" t="n">
        <v>0</v>
      </c>
      <c r="P471" t="n">
        <v>0</v>
      </c>
      <c r="Q471" t="n">
        <v>0</v>
      </c>
      <c r="R471" s="2" t="inlineStr"/>
    </row>
    <row r="472" ht="15" customHeight="1">
      <c r="A472" t="inlineStr">
        <is>
          <t>A 30719-2025</t>
        </is>
      </c>
      <c r="B472" s="1" t="n">
        <v>45831</v>
      </c>
      <c r="C472" s="1" t="n">
        <v>46113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42094-2023</t>
        </is>
      </c>
      <c r="B473" s="1" t="n">
        <v>45177.61498842593</v>
      </c>
      <c r="C473" s="1" t="n">
        <v>46113</v>
      </c>
      <c r="D473" t="inlineStr">
        <is>
          <t>STOCKHOLMS LÄN</t>
        </is>
      </c>
      <c r="E473" t="inlineStr">
        <is>
          <t>NORRTÄLJE</t>
        </is>
      </c>
      <c r="G473" t="n">
        <v>0.3</v>
      </c>
      <c r="H473" t="n">
        <v>0</v>
      </c>
      <c r="I473" t="n">
        <v>0</v>
      </c>
      <c r="J473" t="n">
        <v>0</v>
      </c>
      <c r="K473" t="n">
        <v>0</v>
      </c>
      <c r="L473" t="n">
        <v>0</v>
      </c>
      <c r="M473" t="n">
        <v>0</v>
      </c>
      <c r="N473" t="n">
        <v>0</v>
      </c>
      <c r="O473" t="n">
        <v>0</v>
      </c>
      <c r="P473" t="n">
        <v>0</v>
      </c>
      <c r="Q473" t="n">
        <v>0</v>
      </c>
      <c r="R473" s="2" t="inlineStr"/>
    </row>
    <row r="474" ht="15" customHeight="1">
      <c r="A474" t="inlineStr">
        <is>
          <t>A 21386-2023</t>
        </is>
      </c>
      <c r="B474" s="1" t="n">
        <v>45063.35880787037</v>
      </c>
      <c r="C474" s="1" t="n">
        <v>46113</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58530-2024</t>
        </is>
      </c>
      <c r="B475" s="1" t="n">
        <v>45635.44788194444</v>
      </c>
      <c r="C475" s="1" t="n">
        <v>46113</v>
      </c>
      <c r="D475" t="inlineStr">
        <is>
          <t>STOCKHOLMS LÄN</t>
        </is>
      </c>
      <c r="E475" t="inlineStr">
        <is>
          <t>NORRTÄLJE</t>
        </is>
      </c>
      <c r="G475" t="n">
        <v>4.5</v>
      </c>
      <c r="H475" t="n">
        <v>0</v>
      </c>
      <c r="I475" t="n">
        <v>0</v>
      </c>
      <c r="J475" t="n">
        <v>0</v>
      </c>
      <c r="K475" t="n">
        <v>0</v>
      </c>
      <c r="L475" t="n">
        <v>0</v>
      </c>
      <c r="M475" t="n">
        <v>0</v>
      </c>
      <c r="N475" t="n">
        <v>0</v>
      </c>
      <c r="O475" t="n">
        <v>0</v>
      </c>
      <c r="P475" t="n">
        <v>0</v>
      </c>
      <c r="Q475" t="n">
        <v>0</v>
      </c>
      <c r="R475" s="2" t="inlineStr"/>
    </row>
    <row r="476" ht="15" customHeight="1">
      <c r="A476" t="inlineStr">
        <is>
          <t>A 4593-2023</t>
        </is>
      </c>
      <c r="B476" s="1" t="n">
        <v>44956</v>
      </c>
      <c r="C476" s="1" t="n">
        <v>46113</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30620-2022</t>
        </is>
      </c>
      <c r="B477" s="1" t="n">
        <v>44763.40914351852</v>
      </c>
      <c r="C477" s="1" t="n">
        <v>46113</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54396-2021</t>
        </is>
      </c>
      <c r="B478" s="1" t="n">
        <v>44472</v>
      </c>
      <c r="C478" s="1" t="n">
        <v>46113</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57602-2024</t>
        </is>
      </c>
      <c r="B479" s="1" t="n">
        <v>45630.52866898148</v>
      </c>
      <c r="C479" s="1" t="n">
        <v>46113</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32071-2023</t>
        </is>
      </c>
      <c r="B480" s="1" t="n">
        <v>45119.57728009259</v>
      </c>
      <c r="C480" s="1" t="n">
        <v>46113</v>
      </c>
      <c r="D480" t="inlineStr">
        <is>
          <t>STOCKHOLMS LÄN</t>
        </is>
      </c>
      <c r="E480" t="inlineStr">
        <is>
          <t>NORRTÄLJE</t>
        </is>
      </c>
      <c r="G480" t="n">
        <v>6.5</v>
      </c>
      <c r="H480" t="n">
        <v>0</v>
      </c>
      <c r="I480" t="n">
        <v>0</v>
      </c>
      <c r="J480" t="n">
        <v>0</v>
      </c>
      <c r="K480" t="n">
        <v>0</v>
      </c>
      <c r="L480" t="n">
        <v>0</v>
      </c>
      <c r="M480" t="n">
        <v>0</v>
      </c>
      <c r="N480" t="n">
        <v>0</v>
      </c>
      <c r="O480" t="n">
        <v>0</v>
      </c>
      <c r="P480" t="n">
        <v>0</v>
      </c>
      <c r="Q480" t="n">
        <v>0</v>
      </c>
      <c r="R480" s="2" t="inlineStr"/>
    </row>
    <row r="481" ht="15" customHeight="1">
      <c r="A481" t="inlineStr">
        <is>
          <t>A 11854-2025</t>
        </is>
      </c>
      <c r="B481" s="1" t="n">
        <v>45728.38924768518</v>
      </c>
      <c r="C481" s="1" t="n">
        <v>46113</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1283-2025</t>
        </is>
      </c>
      <c r="B482" s="1" t="n">
        <v>45667.49878472222</v>
      </c>
      <c r="C482" s="1" t="n">
        <v>46113</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44343-2025</t>
        </is>
      </c>
      <c r="B483" s="1" t="n">
        <v>45916.43378472222</v>
      </c>
      <c r="C483" s="1" t="n">
        <v>46113</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25681-2024</t>
        </is>
      </c>
      <c r="B484" s="1" t="n">
        <v>45463.80486111111</v>
      </c>
      <c r="C484" s="1" t="n">
        <v>46113</v>
      </c>
      <c r="D484" t="inlineStr">
        <is>
          <t>STOCKHOLMS LÄN</t>
        </is>
      </c>
      <c r="E484" t="inlineStr">
        <is>
          <t>NORRTÄLJE</t>
        </is>
      </c>
      <c r="G484" t="n">
        <v>2.7</v>
      </c>
      <c r="H484" t="n">
        <v>0</v>
      </c>
      <c r="I484" t="n">
        <v>0</v>
      </c>
      <c r="J484" t="n">
        <v>0</v>
      </c>
      <c r="K484" t="n">
        <v>0</v>
      </c>
      <c r="L484" t="n">
        <v>0</v>
      </c>
      <c r="M484" t="n">
        <v>0</v>
      </c>
      <c r="N484" t="n">
        <v>0</v>
      </c>
      <c r="O484" t="n">
        <v>0</v>
      </c>
      <c r="P484" t="n">
        <v>0</v>
      </c>
      <c r="Q484" t="n">
        <v>0</v>
      </c>
      <c r="R484" s="2" t="inlineStr"/>
    </row>
    <row r="485" ht="15" customHeight="1">
      <c r="A485" t="inlineStr">
        <is>
          <t>A 43916-2025</t>
        </is>
      </c>
      <c r="B485" s="1" t="n">
        <v>45914.78884259259</v>
      </c>
      <c r="C485" s="1" t="n">
        <v>46113</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44311-2025</t>
        </is>
      </c>
      <c r="B486" s="1" t="n">
        <v>45916.38394675926</v>
      </c>
      <c r="C486" s="1" t="n">
        <v>46113</v>
      </c>
      <c r="D486" t="inlineStr">
        <is>
          <t>STOCKHOLMS LÄN</t>
        </is>
      </c>
      <c r="E486" t="inlineStr">
        <is>
          <t>NORRTÄLJE</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60217-2021</t>
        </is>
      </c>
      <c r="B487" s="1" t="n">
        <v>44495.5893287037</v>
      </c>
      <c r="C487" s="1" t="n">
        <v>46113</v>
      </c>
      <c r="D487" t="inlineStr">
        <is>
          <t>STOCKHOLMS LÄN</t>
        </is>
      </c>
      <c r="E487" t="inlineStr">
        <is>
          <t>NORRTÄLJE</t>
        </is>
      </c>
      <c r="G487" t="n">
        <v>4.3</v>
      </c>
      <c r="H487" t="n">
        <v>0</v>
      </c>
      <c r="I487" t="n">
        <v>0</v>
      </c>
      <c r="J487" t="n">
        <v>0</v>
      </c>
      <c r="K487" t="n">
        <v>0</v>
      </c>
      <c r="L487" t="n">
        <v>0</v>
      </c>
      <c r="M487" t="n">
        <v>0</v>
      </c>
      <c r="N487" t="n">
        <v>0</v>
      </c>
      <c r="O487" t="n">
        <v>0</v>
      </c>
      <c r="P487" t="n">
        <v>0</v>
      </c>
      <c r="Q487" t="n">
        <v>0</v>
      </c>
      <c r="R487" s="2" t="inlineStr"/>
    </row>
    <row r="488" ht="15" customHeight="1">
      <c r="A488" t="inlineStr">
        <is>
          <t>A 44349-2025</t>
        </is>
      </c>
      <c r="B488" s="1" t="n">
        <v>45916.43929398148</v>
      </c>
      <c r="C488" s="1" t="n">
        <v>46113</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24245-2024</t>
        </is>
      </c>
      <c r="B489" s="1" t="n">
        <v>45457</v>
      </c>
      <c r="C489" s="1" t="n">
        <v>46113</v>
      </c>
      <c r="D489" t="inlineStr">
        <is>
          <t>STOCKHOLMS LÄN</t>
        </is>
      </c>
      <c r="E489" t="inlineStr">
        <is>
          <t>NORRTÄLJE</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28603-2024</t>
        </is>
      </c>
      <c r="B490" s="1" t="n">
        <v>45478.42887731481</v>
      </c>
      <c r="C490" s="1" t="n">
        <v>46113</v>
      </c>
      <c r="D490" t="inlineStr">
        <is>
          <t>STOCKHOLMS LÄN</t>
        </is>
      </c>
      <c r="E490" t="inlineStr">
        <is>
          <t>NORRTÄLJE</t>
        </is>
      </c>
      <c r="G490" t="n">
        <v>5.6</v>
      </c>
      <c r="H490" t="n">
        <v>0</v>
      </c>
      <c r="I490" t="n">
        <v>0</v>
      </c>
      <c r="J490" t="n">
        <v>0</v>
      </c>
      <c r="K490" t="n">
        <v>0</v>
      </c>
      <c r="L490" t="n">
        <v>0</v>
      </c>
      <c r="M490" t="n">
        <v>0</v>
      </c>
      <c r="N490" t="n">
        <v>0</v>
      </c>
      <c r="O490" t="n">
        <v>0</v>
      </c>
      <c r="P490" t="n">
        <v>0</v>
      </c>
      <c r="Q490" t="n">
        <v>0</v>
      </c>
      <c r="R490" s="2" t="inlineStr"/>
    </row>
    <row r="491" ht="15" customHeight="1">
      <c r="A491" t="inlineStr">
        <is>
          <t>A 26115-2024</t>
        </is>
      </c>
      <c r="B491" s="1" t="n">
        <v>45468.45628472222</v>
      </c>
      <c r="C491" s="1" t="n">
        <v>46113</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44354-2025</t>
        </is>
      </c>
      <c r="B492" s="1" t="n">
        <v>45916.44655092592</v>
      </c>
      <c r="C492" s="1" t="n">
        <v>46113</v>
      </c>
      <c r="D492" t="inlineStr">
        <is>
          <t>STOCKHOLMS LÄN</t>
        </is>
      </c>
      <c r="E492" t="inlineStr">
        <is>
          <t>NORRTÄLJE</t>
        </is>
      </c>
      <c r="G492" t="n">
        <v>2.3</v>
      </c>
      <c r="H492" t="n">
        <v>0</v>
      </c>
      <c r="I492" t="n">
        <v>0</v>
      </c>
      <c r="J492" t="n">
        <v>0</v>
      </c>
      <c r="K492" t="n">
        <v>0</v>
      </c>
      <c r="L492" t="n">
        <v>0</v>
      </c>
      <c r="M492" t="n">
        <v>0</v>
      </c>
      <c r="N492" t="n">
        <v>0</v>
      </c>
      <c r="O492" t="n">
        <v>0</v>
      </c>
      <c r="P492" t="n">
        <v>0</v>
      </c>
      <c r="Q492" t="n">
        <v>0</v>
      </c>
      <c r="R492" s="2" t="inlineStr"/>
    </row>
    <row r="493" ht="15" customHeight="1">
      <c r="A493" t="inlineStr">
        <is>
          <t>A 28900-2022</t>
        </is>
      </c>
      <c r="B493" s="1" t="n">
        <v>44749.55258101852</v>
      </c>
      <c r="C493" s="1" t="n">
        <v>46113</v>
      </c>
      <c r="D493" t="inlineStr">
        <is>
          <t>STOCKHOLMS LÄN</t>
        </is>
      </c>
      <c r="E493" t="inlineStr">
        <is>
          <t>NORRTÄLJE</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32514-2022</t>
        </is>
      </c>
      <c r="B494" s="1" t="n">
        <v>44782</v>
      </c>
      <c r="C494" s="1" t="n">
        <v>46113</v>
      </c>
      <c r="D494" t="inlineStr">
        <is>
          <t>STOCKHOLMS LÄN</t>
        </is>
      </c>
      <c r="E494" t="inlineStr">
        <is>
          <t>NORRTÄLJE</t>
        </is>
      </c>
      <c r="G494" t="n">
        <v>5.1</v>
      </c>
      <c r="H494" t="n">
        <v>0</v>
      </c>
      <c r="I494" t="n">
        <v>0</v>
      </c>
      <c r="J494" t="n">
        <v>0</v>
      </c>
      <c r="K494" t="n">
        <v>0</v>
      </c>
      <c r="L494" t="n">
        <v>0</v>
      </c>
      <c r="M494" t="n">
        <v>0</v>
      </c>
      <c r="N494" t="n">
        <v>0</v>
      </c>
      <c r="O494" t="n">
        <v>0</v>
      </c>
      <c r="P494" t="n">
        <v>0</v>
      </c>
      <c r="Q494" t="n">
        <v>0</v>
      </c>
      <c r="R494" s="2" t="inlineStr"/>
    </row>
    <row r="495" ht="15" customHeight="1">
      <c r="A495" t="inlineStr">
        <is>
          <t>A 44333-2025</t>
        </is>
      </c>
      <c r="B495" s="1" t="n">
        <v>45916.42293981482</v>
      </c>
      <c r="C495" s="1" t="n">
        <v>46113</v>
      </c>
      <c r="D495" t="inlineStr">
        <is>
          <t>STOCKHOLMS LÄN</t>
        </is>
      </c>
      <c r="E495" t="inlineStr">
        <is>
          <t>NORRTÄLJE</t>
        </is>
      </c>
      <c r="G495" t="n">
        <v>1.5</v>
      </c>
      <c r="H495" t="n">
        <v>0</v>
      </c>
      <c r="I495" t="n">
        <v>0</v>
      </c>
      <c r="J495" t="n">
        <v>0</v>
      </c>
      <c r="K495" t="n">
        <v>0</v>
      </c>
      <c r="L495" t="n">
        <v>0</v>
      </c>
      <c r="M495" t="n">
        <v>0</v>
      </c>
      <c r="N495" t="n">
        <v>0</v>
      </c>
      <c r="O495" t="n">
        <v>0</v>
      </c>
      <c r="P495" t="n">
        <v>0</v>
      </c>
      <c r="Q495" t="n">
        <v>0</v>
      </c>
      <c r="R495" s="2" t="inlineStr"/>
    </row>
    <row r="496" ht="15" customHeight="1">
      <c r="A496" t="inlineStr">
        <is>
          <t>A 54273-2021</t>
        </is>
      </c>
      <c r="B496" s="1" t="n">
        <v>44470.72987268519</v>
      </c>
      <c r="C496" s="1" t="n">
        <v>46113</v>
      </c>
      <c r="D496" t="inlineStr">
        <is>
          <t>STOCKHOLMS LÄN</t>
        </is>
      </c>
      <c r="E496" t="inlineStr">
        <is>
          <t>NORRTÄLJE</t>
        </is>
      </c>
      <c r="G496" t="n">
        <v>2.7</v>
      </c>
      <c r="H496" t="n">
        <v>0</v>
      </c>
      <c r="I496" t="n">
        <v>0</v>
      </c>
      <c r="J496" t="n">
        <v>0</v>
      </c>
      <c r="K496" t="n">
        <v>0</v>
      </c>
      <c r="L496" t="n">
        <v>0</v>
      </c>
      <c r="M496" t="n">
        <v>0</v>
      </c>
      <c r="N496" t="n">
        <v>0</v>
      </c>
      <c r="O496" t="n">
        <v>0</v>
      </c>
      <c r="P496" t="n">
        <v>0</v>
      </c>
      <c r="Q496" t="n">
        <v>0</v>
      </c>
      <c r="R496" s="2" t="inlineStr"/>
    </row>
    <row r="497" ht="15" customHeight="1">
      <c r="A497" t="inlineStr">
        <is>
          <t>A 43212-2022</t>
        </is>
      </c>
      <c r="B497" s="1" t="n">
        <v>44834.38636574074</v>
      </c>
      <c r="C497" s="1" t="n">
        <v>46113</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44306-2025</t>
        </is>
      </c>
      <c r="B498" s="1" t="n">
        <v>45916.37736111111</v>
      </c>
      <c r="C498" s="1" t="n">
        <v>46113</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23125-2022</t>
        </is>
      </c>
      <c r="B499" s="1" t="n">
        <v>44719</v>
      </c>
      <c r="C499" s="1" t="n">
        <v>46113</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9329-2023</t>
        </is>
      </c>
      <c r="B500" s="1" t="n">
        <v>44980</v>
      </c>
      <c r="C500" s="1" t="n">
        <v>46113</v>
      </c>
      <c r="D500" t="inlineStr">
        <is>
          <t>STOCKHOLMS LÄN</t>
        </is>
      </c>
      <c r="E500" t="inlineStr">
        <is>
          <t>NORRTÄLJE</t>
        </is>
      </c>
      <c r="G500" t="n">
        <v>1.3</v>
      </c>
      <c r="H500" t="n">
        <v>0</v>
      </c>
      <c r="I500" t="n">
        <v>0</v>
      </c>
      <c r="J500" t="n">
        <v>0</v>
      </c>
      <c r="K500" t="n">
        <v>0</v>
      </c>
      <c r="L500" t="n">
        <v>0</v>
      </c>
      <c r="M500" t="n">
        <v>0</v>
      </c>
      <c r="N500" t="n">
        <v>0</v>
      </c>
      <c r="O500" t="n">
        <v>0</v>
      </c>
      <c r="P500" t="n">
        <v>0</v>
      </c>
      <c r="Q500" t="n">
        <v>0</v>
      </c>
      <c r="R500" s="2" t="inlineStr"/>
    </row>
    <row r="501" ht="15" customHeight="1">
      <c r="A501" t="inlineStr">
        <is>
          <t>A 6855-2025</t>
        </is>
      </c>
      <c r="B501" s="1" t="n">
        <v>45700</v>
      </c>
      <c r="C501" s="1" t="n">
        <v>46113</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44937-2025</t>
        </is>
      </c>
      <c r="B502" s="1" t="n">
        <v>45918</v>
      </c>
      <c r="C502" s="1" t="n">
        <v>46113</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34295-2024</t>
        </is>
      </c>
      <c r="B503" s="1" t="n">
        <v>45524</v>
      </c>
      <c r="C503" s="1" t="n">
        <v>46113</v>
      </c>
      <c r="D503" t="inlineStr">
        <is>
          <t>STOCKHOLMS LÄN</t>
        </is>
      </c>
      <c r="E503" t="inlineStr">
        <is>
          <t>NORRTÄLJE</t>
        </is>
      </c>
      <c r="G503" t="n">
        <v>1.3</v>
      </c>
      <c r="H503" t="n">
        <v>0</v>
      </c>
      <c r="I503" t="n">
        <v>0</v>
      </c>
      <c r="J503" t="n">
        <v>0</v>
      </c>
      <c r="K503" t="n">
        <v>0</v>
      </c>
      <c r="L503" t="n">
        <v>0</v>
      </c>
      <c r="M503" t="n">
        <v>0</v>
      </c>
      <c r="N503" t="n">
        <v>0</v>
      </c>
      <c r="O503" t="n">
        <v>0</v>
      </c>
      <c r="P503" t="n">
        <v>0</v>
      </c>
      <c r="Q503" t="n">
        <v>0</v>
      </c>
      <c r="R503" s="2" t="inlineStr"/>
    </row>
    <row r="504" ht="15" customHeight="1">
      <c r="A504" t="inlineStr">
        <is>
          <t>A 14873-2025</t>
        </is>
      </c>
      <c r="B504" s="1" t="n">
        <v>45743.44953703704</v>
      </c>
      <c r="C504" s="1" t="n">
        <v>46113</v>
      </c>
      <c r="D504" t="inlineStr">
        <is>
          <t>STOCKHOLMS LÄN</t>
        </is>
      </c>
      <c r="E504" t="inlineStr">
        <is>
          <t>NORRTÄLJE</t>
        </is>
      </c>
      <c r="G504" t="n">
        <v>10.2</v>
      </c>
      <c r="H504" t="n">
        <v>0</v>
      </c>
      <c r="I504" t="n">
        <v>0</v>
      </c>
      <c r="J504" t="n">
        <v>0</v>
      </c>
      <c r="K504" t="n">
        <v>0</v>
      </c>
      <c r="L504" t="n">
        <v>0</v>
      </c>
      <c r="M504" t="n">
        <v>0</v>
      </c>
      <c r="N504" t="n">
        <v>0</v>
      </c>
      <c r="O504" t="n">
        <v>0</v>
      </c>
      <c r="P504" t="n">
        <v>0</v>
      </c>
      <c r="Q504" t="n">
        <v>0</v>
      </c>
      <c r="R504" s="2" t="inlineStr"/>
    </row>
    <row r="505" ht="15" customHeight="1">
      <c r="A505" t="inlineStr">
        <is>
          <t>A 25702-2025</t>
        </is>
      </c>
      <c r="B505" s="1" t="n">
        <v>45800</v>
      </c>
      <c r="C505" s="1" t="n">
        <v>46113</v>
      </c>
      <c r="D505" t="inlineStr">
        <is>
          <t>STOCKHOLMS LÄN</t>
        </is>
      </c>
      <c r="E505" t="inlineStr">
        <is>
          <t>NORRTÄLJE</t>
        </is>
      </c>
      <c r="G505" t="n">
        <v>5.3</v>
      </c>
      <c r="H505" t="n">
        <v>0</v>
      </c>
      <c r="I505" t="n">
        <v>0</v>
      </c>
      <c r="J505" t="n">
        <v>0</v>
      </c>
      <c r="K505" t="n">
        <v>0</v>
      </c>
      <c r="L505" t="n">
        <v>0</v>
      </c>
      <c r="M505" t="n">
        <v>0</v>
      </c>
      <c r="N505" t="n">
        <v>0</v>
      </c>
      <c r="O505" t="n">
        <v>0</v>
      </c>
      <c r="P505" t="n">
        <v>0</v>
      </c>
      <c r="Q505" t="n">
        <v>0</v>
      </c>
      <c r="R505" s="2" t="inlineStr"/>
    </row>
    <row r="506" ht="15" customHeight="1">
      <c r="A506" t="inlineStr">
        <is>
          <t>A 8135-2025</t>
        </is>
      </c>
      <c r="B506" s="1" t="n">
        <v>45707.84997685185</v>
      </c>
      <c r="C506" s="1" t="n">
        <v>46113</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6537-2024</t>
        </is>
      </c>
      <c r="B507" s="1" t="n">
        <v>45341.39853009259</v>
      </c>
      <c r="C507" s="1" t="n">
        <v>46113</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31936-2022</t>
        </is>
      </c>
      <c r="B508" s="1" t="n">
        <v>44777</v>
      </c>
      <c r="C508" s="1" t="n">
        <v>46113</v>
      </c>
      <c r="D508" t="inlineStr">
        <is>
          <t>STOCKHOLMS LÄN</t>
        </is>
      </c>
      <c r="E508" t="inlineStr">
        <is>
          <t>NORRTÄLJE</t>
        </is>
      </c>
      <c r="G508" t="n">
        <v>5.2</v>
      </c>
      <c r="H508" t="n">
        <v>0</v>
      </c>
      <c r="I508" t="n">
        <v>0</v>
      </c>
      <c r="J508" t="n">
        <v>0</v>
      </c>
      <c r="K508" t="n">
        <v>0</v>
      </c>
      <c r="L508" t="n">
        <v>0</v>
      </c>
      <c r="M508" t="n">
        <v>0</v>
      </c>
      <c r="N508" t="n">
        <v>0</v>
      </c>
      <c r="O508" t="n">
        <v>0</v>
      </c>
      <c r="P508" t="n">
        <v>0</v>
      </c>
      <c r="Q508" t="n">
        <v>0</v>
      </c>
      <c r="R508" s="2" t="inlineStr"/>
    </row>
    <row r="509" ht="15" customHeight="1">
      <c r="A509" t="inlineStr">
        <is>
          <t>A 24887-2023</t>
        </is>
      </c>
      <c r="B509" s="1" t="n">
        <v>45085</v>
      </c>
      <c r="C509" s="1" t="n">
        <v>46113</v>
      </c>
      <c r="D509" t="inlineStr">
        <is>
          <t>STOCKHOLMS LÄN</t>
        </is>
      </c>
      <c r="E509" t="inlineStr">
        <is>
          <t>NORRTÄLJE</t>
        </is>
      </c>
      <c r="G509" t="n">
        <v>13.9</v>
      </c>
      <c r="H509" t="n">
        <v>0</v>
      </c>
      <c r="I509" t="n">
        <v>0</v>
      </c>
      <c r="J509" t="n">
        <v>0</v>
      </c>
      <c r="K509" t="n">
        <v>0</v>
      </c>
      <c r="L509" t="n">
        <v>0</v>
      </c>
      <c r="M509" t="n">
        <v>0</v>
      </c>
      <c r="N509" t="n">
        <v>0</v>
      </c>
      <c r="O509" t="n">
        <v>0</v>
      </c>
      <c r="P509" t="n">
        <v>0</v>
      </c>
      <c r="Q509" t="n">
        <v>0</v>
      </c>
      <c r="R509" s="2" t="inlineStr"/>
    </row>
    <row r="510" ht="15" customHeight="1">
      <c r="A510" t="inlineStr">
        <is>
          <t>A 52260-2022</t>
        </is>
      </c>
      <c r="B510" s="1" t="n">
        <v>44869</v>
      </c>
      <c r="C510" s="1" t="n">
        <v>46113</v>
      </c>
      <c r="D510" t="inlineStr">
        <is>
          <t>STOCKHOLMS LÄN</t>
        </is>
      </c>
      <c r="E510" t="inlineStr">
        <is>
          <t>NORRTÄLJE</t>
        </is>
      </c>
      <c r="G510" t="n">
        <v>3.1</v>
      </c>
      <c r="H510" t="n">
        <v>0</v>
      </c>
      <c r="I510" t="n">
        <v>0</v>
      </c>
      <c r="J510" t="n">
        <v>0</v>
      </c>
      <c r="K510" t="n">
        <v>0</v>
      </c>
      <c r="L510" t="n">
        <v>0</v>
      </c>
      <c r="M510" t="n">
        <v>0</v>
      </c>
      <c r="N510" t="n">
        <v>0</v>
      </c>
      <c r="O510" t="n">
        <v>0</v>
      </c>
      <c r="P510" t="n">
        <v>0</v>
      </c>
      <c r="Q510" t="n">
        <v>0</v>
      </c>
      <c r="R510" s="2" t="inlineStr"/>
    </row>
    <row r="511" ht="15" customHeight="1">
      <c r="A511" t="inlineStr">
        <is>
          <t>A 56428-2023</t>
        </is>
      </c>
      <c r="B511" s="1" t="n">
        <v>45243.45289351852</v>
      </c>
      <c r="C511" s="1" t="n">
        <v>46113</v>
      </c>
      <c r="D511" t="inlineStr">
        <is>
          <t>STOCKHOLMS LÄN</t>
        </is>
      </c>
      <c r="E511" t="inlineStr">
        <is>
          <t>NORRTÄLJE</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22359-2025</t>
        </is>
      </c>
      <c r="B512" s="1" t="n">
        <v>45786</v>
      </c>
      <c r="C512" s="1" t="n">
        <v>46113</v>
      </c>
      <c r="D512" t="inlineStr">
        <is>
          <t>STOCKHOLMS LÄN</t>
        </is>
      </c>
      <c r="E512" t="inlineStr">
        <is>
          <t>NORRTÄLJE</t>
        </is>
      </c>
      <c r="G512" t="n">
        <v>5</v>
      </c>
      <c r="H512" t="n">
        <v>0</v>
      </c>
      <c r="I512" t="n">
        <v>0</v>
      </c>
      <c r="J512" t="n">
        <v>0</v>
      </c>
      <c r="K512" t="n">
        <v>0</v>
      </c>
      <c r="L512" t="n">
        <v>0</v>
      </c>
      <c r="M512" t="n">
        <v>0</v>
      </c>
      <c r="N512" t="n">
        <v>0</v>
      </c>
      <c r="O512" t="n">
        <v>0</v>
      </c>
      <c r="P512" t="n">
        <v>0</v>
      </c>
      <c r="Q512" t="n">
        <v>0</v>
      </c>
      <c r="R512" s="2" t="inlineStr"/>
    </row>
    <row r="513" ht="15" customHeight="1">
      <c r="A513" t="inlineStr">
        <is>
          <t>A 55058-2021</t>
        </is>
      </c>
      <c r="B513" s="1" t="n">
        <v>44474.62141203704</v>
      </c>
      <c r="C513" s="1" t="n">
        <v>46113</v>
      </c>
      <c r="D513" t="inlineStr">
        <is>
          <t>STOCKHOLMS LÄN</t>
        </is>
      </c>
      <c r="E513" t="inlineStr">
        <is>
          <t>NORRTÄLJE</t>
        </is>
      </c>
      <c r="G513" t="n">
        <v>1.9</v>
      </c>
      <c r="H513" t="n">
        <v>0</v>
      </c>
      <c r="I513" t="n">
        <v>0</v>
      </c>
      <c r="J513" t="n">
        <v>0</v>
      </c>
      <c r="K513" t="n">
        <v>0</v>
      </c>
      <c r="L513" t="n">
        <v>0</v>
      </c>
      <c r="M513" t="n">
        <v>0</v>
      </c>
      <c r="N513" t="n">
        <v>0</v>
      </c>
      <c r="O513" t="n">
        <v>0</v>
      </c>
      <c r="P513" t="n">
        <v>0</v>
      </c>
      <c r="Q513" t="n">
        <v>0</v>
      </c>
      <c r="R513" s="2" t="inlineStr"/>
    </row>
    <row r="514" ht="15" customHeight="1">
      <c r="A514" t="inlineStr">
        <is>
          <t>A 40192-2023</t>
        </is>
      </c>
      <c r="B514" s="1" t="n">
        <v>45169</v>
      </c>
      <c r="C514" s="1" t="n">
        <v>46113</v>
      </c>
      <c r="D514" t="inlineStr">
        <is>
          <t>STOCKHOLMS LÄN</t>
        </is>
      </c>
      <c r="E514" t="inlineStr">
        <is>
          <t>NORRTÄLJE</t>
        </is>
      </c>
      <c r="F514" t="inlineStr">
        <is>
          <t>Kyrkan</t>
        </is>
      </c>
      <c r="G514" t="n">
        <v>0.7</v>
      </c>
      <c r="H514" t="n">
        <v>0</v>
      </c>
      <c r="I514" t="n">
        <v>0</v>
      </c>
      <c r="J514" t="n">
        <v>0</v>
      </c>
      <c r="K514" t="n">
        <v>0</v>
      </c>
      <c r="L514" t="n">
        <v>0</v>
      </c>
      <c r="M514" t="n">
        <v>0</v>
      </c>
      <c r="N514" t="n">
        <v>0</v>
      </c>
      <c r="O514" t="n">
        <v>0</v>
      </c>
      <c r="P514" t="n">
        <v>0</v>
      </c>
      <c r="Q514" t="n">
        <v>0</v>
      </c>
      <c r="R514" s="2" t="inlineStr"/>
    </row>
    <row r="515" ht="15" customHeight="1">
      <c r="A515" t="inlineStr">
        <is>
          <t>A 30338-2022</t>
        </is>
      </c>
      <c r="B515" s="1" t="n">
        <v>44760</v>
      </c>
      <c r="C515" s="1" t="n">
        <v>46113</v>
      </c>
      <c r="D515" t="inlineStr">
        <is>
          <t>STOCKHOLMS LÄN</t>
        </is>
      </c>
      <c r="E515" t="inlineStr">
        <is>
          <t>NORRTÄLJE</t>
        </is>
      </c>
      <c r="G515" t="n">
        <v>0.3</v>
      </c>
      <c r="H515" t="n">
        <v>0</v>
      </c>
      <c r="I515" t="n">
        <v>0</v>
      </c>
      <c r="J515" t="n">
        <v>0</v>
      </c>
      <c r="K515" t="n">
        <v>0</v>
      </c>
      <c r="L515" t="n">
        <v>0</v>
      </c>
      <c r="M515" t="n">
        <v>0</v>
      </c>
      <c r="N515" t="n">
        <v>0</v>
      </c>
      <c r="O515" t="n">
        <v>0</v>
      </c>
      <c r="P515" t="n">
        <v>0</v>
      </c>
      <c r="Q515" t="n">
        <v>0</v>
      </c>
      <c r="R515" s="2" t="inlineStr"/>
    </row>
    <row r="516" ht="15" customHeight="1">
      <c r="A516" t="inlineStr">
        <is>
          <t>A 25721-2025</t>
        </is>
      </c>
      <c r="B516" s="1" t="n">
        <v>45800</v>
      </c>
      <c r="C516" s="1" t="n">
        <v>46113</v>
      </c>
      <c r="D516" t="inlineStr">
        <is>
          <t>STOCKHOLMS LÄN</t>
        </is>
      </c>
      <c r="E516" t="inlineStr">
        <is>
          <t>NORRTÄLJE</t>
        </is>
      </c>
      <c r="G516" t="n">
        <v>6</v>
      </c>
      <c r="H516" t="n">
        <v>0</v>
      </c>
      <c r="I516" t="n">
        <v>0</v>
      </c>
      <c r="J516" t="n">
        <v>0</v>
      </c>
      <c r="K516" t="n">
        <v>0</v>
      </c>
      <c r="L516" t="n">
        <v>0</v>
      </c>
      <c r="M516" t="n">
        <v>0</v>
      </c>
      <c r="N516" t="n">
        <v>0</v>
      </c>
      <c r="O516" t="n">
        <v>0</v>
      </c>
      <c r="P516" t="n">
        <v>0</v>
      </c>
      <c r="Q516" t="n">
        <v>0</v>
      </c>
      <c r="R516" s="2" t="inlineStr"/>
    </row>
    <row r="517" ht="15" customHeight="1">
      <c r="A517" t="inlineStr">
        <is>
          <t>A 18541-2023</t>
        </is>
      </c>
      <c r="B517" s="1" t="n">
        <v>45042.74291666667</v>
      </c>
      <c r="C517" s="1" t="n">
        <v>46113</v>
      </c>
      <c r="D517" t="inlineStr">
        <is>
          <t>STOCKHOLMS LÄN</t>
        </is>
      </c>
      <c r="E517" t="inlineStr">
        <is>
          <t>NORRTÄLJE</t>
        </is>
      </c>
      <c r="G517" t="n">
        <v>0.7</v>
      </c>
      <c r="H517" t="n">
        <v>0</v>
      </c>
      <c r="I517" t="n">
        <v>0</v>
      </c>
      <c r="J517" t="n">
        <v>0</v>
      </c>
      <c r="K517" t="n">
        <v>0</v>
      </c>
      <c r="L517" t="n">
        <v>0</v>
      </c>
      <c r="M517" t="n">
        <v>0</v>
      </c>
      <c r="N517" t="n">
        <v>0</v>
      </c>
      <c r="O517" t="n">
        <v>0</v>
      </c>
      <c r="P517" t="n">
        <v>0</v>
      </c>
      <c r="Q517" t="n">
        <v>0</v>
      </c>
      <c r="R517" s="2" t="inlineStr"/>
    </row>
    <row r="518" ht="15" customHeight="1">
      <c r="A518" t="inlineStr">
        <is>
          <t>A 32857-2021</t>
        </is>
      </c>
      <c r="B518" s="1" t="n">
        <v>44375</v>
      </c>
      <c r="C518" s="1" t="n">
        <v>46113</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4035-2023</t>
        </is>
      </c>
      <c r="B519" s="1" t="n">
        <v>44952.57989583333</v>
      </c>
      <c r="C519" s="1" t="n">
        <v>46113</v>
      </c>
      <c r="D519" t="inlineStr">
        <is>
          <t>STOCKHOLMS LÄN</t>
        </is>
      </c>
      <c r="E519" t="inlineStr">
        <is>
          <t>NORRTÄLJE</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51325-2023</t>
        </is>
      </c>
      <c r="B520" s="1" t="n">
        <v>45219</v>
      </c>
      <c r="C520" s="1" t="n">
        <v>46113</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21729-2024</t>
        </is>
      </c>
      <c r="B521" s="1" t="n">
        <v>45442</v>
      </c>
      <c r="C521" s="1" t="n">
        <v>46113</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26644-2024</t>
        </is>
      </c>
      <c r="B522" s="1" t="n">
        <v>45469</v>
      </c>
      <c r="C522" s="1" t="n">
        <v>46113</v>
      </c>
      <c r="D522" t="inlineStr">
        <is>
          <t>STOCKHOLMS LÄN</t>
        </is>
      </c>
      <c r="E522" t="inlineStr">
        <is>
          <t>NORRTÄLJE</t>
        </is>
      </c>
      <c r="G522" t="n">
        <v>4.3</v>
      </c>
      <c r="H522" t="n">
        <v>0</v>
      </c>
      <c r="I522" t="n">
        <v>0</v>
      </c>
      <c r="J522" t="n">
        <v>0</v>
      </c>
      <c r="K522" t="n">
        <v>0</v>
      </c>
      <c r="L522" t="n">
        <v>0</v>
      </c>
      <c r="M522" t="n">
        <v>0</v>
      </c>
      <c r="N522" t="n">
        <v>0</v>
      </c>
      <c r="O522" t="n">
        <v>0</v>
      </c>
      <c r="P522" t="n">
        <v>0</v>
      </c>
      <c r="Q522" t="n">
        <v>0</v>
      </c>
      <c r="R522" s="2" t="inlineStr"/>
    </row>
    <row r="523" ht="15" customHeight="1">
      <c r="A523" t="inlineStr">
        <is>
          <t>A 26668-2024</t>
        </is>
      </c>
      <c r="B523" s="1" t="n">
        <v>45469</v>
      </c>
      <c r="C523" s="1" t="n">
        <v>46113</v>
      </c>
      <c r="D523" t="inlineStr">
        <is>
          <t>STOCKHOLMS LÄN</t>
        </is>
      </c>
      <c r="E523" t="inlineStr">
        <is>
          <t>NORRTÄLJE</t>
        </is>
      </c>
      <c r="G523" t="n">
        <v>4.8</v>
      </c>
      <c r="H523" t="n">
        <v>0</v>
      </c>
      <c r="I523" t="n">
        <v>0</v>
      </c>
      <c r="J523" t="n">
        <v>0</v>
      </c>
      <c r="K523" t="n">
        <v>0</v>
      </c>
      <c r="L523" t="n">
        <v>0</v>
      </c>
      <c r="M523" t="n">
        <v>0</v>
      </c>
      <c r="N523" t="n">
        <v>0</v>
      </c>
      <c r="O523" t="n">
        <v>0</v>
      </c>
      <c r="P523" t="n">
        <v>0</v>
      </c>
      <c r="Q523" t="n">
        <v>0</v>
      </c>
      <c r="R523" s="2" t="inlineStr"/>
    </row>
    <row r="524" ht="15" customHeight="1">
      <c r="A524" t="inlineStr">
        <is>
          <t>A 21894-2023</t>
        </is>
      </c>
      <c r="B524" s="1" t="n">
        <v>45068.51783564815</v>
      </c>
      <c r="C524" s="1" t="n">
        <v>46113</v>
      </c>
      <c r="D524" t="inlineStr">
        <is>
          <t>STOCKHOLMS LÄN</t>
        </is>
      </c>
      <c r="E524" t="inlineStr">
        <is>
          <t>NORRTÄLJE</t>
        </is>
      </c>
      <c r="G524" t="n">
        <v>2.5</v>
      </c>
      <c r="H524" t="n">
        <v>0</v>
      </c>
      <c r="I524" t="n">
        <v>0</v>
      </c>
      <c r="J524" t="n">
        <v>0</v>
      </c>
      <c r="K524" t="n">
        <v>0</v>
      </c>
      <c r="L524" t="n">
        <v>0</v>
      </c>
      <c r="M524" t="n">
        <v>0</v>
      </c>
      <c r="N524" t="n">
        <v>0</v>
      </c>
      <c r="O524" t="n">
        <v>0</v>
      </c>
      <c r="P524" t="n">
        <v>0</v>
      </c>
      <c r="Q524" t="n">
        <v>0</v>
      </c>
      <c r="R524" s="2" t="inlineStr"/>
    </row>
    <row r="525" ht="15" customHeight="1">
      <c r="A525" t="inlineStr">
        <is>
          <t>A 45697-2025</t>
        </is>
      </c>
      <c r="B525" s="1" t="n">
        <v>45923.39877314815</v>
      </c>
      <c r="C525" s="1" t="n">
        <v>46113</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21732-2023</t>
        </is>
      </c>
      <c r="B526" s="1" t="n">
        <v>45063</v>
      </c>
      <c r="C526" s="1" t="n">
        <v>46113</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35256-2025</t>
        </is>
      </c>
      <c r="B527" s="1" t="n">
        <v>45853</v>
      </c>
      <c r="C527" s="1" t="n">
        <v>46113</v>
      </c>
      <c r="D527" t="inlineStr">
        <is>
          <t>STOCKHOLMS LÄN</t>
        </is>
      </c>
      <c r="E527" t="inlineStr">
        <is>
          <t>NORRTÄLJE</t>
        </is>
      </c>
      <c r="G527" t="n">
        <v>6.4</v>
      </c>
      <c r="H527" t="n">
        <v>0</v>
      </c>
      <c r="I527" t="n">
        <v>0</v>
      </c>
      <c r="J527" t="n">
        <v>0</v>
      </c>
      <c r="K527" t="n">
        <v>0</v>
      </c>
      <c r="L527" t="n">
        <v>0</v>
      </c>
      <c r="M527" t="n">
        <v>0</v>
      </c>
      <c r="N527" t="n">
        <v>0</v>
      </c>
      <c r="O527" t="n">
        <v>0</v>
      </c>
      <c r="P527" t="n">
        <v>0</v>
      </c>
      <c r="Q527" t="n">
        <v>0</v>
      </c>
      <c r="R527" s="2" t="inlineStr"/>
    </row>
    <row r="528" ht="15" customHeight="1">
      <c r="A528" t="inlineStr">
        <is>
          <t>A 37085-2021</t>
        </is>
      </c>
      <c r="B528" s="1" t="n">
        <v>44395</v>
      </c>
      <c r="C528" s="1" t="n">
        <v>46113</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7806-2025</t>
        </is>
      </c>
      <c r="B529" s="1" t="n">
        <v>45706.61178240741</v>
      </c>
      <c r="C529" s="1" t="n">
        <v>46113</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37444-2021</t>
        </is>
      </c>
      <c r="B530" s="1" t="n">
        <v>44398</v>
      </c>
      <c r="C530" s="1" t="n">
        <v>46113</v>
      </c>
      <c r="D530" t="inlineStr">
        <is>
          <t>STOCKHOLMS LÄN</t>
        </is>
      </c>
      <c r="E530" t="inlineStr">
        <is>
          <t>NORRTÄLJE</t>
        </is>
      </c>
      <c r="F530" t="inlineStr">
        <is>
          <t>Holmen skog AB</t>
        </is>
      </c>
      <c r="G530" t="n">
        <v>3.2</v>
      </c>
      <c r="H530" t="n">
        <v>0</v>
      </c>
      <c r="I530" t="n">
        <v>0</v>
      </c>
      <c r="J530" t="n">
        <v>0</v>
      </c>
      <c r="K530" t="n">
        <v>0</v>
      </c>
      <c r="L530" t="n">
        <v>0</v>
      </c>
      <c r="M530" t="n">
        <v>0</v>
      </c>
      <c r="N530" t="n">
        <v>0</v>
      </c>
      <c r="O530" t="n">
        <v>0</v>
      </c>
      <c r="P530" t="n">
        <v>0</v>
      </c>
      <c r="Q530" t="n">
        <v>0</v>
      </c>
      <c r="R530" s="2" t="inlineStr"/>
    </row>
    <row r="531" ht="15" customHeight="1">
      <c r="A531" t="inlineStr">
        <is>
          <t>A 46988-2024</t>
        </is>
      </c>
      <c r="B531" s="1" t="n">
        <v>45586</v>
      </c>
      <c r="C531" s="1" t="n">
        <v>46113</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45173-2023</t>
        </is>
      </c>
      <c r="B532" s="1" t="n">
        <v>45191</v>
      </c>
      <c r="C532" s="1" t="n">
        <v>46113</v>
      </c>
      <c r="D532" t="inlineStr">
        <is>
          <t>STOCKHOLMS LÄN</t>
        </is>
      </c>
      <c r="E532" t="inlineStr">
        <is>
          <t>NORRTÄLJE</t>
        </is>
      </c>
      <c r="F532" t="inlineStr">
        <is>
          <t>Sveaskog</t>
        </is>
      </c>
      <c r="G532" t="n">
        <v>3.6</v>
      </c>
      <c r="H532" t="n">
        <v>0</v>
      </c>
      <c r="I532" t="n">
        <v>0</v>
      </c>
      <c r="J532" t="n">
        <v>0</v>
      </c>
      <c r="K532" t="n">
        <v>0</v>
      </c>
      <c r="L532" t="n">
        <v>0</v>
      </c>
      <c r="M532" t="n">
        <v>0</v>
      </c>
      <c r="N532" t="n">
        <v>0</v>
      </c>
      <c r="O532" t="n">
        <v>0</v>
      </c>
      <c r="P532" t="n">
        <v>0</v>
      </c>
      <c r="Q532" t="n">
        <v>0</v>
      </c>
      <c r="R532" s="2" t="inlineStr"/>
    </row>
    <row r="533" ht="15" customHeight="1">
      <c r="A533" t="inlineStr">
        <is>
          <t>A 46415-2025</t>
        </is>
      </c>
      <c r="B533" s="1" t="n">
        <v>45925.58636574074</v>
      </c>
      <c r="C533" s="1" t="n">
        <v>46113</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71552-2021</t>
        </is>
      </c>
      <c r="B534" s="1" t="n">
        <v>44540</v>
      </c>
      <c r="C534" s="1" t="n">
        <v>46113</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17382-2024</t>
        </is>
      </c>
      <c r="B535" s="1" t="n">
        <v>45414.65855324074</v>
      </c>
      <c r="C535" s="1" t="n">
        <v>46113</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25557-2023</t>
        </is>
      </c>
      <c r="B536" s="1" t="n">
        <v>45089</v>
      </c>
      <c r="C536" s="1" t="n">
        <v>46113</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64137-2021</t>
        </is>
      </c>
      <c r="B537" s="1" t="n">
        <v>44510.51422453704</v>
      </c>
      <c r="C537" s="1" t="n">
        <v>46113</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9914-2023</t>
        </is>
      </c>
      <c r="B538" s="1" t="n">
        <v>44985</v>
      </c>
      <c r="C538" s="1" t="n">
        <v>46113</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38720-2022</t>
        </is>
      </c>
      <c r="B539" s="1" t="n">
        <v>44815.74539351852</v>
      </c>
      <c r="C539" s="1" t="n">
        <v>46113</v>
      </c>
      <c r="D539" t="inlineStr">
        <is>
          <t>STOCKHOLMS LÄN</t>
        </is>
      </c>
      <c r="E539" t="inlineStr">
        <is>
          <t>NORRTÄLJE</t>
        </is>
      </c>
      <c r="G539" t="n">
        <v>2.5</v>
      </c>
      <c r="H539" t="n">
        <v>0</v>
      </c>
      <c r="I539" t="n">
        <v>0</v>
      </c>
      <c r="J539" t="n">
        <v>0</v>
      </c>
      <c r="K539" t="n">
        <v>0</v>
      </c>
      <c r="L539" t="n">
        <v>0</v>
      </c>
      <c r="M539" t="n">
        <v>0</v>
      </c>
      <c r="N539" t="n">
        <v>0</v>
      </c>
      <c r="O539" t="n">
        <v>0</v>
      </c>
      <c r="P539" t="n">
        <v>0</v>
      </c>
      <c r="Q539" t="n">
        <v>0</v>
      </c>
      <c r="R539" s="2" t="inlineStr"/>
    </row>
    <row r="540" ht="15" customHeight="1">
      <c r="A540" t="inlineStr">
        <is>
          <t>A 60525-2022</t>
        </is>
      </c>
      <c r="B540" s="1" t="n">
        <v>44904</v>
      </c>
      <c r="C540" s="1" t="n">
        <v>46113</v>
      </c>
      <c r="D540" t="inlineStr">
        <is>
          <t>STOCKHOLMS LÄN</t>
        </is>
      </c>
      <c r="E540" t="inlineStr">
        <is>
          <t>NORRTÄLJE</t>
        </is>
      </c>
      <c r="G540" t="n">
        <v>13.4</v>
      </c>
      <c r="H540" t="n">
        <v>0</v>
      </c>
      <c r="I540" t="n">
        <v>0</v>
      </c>
      <c r="J540" t="n">
        <v>0</v>
      </c>
      <c r="K540" t="n">
        <v>0</v>
      </c>
      <c r="L540" t="n">
        <v>0</v>
      </c>
      <c r="M540" t="n">
        <v>0</v>
      </c>
      <c r="N540" t="n">
        <v>0</v>
      </c>
      <c r="O540" t="n">
        <v>0</v>
      </c>
      <c r="P540" t="n">
        <v>0</v>
      </c>
      <c r="Q540" t="n">
        <v>0</v>
      </c>
      <c r="R540" s="2" t="inlineStr"/>
    </row>
    <row r="541" ht="15" customHeight="1">
      <c r="A541" t="inlineStr">
        <is>
          <t>A 25733-2025</t>
        </is>
      </c>
      <c r="B541" s="1" t="n">
        <v>45800</v>
      </c>
      <c r="C541" s="1" t="n">
        <v>46113</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34432-2021</t>
        </is>
      </c>
      <c r="B542" s="1" t="n">
        <v>44380.77346064815</v>
      </c>
      <c r="C542" s="1" t="n">
        <v>46113</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19911-2025</t>
        </is>
      </c>
      <c r="B543" s="1" t="n">
        <v>45771</v>
      </c>
      <c r="C543" s="1" t="n">
        <v>46113</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58302-2022</t>
        </is>
      </c>
      <c r="B544" s="1" t="n">
        <v>44901</v>
      </c>
      <c r="C544" s="1" t="n">
        <v>46113</v>
      </c>
      <c r="D544" t="inlineStr">
        <is>
          <t>STOCKHOLMS LÄN</t>
        </is>
      </c>
      <c r="E544" t="inlineStr">
        <is>
          <t>NORRTÄLJE</t>
        </is>
      </c>
      <c r="G544" t="n">
        <v>3.9</v>
      </c>
      <c r="H544" t="n">
        <v>0</v>
      </c>
      <c r="I544" t="n">
        <v>0</v>
      </c>
      <c r="J544" t="n">
        <v>0</v>
      </c>
      <c r="K544" t="n">
        <v>0</v>
      </c>
      <c r="L544" t="n">
        <v>0</v>
      </c>
      <c r="M544" t="n">
        <v>0</v>
      </c>
      <c r="N544" t="n">
        <v>0</v>
      </c>
      <c r="O544" t="n">
        <v>0</v>
      </c>
      <c r="P544" t="n">
        <v>0</v>
      </c>
      <c r="Q544" t="n">
        <v>0</v>
      </c>
      <c r="R544" s="2" t="inlineStr"/>
    </row>
    <row r="545" ht="15" customHeight="1">
      <c r="A545" t="inlineStr">
        <is>
          <t>A 14130-2025</t>
        </is>
      </c>
      <c r="B545" s="1" t="n">
        <v>45740.47288194444</v>
      </c>
      <c r="C545" s="1" t="n">
        <v>46113</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47460-2025</t>
        </is>
      </c>
      <c r="B546" s="1" t="n">
        <v>45930.66012731481</v>
      </c>
      <c r="C546" s="1" t="n">
        <v>46113</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12532-2025</t>
        </is>
      </c>
      <c r="B547" s="1" t="n">
        <v>45730.69143518519</v>
      </c>
      <c r="C547" s="1" t="n">
        <v>46113</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23269-2023</t>
        </is>
      </c>
      <c r="B548" s="1" t="n">
        <v>45075.91148148148</v>
      </c>
      <c r="C548" s="1" t="n">
        <v>46113</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40175-2024</t>
        </is>
      </c>
      <c r="B549" s="1" t="n">
        <v>45554.55707175926</v>
      </c>
      <c r="C549" s="1" t="n">
        <v>46113</v>
      </c>
      <c r="D549" t="inlineStr">
        <is>
          <t>STOCKHOLMS LÄN</t>
        </is>
      </c>
      <c r="E549" t="inlineStr">
        <is>
          <t>NORRTÄLJE</t>
        </is>
      </c>
      <c r="G549" t="n">
        <v>7.7</v>
      </c>
      <c r="H549" t="n">
        <v>0</v>
      </c>
      <c r="I549" t="n">
        <v>0</v>
      </c>
      <c r="J549" t="n">
        <v>0</v>
      </c>
      <c r="K549" t="n">
        <v>0</v>
      </c>
      <c r="L549" t="n">
        <v>0</v>
      </c>
      <c r="M549" t="n">
        <v>0</v>
      </c>
      <c r="N549" t="n">
        <v>0</v>
      </c>
      <c r="O549" t="n">
        <v>0</v>
      </c>
      <c r="P549" t="n">
        <v>0</v>
      </c>
      <c r="Q549" t="n">
        <v>0</v>
      </c>
      <c r="R549" s="2" t="inlineStr"/>
    </row>
    <row r="550" ht="15" customHeight="1">
      <c r="A550" t="inlineStr">
        <is>
          <t>A 16229-2022</t>
        </is>
      </c>
      <c r="B550" s="1" t="n">
        <v>44670.4190162037</v>
      </c>
      <c r="C550" s="1" t="n">
        <v>46113</v>
      </c>
      <c r="D550" t="inlineStr">
        <is>
          <t>STOCKHOLMS LÄN</t>
        </is>
      </c>
      <c r="E550" t="inlineStr">
        <is>
          <t>NORRTÄLJE</t>
        </is>
      </c>
      <c r="G550" t="n">
        <v>7.4</v>
      </c>
      <c r="H550" t="n">
        <v>0</v>
      </c>
      <c r="I550" t="n">
        <v>0</v>
      </c>
      <c r="J550" t="n">
        <v>0</v>
      </c>
      <c r="K550" t="n">
        <v>0</v>
      </c>
      <c r="L550" t="n">
        <v>0</v>
      </c>
      <c r="M550" t="n">
        <v>0</v>
      </c>
      <c r="N550" t="n">
        <v>0</v>
      </c>
      <c r="O550" t="n">
        <v>0</v>
      </c>
      <c r="P550" t="n">
        <v>0</v>
      </c>
      <c r="Q550" t="n">
        <v>0</v>
      </c>
      <c r="R550" s="2" t="inlineStr"/>
    </row>
    <row r="551" ht="15" customHeight="1">
      <c r="A551" t="inlineStr">
        <is>
          <t>A 23060-2023</t>
        </is>
      </c>
      <c r="B551" s="1" t="n">
        <v>45075</v>
      </c>
      <c r="C551" s="1" t="n">
        <v>46113</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46900-2025</t>
        </is>
      </c>
      <c r="B552" s="1" t="n">
        <v>45929.38712962963</v>
      </c>
      <c r="C552" s="1" t="n">
        <v>46113</v>
      </c>
      <c r="D552" t="inlineStr">
        <is>
          <t>STOCKHOLMS LÄN</t>
        </is>
      </c>
      <c r="E552" t="inlineStr">
        <is>
          <t>NORRTÄLJE</t>
        </is>
      </c>
      <c r="F552" t="inlineStr">
        <is>
          <t>Holmen skog AB</t>
        </is>
      </c>
      <c r="G552" t="n">
        <v>6.2</v>
      </c>
      <c r="H552" t="n">
        <v>0</v>
      </c>
      <c r="I552" t="n">
        <v>0</v>
      </c>
      <c r="J552" t="n">
        <v>0</v>
      </c>
      <c r="K552" t="n">
        <v>0</v>
      </c>
      <c r="L552" t="n">
        <v>0</v>
      </c>
      <c r="M552" t="n">
        <v>0</v>
      </c>
      <c r="N552" t="n">
        <v>0</v>
      </c>
      <c r="O552" t="n">
        <v>0</v>
      </c>
      <c r="P552" t="n">
        <v>0</v>
      </c>
      <c r="Q552" t="n">
        <v>0</v>
      </c>
      <c r="R552" s="2" t="inlineStr"/>
    </row>
    <row r="553" ht="15" customHeight="1">
      <c r="A553" t="inlineStr">
        <is>
          <t>A 46914-2022</t>
        </is>
      </c>
      <c r="B553" s="1" t="n">
        <v>44851</v>
      </c>
      <c r="C553" s="1" t="n">
        <v>46113</v>
      </c>
      <c r="D553" t="inlineStr">
        <is>
          <t>STOCKHOLMS LÄN</t>
        </is>
      </c>
      <c r="E553" t="inlineStr">
        <is>
          <t>NORRTÄLJE</t>
        </is>
      </c>
      <c r="G553" t="n">
        <v>2.4</v>
      </c>
      <c r="H553" t="n">
        <v>0</v>
      </c>
      <c r="I553" t="n">
        <v>0</v>
      </c>
      <c r="J553" t="n">
        <v>0</v>
      </c>
      <c r="K553" t="n">
        <v>0</v>
      </c>
      <c r="L553" t="n">
        <v>0</v>
      </c>
      <c r="M553" t="n">
        <v>0</v>
      </c>
      <c r="N553" t="n">
        <v>0</v>
      </c>
      <c r="O553" t="n">
        <v>0</v>
      </c>
      <c r="P553" t="n">
        <v>0</v>
      </c>
      <c r="Q553" t="n">
        <v>0</v>
      </c>
      <c r="R553" s="2" t="inlineStr"/>
    </row>
    <row r="554" ht="15" customHeight="1">
      <c r="A554" t="inlineStr">
        <is>
          <t>A 52743-2024</t>
        </is>
      </c>
      <c r="B554" s="1" t="n">
        <v>45610.47414351852</v>
      </c>
      <c r="C554" s="1" t="n">
        <v>46113</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47498-2025</t>
        </is>
      </c>
      <c r="B555" s="1" t="n">
        <v>45930.8134375</v>
      </c>
      <c r="C555" s="1" t="n">
        <v>46113</v>
      </c>
      <c r="D555" t="inlineStr">
        <is>
          <t>STOCKHOLMS LÄN</t>
        </is>
      </c>
      <c r="E555" t="inlineStr">
        <is>
          <t>NORRTÄLJE</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20244-2025</t>
        </is>
      </c>
      <c r="B556" s="1" t="n">
        <v>45772.71221064815</v>
      </c>
      <c r="C556" s="1" t="n">
        <v>46113</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50143-2023</t>
        </is>
      </c>
      <c r="B557" s="1" t="n">
        <v>45215</v>
      </c>
      <c r="C557" s="1" t="n">
        <v>46113</v>
      </c>
      <c r="D557" t="inlineStr">
        <is>
          <t>STOCKHOLMS LÄN</t>
        </is>
      </c>
      <c r="E557" t="inlineStr">
        <is>
          <t>NORRTÄLJE</t>
        </is>
      </c>
      <c r="G557" t="n">
        <v>10.3</v>
      </c>
      <c r="H557" t="n">
        <v>0</v>
      </c>
      <c r="I557" t="n">
        <v>0</v>
      </c>
      <c r="J557" t="n">
        <v>0</v>
      </c>
      <c r="K557" t="n">
        <v>0</v>
      </c>
      <c r="L557" t="n">
        <v>0</v>
      </c>
      <c r="M557" t="n">
        <v>0</v>
      </c>
      <c r="N557" t="n">
        <v>0</v>
      </c>
      <c r="O557" t="n">
        <v>0</v>
      </c>
      <c r="P557" t="n">
        <v>0</v>
      </c>
      <c r="Q557" t="n">
        <v>0</v>
      </c>
      <c r="R557" s="2" t="inlineStr"/>
    </row>
    <row r="558" ht="15" customHeight="1">
      <c r="A558" t="inlineStr">
        <is>
          <t>A 11499-2023</t>
        </is>
      </c>
      <c r="B558" s="1" t="n">
        <v>44993.66707175926</v>
      </c>
      <c r="C558" s="1" t="n">
        <v>46113</v>
      </c>
      <c r="D558" t="inlineStr">
        <is>
          <t>STOCKHOLMS LÄN</t>
        </is>
      </c>
      <c r="E558" t="inlineStr">
        <is>
          <t>NORRTÄLJE</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47496-2025</t>
        </is>
      </c>
      <c r="B559" s="1" t="n">
        <v>45930.79252314815</v>
      </c>
      <c r="C559" s="1" t="n">
        <v>46113</v>
      </c>
      <c r="D559" t="inlineStr">
        <is>
          <t>STOCKHOLMS LÄN</t>
        </is>
      </c>
      <c r="E559" t="inlineStr">
        <is>
          <t>NORRTÄLJE</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47497-2025</t>
        </is>
      </c>
      <c r="B560" s="1" t="n">
        <v>45930.80217592593</v>
      </c>
      <c r="C560" s="1" t="n">
        <v>46113</v>
      </c>
      <c r="D560" t="inlineStr">
        <is>
          <t>STOCKHOLMS LÄN</t>
        </is>
      </c>
      <c r="E560" t="inlineStr">
        <is>
          <t>NORRTÄLJE</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64600-2021</t>
        </is>
      </c>
      <c r="B561" s="1" t="n">
        <v>44511.70518518519</v>
      </c>
      <c r="C561" s="1" t="n">
        <v>46113</v>
      </c>
      <c r="D561" t="inlineStr">
        <is>
          <t>STOCKHOLMS LÄN</t>
        </is>
      </c>
      <c r="E561" t="inlineStr">
        <is>
          <t>NORRTÄLJE</t>
        </is>
      </c>
      <c r="G561" t="n">
        <v>6.2</v>
      </c>
      <c r="H561" t="n">
        <v>0</v>
      </c>
      <c r="I561" t="n">
        <v>0</v>
      </c>
      <c r="J561" t="n">
        <v>0</v>
      </c>
      <c r="K561" t="n">
        <v>0</v>
      </c>
      <c r="L561" t="n">
        <v>0</v>
      </c>
      <c r="M561" t="n">
        <v>0</v>
      </c>
      <c r="N561" t="n">
        <v>0</v>
      </c>
      <c r="O561" t="n">
        <v>0</v>
      </c>
      <c r="P561" t="n">
        <v>0</v>
      </c>
      <c r="Q561" t="n">
        <v>0</v>
      </c>
      <c r="R561" s="2" t="inlineStr"/>
    </row>
    <row r="562" ht="15" customHeight="1">
      <c r="A562" t="inlineStr">
        <is>
          <t>A 35640-2024</t>
        </is>
      </c>
      <c r="B562" s="1" t="n">
        <v>45531</v>
      </c>
      <c r="C562" s="1" t="n">
        <v>46113</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20015-2023</t>
        </is>
      </c>
      <c r="B563" s="1" t="n">
        <v>45054</v>
      </c>
      <c r="C563" s="1" t="n">
        <v>46113</v>
      </c>
      <c r="D563" t="inlineStr">
        <is>
          <t>STOCKHOLMS LÄN</t>
        </is>
      </c>
      <c r="E563" t="inlineStr">
        <is>
          <t>NORRTÄLJE</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25571-2025</t>
        </is>
      </c>
      <c r="B564" s="1" t="n">
        <v>45803.4675</v>
      </c>
      <c r="C564" s="1" t="n">
        <v>46113</v>
      </c>
      <c r="D564" t="inlineStr">
        <is>
          <t>STOCKHOLMS LÄN</t>
        </is>
      </c>
      <c r="E564" t="inlineStr">
        <is>
          <t>NORRTÄLJE</t>
        </is>
      </c>
      <c r="G564" t="n">
        <v>5.4</v>
      </c>
      <c r="H564" t="n">
        <v>0</v>
      </c>
      <c r="I564" t="n">
        <v>0</v>
      </c>
      <c r="J564" t="n">
        <v>0</v>
      </c>
      <c r="K564" t="n">
        <v>0</v>
      </c>
      <c r="L564" t="n">
        <v>0</v>
      </c>
      <c r="M564" t="n">
        <v>0</v>
      </c>
      <c r="N564" t="n">
        <v>0</v>
      </c>
      <c r="O564" t="n">
        <v>0</v>
      </c>
      <c r="P564" t="n">
        <v>0</v>
      </c>
      <c r="Q564" t="n">
        <v>0</v>
      </c>
      <c r="R564" s="2" t="inlineStr"/>
    </row>
    <row r="565" ht="15" customHeight="1">
      <c r="A565" t="inlineStr">
        <is>
          <t>A 8586-2023</t>
        </is>
      </c>
      <c r="B565" s="1" t="n">
        <v>44977</v>
      </c>
      <c r="C565" s="1" t="n">
        <v>46113</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67990-2021</t>
        </is>
      </c>
      <c r="B566" s="1" t="n">
        <v>44525</v>
      </c>
      <c r="C566" s="1" t="n">
        <v>46113</v>
      </c>
      <c r="D566" t="inlineStr">
        <is>
          <t>STOCKHOLMS LÄN</t>
        </is>
      </c>
      <c r="E566" t="inlineStr">
        <is>
          <t>NORRTÄLJE</t>
        </is>
      </c>
      <c r="F566" t="inlineStr">
        <is>
          <t>Sveaskog</t>
        </is>
      </c>
      <c r="G566" t="n">
        <v>7.8</v>
      </c>
      <c r="H566" t="n">
        <v>0</v>
      </c>
      <c r="I566" t="n">
        <v>0</v>
      </c>
      <c r="J566" t="n">
        <v>0</v>
      </c>
      <c r="K566" t="n">
        <v>0</v>
      </c>
      <c r="L566" t="n">
        <v>0</v>
      </c>
      <c r="M566" t="n">
        <v>0</v>
      </c>
      <c r="N566" t="n">
        <v>0</v>
      </c>
      <c r="O566" t="n">
        <v>0</v>
      </c>
      <c r="P566" t="n">
        <v>0</v>
      </c>
      <c r="Q566" t="n">
        <v>0</v>
      </c>
      <c r="R566" s="2" t="inlineStr"/>
    </row>
    <row r="567" ht="15" customHeight="1">
      <c r="A567" t="inlineStr">
        <is>
          <t>A 5027-2025</t>
        </is>
      </c>
      <c r="B567" s="1" t="n">
        <v>45691.41101851852</v>
      </c>
      <c r="C567" s="1" t="n">
        <v>46113</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48718-2025</t>
        </is>
      </c>
      <c r="B568" s="1" t="n">
        <v>45936</v>
      </c>
      <c r="C568" s="1" t="n">
        <v>46113</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48360-2025</t>
        </is>
      </c>
      <c r="B569" s="1" t="n">
        <v>45933.66253472222</v>
      </c>
      <c r="C569" s="1" t="n">
        <v>46113</v>
      </c>
      <c r="D569" t="inlineStr">
        <is>
          <t>STOCKHOLMS LÄN</t>
        </is>
      </c>
      <c r="E569" t="inlineStr">
        <is>
          <t>NORRTÄLJE</t>
        </is>
      </c>
      <c r="G569" t="n">
        <v>4.1</v>
      </c>
      <c r="H569" t="n">
        <v>0</v>
      </c>
      <c r="I569" t="n">
        <v>0</v>
      </c>
      <c r="J569" t="n">
        <v>0</v>
      </c>
      <c r="K569" t="n">
        <v>0</v>
      </c>
      <c r="L569" t="n">
        <v>0</v>
      </c>
      <c r="M569" t="n">
        <v>0</v>
      </c>
      <c r="N569" t="n">
        <v>0</v>
      </c>
      <c r="O569" t="n">
        <v>0</v>
      </c>
      <c r="P569" t="n">
        <v>0</v>
      </c>
      <c r="Q569" t="n">
        <v>0</v>
      </c>
      <c r="R569" s="2" t="inlineStr"/>
    </row>
    <row r="570" ht="15" customHeight="1">
      <c r="A570" t="inlineStr">
        <is>
          <t>A 48370-2025</t>
        </is>
      </c>
      <c r="B570" s="1" t="n">
        <v>45933.67854166667</v>
      </c>
      <c r="C570" s="1" t="n">
        <v>46113</v>
      </c>
      <c r="D570" t="inlineStr">
        <is>
          <t>STOCKHOLMS LÄN</t>
        </is>
      </c>
      <c r="E570" t="inlineStr">
        <is>
          <t>NORRTÄLJE</t>
        </is>
      </c>
      <c r="G570" t="n">
        <v>4.5</v>
      </c>
      <c r="H570" t="n">
        <v>0</v>
      </c>
      <c r="I570" t="n">
        <v>0</v>
      </c>
      <c r="J570" t="n">
        <v>0</v>
      </c>
      <c r="K570" t="n">
        <v>0</v>
      </c>
      <c r="L570" t="n">
        <v>0</v>
      </c>
      <c r="M570" t="n">
        <v>0</v>
      </c>
      <c r="N570" t="n">
        <v>0</v>
      </c>
      <c r="O570" t="n">
        <v>0</v>
      </c>
      <c r="P570" t="n">
        <v>0</v>
      </c>
      <c r="Q570" t="n">
        <v>0</v>
      </c>
      <c r="R570" s="2" t="inlineStr"/>
    </row>
    <row r="571" ht="15" customHeight="1">
      <c r="A571" t="inlineStr">
        <is>
          <t>A 8315-2025</t>
        </is>
      </c>
      <c r="B571" s="1" t="n">
        <v>45708.61761574074</v>
      </c>
      <c r="C571" s="1" t="n">
        <v>46113</v>
      </c>
      <c r="D571" t="inlineStr">
        <is>
          <t>STOCKHOLMS LÄN</t>
        </is>
      </c>
      <c r="E571" t="inlineStr">
        <is>
          <t>NORRTÄLJE</t>
        </is>
      </c>
      <c r="G571" t="n">
        <v>3.9</v>
      </c>
      <c r="H571" t="n">
        <v>0</v>
      </c>
      <c r="I571" t="n">
        <v>0</v>
      </c>
      <c r="J571" t="n">
        <v>0</v>
      </c>
      <c r="K571" t="n">
        <v>0</v>
      </c>
      <c r="L571" t="n">
        <v>0</v>
      </c>
      <c r="M571" t="n">
        <v>0</v>
      </c>
      <c r="N571" t="n">
        <v>0</v>
      </c>
      <c r="O571" t="n">
        <v>0</v>
      </c>
      <c r="P571" t="n">
        <v>0</v>
      </c>
      <c r="Q571" t="n">
        <v>0</v>
      </c>
      <c r="R571" s="2" t="inlineStr"/>
    </row>
    <row r="572" ht="15" customHeight="1">
      <c r="A572" t="inlineStr">
        <is>
          <t>A 21696-2024</t>
        </is>
      </c>
      <c r="B572" s="1" t="n">
        <v>45442.45686342593</v>
      </c>
      <c r="C572" s="1" t="n">
        <v>46113</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37136-2023</t>
        </is>
      </c>
      <c r="B573" s="1" t="n">
        <v>45155</v>
      </c>
      <c r="C573" s="1" t="n">
        <v>46113</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48443-2025</t>
        </is>
      </c>
      <c r="B574" s="1" t="n">
        <v>45935.55326388889</v>
      </c>
      <c r="C574" s="1" t="n">
        <v>46113</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53561-2023</t>
        </is>
      </c>
      <c r="B575" s="1" t="n">
        <v>45224</v>
      </c>
      <c r="C575" s="1" t="n">
        <v>46113</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12251-2025</t>
        </is>
      </c>
      <c r="B576" s="1" t="n">
        <v>45729.60859953704</v>
      </c>
      <c r="C576" s="1" t="n">
        <v>46113</v>
      </c>
      <c r="D576" t="inlineStr">
        <is>
          <t>STOCKHOLMS LÄN</t>
        </is>
      </c>
      <c r="E576" t="inlineStr">
        <is>
          <t>NORRTÄLJE</t>
        </is>
      </c>
      <c r="F576" t="inlineStr">
        <is>
          <t>Holmen skog AB</t>
        </is>
      </c>
      <c r="G576" t="n">
        <v>5.9</v>
      </c>
      <c r="H576" t="n">
        <v>0</v>
      </c>
      <c r="I576" t="n">
        <v>0</v>
      </c>
      <c r="J576" t="n">
        <v>0</v>
      </c>
      <c r="K576" t="n">
        <v>0</v>
      </c>
      <c r="L576" t="n">
        <v>0</v>
      </c>
      <c r="M576" t="n">
        <v>0</v>
      </c>
      <c r="N576" t="n">
        <v>0</v>
      </c>
      <c r="O576" t="n">
        <v>0</v>
      </c>
      <c r="P576" t="n">
        <v>0</v>
      </c>
      <c r="Q576" t="n">
        <v>0</v>
      </c>
      <c r="R576" s="2" t="inlineStr"/>
    </row>
    <row r="577" ht="15" customHeight="1">
      <c r="A577" t="inlineStr">
        <is>
          <t>A 48127-2025</t>
        </is>
      </c>
      <c r="B577" s="1" t="n">
        <v>45933.36621527778</v>
      </c>
      <c r="C577" s="1" t="n">
        <v>46113</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48364-2025</t>
        </is>
      </c>
      <c r="B578" s="1" t="n">
        <v>45933.66796296297</v>
      </c>
      <c r="C578" s="1" t="n">
        <v>46113</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48179-2025</t>
        </is>
      </c>
      <c r="B579" s="1" t="n">
        <v>45933.44907407407</v>
      </c>
      <c r="C579" s="1" t="n">
        <v>46113</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1740-2023</t>
        </is>
      </c>
      <c r="B580" s="1" t="n">
        <v>44938</v>
      </c>
      <c r="C580" s="1" t="n">
        <v>46113</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54776-2023</t>
        </is>
      </c>
      <c r="B581" s="1" t="n">
        <v>45236.46369212963</v>
      </c>
      <c r="C581" s="1" t="n">
        <v>46113</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20144-2023</t>
        </is>
      </c>
      <c r="B582" s="1" t="n">
        <v>45055.43509259259</v>
      </c>
      <c r="C582" s="1" t="n">
        <v>46113</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48174-2025</t>
        </is>
      </c>
      <c r="B583" s="1" t="n">
        <v>45933.44230324074</v>
      </c>
      <c r="C583" s="1" t="n">
        <v>46113</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48593-2025</t>
        </is>
      </c>
      <c r="B584" s="1" t="n">
        <v>45936.4627662037</v>
      </c>
      <c r="C584" s="1" t="n">
        <v>46113</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13314-2025</t>
        </is>
      </c>
      <c r="B585" s="1" t="n">
        <v>45735.59287037037</v>
      </c>
      <c r="C585" s="1" t="n">
        <v>46113</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23056-2023</t>
        </is>
      </c>
      <c r="B586" s="1" t="n">
        <v>45075</v>
      </c>
      <c r="C586" s="1" t="n">
        <v>46113</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13172-2025</t>
        </is>
      </c>
      <c r="B587" s="1" t="n">
        <v>45735.36873842592</v>
      </c>
      <c r="C587" s="1" t="n">
        <v>46113</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49129-2025</t>
        </is>
      </c>
      <c r="B588" s="1" t="n">
        <v>45937.89517361111</v>
      </c>
      <c r="C588" s="1" t="n">
        <v>46113</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5423-2023</t>
        </is>
      </c>
      <c r="B589" s="1" t="n">
        <v>44959.74533564815</v>
      </c>
      <c r="C589" s="1" t="n">
        <v>46113</v>
      </c>
      <c r="D589" t="inlineStr">
        <is>
          <t>STOCKHOLMS LÄN</t>
        </is>
      </c>
      <c r="E589" t="inlineStr">
        <is>
          <t>NORRTÄLJE</t>
        </is>
      </c>
      <c r="G589" t="n">
        <v>2</v>
      </c>
      <c r="H589" t="n">
        <v>0</v>
      </c>
      <c r="I589" t="n">
        <v>0</v>
      </c>
      <c r="J589" t="n">
        <v>0</v>
      </c>
      <c r="K589" t="n">
        <v>0</v>
      </c>
      <c r="L589" t="n">
        <v>0</v>
      </c>
      <c r="M589" t="n">
        <v>0</v>
      </c>
      <c r="N589" t="n">
        <v>0</v>
      </c>
      <c r="O589" t="n">
        <v>0</v>
      </c>
      <c r="P589" t="n">
        <v>0</v>
      </c>
      <c r="Q589" t="n">
        <v>0</v>
      </c>
      <c r="R589" s="2" t="inlineStr"/>
    </row>
    <row r="590" ht="15" customHeight="1">
      <c r="A590" t="inlineStr">
        <is>
          <t>A 58492-2022</t>
        </is>
      </c>
      <c r="B590" s="1" t="n">
        <v>44902</v>
      </c>
      <c r="C590" s="1" t="n">
        <v>46113</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48780-2025</t>
        </is>
      </c>
      <c r="B591" s="1" t="n">
        <v>45937.30377314815</v>
      </c>
      <c r="C591" s="1" t="n">
        <v>46113</v>
      </c>
      <c r="D591" t="inlineStr">
        <is>
          <t>STOCKHOLMS LÄN</t>
        </is>
      </c>
      <c r="E591" t="inlineStr">
        <is>
          <t>NORRTÄLJE</t>
        </is>
      </c>
      <c r="G591" t="n">
        <v>7.7</v>
      </c>
      <c r="H591" t="n">
        <v>0</v>
      </c>
      <c r="I591" t="n">
        <v>0</v>
      </c>
      <c r="J591" t="n">
        <v>0</v>
      </c>
      <c r="K591" t="n">
        <v>0</v>
      </c>
      <c r="L591" t="n">
        <v>0</v>
      </c>
      <c r="M591" t="n">
        <v>0</v>
      </c>
      <c r="N591" t="n">
        <v>0</v>
      </c>
      <c r="O591" t="n">
        <v>0</v>
      </c>
      <c r="P591" t="n">
        <v>0</v>
      </c>
      <c r="Q591" t="n">
        <v>0</v>
      </c>
      <c r="R591" s="2" t="inlineStr"/>
    </row>
    <row r="592" ht="15" customHeight="1">
      <c r="A592" t="inlineStr">
        <is>
          <t>A 19025-2025</t>
        </is>
      </c>
      <c r="B592" s="1" t="n">
        <v>45764.6359837963</v>
      </c>
      <c r="C592" s="1" t="n">
        <v>46113</v>
      </c>
      <c r="D592" t="inlineStr">
        <is>
          <t>STOCKHOLMS LÄN</t>
        </is>
      </c>
      <c r="E592" t="inlineStr">
        <is>
          <t>NORRTÄLJE</t>
        </is>
      </c>
      <c r="G592" t="n">
        <v>1.2</v>
      </c>
      <c r="H592" t="n">
        <v>0</v>
      </c>
      <c r="I592" t="n">
        <v>0</v>
      </c>
      <c r="J592" t="n">
        <v>0</v>
      </c>
      <c r="K592" t="n">
        <v>0</v>
      </c>
      <c r="L592" t="n">
        <v>0</v>
      </c>
      <c r="M592" t="n">
        <v>0</v>
      </c>
      <c r="N592" t="n">
        <v>0</v>
      </c>
      <c r="O592" t="n">
        <v>0</v>
      </c>
      <c r="P592" t="n">
        <v>0</v>
      </c>
      <c r="Q592" t="n">
        <v>0</v>
      </c>
      <c r="R592" s="2" t="inlineStr"/>
    </row>
    <row r="593" ht="15" customHeight="1">
      <c r="A593" t="inlineStr">
        <is>
          <t>A 25712-2025</t>
        </is>
      </c>
      <c r="B593" s="1" t="n">
        <v>45803.69228009259</v>
      </c>
      <c r="C593" s="1" t="n">
        <v>46113</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41218-2024</t>
        </is>
      </c>
      <c r="B594" s="1" t="n">
        <v>45559.54706018518</v>
      </c>
      <c r="C594" s="1" t="n">
        <v>46113</v>
      </c>
      <c r="D594" t="inlineStr">
        <is>
          <t>STOCKHOLMS LÄN</t>
        </is>
      </c>
      <c r="E594" t="inlineStr">
        <is>
          <t>NORRTÄLJE</t>
        </is>
      </c>
      <c r="G594" t="n">
        <v>6</v>
      </c>
      <c r="H594" t="n">
        <v>0</v>
      </c>
      <c r="I594" t="n">
        <v>0</v>
      </c>
      <c r="J594" t="n">
        <v>0</v>
      </c>
      <c r="K594" t="n">
        <v>0</v>
      </c>
      <c r="L594" t="n">
        <v>0</v>
      </c>
      <c r="M594" t="n">
        <v>0</v>
      </c>
      <c r="N594" t="n">
        <v>0</v>
      </c>
      <c r="O594" t="n">
        <v>0</v>
      </c>
      <c r="P594" t="n">
        <v>0</v>
      </c>
      <c r="Q594" t="n">
        <v>0</v>
      </c>
      <c r="R594" s="2" t="inlineStr"/>
    </row>
    <row r="595" ht="15" customHeight="1">
      <c r="A595" t="inlineStr">
        <is>
          <t>A 5867-2022</t>
        </is>
      </c>
      <c r="B595" s="1" t="n">
        <v>44596.66335648148</v>
      </c>
      <c r="C595" s="1" t="n">
        <v>46113</v>
      </c>
      <c r="D595" t="inlineStr">
        <is>
          <t>STOCKHOLMS LÄN</t>
        </is>
      </c>
      <c r="E595" t="inlineStr">
        <is>
          <t>NORRTÄLJE</t>
        </is>
      </c>
      <c r="F595" t="inlineStr">
        <is>
          <t>Naturvårdsverket</t>
        </is>
      </c>
      <c r="G595" t="n">
        <v>1.6</v>
      </c>
      <c r="H595" t="n">
        <v>0</v>
      </c>
      <c r="I595" t="n">
        <v>0</v>
      </c>
      <c r="J595" t="n">
        <v>0</v>
      </c>
      <c r="K595" t="n">
        <v>0</v>
      </c>
      <c r="L595" t="n">
        <v>0</v>
      </c>
      <c r="M595" t="n">
        <v>0</v>
      </c>
      <c r="N595" t="n">
        <v>0</v>
      </c>
      <c r="O595" t="n">
        <v>0</v>
      </c>
      <c r="P595" t="n">
        <v>0</v>
      </c>
      <c r="Q595" t="n">
        <v>0</v>
      </c>
      <c r="R595" s="2" t="inlineStr"/>
    </row>
    <row r="596" ht="15" customHeight="1">
      <c r="A596" t="inlineStr">
        <is>
          <t>A 26051-2025</t>
        </is>
      </c>
      <c r="B596" s="1" t="n">
        <v>45804.74479166666</v>
      </c>
      <c r="C596" s="1" t="n">
        <v>46113</v>
      </c>
      <c r="D596" t="inlineStr">
        <is>
          <t>STOCKHOLMS LÄN</t>
        </is>
      </c>
      <c r="E596" t="inlineStr">
        <is>
          <t>NORRTÄLJE</t>
        </is>
      </c>
      <c r="G596" t="n">
        <v>3.2</v>
      </c>
      <c r="H596" t="n">
        <v>0</v>
      </c>
      <c r="I596" t="n">
        <v>0</v>
      </c>
      <c r="J596" t="n">
        <v>0</v>
      </c>
      <c r="K596" t="n">
        <v>0</v>
      </c>
      <c r="L596" t="n">
        <v>0</v>
      </c>
      <c r="M596" t="n">
        <v>0</v>
      </c>
      <c r="N596" t="n">
        <v>0</v>
      </c>
      <c r="O596" t="n">
        <v>0</v>
      </c>
      <c r="P596" t="n">
        <v>0</v>
      </c>
      <c r="Q596" t="n">
        <v>0</v>
      </c>
      <c r="R596" s="2" t="inlineStr"/>
    </row>
    <row r="597" ht="15" customHeight="1">
      <c r="A597" t="inlineStr">
        <is>
          <t>A 73307-2021</t>
        </is>
      </c>
      <c r="B597" s="1" t="n">
        <v>44549</v>
      </c>
      <c r="C597" s="1" t="n">
        <v>46113</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4581-2025</t>
        </is>
      </c>
      <c r="B598" s="1" t="n">
        <v>45687</v>
      </c>
      <c r="C598" s="1" t="n">
        <v>46113</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21731-2023</t>
        </is>
      </c>
      <c r="B599" s="1" t="n">
        <v>45063</v>
      </c>
      <c r="C599" s="1" t="n">
        <v>46113</v>
      </c>
      <c r="D599" t="inlineStr">
        <is>
          <t>STOCKHOLMS LÄN</t>
        </is>
      </c>
      <c r="E599" t="inlineStr">
        <is>
          <t>NORRTÄLJE</t>
        </is>
      </c>
      <c r="G599" t="n">
        <v>2.3</v>
      </c>
      <c r="H599" t="n">
        <v>0</v>
      </c>
      <c r="I599" t="n">
        <v>0</v>
      </c>
      <c r="J599" t="n">
        <v>0</v>
      </c>
      <c r="K599" t="n">
        <v>0</v>
      </c>
      <c r="L599" t="n">
        <v>0</v>
      </c>
      <c r="M599" t="n">
        <v>0</v>
      </c>
      <c r="N599" t="n">
        <v>0</v>
      </c>
      <c r="O599" t="n">
        <v>0</v>
      </c>
      <c r="P599" t="n">
        <v>0</v>
      </c>
      <c r="Q599" t="n">
        <v>0</v>
      </c>
      <c r="R599" s="2" t="inlineStr"/>
    </row>
    <row r="600" ht="15" customHeight="1">
      <c r="A600" t="inlineStr">
        <is>
          <t>A 21745-2023</t>
        </is>
      </c>
      <c r="B600" s="1" t="n">
        <v>45065.55917824074</v>
      </c>
      <c r="C600" s="1" t="n">
        <v>46113</v>
      </c>
      <c r="D600" t="inlineStr">
        <is>
          <t>STOCKHOLMS LÄN</t>
        </is>
      </c>
      <c r="E600" t="inlineStr">
        <is>
          <t>NORRTÄLJE</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36157-2024</t>
        </is>
      </c>
      <c r="B601" s="1" t="n">
        <v>45534.38240740741</v>
      </c>
      <c r="C601" s="1" t="n">
        <v>46113</v>
      </c>
      <c r="D601" t="inlineStr">
        <is>
          <t>STOCKHOLMS LÄN</t>
        </is>
      </c>
      <c r="E601" t="inlineStr">
        <is>
          <t>NORRTÄLJE</t>
        </is>
      </c>
      <c r="F601" t="inlineStr">
        <is>
          <t>Övriga Aktiebolag</t>
        </is>
      </c>
      <c r="G601" t="n">
        <v>1.1</v>
      </c>
      <c r="H601" t="n">
        <v>0</v>
      </c>
      <c r="I601" t="n">
        <v>0</v>
      </c>
      <c r="J601" t="n">
        <v>0</v>
      </c>
      <c r="K601" t="n">
        <v>0</v>
      </c>
      <c r="L601" t="n">
        <v>0</v>
      </c>
      <c r="M601" t="n">
        <v>0</v>
      </c>
      <c r="N601" t="n">
        <v>0</v>
      </c>
      <c r="O601" t="n">
        <v>0</v>
      </c>
      <c r="P601" t="n">
        <v>0</v>
      </c>
      <c r="Q601" t="n">
        <v>0</v>
      </c>
      <c r="R601" s="2" t="inlineStr"/>
    </row>
    <row r="602" ht="15" customHeight="1">
      <c r="A602" t="inlineStr">
        <is>
          <t>A 62398-2022</t>
        </is>
      </c>
      <c r="B602" s="1" t="n">
        <v>44923.90159722222</v>
      </c>
      <c r="C602" s="1" t="n">
        <v>46113</v>
      </c>
      <c r="D602" t="inlineStr">
        <is>
          <t>STOCKHOLMS LÄN</t>
        </is>
      </c>
      <c r="E602" t="inlineStr">
        <is>
          <t>NORRTÄLJE</t>
        </is>
      </c>
      <c r="G602" t="n">
        <v>4</v>
      </c>
      <c r="H602" t="n">
        <v>0</v>
      </c>
      <c r="I602" t="n">
        <v>0</v>
      </c>
      <c r="J602" t="n">
        <v>0</v>
      </c>
      <c r="K602" t="n">
        <v>0</v>
      </c>
      <c r="L602" t="n">
        <v>0</v>
      </c>
      <c r="M602" t="n">
        <v>0</v>
      </c>
      <c r="N602" t="n">
        <v>0</v>
      </c>
      <c r="O602" t="n">
        <v>0</v>
      </c>
      <c r="P602" t="n">
        <v>0</v>
      </c>
      <c r="Q602" t="n">
        <v>0</v>
      </c>
      <c r="R602" s="2" t="inlineStr"/>
    </row>
    <row r="603" ht="15" customHeight="1">
      <c r="A603" t="inlineStr">
        <is>
          <t>A 17039-2024</t>
        </is>
      </c>
      <c r="B603" s="1" t="n">
        <v>45412.4104050926</v>
      </c>
      <c r="C603" s="1" t="n">
        <v>46113</v>
      </c>
      <c r="D603" t="inlineStr">
        <is>
          <t>STOCKHOLMS LÄN</t>
        </is>
      </c>
      <c r="E603" t="inlineStr">
        <is>
          <t>NORRTÄLJE</t>
        </is>
      </c>
      <c r="G603" t="n">
        <v>5.9</v>
      </c>
      <c r="H603" t="n">
        <v>0</v>
      </c>
      <c r="I603" t="n">
        <v>0</v>
      </c>
      <c r="J603" t="n">
        <v>0</v>
      </c>
      <c r="K603" t="n">
        <v>0</v>
      </c>
      <c r="L603" t="n">
        <v>0</v>
      </c>
      <c r="M603" t="n">
        <v>0</v>
      </c>
      <c r="N603" t="n">
        <v>0</v>
      </c>
      <c r="O603" t="n">
        <v>0</v>
      </c>
      <c r="P603" t="n">
        <v>0</v>
      </c>
      <c r="Q603" t="n">
        <v>0</v>
      </c>
      <c r="R603" s="2" t="inlineStr"/>
    </row>
    <row r="604" ht="15" customHeight="1">
      <c r="A604" t="inlineStr">
        <is>
          <t>A 30221-2024</t>
        </is>
      </c>
      <c r="B604" s="1" t="n">
        <v>45490.45342592592</v>
      </c>
      <c r="C604" s="1" t="n">
        <v>46113</v>
      </c>
      <c r="D604" t="inlineStr">
        <is>
          <t>STOCKHOLMS LÄN</t>
        </is>
      </c>
      <c r="E604" t="inlineStr">
        <is>
          <t>NORRTÄLJE</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49836-2025</t>
        </is>
      </c>
      <c r="B605" s="1" t="n">
        <v>45940.46862268518</v>
      </c>
      <c r="C605" s="1" t="n">
        <v>46113</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26365-2024</t>
        </is>
      </c>
      <c r="B606" s="1" t="n">
        <v>45469</v>
      </c>
      <c r="C606" s="1" t="n">
        <v>46113</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3509-2022</t>
        </is>
      </c>
      <c r="B607" s="1" t="n">
        <v>44585</v>
      </c>
      <c r="C607" s="1" t="n">
        <v>46113</v>
      </c>
      <c r="D607" t="inlineStr">
        <is>
          <t>STOCKHOLMS LÄN</t>
        </is>
      </c>
      <c r="E607" t="inlineStr">
        <is>
          <t>NORRTÄLJE</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39238-2024</t>
        </is>
      </c>
      <c r="B608" s="1" t="n">
        <v>45549</v>
      </c>
      <c r="C608" s="1" t="n">
        <v>46113</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38449-2022</t>
        </is>
      </c>
      <c r="B609" s="1" t="n">
        <v>44813</v>
      </c>
      <c r="C609" s="1" t="n">
        <v>46113</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50602-2021</t>
        </is>
      </c>
      <c r="B610" s="1" t="n">
        <v>44459</v>
      </c>
      <c r="C610" s="1" t="n">
        <v>46113</v>
      </c>
      <c r="D610" t="inlineStr">
        <is>
          <t>STOCKHOLMS LÄN</t>
        </is>
      </c>
      <c r="E610" t="inlineStr">
        <is>
          <t>NORRTÄLJE</t>
        </is>
      </c>
      <c r="F610" t="inlineStr">
        <is>
          <t>Holmen skog AB</t>
        </is>
      </c>
      <c r="G610" t="n">
        <v>2</v>
      </c>
      <c r="H610" t="n">
        <v>0</v>
      </c>
      <c r="I610" t="n">
        <v>0</v>
      </c>
      <c r="J610" t="n">
        <v>0</v>
      </c>
      <c r="K610" t="n">
        <v>0</v>
      </c>
      <c r="L610" t="n">
        <v>0</v>
      </c>
      <c r="M610" t="n">
        <v>0</v>
      </c>
      <c r="N610" t="n">
        <v>0</v>
      </c>
      <c r="O610" t="n">
        <v>0</v>
      </c>
      <c r="P610" t="n">
        <v>0</v>
      </c>
      <c r="Q610" t="n">
        <v>0</v>
      </c>
      <c r="R610" s="2" t="inlineStr"/>
    </row>
    <row r="611" ht="15" customHeight="1">
      <c r="A611" t="inlineStr">
        <is>
          <t>A 7697-2025</t>
        </is>
      </c>
      <c r="B611" s="1" t="n">
        <v>45706.40086805556</v>
      </c>
      <c r="C611" s="1" t="n">
        <v>46113</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46113</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25697-2025</t>
        </is>
      </c>
      <c r="B613" s="1" t="n">
        <v>45803.66587962963</v>
      </c>
      <c r="C613" s="1" t="n">
        <v>46113</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46113</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2982-2023</t>
        </is>
      </c>
      <c r="B615" s="1" t="n">
        <v>44945.67409722223</v>
      </c>
      <c r="C615" s="1" t="n">
        <v>46113</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1448-2023</t>
        </is>
      </c>
      <c r="B616" s="1" t="n">
        <v>44937</v>
      </c>
      <c r="C616" s="1" t="n">
        <v>46113</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35127-2023</t>
        </is>
      </c>
      <c r="B617" s="1" t="n">
        <v>45145.51</v>
      </c>
      <c r="C617" s="1" t="n">
        <v>46113</v>
      </c>
      <c r="D617" t="inlineStr">
        <is>
          <t>STOCKHOLMS LÄN</t>
        </is>
      </c>
      <c r="E617" t="inlineStr">
        <is>
          <t>NORRTÄLJE</t>
        </is>
      </c>
      <c r="G617" t="n">
        <v>4.7</v>
      </c>
      <c r="H617" t="n">
        <v>0</v>
      </c>
      <c r="I617" t="n">
        <v>0</v>
      </c>
      <c r="J617" t="n">
        <v>0</v>
      </c>
      <c r="K617" t="n">
        <v>0</v>
      </c>
      <c r="L617" t="n">
        <v>0</v>
      </c>
      <c r="M617" t="n">
        <v>0</v>
      </c>
      <c r="N617" t="n">
        <v>0</v>
      </c>
      <c r="O617" t="n">
        <v>0</v>
      </c>
      <c r="P617" t="n">
        <v>0</v>
      </c>
      <c r="Q617" t="n">
        <v>0</v>
      </c>
      <c r="R617" s="2" t="inlineStr"/>
    </row>
    <row r="618" ht="15" customHeight="1">
      <c r="A618" t="inlineStr">
        <is>
          <t>A 50136-2023</t>
        </is>
      </c>
      <c r="B618" s="1" t="n">
        <v>45215</v>
      </c>
      <c r="C618" s="1" t="n">
        <v>46113</v>
      </c>
      <c r="D618" t="inlineStr">
        <is>
          <t>STOCKHOLMS LÄN</t>
        </is>
      </c>
      <c r="E618" t="inlineStr">
        <is>
          <t>NORRTÄLJE</t>
        </is>
      </c>
      <c r="G618" t="n">
        <v>5.2</v>
      </c>
      <c r="H618" t="n">
        <v>0</v>
      </c>
      <c r="I618" t="n">
        <v>0</v>
      </c>
      <c r="J618" t="n">
        <v>0</v>
      </c>
      <c r="K618" t="n">
        <v>0</v>
      </c>
      <c r="L618" t="n">
        <v>0</v>
      </c>
      <c r="M618" t="n">
        <v>0</v>
      </c>
      <c r="N618" t="n">
        <v>0</v>
      </c>
      <c r="O618" t="n">
        <v>0</v>
      </c>
      <c r="P618" t="n">
        <v>0</v>
      </c>
      <c r="Q618" t="n">
        <v>0</v>
      </c>
      <c r="R618" s="2" t="inlineStr"/>
    </row>
    <row r="619" ht="15" customHeight="1">
      <c r="A619" t="inlineStr">
        <is>
          <t>A 50097-2025</t>
        </is>
      </c>
      <c r="B619" s="1" t="n">
        <v>45943.50207175926</v>
      </c>
      <c r="C619" s="1" t="n">
        <v>46113</v>
      </c>
      <c r="D619" t="inlineStr">
        <is>
          <t>STOCKHOLMS LÄN</t>
        </is>
      </c>
      <c r="E619" t="inlineStr">
        <is>
          <t>NORRTÄLJE</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47259-2024</t>
        </is>
      </c>
      <c r="B620" s="1" t="n">
        <v>45586</v>
      </c>
      <c r="C620" s="1" t="n">
        <v>46113</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30283-2022</t>
        </is>
      </c>
      <c r="B621" s="1" t="n">
        <v>44760</v>
      </c>
      <c r="C621" s="1" t="n">
        <v>46113</v>
      </c>
      <c r="D621" t="inlineStr">
        <is>
          <t>STOCKHOLMS LÄN</t>
        </is>
      </c>
      <c r="E621" t="inlineStr">
        <is>
          <t>NORRTÄLJE</t>
        </is>
      </c>
      <c r="G621" t="n">
        <v>6.2</v>
      </c>
      <c r="H621" t="n">
        <v>0</v>
      </c>
      <c r="I621" t="n">
        <v>0</v>
      </c>
      <c r="J621" t="n">
        <v>0</v>
      </c>
      <c r="K621" t="n">
        <v>0</v>
      </c>
      <c r="L621" t="n">
        <v>0</v>
      </c>
      <c r="M621" t="n">
        <v>0</v>
      </c>
      <c r="N621" t="n">
        <v>0</v>
      </c>
      <c r="O621" t="n">
        <v>0</v>
      </c>
      <c r="P621" t="n">
        <v>0</v>
      </c>
      <c r="Q621" t="n">
        <v>0</v>
      </c>
      <c r="R621" s="2" t="inlineStr"/>
    </row>
    <row r="622" ht="15" customHeight="1">
      <c r="A622" t="inlineStr">
        <is>
          <t>A 30290-2022</t>
        </is>
      </c>
      <c r="B622" s="1" t="n">
        <v>44760</v>
      </c>
      <c r="C622" s="1" t="n">
        <v>46113</v>
      </c>
      <c r="D622" t="inlineStr">
        <is>
          <t>STOCKHOLMS LÄN</t>
        </is>
      </c>
      <c r="E622" t="inlineStr">
        <is>
          <t>NORRTÄLJE</t>
        </is>
      </c>
      <c r="G622" t="n">
        <v>4.8</v>
      </c>
      <c r="H622" t="n">
        <v>0</v>
      </c>
      <c r="I622" t="n">
        <v>0</v>
      </c>
      <c r="J622" t="n">
        <v>0</v>
      </c>
      <c r="K622" t="n">
        <v>0</v>
      </c>
      <c r="L622" t="n">
        <v>0</v>
      </c>
      <c r="M622" t="n">
        <v>0</v>
      </c>
      <c r="N622" t="n">
        <v>0</v>
      </c>
      <c r="O622" t="n">
        <v>0</v>
      </c>
      <c r="P622" t="n">
        <v>0</v>
      </c>
      <c r="Q622" t="n">
        <v>0</v>
      </c>
      <c r="R622" s="2" t="inlineStr"/>
    </row>
    <row r="623" ht="15" customHeight="1">
      <c r="A623" t="inlineStr">
        <is>
          <t>A 38985-2022</t>
        </is>
      </c>
      <c r="B623" s="1" t="n">
        <v>44816</v>
      </c>
      <c r="C623" s="1" t="n">
        <v>46113</v>
      </c>
      <c r="D623" t="inlineStr">
        <is>
          <t>STOCKHOLMS LÄN</t>
        </is>
      </c>
      <c r="E623" t="inlineStr">
        <is>
          <t>NORRTÄLJE</t>
        </is>
      </c>
      <c r="G623" t="n">
        <v>10.1</v>
      </c>
      <c r="H623" t="n">
        <v>0</v>
      </c>
      <c r="I623" t="n">
        <v>0</v>
      </c>
      <c r="J623" t="n">
        <v>0</v>
      </c>
      <c r="K623" t="n">
        <v>0</v>
      </c>
      <c r="L623" t="n">
        <v>0</v>
      </c>
      <c r="M623" t="n">
        <v>0</v>
      </c>
      <c r="N623" t="n">
        <v>0</v>
      </c>
      <c r="O623" t="n">
        <v>0</v>
      </c>
      <c r="P623" t="n">
        <v>0</v>
      </c>
      <c r="Q623" t="n">
        <v>0</v>
      </c>
      <c r="R623" s="2" t="inlineStr"/>
    </row>
    <row r="624" ht="15" customHeight="1">
      <c r="A624" t="inlineStr">
        <is>
          <t>A 25625-2023</t>
        </is>
      </c>
      <c r="B624" s="1" t="n">
        <v>45089</v>
      </c>
      <c r="C624" s="1" t="n">
        <v>46113</v>
      </c>
      <c r="D624" t="inlineStr">
        <is>
          <t>STOCKHOLMS LÄN</t>
        </is>
      </c>
      <c r="E624" t="inlineStr">
        <is>
          <t>NORRTÄLJE</t>
        </is>
      </c>
      <c r="G624" t="n">
        <v>5.5</v>
      </c>
      <c r="H624" t="n">
        <v>0</v>
      </c>
      <c r="I624" t="n">
        <v>0</v>
      </c>
      <c r="J624" t="n">
        <v>0</v>
      </c>
      <c r="K624" t="n">
        <v>0</v>
      </c>
      <c r="L624" t="n">
        <v>0</v>
      </c>
      <c r="M624" t="n">
        <v>0</v>
      </c>
      <c r="N624" t="n">
        <v>0</v>
      </c>
      <c r="O624" t="n">
        <v>0</v>
      </c>
      <c r="P624" t="n">
        <v>0</v>
      </c>
      <c r="Q624" t="n">
        <v>0</v>
      </c>
      <c r="R624" s="2" t="inlineStr"/>
    </row>
    <row r="625" ht="15" customHeight="1">
      <c r="A625" t="inlineStr">
        <is>
          <t>A 50333-2025</t>
        </is>
      </c>
      <c r="B625" s="1" t="n">
        <v>45944.47178240741</v>
      </c>
      <c r="C625" s="1" t="n">
        <v>46113</v>
      </c>
      <c r="D625" t="inlineStr">
        <is>
          <t>STOCKHOLMS LÄN</t>
        </is>
      </c>
      <c r="E625" t="inlineStr">
        <is>
          <t>NORRTÄLJE</t>
        </is>
      </c>
      <c r="G625" t="n">
        <v>4.2</v>
      </c>
      <c r="H625" t="n">
        <v>0</v>
      </c>
      <c r="I625" t="n">
        <v>0</v>
      </c>
      <c r="J625" t="n">
        <v>0</v>
      </c>
      <c r="K625" t="n">
        <v>0</v>
      </c>
      <c r="L625" t="n">
        <v>0</v>
      </c>
      <c r="M625" t="n">
        <v>0</v>
      </c>
      <c r="N625" t="n">
        <v>0</v>
      </c>
      <c r="O625" t="n">
        <v>0</v>
      </c>
      <c r="P625" t="n">
        <v>0</v>
      </c>
      <c r="Q625" t="n">
        <v>0</v>
      </c>
      <c r="R625" s="2" t="inlineStr"/>
    </row>
    <row r="626" ht="15" customHeight="1">
      <c r="A626" t="inlineStr">
        <is>
          <t>A 50563-2025</t>
        </is>
      </c>
      <c r="B626" s="1" t="n">
        <v>45944</v>
      </c>
      <c r="C626" s="1" t="n">
        <v>46113</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50327-2025</t>
        </is>
      </c>
      <c r="B627" s="1" t="n">
        <v>45944.46387731482</v>
      </c>
      <c r="C627" s="1" t="n">
        <v>46113</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14132-2025</t>
        </is>
      </c>
      <c r="B628" s="1" t="n">
        <v>45740.47550925926</v>
      </c>
      <c r="C628" s="1" t="n">
        <v>46113</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14133-2025</t>
        </is>
      </c>
      <c r="B629" s="1" t="n">
        <v>45740.47724537037</v>
      </c>
      <c r="C629" s="1" t="n">
        <v>46113</v>
      </c>
      <c r="D629" t="inlineStr">
        <is>
          <t>STOCKHOLMS LÄN</t>
        </is>
      </c>
      <c r="E629" t="inlineStr">
        <is>
          <t>NORRTÄLJE</t>
        </is>
      </c>
      <c r="G629" t="n">
        <v>0.4</v>
      </c>
      <c r="H629" t="n">
        <v>0</v>
      </c>
      <c r="I629" t="n">
        <v>0</v>
      </c>
      <c r="J629" t="n">
        <v>0</v>
      </c>
      <c r="K629" t="n">
        <v>0</v>
      </c>
      <c r="L629" t="n">
        <v>0</v>
      </c>
      <c r="M629" t="n">
        <v>0</v>
      </c>
      <c r="N629" t="n">
        <v>0</v>
      </c>
      <c r="O629" t="n">
        <v>0</v>
      </c>
      <c r="P629" t="n">
        <v>0</v>
      </c>
      <c r="Q629" t="n">
        <v>0</v>
      </c>
      <c r="R629" s="2" t="inlineStr"/>
    </row>
    <row r="630" ht="15" customHeight="1">
      <c r="A630" t="inlineStr">
        <is>
          <t>A 7186-2024</t>
        </is>
      </c>
      <c r="B630" s="1" t="n">
        <v>45344</v>
      </c>
      <c r="C630" s="1" t="n">
        <v>46113</v>
      </c>
      <c r="D630" t="inlineStr">
        <is>
          <t>STOCKHOLMS LÄN</t>
        </is>
      </c>
      <c r="E630" t="inlineStr">
        <is>
          <t>NORRTÄLJE</t>
        </is>
      </c>
      <c r="G630" t="n">
        <v>4.9</v>
      </c>
      <c r="H630" t="n">
        <v>0</v>
      </c>
      <c r="I630" t="n">
        <v>0</v>
      </c>
      <c r="J630" t="n">
        <v>0</v>
      </c>
      <c r="K630" t="n">
        <v>0</v>
      </c>
      <c r="L630" t="n">
        <v>0</v>
      </c>
      <c r="M630" t="n">
        <v>0</v>
      </c>
      <c r="N630" t="n">
        <v>0</v>
      </c>
      <c r="O630" t="n">
        <v>0</v>
      </c>
      <c r="P630" t="n">
        <v>0</v>
      </c>
      <c r="Q630" t="n">
        <v>0</v>
      </c>
      <c r="R630" s="2" t="inlineStr"/>
    </row>
    <row r="631" ht="15" customHeight="1">
      <c r="A631" t="inlineStr">
        <is>
          <t>A 39202-2024</t>
        </is>
      </c>
      <c r="B631" s="1" t="n">
        <v>45548.72306712963</v>
      </c>
      <c r="C631" s="1" t="n">
        <v>46113</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26675-2025</t>
        </is>
      </c>
      <c r="B632" s="1" t="n">
        <v>45810.42393518519</v>
      </c>
      <c r="C632" s="1" t="n">
        <v>46113</v>
      </c>
      <c r="D632" t="inlineStr">
        <is>
          <t>STOCKHOLMS LÄN</t>
        </is>
      </c>
      <c r="E632" t="inlineStr">
        <is>
          <t>NORRTÄLJE</t>
        </is>
      </c>
      <c r="G632" t="n">
        <v>2.7</v>
      </c>
      <c r="H632" t="n">
        <v>0</v>
      </c>
      <c r="I632" t="n">
        <v>0</v>
      </c>
      <c r="J632" t="n">
        <v>0</v>
      </c>
      <c r="K632" t="n">
        <v>0</v>
      </c>
      <c r="L632" t="n">
        <v>0</v>
      </c>
      <c r="M632" t="n">
        <v>0</v>
      </c>
      <c r="N632" t="n">
        <v>0</v>
      </c>
      <c r="O632" t="n">
        <v>0</v>
      </c>
      <c r="P632" t="n">
        <v>0</v>
      </c>
      <c r="Q632" t="n">
        <v>0</v>
      </c>
      <c r="R632" s="2" t="inlineStr"/>
    </row>
    <row r="633" ht="15" customHeight="1">
      <c r="A633" t="inlineStr">
        <is>
          <t>A 51240-2025</t>
        </is>
      </c>
      <c r="B633" s="1" t="n">
        <v>45947.70420138889</v>
      </c>
      <c r="C633" s="1" t="n">
        <v>46113</v>
      </c>
      <c r="D633" t="inlineStr">
        <is>
          <t>STOCKHOLMS LÄN</t>
        </is>
      </c>
      <c r="E633" t="inlineStr">
        <is>
          <t>NORRTÄLJE</t>
        </is>
      </c>
      <c r="F633" t="inlineStr">
        <is>
          <t>Naturvårdsverket</t>
        </is>
      </c>
      <c r="G633" t="n">
        <v>3</v>
      </c>
      <c r="H633" t="n">
        <v>0</v>
      </c>
      <c r="I633" t="n">
        <v>0</v>
      </c>
      <c r="J633" t="n">
        <v>0</v>
      </c>
      <c r="K633" t="n">
        <v>0</v>
      </c>
      <c r="L633" t="n">
        <v>0</v>
      </c>
      <c r="M633" t="n">
        <v>0</v>
      </c>
      <c r="N633" t="n">
        <v>0</v>
      </c>
      <c r="O633" t="n">
        <v>0</v>
      </c>
      <c r="P633" t="n">
        <v>0</v>
      </c>
      <c r="Q633" t="n">
        <v>0</v>
      </c>
      <c r="R633" s="2" t="inlineStr"/>
    </row>
    <row r="634" ht="15" customHeight="1">
      <c r="A634" t="inlineStr">
        <is>
          <t>A 59477-2025</t>
        </is>
      </c>
      <c r="B634" s="1" t="n">
        <v>45989.58679398148</v>
      </c>
      <c r="C634" s="1" t="n">
        <v>46113</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51121-2025</t>
        </is>
      </c>
      <c r="B635" s="1" t="n">
        <v>45947.53293981482</v>
      </c>
      <c r="C635" s="1" t="n">
        <v>46113</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53792-2023</t>
        </is>
      </c>
      <c r="B636" s="1" t="n">
        <v>45231.34144675926</v>
      </c>
      <c r="C636" s="1" t="n">
        <v>46113</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23061-2025</t>
        </is>
      </c>
      <c r="B637" s="1" t="n">
        <v>45790.81410879629</v>
      </c>
      <c r="C637" s="1" t="n">
        <v>46113</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11280-2023</t>
        </is>
      </c>
      <c r="B638" s="1" t="n">
        <v>44992</v>
      </c>
      <c r="C638" s="1" t="n">
        <v>46113</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57442-2021</t>
        </is>
      </c>
      <c r="B639" s="1" t="n">
        <v>44483</v>
      </c>
      <c r="C639" s="1" t="n">
        <v>46113</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51532-2025</t>
        </is>
      </c>
      <c r="B640" s="1" t="n">
        <v>45950.68297453703</v>
      </c>
      <c r="C640" s="1" t="n">
        <v>46113</v>
      </c>
      <c r="D640" t="inlineStr">
        <is>
          <t>STOCKHOLMS LÄN</t>
        </is>
      </c>
      <c r="E640" t="inlineStr">
        <is>
          <t>NORRTÄLJE</t>
        </is>
      </c>
      <c r="F640" t="inlineStr">
        <is>
          <t>Naturvårdsverket</t>
        </is>
      </c>
      <c r="G640" t="n">
        <v>17.3</v>
      </c>
      <c r="H640" t="n">
        <v>0</v>
      </c>
      <c r="I640" t="n">
        <v>0</v>
      </c>
      <c r="J640" t="n">
        <v>0</v>
      </c>
      <c r="K640" t="n">
        <v>0</v>
      </c>
      <c r="L640" t="n">
        <v>0</v>
      </c>
      <c r="M640" t="n">
        <v>0</v>
      </c>
      <c r="N640" t="n">
        <v>0</v>
      </c>
      <c r="O640" t="n">
        <v>0</v>
      </c>
      <c r="P640" t="n">
        <v>0</v>
      </c>
      <c r="Q640" t="n">
        <v>0</v>
      </c>
      <c r="R640" s="2" t="inlineStr"/>
    </row>
    <row r="641" ht="15" customHeight="1">
      <c r="A641" t="inlineStr">
        <is>
          <t>A 19952-2023</t>
        </is>
      </c>
      <c r="B641" s="1" t="n">
        <v>45054.54091435186</v>
      </c>
      <c r="C641" s="1" t="n">
        <v>46113</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19994-2023</t>
        </is>
      </c>
      <c r="B642" s="1" t="n">
        <v>45054</v>
      </c>
      <c r="C642" s="1" t="n">
        <v>46113</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29003-2023</t>
        </is>
      </c>
      <c r="B643" s="1" t="n">
        <v>45104</v>
      </c>
      <c r="C643" s="1" t="n">
        <v>46113</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26747-2025</t>
        </is>
      </c>
      <c r="B644" s="1" t="n">
        <v>45810.5333912037</v>
      </c>
      <c r="C644" s="1" t="n">
        <v>46113</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51233-2025</t>
        </is>
      </c>
      <c r="B645" s="1" t="n">
        <v>45947.68232638889</v>
      </c>
      <c r="C645" s="1" t="n">
        <v>46113</v>
      </c>
      <c r="D645" t="inlineStr">
        <is>
          <t>STOCKHOLMS LÄN</t>
        </is>
      </c>
      <c r="E645" t="inlineStr">
        <is>
          <t>NORRTÄLJE</t>
        </is>
      </c>
      <c r="F645" t="inlineStr">
        <is>
          <t>Naturvårdsverket</t>
        </is>
      </c>
      <c r="G645" t="n">
        <v>8.1</v>
      </c>
      <c r="H645" t="n">
        <v>0</v>
      </c>
      <c r="I645" t="n">
        <v>0</v>
      </c>
      <c r="J645" t="n">
        <v>0</v>
      </c>
      <c r="K645" t="n">
        <v>0</v>
      </c>
      <c r="L645" t="n">
        <v>0</v>
      </c>
      <c r="M645" t="n">
        <v>0</v>
      </c>
      <c r="N645" t="n">
        <v>0</v>
      </c>
      <c r="O645" t="n">
        <v>0</v>
      </c>
      <c r="P645" t="n">
        <v>0</v>
      </c>
      <c r="Q645" t="n">
        <v>0</v>
      </c>
      <c r="R645" s="2" t="inlineStr"/>
    </row>
    <row r="646" ht="15" customHeight="1">
      <c r="A646" t="inlineStr">
        <is>
          <t>A 51236-2025</t>
        </is>
      </c>
      <c r="B646" s="1" t="n">
        <v>45947.69078703703</v>
      </c>
      <c r="C646" s="1" t="n">
        <v>46113</v>
      </c>
      <c r="D646" t="inlineStr">
        <is>
          <t>STOCKHOLMS LÄN</t>
        </is>
      </c>
      <c r="E646" t="inlineStr">
        <is>
          <t>NORRTÄLJE</t>
        </is>
      </c>
      <c r="F646" t="inlineStr">
        <is>
          <t>Naturvårdsverket</t>
        </is>
      </c>
      <c r="G646" t="n">
        <v>6.3</v>
      </c>
      <c r="H646" t="n">
        <v>0</v>
      </c>
      <c r="I646" t="n">
        <v>0</v>
      </c>
      <c r="J646" t="n">
        <v>0</v>
      </c>
      <c r="K646" t="n">
        <v>0</v>
      </c>
      <c r="L646" t="n">
        <v>0</v>
      </c>
      <c r="M646" t="n">
        <v>0</v>
      </c>
      <c r="N646" t="n">
        <v>0</v>
      </c>
      <c r="O646" t="n">
        <v>0</v>
      </c>
      <c r="P646" t="n">
        <v>0</v>
      </c>
      <c r="Q646" t="n">
        <v>0</v>
      </c>
      <c r="R646" s="2" t="inlineStr"/>
    </row>
    <row r="647" ht="15" customHeight="1">
      <c r="A647" t="inlineStr">
        <is>
          <t>A 51241-2025</t>
        </is>
      </c>
      <c r="B647" s="1" t="n">
        <v>45947.71726851852</v>
      </c>
      <c r="C647" s="1" t="n">
        <v>46113</v>
      </c>
      <c r="D647" t="inlineStr">
        <is>
          <t>STOCKHOLMS LÄN</t>
        </is>
      </c>
      <c r="E647" t="inlineStr">
        <is>
          <t>NORRTÄLJE</t>
        </is>
      </c>
      <c r="F647" t="inlineStr">
        <is>
          <t>Naturvårdsverket</t>
        </is>
      </c>
      <c r="G647" t="n">
        <v>6.4</v>
      </c>
      <c r="H647" t="n">
        <v>0</v>
      </c>
      <c r="I647" t="n">
        <v>0</v>
      </c>
      <c r="J647" t="n">
        <v>0</v>
      </c>
      <c r="K647" t="n">
        <v>0</v>
      </c>
      <c r="L647" t="n">
        <v>0</v>
      </c>
      <c r="M647" t="n">
        <v>0</v>
      </c>
      <c r="N647" t="n">
        <v>0</v>
      </c>
      <c r="O647" t="n">
        <v>0</v>
      </c>
      <c r="P647" t="n">
        <v>0</v>
      </c>
      <c r="Q647" t="n">
        <v>0</v>
      </c>
      <c r="R647" s="2" t="inlineStr"/>
    </row>
    <row r="648" ht="15" customHeight="1">
      <c r="A648" t="inlineStr">
        <is>
          <t>A 15956-2023</t>
        </is>
      </c>
      <c r="B648" s="1" t="n">
        <v>45022.61003472222</v>
      </c>
      <c r="C648" s="1" t="n">
        <v>46113</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46113</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26702-2025</t>
        </is>
      </c>
      <c r="B650" s="1" t="n">
        <v>45810.45236111111</v>
      </c>
      <c r="C650" s="1" t="n">
        <v>46113</v>
      </c>
      <c r="D650" t="inlineStr">
        <is>
          <t>STOCKHOLMS LÄN</t>
        </is>
      </c>
      <c r="E650" t="inlineStr">
        <is>
          <t>NORRTÄLJE</t>
        </is>
      </c>
      <c r="G650" t="n">
        <v>7.3</v>
      </c>
      <c r="H650" t="n">
        <v>0</v>
      </c>
      <c r="I650" t="n">
        <v>0</v>
      </c>
      <c r="J650" t="n">
        <v>0</v>
      </c>
      <c r="K650" t="n">
        <v>0</v>
      </c>
      <c r="L650" t="n">
        <v>0</v>
      </c>
      <c r="M650" t="n">
        <v>0</v>
      </c>
      <c r="N650" t="n">
        <v>0</v>
      </c>
      <c r="O650" t="n">
        <v>0</v>
      </c>
      <c r="P650" t="n">
        <v>0</v>
      </c>
      <c r="Q650" t="n">
        <v>0</v>
      </c>
      <c r="R650" s="2" t="inlineStr"/>
    </row>
    <row r="651" ht="15" customHeight="1">
      <c r="A651" t="inlineStr">
        <is>
          <t>A 13053-2022</t>
        </is>
      </c>
      <c r="B651" s="1" t="n">
        <v>44643</v>
      </c>
      <c r="C651" s="1" t="n">
        <v>46113</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51945-2025</t>
        </is>
      </c>
      <c r="B652" s="1" t="n">
        <v>45952.52679398148</v>
      </c>
      <c r="C652" s="1" t="n">
        <v>46113</v>
      </c>
      <c r="D652" t="inlineStr">
        <is>
          <t>STOCKHOLMS LÄN</t>
        </is>
      </c>
      <c r="E652" t="inlineStr">
        <is>
          <t>NORRTÄLJE</t>
        </is>
      </c>
      <c r="G652" t="n">
        <v>7</v>
      </c>
      <c r="H652" t="n">
        <v>0</v>
      </c>
      <c r="I652" t="n">
        <v>0</v>
      </c>
      <c r="J652" t="n">
        <v>0</v>
      </c>
      <c r="K652" t="n">
        <v>0</v>
      </c>
      <c r="L652" t="n">
        <v>0</v>
      </c>
      <c r="M652" t="n">
        <v>0</v>
      </c>
      <c r="N652" t="n">
        <v>0</v>
      </c>
      <c r="O652" t="n">
        <v>0</v>
      </c>
      <c r="P652" t="n">
        <v>0</v>
      </c>
      <c r="Q652" t="n">
        <v>0</v>
      </c>
      <c r="R652" s="2" t="inlineStr"/>
    </row>
    <row r="653" ht="15" customHeight="1">
      <c r="A653" t="inlineStr">
        <is>
          <t>A 51941-2025</t>
        </is>
      </c>
      <c r="B653" s="1" t="n">
        <v>45952.52261574074</v>
      </c>
      <c r="C653" s="1" t="n">
        <v>46113</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26708-2025</t>
        </is>
      </c>
      <c r="B654" s="1" t="n">
        <v>45810.45633101852</v>
      </c>
      <c r="C654" s="1" t="n">
        <v>46113</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52061-2025</t>
        </is>
      </c>
      <c r="B655" s="1" t="n">
        <v>45952.63679398148</v>
      </c>
      <c r="C655" s="1" t="n">
        <v>46113</v>
      </c>
      <c r="D655" t="inlineStr">
        <is>
          <t>STOCKHOLMS LÄN</t>
        </is>
      </c>
      <c r="E655" t="inlineStr">
        <is>
          <t>NORRTÄLJE</t>
        </is>
      </c>
      <c r="G655" t="n">
        <v>9.5</v>
      </c>
      <c r="H655" t="n">
        <v>0</v>
      </c>
      <c r="I655" t="n">
        <v>0</v>
      </c>
      <c r="J655" t="n">
        <v>0</v>
      </c>
      <c r="K655" t="n">
        <v>0</v>
      </c>
      <c r="L655" t="n">
        <v>0</v>
      </c>
      <c r="M655" t="n">
        <v>0</v>
      </c>
      <c r="N655" t="n">
        <v>0</v>
      </c>
      <c r="O655" t="n">
        <v>0</v>
      </c>
      <c r="P655" t="n">
        <v>0</v>
      </c>
      <c r="Q655" t="n">
        <v>0</v>
      </c>
      <c r="R655" s="2" t="inlineStr"/>
    </row>
    <row r="656" ht="15" customHeight="1">
      <c r="A656" t="inlineStr">
        <is>
          <t>A 3383-2023</t>
        </is>
      </c>
      <c r="B656" s="1" t="n">
        <v>44949</v>
      </c>
      <c r="C656" s="1" t="n">
        <v>46113</v>
      </c>
      <c r="D656" t="inlineStr">
        <is>
          <t>STOCKHOLMS LÄN</t>
        </is>
      </c>
      <c r="E656" t="inlineStr">
        <is>
          <t>NORRTÄLJE</t>
        </is>
      </c>
      <c r="G656" t="n">
        <v>14.6</v>
      </c>
      <c r="H656" t="n">
        <v>0</v>
      </c>
      <c r="I656" t="n">
        <v>0</v>
      </c>
      <c r="J656" t="n">
        <v>0</v>
      </c>
      <c r="K656" t="n">
        <v>0</v>
      </c>
      <c r="L656" t="n">
        <v>0</v>
      </c>
      <c r="M656" t="n">
        <v>0</v>
      </c>
      <c r="N656" t="n">
        <v>0</v>
      </c>
      <c r="O656" t="n">
        <v>0</v>
      </c>
      <c r="P656" t="n">
        <v>0</v>
      </c>
      <c r="Q656" t="n">
        <v>0</v>
      </c>
      <c r="R656" s="2" t="inlineStr"/>
    </row>
    <row r="657" ht="15" customHeight="1">
      <c r="A657" t="inlineStr">
        <is>
          <t>A 4316-2023</t>
        </is>
      </c>
      <c r="B657" s="1" t="n">
        <v>44953.67443287037</v>
      </c>
      <c r="C657" s="1" t="n">
        <v>46113</v>
      </c>
      <c r="D657" t="inlineStr">
        <is>
          <t>STOCKHOLMS LÄN</t>
        </is>
      </c>
      <c r="E657" t="inlineStr">
        <is>
          <t>NORRTÄLJE</t>
        </is>
      </c>
      <c r="G657" t="n">
        <v>2.1</v>
      </c>
      <c r="H657" t="n">
        <v>0</v>
      </c>
      <c r="I657" t="n">
        <v>0</v>
      </c>
      <c r="J657" t="n">
        <v>0</v>
      </c>
      <c r="K657" t="n">
        <v>0</v>
      </c>
      <c r="L657" t="n">
        <v>0</v>
      </c>
      <c r="M657" t="n">
        <v>0</v>
      </c>
      <c r="N657" t="n">
        <v>0</v>
      </c>
      <c r="O657" t="n">
        <v>0</v>
      </c>
      <c r="P657" t="n">
        <v>0</v>
      </c>
      <c r="Q657" t="n">
        <v>0</v>
      </c>
      <c r="R657" s="2" t="inlineStr"/>
    </row>
    <row r="658" ht="15" customHeight="1">
      <c r="A658" t="inlineStr">
        <is>
          <t>A 51960-2025</t>
        </is>
      </c>
      <c r="B658" s="1" t="n">
        <v>45952.54755787037</v>
      </c>
      <c r="C658" s="1" t="n">
        <v>46113</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51789-2025</t>
        </is>
      </c>
      <c r="B659" s="1" t="n">
        <v>45951.68046296296</v>
      </c>
      <c r="C659" s="1" t="n">
        <v>46113</v>
      </c>
      <c r="D659" t="inlineStr">
        <is>
          <t>STOCKHOLMS LÄN</t>
        </is>
      </c>
      <c r="E659" t="inlineStr">
        <is>
          <t>NORRTÄLJE</t>
        </is>
      </c>
      <c r="F659" t="inlineStr">
        <is>
          <t>Naturvårdsverket</t>
        </is>
      </c>
      <c r="G659" t="n">
        <v>8.9</v>
      </c>
      <c r="H659" t="n">
        <v>0</v>
      </c>
      <c r="I659" t="n">
        <v>0</v>
      </c>
      <c r="J659" t="n">
        <v>0</v>
      </c>
      <c r="K659" t="n">
        <v>0</v>
      </c>
      <c r="L659" t="n">
        <v>0</v>
      </c>
      <c r="M659" t="n">
        <v>0</v>
      </c>
      <c r="N659" t="n">
        <v>0</v>
      </c>
      <c r="O659" t="n">
        <v>0</v>
      </c>
      <c r="P659" t="n">
        <v>0</v>
      </c>
      <c r="Q659" t="n">
        <v>0</v>
      </c>
      <c r="R659" s="2" t="inlineStr"/>
    </row>
    <row r="660" ht="15" customHeight="1">
      <c r="A660" t="inlineStr">
        <is>
          <t>A 5839-2023</t>
        </is>
      </c>
      <c r="B660" s="1" t="n">
        <v>44963</v>
      </c>
      <c r="C660" s="1" t="n">
        <v>46113</v>
      </c>
      <c r="D660" t="inlineStr">
        <is>
          <t>STOCKHOLMS LÄN</t>
        </is>
      </c>
      <c r="E660" t="inlineStr">
        <is>
          <t>NORRTÄLJE</t>
        </is>
      </c>
      <c r="G660" t="n">
        <v>3.6</v>
      </c>
      <c r="H660" t="n">
        <v>0</v>
      </c>
      <c r="I660" t="n">
        <v>0</v>
      </c>
      <c r="J660" t="n">
        <v>0</v>
      </c>
      <c r="K660" t="n">
        <v>0</v>
      </c>
      <c r="L660" t="n">
        <v>0</v>
      </c>
      <c r="M660" t="n">
        <v>0</v>
      </c>
      <c r="N660" t="n">
        <v>0</v>
      </c>
      <c r="O660" t="n">
        <v>0</v>
      </c>
      <c r="P660" t="n">
        <v>0</v>
      </c>
      <c r="Q660" t="n">
        <v>0</v>
      </c>
      <c r="R660" s="2" t="inlineStr"/>
    </row>
    <row r="661" ht="15" customHeight="1">
      <c r="A661" t="inlineStr">
        <is>
          <t>A 27040-2025</t>
        </is>
      </c>
      <c r="B661" s="1" t="n">
        <v>45811.60451388889</v>
      </c>
      <c r="C661" s="1" t="n">
        <v>46113</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52529-2025</t>
        </is>
      </c>
      <c r="B662" s="1" t="n">
        <v>45954.53229166667</v>
      </c>
      <c r="C662" s="1" t="n">
        <v>46113</v>
      </c>
      <c r="D662" t="inlineStr">
        <is>
          <t>STOCKHOLMS LÄN</t>
        </is>
      </c>
      <c r="E662" t="inlineStr">
        <is>
          <t>NORRTÄLJE</t>
        </is>
      </c>
      <c r="F662" t="inlineStr">
        <is>
          <t>Sveaskog</t>
        </is>
      </c>
      <c r="G662" t="n">
        <v>7.8</v>
      </c>
      <c r="H662" t="n">
        <v>0</v>
      </c>
      <c r="I662" t="n">
        <v>0</v>
      </c>
      <c r="J662" t="n">
        <v>0</v>
      </c>
      <c r="K662" t="n">
        <v>0</v>
      </c>
      <c r="L662" t="n">
        <v>0</v>
      </c>
      <c r="M662" t="n">
        <v>0</v>
      </c>
      <c r="N662" t="n">
        <v>0</v>
      </c>
      <c r="O662" t="n">
        <v>0</v>
      </c>
      <c r="P662" t="n">
        <v>0</v>
      </c>
      <c r="Q662" t="n">
        <v>0</v>
      </c>
      <c r="R662" s="2" t="inlineStr"/>
    </row>
    <row r="663" ht="15" customHeight="1">
      <c r="A663" t="inlineStr">
        <is>
          <t>A 52251-2025</t>
        </is>
      </c>
      <c r="B663" s="1" t="n">
        <v>45953.49185185185</v>
      </c>
      <c r="C663" s="1" t="n">
        <v>46113</v>
      </c>
      <c r="D663" t="inlineStr">
        <is>
          <t>STOCKHOLMS LÄN</t>
        </is>
      </c>
      <c r="E663" t="inlineStr">
        <is>
          <t>NORRTÄLJE</t>
        </is>
      </c>
      <c r="G663" t="n">
        <v>6.2</v>
      </c>
      <c r="H663" t="n">
        <v>0</v>
      </c>
      <c r="I663" t="n">
        <v>0</v>
      </c>
      <c r="J663" t="n">
        <v>0</v>
      </c>
      <c r="K663" t="n">
        <v>0</v>
      </c>
      <c r="L663" t="n">
        <v>0</v>
      </c>
      <c r="M663" t="n">
        <v>0</v>
      </c>
      <c r="N663" t="n">
        <v>0</v>
      </c>
      <c r="O663" t="n">
        <v>0</v>
      </c>
      <c r="P663" t="n">
        <v>0</v>
      </c>
      <c r="Q663" t="n">
        <v>0</v>
      </c>
      <c r="R663" s="2" t="inlineStr"/>
    </row>
    <row r="664" ht="15" customHeight="1">
      <c r="A664" t="inlineStr">
        <is>
          <t>A 52254-2025</t>
        </is>
      </c>
      <c r="B664" s="1" t="n">
        <v>45953.49519675926</v>
      </c>
      <c r="C664" s="1" t="n">
        <v>46113</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5804-2025</t>
        </is>
      </c>
      <c r="B665" s="1" t="n">
        <v>45694.68207175926</v>
      </c>
      <c r="C665" s="1" t="n">
        <v>46113</v>
      </c>
      <c r="D665" t="inlineStr">
        <is>
          <t>STOCKHOLMS LÄN</t>
        </is>
      </c>
      <c r="E665" t="inlineStr">
        <is>
          <t>NORRTÄLJE</t>
        </is>
      </c>
      <c r="F665" t="inlineStr">
        <is>
          <t>Holmen skog AB</t>
        </is>
      </c>
      <c r="G665" t="n">
        <v>2.6</v>
      </c>
      <c r="H665" t="n">
        <v>0</v>
      </c>
      <c r="I665" t="n">
        <v>0</v>
      </c>
      <c r="J665" t="n">
        <v>0</v>
      </c>
      <c r="K665" t="n">
        <v>0</v>
      </c>
      <c r="L665" t="n">
        <v>0</v>
      </c>
      <c r="M665" t="n">
        <v>0</v>
      </c>
      <c r="N665" t="n">
        <v>0</v>
      </c>
      <c r="O665" t="n">
        <v>0</v>
      </c>
      <c r="P665" t="n">
        <v>0</v>
      </c>
      <c r="Q665" t="n">
        <v>0</v>
      </c>
      <c r="R665" s="2" t="inlineStr"/>
    </row>
    <row r="666" ht="15" customHeight="1">
      <c r="A666" t="inlineStr">
        <is>
          <t>A 52526-2025</t>
        </is>
      </c>
      <c r="B666" s="1" t="n">
        <v>45954.53061342592</v>
      </c>
      <c r="C666" s="1" t="n">
        <v>46113</v>
      </c>
      <c r="D666" t="inlineStr">
        <is>
          <t>STOCKHOLMS LÄN</t>
        </is>
      </c>
      <c r="E666" t="inlineStr">
        <is>
          <t>NORRTÄLJE</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24705-2023</t>
        </is>
      </c>
      <c r="B667" s="1" t="n">
        <v>45084.54459490741</v>
      </c>
      <c r="C667" s="1" t="n">
        <v>46113</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54358-2022</t>
        </is>
      </c>
      <c r="B668" s="1" t="n">
        <v>44882</v>
      </c>
      <c r="C668" s="1" t="n">
        <v>46113</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23749-2024</t>
        </is>
      </c>
      <c r="B669" s="1" t="n">
        <v>45455.33037037037</v>
      </c>
      <c r="C669" s="1" t="n">
        <v>46113</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35698-2023</t>
        </is>
      </c>
      <c r="B670" s="1" t="n">
        <v>45147</v>
      </c>
      <c r="C670" s="1" t="n">
        <v>46113</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46113</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52729-2025</t>
        </is>
      </c>
      <c r="B672" s="1" t="n">
        <v>45957.3636574074</v>
      </c>
      <c r="C672" s="1" t="n">
        <v>46113</v>
      </c>
      <c r="D672" t="inlineStr">
        <is>
          <t>STOCKHOLMS LÄN</t>
        </is>
      </c>
      <c r="E672" t="inlineStr">
        <is>
          <t>NORRTÄLJE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52777-2025</t>
        </is>
      </c>
      <c r="B673" s="1" t="n">
        <v>45957.41832175926</v>
      </c>
      <c r="C673" s="1" t="n">
        <v>46113</v>
      </c>
      <c r="D673" t="inlineStr">
        <is>
          <t>STOCKHOLMS LÄN</t>
        </is>
      </c>
      <c r="E673" t="inlineStr">
        <is>
          <t>NORRTÄLJE</t>
        </is>
      </c>
      <c r="F673" t="inlineStr">
        <is>
          <t>Sveaskog</t>
        </is>
      </c>
      <c r="G673" t="n">
        <v>1.9</v>
      </c>
      <c r="H673" t="n">
        <v>0</v>
      </c>
      <c r="I673" t="n">
        <v>0</v>
      </c>
      <c r="J673" t="n">
        <v>0</v>
      </c>
      <c r="K673" t="n">
        <v>0</v>
      </c>
      <c r="L673" t="n">
        <v>0</v>
      </c>
      <c r="M673" t="n">
        <v>0</v>
      </c>
      <c r="N673" t="n">
        <v>0</v>
      </c>
      <c r="O673" t="n">
        <v>0</v>
      </c>
      <c r="P673" t="n">
        <v>0</v>
      </c>
      <c r="Q673" t="n">
        <v>0</v>
      </c>
      <c r="R673" s="2" t="inlineStr"/>
    </row>
    <row r="674" ht="15" customHeight="1">
      <c r="A674" t="inlineStr">
        <is>
          <t>A 52553-2025</t>
        </is>
      </c>
      <c r="B674" s="1" t="n">
        <v>45954.5624537037</v>
      </c>
      <c r="C674" s="1" t="n">
        <v>46113</v>
      </c>
      <c r="D674" t="inlineStr">
        <is>
          <t>STOCKHOLMS LÄN</t>
        </is>
      </c>
      <c r="E674" t="inlineStr">
        <is>
          <t>NORRTÄLJE</t>
        </is>
      </c>
      <c r="G674" t="n">
        <v>4.4</v>
      </c>
      <c r="H674" t="n">
        <v>0</v>
      </c>
      <c r="I674" t="n">
        <v>0</v>
      </c>
      <c r="J674" t="n">
        <v>0</v>
      </c>
      <c r="K674" t="n">
        <v>0</v>
      </c>
      <c r="L674" t="n">
        <v>0</v>
      </c>
      <c r="M674" t="n">
        <v>0</v>
      </c>
      <c r="N674" t="n">
        <v>0</v>
      </c>
      <c r="O674" t="n">
        <v>0</v>
      </c>
      <c r="P674" t="n">
        <v>0</v>
      </c>
      <c r="Q674" t="n">
        <v>0</v>
      </c>
      <c r="R674" s="2" t="inlineStr"/>
    </row>
    <row r="675" ht="15" customHeight="1">
      <c r="A675" t="inlineStr">
        <is>
          <t>A 21329-2022</t>
        </is>
      </c>
      <c r="B675" s="1" t="n">
        <v>44705.60626157407</v>
      </c>
      <c r="C675" s="1" t="n">
        <v>46113</v>
      </c>
      <c r="D675" t="inlineStr">
        <is>
          <t>STOCKHOLMS LÄN</t>
        </is>
      </c>
      <c r="E675" t="inlineStr">
        <is>
          <t>NORRTÄLJE</t>
        </is>
      </c>
      <c r="G675" t="n">
        <v>4.1</v>
      </c>
      <c r="H675" t="n">
        <v>0</v>
      </c>
      <c r="I675" t="n">
        <v>0</v>
      </c>
      <c r="J675" t="n">
        <v>0</v>
      </c>
      <c r="K675" t="n">
        <v>0</v>
      </c>
      <c r="L675" t="n">
        <v>0</v>
      </c>
      <c r="M675" t="n">
        <v>0</v>
      </c>
      <c r="N675" t="n">
        <v>0</v>
      </c>
      <c r="O675" t="n">
        <v>0</v>
      </c>
      <c r="P675" t="n">
        <v>0</v>
      </c>
      <c r="Q675" t="n">
        <v>0</v>
      </c>
      <c r="R675" s="2" t="inlineStr"/>
    </row>
    <row r="676" ht="15" customHeight="1">
      <c r="A676" t="inlineStr">
        <is>
          <t>A 53087-2025</t>
        </is>
      </c>
      <c r="B676" s="1" t="n">
        <v>45958.41065972222</v>
      </c>
      <c r="C676" s="1" t="n">
        <v>46113</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54276-2021</t>
        </is>
      </c>
      <c r="B677" s="1" t="n">
        <v>44470</v>
      </c>
      <c r="C677" s="1" t="n">
        <v>46113</v>
      </c>
      <c r="D677" t="inlineStr">
        <is>
          <t>STOCKHOLMS LÄN</t>
        </is>
      </c>
      <c r="E677" t="inlineStr">
        <is>
          <t>NORRTÄLJE</t>
        </is>
      </c>
      <c r="G677" t="n">
        <v>7.3</v>
      </c>
      <c r="H677" t="n">
        <v>0</v>
      </c>
      <c r="I677" t="n">
        <v>0</v>
      </c>
      <c r="J677" t="n">
        <v>0</v>
      </c>
      <c r="K677" t="n">
        <v>0</v>
      </c>
      <c r="L677" t="n">
        <v>0</v>
      </c>
      <c r="M677" t="n">
        <v>0</v>
      </c>
      <c r="N677" t="n">
        <v>0</v>
      </c>
      <c r="O677" t="n">
        <v>0</v>
      </c>
      <c r="P677" t="n">
        <v>0</v>
      </c>
      <c r="Q677" t="n">
        <v>0</v>
      </c>
      <c r="R677" s="2" t="inlineStr"/>
    </row>
    <row r="678" ht="15" customHeight="1">
      <c r="A678" t="inlineStr">
        <is>
          <t>A 52704-2025</t>
        </is>
      </c>
      <c r="B678" s="1" t="n">
        <v>45956.89097222222</v>
      </c>
      <c r="C678" s="1" t="n">
        <v>46113</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52734-2025</t>
        </is>
      </c>
      <c r="B679" s="1" t="n">
        <v>45957.3710300926</v>
      </c>
      <c r="C679" s="1" t="n">
        <v>46113</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10090-2022</t>
        </is>
      </c>
      <c r="B680" s="1" t="n">
        <v>44621</v>
      </c>
      <c r="C680" s="1" t="n">
        <v>46113</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13785-2024</t>
        </is>
      </c>
      <c r="B681" s="1" t="n">
        <v>45391.3395949074</v>
      </c>
      <c r="C681" s="1" t="n">
        <v>46113</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51116-2022</t>
        </is>
      </c>
      <c r="B682" s="1" t="n">
        <v>44868.45741898148</v>
      </c>
      <c r="C682" s="1" t="n">
        <v>46113</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52773-2025</t>
        </is>
      </c>
      <c r="B683" s="1" t="n">
        <v>45957.41457175926</v>
      </c>
      <c r="C683" s="1" t="n">
        <v>46113</v>
      </c>
      <c r="D683" t="inlineStr">
        <is>
          <t>STOCKHOLMS LÄN</t>
        </is>
      </c>
      <c r="E683" t="inlineStr">
        <is>
          <t>NORRTÄLJE</t>
        </is>
      </c>
      <c r="F683" t="inlineStr">
        <is>
          <t>Sveaskog</t>
        </is>
      </c>
      <c r="G683" t="n">
        <v>10.5</v>
      </c>
      <c r="H683" t="n">
        <v>0</v>
      </c>
      <c r="I683" t="n">
        <v>0</v>
      </c>
      <c r="J683" t="n">
        <v>0</v>
      </c>
      <c r="K683" t="n">
        <v>0</v>
      </c>
      <c r="L683" t="n">
        <v>0</v>
      </c>
      <c r="M683" t="n">
        <v>0</v>
      </c>
      <c r="N683" t="n">
        <v>0</v>
      </c>
      <c r="O683" t="n">
        <v>0</v>
      </c>
      <c r="P683" t="n">
        <v>0</v>
      </c>
      <c r="Q683" t="n">
        <v>0</v>
      </c>
      <c r="R683" s="2" t="inlineStr"/>
    </row>
    <row r="684" ht="15" customHeight="1">
      <c r="A684" t="inlineStr">
        <is>
          <t>A 52776-2025</t>
        </is>
      </c>
      <c r="B684" s="1" t="n">
        <v>45957.41724537037</v>
      </c>
      <c r="C684" s="1" t="n">
        <v>46113</v>
      </c>
      <c r="D684" t="inlineStr">
        <is>
          <t>STOCKHOLMS LÄN</t>
        </is>
      </c>
      <c r="E684" t="inlineStr">
        <is>
          <t>NORRTÄLJE</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52703-2025</t>
        </is>
      </c>
      <c r="B685" s="1" t="n">
        <v>45956.88643518519</v>
      </c>
      <c r="C685" s="1" t="n">
        <v>46113</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29972-2024</t>
        </is>
      </c>
      <c r="B686" s="1" t="n">
        <v>45485</v>
      </c>
      <c r="C686" s="1" t="n">
        <v>46113</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27697-2025</t>
        </is>
      </c>
      <c r="B687" s="1" t="n">
        <v>45813.66961805556</v>
      </c>
      <c r="C687" s="1" t="n">
        <v>46113</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27700-2025</t>
        </is>
      </c>
      <c r="B688" s="1" t="n">
        <v>45813.6799537037</v>
      </c>
      <c r="C688" s="1" t="n">
        <v>46113</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27554-2025</t>
        </is>
      </c>
      <c r="B689" s="1" t="n">
        <v>45813.4709375</v>
      </c>
      <c r="C689" s="1" t="n">
        <v>46113</v>
      </c>
      <c r="D689" t="inlineStr">
        <is>
          <t>STOCKHOLMS LÄN</t>
        </is>
      </c>
      <c r="E689" t="inlineStr">
        <is>
          <t>NORRTÄLJE</t>
        </is>
      </c>
      <c r="F689" t="inlineStr">
        <is>
          <t>Övriga Aktiebolag</t>
        </is>
      </c>
      <c r="G689" t="n">
        <v>2.5</v>
      </c>
      <c r="H689" t="n">
        <v>0</v>
      </c>
      <c r="I689" t="n">
        <v>0</v>
      </c>
      <c r="J689" t="n">
        <v>0</v>
      </c>
      <c r="K689" t="n">
        <v>0</v>
      </c>
      <c r="L689" t="n">
        <v>0</v>
      </c>
      <c r="M689" t="n">
        <v>0</v>
      </c>
      <c r="N689" t="n">
        <v>0</v>
      </c>
      <c r="O689" t="n">
        <v>0</v>
      </c>
      <c r="P689" t="n">
        <v>0</v>
      </c>
      <c r="Q689" t="n">
        <v>0</v>
      </c>
      <c r="R689" s="2" t="inlineStr"/>
    </row>
    <row r="690" ht="15" customHeight="1">
      <c r="A690" t="inlineStr">
        <is>
          <t>A 53000-2025</t>
        </is>
      </c>
      <c r="B690" s="1" t="n">
        <v>45957.74357638889</v>
      </c>
      <c r="C690" s="1" t="n">
        <v>46113</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53115-2025</t>
        </is>
      </c>
      <c r="B691" s="1" t="n">
        <v>45958.44614583333</v>
      </c>
      <c r="C691" s="1" t="n">
        <v>46113</v>
      </c>
      <c r="D691" t="inlineStr">
        <is>
          <t>STOCKHOLMS LÄN</t>
        </is>
      </c>
      <c r="E691" t="inlineStr">
        <is>
          <t>NORRTÄLJE</t>
        </is>
      </c>
      <c r="F691" t="inlineStr">
        <is>
          <t>Kyrkan</t>
        </is>
      </c>
      <c r="G691" t="n">
        <v>2.5</v>
      </c>
      <c r="H691" t="n">
        <v>0</v>
      </c>
      <c r="I691" t="n">
        <v>0</v>
      </c>
      <c r="J691" t="n">
        <v>0</v>
      </c>
      <c r="K691" t="n">
        <v>0</v>
      </c>
      <c r="L691" t="n">
        <v>0</v>
      </c>
      <c r="M691" t="n">
        <v>0</v>
      </c>
      <c r="N691" t="n">
        <v>0</v>
      </c>
      <c r="O691" t="n">
        <v>0</v>
      </c>
      <c r="P691" t="n">
        <v>0</v>
      </c>
      <c r="Q691" t="n">
        <v>0</v>
      </c>
      <c r="R691" s="2" t="inlineStr"/>
    </row>
    <row r="692" ht="15" customHeight="1">
      <c r="A692" t="inlineStr">
        <is>
          <t>A 28809-2023</t>
        </is>
      </c>
      <c r="B692" s="1" t="n">
        <v>45104</v>
      </c>
      <c r="C692" s="1" t="n">
        <v>46113</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28813-2023</t>
        </is>
      </c>
      <c r="B693" s="1" t="n">
        <v>45104</v>
      </c>
      <c r="C693" s="1" t="n">
        <v>46113</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19131-2025</t>
        </is>
      </c>
      <c r="B694" s="1" t="n">
        <v>45769</v>
      </c>
      <c r="C694" s="1" t="n">
        <v>46113</v>
      </c>
      <c r="D694" t="inlineStr">
        <is>
          <t>STOCKHOLMS LÄN</t>
        </is>
      </c>
      <c r="E694" t="inlineStr">
        <is>
          <t>NORRTÄLJE</t>
        </is>
      </c>
      <c r="G694" t="n">
        <v>1.6</v>
      </c>
      <c r="H694" t="n">
        <v>0</v>
      </c>
      <c r="I694" t="n">
        <v>0</v>
      </c>
      <c r="J694" t="n">
        <v>0</v>
      </c>
      <c r="K694" t="n">
        <v>0</v>
      </c>
      <c r="L694" t="n">
        <v>0</v>
      </c>
      <c r="M694" t="n">
        <v>0</v>
      </c>
      <c r="N694" t="n">
        <v>0</v>
      </c>
      <c r="O694" t="n">
        <v>0</v>
      </c>
      <c r="P694" t="n">
        <v>0</v>
      </c>
      <c r="Q694" t="n">
        <v>0</v>
      </c>
      <c r="R694" s="2" t="inlineStr"/>
    </row>
    <row r="695" ht="15" customHeight="1">
      <c r="A695" t="inlineStr">
        <is>
          <t>A 11929-2024</t>
        </is>
      </c>
      <c r="B695" s="1" t="n">
        <v>45376.64532407407</v>
      </c>
      <c r="C695" s="1" t="n">
        <v>46113</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53629-2025</t>
        </is>
      </c>
      <c r="B696" s="1" t="n">
        <v>45960.49570601852</v>
      </c>
      <c r="C696" s="1" t="n">
        <v>46113</v>
      </c>
      <c r="D696" t="inlineStr">
        <is>
          <t>STOCKHOLMS LÄN</t>
        </is>
      </c>
      <c r="E696" t="inlineStr">
        <is>
          <t>NORRTÄLJE</t>
        </is>
      </c>
      <c r="F696" t="inlineStr">
        <is>
          <t>Naturvårdsverket</t>
        </is>
      </c>
      <c r="G696" t="n">
        <v>7.9</v>
      </c>
      <c r="H696" t="n">
        <v>0</v>
      </c>
      <c r="I696" t="n">
        <v>0</v>
      </c>
      <c r="J696" t="n">
        <v>0</v>
      </c>
      <c r="K696" t="n">
        <v>0</v>
      </c>
      <c r="L696" t="n">
        <v>0</v>
      </c>
      <c r="M696" t="n">
        <v>0</v>
      </c>
      <c r="N696" t="n">
        <v>0</v>
      </c>
      <c r="O696" t="n">
        <v>0</v>
      </c>
      <c r="P696" t="n">
        <v>0</v>
      </c>
      <c r="Q696" t="n">
        <v>0</v>
      </c>
      <c r="R696" s="2" t="inlineStr"/>
    </row>
    <row r="697" ht="15" customHeight="1">
      <c r="A697" t="inlineStr">
        <is>
          <t>A 11901-2024</t>
        </is>
      </c>
      <c r="B697" s="1" t="n">
        <v>45376.55638888889</v>
      </c>
      <c r="C697" s="1" t="n">
        <v>46113</v>
      </c>
      <c r="D697" t="inlineStr">
        <is>
          <t>STOCKHOLMS LÄN</t>
        </is>
      </c>
      <c r="E697" t="inlineStr">
        <is>
          <t>NORRTÄLJE</t>
        </is>
      </c>
      <c r="F697" t="inlineStr">
        <is>
          <t>Holmen skog AB</t>
        </is>
      </c>
      <c r="G697" t="n">
        <v>3.5</v>
      </c>
      <c r="H697" t="n">
        <v>0</v>
      </c>
      <c r="I697" t="n">
        <v>0</v>
      </c>
      <c r="J697" t="n">
        <v>0</v>
      </c>
      <c r="K697" t="n">
        <v>0</v>
      </c>
      <c r="L697" t="n">
        <v>0</v>
      </c>
      <c r="M697" t="n">
        <v>0</v>
      </c>
      <c r="N697" t="n">
        <v>0</v>
      </c>
      <c r="O697" t="n">
        <v>0</v>
      </c>
      <c r="P697" t="n">
        <v>0</v>
      </c>
      <c r="Q697" t="n">
        <v>0</v>
      </c>
      <c r="R697" s="2" t="inlineStr"/>
    </row>
    <row r="698" ht="15" customHeight="1">
      <c r="A698" t="inlineStr">
        <is>
          <t>A 64145-2021</t>
        </is>
      </c>
      <c r="B698" s="1" t="n">
        <v>44510</v>
      </c>
      <c r="C698" s="1" t="n">
        <v>46113</v>
      </c>
      <c r="D698" t="inlineStr">
        <is>
          <t>STOCKHOLMS LÄN</t>
        </is>
      </c>
      <c r="E698" t="inlineStr">
        <is>
          <t>NORRTÄLJE</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45451-2024</t>
        </is>
      </c>
      <c r="B699" s="1" t="n">
        <v>45576</v>
      </c>
      <c r="C699" s="1" t="n">
        <v>46113</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53747-2025</t>
        </is>
      </c>
      <c r="B700" s="1" t="n">
        <v>45960.65415509259</v>
      </c>
      <c r="C700" s="1" t="n">
        <v>46113</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53299-2025</t>
        </is>
      </c>
      <c r="B701" s="1" t="n">
        <v>45959.31901620371</v>
      </c>
      <c r="C701" s="1" t="n">
        <v>46113</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27802-2025</t>
        </is>
      </c>
      <c r="B702" s="1" t="n">
        <v>45817.2565625</v>
      </c>
      <c r="C702" s="1" t="n">
        <v>46113</v>
      </c>
      <c r="D702" t="inlineStr">
        <is>
          <t>STOCKHOLMS LÄN</t>
        </is>
      </c>
      <c r="E702" t="inlineStr">
        <is>
          <t>NORRTÄLJE</t>
        </is>
      </c>
      <c r="G702" t="n">
        <v>3</v>
      </c>
      <c r="H702" t="n">
        <v>0</v>
      </c>
      <c r="I702" t="n">
        <v>0</v>
      </c>
      <c r="J702" t="n">
        <v>0</v>
      </c>
      <c r="K702" t="n">
        <v>0</v>
      </c>
      <c r="L702" t="n">
        <v>0</v>
      </c>
      <c r="M702" t="n">
        <v>0</v>
      </c>
      <c r="N702" t="n">
        <v>0</v>
      </c>
      <c r="O702" t="n">
        <v>0</v>
      </c>
      <c r="P702" t="n">
        <v>0</v>
      </c>
      <c r="Q702" t="n">
        <v>0</v>
      </c>
      <c r="R702" s="2" t="inlineStr"/>
    </row>
    <row r="703" ht="15" customHeight="1">
      <c r="A703" t="inlineStr">
        <is>
          <t>A 27806-2025</t>
        </is>
      </c>
      <c r="B703" s="1" t="n">
        <v>45817.30329861111</v>
      </c>
      <c r="C703" s="1" t="n">
        <v>46113</v>
      </c>
      <c r="D703" t="inlineStr">
        <is>
          <t>STOCKHOLMS LÄN</t>
        </is>
      </c>
      <c r="E703" t="inlineStr">
        <is>
          <t>NORRTÄLJE</t>
        </is>
      </c>
      <c r="G703" t="n">
        <v>3</v>
      </c>
      <c r="H703" t="n">
        <v>0</v>
      </c>
      <c r="I703" t="n">
        <v>0</v>
      </c>
      <c r="J703" t="n">
        <v>0</v>
      </c>
      <c r="K703" t="n">
        <v>0</v>
      </c>
      <c r="L703" t="n">
        <v>0</v>
      </c>
      <c r="M703" t="n">
        <v>0</v>
      </c>
      <c r="N703" t="n">
        <v>0</v>
      </c>
      <c r="O703" t="n">
        <v>0</v>
      </c>
      <c r="P703" t="n">
        <v>0</v>
      </c>
      <c r="Q703" t="n">
        <v>0</v>
      </c>
      <c r="R703" s="2" t="inlineStr"/>
    </row>
    <row r="704" ht="15" customHeight="1">
      <c r="A704" t="inlineStr">
        <is>
          <t>A 27808-2025</t>
        </is>
      </c>
      <c r="B704" s="1" t="n">
        <v>45817.31085648148</v>
      </c>
      <c r="C704" s="1" t="n">
        <v>46113</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27810-2025</t>
        </is>
      </c>
      <c r="B705" s="1" t="n">
        <v>45817.31708333334</v>
      </c>
      <c r="C705" s="1" t="n">
        <v>46113</v>
      </c>
      <c r="D705" t="inlineStr">
        <is>
          <t>STOCKHOLMS LÄN</t>
        </is>
      </c>
      <c r="E705" t="inlineStr">
        <is>
          <t>NORRTÄLJE</t>
        </is>
      </c>
      <c r="G705" t="n">
        <v>3.9</v>
      </c>
      <c r="H705" t="n">
        <v>0</v>
      </c>
      <c r="I705" t="n">
        <v>0</v>
      </c>
      <c r="J705" t="n">
        <v>0</v>
      </c>
      <c r="K705" t="n">
        <v>0</v>
      </c>
      <c r="L705" t="n">
        <v>0</v>
      </c>
      <c r="M705" t="n">
        <v>0</v>
      </c>
      <c r="N705" t="n">
        <v>0</v>
      </c>
      <c r="O705" t="n">
        <v>0</v>
      </c>
      <c r="P705" t="n">
        <v>0</v>
      </c>
      <c r="Q705" t="n">
        <v>0</v>
      </c>
      <c r="R705" s="2" t="inlineStr"/>
    </row>
    <row r="706" ht="15" customHeight="1">
      <c r="A706" t="inlineStr">
        <is>
          <t>A 27811-2025</t>
        </is>
      </c>
      <c r="B706" s="1" t="n">
        <v>45817.31986111111</v>
      </c>
      <c r="C706" s="1" t="n">
        <v>46113</v>
      </c>
      <c r="D706" t="inlineStr">
        <is>
          <t>STOCKHOLMS LÄN</t>
        </is>
      </c>
      <c r="E706" t="inlineStr">
        <is>
          <t>NORRTÄLJE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27818-2025</t>
        </is>
      </c>
      <c r="B707" s="1" t="n">
        <v>45817.33503472222</v>
      </c>
      <c r="C707" s="1" t="n">
        <v>46113</v>
      </c>
      <c r="D707" t="inlineStr">
        <is>
          <t>STOCKHOLMS LÄN</t>
        </is>
      </c>
      <c r="E707" t="inlineStr">
        <is>
          <t>NORRTÄLJE</t>
        </is>
      </c>
      <c r="F707" t="inlineStr">
        <is>
          <t>Sveaskog</t>
        </is>
      </c>
      <c r="G707" t="n">
        <v>0.3</v>
      </c>
      <c r="H707" t="n">
        <v>0</v>
      </c>
      <c r="I707" t="n">
        <v>0</v>
      </c>
      <c r="J707" t="n">
        <v>0</v>
      </c>
      <c r="K707" t="n">
        <v>0</v>
      </c>
      <c r="L707" t="n">
        <v>0</v>
      </c>
      <c r="M707" t="n">
        <v>0</v>
      </c>
      <c r="N707" t="n">
        <v>0</v>
      </c>
      <c r="O707" t="n">
        <v>0</v>
      </c>
      <c r="P707" t="n">
        <v>0</v>
      </c>
      <c r="Q707" t="n">
        <v>0</v>
      </c>
      <c r="R707" s="2" t="inlineStr"/>
    </row>
    <row r="708" ht="15" customHeight="1">
      <c r="A708" t="inlineStr">
        <is>
          <t>A 17843-2024</t>
        </is>
      </c>
      <c r="B708" s="1" t="n">
        <v>45418</v>
      </c>
      <c r="C708" s="1" t="n">
        <v>46113</v>
      </c>
      <c r="D708" t="inlineStr">
        <is>
          <t>STOCKHOLMS LÄN</t>
        </is>
      </c>
      <c r="E708" t="inlineStr">
        <is>
          <t>NORRTÄLJE</t>
        </is>
      </c>
      <c r="G708" t="n">
        <v>5.4</v>
      </c>
      <c r="H708" t="n">
        <v>0</v>
      </c>
      <c r="I708" t="n">
        <v>0</v>
      </c>
      <c r="J708" t="n">
        <v>0</v>
      </c>
      <c r="K708" t="n">
        <v>0</v>
      </c>
      <c r="L708" t="n">
        <v>0</v>
      </c>
      <c r="M708" t="n">
        <v>0</v>
      </c>
      <c r="N708" t="n">
        <v>0</v>
      </c>
      <c r="O708" t="n">
        <v>0</v>
      </c>
      <c r="P708" t="n">
        <v>0</v>
      </c>
      <c r="Q708" t="n">
        <v>0</v>
      </c>
      <c r="R708" s="2" t="inlineStr"/>
    </row>
    <row r="709" ht="15" customHeight="1">
      <c r="A709" t="inlineStr">
        <is>
          <t>A 15528-2025</t>
        </is>
      </c>
      <c r="B709" s="1" t="n">
        <v>45747.63471064815</v>
      </c>
      <c r="C709" s="1" t="n">
        <v>46113</v>
      </c>
      <c r="D709" t="inlineStr">
        <is>
          <t>STOCKHOLMS LÄN</t>
        </is>
      </c>
      <c r="E709" t="inlineStr">
        <is>
          <t>NORRTÄLJE</t>
        </is>
      </c>
      <c r="G709" t="n">
        <v>10</v>
      </c>
      <c r="H709" t="n">
        <v>0</v>
      </c>
      <c r="I709" t="n">
        <v>0</v>
      </c>
      <c r="J709" t="n">
        <v>0</v>
      </c>
      <c r="K709" t="n">
        <v>0</v>
      </c>
      <c r="L709" t="n">
        <v>0</v>
      </c>
      <c r="M709" t="n">
        <v>0</v>
      </c>
      <c r="N709" t="n">
        <v>0</v>
      </c>
      <c r="O709" t="n">
        <v>0</v>
      </c>
      <c r="P709" t="n">
        <v>0</v>
      </c>
      <c r="Q709" t="n">
        <v>0</v>
      </c>
      <c r="R709" s="2" t="inlineStr"/>
    </row>
    <row r="710" ht="15" customHeight="1">
      <c r="A710" t="inlineStr">
        <is>
          <t>A 27803-2025</t>
        </is>
      </c>
      <c r="B710" s="1" t="n">
        <v>45817.291875</v>
      </c>
      <c r="C710" s="1" t="n">
        <v>46113</v>
      </c>
      <c r="D710" t="inlineStr">
        <is>
          <t>STOCKHOLMS LÄN</t>
        </is>
      </c>
      <c r="E710" t="inlineStr">
        <is>
          <t>NORRTÄLJE</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12890-2024</t>
        </is>
      </c>
      <c r="B711" s="1" t="n">
        <v>45385.36243055556</v>
      </c>
      <c r="C711" s="1" t="n">
        <v>46113</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27813-2025</t>
        </is>
      </c>
      <c r="B712" s="1" t="n">
        <v>45817.32538194444</v>
      </c>
      <c r="C712" s="1" t="n">
        <v>46113</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27801-2025</t>
        </is>
      </c>
      <c r="B713" s="1" t="n">
        <v>45817.25471064815</v>
      </c>
      <c r="C713" s="1" t="n">
        <v>46113</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36430-2024</t>
        </is>
      </c>
      <c r="B714" s="1" t="n">
        <v>45536</v>
      </c>
      <c r="C714" s="1" t="n">
        <v>46113</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41172-2023</t>
        </is>
      </c>
      <c r="B715" s="1" t="n">
        <v>45170</v>
      </c>
      <c r="C715" s="1" t="n">
        <v>46113</v>
      </c>
      <c r="D715" t="inlineStr">
        <is>
          <t>STOCKHOLMS LÄN</t>
        </is>
      </c>
      <c r="E715" t="inlineStr">
        <is>
          <t>NORRTÄLJE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27821-2025</t>
        </is>
      </c>
      <c r="B716" s="1" t="n">
        <v>45817.34083333334</v>
      </c>
      <c r="C716" s="1" t="n">
        <v>46113</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row>
    <row r="717" ht="15" customHeight="1">
      <c r="A717" t="inlineStr">
        <is>
          <t>A 67921-2021</t>
        </is>
      </c>
      <c r="B717" s="1" t="n">
        <v>44525</v>
      </c>
      <c r="C717" s="1" t="n">
        <v>46113</v>
      </c>
      <c r="D717" t="inlineStr">
        <is>
          <t>STOCKHOLMS LÄN</t>
        </is>
      </c>
      <c r="E717" t="inlineStr">
        <is>
          <t>NORRTÄLJE</t>
        </is>
      </c>
      <c r="G717" t="n">
        <v>6.3</v>
      </c>
      <c r="H717" t="n">
        <v>0</v>
      </c>
      <c r="I717" t="n">
        <v>0</v>
      </c>
      <c r="J717" t="n">
        <v>0</v>
      </c>
      <c r="K717" t="n">
        <v>0</v>
      </c>
      <c r="L717" t="n">
        <v>0</v>
      </c>
      <c r="M717" t="n">
        <v>0</v>
      </c>
      <c r="N717" t="n">
        <v>0</v>
      </c>
      <c r="O717" t="n">
        <v>0</v>
      </c>
      <c r="P717" t="n">
        <v>0</v>
      </c>
      <c r="Q717" t="n">
        <v>0</v>
      </c>
      <c r="R717" s="2" t="inlineStr"/>
    </row>
    <row r="718" ht="15" customHeight="1">
      <c r="A718" t="inlineStr">
        <is>
          <t>A 72704-2021</t>
        </is>
      </c>
      <c r="B718" s="1" t="n">
        <v>44546</v>
      </c>
      <c r="C718" s="1" t="n">
        <v>46113</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65499-2021</t>
        </is>
      </c>
      <c r="B719" s="1" t="n">
        <v>44516</v>
      </c>
      <c r="C719" s="1" t="n">
        <v>46113</v>
      </c>
      <c r="D719" t="inlineStr">
        <is>
          <t>STOCKHOLMS LÄN</t>
        </is>
      </c>
      <c r="E719" t="inlineStr">
        <is>
          <t>NORRTÄLJE</t>
        </is>
      </c>
      <c r="F719" t="inlineStr">
        <is>
          <t>Kommuner</t>
        </is>
      </c>
      <c r="G719" t="n">
        <v>5.2</v>
      </c>
      <c r="H719" t="n">
        <v>0</v>
      </c>
      <c r="I719" t="n">
        <v>0</v>
      </c>
      <c r="J719" t="n">
        <v>0</v>
      </c>
      <c r="K719" t="n">
        <v>0</v>
      </c>
      <c r="L719" t="n">
        <v>0</v>
      </c>
      <c r="M719" t="n">
        <v>0</v>
      </c>
      <c r="N719" t="n">
        <v>0</v>
      </c>
      <c r="O719" t="n">
        <v>0</v>
      </c>
      <c r="P719" t="n">
        <v>0</v>
      </c>
      <c r="Q719" t="n">
        <v>0</v>
      </c>
      <c r="R719" s="2" t="inlineStr"/>
    </row>
    <row r="720" ht="15" customHeight="1">
      <c r="A720" t="inlineStr">
        <is>
          <t>A 65511-2021</t>
        </is>
      </c>
      <c r="B720" s="1" t="n">
        <v>44516.40674768519</v>
      </c>
      <c r="C720" s="1" t="n">
        <v>46113</v>
      </c>
      <c r="D720" t="inlineStr">
        <is>
          <t>STOCKHOLMS LÄN</t>
        </is>
      </c>
      <c r="E720" t="inlineStr">
        <is>
          <t>NORRTÄLJE</t>
        </is>
      </c>
      <c r="F720" t="inlineStr">
        <is>
          <t>Kommuner</t>
        </is>
      </c>
      <c r="G720" t="n">
        <v>2.8</v>
      </c>
      <c r="H720" t="n">
        <v>0</v>
      </c>
      <c r="I720" t="n">
        <v>0</v>
      </c>
      <c r="J720" t="n">
        <v>0</v>
      </c>
      <c r="K720" t="n">
        <v>0</v>
      </c>
      <c r="L720" t="n">
        <v>0</v>
      </c>
      <c r="M720" t="n">
        <v>0</v>
      </c>
      <c r="N720" t="n">
        <v>0</v>
      </c>
      <c r="O720" t="n">
        <v>0</v>
      </c>
      <c r="P720" t="n">
        <v>0</v>
      </c>
      <c r="Q720" t="n">
        <v>0</v>
      </c>
      <c r="R720" s="2" t="inlineStr"/>
    </row>
    <row r="721" ht="15" customHeight="1">
      <c r="A721" t="inlineStr">
        <is>
          <t>A 26113-2024</t>
        </is>
      </c>
      <c r="B721" s="1" t="n">
        <v>45468.45541666666</v>
      </c>
      <c r="C721" s="1" t="n">
        <v>46113</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26116-2024</t>
        </is>
      </c>
      <c r="B722" s="1" t="n">
        <v>45468.45747685185</v>
      </c>
      <c r="C722" s="1" t="n">
        <v>46113</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52686-2024</t>
        </is>
      </c>
      <c r="B723" s="1" t="n">
        <v>45610.39271990741</v>
      </c>
      <c r="C723" s="1" t="n">
        <v>46113</v>
      </c>
      <c r="D723" t="inlineStr">
        <is>
          <t>STOCKHOLMS LÄN</t>
        </is>
      </c>
      <c r="E723" t="inlineStr">
        <is>
          <t>NORRTÄLJE</t>
        </is>
      </c>
      <c r="G723" t="n">
        <v>5.7</v>
      </c>
      <c r="H723" t="n">
        <v>0</v>
      </c>
      <c r="I723" t="n">
        <v>0</v>
      </c>
      <c r="J723" t="n">
        <v>0</v>
      </c>
      <c r="K723" t="n">
        <v>0</v>
      </c>
      <c r="L723" t="n">
        <v>0</v>
      </c>
      <c r="M723" t="n">
        <v>0</v>
      </c>
      <c r="N723" t="n">
        <v>0</v>
      </c>
      <c r="O723" t="n">
        <v>0</v>
      </c>
      <c r="P723" t="n">
        <v>0</v>
      </c>
      <c r="Q723" t="n">
        <v>0</v>
      </c>
      <c r="R723" s="2" t="inlineStr"/>
    </row>
    <row r="724" ht="15" customHeight="1">
      <c r="A724" t="inlineStr">
        <is>
          <t>A 31105-2022</t>
        </is>
      </c>
      <c r="B724" s="1" t="n">
        <v>44769.66039351852</v>
      </c>
      <c r="C724" s="1" t="n">
        <v>46113</v>
      </c>
      <c r="D724" t="inlineStr">
        <is>
          <t>STOCKHOLMS LÄN</t>
        </is>
      </c>
      <c r="E724" t="inlineStr">
        <is>
          <t>NORRTÄLJE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54907-2025</t>
        </is>
      </c>
      <c r="B725" s="1" t="n">
        <v>45967.37137731481</v>
      </c>
      <c r="C725" s="1" t="n">
        <v>46113</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62644-2023</t>
        </is>
      </c>
      <c r="B726" s="1" t="n">
        <v>45271</v>
      </c>
      <c r="C726" s="1" t="n">
        <v>46113</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44075-2023</t>
        </is>
      </c>
      <c r="B727" s="1" t="n">
        <v>45188.41637731482</v>
      </c>
      <c r="C727" s="1" t="n">
        <v>46113</v>
      </c>
      <c r="D727" t="inlineStr">
        <is>
          <t>STOCKHOLMS LÄN</t>
        </is>
      </c>
      <c r="E727" t="inlineStr">
        <is>
          <t>NORRTÄLJE</t>
        </is>
      </c>
      <c r="F727" t="inlineStr">
        <is>
          <t>Holmen skog AB</t>
        </is>
      </c>
      <c r="G727" t="n">
        <v>2.4</v>
      </c>
      <c r="H727" t="n">
        <v>0</v>
      </c>
      <c r="I727" t="n">
        <v>0</v>
      </c>
      <c r="J727" t="n">
        <v>0</v>
      </c>
      <c r="K727" t="n">
        <v>0</v>
      </c>
      <c r="L727" t="n">
        <v>0</v>
      </c>
      <c r="M727" t="n">
        <v>0</v>
      </c>
      <c r="N727" t="n">
        <v>0</v>
      </c>
      <c r="O727" t="n">
        <v>0</v>
      </c>
      <c r="P727" t="n">
        <v>0</v>
      </c>
      <c r="Q727" t="n">
        <v>0</v>
      </c>
      <c r="R727" s="2" t="inlineStr"/>
    </row>
    <row r="728" ht="15" customHeight="1">
      <c r="A728" t="inlineStr">
        <is>
          <t>A 60185-2024</t>
        </is>
      </c>
      <c r="B728" s="1" t="n">
        <v>45642.64634259259</v>
      </c>
      <c r="C728" s="1" t="n">
        <v>46113</v>
      </c>
      <c r="D728" t="inlineStr">
        <is>
          <t>STOCKHOLMS LÄN</t>
        </is>
      </c>
      <c r="E728" t="inlineStr">
        <is>
          <t>NORRTÄLJE</t>
        </is>
      </c>
      <c r="G728" t="n">
        <v>0.3</v>
      </c>
      <c r="H728" t="n">
        <v>0</v>
      </c>
      <c r="I728" t="n">
        <v>0</v>
      </c>
      <c r="J728" t="n">
        <v>0</v>
      </c>
      <c r="K728" t="n">
        <v>0</v>
      </c>
      <c r="L728" t="n">
        <v>0</v>
      </c>
      <c r="M728" t="n">
        <v>0</v>
      </c>
      <c r="N728" t="n">
        <v>0</v>
      </c>
      <c r="O728" t="n">
        <v>0</v>
      </c>
      <c r="P728" t="n">
        <v>0</v>
      </c>
      <c r="Q728" t="n">
        <v>0</v>
      </c>
      <c r="R728" s="2" t="inlineStr"/>
    </row>
    <row r="729" ht="15" customHeight="1">
      <c r="A729" t="inlineStr">
        <is>
          <t>A 60765-2023</t>
        </is>
      </c>
      <c r="B729" s="1" t="n">
        <v>45260</v>
      </c>
      <c r="C729" s="1" t="n">
        <v>46113</v>
      </c>
      <c r="D729" t="inlineStr">
        <is>
          <t>STOCKHOLMS LÄN</t>
        </is>
      </c>
      <c r="E729" t="inlineStr">
        <is>
          <t>NORRTÄLJE</t>
        </is>
      </c>
      <c r="G729" t="n">
        <v>3.7</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46113</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55503-2025</t>
        </is>
      </c>
      <c r="B731" s="1" t="n">
        <v>45971</v>
      </c>
      <c r="C731" s="1" t="n">
        <v>46113</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22832-2021</t>
        </is>
      </c>
      <c r="B732" s="1" t="n">
        <v>44325</v>
      </c>
      <c r="C732" s="1" t="n">
        <v>46113</v>
      </c>
      <c r="D732" t="inlineStr">
        <is>
          <t>STOCKHOLMS LÄN</t>
        </is>
      </c>
      <c r="E732" t="inlineStr">
        <is>
          <t>NORRTÄLJE</t>
        </is>
      </c>
      <c r="G732" t="n">
        <v>6.8</v>
      </c>
      <c r="H732" t="n">
        <v>0</v>
      </c>
      <c r="I732" t="n">
        <v>0</v>
      </c>
      <c r="J732" t="n">
        <v>0</v>
      </c>
      <c r="K732" t="n">
        <v>0</v>
      </c>
      <c r="L732" t="n">
        <v>0</v>
      </c>
      <c r="M732" t="n">
        <v>0</v>
      </c>
      <c r="N732" t="n">
        <v>0</v>
      </c>
      <c r="O732" t="n">
        <v>0</v>
      </c>
      <c r="P732" t="n">
        <v>0</v>
      </c>
      <c r="Q732" t="n">
        <v>0</v>
      </c>
      <c r="R732" s="2" t="inlineStr"/>
    </row>
    <row r="733" ht="15" customHeight="1">
      <c r="A733" t="inlineStr">
        <is>
          <t>A 51315-2021</t>
        </is>
      </c>
      <c r="B733" s="1" t="n">
        <v>44461</v>
      </c>
      <c r="C733" s="1" t="n">
        <v>46113</v>
      </c>
      <c r="D733" t="inlineStr">
        <is>
          <t>STOCKHOLMS LÄN</t>
        </is>
      </c>
      <c r="E733" t="inlineStr">
        <is>
          <t>NORRTÄLJE</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29250-2025</t>
        </is>
      </c>
      <c r="B734" s="1" t="n">
        <v>45824.37275462963</v>
      </c>
      <c r="C734" s="1" t="n">
        <v>46113</v>
      </c>
      <c r="D734" t="inlineStr">
        <is>
          <t>STOCKHOLMS LÄN</t>
        </is>
      </c>
      <c r="E734" t="inlineStr">
        <is>
          <t>NORRTÄLJE</t>
        </is>
      </c>
      <c r="F734" t="inlineStr">
        <is>
          <t>Sveaskog</t>
        </is>
      </c>
      <c r="G734" t="n">
        <v>6.4</v>
      </c>
      <c r="H734" t="n">
        <v>0</v>
      </c>
      <c r="I734" t="n">
        <v>0</v>
      </c>
      <c r="J734" t="n">
        <v>0</v>
      </c>
      <c r="K734" t="n">
        <v>0</v>
      </c>
      <c r="L734" t="n">
        <v>0</v>
      </c>
      <c r="M734" t="n">
        <v>0</v>
      </c>
      <c r="N734" t="n">
        <v>0</v>
      </c>
      <c r="O734" t="n">
        <v>0</v>
      </c>
      <c r="P734" t="n">
        <v>0</v>
      </c>
      <c r="Q734" t="n">
        <v>0</v>
      </c>
      <c r="R734" s="2" t="inlineStr"/>
    </row>
    <row r="735" ht="15" customHeight="1">
      <c r="A735" t="inlineStr">
        <is>
          <t>A 22008-2024</t>
        </is>
      </c>
      <c r="B735" s="1" t="n">
        <v>45443</v>
      </c>
      <c r="C735" s="1" t="n">
        <v>46113</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55599-2025</t>
        </is>
      </c>
      <c r="B736" s="1" t="n">
        <v>45971.76810185185</v>
      </c>
      <c r="C736" s="1" t="n">
        <v>46113</v>
      </c>
      <c r="D736" t="inlineStr">
        <is>
          <t>STOCKHOLMS LÄN</t>
        </is>
      </c>
      <c r="E736" t="inlineStr">
        <is>
          <t>NORRTÄLJE</t>
        </is>
      </c>
      <c r="F736" t="inlineStr">
        <is>
          <t>Holmen skog AB</t>
        </is>
      </c>
      <c r="G736" t="n">
        <v>6.4</v>
      </c>
      <c r="H736" t="n">
        <v>0</v>
      </c>
      <c r="I736" t="n">
        <v>0</v>
      </c>
      <c r="J736" t="n">
        <v>0</v>
      </c>
      <c r="K736" t="n">
        <v>0</v>
      </c>
      <c r="L736" t="n">
        <v>0</v>
      </c>
      <c r="M736" t="n">
        <v>0</v>
      </c>
      <c r="N736" t="n">
        <v>0</v>
      </c>
      <c r="O736" t="n">
        <v>0</v>
      </c>
      <c r="P736" t="n">
        <v>0</v>
      </c>
      <c r="Q736" t="n">
        <v>0</v>
      </c>
      <c r="R736" s="2" t="inlineStr"/>
    </row>
    <row r="737" ht="15" customHeight="1">
      <c r="A737" t="inlineStr">
        <is>
          <t>A 58277-2023</t>
        </is>
      </c>
      <c r="B737" s="1" t="n">
        <v>45245</v>
      </c>
      <c r="C737" s="1" t="n">
        <v>46113</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9480-2025</t>
        </is>
      </c>
      <c r="B738" s="1" t="n">
        <v>45715</v>
      </c>
      <c r="C738" s="1" t="n">
        <v>46113</v>
      </c>
      <c r="D738" t="inlineStr">
        <is>
          <t>STOCKHOLMS LÄN</t>
        </is>
      </c>
      <c r="E738" t="inlineStr">
        <is>
          <t>NORRTÄLJE</t>
        </is>
      </c>
      <c r="F738" t="inlineStr">
        <is>
          <t>Övriga Aktiebolag</t>
        </is>
      </c>
      <c r="G738" t="n">
        <v>3.9</v>
      </c>
      <c r="H738" t="n">
        <v>0</v>
      </c>
      <c r="I738" t="n">
        <v>0</v>
      </c>
      <c r="J738" t="n">
        <v>0</v>
      </c>
      <c r="K738" t="n">
        <v>0</v>
      </c>
      <c r="L738" t="n">
        <v>0</v>
      </c>
      <c r="M738" t="n">
        <v>0</v>
      </c>
      <c r="N738" t="n">
        <v>0</v>
      </c>
      <c r="O738" t="n">
        <v>0</v>
      </c>
      <c r="P738" t="n">
        <v>0</v>
      </c>
      <c r="Q738" t="n">
        <v>0</v>
      </c>
      <c r="R738" s="2" t="inlineStr"/>
    </row>
    <row r="739" ht="15" customHeight="1">
      <c r="A739" t="inlineStr">
        <is>
          <t>A 56207-2025</t>
        </is>
      </c>
      <c r="B739" s="1" t="n">
        <v>45974.47329861111</v>
      </c>
      <c r="C739" s="1" t="n">
        <v>46113</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4322-2023</t>
        </is>
      </c>
      <c r="B740" s="1" t="n">
        <v>44953.69298611111</v>
      </c>
      <c r="C740" s="1" t="n">
        <v>46113</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35916-2024</t>
        </is>
      </c>
      <c r="B741" s="1" t="n">
        <v>45533</v>
      </c>
      <c r="C741" s="1" t="n">
        <v>46113</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56114-2025</t>
        </is>
      </c>
      <c r="B742" s="1" t="n">
        <v>45973.74474537037</v>
      </c>
      <c r="C742" s="1" t="n">
        <v>46113</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38889-2024</t>
        </is>
      </c>
      <c r="B743" s="1" t="n">
        <v>45547</v>
      </c>
      <c r="C743" s="1" t="n">
        <v>46113</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3299-2022</t>
        </is>
      </c>
      <c r="B744" s="1" t="n">
        <v>44584.91001157407</v>
      </c>
      <c r="C744" s="1" t="n">
        <v>46113</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42075-2023</t>
        </is>
      </c>
      <c r="B745" s="1" t="n">
        <v>45177</v>
      </c>
      <c r="C745" s="1" t="n">
        <v>46113</v>
      </c>
      <c r="D745" t="inlineStr">
        <is>
          <t>STOCKHOLMS LÄN</t>
        </is>
      </c>
      <c r="E745" t="inlineStr">
        <is>
          <t>NORRTÄLJE</t>
        </is>
      </c>
      <c r="G745" t="n">
        <v>2.5</v>
      </c>
      <c r="H745" t="n">
        <v>0</v>
      </c>
      <c r="I745" t="n">
        <v>0</v>
      </c>
      <c r="J745" t="n">
        <v>0</v>
      </c>
      <c r="K745" t="n">
        <v>0</v>
      </c>
      <c r="L745" t="n">
        <v>0</v>
      </c>
      <c r="M745" t="n">
        <v>0</v>
      </c>
      <c r="N745" t="n">
        <v>0</v>
      </c>
      <c r="O745" t="n">
        <v>0</v>
      </c>
      <c r="P745" t="n">
        <v>0</v>
      </c>
      <c r="Q745" t="n">
        <v>0</v>
      </c>
      <c r="R745" s="2" t="inlineStr"/>
    </row>
    <row r="746" ht="15" customHeight="1">
      <c r="A746" t="inlineStr">
        <is>
          <t>A 10676-2025</t>
        </is>
      </c>
      <c r="B746" s="1" t="n">
        <v>45721.88684027778</v>
      </c>
      <c r="C746" s="1" t="n">
        <v>46113</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50154-2024</t>
        </is>
      </c>
      <c r="B747" s="1" t="n">
        <v>45600.4558912037</v>
      </c>
      <c r="C747" s="1" t="n">
        <v>46113</v>
      </c>
      <c r="D747" t="inlineStr">
        <is>
          <t>STOCKHOLMS LÄN</t>
        </is>
      </c>
      <c r="E747" t="inlineStr">
        <is>
          <t>NORRTÄLJE</t>
        </is>
      </c>
      <c r="G747" t="n">
        <v>2.5</v>
      </c>
      <c r="H747" t="n">
        <v>0</v>
      </c>
      <c r="I747" t="n">
        <v>0</v>
      </c>
      <c r="J747" t="n">
        <v>0</v>
      </c>
      <c r="K747" t="n">
        <v>0</v>
      </c>
      <c r="L747" t="n">
        <v>0</v>
      </c>
      <c r="M747" t="n">
        <v>0</v>
      </c>
      <c r="N747" t="n">
        <v>0</v>
      </c>
      <c r="O747" t="n">
        <v>0</v>
      </c>
      <c r="P747" t="n">
        <v>0</v>
      </c>
      <c r="Q747" t="n">
        <v>0</v>
      </c>
      <c r="R747" s="2" t="inlineStr"/>
    </row>
    <row r="748" ht="15" customHeight="1">
      <c r="A748" t="inlineStr">
        <is>
          <t>A 37273-2024</t>
        </is>
      </c>
      <c r="B748" s="1" t="n">
        <v>45540</v>
      </c>
      <c r="C748" s="1" t="n">
        <v>46113</v>
      </c>
      <c r="D748" t="inlineStr">
        <is>
          <t>STOCKHOLMS LÄN</t>
        </is>
      </c>
      <c r="E748" t="inlineStr">
        <is>
          <t>NORRTÄLJE</t>
        </is>
      </c>
      <c r="F748" t="inlineStr">
        <is>
          <t>Sveaskog</t>
        </is>
      </c>
      <c r="G748" t="n">
        <v>12.5</v>
      </c>
      <c r="H748" t="n">
        <v>0</v>
      </c>
      <c r="I748" t="n">
        <v>0</v>
      </c>
      <c r="J748" t="n">
        <v>0</v>
      </c>
      <c r="K748" t="n">
        <v>0</v>
      </c>
      <c r="L748" t="n">
        <v>0</v>
      </c>
      <c r="M748" t="n">
        <v>0</v>
      </c>
      <c r="N748" t="n">
        <v>0</v>
      </c>
      <c r="O748" t="n">
        <v>0</v>
      </c>
      <c r="P748" t="n">
        <v>0</v>
      </c>
      <c r="Q748" t="n">
        <v>0</v>
      </c>
      <c r="R748" s="2" t="inlineStr"/>
    </row>
    <row r="749" ht="15" customHeight="1">
      <c r="A749" t="inlineStr">
        <is>
          <t>A 34773-2022</t>
        </is>
      </c>
      <c r="B749" s="1" t="n">
        <v>44795</v>
      </c>
      <c r="C749" s="1" t="n">
        <v>46113</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23263-2023</t>
        </is>
      </c>
      <c r="B750" s="1" t="n">
        <v>45075</v>
      </c>
      <c r="C750" s="1" t="n">
        <v>46113</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23264-2023</t>
        </is>
      </c>
      <c r="B751" s="1" t="n">
        <v>45075</v>
      </c>
      <c r="C751" s="1" t="n">
        <v>46113</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23267-2023</t>
        </is>
      </c>
      <c r="B752" s="1" t="n">
        <v>45075.90934027778</v>
      </c>
      <c r="C752" s="1" t="n">
        <v>46113</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25654-2023</t>
        </is>
      </c>
      <c r="B753" s="1" t="n">
        <v>45089</v>
      </c>
      <c r="C753" s="1" t="n">
        <v>46113</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47758-2023</t>
        </is>
      </c>
      <c r="B754" s="1" t="n">
        <v>45203.83891203703</v>
      </c>
      <c r="C754" s="1" t="n">
        <v>46113</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48151-2024</t>
        </is>
      </c>
      <c r="B755" s="1" t="n">
        <v>45589.68289351852</v>
      </c>
      <c r="C755" s="1" t="n">
        <v>46113</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30668-2025</t>
        </is>
      </c>
      <c r="B756" s="1" t="n">
        <v>45831.51659722222</v>
      </c>
      <c r="C756" s="1" t="n">
        <v>46113</v>
      </c>
      <c r="D756" t="inlineStr">
        <is>
          <t>STOCKHOLMS LÄN</t>
        </is>
      </c>
      <c r="E756" t="inlineStr">
        <is>
          <t>NORRTÄLJE</t>
        </is>
      </c>
      <c r="G756" t="n">
        <v>4.9</v>
      </c>
      <c r="H756" t="n">
        <v>0</v>
      </c>
      <c r="I756" t="n">
        <v>0</v>
      </c>
      <c r="J756" t="n">
        <v>0</v>
      </c>
      <c r="K756" t="n">
        <v>0</v>
      </c>
      <c r="L756" t="n">
        <v>0</v>
      </c>
      <c r="M756" t="n">
        <v>0</v>
      </c>
      <c r="N756" t="n">
        <v>0</v>
      </c>
      <c r="O756" t="n">
        <v>0</v>
      </c>
      <c r="P756" t="n">
        <v>0</v>
      </c>
      <c r="Q756" t="n">
        <v>0</v>
      </c>
      <c r="R756" s="2" t="inlineStr"/>
    </row>
    <row r="757" ht="15" customHeight="1">
      <c r="A757" t="inlineStr">
        <is>
          <t>A 58142-2025</t>
        </is>
      </c>
      <c r="B757" s="1" t="n">
        <v>45982.63791666667</v>
      </c>
      <c r="C757" s="1" t="n">
        <v>46113</v>
      </c>
      <c r="D757" t="inlineStr">
        <is>
          <t>STOCKHOLMS LÄN</t>
        </is>
      </c>
      <c r="E757" t="inlineStr">
        <is>
          <t>NORRTÄLJE</t>
        </is>
      </c>
      <c r="G757" t="n">
        <v>3.3</v>
      </c>
      <c r="H757" t="n">
        <v>0</v>
      </c>
      <c r="I757" t="n">
        <v>0</v>
      </c>
      <c r="J757" t="n">
        <v>0</v>
      </c>
      <c r="K757" t="n">
        <v>0</v>
      </c>
      <c r="L757" t="n">
        <v>0</v>
      </c>
      <c r="M757" t="n">
        <v>0</v>
      </c>
      <c r="N757" t="n">
        <v>0</v>
      </c>
      <c r="O757" t="n">
        <v>0</v>
      </c>
      <c r="P757" t="n">
        <v>0</v>
      </c>
      <c r="Q757" t="n">
        <v>0</v>
      </c>
      <c r="R757" s="2" t="inlineStr"/>
    </row>
    <row r="758" ht="15" customHeight="1">
      <c r="A758" t="inlineStr">
        <is>
          <t>A 57953-2025</t>
        </is>
      </c>
      <c r="B758" s="1" t="n">
        <v>45982.35016203704</v>
      </c>
      <c r="C758" s="1" t="n">
        <v>46113</v>
      </c>
      <c r="D758" t="inlineStr">
        <is>
          <t>STOCKHOLMS LÄN</t>
        </is>
      </c>
      <c r="E758" t="inlineStr">
        <is>
          <t>NORRTÄLJE</t>
        </is>
      </c>
      <c r="F758" t="inlineStr">
        <is>
          <t>Sveaskog</t>
        </is>
      </c>
      <c r="G758" t="n">
        <v>3</v>
      </c>
      <c r="H758" t="n">
        <v>0</v>
      </c>
      <c r="I758" t="n">
        <v>0</v>
      </c>
      <c r="J758" t="n">
        <v>0</v>
      </c>
      <c r="K758" t="n">
        <v>0</v>
      </c>
      <c r="L758" t="n">
        <v>0</v>
      </c>
      <c r="M758" t="n">
        <v>0</v>
      </c>
      <c r="N758" t="n">
        <v>0</v>
      </c>
      <c r="O758" t="n">
        <v>0</v>
      </c>
      <c r="P758" t="n">
        <v>0</v>
      </c>
      <c r="Q758" t="n">
        <v>0</v>
      </c>
      <c r="R758" s="2" t="inlineStr"/>
    </row>
    <row r="759" ht="15" customHeight="1">
      <c r="A759" t="inlineStr">
        <is>
          <t>A 5831-2022</t>
        </is>
      </c>
      <c r="B759" s="1" t="n">
        <v>44596</v>
      </c>
      <c r="C759" s="1" t="n">
        <v>46113</v>
      </c>
      <c r="D759" t="inlineStr">
        <is>
          <t>STOCKHOLMS LÄN</t>
        </is>
      </c>
      <c r="E759" t="inlineStr">
        <is>
          <t>NORRTÄLJE</t>
        </is>
      </c>
      <c r="G759" t="n">
        <v>4.8</v>
      </c>
      <c r="H759" t="n">
        <v>0</v>
      </c>
      <c r="I759" t="n">
        <v>0</v>
      </c>
      <c r="J759" t="n">
        <v>0</v>
      </c>
      <c r="K759" t="n">
        <v>0</v>
      </c>
      <c r="L759" t="n">
        <v>0</v>
      </c>
      <c r="M759" t="n">
        <v>0</v>
      </c>
      <c r="N759" t="n">
        <v>0</v>
      </c>
      <c r="O759" t="n">
        <v>0</v>
      </c>
      <c r="P759" t="n">
        <v>0</v>
      </c>
      <c r="Q759" t="n">
        <v>0</v>
      </c>
      <c r="R759" s="2" t="inlineStr"/>
    </row>
    <row r="760" ht="15" customHeight="1">
      <c r="A760" t="inlineStr">
        <is>
          <t>A 58853-2024</t>
        </is>
      </c>
      <c r="B760" s="1" t="n">
        <v>45636.38974537037</v>
      </c>
      <c r="C760" s="1" t="n">
        <v>46113</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59712-2024</t>
        </is>
      </c>
      <c r="B761" s="1" t="n">
        <v>45639.45166666667</v>
      </c>
      <c r="C761" s="1" t="n">
        <v>46113</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58403-2025</t>
        </is>
      </c>
      <c r="B762" s="1" t="n">
        <v>45985.56777777777</v>
      </c>
      <c r="C762" s="1" t="n">
        <v>46113</v>
      </c>
      <c r="D762" t="inlineStr">
        <is>
          <t>STOCKHOLMS LÄN</t>
        </is>
      </c>
      <c r="E762" t="inlineStr">
        <is>
          <t>NORRTÄLJE</t>
        </is>
      </c>
      <c r="F762" t="inlineStr">
        <is>
          <t>Naturvårdsverket</t>
        </is>
      </c>
      <c r="G762" t="n">
        <v>13.5</v>
      </c>
      <c r="H762" t="n">
        <v>0</v>
      </c>
      <c r="I762" t="n">
        <v>0</v>
      </c>
      <c r="J762" t="n">
        <v>0</v>
      </c>
      <c r="K762" t="n">
        <v>0</v>
      </c>
      <c r="L762" t="n">
        <v>0</v>
      </c>
      <c r="M762" t="n">
        <v>0</v>
      </c>
      <c r="N762" t="n">
        <v>0</v>
      </c>
      <c r="O762" t="n">
        <v>0</v>
      </c>
      <c r="P762" t="n">
        <v>0</v>
      </c>
      <c r="Q762" t="n">
        <v>0</v>
      </c>
      <c r="R762" s="2" t="inlineStr"/>
    </row>
    <row r="763" ht="15" customHeight="1">
      <c r="A763" t="inlineStr">
        <is>
          <t>A 59721-2024</t>
        </is>
      </c>
      <c r="B763" s="1" t="n">
        <v>45639.47385416667</v>
      </c>
      <c r="C763" s="1" t="n">
        <v>46113</v>
      </c>
      <c r="D763" t="inlineStr">
        <is>
          <t>STOCKHOLMS LÄN</t>
        </is>
      </c>
      <c r="E763" t="inlineStr">
        <is>
          <t>NORRTÄLJE</t>
        </is>
      </c>
      <c r="G763" t="n">
        <v>4.6</v>
      </c>
      <c r="H763" t="n">
        <v>0</v>
      </c>
      <c r="I763" t="n">
        <v>0</v>
      </c>
      <c r="J763" t="n">
        <v>0</v>
      </c>
      <c r="K763" t="n">
        <v>0</v>
      </c>
      <c r="L763" t="n">
        <v>0</v>
      </c>
      <c r="M763" t="n">
        <v>0</v>
      </c>
      <c r="N763" t="n">
        <v>0</v>
      </c>
      <c r="O763" t="n">
        <v>0</v>
      </c>
      <c r="P763" t="n">
        <v>0</v>
      </c>
      <c r="Q763" t="n">
        <v>0</v>
      </c>
      <c r="R763" s="2" t="inlineStr"/>
    </row>
    <row r="764" ht="15" customHeight="1">
      <c r="A764" t="inlineStr">
        <is>
          <t>A 60884-2024</t>
        </is>
      </c>
      <c r="B764" s="1" t="n">
        <v>45644.90815972222</v>
      </c>
      <c r="C764" s="1" t="n">
        <v>46113</v>
      </c>
      <c r="D764" t="inlineStr">
        <is>
          <t>STOCKHOLMS LÄN</t>
        </is>
      </c>
      <c r="E764" t="inlineStr">
        <is>
          <t>NORRTÄLJE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23150-2024</t>
        </is>
      </c>
      <c r="B765" s="1" t="n">
        <v>45450.64643518518</v>
      </c>
      <c r="C765" s="1" t="n">
        <v>46113</v>
      </c>
      <c r="D765" t="inlineStr">
        <is>
          <t>STOCKHOLMS LÄN</t>
        </is>
      </c>
      <c r="E765" t="inlineStr">
        <is>
          <t>NORRTÄLJE</t>
        </is>
      </c>
      <c r="F765" t="inlineStr">
        <is>
          <t>Kommuner</t>
        </is>
      </c>
      <c r="G765" t="n">
        <v>2.7</v>
      </c>
      <c r="H765" t="n">
        <v>0</v>
      </c>
      <c r="I765" t="n">
        <v>0</v>
      </c>
      <c r="J765" t="n">
        <v>0</v>
      </c>
      <c r="K765" t="n">
        <v>0</v>
      </c>
      <c r="L765" t="n">
        <v>0</v>
      </c>
      <c r="M765" t="n">
        <v>0</v>
      </c>
      <c r="N765" t="n">
        <v>0</v>
      </c>
      <c r="O765" t="n">
        <v>0</v>
      </c>
      <c r="P765" t="n">
        <v>0</v>
      </c>
      <c r="Q765" t="n">
        <v>0</v>
      </c>
      <c r="R765" s="2" t="inlineStr"/>
    </row>
    <row r="766" ht="15" customHeight="1">
      <c r="A766" t="inlineStr">
        <is>
          <t>A 30639-2025</t>
        </is>
      </c>
      <c r="B766" s="1" t="n">
        <v>45831.4844212963</v>
      </c>
      <c r="C766" s="1" t="n">
        <v>46113</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59878-2024</t>
        </is>
      </c>
      <c r="B767" s="1" t="n">
        <v>45640.60240740741</v>
      </c>
      <c r="C767" s="1" t="n">
        <v>46113</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50182-2024</t>
        </is>
      </c>
      <c r="B768" s="1" t="n">
        <v>45600.47275462963</v>
      </c>
      <c r="C768" s="1" t="n">
        <v>46113</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31170-2025</t>
        </is>
      </c>
      <c r="B769" s="1" t="n">
        <v>45832.66385416667</v>
      </c>
      <c r="C769" s="1" t="n">
        <v>46113</v>
      </c>
      <c r="D769" t="inlineStr">
        <is>
          <t>STOCKHOLMS LÄN</t>
        </is>
      </c>
      <c r="E769" t="inlineStr">
        <is>
          <t>NORRTÄLJE</t>
        </is>
      </c>
      <c r="G769" t="n">
        <v>2.7</v>
      </c>
      <c r="H769" t="n">
        <v>0</v>
      </c>
      <c r="I769" t="n">
        <v>0</v>
      </c>
      <c r="J769" t="n">
        <v>0</v>
      </c>
      <c r="K769" t="n">
        <v>0</v>
      </c>
      <c r="L769" t="n">
        <v>0</v>
      </c>
      <c r="M769" t="n">
        <v>0</v>
      </c>
      <c r="N769" t="n">
        <v>0</v>
      </c>
      <c r="O769" t="n">
        <v>0</v>
      </c>
      <c r="P769" t="n">
        <v>0</v>
      </c>
      <c r="Q769" t="n">
        <v>0</v>
      </c>
      <c r="R769" s="2" t="inlineStr"/>
    </row>
    <row r="770" ht="15" customHeight="1">
      <c r="A770" t="inlineStr">
        <is>
          <t>A 2549-2022</t>
        </is>
      </c>
      <c r="B770" s="1" t="n">
        <v>44580</v>
      </c>
      <c r="C770" s="1" t="n">
        <v>46113</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58939-2025</t>
        </is>
      </c>
      <c r="B771" s="1" t="n">
        <v>45987.5681712963</v>
      </c>
      <c r="C771" s="1" t="n">
        <v>46113</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31140-2023</t>
        </is>
      </c>
      <c r="B772" s="1" t="n">
        <v>45113</v>
      </c>
      <c r="C772" s="1" t="n">
        <v>46113</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31149-2023</t>
        </is>
      </c>
      <c r="B773" s="1" t="n">
        <v>45113</v>
      </c>
      <c r="C773" s="1" t="n">
        <v>46113</v>
      </c>
      <c r="D773" t="inlineStr">
        <is>
          <t>STOCKHOLMS LÄN</t>
        </is>
      </c>
      <c r="E773" t="inlineStr">
        <is>
          <t>NORRTÄLJE</t>
        </is>
      </c>
      <c r="G773" t="n">
        <v>7.1</v>
      </c>
      <c r="H773" t="n">
        <v>0</v>
      </c>
      <c r="I773" t="n">
        <v>0</v>
      </c>
      <c r="J773" t="n">
        <v>0</v>
      </c>
      <c r="K773" t="n">
        <v>0</v>
      </c>
      <c r="L773" t="n">
        <v>0</v>
      </c>
      <c r="M773" t="n">
        <v>0</v>
      </c>
      <c r="N773" t="n">
        <v>0</v>
      </c>
      <c r="O773" t="n">
        <v>0</v>
      </c>
      <c r="P773" t="n">
        <v>0</v>
      </c>
      <c r="Q773" t="n">
        <v>0</v>
      </c>
      <c r="R773" s="2" t="inlineStr"/>
    </row>
    <row r="774" ht="15" customHeight="1">
      <c r="A774" t="inlineStr">
        <is>
          <t>A 16835-2022</t>
        </is>
      </c>
      <c r="B774" s="1" t="n">
        <v>44673</v>
      </c>
      <c r="C774" s="1" t="n">
        <v>46113</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13701-2022</t>
        </is>
      </c>
      <c r="B775" s="1" t="n">
        <v>44648</v>
      </c>
      <c r="C775" s="1" t="n">
        <v>46113</v>
      </c>
      <c r="D775" t="inlineStr">
        <is>
          <t>STOCKHOLMS LÄN</t>
        </is>
      </c>
      <c r="E775" t="inlineStr">
        <is>
          <t>NORRTÄLJE</t>
        </is>
      </c>
      <c r="G775" t="n">
        <v>1.6</v>
      </c>
      <c r="H775" t="n">
        <v>0</v>
      </c>
      <c r="I775" t="n">
        <v>0</v>
      </c>
      <c r="J775" t="n">
        <v>0</v>
      </c>
      <c r="K775" t="n">
        <v>0</v>
      </c>
      <c r="L775" t="n">
        <v>0</v>
      </c>
      <c r="M775" t="n">
        <v>0</v>
      </c>
      <c r="N775" t="n">
        <v>0</v>
      </c>
      <c r="O775" t="n">
        <v>0</v>
      </c>
      <c r="P775" t="n">
        <v>0</v>
      </c>
      <c r="Q775" t="n">
        <v>0</v>
      </c>
      <c r="R775" s="2" t="inlineStr"/>
    </row>
    <row r="776" ht="15" customHeight="1">
      <c r="A776" t="inlineStr">
        <is>
          <t>A 13089-2022</t>
        </is>
      </c>
      <c r="B776" s="1" t="n">
        <v>44643</v>
      </c>
      <c r="C776" s="1" t="n">
        <v>46113</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57788-2025</t>
        </is>
      </c>
      <c r="B777" s="1" t="n">
        <v>45981.5778125</v>
      </c>
      <c r="C777" s="1" t="n">
        <v>46113</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59672-2025</t>
        </is>
      </c>
      <c r="B778" s="1" t="n">
        <v>45992.45884259259</v>
      </c>
      <c r="C778" s="1" t="n">
        <v>46113</v>
      </c>
      <c r="D778" t="inlineStr">
        <is>
          <t>STOCKHOLMS LÄN</t>
        </is>
      </c>
      <c r="E778" t="inlineStr">
        <is>
          <t>NORRTÄLJE</t>
        </is>
      </c>
      <c r="G778" t="n">
        <v>4</v>
      </c>
      <c r="H778" t="n">
        <v>0</v>
      </c>
      <c r="I778" t="n">
        <v>0</v>
      </c>
      <c r="J778" t="n">
        <v>0</v>
      </c>
      <c r="K778" t="n">
        <v>0</v>
      </c>
      <c r="L778" t="n">
        <v>0</v>
      </c>
      <c r="M778" t="n">
        <v>0</v>
      </c>
      <c r="N778" t="n">
        <v>0</v>
      </c>
      <c r="O778" t="n">
        <v>0</v>
      </c>
      <c r="P778" t="n">
        <v>0</v>
      </c>
      <c r="Q778" t="n">
        <v>0</v>
      </c>
      <c r="R778" s="2" t="inlineStr"/>
    </row>
    <row r="779" ht="15" customHeight="1">
      <c r="A779" t="inlineStr">
        <is>
          <t>A 38759-2022</t>
        </is>
      </c>
      <c r="B779" s="1" t="n">
        <v>44816</v>
      </c>
      <c r="C779" s="1" t="n">
        <v>46113</v>
      </c>
      <c r="D779" t="inlineStr">
        <is>
          <t>STOCKHOLMS LÄN</t>
        </is>
      </c>
      <c r="E779" t="inlineStr">
        <is>
          <t>NORRTÄLJE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23998-2024</t>
        </is>
      </c>
      <c r="B780" s="1" t="n">
        <v>45456</v>
      </c>
      <c r="C780" s="1" t="n">
        <v>46113</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54504-2024</t>
        </is>
      </c>
      <c r="B781" s="1" t="n">
        <v>45617.58453703704</v>
      </c>
      <c r="C781" s="1" t="n">
        <v>46113</v>
      </c>
      <c r="D781" t="inlineStr">
        <is>
          <t>STOCKHOLMS LÄN</t>
        </is>
      </c>
      <c r="E781" t="inlineStr">
        <is>
          <t>NORRTÄLJE</t>
        </is>
      </c>
      <c r="G781" t="n">
        <v>3.4</v>
      </c>
      <c r="H781" t="n">
        <v>0</v>
      </c>
      <c r="I781" t="n">
        <v>0</v>
      </c>
      <c r="J781" t="n">
        <v>0</v>
      </c>
      <c r="K781" t="n">
        <v>0</v>
      </c>
      <c r="L781" t="n">
        <v>0</v>
      </c>
      <c r="M781" t="n">
        <v>0</v>
      </c>
      <c r="N781" t="n">
        <v>0</v>
      </c>
      <c r="O781" t="n">
        <v>0</v>
      </c>
      <c r="P781" t="n">
        <v>0</v>
      </c>
      <c r="Q781" t="n">
        <v>0</v>
      </c>
      <c r="R781" s="2" t="inlineStr"/>
    </row>
    <row r="782" ht="15" customHeight="1">
      <c r="A782" t="inlineStr">
        <is>
          <t>A 60223-2025</t>
        </is>
      </c>
      <c r="B782" s="1" t="n">
        <v>45994.54497685185</v>
      </c>
      <c r="C782" s="1" t="n">
        <v>46113</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59914-2025</t>
        </is>
      </c>
      <c r="B783" s="1" t="n">
        <v>45993.37056712963</v>
      </c>
      <c r="C783" s="1" t="n">
        <v>46113</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31874-2025</t>
        </is>
      </c>
      <c r="B784" s="1" t="n">
        <v>45834</v>
      </c>
      <c r="C784" s="1" t="n">
        <v>46113</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32595-2023</t>
        </is>
      </c>
      <c r="B785" s="1" t="n">
        <v>45121</v>
      </c>
      <c r="C785" s="1" t="n">
        <v>46113</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59041-2025</t>
        </is>
      </c>
      <c r="B786" s="1" t="n">
        <v>45988</v>
      </c>
      <c r="C786" s="1" t="n">
        <v>46113</v>
      </c>
      <c r="D786" t="inlineStr">
        <is>
          <t>STOCKHOLMS LÄN</t>
        </is>
      </c>
      <c r="E786" t="inlineStr">
        <is>
          <t>NORRTÄLJE</t>
        </is>
      </c>
      <c r="G786" t="n">
        <v>6.6</v>
      </c>
      <c r="H786" t="n">
        <v>0</v>
      </c>
      <c r="I786" t="n">
        <v>0</v>
      </c>
      <c r="J786" t="n">
        <v>0</v>
      </c>
      <c r="K786" t="n">
        <v>0</v>
      </c>
      <c r="L786" t="n">
        <v>0</v>
      </c>
      <c r="M786" t="n">
        <v>0</v>
      </c>
      <c r="N786" t="n">
        <v>0</v>
      </c>
      <c r="O786" t="n">
        <v>0</v>
      </c>
      <c r="P786" t="n">
        <v>0</v>
      </c>
      <c r="Q786" t="n">
        <v>0</v>
      </c>
      <c r="R786" s="2" t="inlineStr"/>
    </row>
    <row r="787" ht="15" customHeight="1">
      <c r="A787" t="inlineStr">
        <is>
          <t>A 11332-2025</t>
        </is>
      </c>
      <c r="B787" s="1" t="n">
        <v>45726.48152777777</v>
      </c>
      <c r="C787" s="1" t="n">
        <v>46113</v>
      </c>
      <c r="D787" t="inlineStr">
        <is>
          <t>STOCKHOLMS LÄN</t>
        </is>
      </c>
      <c r="E787" t="inlineStr">
        <is>
          <t>NORRTÄLJE</t>
        </is>
      </c>
      <c r="G787" t="n">
        <v>4.6</v>
      </c>
      <c r="H787" t="n">
        <v>0</v>
      </c>
      <c r="I787" t="n">
        <v>0</v>
      </c>
      <c r="J787" t="n">
        <v>0</v>
      </c>
      <c r="K787" t="n">
        <v>0</v>
      </c>
      <c r="L787" t="n">
        <v>0</v>
      </c>
      <c r="M787" t="n">
        <v>0</v>
      </c>
      <c r="N787" t="n">
        <v>0</v>
      </c>
      <c r="O787" t="n">
        <v>0</v>
      </c>
      <c r="P787" t="n">
        <v>0</v>
      </c>
      <c r="Q787" t="n">
        <v>0</v>
      </c>
      <c r="R787" s="2" t="inlineStr"/>
    </row>
    <row r="788" ht="15" customHeight="1">
      <c r="A788" t="inlineStr">
        <is>
          <t>A 60214-2025</t>
        </is>
      </c>
      <c r="B788" s="1" t="n">
        <v>45994.53761574074</v>
      </c>
      <c r="C788" s="1" t="n">
        <v>46113</v>
      </c>
      <c r="D788" t="inlineStr">
        <is>
          <t>STOCKHOLMS LÄN</t>
        </is>
      </c>
      <c r="E788" t="inlineStr">
        <is>
          <t>NORRTÄLJE</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31868-2025</t>
        </is>
      </c>
      <c r="B789" s="1" t="n">
        <v>45834.6447337963</v>
      </c>
      <c r="C789" s="1" t="n">
        <v>46113</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60253-2025</t>
        </is>
      </c>
      <c r="B790" s="1" t="n">
        <v>45994.59827546297</v>
      </c>
      <c r="C790" s="1" t="n">
        <v>46113</v>
      </c>
      <c r="D790" t="inlineStr">
        <is>
          <t>STOCKHOLMS LÄN</t>
        </is>
      </c>
      <c r="E790" t="inlineStr">
        <is>
          <t>NORRTÄLJE</t>
        </is>
      </c>
      <c r="F790" t="inlineStr">
        <is>
          <t>Holmen skog AB</t>
        </is>
      </c>
      <c r="G790" t="n">
        <v>3.6</v>
      </c>
      <c r="H790" t="n">
        <v>0</v>
      </c>
      <c r="I790" t="n">
        <v>0</v>
      </c>
      <c r="J790" t="n">
        <v>0</v>
      </c>
      <c r="K790" t="n">
        <v>0</v>
      </c>
      <c r="L790" t="n">
        <v>0</v>
      </c>
      <c r="M790" t="n">
        <v>0</v>
      </c>
      <c r="N790" t="n">
        <v>0</v>
      </c>
      <c r="O790" t="n">
        <v>0</v>
      </c>
      <c r="P790" t="n">
        <v>0</v>
      </c>
      <c r="Q790" t="n">
        <v>0</v>
      </c>
      <c r="R790" s="2" t="inlineStr"/>
    </row>
    <row r="791" ht="15" customHeight="1">
      <c r="A791" t="inlineStr">
        <is>
          <t>A 59907-2025</t>
        </is>
      </c>
      <c r="B791" s="1" t="n">
        <v>45993.35350694445</v>
      </c>
      <c r="C791" s="1" t="n">
        <v>46113</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59924-2025</t>
        </is>
      </c>
      <c r="B792" s="1" t="n">
        <v>45993.38928240741</v>
      </c>
      <c r="C792" s="1" t="n">
        <v>46113</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6413-2025</t>
        </is>
      </c>
      <c r="B793" s="1" t="n">
        <v>45699.46283564815</v>
      </c>
      <c r="C793" s="1" t="n">
        <v>46113</v>
      </c>
      <c r="D793" t="inlineStr">
        <is>
          <t>STOCKHOLMS LÄN</t>
        </is>
      </c>
      <c r="E793" t="inlineStr">
        <is>
          <t>NORRTÄLJE</t>
        </is>
      </c>
      <c r="G793" t="n">
        <v>3.6</v>
      </c>
      <c r="H793" t="n">
        <v>0</v>
      </c>
      <c r="I793" t="n">
        <v>0</v>
      </c>
      <c r="J793" t="n">
        <v>0</v>
      </c>
      <c r="K793" t="n">
        <v>0</v>
      </c>
      <c r="L793" t="n">
        <v>0</v>
      </c>
      <c r="M793" t="n">
        <v>0</v>
      </c>
      <c r="N793" t="n">
        <v>0</v>
      </c>
      <c r="O793" t="n">
        <v>0</v>
      </c>
      <c r="P793" t="n">
        <v>0</v>
      </c>
      <c r="Q793" t="n">
        <v>0</v>
      </c>
      <c r="R793" s="2" t="inlineStr"/>
    </row>
    <row r="794" ht="15" customHeight="1">
      <c r="A794" t="inlineStr">
        <is>
          <t>A 13718-2022</t>
        </is>
      </c>
      <c r="B794" s="1" t="n">
        <v>44649</v>
      </c>
      <c r="C794" s="1" t="n">
        <v>46113</v>
      </c>
      <c r="D794" t="inlineStr">
        <is>
          <t>STOCKHOLMS LÄN</t>
        </is>
      </c>
      <c r="E794" t="inlineStr">
        <is>
          <t>NORRTÄLJE</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60649-2025</t>
        </is>
      </c>
      <c r="B795" s="1" t="n">
        <v>45996.4560300926</v>
      </c>
      <c r="C795" s="1" t="n">
        <v>46113</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31880-2025</t>
        </is>
      </c>
      <c r="B796" s="1" t="n">
        <v>45834.65538194445</v>
      </c>
      <c r="C796" s="1" t="n">
        <v>46113</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54259-2023</t>
        </is>
      </c>
      <c r="B797" s="1" t="n">
        <v>45232</v>
      </c>
      <c r="C797" s="1" t="n">
        <v>46113</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13171-2025</t>
        </is>
      </c>
      <c r="B798" s="1" t="n">
        <v>45735.36594907408</v>
      </c>
      <c r="C798" s="1" t="n">
        <v>46113</v>
      </c>
      <c r="D798" t="inlineStr">
        <is>
          <t>STOCKHOLMS LÄN</t>
        </is>
      </c>
      <c r="E798" t="inlineStr">
        <is>
          <t>NORRTÄLJE</t>
        </is>
      </c>
      <c r="G798" t="n">
        <v>5.1</v>
      </c>
      <c r="H798" t="n">
        <v>0</v>
      </c>
      <c r="I798" t="n">
        <v>0</v>
      </c>
      <c r="J798" t="n">
        <v>0</v>
      </c>
      <c r="K798" t="n">
        <v>0</v>
      </c>
      <c r="L798" t="n">
        <v>0</v>
      </c>
      <c r="M798" t="n">
        <v>0</v>
      </c>
      <c r="N798" t="n">
        <v>0</v>
      </c>
      <c r="O798" t="n">
        <v>0</v>
      </c>
      <c r="P798" t="n">
        <v>0</v>
      </c>
      <c r="Q798" t="n">
        <v>0</v>
      </c>
      <c r="R798" s="2" t="inlineStr"/>
    </row>
    <row r="799" ht="15" customHeight="1">
      <c r="A799" t="inlineStr">
        <is>
          <t>A 12299-2025</t>
        </is>
      </c>
      <c r="B799" s="1" t="n">
        <v>45729.71065972222</v>
      </c>
      <c r="C799" s="1" t="n">
        <v>46113</v>
      </c>
      <c r="D799" t="inlineStr">
        <is>
          <t>STOCKHOLMS LÄN</t>
        </is>
      </c>
      <c r="E799" t="inlineStr">
        <is>
          <t>NORRTÄLJE</t>
        </is>
      </c>
      <c r="F799" t="inlineStr">
        <is>
          <t>Holmen skog AB</t>
        </is>
      </c>
      <c r="G799" t="n">
        <v>6.9</v>
      </c>
      <c r="H799" t="n">
        <v>0</v>
      </c>
      <c r="I799" t="n">
        <v>0</v>
      </c>
      <c r="J799" t="n">
        <v>0</v>
      </c>
      <c r="K799" t="n">
        <v>0</v>
      </c>
      <c r="L799" t="n">
        <v>0</v>
      </c>
      <c r="M799" t="n">
        <v>0</v>
      </c>
      <c r="N799" t="n">
        <v>0</v>
      </c>
      <c r="O799" t="n">
        <v>0</v>
      </c>
      <c r="P799" t="n">
        <v>0</v>
      </c>
      <c r="Q799" t="n">
        <v>0</v>
      </c>
      <c r="R799" s="2" t="inlineStr"/>
    </row>
    <row r="800" ht="15" customHeight="1">
      <c r="A800" t="inlineStr">
        <is>
          <t>A 11900-2024</t>
        </is>
      </c>
      <c r="B800" s="1" t="n">
        <v>45376.55484953704</v>
      </c>
      <c r="C800" s="1" t="n">
        <v>46113</v>
      </c>
      <c r="D800" t="inlineStr">
        <is>
          <t>STOCKHOLMS LÄN</t>
        </is>
      </c>
      <c r="E800" t="inlineStr">
        <is>
          <t>NORRTÄLJE</t>
        </is>
      </c>
      <c r="G800" t="n">
        <v>4.2</v>
      </c>
      <c r="H800" t="n">
        <v>0</v>
      </c>
      <c r="I800" t="n">
        <v>0</v>
      </c>
      <c r="J800" t="n">
        <v>0</v>
      </c>
      <c r="K800" t="n">
        <v>0</v>
      </c>
      <c r="L800" t="n">
        <v>0</v>
      </c>
      <c r="M800" t="n">
        <v>0</v>
      </c>
      <c r="N800" t="n">
        <v>0</v>
      </c>
      <c r="O800" t="n">
        <v>0</v>
      </c>
      <c r="P800" t="n">
        <v>0</v>
      </c>
      <c r="Q800" t="n">
        <v>0</v>
      </c>
      <c r="R800" s="2" t="inlineStr"/>
    </row>
    <row r="801" ht="15" customHeight="1">
      <c r="A801" t="inlineStr">
        <is>
          <t>A 32283-2025</t>
        </is>
      </c>
      <c r="B801" s="1" t="n">
        <v>45835.68076388889</v>
      </c>
      <c r="C801" s="1" t="n">
        <v>46113</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60745-2025</t>
        </is>
      </c>
      <c r="B802" s="1" t="n">
        <v>45999.37753472223</v>
      </c>
      <c r="C802" s="1" t="n">
        <v>46113</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32122-2025</t>
        </is>
      </c>
      <c r="B803" s="1" t="n">
        <v>45835.4928125</v>
      </c>
      <c r="C803" s="1" t="n">
        <v>46113</v>
      </c>
      <c r="D803" t="inlineStr">
        <is>
          <t>STOCKHOLMS LÄN</t>
        </is>
      </c>
      <c r="E803" t="inlineStr">
        <is>
          <t>NORRTÄLJE</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43300-2023</t>
        </is>
      </c>
      <c r="B804" s="1" t="n">
        <v>45183</v>
      </c>
      <c r="C804" s="1" t="n">
        <v>46113</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60928-2025</t>
        </is>
      </c>
      <c r="B805" s="1" t="n">
        <v>45999.633125</v>
      </c>
      <c r="C805" s="1" t="n">
        <v>46113</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60948-2025</t>
        </is>
      </c>
      <c r="B806" s="1" t="n">
        <v>45999.650625</v>
      </c>
      <c r="C806" s="1" t="n">
        <v>46113</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13276-2022</t>
        </is>
      </c>
      <c r="B807" s="1" t="n">
        <v>44644</v>
      </c>
      <c r="C807" s="1" t="n">
        <v>46113</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61160-2025</t>
        </is>
      </c>
      <c r="B808" s="1" t="n">
        <v>46000.55262731481</v>
      </c>
      <c r="C808" s="1" t="n">
        <v>46113</v>
      </c>
      <c r="D808" t="inlineStr">
        <is>
          <t>STOCKHOLMS LÄN</t>
        </is>
      </c>
      <c r="E808" t="inlineStr">
        <is>
          <t>NORRTÄLJE</t>
        </is>
      </c>
      <c r="G808" t="n">
        <v>5.3</v>
      </c>
      <c r="H808" t="n">
        <v>0</v>
      </c>
      <c r="I808" t="n">
        <v>0</v>
      </c>
      <c r="J808" t="n">
        <v>0</v>
      </c>
      <c r="K808" t="n">
        <v>0</v>
      </c>
      <c r="L808" t="n">
        <v>0</v>
      </c>
      <c r="M808" t="n">
        <v>0</v>
      </c>
      <c r="N808" t="n">
        <v>0</v>
      </c>
      <c r="O808" t="n">
        <v>0</v>
      </c>
      <c r="P808" t="n">
        <v>0</v>
      </c>
      <c r="Q808" t="n">
        <v>0</v>
      </c>
      <c r="R808" s="2" t="inlineStr"/>
    </row>
    <row r="809" ht="15" customHeight="1">
      <c r="A809" t="inlineStr">
        <is>
          <t>A 11900-2022</t>
        </is>
      </c>
      <c r="B809" s="1" t="n">
        <v>44635</v>
      </c>
      <c r="C809" s="1" t="n">
        <v>46113</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14724-2022</t>
        </is>
      </c>
      <c r="B810" s="1" t="n">
        <v>44656</v>
      </c>
      <c r="C810" s="1" t="n">
        <v>46113</v>
      </c>
      <c r="D810" t="inlineStr">
        <is>
          <t>STOCKHOLMS LÄN</t>
        </is>
      </c>
      <c r="E810" t="inlineStr">
        <is>
          <t>NORRTÄLJE</t>
        </is>
      </c>
      <c r="F810" t="inlineStr">
        <is>
          <t>Sveaskog</t>
        </is>
      </c>
      <c r="G810" t="n">
        <v>9</v>
      </c>
      <c r="H810" t="n">
        <v>0</v>
      </c>
      <c r="I810" t="n">
        <v>0</v>
      </c>
      <c r="J810" t="n">
        <v>0</v>
      </c>
      <c r="K810" t="n">
        <v>0</v>
      </c>
      <c r="L810" t="n">
        <v>0</v>
      </c>
      <c r="M810" t="n">
        <v>0</v>
      </c>
      <c r="N810" t="n">
        <v>0</v>
      </c>
      <c r="O810" t="n">
        <v>0</v>
      </c>
      <c r="P810" t="n">
        <v>0</v>
      </c>
      <c r="Q810" t="n">
        <v>0</v>
      </c>
      <c r="R810" s="2" t="inlineStr"/>
    </row>
    <row r="811" ht="15" customHeight="1">
      <c r="A811" t="inlineStr">
        <is>
          <t>A 4580-2025</t>
        </is>
      </c>
      <c r="B811" s="1" t="n">
        <v>45687.5038425926</v>
      </c>
      <c r="C811" s="1" t="n">
        <v>46113</v>
      </c>
      <c r="D811" t="inlineStr">
        <is>
          <t>STOCKHOLMS LÄN</t>
        </is>
      </c>
      <c r="E811" t="inlineStr">
        <is>
          <t>NORRTÄLJE</t>
        </is>
      </c>
      <c r="F811" t="inlineStr">
        <is>
          <t>Holmen skog AB</t>
        </is>
      </c>
      <c r="G811" t="n">
        <v>4.8</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46113</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6003-2025</t>
        </is>
      </c>
      <c r="B813" s="1" t="n">
        <v>45695.57881944445</v>
      </c>
      <c r="C813" s="1" t="n">
        <v>46113</v>
      </c>
      <c r="D813" t="inlineStr">
        <is>
          <t>STOCKHOLMS LÄN</t>
        </is>
      </c>
      <c r="E813" t="inlineStr">
        <is>
          <t>NORRTÄLJE</t>
        </is>
      </c>
      <c r="F813" t="inlineStr">
        <is>
          <t>Holmen skog AB</t>
        </is>
      </c>
      <c r="G813" t="n">
        <v>2.3</v>
      </c>
      <c r="H813" t="n">
        <v>0</v>
      </c>
      <c r="I813" t="n">
        <v>0</v>
      </c>
      <c r="J813" t="n">
        <v>0</v>
      </c>
      <c r="K813" t="n">
        <v>0</v>
      </c>
      <c r="L813" t="n">
        <v>0</v>
      </c>
      <c r="M813" t="n">
        <v>0</v>
      </c>
      <c r="N813" t="n">
        <v>0</v>
      </c>
      <c r="O813" t="n">
        <v>0</v>
      </c>
      <c r="P813" t="n">
        <v>0</v>
      </c>
      <c r="Q813" t="n">
        <v>0</v>
      </c>
      <c r="R813" s="2" t="inlineStr"/>
    </row>
    <row r="814" ht="15" customHeight="1">
      <c r="A814" t="inlineStr">
        <is>
          <t>A 52321-2024</t>
        </is>
      </c>
      <c r="B814" s="1" t="n">
        <v>45608</v>
      </c>
      <c r="C814" s="1" t="n">
        <v>46113</v>
      </c>
      <c r="D814" t="inlineStr">
        <is>
          <t>STOCKHOLMS LÄN</t>
        </is>
      </c>
      <c r="E814" t="inlineStr">
        <is>
          <t>NORRTÄLJE</t>
        </is>
      </c>
      <c r="G814" t="n">
        <v>18.1</v>
      </c>
      <c r="H814" t="n">
        <v>0</v>
      </c>
      <c r="I814" t="n">
        <v>0</v>
      </c>
      <c r="J814" t="n">
        <v>0</v>
      </c>
      <c r="K814" t="n">
        <v>0</v>
      </c>
      <c r="L814" t="n">
        <v>0</v>
      </c>
      <c r="M814" t="n">
        <v>0</v>
      </c>
      <c r="N814" t="n">
        <v>0</v>
      </c>
      <c r="O814" t="n">
        <v>0</v>
      </c>
      <c r="P814" t="n">
        <v>0</v>
      </c>
      <c r="Q814" t="n">
        <v>0</v>
      </c>
      <c r="R814" s="2" t="inlineStr"/>
    </row>
    <row r="815" ht="15" customHeight="1">
      <c r="A815" t="inlineStr">
        <is>
          <t>A 54558-2024</t>
        </is>
      </c>
      <c r="B815" s="1" t="n">
        <v>45617.62358796296</v>
      </c>
      <c r="C815" s="1" t="n">
        <v>46113</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22157-2023</t>
        </is>
      </c>
      <c r="B816" s="1" t="n">
        <v>45069</v>
      </c>
      <c r="C816" s="1" t="n">
        <v>46113</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c r="U816">
        <f>HYPERLINK("https://klasma.github.io/Logging_0188/knärot/A 22157-2023 karta knärot.png", "A 22157-2023")</f>
        <v/>
      </c>
      <c r="V816">
        <f>HYPERLINK("https://klasma.github.io/Logging_0188/klagomål/A 22157-2023 FSC-klagomål.docx", "A 22157-2023")</f>
        <v/>
      </c>
      <c r="W816">
        <f>HYPERLINK("https://klasma.github.io/Logging_0188/klagomålsmail/A 22157-2023 FSC-klagomål mail.docx", "A 22157-2023")</f>
        <v/>
      </c>
      <c r="X816">
        <f>HYPERLINK("https://klasma.github.io/Logging_0188/tillsyn/A 22157-2023 tillsynsbegäran.docx", "A 22157-2023")</f>
        <v/>
      </c>
      <c r="Y816">
        <f>HYPERLINK("https://klasma.github.io/Logging_0188/tillsynsmail/A 22157-2023 tillsynsbegäran mail.docx", "A 22157-2023")</f>
        <v/>
      </c>
    </row>
    <row r="817" ht="15" customHeight="1">
      <c r="A817" t="inlineStr">
        <is>
          <t>A 61769-2025</t>
        </is>
      </c>
      <c r="B817" s="1" t="n">
        <v>46002.64556712963</v>
      </c>
      <c r="C817" s="1" t="n">
        <v>46113</v>
      </c>
      <c r="D817" t="inlineStr">
        <is>
          <t>STOCKHOLMS LÄN</t>
        </is>
      </c>
      <c r="E817" t="inlineStr">
        <is>
          <t>NORRTÄLJE</t>
        </is>
      </c>
      <c r="G817" t="n">
        <v>2.9</v>
      </c>
      <c r="H817" t="n">
        <v>0</v>
      </c>
      <c r="I817" t="n">
        <v>0</v>
      </c>
      <c r="J817" t="n">
        <v>0</v>
      </c>
      <c r="K817" t="n">
        <v>0</v>
      </c>
      <c r="L817" t="n">
        <v>0</v>
      </c>
      <c r="M817" t="n">
        <v>0</v>
      </c>
      <c r="N817" t="n">
        <v>0</v>
      </c>
      <c r="O817" t="n">
        <v>0</v>
      </c>
      <c r="P817" t="n">
        <v>0</v>
      </c>
      <c r="Q817" t="n">
        <v>0</v>
      </c>
      <c r="R817" s="2" t="inlineStr"/>
    </row>
    <row r="818" ht="15" customHeight="1">
      <c r="A818" t="inlineStr">
        <is>
          <t>A 48633-2023</t>
        </is>
      </c>
      <c r="B818" s="1" t="n">
        <v>45208.58004629629</v>
      </c>
      <c r="C818" s="1" t="n">
        <v>46113</v>
      </c>
      <c r="D818" t="inlineStr">
        <is>
          <t>STOCKHOLMS LÄN</t>
        </is>
      </c>
      <c r="E818" t="inlineStr">
        <is>
          <t>NORRTÄLJE</t>
        </is>
      </c>
      <c r="G818" t="n">
        <v>3.3</v>
      </c>
      <c r="H818" t="n">
        <v>0</v>
      </c>
      <c r="I818" t="n">
        <v>0</v>
      </c>
      <c r="J818" t="n">
        <v>0</v>
      </c>
      <c r="K818" t="n">
        <v>0</v>
      </c>
      <c r="L818" t="n">
        <v>0</v>
      </c>
      <c r="M818" t="n">
        <v>0</v>
      </c>
      <c r="N818" t="n">
        <v>0</v>
      </c>
      <c r="O818" t="n">
        <v>0</v>
      </c>
      <c r="P818" t="n">
        <v>0</v>
      </c>
      <c r="Q818" t="n">
        <v>0</v>
      </c>
      <c r="R818" s="2" t="inlineStr"/>
    </row>
    <row r="819" ht="15" customHeight="1">
      <c r="A819" t="inlineStr">
        <is>
          <t>A 61764-2025</t>
        </is>
      </c>
      <c r="B819" s="1" t="n">
        <v>46002.62763888889</v>
      </c>
      <c r="C819" s="1" t="n">
        <v>46113</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47419-2023</t>
        </is>
      </c>
      <c r="B820" s="1" t="n">
        <v>45202.65660879629</v>
      </c>
      <c r="C820" s="1" t="n">
        <v>46113</v>
      </c>
      <c r="D820" t="inlineStr">
        <is>
          <t>STOCKHOLMS LÄN</t>
        </is>
      </c>
      <c r="E820" t="inlineStr">
        <is>
          <t>NORRTÄLJE</t>
        </is>
      </c>
      <c r="G820" t="n">
        <v>11.4</v>
      </c>
      <c r="H820" t="n">
        <v>0</v>
      </c>
      <c r="I820" t="n">
        <v>0</v>
      </c>
      <c r="J820" t="n">
        <v>0</v>
      </c>
      <c r="K820" t="n">
        <v>0</v>
      </c>
      <c r="L820" t="n">
        <v>0</v>
      </c>
      <c r="M820" t="n">
        <v>0</v>
      </c>
      <c r="N820" t="n">
        <v>0</v>
      </c>
      <c r="O820" t="n">
        <v>0</v>
      </c>
      <c r="P820" t="n">
        <v>0</v>
      </c>
      <c r="Q820" t="n">
        <v>0</v>
      </c>
      <c r="R820" s="2" t="inlineStr"/>
    </row>
    <row r="821" ht="15" customHeight="1">
      <c r="A821" t="inlineStr">
        <is>
          <t>A 32094-2025</t>
        </is>
      </c>
      <c r="B821" s="1" t="n">
        <v>45835.46034722222</v>
      </c>
      <c r="C821" s="1" t="n">
        <v>46113</v>
      </c>
      <c r="D821" t="inlineStr">
        <is>
          <t>STOCKHOLMS LÄN</t>
        </is>
      </c>
      <c r="E821" t="inlineStr">
        <is>
          <t>NORRTÄLJE</t>
        </is>
      </c>
      <c r="F821" t="inlineStr">
        <is>
          <t>Holmen skog AB</t>
        </is>
      </c>
      <c r="G821" t="n">
        <v>2.9</v>
      </c>
      <c r="H821" t="n">
        <v>0</v>
      </c>
      <c r="I821" t="n">
        <v>0</v>
      </c>
      <c r="J821" t="n">
        <v>0</v>
      </c>
      <c r="K821" t="n">
        <v>0</v>
      </c>
      <c r="L821" t="n">
        <v>0</v>
      </c>
      <c r="M821" t="n">
        <v>0</v>
      </c>
      <c r="N821" t="n">
        <v>0</v>
      </c>
      <c r="O821" t="n">
        <v>0</v>
      </c>
      <c r="P821" t="n">
        <v>0</v>
      </c>
      <c r="Q821" t="n">
        <v>0</v>
      </c>
      <c r="R821" s="2" t="inlineStr"/>
    </row>
    <row r="822" ht="15" customHeight="1">
      <c r="A822" t="inlineStr">
        <is>
          <t>A 652-2025</t>
        </is>
      </c>
      <c r="B822" s="1" t="n">
        <v>45664</v>
      </c>
      <c r="C822" s="1" t="n">
        <v>46113</v>
      </c>
      <c r="D822" t="inlineStr">
        <is>
          <t>STOCKHOLMS LÄN</t>
        </is>
      </c>
      <c r="E822" t="inlineStr">
        <is>
          <t>NORRTÄLJE</t>
        </is>
      </c>
      <c r="G822" t="n">
        <v>2.5</v>
      </c>
      <c r="H822" t="n">
        <v>0</v>
      </c>
      <c r="I822" t="n">
        <v>0</v>
      </c>
      <c r="J822" t="n">
        <v>0</v>
      </c>
      <c r="K822" t="n">
        <v>0</v>
      </c>
      <c r="L822" t="n">
        <v>0</v>
      </c>
      <c r="M822" t="n">
        <v>0</v>
      </c>
      <c r="N822" t="n">
        <v>0</v>
      </c>
      <c r="O822" t="n">
        <v>0</v>
      </c>
      <c r="P822" t="n">
        <v>0</v>
      </c>
      <c r="Q822" t="n">
        <v>0</v>
      </c>
      <c r="R822" s="2" t="inlineStr"/>
    </row>
    <row r="823" ht="15" customHeight="1">
      <c r="A823" t="inlineStr">
        <is>
          <t>A 61289-2025</t>
        </is>
      </c>
      <c r="B823" s="1" t="n">
        <v>46000.73659722223</v>
      </c>
      <c r="C823" s="1" t="n">
        <v>46113</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61419-2025</t>
        </is>
      </c>
      <c r="B824" s="1" t="n">
        <v>46001.54137731482</v>
      </c>
      <c r="C824" s="1" t="n">
        <v>46113</v>
      </c>
      <c r="D824" t="inlineStr">
        <is>
          <t>STOCKHOLMS LÄN</t>
        </is>
      </c>
      <c r="E824" t="inlineStr">
        <is>
          <t>NORRTÄLJE</t>
        </is>
      </c>
      <c r="G824" t="n">
        <v>5.2</v>
      </c>
      <c r="H824" t="n">
        <v>0</v>
      </c>
      <c r="I824" t="n">
        <v>0</v>
      </c>
      <c r="J824" t="n">
        <v>0</v>
      </c>
      <c r="K824" t="n">
        <v>0</v>
      </c>
      <c r="L824" t="n">
        <v>0</v>
      </c>
      <c r="M824" t="n">
        <v>0</v>
      </c>
      <c r="N824" t="n">
        <v>0</v>
      </c>
      <c r="O824" t="n">
        <v>0</v>
      </c>
      <c r="P824" t="n">
        <v>0</v>
      </c>
      <c r="Q824" t="n">
        <v>0</v>
      </c>
      <c r="R824" s="2" t="inlineStr"/>
    </row>
    <row r="825" ht="15" customHeight="1">
      <c r="A825" t="inlineStr">
        <is>
          <t>A 61430-2025</t>
        </is>
      </c>
      <c r="B825" s="1" t="n">
        <v>46001.55583333333</v>
      </c>
      <c r="C825" s="1" t="n">
        <v>46113</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61452-2025</t>
        </is>
      </c>
      <c r="B826" s="1" t="n">
        <v>46001.58043981482</v>
      </c>
      <c r="C826" s="1" t="n">
        <v>46113</v>
      </c>
      <c r="D826" t="inlineStr">
        <is>
          <t>STOCKHOLMS LÄN</t>
        </is>
      </c>
      <c r="E826" t="inlineStr">
        <is>
          <t>NORRTÄLJE</t>
        </is>
      </c>
      <c r="F826" t="inlineStr">
        <is>
          <t>Holmen skog AB</t>
        </is>
      </c>
      <c r="G826" t="n">
        <v>3.7</v>
      </c>
      <c r="H826" t="n">
        <v>0</v>
      </c>
      <c r="I826" t="n">
        <v>0</v>
      </c>
      <c r="J826" t="n">
        <v>0</v>
      </c>
      <c r="K826" t="n">
        <v>0</v>
      </c>
      <c r="L826" t="n">
        <v>0</v>
      </c>
      <c r="M826" t="n">
        <v>0</v>
      </c>
      <c r="N826" t="n">
        <v>0</v>
      </c>
      <c r="O826" t="n">
        <v>0</v>
      </c>
      <c r="P826" t="n">
        <v>0</v>
      </c>
      <c r="Q826" t="n">
        <v>0</v>
      </c>
      <c r="R826" s="2" t="inlineStr"/>
    </row>
    <row r="827" ht="15" customHeight="1">
      <c r="A827" t="inlineStr">
        <is>
          <t>A 10653-2022</t>
        </is>
      </c>
      <c r="B827" s="1" t="n">
        <v>44624.59434027778</v>
      </c>
      <c r="C827" s="1" t="n">
        <v>46113</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32016-2025</t>
        </is>
      </c>
      <c r="B828" s="1" t="n">
        <v>45835</v>
      </c>
      <c r="C828" s="1" t="n">
        <v>46113</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32396-2025</t>
        </is>
      </c>
      <c r="B829" s="1" t="n">
        <v>45837</v>
      </c>
      <c r="C829" s="1" t="n">
        <v>46113</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32397-2025</t>
        </is>
      </c>
      <c r="B830" s="1" t="n">
        <v>45837.94081018519</v>
      </c>
      <c r="C830" s="1" t="n">
        <v>46113</v>
      </c>
      <c r="D830" t="inlineStr">
        <is>
          <t>STOCKHOLMS LÄN</t>
        </is>
      </c>
      <c r="E830" t="inlineStr">
        <is>
          <t>NORRTÄLJE</t>
        </is>
      </c>
      <c r="G830" t="n">
        <v>5.9</v>
      </c>
      <c r="H830" t="n">
        <v>0</v>
      </c>
      <c r="I830" t="n">
        <v>0</v>
      </c>
      <c r="J830" t="n">
        <v>0</v>
      </c>
      <c r="K830" t="n">
        <v>0</v>
      </c>
      <c r="L830" t="n">
        <v>0</v>
      </c>
      <c r="M830" t="n">
        <v>0</v>
      </c>
      <c r="N830" t="n">
        <v>0</v>
      </c>
      <c r="O830" t="n">
        <v>0</v>
      </c>
      <c r="P830" t="n">
        <v>0</v>
      </c>
      <c r="Q830" t="n">
        <v>0</v>
      </c>
      <c r="R830" s="2" t="inlineStr"/>
    </row>
    <row r="831" ht="15" customHeight="1">
      <c r="A831" t="inlineStr">
        <is>
          <t>A 35695-2023</t>
        </is>
      </c>
      <c r="B831" s="1" t="n">
        <v>45147.65407407407</v>
      </c>
      <c r="C831" s="1" t="n">
        <v>46113</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32480-2025</t>
        </is>
      </c>
      <c r="B832" s="1" t="n">
        <v>45838.43261574074</v>
      </c>
      <c r="C832" s="1" t="n">
        <v>46113</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46113</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17574-2025</t>
        </is>
      </c>
      <c r="B834" s="1" t="n">
        <v>45757.65178240741</v>
      </c>
      <c r="C834" s="1" t="n">
        <v>46113</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20370-2025</t>
        </is>
      </c>
      <c r="B835" s="1" t="n">
        <v>45775.41451388889</v>
      </c>
      <c r="C835" s="1" t="n">
        <v>46113</v>
      </c>
      <c r="D835" t="inlineStr">
        <is>
          <t>STOCKHOLMS LÄN</t>
        </is>
      </c>
      <c r="E835" t="inlineStr">
        <is>
          <t>NORRTÄLJE</t>
        </is>
      </c>
      <c r="G835" t="n">
        <v>2.9</v>
      </c>
      <c r="H835" t="n">
        <v>0</v>
      </c>
      <c r="I835" t="n">
        <v>0</v>
      </c>
      <c r="J835" t="n">
        <v>0</v>
      </c>
      <c r="K835" t="n">
        <v>0</v>
      </c>
      <c r="L835" t="n">
        <v>0</v>
      </c>
      <c r="M835" t="n">
        <v>0</v>
      </c>
      <c r="N835" t="n">
        <v>0</v>
      </c>
      <c r="O835" t="n">
        <v>0</v>
      </c>
      <c r="P835" t="n">
        <v>0</v>
      </c>
      <c r="Q835" t="n">
        <v>0</v>
      </c>
      <c r="R835" s="2" t="inlineStr"/>
    </row>
    <row r="836" ht="15" customHeight="1">
      <c r="A836" t="inlineStr">
        <is>
          <t>A 32395-2025</t>
        </is>
      </c>
      <c r="B836" s="1" t="n">
        <v>45837.93730324074</v>
      </c>
      <c r="C836" s="1" t="n">
        <v>46113</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46113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53499-2025</t>
        </is>
      </c>
      <c r="B838" s="1" t="n">
        <v>45960</v>
      </c>
      <c r="C838" s="1" t="n">
        <v>46113</v>
      </c>
      <c r="D838" t="inlineStr">
        <is>
          <t>STOCKHOLMS LÄN</t>
        </is>
      </c>
      <c r="E838" t="inlineStr">
        <is>
          <t>NORRTÄLJE</t>
        </is>
      </c>
      <c r="G838" t="n">
        <v>23.8</v>
      </c>
      <c r="H838" t="n">
        <v>0</v>
      </c>
      <c r="I838" t="n">
        <v>0</v>
      </c>
      <c r="J838" t="n">
        <v>0</v>
      </c>
      <c r="K838" t="n">
        <v>0</v>
      </c>
      <c r="L838" t="n">
        <v>0</v>
      </c>
      <c r="M838" t="n">
        <v>0</v>
      </c>
      <c r="N838" t="n">
        <v>0</v>
      </c>
      <c r="O838" t="n">
        <v>0</v>
      </c>
      <c r="P838" t="n">
        <v>0</v>
      </c>
      <c r="Q838" t="n">
        <v>0</v>
      </c>
      <c r="R838" s="2" t="inlineStr"/>
    </row>
    <row r="839" ht="15" customHeight="1">
      <c r="A839" t="inlineStr">
        <is>
          <t>A 35438-2023</t>
        </is>
      </c>
      <c r="B839" s="1" t="n">
        <v>45146</v>
      </c>
      <c r="C839" s="1" t="n">
        <v>46113</v>
      </c>
      <c r="D839" t="inlineStr">
        <is>
          <t>STOCKHOLMS LÄN</t>
        </is>
      </c>
      <c r="E839" t="inlineStr">
        <is>
          <t>NORRTÄLJE</t>
        </is>
      </c>
      <c r="F839" t="inlineStr">
        <is>
          <t>Kommuner</t>
        </is>
      </c>
      <c r="G839" t="n">
        <v>1.9</v>
      </c>
      <c r="H839" t="n">
        <v>0</v>
      </c>
      <c r="I839" t="n">
        <v>0</v>
      </c>
      <c r="J839" t="n">
        <v>0</v>
      </c>
      <c r="K839" t="n">
        <v>0</v>
      </c>
      <c r="L839" t="n">
        <v>0</v>
      </c>
      <c r="M839" t="n">
        <v>0</v>
      </c>
      <c r="N839" t="n">
        <v>0</v>
      </c>
      <c r="O839" t="n">
        <v>0</v>
      </c>
      <c r="P839" t="n">
        <v>0</v>
      </c>
      <c r="Q839" t="n">
        <v>0</v>
      </c>
      <c r="R839" s="2" t="inlineStr"/>
    </row>
    <row r="840" ht="15" customHeight="1">
      <c r="A840" t="inlineStr">
        <is>
          <t>A 62708-2025</t>
        </is>
      </c>
      <c r="B840" s="1" t="n">
        <v>46008.50986111111</v>
      </c>
      <c r="C840" s="1" t="n">
        <v>46113</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33211-2025</t>
        </is>
      </c>
      <c r="B841" s="1" t="n">
        <v>45840.62755787037</v>
      </c>
      <c r="C841" s="1" t="n">
        <v>46113</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62689-2025</t>
        </is>
      </c>
      <c r="B842" s="1" t="n">
        <v>46008.47171296296</v>
      </c>
      <c r="C842" s="1" t="n">
        <v>46113</v>
      </c>
      <c r="D842" t="inlineStr">
        <is>
          <t>STOCKHOLMS LÄN</t>
        </is>
      </c>
      <c r="E842" t="inlineStr">
        <is>
          <t>NORRTÄLJE</t>
        </is>
      </c>
      <c r="F842" t="inlineStr">
        <is>
          <t>Kyrkan</t>
        </is>
      </c>
      <c r="G842" t="n">
        <v>0.7</v>
      </c>
      <c r="H842" t="n">
        <v>0</v>
      </c>
      <c r="I842" t="n">
        <v>0</v>
      </c>
      <c r="J842" t="n">
        <v>0</v>
      </c>
      <c r="K842" t="n">
        <v>0</v>
      </c>
      <c r="L842" t="n">
        <v>0</v>
      </c>
      <c r="M842" t="n">
        <v>0</v>
      </c>
      <c r="N842" t="n">
        <v>0</v>
      </c>
      <c r="O842" t="n">
        <v>0</v>
      </c>
      <c r="P842" t="n">
        <v>0</v>
      </c>
      <c r="Q842" t="n">
        <v>0</v>
      </c>
      <c r="R842" s="2" t="inlineStr"/>
    </row>
    <row r="843" ht="15" customHeight="1">
      <c r="A843" t="inlineStr">
        <is>
          <t>A 33878-2024</t>
        </is>
      </c>
      <c r="B843" s="1" t="n">
        <v>45522.44414351852</v>
      </c>
      <c r="C843" s="1" t="n">
        <v>46113</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32903-2025</t>
        </is>
      </c>
      <c r="B844" s="1" t="n">
        <v>45839.62398148148</v>
      </c>
      <c r="C844" s="1" t="n">
        <v>46113</v>
      </c>
      <c r="D844" t="inlineStr">
        <is>
          <t>STOCKHOLMS LÄN</t>
        </is>
      </c>
      <c r="E844" t="inlineStr">
        <is>
          <t>NORRTÄLJE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33279-2025</t>
        </is>
      </c>
      <c r="B845" s="1" t="n">
        <v>45840</v>
      </c>
      <c r="C845" s="1" t="n">
        <v>46113</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4183-2025</t>
        </is>
      </c>
      <c r="B846" s="1" t="n">
        <v>45685.44592592592</v>
      </c>
      <c r="C846" s="1" t="n">
        <v>46113</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33265-2025</t>
        </is>
      </c>
      <c r="B847" s="1" t="n">
        <v>45840.67829861111</v>
      </c>
      <c r="C847" s="1" t="n">
        <v>46113</v>
      </c>
      <c r="D847" t="inlineStr">
        <is>
          <t>STOCKHOLMS LÄN</t>
        </is>
      </c>
      <c r="E847" t="inlineStr">
        <is>
          <t>NORRTÄLJE</t>
        </is>
      </c>
      <c r="G847" t="n">
        <v>5.5</v>
      </c>
      <c r="H847" t="n">
        <v>0</v>
      </c>
      <c r="I847" t="n">
        <v>0</v>
      </c>
      <c r="J847" t="n">
        <v>0</v>
      </c>
      <c r="K847" t="n">
        <v>0</v>
      </c>
      <c r="L847" t="n">
        <v>0</v>
      </c>
      <c r="M847" t="n">
        <v>0</v>
      </c>
      <c r="N847" t="n">
        <v>0</v>
      </c>
      <c r="O847" t="n">
        <v>0</v>
      </c>
      <c r="P847" t="n">
        <v>0</v>
      </c>
      <c r="Q847" t="n">
        <v>0</v>
      </c>
      <c r="R847" s="2" t="inlineStr"/>
    </row>
    <row r="848" ht="15" customHeight="1">
      <c r="A848" t="inlineStr">
        <is>
          <t>A 62681-2025</t>
        </is>
      </c>
      <c r="B848" s="1" t="n">
        <v>46008.45534722223</v>
      </c>
      <c r="C848" s="1" t="n">
        <v>46113</v>
      </c>
      <c r="D848" t="inlineStr">
        <is>
          <t>STOCKHOLMS LÄN</t>
        </is>
      </c>
      <c r="E848" t="inlineStr">
        <is>
          <t>NORRTÄLJE</t>
        </is>
      </c>
      <c r="G848" t="n">
        <v>2.4</v>
      </c>
      <c r="H848" t="n">
        <v>0</v>
      </c>
      <c r="I848" t="n">
        <v>0</v>
      </c>
      <c r="J848" t="n">
        <v>0</v>
      </c>
      <c r="K848" t="n">
        <v>0</v>
      </c>
      <c r="L848" t="n">
        <v>0</v>
      </c>
      <c r="M848" t="n">
        <v>0</v>
      </c>
      <c r="N848" t="n">
        <v>0</v>
      </c>
      <c r="O848" t="n">
        <v>0</v>
      </c>
      <c r="P848" t="n">
        <v>0</v>
      </c>
      <c r="Q848" t="n">
        <v>0</v>
      </c>
      <c r="R848" s="2" t="inlineStr"/>
    </row>
    <row r="849" ht="15" customHeight="1">
      <c r="A849" t="inlineStr">
        <is>
          <t>A 32872-2025</t>
        </is>
      </c>
      <c r="B849" s="1" t="n">
        <v>45839</v>
      </c>
      <c r="C849" s="1" t="n">
        <v>46113</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17556-2025</t>
        </is>
      </c>
      <c r="B850" s="1" t="n">
        <v>45757.62482638889</v>
      </c>
      <c r="C850" s="1" t="n">
        <v>46113</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41335-2023</t>
        </is>
      </c>
      <c r="B851" s="1" t="n">
        <v>45174.68702546296</v>
      </c>
      <c r="C851" s="1" t="n">
        <v>46113</v>
      </c>
      <c r="D851" t="inlineStr">
        <is>
          <t>STOCKHOLMS LÄN</t>
        </is>
      </c>
      <c r="E851" t="inlineStr">
        <is>
          <t>NORRTÄLJE</t>
        </is>
      </c>
      <c r="F851" t="inlineStr">
        <is>
          <t>Holmen skog AB</t>
        </is>
      </c>
      <c r="G851" t="n">
        <v>4.4</v>
      </c>
      <c r="H851" t="n">
        <v>0</v>
      </c>
      <c r="I851" t="n">
        <v>0</v>
      </c>
      <c r="J851" t="n">
        <v>0</v>
      </c>
      <c r="K851" t="n">
        <v>0</v>
      </c>
      <c r="L851" t="n">
        <v>0</v>
      </c>
      <c r="M851" t="n">
        <v>0</v>
      </c>
      <c r="N851" t="n">
        <v>0</v>
      </c>
      <c r="O851" t="n">
        <v>0</v>
      </c>
      <c r="P851" t="n">
        <v>0</v>
      </c>
      <c r="Q851" t="n">
        <v>0</v>
      </c>
      <c r="R851" s="2" t="inlineStr"/>
    </row>
    <row r="852" ht="15" customHeight="1">
      <c r="A852" t="inlineStr">
        <is>
          <t>A 4484-2025</t>
        </is>
      </c>
      <c r="B852" s="1" t="n">
        <v>45686.65545138889</v>
      </c>
      <c r="C852" s="1" t="n">
        <v>46113</v>
      </c>
      <c r="D852" t="inlineStr">
        <is>
          <t>STOCKHOLMS LÄN</t>
        </is>
      </c>
      <c r="E852" t="inlineStr">
        <is>
          <t>NORRTÄLJE</t>
        </is>
      </c>
      <c r="G852" t="n">
        <v>1.9</v>
      </c>
      <c r="H852" t="n">
        <v>0</v>
      </c>
      <c r="I852" t="n">
        <v>0</v>
      </c>
      <c r="J852" t="n">
        <v>0</v>
      </c>
      <c r="K852" t="n">
        <v>0</v>
      </c>
      <c r="L852" t="n">
        <v>0</v>
      </c>
      <c r="M852" t="n">
        <v>0</v>
      </c>
      <c r="N852" t="n">
        <v>0</v>
      </c>
      <c r="O852" t="n">
        <v>0</v>
      </c>
      <c r="P852" t="n">
        <v>0</v>
      </c>
      <c r="Q852" t="n">
        <v>0</v>
      </c>
      <c r="R852" s="2" t="inlineStr"/>
    </row>
    <row r="853" ht="15" customHeight="1">
      <c r="A853" t="inlineStr">
        <is>
          <t>A 34478-2025</t>
        </is>
      </c>
      <c r="B853" s="1" t="n">
        <v>45847</v>
      </c>
      <c r="C853" s="1" t="n">
        <v>46113</v>
      </c>
      <c r="D853" t="inlineStr">
        <is>
          <t>STOCKHOLMS LÄN</t>
        </is>
      </c>
      <c r="E853" t="inlineStr">
        <is>
          <t>NORRTÄLJE</t>
        </is>
      </c>
      <c r="F853" t="inlineStr">
        <is>
          <t>Övriga Aktiebolag</t>
        </is>
      </c>
      <c r="G853" t="n">
        <v>10.8</v>
      </c>
      <c r="H853" t="n">
        <v>0</v>
      </c>
      <c r="I853" t="n">
        <v>0</v>
      </c>
      <c r="J853" t="n">
        <v>0</v>
      </c>
      <c r="K853" t="n">
        <v>0</v>
      </c>
      <c r="L853" t="n">
        <v>0</v>
      </c>
      <c r="M853" t="n">
        <v>0</v>
      </c>
      <c r="N853" t="n">
        <v>0</v>
      </c>
      <c r="O853" t="n">
        <v>0</v>
      </c>
      <c r="P853" t="n">
        <v>0</v>
      </c>
      <c r="Q853" t="n">
        <v>0</v>
      </c>
      <c r="R853" s="2" t="inlineStr"/>
    </row>
    <row r="854" ht="15" customHeight="1">
      <c r="A854" t="inlineStr">
        <is>
          <t>A 8419-2025</t>
        </is>
      </c>
      <c r="B854" s="1" t="n">
        <v>45709.40231481481</v>
      </c>
      <c r="C854" s="1" t="n">
        <v>46113</v>
      </c>
      <c r="D854" t="inlineStr">
        <is>
          <t>STOCKHOLMS LÄN</t>
        </is>
      </c>
      <c r="E854" t="inlineStr">
        <is>
          <t>NORRTÄLJE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21480-2022</t>
        </is>
      </c>
      <c r="B855" s="1" t="n">
        <v>44704</v>
      </c>
      <c r="C855" s="1" t="n">
        <v>46113</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33702-2025</t>
        </is>
      </c>
      <c r="B856" s="1" t="n">
        <v>45841.74596064815</v>
      </c>
      <c r="C856" s="1" t="n">
        <v>46113</v>
      </c>
      <c r="D856" t="inlineStr">
        <is>
          <t>STOCKHOLMS LÄN</t>
        </is>
      </c>
      <c r="E856" t="inlineStr">
        <is>
          <t>NORRTÄLJE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62922-2025</t>
        </is>
      </c>
      <c r="B857" s="1" t="n">
        <v>46009.38064814815</v>
      </c>
      <c r="C857" s="1" t="n">
        <v>46113</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1654-2025</t>
        </is>
      </c>
      <c r="B858" s="1" t="n">
        <v>45670.65921296296</v>
      </c>
      <c r="C858" s="1" t="n">
        <v>46113</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33336-2025</t>
        </is>
      </c>
      <c r="B859" s="1" t="n">
        <v>45841.35611111111</v>
      </c>
      <c r="C859" s="1" t="n">
        <v>46113</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48686-2023</t>
        </is>
      </c>
      <c r="B860" s="1" t="n">
        <v>45208</v>
      </c>
      <c r="C860" s="1" t="n">
        <v>46113</v>
      </c>
      <c r="D860" t="inlineStr">
        <is>
          <t>STOCKHOLMS LÄN</t>
        </is>
      </c>
      <c r="E860" t="inlineStr">
        <is>
          <t>NORRTÄLJE</t>
        </is>
      </c>
      <c r="G860" t="n">
        <v>6</v>
      </c>
      <c r="H860" t="n">
        <v>0</v>
      </c>
      <c r="I860" t="n">
        <v>0</v>
      </c>
      <c r="J860" t="n">
        <v>0</v>
      </c>
      <c r="K860" t="n">
        <v>0</v>
      </c>
      <c r="L860" t="n">
        <v>0</v>
      </c>
      <c r="M860" t="n">
        <v>0</v>
      </c>
      <c r="N860" t="n">
        <v>0</v>
      </c>
      <c r="O860" t="n">
        <v>0</v>
      </c>
      <c r="P860" t="n">
        <v>0</v>
      </c>
      <c r="Q860" t="n">
        <v>0</v>
      </c>
      <c r="R860" s="2" t="inlineStr"/>
    </row>
    <row r="861" ht="15" customHeight="1">
      <c r="A861" t="inlineStr">
        <is>
          <t>A 48691-2023</t>
        </is>
      </c>
      <c r="B861" s="1" t="n">
        <v>45208</v>
      </c>
      <c r="C861" s="1" t="n">
        <v>46113</v>
      </c>
      <c r="D861" t="inlineStr">
        <is>
          <t>STOCKHOLMS LÄN</t>
        </is>
      </c>
      <c r="E861" t="inlineStr">
        <is>
          <t>NORRTÄLJE</t>
        </is>
      </c>
      <c r="G861" t="n">
        <v>5.8</v>
      </c>
      <c r="H861" t="n">
        <v>0</v>
      </c>
      <c r="I861" t="n">
        <v>0</v>
      </c>
      <c r="J861" t="n">
        <v>0</v>
      </c>
      <c r="K861" t="n">
        <v>0</v>
      </c>
      <c r="L861" t="n">
        <v>0</v>
      </c>
      <c r="M861" t="n">
        <v>0</v>
      </c>
      <c r="N861" t="n">
        <v>0</v>
      </c>
      <c r="O861" t="n">
        <v>0</v>
      </c>
      <c r="P861" t="n">
        <v>0</v>
      </c>
      <c r="Q861" t="n">
        <v>0</v>
      </c>
      <c r="R861" s="2" t="inlineStr"/>
    </row>
    <row r="862" ht="15" customHeight="1">
      <c r="A862" t="inlineStr">
        <is>
          <t>A 55243-2023</t>
        </is>
      </c>
      <c r="B862" s="1" t="n">
        <v>45237</v>
      </c>
      <c r="C862" s="1" t="n">
        <v>46113</v>
      </c>
      <c r="D862" t="inlineStr">
        <is>
          <t>STOCKHOLMS LÄN</t>
        </is>
      </c>
      <c r="E862" t="inlineStr">
        <is>
          <t>NORRTÄLJE</t>
        </is>
      </c>
      <c r="G862" t="n">
        <v>6.5</v>
      </c>
      <c r="H862" t="n">
        <v>0</v>
      </c>
      <c r="I862" t="n">
        <v>0</v>
      </c>
      <c r="J862" t="n">
        <v>0</v>
      </c>
      <c r="K862" t="n">
        <v>0</v>
      </c>
      <c r="L862" t="n">
        <v>0</v>
      </c>
      <c r="M862" t="n">
        <v>0</v>
      </c>
      <c r="N862" t="n">
        <v>0</v>
      </c>
      <c r="O862" t="n">
        <v>0</v>
      </c>
      <c r="P862" t="n">
        <v>0</v>
      </c>
      <c r="Q862" t="n">
        <v>0</v>
      </c>
      <c r="R862" s="2" t="inlineStr"/>
    </row>
    <row r="863" ht="15" customHeight="1">
      <c r="A863" t="inlineStr">
        <is>
          <t>A 35210-2023</t>
        </is>
      </c>
      <c r="B863" s="1" t="n">
        <v>45145.63584490741</v>
      </c>
      <c r="C863" s="1" t="n">
        <v>46113</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6678-2025</t>
        </is>
      </c>
      <c r="B864" s="1" t="n">
        <v>45700</v>
      </c>
      <c r="C864" s="1" t="n">
        <v>46113</v>
      </c>
      <c r="D864" t="inlineStr">
        <is>
          <t>STOCKHOLMS LÄN</t>
        </is>
      </c>
      <c r="E864" t="inlineStr">
        <is>
          <t>NORRTÄLJE</t>
        </is>
      </c>
      <c r="F864" t="inlineStr">
        <is>
          <t>Övriga Aktiebolag</t>
        </is>
      </c>
      <c r="G864" t="n">
        <v>6.6</v>
      </c>
      <c r="H864" t="n">
        <v>0</v>
      </c>
      <c r="I864" t="n">
        <v>0</v>
      </c>
      <c r="J864" t="n">
        <v>0</v>
      </c>
      <c r="K864" t="n">
        <v>0</v>
      </c>
      <c r="L864" t="n">
        <v>0</v>
      </c>
      <c r="M864" t="n">
        <v>0</v>
      </c>
      <c r="N864" t="n">
        <v>0</v>
      </c>
      <c r="O864" t="n">
        <v>0</v>
      </c>
      <c r="P864" t="n">
        <v>0</v>
      </c>
      <c r="Q864" t="n">
        <v>0</v>
      </c>
      <c r="R864" s="2" t="inlineStr"/>
    </row>
    <row r="865" ht="15" customHeight="1">
      <c r="A865" t="inlineStr">
        <is>
          <t>A 33552-2025</t>
        </is>
      </c>
      <c r="B865" s="1" t="n">
        <v>45841.5737962963</v>
      </c>
      <c r="C865" s="1" t="n">
        <v>46113</v>
      </c>
      <c r="D865" t="inlineStr">
        <is>
          <t>STOCKHOLMS LÄN</t>
        </is>
      </c>
      <c r="E865" t="inlineStr">
        <is>
          <t>NORRTÄLJE</t>
        </is>
      </c>
      <c r="G865" t="n">
        <v>8.9</v>
      </c>
      <c r="H865" t="n">
        <v>0</v>
      </c>
      <c r="I865" t="n">
        <v>0</v>
      </c>
      <c r="J865" t="n">
        <v>0</v>
      </c>
      <c r="K865" t="n">
        <v>0</v>
      </c>
      <c r="L865" t="n">
        <v>0</v>
      </c>
      <c r="M865" t="n">
        <v>0</v>
      </c>
      <c r="N865" t="n">
        <v>0</v>
      </c>
      <c r="O865" t="n">
        <v>0</v>
      </c>
      <c r="P865" t="n">
        <v>0</v>
      </c>
      <c r="Q865" t="n">
        <v>0</v>
      </c>
      <c r="R865" s="2" t="inlineStr"/>
    </row>
    <row r="866" ht="15" customHeight="1">
      <c r="A866" t="inlineStr">
        <is>
          <t>A 17612-2022</t>
        </is>
      </c>
      <c r="B866" s="1" t="n">
        <v>44680</v>
      </c>
      <c r="C866" s="1" t="n">
        <v>46113</v>
      </c>
      <c r="D866" t="inlineStr">
        <is>
          <t>STOCKHOLMS LÄN</t>
        </is>
      </c>
      <c r="E866" t="inlineStr">
        <is>
          <t>NORRTÄLJE</t>
        </is>
      </c>
      <c r="G866" t="n">
        <v>2.6</v>
      </c>
      <c r="H866" t="n">
        <v>0</v>
      </c>
      <c r="I866" t="n">
        <v>0</v>
      </c>
      <c r="J866" t="n">
        <v>0</v>
      </c>
      <c r="K866" t="n">
        <v>0</v>
      </c>
      <c r="L866" t="n">
        <v>0</v>
      </c>
      <c r="M866" t="n">
        <v>0</v>
      </c>
      <c r="N866" t="n">
        <v>0</v>
      </c>
      <c r="O866" t="n">
        <v>0</v>
      </c>
      <c r="P866" t="n">
        <v>0</v>
      </c>
      <c r="Q866" t="n">
        <v>0</v>
      </c>
      <c r="R866" s="2" t="inlineStr"/>
    </row>
    <row r="867" ht="15" customHeight="1">
      <c r="A867" t="inlineStr">
        <is>
          <t>A 58297-2023</t>
        </is>
      </c>
      <c r="B867" s="1" t="n">
        <v>45245</v>
      </c>
      <c r="C867" s="1" t="n">
        <v>46113</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33824-2025</t>
        </is>
      </c>
      <c r="B868" s="1" t="n">
        <v>45842.46885416667</v>
      </c>
      <c r="C868" s="1" t="n">
        <v>46113</v>
      </c>
      <c r="D868" t="inlineStr">
        <is>
          <t>STOCKHOLMS LÄN</t>
        </is>
      </c>
      <c r="E868" t="inlineStr">
        <is>
          <t>NORRTÄLJE</t>
        </is>
      </c>
      <c r="G868" t="n">
        <v>1.9</v>
      </c>
      <c r="H868" t="n">
        <v>0</v>
      </c>
      <c r="I868" t="n">
        <v>0</v>
      </c>
      <c r="J868" t="n">
        <v>0</v>
      </c>
      <c r="K868" t="n">
        <v>0</v>
      </c>
      <c r="L868" t="n">
        <v>0</v>
      </c>
      <c r="M868" t="n">
        <v>0</v>
      </c>
      <c r="N868" t="n">
        <v>0</v>
      </c>
      <c r="O868" t="n">
        <v>0</v>
      </c>
      <c r="P868" t="n">
        <v>0</v>
      </c>
      <c r="Q868" t="n">
        <v>0</v>
      </c>
      <c r="R868" s="2" t="inlineStr"/>
    </row>
    <row r="869" ht="15" customHeight="1">
      <c r="A869" t="inlineStr">
        <is>
          <t>A 21726-2022</t>
        </is>
      </c>
      <c r="B869" s="1" t="n">
        <v>44708</v>
      </c>
      <c r="C869" s="1" t="n">
        <v>46113</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21739-2022</t>
        </is>
      </c>
      <c r="B870" s="1" t="n">
        <v>44708.36708333333</v>
      </c>
      <c r="C870" s="1" t="n">
        <v>46113</v>
      </c>
      <c r="D870" t="inlineStr">
        <is>
          <t>STOCKHOLMS LÄN</t>
        </is>
      </c>
      <c r="E870" t="inlineStr">
        <is>
          <t>NORRTÄLJE</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44746.58530092592</v>
      </c>
      <c r="C871" s="1" t="n">
        <v>46113</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3283-2025</t>
        </is>
      </c>
      <c r="B872" s="1" t="n">
        <v>45679</v>
      </c>
      <c r="C872" s="1" t="n">
        <v>46113</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18092-2022</t>
        </is>
      </c>
      <c r="B873" s="1" t="n">
        <v>44684</v>
      </c>
      <c r="C873" s="1" t="n">
        <v>46113</v>
      </c>
      <c r="D873" t="inlineStr">
        <is>
          <t>STOCKHOLMS LÄN</t>
        </is>
      </c>
      <c r="E873" t="inlineStr">
        <is>
          <t>NORRTÄLJE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33295-2023</t>
        </is>
      </c>
      <c r="B874" s="1" t="n">
        <v>45127.69371527778</v>
      </c>
      <c r="C874" s="1" t="n">
        <v>46113</v>
      </c>
      <c r="D874" t="inlineStr">
        <is>
          <t>STOCKHOLMS LÄN</t>
        </is>
      </c>
      <c r="E874" t="inlineStr">
        <is>
          <t>NORRTÄLJE</t>
        </is>
      </c>
      <c r="F874" t="inlineStr">
        <is>
          <t>Holmen skog AB</t>
        </is>
      </c>
      <c r="G874" t="n">
        <v>2</v>
      </c>
      <c r="H874" t="n">
        <v>0</v>
      </c>
      <c r="I874" t="n">
        <v>0</v>
      </c>
      <c r="J874" t="n">
        <v>0</v>
      </c>
      <c r="K874" t="n">
        <v>0</v>
      </c>
      <c r="L874" t="n">
        <v>0</v>
      </c>
      <c r="M874" t="n">
        <v>0</v>
      </c>
      <c r="N874" t="n">
        <v>0</v>
      </c>
      <c r="O874" t="n">
        <v>0</v>
      </c>
      <c r="P874" t="n">
        <v>0</v>
      </c>
      <c r="Q874" t="n">
        <v>0</v>
      </c>
      <c r="R874" s="2" t="inlineStr"/>
    </row>
    <row r="875" ht="15" customHeight="1">
      <c r="A875" t="inlineStr">
        <is>
          <t>A 46073-2024</t>
        </is>
      </c>
      <c r="B875" s="1" t="n">
        <v>45581</v>
      </c>
      <c r="C875" s="1" t="n">
        <v>46113</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58404-2023</t>
        </is>
      </c>
      <c r="B876" s="1" t="n">
        <v>45245</v>
      </c>
      <c r="C876" s="1" t="n">
        <v>46113</v>
      </c>
      <c r="D876" t="inlineStr">
        <is>
          <t>STOCKHOLMS LÄN</t>
        </is>
      </c>
      <c r="E876" t="inlineStr">
        <is>
          <t>NORRTÄLJE</t>
        </is>
      </c>
      <c r="G876" t="n">
        <v>53.5</v>
      </c>
      <c r="H876" t="n">
        <v>0</v>
      </c>
      <c r="I876" t="n">
        <v>0</v>
      </c>
      <c r="J876" t="n">
        <v>0</v>
      </c>
      <c r="K876" t="n">
        <v>0</v>
      </c>
      <c r="L876" t="n">
        <v>0</v>
      </c>
      <c r="M876" t="n">
        <v>0</v>
      </c>
      <c r="N876" t="n">
        <v>0</v>
      </c>
      <c r="O876" t="n">
        <v>0</v>
      </c>
      <c r="P876" t="n">
        <v>0</v>
      </c>
      <c r="Q876" t="n">
        <v>0</v>
      </c>
      <c r="R876" s="2" t="inlineStr"/>
    </row>
    <row r="877" ht="15" customHeight="1">
      <c r="A877" t="inlineStr">
        <is>
          <t>A 27885-2022</t>
        </is>
      </c>
      <c r="B877" s="1" t="n">
        <v>44743.67418981482</v>
      </c>
      <c r="C877" s="1" t="n">
        <v>46113</v>
      </c>
      <c r="D877" t="inlineStr">
        <is>
          <t>STOCKHOLMS LÄN</t>
        </is>
      </c>
      <c r="E877" t="inlineStr">
        <is>
          <t>NORRTÄLJE</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36689-2023</t>
        </is>
      </c>
      <c r="B878" s="1" t="n">
        <v>45152</v>
      </c>
      <c r="C878" s="1" t="n">
        <v>46113</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34139-2025</t>
        </is>
      </c>
      <c r="B879" s="1" t="n">
        <v>45845</v>
      </c>
      <c r="C879" s="1" t="n">
        <v>46113</v>
      </c>
      <c r="D879" t="inlineStr">
        <is>
          <t>STOCKHOLMS LÄN</t>
        </is>
      </c>
      <c r="E879" t="inlineStr">
        <is>
          <t>NORRTÄLJE</t>
        </is>
      </c>
      <c r="G879" t="n">
        <v>5.5</v>
      </c>
      <c r="H879" t="n">
        <v>0</v>
      </c>
      <c r="I879" t="n">
        <v>0</v>
      </c>
      <c r="J879" t="n">
        <v>0</v>
      </c>
      <c r="K879" t="n">
        <v>0</v>
      </c>
      <c r="L879" t="n">
        <v>0</v>
      </c>
      <c r="M879" t="n">
        <v>0</v>
      </c>
      <c r="N879" t="n">
        <v>0</v>
      </c>
      <c r="O879" t="n">
        <v>0</v>
      </c>
      <c r="P879" t="n">
        <v>0</v>
      </c>
      <c r="Q879" t="n">
        <v>0</v>
      </c>
      <c r="R879" s="2" t="inlineStr"/>
    </row>
    <row r="880" ht="15" customHeight="1">
      <c r="A880" t="inlineStr">
        <is>
          <t>A 34006-2025</t>
        </is>
      </c>
      <c r="B880" s="1" t="n">
        <v>45844.62609953704</v>
      </c>
      <c r="C880" s="1" t="n">
        <v>46113</v>
      </c>
      <c r="D880" t="inlineStr">
        <is>
          <t>STOCKHOLMS LÄN</t>
        </is>
      </c>
      <c r="E880" t="inlineStr">
        <is>
          <t>NORRTÄLJE</t>
        </is>
      </c>
      <c r="G880" t="n">
        <v>2.3</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46113</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45208.70996527778</v>
      </c>
      <c r="C882" s="1" t="n">
        <v>46113</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34010-2025</t>
        </is>
      </c>
      <c r="B883" s="1" t="n">
        <v>45844.91234953704</v>
      </c>
      <c r="C883" s="1" t="n">
        <v>46113</v>
      </c>
      <c r="D883" t="inlineStr">
        <is>
          <t>STOCKHOLMS LÄN</t>
        </is>
      </c>
      <c r="E883" t="inlineStr">
        <is>
          <t>NORRTÄLJE</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23801-2022</t>
        </is>
      </c>
      <c r="B884" s="1" t="n">
        <v>44722</v>
      </c>
      <c r="C884" s="1" t="n">
        <v>46113</v>
      </c>
      <c r="D884" t="inlineStr">
        <is>
          <t>STOCKHOLMS LÄN</t>
        </is>
      </c>
      <c r="E884" t="inlineStr">
        <is>
          <t>NORRTÄLJE</t>
        </is>
      </c>
      <c r="G884" t="n">
        <v>6.8</v>
      </c>
      <c r="H884" t="n">
        <v>0</v>
      </c>
      <c r="I884" t="n">
        <v>0</v>
      </c>
      <c r="J884" t="n">
        <v>0</v>
      </c>
      <c r="K884" t="n">
        <v>0</v>
      </c>
      <c r="L884" t="n">
        <v>0</v>
      </c>
      <c r="M884" t="n">
        <v>0</v>
      </c>
      <c r="N884" t="n">
        <v>0</v>
      </c>
      <c r="O884" t="n">
        <v>0</v>
      </c>
      <c r="P884" t="n">
        <v>0</v>
      </c>
      <c r="Q884" t="n">
        <v>0</v>
      </c>
      <c r="R884" s="2" t="inlineStr"/>
    </row>
    <row r="885" ht="15" customHeight="1">
      <c r="A885" t="inlineStr">
        <is>
          <t>A 124-2026</t>
        </is>
      </c>
      <c r="B885" s="1" t="n">
        <v>46024.58378472222</v>
      </c>
      <c r="C885" s="1" t="n">
        <v>46113</v>
      </c>
      <c r="D885" t="inlineStr">
        <is>
          <t>STOCKHOLMS LÄN</t>
        </is>
      </c>
      <c r="E885" t="inlineStr">
        <is>
          <t>NORRTÄLJE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33353-2023</t>
        </is>
      </c>
      <c r="B886" s="1" t="n">
        <v>45128</v>
      </c>
      <c r="C886" s="1" t="n">
        <v>46113</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197-2026</t>
        </is>
      </c>
      <c r="B887" s="1" t="n">
        <v>46026</v>
      </c>
      <c r="C887" s="1" t="n">
        <v>46113</v>
      </c>
      <c r="D887" t="inlineStr">
        <is>
          <t>STOCKHOLMS LÄN</t>
        </is>
      </c>
      <c r="E887" t="inlineStr">
        <is>
          <t>NORRTÄLJE</t>
        </is>
      </c>
      <c r="G887" t="n">
        <v>0.8</v>
      </c>
      <c r="H887" t="n">
        <v>0</v>
      </c>
      <c r="I887" t="n">
        <v>0</v>
      </c>
      <c r="J887" t="n">
        <v>0</v>
      </c>
      <c r="K887" t="n">
        <v>0</v>
      </c>
      <c r="L887" t="n">
        <v>0</v>
      </c>
      <c r="M887" t="n">
        <v>0</v>
      </c>
      <c r="N887" t="n">
        <v>0</v>
      </c>
      <c r="O887" t="n">
        <v>0</v>
      </c>
      <c r="P887" t="n">
        <v>0</v>
      </c>
      <c r="Q887" t="n">
        <v>0</v>
      </c>
      <c r="R887" s="2" t="inlineStr"/>
    </row>
    <row r="888" ht="15" customHeight="1">
      <c r="A888" t="inlineStr">
        <is>
          <t>A 718-2026</t>
        </is>
      </c>
      <c r="B888" s="1" t="n">
        <v>46029.63174768518</v>
      </c>
      <c r="C888" s="1" t="n">
        <v>46113</v>
      </c>
      <c r="D888" t="inlineStr">
        <is>
          <t>STOCKHOLMS LÄN</t>
        </is>
      </c>
      <c r="E888" t="inlineStr">
        <is>
          <t>NORRTÄLJE</t>
        </is>
      </c>
      <c r="G888" t="n">
        <v>2.4</v>
      </c>
      <c r="H888" t="n">
        <v>0</v>
      </c>
      <c r="I888" t="n">
        <v>0</v>
      </c>
      <c r="J888" t="n">
        <v>0</v>
      </c>
      <c r="K888" t="n">
        <v>0</v>
      </c>
      <c r="L888" t="n">
        <v>0</v>
      </c>
      <c r="M888" t="n">
        <v>0</v>
      </c>
      <c r="N888" t="n">
        <v>0</v>
      </c>
      <c r="O888" t="n">
        <v>0</v>
      </c>
      <c r="P888" t="n">
        <v>0</v>
      </c>
      <c r="Q888" t="n">
        <v>0</v>
      </c>
      <c r="R888" s="2" t="inlineStr"/>
    </row>
    <row r="889" ht="15" customHeight="1">
      <c r="A889" t="inlineStr">
        <is>
          <t>A 694-2026</t>
        </is>
      </c>
      <c r="B889" s="1" t="n">
        <v>46029.61375</v>
      </c>
      <c r="C889" s="1" t="n">
        <v>46113</v>
      </c>
      <c r="D889" t="inlineStr">
        <is>
          <t>STOCKHOLMS LÄN</t>
        </is>
      </c>
      <c r="E889" t="inlineStr">
        <is>
          <t>NORRTÄLJE</t>
        </is>
      </c>
      <c r="G889" t="n">
        <v>9.6</v>
      </c>
      <c r="H889" t="n">
        <v>0</v>
      </c>
      <c r="I889" t="n">
        <v>0</v>
      </c>
      <c r="J889" t="n">
        <v>0</v>
      </c>
      <c r="K889" t="n">
        <v>0</v>
      </c>
      <c r="L889" t="n">
        <v>0</v>
      </c>
      <c r="M889" t="n">
        <v>0</v>
      </c>
      <c r="N889" t="n">
        <v>0</v>
      </c>
      <c r="O889" t="n">
        <v>0</v>
      </c>
      <c r="P889" t="n">
        <v>0</v>
      </c>
      <c r="Q889" t="n">
        <v>0</v>
      </c>
      <c r="R889" s="2" t="inlineStr"/>
    </row>
    <row r="890" ht="15" customHeight="1">
      <c r="A890" t="inlineStr">
        <is>
          <t>A 35708-2022</t>
        </is>
      </c>
      <c r="B890" s="1" t="n">
        <v>44799.65013888889</v>
      </c>
      <c r="C890" s="1" t="n">
        <v>46113</v>
      </c>
      <c r="D890" t="inlineStr">
        <is>
          <t>STOCKHOLMS LÄN</t>
        </is>
      </c>
      <c r="E890" t="inlineStr">
        <is>
          <t>NORRTÄLJE</t>
        </is>
      </c>
      <c r="G890" t="n">
        <v>1.5</v>
      </c>
      <c r="H890" t="n">
        <v>0</v>
      </c>
      <c r="I890" t="n">
        <v>0</v>
      </c>
      <c r="J890" t="n">
        <v>0</v>
      </c>
      <c r="K890" t="n">
        <v>0</v>
      </c>
      <c r="L890" t="n">
        <v>0</v>
      </c>
      <c r="M890" t="n">
        <v>0</v>
      </c>
      <c r="N890" t="n">
        <v>0</v>
      </c>
      <c r="O890" t="n">
        <v>0</v>
      </c>
      <c r="P890" t="n">
        <v>0</v>
      </c>
      <c r="Q890" t="n">
        <v>0</v>
      </c>
      <c r="R890" s="2" t="inlineStr"/>
    </row>
    <row r="891" ht="15" customHeight="1">
      <c r="A891" t="inlineStr">
        <is>
          <t>A 3426-2025</t>
        </is>
      </c>
      <c r="B891" s="1" t="n">
        <v>45680.42665509259</v>
      </c>
      <c r="C891" s="1" t="n">
        <v>46113</v>
      </c>
      <c r="D891" t="inlineStr">
        <is>
          <t>STOCKHOLMS LÄN</t>
        </is>
      </c>
      <c r="E891" t="inlineStr">
        <is>
          <t>NORRTÄLJE</t>
        </is>
      </c>
      <c r="G891" t="n">
        <v>3.2</v>
      </c>
      <c r="H891" t="n">
        <v>0</v>
      </c>
      <c r="I891" t="n">
        <v>0</v>
      </c>
      <c r="J891" t="n">
        <v>0</v>
      </c>
      <c r="K891" t="n">
        <v>0</v>
      </c>
      <c r="L891" t="n">
        <v>0</v>
      </c>
      <c r="M891" t="n">
        <v>0</v>
      </c>
      <c r="N891" t="n">
        <v>0</v>
      </c>
      <c r="O891" t="n">
        <v>0</v>
      </c>
      <c r="P891" t="n">
        <v>0</v>
      </c>
      <c r="Q891" t="n">
        <v>0</v>
      </c>
      <c r="R891" s="2" t="inlineStr"/>
    </row>
    <row r="892" ht="15" customHeight="1">
      <c r="A892" t="inlineStr">
        <is>
          <t>A 9-2024</t>
        </is>
      </c>
      <c r="B892" s="1" t="n">
        <v>45293</v>
      </c>
      <c r="C892" s="1" t="n">
        <v>46113</v>
      </c>
      <c r="D892" t="inlineStr">
        <is>
          <t>STOCKHOLMS LÄN</t>
        </is>
      </c>
      <c r="E892" t="inlineStr">
        <is>
          <t>NORRTÄLJE</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51312-2023</t>
        </is>
      </c>
      <c r="B893" s="1" t="n">
        <v>45219.56697916667</v>
      </c>
      <c r="C893" s="1" t="n">
        <v>46113</v>
      </c>
      <c r="D893" t="inlineStr">
        <is>
          <t>STOCKHOLMS LÄN</t>
        </is>
      </c>
      <c r="E893" t="inlineStr">
        <is>
          <t>NORRTÄLJE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11849-2025</t>
        </is>
      </c>
      <c r="B894" s="1" t="n">
        <v>45728.38409722222</v>
      </c>
      <c r="C894" s="1" t="n">
        <v>46113</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38610-2022</t>
        </is>
      </c>
      <c r="B895" s="1" t="n">
        <v>44813.59915509259</v>
      </c>
      <c r="C895" s="1" t="n">
        <v>46113</v>
      </c>
      <c r="D895" t="inlineStr">
        <is>
          <t>STOCKHOLMS LÄN</t>
        </is>
      </c>
      <c r="E895" t="inlineStr">
        <is>
          <t>NORRTÄLJE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22816-2021</t>
        </is>
      </c>
      <c r="B896" s="1" t="n">
        <v>44325</v>
      </c>
      <c r="C896" s="1" t="n">
        <v>46113</v>
      </c>
      <c r="D896" t="inlineStr">
        <is>
          <t>STOCKHOLMS LÄN</t>
        </is>
      </c>
      <c r="E896" t="inlineStr">
        <is>
          <t>NORRTÄLJE</t>
        </is>
      </c>
      <c r="G896" t="n">
        <v>4.5</v>
      </c>
      <c r="H896" t="n">
        <v>0</v>
      </c>
      <c r="I896" t="n">
        <v>0</v>
      </c>
      <c r="J896" t="n">
        <v>0</v>
      </c>
      <c r="K896" t="n">
        <v>0</v>
      </c>
      <c r="L896" t="n">
        <v>0</v>
      </c>
      <c r="M896" t="n">
        <v>0</v>
      </c>
      <c r="N896" t="n">
        <v>0</v>
      </c>
      <c r="O896" t="n">
        <v>0</v>
      </c>
      <c r="P896" t="n">
        <v>0</v>
      </c>
      <c r="Q896" t="n">
        <v>0</v>
      </c>
      <c r="R896" s="2" t="inlineStr"/>
    </row>
    <row r="897" ht="15" customHeight="1">
      <c r="A897" t="inlineStr">
        <is>
          <t>A 693-2026</t>
        </is>
      </c>
      <c r="B897" s="1" t="n">
        <v>46029.6133449074</v>
      </c>
      <c r="C897" s="1" t="n">
        <v>46113</v>
      </c>
      <c r="D897" t="inlineStr">
        <is>
          <t>STOCKHOLMS LÄN</t>
        </is>
      </c>
      <c r="E897" t="inlineStr">
        <is>
          <t>NORRTÄLJE</t>
        </is>
      </c>
      <c r="G897" t="n">
        <v>9.6</v>
      </c>
      <c r="H897" t="n">
        <v>0</v>
      </c>
      <c r="I897" t="n">
        <v>0</v>
      </c>
      <c r="J897" t="n">
        <v>0</v>
      </c>
      <c r="K897" t="n">
        <v>0</v>
      </c>
      <c r="L897" t="n">
        <v>0</v>
      </c>
      <c r="M897" t="n">
        <v>0</v>
      </c>
      <c r="N897" t="n">
        <v>0</v>
      </c>
      <c r="O897" t="n">
        <v>0</v>
      </c>
      <c r="P897" t="n">
        <v>0</v>
      </c>
      <c r="Q897" t="n">
        <v>0</v>
      </c>
      <c r="R897" s="2" t="inlineStr"/>
    </row>
    <row r="898" ht="15" customHeight="1">
      <c r="A898" t="inlineStr">
        <is>
          <t>A 35110-2025</t>
        </is>
      </c>
      <c r="B898" s="1" t="n">
        <v>45852.58030092593</v>
      </c>
      <c r="C898" s="1" t="n">
        <v>46113</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812-2026</t>
        </is>
      </c>
      <c r="B899" s="1" t="n">
        <v>46030.33358796296</v>
      </c>
      <c r="C899" s="1" t="n">
        <v>46113</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717-2026</t>
        </is>
      </c>
      <c r="B900" s="1" t="n">
        <v>46029.63028935185</v>
      </c>
      <c r="C900" s="1" t="n">
        <v>46113</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475-2026</t>
        </is>
      </c>
      <c r="B901" s="1" t="n">
        <v>46029.39351851852</v>
      </c>
      <c r="C901" s="1" t="n">
        <v>46113</v>
      </c>
      <c r="D901" t="inlineStr">
        <is>
          <t>STOCKHOLMS LÄN</t>
        </is>
      </c>
      <c r="E901" t="inlineStr">
        <is>
          <t>NORRTÄLJE</t>
        </is>
      </c>
      <c r="G901" t="n">
        <v>4.6</v>
      </c>
      <c r="H901" t="n">
        <v>0</v>
      </c>
      <c r="I901" t="n">
        <v>0</v>
      </c>
      <c r="J901" t="n">
        <v>0</v>
      </c>
      <c r="K901" t="n">
        <v>0</v>
      </c>
      <c r="L901" t="n">
        <v>0</v>
      </c>
      <c r="M901" t="n">
        <v>0</v>
      </c>
      <c r="N901" t="n">
        <v>0</v>
      </c>
      <c r="O901" t="n">
        <v>0</v>
      </c>
      <c r="P901" t="n">
        <v>0</v>
      </c>
      <c r="Q901" t="n">
        <v>0</v>
      </c>
      <c r="R901" s="2" t="inlineStr"/>
    </row>
    <row r="902" ht="15" customHeight="1">
      <c r="A902" t="inlineStr">
        <is>
          <t>A 9720-2026</t>
        </is>
      </c>
      <c r="B902" s="1" t="n">
        <v>46072.45061342593</v>
      </c>
      <c r="C902" s="1" t="n">
        <v>46113</v>
      </c>
      <c r="D902" t="inlineStr">
        <is>
          <t>STOCKHOLMS LÄN</t>
        </is>
      </c>
      <c r="E902" t="inlineStr">
        <is>
          <t>NORRTÄLJE</t>
        </is>
      </c>
      <c r="G902" t="n">
        <v>3.6</v>
      </c>
      <c r="H902" t="n">
        <v>0</v>
      </c>
      <c r="I902" t="n">
        <v>0</v>
      </c>
      <c r="J902" t="n">
        <v>0</v>
      </c>
      <c r="K902" t="n">
        <v>0</v>
      </c>
      <c r="L902" t="n">
        <v>0</v>
      </c>
      <c r="M902" t="n">
        <v>0</v>
      </c>
      <c r="N902" t="n">
        <v>0</v>
      </c>
      <c r="O902" t="n">
        <v>0</v>
      </c>
      <c r="P902" t="n">
        <v>0</v>
      </c>
      <c r="Q902" t="n">
        <v>0</v>
      </c>
      <c r="R902" s="2" t="inlineStr"/>
    </row>
    <row r="903" ht="15" customHeight="1">
      <c r="A903" t="inlineStr">
        <is>
          <t>A 59468-2023</t>
        </is>
      </c>
      <c r="B903" s="1" t="n">
        <v>45254.41509259259</v>
      </c>
      <c r="C903" s="1" t="n">
        <v>46113</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35254-2025</t>
        </is>
      </c>
      <c r="B904" s="1" t="n">
        <v>45853</v>
      </c>
      <c r="C904" s="1" t="n">
        <v>46113</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18846-2022</t>
        </is>
      </c>
      <c r="B905" s="1" t="n">
        <v>44690</v>
      </c>
      <c r="C905" s="1" t="n">
        <v>46113</v>
      </c>
      <c r="D905" t="inlineStr">
        <is>
          <t>STOCKHOLMS LÄN</t>
        </is>
      </c>
      <c r="E905" t="inlineStr">
        <is>
          <t>NORRTÄLJE</t>
        </is>
      </c>
      <c r="G905" t="n">
        <v>7</v>
      </c>
      <c r="H905" t="n">
        <v>0</v>
      </c>
      <c r="I905" t="n">
        <v>0</v>
      </c>
      <c r="J905" t="n">
        <v>0</v>
      </c>
      <c r="K905" t="n">
        <v>0</v>
      </c>
      <c r="L905" t="n">
        <v>0</v>
      </c>
      <c r="M905" t="n">
        <v>0</v>
      </c>
      <c r="N905" t="n">
        <v>0</v>
      </c>
      <c r="O905" t="n">
        <v>0</v>
      </c>
      <c r="P905" t="n">
        <v>0</v>
      </c>
      <c r="Q905" t="n">
        <v>0</v>
      </c>
      <c r="R905" s="2" t="inlineStr"/>
    </row>
    <row r="906" ht="15" customHeight="1">
      <c r="A906" t="inlineStr">
        <is>
          <t>A 35479-2025</t>
        </is>
      </c>
      <c r="B906" s="1" t="n">
        <v>45855.69387731481</v>
      </c>
      <c r="C906" s="1" t="n">
        <v>46113</v>
      </c>
      <c r="D906" t="inlineStr">
        <is>
          <t>STOCKHOLMS LÄN</t>
        </is>
      </c>
      <c r="E906" t="inlineStr">
        <is>
          <t>NORRTÄLJE</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35451-2025</t>
        </is>
      </c>
      <c r="B907" s="1" t="n">
        <v>45855.57033564815</v>
      </c>
      <c r="C907" s="1" t="n">
        <v>46113</v>
      </c>
      <c r="D907" t="inlineStr">
        <is>
          <t>STOCKHOLMS LÄN</t>
        </is>
      </c>
      <c r="E907" t="inlineStr">
        <is>
          <t>NORRTÄLJE</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35478-2025</t>
        </is>
      </c>
      <c r="B908" s="1" t="n">
        <v>45855.68413194444</v>
      </c>
      <c r="C908" s="1" t="n">
        <v>46113</v>
      </c>
      <c r="D908" t="inlineStr">
        <is>
          <t>STOCKHOLMS LÄN</t>
        </is>
      </c>
      <c r="E908" t="inlineStr">
        <is>
          <t>NORRTÄLJE</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1789-2026</t>
        </is>
      </c>
      <c r="B909" s="1" t="n">
        <v>46034</v>
      </c>
      <c r="C909" s="1" t="n">
        <v>46113</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12535-2025</t>
        </is>
      </c>
      <c r="B910" s="1" t="n">
        <v>45730.69502314815</v>
      </c>
      <c r="C910" s="1" t="n">
        <v>46113</v>
      </c>
      <c r="D910" t="inlineStr">
        <is>
          <t>STOCKHOLMS LÄN</t>
        </is>
      </c>
      <c r="E910" t="inlineStr">
        <is>
          <t>NORRTÄLJE</t>
        </is>
      </c>
      <c r="G910" t="n">
        <v>7.1</v>
      </c>
      <c r="H910" t="n">
        <v>0</v>
      </c>
      <c r="I910" t="n">
        <v>0</v>
      </c>
      <c r="J910" t="n">
        <v>0</v>
      </c>
      <c r="K910" t="n">
        <v>0</v>
      </c>
      <c r="L910" t="n">
        <v>0</v>
      </c>
      <c r="M910" t="n">
        <v>0</v>
      </c>
      <c r="N910" t="n">
        <v>0</v>
      </c>
      <c r="O910" t="n">
        <v>0</v>
      </c>
      <c r="P910" t="n">
        <v>0</v>
      </c>
      <c r="Q910" t="n">
        <v>0</v>
      </c>
      <c r="R910" s="2" t="inlineStr"/>
    </row>
    <row r="911" ht="15" customHeight="1">
      <c r="A911" t="inlineStr">
        <is>
          <t>A 1755-2026</t>
        </is>
      </c>
      <c r="B911" s="1" t="n">
        <v>46034.66230324074</v>
      </c>
      <c r="C911" s="1" t="n">
        <v>46113</v>
      </c>
      <c r="D911" t="inlineStr">
        <is>
          <t>STOCKHOLMS LÄN</t>
        </is>
      </c>
      <c r="E911" t="inlineStr">
        <is>
          <t>NORRTÄLJE</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574-2023</t>
        </is>
      </c>
      <c r="B912" s="1" t="n">
        <v>44925</v>
      </c>
      <c r="C912" s="1" t="n">
        <v>46113</v>
      </c>
      <c r="D912" t="inlineStr">
        <is>
          <t>STOCKHOLMS LÄN</t>
        </is>
      </c>
      <c r="E912" t="inlineStr">
        <is>
          <t>NORRTÄLJE</t>
        </is>
      </c>
      <c r="G912" t="n">
        <v>5</v>
      </c>
      <c r="H912" t="n">
        <v>0</v>
      </c>
      <c r="I912" t="n">
        <v>0</v>
      </c>
      <c r="J912" t="n">
        <v>0</v>
      </c>
      <c r="K912" t="n">
        <v>0</v>
      </c>
      <c r="L912" t="n">
        <v>0</v>
      </c>
      <c r="M912" t="n">
        <v>0</v>
      </c>
      <c r="N912" t="n">
        <v>0</v>
      </c>
      <c r="O912" t="n">
        <v>0</v>
      </c>
      <c r="P912" t="n">
        <v>0</v>
      </c>
      <c r="Q912" t="n">
        <v>0</v>
      </c>
      <c r="R912" s="2" t="inlineStr"/>
    </row>
    <row r="913" ht="15" customHeight="1">
      <c r="A913" t="inlineStr">
        <is>
          <t>A 10429-2026</t>
        </is>
      </c>
      <c r="B913" s="1" t="n">
        <v>46077.3822337963</v>
      </c>
      <c r="C913" s="1" t="n">
        <v>46113</v>
      </c>
      <c r="D913" t="inlineStr">
        <is>
          <t>STOCKHOLMS LÄN</t>
        </is>
      </c>
      <c r="E913" t="inlineStr">
        <is>
          <t>NORRTÄLJE</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10444-2026</t>
        </is>
      </c>
      <c r="B914" s="1" t="n">
        <v>46077.42230324074</v>
      </c>
      <c r="C914" s="1" t="n">
        <v>46113</v>
      </c>
      <c r="D914" t="inlineStr">
        <is>
          <t>STOCKHOLMS LÄN</t>
        </is>
      </c>
      <c r="E914" t="inlineStr">
        <is>
          <t>NORRTÄLJE</t>
        </is>
      </c>
      <c r="F914" t="inlineStr">
        <is>
          <t>Holmen skog AB</t>
        </is>
      </c>
      <c r="G914" t="n">
        <v>4.9</v>
      </c>
      <c r="H914" t="n">
        <v>0</v>
      </c>
      <c r="I914" t="n">
        <v>0</v>
      </c>
      <c r="J914" t="n">
        <v>0</v>
      </c>
      <c r="K914" t="n">
        <v>0</v>
      </c>
      <c r="L914" t="n">
        <v>0</v>
      </c>
      <c r="M914" t="n">
        <v>0</v>
      </c>
      <c r="N914" t="n">
        <v>0</v>
      </c>
      <c r="O914" t="n">
        <v>0</v>
      </c>
      <c r="P914" t="n">
        <v>0</v>
      </c>
      <c r="Q914" t="n">
        <v>0</v>
      </c>
      <c r="R914" s="2" t="inlineStr"/>
    </row>
    <row r="915" ht="15" customHeight="1">
      <c r="A915" t="inlineStr">
        <is>
          <t>A 2088-2026</t>
        </is>
      </c>
      <c r="B915" s="1" t="n">
        <v>46036.35909722222</v>
      </c>
      <c r="C915" s="1" t="n">
        <v>46113</v>
      </c>
      <c r="D915" t="inlineStr">
        <is>
          <t>STOCKHOLMS LÄN</t>
        </is>
      </c>
      <c r="E915" t="inlineStr">
        <is>
          <t>NORRTÄLJE</t>
        </is>
      </c>
      <c r="G915" t="n">
        <v>7</v>
      </c>
      <c r="H915" t="n">
        <v>0</v>
      </c>
      <c r="I915" t="n">
        <v>0</v>
      </c>
      <c r="J915" t="n">
        <v>0</v>
      </c>
      <c r="K915" t="n">
        <v>0</v>
      </c>
      <c r="L915" t="n">
        <v>0</v>
      </c>
      <c r="M915" t="n">
        <v>0</v>
      </c>
      <c r="N915" t="n">
        <v>0</v>
      </c>
      <c r="O915" t="n">
        <v>0</v>
      </c>
      <c r="P915" t="n">
        <v>0</v>
      </c>
      <c r="Q915" t="n">
        <v>0</v>
      </c>
      <c r="R915" s="2" t="inlineStr"/>
    </row>
    <row r="916" ht="15" customHeight="1">
      <c r="A916" t="inlineStr">
        <is>
          <t>A 2116-2026</t>
        </is>
      </c>
      <c r="B916" s="1" t="n">
        <v>46036.38108796296</v>
      </c>
      <c r="C916" s="1" t="n">
        <v>46113</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10399-2026</t>
        </is>
      </c>
      <c r="B917" s="1" t="n">
        <v>46077</v>
      </c>
      <c r="C917" s="1" t="n">
        <v>46113</v>
      </c>
      <c r="D917" t="inlineStr">
        <is>
          <t>STOCKHOLMS LÄN</t>
        </is>
      </c>
      <c r="E917" t="inlineStr">
        <is>
          <t>NORRTÄLJE</t>
        </is>
      </c>
      <c r="F917" t="inlineStr">
        <is>
          <t>Övriga Aktiebolag</t>
        </is>
      </c>
      <c r="G917" t="n">
        <v>0.2</v>
      </c>
      <c r="H917" t="n">
        <v>0</v>
      </c>
      <c r="I917" t="n">
        <v>0</v>
      </c>
      <c r="J917" t="n">
        <v>0</v>
      </c>
      <c r="K917" t="n">
        <v>0</v>
      </c>
      <c r="L917" t="n">
        <v>0</v>
      </c>
      <c r="M917" t="n">
        <v>0</v>
      </c>
      <c r="N917" t="n">
        <v>0</v>
      </c>
      <c r="O917" t="n">
        <v>0</v>
      </c>
      <c r="P917" t="n">
        <v>0</v>
      </c>
      <c r="Q917" t="n">
        <v>0</v>
      </c>
      <c r="R917" s="2" t="inlineStr"/>
    </row>
    <row r="918" ht="15" customHeight="1">
      <c r="A918" t="inlineStr">
        <is>
          <t>A 37010-2022</t>
        </is>
      </c>
      <c r="B918" s="1" t="n">
        <v>44806.41576388889</v>
      </c>
      <c r="C918" s="1" t="n">
        <v>46113</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10646-2026</t>
        </is>
      </c>
      <c r="B919" s="1" t="n">
        <v>46078.34157407407</v>
      </c>
      <c r="C919" s="1" t="n">
        <v>46113</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46113</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10553-2026</t>
        </is>
      </c>
      <c r="B921" s="1" t="n">
        <v>46077.62944444444</v>
      </c>
      <c r="C921" s="1" t="n">
        <v>46113</v>
      </c>
      <c r="D921" t="inlineStr">
        <is>
          <t>STOCKHOLMS LÄN</t>
        </is>
      </c>
      <c r="E921" t="inlineStr">
        <is>
          <t>NORRTÄLJE</t>
        </is>
      </c>
      <c r="G921" t="n">
        <v>4.9</v>
      </c>
      <c r="H921" t="n">
        <v>0</v>
      </c>
      <c r="I921" t="n">
        <v>0</v>
      </c>
      <c r="J921" t="n">
        <v>0</v>
      </c>
      <c r="K921" t="n">
        <v>0</v>
      </c>
      <c r="L921" t="n">
        <v>0</v>
      </c>
      <c r="M921" t="n">
        <v>0</v>
      </c>
      <c r="N921" t="n">
        <v>0</v>
      </c>
      <c r="O921" t="n">
        <v>0</v>
      </c>
      <c r="P921" t="n">
        <v>0</v>
      </c>
      <c r="Q921" t="n">
        <v>0</v>
      </c>
      <c r="R921" s="2" t="inlineStr"/>
    </row>
    <row r="922" ht="15" customHeight="1">
      <c r="A922" t="inlineStr">
        <is>
          <t>A 33149-2022</t>
        </is>
      </c>
      <c r="B922" s="1" t="n">
        <v>44785</v>
      </c>
      <c r="C922" s="1" t="n">
        <v>46113</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10586-2026</t>
        </is>
      </c>
      <c r="B923" s="1" t="n">
        <v>46077.68192129629</v>
      </c>
      <c r="C923" s="1" t="n">
        <v>46113</v>
      </c>
      <c r="D923" t="inlineStr">
        <is>
          <t>STOCKHOLMS LÄN</t>
        </is>
      </c>
      <c r="E923" t="inlineStr">
        <is>
          <t>NORRTÄLJE</t>
        </is>
      </c>
      <c r="F923" t="inlineStr">
        <is>
          <t>Holmen skog AB</t>
        </is>
      </c>
      <c r="G923" t="n">
        <v>3.3</v>
      </c>
      <c r="H923" t="n">
        <v>0</v>
      </c>
      <c r="I923" t="n">
        <v>0</v>
      </c>
      <c r="J923" t="n">
        <v>0</v>
      </c>
      <c r="K923" t="n">
        <v>0</v>
      </c>
      <c r="L923" t="n">
        <v>0</v>
      </c>
      <c r="M923" t="n">
        <v>0</v>
      </c>
      <c r="N923" t="n">
        <v>0</v>
      </c>
      <c r="O923" t="n">
        <v>0</v>
      </c>
      <c r="P923" t="n">
        <v>0</v>
      </c>
      <c r="Q923" t="n">
        <v>0</v>
      </c>
      <c r="R923" s="2" t="inlineStr"/>
    </row>
    <row r="924" ht="15" customHeight="1">
      <c r="A924" t="inlineStr">
        <is>
          <t>A 14559-2024</t>
        </is>
      </c>
      <c r="B924" s="1" t="n">
        <v>45394.72869212963</v>
      </c>
      <c r="C924" s="1" t="n">
        <v>46113</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20698-2025</t>
        </is>
      </c>
      <c r="B925" s="1" t="n">
        <v>45776.47122685185</v>
      </c>
      <c r="C925" s="1" t="n">
        <v>46113</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11-2024</t>
        </is>
      </c>
      <c r="B926" s="1" t="n">
        <v>45293</v>
      </c>
      <c r="C926" s="1" t="n">
        <v>46113</v>
      </c>
      <c r="D926" t="inlineStr">
        <is>
          <t>STOCKHOLMS LÄN</t>
        </is>
      </c>
      <c r="E926" t="inlineStr">
        <is>
          <t>NORRTÄLJE</t>
        </is>
      </c>
      <c r="F926" t="inlineStr">
        <is>
          <t>Sveaskog</t>
        </is>
      </c>
      <c r="G926" t="n">
        <v>3.2</v>
      </c>
      <c r="H926" t="n">
        <v>0</v>
      </c>
      <c r="I926" t="n">
        <v>0</v>
      </c>
      <c r="J926" t="n">
        <v>0</v>
      </c>
      <c r="K926" t="n">
        <v>0</v>
      </c>
      <c r="L926" t="n">
        <v>0</v>
      </c>
      <c r="M926" t="n">
        <v>0</v>
      </c>
      <c r="N926" t="n">
        <v>0</v>
      </c>
      <c r="O926" t="n">
        <v>0</v>
      </c>
      <c r="P926" t="n">
        <v>0</v>
      </c>
      <c r="Q926" t="n">
        <v>0</v>
      </c>
      <c r="R926" s="2" t="inlineStr"/>
    </row>
    <row r="927" ht="15" customHeight="1">
      <c r="A927" t="inlineStr">
        <is>
          <t>A 15256-2023</t>
        </is>
      </c>
      <c r="B927" s="1" t="n">
        <v>45019.3959837963</v>
      </c>
      <c r="C927" s="1" t="n">
        <v>46113</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7413-2024</t>
        </is>
      </c>
      <c r="B928" s="1" t="n">
        <v>45345.6059837963</v>
      </c>
      <c r="C928" s="1" t="n">
        <v>46113</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36396-2025</t>
        </is>
      </c>
      <c r="B929" s="1" t="n">
        <v>45868.62267361111</v>
      </c>
      <c r="C929" s="1" t="n">
        <v>46113</v>
      </c>
      <c r="D929" t="inlineStr">
        <is>
          <t>STOCKHOLMS LÄN</t>
        </is>
      </c>
      <c r="E929" t="inlineStr">
        <is>
          <t>NORRTÄLJE</t>
        </is>
      </c>
      <c r="G929" t="n">
        <v>4.1</v>
      </c>
      <c r="H929" t="n">
        <v>0</v>
      </c>
      <c r="I929" t="n">
        <v>0</v>
      </c>
      <c r="J929" t="n">
        <v>0</v>
      </c>
      <c r="K929" t="n">
        <v>0</v>
      </c>
      <c r="L929" t="n">
        <v>0</v>
      </c>
      <c r="M929" t="n">
        <v>0</v>
      </c>
      <c r="N929" t="n">
        <v>0</v>
      </c>
      <c r="O929" t="n">
        <v>0</v>
      </c>
      <c r="P929" t="n">
        <v>0</v>
      </c>
      <c r="Q929" t="n">
        <v>0</v>
      </c>
      <c r="R929" s="2" t="inlineStr"/>
    </row>
    <row r="930" ht="15" customHeight="1">
      <c r="A930" t="inlineStr">
        <is>
          <t>A 58040-2024</t>
        </is>
      </c>
      <c r="B930" s="1" t="n">
        <v>45631.73952546297</v>
      </c>
      <c r="C930" s="1" t="n">
        <v>46113</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58041-2024</t>
        </is>
      </c>
      <c r="B931" s="1" t="n">
        <v>45631.74673611111</v>
      </c>
      <c r="C931" s="1" t="n">
        <v>46113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31057-2022</t>
        </is>
      </c>
      <c r="B932" s="1" t="n">
        <v>44769</v>
      </c>
      <c r="C932" s="1" t="n">
        <v>46113</v>
      </c>
      <c r="D932" t="inlineStr">
        <is>
          <t>STOCKHOLMS LÄN</t>
        </is>
      </c>
      <c r="E932" t="inlineStr">
        <is>
          <t>NORRTÄLJE</t>
        </is>
      </c>
      <c r="G932" t="n">
        <v>6.5</v>
      </c>
      <c r="H932" t="n">
        <v>0</v>
      </c>
      <c r="I932" t="n">
        <v>0</v>
      </c>
      <c r="J932" t="n">
        <v>0</v>
      </c>
      <c r="K932" t="n">
        <v>0</v>
      </c>
      <c r="L932" t="n">
        <v>0</v>
      </c>
      <c r="M932" t="n">
        <v>0</v>
      </c>
      <c r="N932" t="n">
        <v>0</v>
      </c>
      <c r="O932" t="n">
        <v>0</v>
      </c>
      <c r="P932" t="n">
        <v>0</v>
      </c>
      <c r="Q932" t="n">
        <v>0</v>
      </c>
      <c r="R932" s="2" t="inlineStr"/>
    </row>
    <row r="933" ht="15" customHeight="1">
      <c r="A933" t="inlineStr">
        <is>
          <t>A 22232-2024</t>
        </is>
      </c>
      <c r="B933" s="1" t="n">
        <v>45446.4287962963</v>
      </c>
      <c r="C933" s="1" t="n">
        <v>46113</v>
      </c>
      <c r="D933" t="inlineStr">
        <is>
          <t>STOCKHOLMS LÄN</t>
        </is>
      </c>
      <c r="E933" t="inlineStr">
        <is>
          <t>NORRTÄLJE</t>
        </is>
      </c>
      <c r="G933" t="n">
        <v>12.8</v>
      </c>
      <c r="H933" t="n">
        <v>0</v>
      </c>
      <c r="I933" t="n">
        <v>0</v>
      </c>
      <c r="J933" t="n">
        <v>0</v>
      </c>
      <c r="K933" t="n">
        <v>0</v>
      </c>
      <c r="L933" t="n">
        <v>0</v>
      </c>
      <c r="M933" t="n">
        <v>0</v>
      </c>
      <c r="N933" t="n">
        <v>0</v>
      </c>
      <c r="O933" t="n">
        <v>0</v>
      </c>
      <c r="P933" t="n">
        <v>0</v>
      </c>
      <c r="Q933" t="n">
        <v>0</v>
      </c>
      <c r="R933" s="2" t="inlineStr"/>
    </row>
    <row r="934" ht="15" customHeight="1">
      <c r="A934" t="inlineStr">
        <is>
          <t>A 34444-2024</t>
        </is>
      </c>
      <c r="B934" s="1" t="n">
        <v>45525</v>
      </c>
      <c r="C934" s="1" t="n">
        <v>46113</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25619-2022</t>
        </is>
      </c>
      <c r="B935" s="1" t="n">
        <v>44732</v>
      </c>
      <c r="C935" s="1" t="n">
        <v>46113</v>
      </c>
      <c r="D935" t="inlineStr">
        <is>
          <t>STOCKHOLMS LÄN</t>
        </is>
      </c>
      <c r="E935" t="inlineStr">
        <is>
          <t>NORRTÄLJE</t>
        </is>
      </c>
      <c r="G935" t="n">
        <v>3.9</v>
      </c>
      <c r="H935" t="n">
        <v>0</v>
      </c>
      <c r="I935" t="n">
        <v>0</v>
      </c>
      <c r="J935" t="n">
        <v>0</v>
      </c>
      <c r="K935" t="n">
        <v>0</v>
      </c>
      <c r="L935" t="n">
        <v>0</v>
      </c>
      <c r="M935" t="n">
        <v>0</v>
      </c>
      <c r="N935" t="n">
        <v>0</v>
      </c>
      <c r="O935" t="n">
        <v>0</v>
      </c>
      <c r="P935" t="n">
        <v>0</v>
      </c>
      <c r="Q935" t="n">
        <v>0</v>
      </c>
      <c r="R935" s="2" t="inlineStr"/>
    </row>
    <row r="936" ht="15" customHeight="1">
      <c r="A936" t="inlineStr">
        <is>
          <t>A 15422-2024</t>
        </is>
      </c>
      <c r="B936" s="1" t="n">
        <v>45401.3653125</v>
      </c>
      <c r="C936" s="1" t="n">
        <v>46113</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48716-2023</t>
        </is>
      </c>
      <c r="B937" s="1" t="n">
        <v>45208.69671296296</v>
      </c>
      <c r="C937" s="1" t="n">
        <v>46113</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55369-2023</t>
        </is>
      </c>
      <c r="B938" s="1" t="n">
        <v>45238</v>
      </c>
      <c r="C938" s="1" t="n">
        <v>46113</v>
      </c>
      <c r="D938" t="inlineStr">
        <is>
          <t>STOCKHOLMS LÄN</t>
        </is>
      </c>
      <c r="E938" t="inlineStr">
        <is>
          <t>NORRTÄLJE</t>
        </is>
      </c>
      <c r="G938" t="n">
        <v>0.4</v>
      </c>
      <c r="H938" t="n">
        <v>0</v>
      </c>
      <c r="I938" t="n">
        <v>0</v>
      </c>
      <c r="J938" t="n">
        <v>0</v>
      </c>
      <c r="K938" t="n">
        <v>0</v>
      </c>
      <c r="L938" t="n">
        <v>0</v>
      </c>
      <c r="M938" t="n">
        <v>0</v>
      </c>
      <c r="N938" t="n">
        <v>0</v>
      </c>
      <c r="O938" t="n">
        <v>0</v>
      </c>
      <c r="P938" t="n">
        <v>0</v>
      </c>
      <c r="Q938" t="n">
        <v>0</v>
      </c>
      <c r="R938" s="2" t="inlineStr"/>
    </row>
    <row r="939" ht="15" customHeight="1">
      <c r="A939" t="inlineStr">
        <is>
          <t>A 11648-2026</t>
        </is>
      </c>
      <c r="B939" s="1" t="n">
        <v>46084.51575231482</v>
      </c>
      <c r="C939" s="1" t="n">
        <v>46113</v>
      </c>
      <c r="D939" t="inlineStr">
        <is>
          <t>STOCKHOLMS LÄN</t>
        </is>
      </c>
      <c r="E939" t="inlineStr">
        <is>
          <t>NORRTÄLJE</t>
        </is>
      </c>
      <c r="G939" t="n">
        <v>4.1</v>
      </c>
      <c r="H939" t="n">
        <v>0</v>
      </c>
      <c r="I939" t="n">
        <v>0</v>
      </c>
      <c r="J939" t="n">
        <v>0</v>
      </c>
      <c r="K939" t="n">
        <v>0</v>
      </c>
      <c r="L939" t="n">
        <v>0</v>
      </c>
      <c r="M939" t="n">
        <v>0</v>
      </c>
      <c r="N939" t="n">
        <v>0</v>
      </c>
      <c r="O939" t="n">
        <v>0</v>
      </c>
      <c r="P939" t="n">
        <v>0</v>
      </c>
      <c r="Q939" t="n">
        <v>0</v>
      </c>
      <c r="R939" s="2" t="inlineStr"/>
    </row>
    <row r="940" ht="15" customHeight="1">
      <c r="A940" t="inlineStr">
        <is>
          <t>A 3549-2026</t>
        </is>
      </c>
      <c r="B940" s="1" t="n">
        <v>46042</v>
      </c>
      <c r="C940" s="1" t="n">
        <v>46113</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20121-2022</t>
        </is>
      </c>
      <c r="B941" s="1" t="n">
        <v>44698</v>
      </c>
      <c r="C941" s="1" t="n">
        <v>46113</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26407-2024</t>
        </is>
      </c>
      <c r="B942" s="1" t="n">
        <v>45469</v>
      </c>
      <c r="C942" s="1" t="n">
        <v>46113</v>
      </c>
      <c r="D942" t="inlineStr">
        <is>
          <t>STOCKHOLMS LÄN</t>
        </is>
      </c>
      <c r="E942" t="inlineStr">
        <is>
          <t>NORRTÄLJE</t>
        </is>
      </c>
      <c r="G942" t="n">
        <v>3.5</v>
      </c>
      <c r="H942" t="n">
        <v>0</v>
      </c>
      <c r="I942" t="n">
        <v>0</v>
      </c>
      <c r="J942" t="n">
        <v>0</v>
      </c>
      <c r="K942" t="n">
        <v>0</v>
      </c>
      <c r="L942" t="n">
        <v>0</v>
      </c>
      <c r="M942" t="n">
        <v>0</v>
      </c>
      <c r="N942" t="n">
        <v>0</v>
      </c>
      <c r="O942" t="n">
        <v>0</v>
      </c>
      <c r="P942" t="n">
        <v>0</v>
      </c>
      <c r="Q942" t="n">
        <v>0</v>
      </c>
      <c r="R942" s="2" t="inlineStr"/>
    </row>
    <row r="943" ht="15" customHeight="1">
      <c r="A943" t="inlineStr">
        <is>
          <t>A 10098-2022</t>
        </is>
      </c>
      <c r="B943" s="1" t="n">
        <v>44621</v>
      </c>
      <c r="C943" s="1" t="n">
        <v>46113</v>
      </c>
      <c r="D943" t="inlineStr">
        <is>
          <t>STOCKHOLMS LÄN</t>
        </is>
      </c>
      <c r="E943" t="inlineStr">
        <is>
          <t>NORRTÄLJE</t>
        </is>
      </c>
      <c r="G943" t="n">
        <v>2.2</v>
      </c>
      <c r="H943" t="n">
        <v>0</v>
      </c>
      <c r="I943" t="n">
        <v>0</v>
      </c>
      <c r="J943" t="n">
        <v>0</v>
      </c>
      <c r="K943" t="n">
        <v>0</v>
      </c>
      <c r="L943" t="n">
        <v>0</v>
      </c>
      <c r="M943" t="n">
        <v>0</v>
      </c>
      <c r="N943" t="n">
        <v>0</v>
      </c>
      <c r="O943" t="n">
        <v>0</v>
      </c>
      <c r="P943" t="n">
        <v>0</v>
      </c>
      <c r="Q943" t="n">
        <v>0</v>
      </c>
      <c r="R943" s="2" t="inlineStr"/>
    </row>
    <row r="944" ht="15" customHeight="1">
      <c r="A944" t="inlineStr">
        <is>
          <t>A 49700-2023</t>
        </is>
      </c>
      <c r="B944" s="1" t="n">
        <v>45212</v>
      </c>
      <c r="C944" s="1" t="n">
        <v>46113</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59875-2024</t>
        </is>
      </c>
      <c r="B945" s="1" t="n">
        <v>45640.58716435185</v>
      </c>
      <c r="C945" s="1" t="n">
        <v>46113</v>
      </c>
      <c r="D945" t="inlineStr">
        <is>
          <t>STOCKHOLMS LÄN</t>
        </is>
      </c>
      <c r="E945" t="inlineStr">
        <is>
          <t>NORRTÄLJE</t>
        </is>
      </c>
      <c r="G945" t="n">
        <v>0.3</v>
      </c>
      <c r="H945" t="n">
        <v>0</v>
      </c>
      <c r="I945" t="n">
        <v>0</v>
      </c>
      <c r="J945" t="n">
        <v>0</v>
      </c>
      <c r="K945" t="n">
        <v>0</v>
      </c>
      <c r="L945" t="n">
        <v>0</v>
      </c>
      <c r="M945" t="n">
        <v>0</v>
      </c>
      <c r="N945" t="n">
        <v>0</v>
      </c>
      <c r="O945" t="n">
        <v>0</v>
      </c>
      <c r="P945" t="n">
        <v>0</v>
      </c>
      <c r="Q945" t="n">
        <v>0</v>
      </c>
      <c r="R945" s="2" t="inlineStr"/>
    </row>
    <row r="946" ht="15" customHeight="1">
      <c r="A946" t="inlineStr">
        <is>
          <t>A 45220-2024</t>
        </is>
      </c>
      <c r="B946" s="1" t="n">
        <v>45575</v>
      </c>
      <c r="C946" s="1" t="n">
        <v>46113</v>
      </c>
      <c r="D946" t="inlineStr">
        <is>
          <t>STOCKHOLMS LÄN</t>
        </is>
      </c>
      <c r="E946" t="inlineStr">
        <is>
          <t>NORRTÄLJE</t>
        </is>
      </c>
      <c r="G946" t="n">
        <v>4.3</v>
      </c>
      <c r="H946" t="n">
        <v>0</v>
      </c>
      <c r="I946" t="n">
        <v>0</v>
      </c>
      <c r="J946" t="n">
        <v>0</v>
      </c>
      <c r="K946" t="n">
        <v>0</v>
      </c>
      <c r="L946" t="n">
        <v>0</v>
      </c>
      <c r="M946" t="n">
        <v>0</v>
      </c>
      <c r="N946" t="n">
        <v>0</v>
      </c>
      <c r="O946" t="n">
        <v>0</v>
      </c>
      <c r="P946" t="n">
        <v>0</v>
      </c>
      <c r="Q946" t="n">
        <v>0</v>
      </c>
      <c r="R946" s="2" t="inlineStr"/>
    </row>
    <row r="947" ht="15" customHeight="1">
      <c r="A947" t="inlineStr">
        <is>
          <t>A 4231-2026</t>
        </is>
      </c>
      <c r="B947" s="1" t="n">
        <v>46044</v>
      </c>
      <c r="C947" s="1" t="n">
        <v>46113</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4235-2026</t>
        </is>
      </c>
      <c r="B948" s="1" t="n">
        <v>46044</v>
      </c>
      <c r="C948" s="1" t="n">
        <v>46113</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4658-2024</t>
        </is>
      </c>
      <c r="B949" s="1" t="n">
        <v>45328.46336805556</v>
      </c>
      <c r="C949" s="1" t="n">
        <v>46113</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48145-2024</t>
        </is>
      </c>
      <c r="B950" s="1" t="n">
        <v>45589.6756712963</v>
      </c>
      <c r="C950" s="1" t="n">
        <v>46113</v>
      </c>
      <c r="D950" t="inlineStr">
        <is>
          <t>STOCKHOLMS LÄN</t>
        </is>
      </c>
      <c r="E950" t="inlineStr">
        <is>
          <t>NORRTÄLJE</t>
        </is>
      </c>
      <c r="G950" t="n">
        <v>3.4</v>
      </c>
      <c r="H950" t="n">
        <v>0</v>
      </c>
      <c r="I950" t="n">
        <v>0</v>
      </c>
      <c r="J950" t="n">
        <v>0</v>
      </c>
      <c r="K950" t="n">
        <v>0</v>
      </c>
      <c r="L950" t="n">
        <v>0</v>
      </c>
      <c r="M950" t="n">
        <v>0</v>
      </c>
      <c r="N950" t="n">
        <v>0</v>
      </c>
      <c r="O950" t="n">
        <v>0</v>
      </c>
      <c r="P950" t="n">
        <v>0</v>
      </c>
      <c r="Q950" t="n">
        <v>0</v>
      </c>
      <c r="R950" s="2" t="inlineStr"/>
    </row>
    <row r="951" ht="15" customHeight="1">
      <c r="A951" t="inlineStr">
        <is>
          <t>A 10642-2025</t>
        </is>
      </c>
      <c r="B951" s="1" t="n">
        <v>45721.65858796296</v>
      </c>
      <c r="C951" s="1" t="n">
        <v>46113</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24024-2024</t>
        </is>
      </c>
      <c r="B952" s="1" t="n">
        <v>45456</v>
      </c>
      <c r="C952" s="1" t="n">
        <v>46113</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4227-2026</t>
        </is>
      </c>
      <c r="B953" s="1" t="n">
        <v>46044</v>
      </c>
      <c r="C953" s="1" t="n">
        <v>46113</v>
      </c>
      <c r="D953" t="inlineStr">
        <is>
          <t>STOCKHOLMS LÄN</t>
        </is>
      </c>
      <c r="E953" t="inlineStr">
        <is>
          <t>NORRTÄLJE</t>
        </is>
      </c>
      <c r="G953" t="n">
        <v>3.6</v>
      </c>
      <c r="H953" t="n">
        <v>0</v>
      </c>
      <c r="I953" t="n">
        <v>0</v>
      </c>
      <c r="J953" t="n">
        <v>0</v>
      </c>
      <c r="K953" t="n">
        <v>0</v>
      </c>
      <c r="L953" t="n">
        <v>0</v>
      </c>
      <c r="M953" t="n">
        <v>0</v>
      </c>
      <c r="N953" t="n">
        <v>0</v>
      </c>
      <c r="O953" t="n">
        <v>0</v>
      </c>
      <c r="P953" t="n">
        <v>0</v>
      </c>
      <c r="Q953" t="n">
        <v>0</v>
      </c>
      <c r="R953" s="2" t="inlineStr"/>
    </row>
    <row r="954" ht="15" customHeight="1">
      <c r="A954" t="inlineStr">
        <is>
          <t>A 3933-2026</t>
        </is>
      </c>
      <c r="B954" s="1" t="n">
        <v>46043.79916666666</v>
      </c>
      <c r="C954" s="1" t="n">
        <v>46113</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35532-2024</t>
        </is>
      </c>
      <c r="B955" s="1" t="n">
        <v>45531</v>
      </c>
      <c r="C955" s="1" t="n">
        <v>46113</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21291-2021</t>
        </is>
      </c>
      <c r="B956" s="1" t="n">
        <v>44319</v>
      </c>
      <c r="C956" s="1" t="n">
        <v>46113</v>
      </c>
      <c r="D956" t="inlineStr">
        <is>
          <t>STOCKHOLMS LÄN</t>
        </is>
      </c>
      <c r="E956" t="inlineStr">
        <is>
          <t>NORRTÄLJE</t>
        </is>
      </c>
      <c r="G956" t="n">
        <v>12.7</v>
      </c>
      <c r="H956" t="n">
        <v>0</v>
      </c>
      <c r="I956" t="n">
        <v>0</v>
      </c>
      <c r="J956" t="n">
        <v>0</v>
      </c>
      <c r="K956" t="n">
        <v>0</v>
      </c>
      <c r="L956" t="n">
        <v>0</v>
      </c>
      <c r="M956" t="n">
        <v>0</v>
      </c>
      <c r="N956" t="n">
        <v>0</v>
      </c>
      <c r="O956" t="n">
        <v>0</v>
      </c>
      <c r="P956" t="n">
        <v>0</v>
      </c>
      <c r="Q956" t="n">
        <v>0</v>
      </c>
      <c r="R956" s="2" t="inlineStr"/>
    </row>
    <row r="957" ht="15" customHeight="1">
      <c r="A957" t="inlineStr">
        <is>
          <t>A 19118-2022</t>
        </is>
      </c>
      <c r="B957" s="1" t="n">
        <v>44691.5652662037</v>
      </c>
      <c r="C957" s="1" t="n">
        <v>46113</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22421-2021</t>
        </is>
      </c>
      <c r="B958" s="1" t="n">
        <v>44326</v>
      </c>
      <c r="C958" s="1" t="n">
        <v>46113</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59893-2022</t>
        </is>
      </c>
      <c r="B959" s="1" t="n">
        <v>44908.77368055555</v>
      </c>
      <c r="C959" s="1" t="n">
        <v>46113</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37261-2025</t>
        </is>
      </c>
      <c r="B960" s="1" t="n">
        <v>45876.45253472222</v>
      </c>
      <c r="C960" s="1" t="n">
        <v>46113</v>
      </c>
      <c r="D960" t="inlineStr">
        <is>
          <t>STOCKHOLMS LÄN</t>
        </is>
      </c>
      <c r="E960" t="inlineStr">
        <is>
          <t>NORRTÄLJE</t>
        </is>
      </c>
      <c r="F960" t="inlineStr">
        <is>
          <t>Kommuner</t>
        </is>
      </c>
      <c r="G960" t="n">
        <v>2.2</v>
      </c>
      <c r="H960" t="n">
        <v>0</v>
      </c>
      <c r="I960" t="n">
        <v>0</v>
      </c>
      <c r="J960" t="n">
        <v>0</v>
      </c>
      <c r="K960" t="n">
        <v>0</v>
      </c>
      <c r="L960" t="n">
        <v>0</v>
      </c>
      <c r="M960" t="n">
        <v>0</v>
      </c>
      <c r="N960" t="n">
        <v>0</v>
      </c>
      <c r="O960" t="n">
        <v>0</v>
      </c>
      <c r="P960" t="n">
        <v>0</v>
      </c>
      <c r="Q960" t="n">
        <v>0</v>
      </c>
      <c r="R960" s="2" t="inlineStr"/>
    </row>
    <row r="961" ht="15" customHeight="1">
      <c r="A961" t="inlineStr">
        <is>
          <t>A 33226-2024</t>
        </is>
      </c>
      <c r="B961" s="1" t="n">
        <v>45518</v>
      </c>
      <c r="C961" s="1" t="n">
        <v>46113</v>
      </c>
      <c r="D961" t="inlineStr">
        <is>
          <t>STOCKHOLMS LÄN</t>
        </is>
      </c>
      <c r="E961" t="inlineStr">
        <is>
          <t>NORRTÄLJE</t>
        </is>
      </c>
      <c r="G961" t="n">
        <v>13.8</v>
      </c>
      <c r="H961" t="n">
        <v>0</v>
      </c>
      <c r="I961" t="n">
        <v>0</v>
      </c>
      <c r="J961" t="n">
        <v>0</v>
      </c>
      <c r="K961" t="n">
        <v>0</v>
      </c>
      <c r="L961" t="n">
        <v>0</v>
      </c>
      <c r="M961" t="n">
        <v>0</v>
      </c>
      <c r="N961" t="n">
        <v>0</v>
      </c>
      <c r="O961" t="n">
        <v>0</v>
      </c>
      <c r="P961" t="n">
        <v>0</v>
      </c>
      <c r="Q961" t="n">
        <v>0</v>
      </c>
      <c r="R961" s="2" t="inlineStr"/>
    </row>
    <row r="962" ht="15" customHeight="1">
      <c r="A962" t="inlineStr">
        <is>
          <t>A 4549-2026</t>
        </is>
      </c>
      <c r="B962" s="1" t="n">
        <v>46047</v>
      </c>
      <c r="C962" s="1" t="n">
        <v>46113</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20692-2025</t>
        </is>
      </c>
      <c r="B963" s="1" t="n">
        <v>45776.46369212963</v>
      </c>
      <c r="C963" s="1" t="n">
        <v>46113</v>
      </c>
      <c r="D963" t="inlineStr">
        <is>
          <t>STOCKHOLMS LÄN</t>
        </is>
      </c>
      <c r="E963" t="inlineStr">
        <is>
          <t>NORRTÄLJE</t>
        </is>
      </c>
      <c r="G963" t="n">
        <v>2.1</v>
      </c>
      <c r="H963" t="n">
        <v>0</v>
      </c>
      <c r="I963" t="n">
        <v>0</v>
      </c>
      <c r="J963" t="n">
        <v>0</v>
      </c>
      <c r="K963" t="n">
        <v>0</v>
      </c>
      <c r="L963" t="n">
        <v>0</v>
      </c>
      <c r="M963" t="n">
        <v>0</v>
      </c>
      <c r="N963" t="n">
        <v>0</v>
      </c>
      <c r="O963" t="n">
        <v>0</v>
      </c>
      <c r="P963" t="n">
        <v>0</v>
      </c>
      <c r="Q963" t="n">
        <v>0</v>
      </c>
      <c r="R963" s="2" t="inlineStr"/>
    </row>
    <row r="964" ht="15" customHeight="1">
      <c r="A964" t="inlineStr">
        <is>
          <t>A 16980-2023</t>
        </is>
      </c>
      <c r="B964" s="1" t="n">
        <v>45033</v>
      </c>
      <c r="C964" s="1" t="n">
        <v>46113</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4886-2026</t>
        </is>
      </c>
      <c r="B965" s="1" t="n">
        <v>46048.66328703704</v>
      </c>
      <c r="C965" s="1" t="n">
        <v>46113</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4230-2026</t>
        </is>
      </c>
      <c r="B966" s="1" t="n">
        <v>46044.89366898148</v>
      </c>
      <c r="C966" s="1" t="n">
        <v>46113</v>
      </c>
      <c r="D966" t="inlineStr">
        <is>
          <t>STOCKHOLMS LÄN</t>
        </is>
      </c>
      <c r="E966" t="inlineStr">
        <is>
          <t>NORRTÄLJE</t>
        </is>
      </c>
      <c r="G966" t="n">
        <v>10.8</v>
      </c>
      <c r="H966" t="n">
        <v>0</v>
      </c>
      <c r="I966" t="n">
        <v>0</v>
      </c>
      <c r="J966" t="n">
        <v>0</v>
      </c>
      <c r="K966" t="n">
        <v>0</v>
      </c>
      <c r="L966" t="n">
        <v>0</v>
      </c>
      <c r="M966" t="n">
        <v>0</v>
      </c>
      <c r="N966" t="n">
        <v>0</v>
      </c>
      <c r="O966" t="n">
        <v>0</v>
      </c>
      <c r="P966" t="n">
        <v>0</v>
      </c>
      <c r="Q966" t="n">
        <v>0</v>
      </c>
      <c r="R966" s="2" t="inlineStr"/>
    </row>
    <row r="967" ht="15" customHeight="1">
      <c r="A967" t="inlineStr">
        <is>
          <t>A 4232-2026</t>
        </is>
      </c>
      <c r="B967" s="1" t="n">
        <v>46044.89594907407</v>
      </c>
      <c r="C967" s="1" t="n">
        <v>46113</v>
      </c>
      <c r="D967" t="inlineStr">
        <is>
          <t>STOCKHOLMS LÄN</t>
        </is>
      </c>
      <c r="E967" t="inlineStr">
        <is>
          <t>NORRTÄLJE</t>
        </is>
      </c>
      <c r="G967" t="n">
        <v>3.8</v>
      </c>
      <c r="H967" t="n">
        <v>0</v>
      </c>
      <c r="I967" t="n">
        <v>0</v>
      </c>
      <c r="J967" t="n">
        <v>0</v>
      </c>
      <c r="K967" t="n">
        <v>0</v>
      </c>
      <c r="L967" t="n">
        <v>0</v>
      </c>
      <c r="M967" t="n">
        <v>0</v>
      </c>
      <c r="N967" t="n">
        <v>0</v>
      </c>
      <c r="O967" t="n">
        <v>0</v>
      </c>
      <c r="P967" t="n">
        <v>0</v>
      </c>
      <c r="Q967" t="n">
        <v>0</v>
      </c>
      <c r="R967" s="2" t="inlineStr"/>
    </row>
    <row r="968" ht="15" customHeight="1">
      <c r="A968" t="inlineStr">
        <is>
          <t>A 31107-2022</t>
        </is>
      </c>
      <c r="B968" s="1" t="n">
        <v>44769.66864583334</v>
      </c>
      <c r="C968" s="1" t="n">
        <v>46113</v>
      </c>
      <c r="D968" t="inlineStr">
        <is>
          <t>STOCKHOLMS LÄN</t>
        </is>
      </c>
      <c r="E968" t="inlineStr">
        <is>
          <t>NORRTÄLJE</t>
        </is>
      </c>
      <c r="G968" t="n">
        <v>3.8</v>
      </c>
      <c r="H968" t="n">
        <v>0</v>
      </c>
      <c r="I968" t="n">
        <v>0</v>
      </c>
      <c r="J968" t="n">
        <v>0</v>
      </c>
      <c r="K968" t="n">
        <v>0</v>
      </c>
      <c r="L968" t="n">
        <v>0</v>
      </c>
      <c r="M968" t="n">
        <v>0</v>
      </c>
      <c r="N968" t="n">
        <v>0</v>
      </c>
      <c r="O968" t="n">
        <v>0</v>
      </c>
      <c r="P968" t="n">
        <v>0</v>
      </c>
      <c r="Q968" t="n">
        <v>0</v>
      </c>
      <c r="R968" s="2" t="inlineStr"/>
    </row>
    <row r="969" ht="15" customHeight="1">
      <c r="A969" t="inlineStr">
        <is>
          <t>A 18539-2021</t>
        </is>
      </c>
      <c r="B969" s="1" t="n">
        <v>44306</v>
      </c>
      <c r="C969" s="1" t="n">
        <v>46113</v>
      </c>
      <c r="D969" t="inlineStr">
        <is>
          <t>STOCKHOLMS LÄN</t>
        </is>
      </c>
      <c r="E969" t="inlineStr">
        <is>
          <t>NORRTÄLJE</t>
        </is>
      </c>
      <c r="F969" t="inlineStr">
        <is>
          <t>Holmen skog AB</t>
        </is>
      </c>
      <c r="G969" t="n">
        <v>5.5</v>
      </c>
      <c r="H969" t="n">
        <v>0</v>
      </c>
      <c r="I969" t="n">
        <v>0</v>
      </c>
      <c r="J969" t="n">
        <v>0</v>
      </c>
      <c r="K969" t="n">
        <v>0</v>
      </c>
      <c r="L969" t="n">
        <v>0</v>
      </c>
      <c r="M969" t="n">
        <v>0</v>
      </c>
      <c r="N969" t="n">
        <v>0</v>
      </c>
      <c r="O969" t="n">
        <v>0</v>
      </c>
      <c r="P969" t="n">
        <v>0</v>
      </c>
      <c r="Q969" t="n">
        <v>0</v>
      </c>
      <c r="R969" s="2" t="inlineStr"/>
    </row>
    <row r="970" ht="15" customHeight="1">
      <c r="A970" t="inlineStr">
        <is>
          <t>A 43170-2023</t>
        </is>
      </c>
      <c r="B970" s="1" t="n">
        <v>45183</v>
      </c>
      <c r="C970" s="1" t="n">
        <v>46113</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12234-2026</t>
        </is>
      </c>
      <c r="B971" s="1" t="n">
        <v>46087.4091087963</v>
      </c>
      <c r="C971" s="1" t="n">
        <v>46113</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5241-2026</t>
        </is>
      </c>
      <c r="B972" s="1" t="n">
        <v>46049.86471064815</v>
      </c>
      <c r="C972" s="1" t="n">
        <v>46113</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12703-2026</t>
        </is>
      </c>
      <c r="B973" s="1" t="n">
        <v>46091.58175925926</v>
      </c>
      <c r="C973" s="1" t="n">
        <v>46113</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47626-2022</t>
        </is>
      </c>
      <c r="B974" s="1" t="n">
        <v>44854</v>
      </c>
      <c r="C974" s="1" t="n">
        <v>46113</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46071-2024</t>
        </is>
      </c>
      <c r="B975" s="1" t="n">
        <v>45581</v>
      </c>
      <c r="C975" s="1" t="n">
        <v>46113</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32101-2022</t>
        </is>
      </c>
      <c r="B976" s="1" t="n">
        <v>44778.69210648148</v>
      </c>
      <c r="C976" s="1" t="n">
        <v>46113</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28365-2022</t>
        </is>
      </c>
      <c r="B977" s="1" t="n">
        <v>44747</v>
      </c>
      <c r="C977" s="1" t="n">
        <v>46113</v>
      </c>
      <c r="D977" t="inlineStr">
        <is>
          <t>STOCKHOLMS LÄN</t>
        </is>
      </c>
      <c r="E977" t="inlineStr">
        <is>
          <t>NORRTÄLJE</t>
        </is>
      </c>
      <c r="G977" t="n">
        <v>5.1</v>
      </c>
      <c r="H977" t="n">
        <v>0</v>
      </c>
      <c r="I977" t="n">
        <v>0</v>
      </c>
      <c r="J977" t="n">
        <v>0</v>
      </c>
      <c r="K977" t="n">
        <v>0</v>
      </c>
      <c r="L977" t="n">
        <v>0</v>
      </c>
      <c r="M977" t="n">
        <v>0</v>
      </c>
      <c r="N977" t="n">
        <v>0</v>
      </c>
      <c r="O977" t="n">
        <v>0</v>
      </c>
      <c r="P977" t="n">
        <v>0</v>
      </c>
      <c r="Q977" t="n">
        <v>0</v>
      </c>
      <c r="R977" s="2" t="inlineStr"/>
    </row>
    <row r="978" ht="15" customHeight="1">
      <c r="A978" t="inlineStr">
        <is>
          <t>A 42867-2022</t>
        </is>
      </c>
      <c r="B978" s="1" t="n">
        <v>44832</v>
      </c>
      <c r="C978" s="1" t="n">
        <v>46113</v>
      </c>
      <c r="D978" t="inlineStr">
        <is>
          <t>STOCKHOLMS LÄN</t>
        </is>
      </c>
      <c r="E978" t="inlineStr">
        <is>
          <t>NORRTÄLJE</t>
        </is>
      </c>
      <c r="G978" t="n">
        <v>6.4</v>
      </c>
      <c r="H978" t="n">
        <v>0</v>
      </c>
      <c r="I978" t="n">
        <v>0</v>
      </c>
      <c r="J978" t="n">
        <v>0</v>
      </c>
      <c r="K978" t="n">
        <v>0</v>
      </c>
      <c r="L978" t="n">
        <v>0</v>
      </c>
      <c r="M978" t="n">
        <v>0</v>
      </c>
      <c r="N978" t="n">
        <v>0</v>
      </c>
      <c r="O978" t="n">
        <v>0</v>
      </c>
      <c r="P978" t="n">
        <v>0</v>
      </c>
      <c r="Q978" t="n">
        <v>0</v>
      </c>
      <c r="R978" s="2" t="inlineStr"/>
    </row>
    <row r="979" ht="15" customHeight="1">
      <c r="A979" t="inlineStr">
        <is>
          <t>A 5224-2026</t>
        </is>
      </c>
      <c r="B979" s="1" t="n">
        <v>46049.79521990741</v>
      </c>
      <c r="C979" s="1" t="n">
        <v>46113</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5227-2026</t>
        </is>
      </c>
      <c r="B980" s="1" t="n">
        <v>46049.80460648148</v>
      </c>
      <c r="C980" s="1" t="n">
        <v>46113</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5645-2023</t>
        </is>
      </c>
      <c r="B981" s="1" t="n">
        <v>44960.60469907407</v>
      </c>
      <c r="C981" s="1" t="n">
        <v>46113</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5226-2026</t>
        </is>
      </c>
      <c r="B982" s="1" t="n">
        <v>46049.79961805556</v>
      </c>
      <c r="C982" s="1" t="n">
        <v>46113</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29369-2024</t>
        </is>
      </c>
      <c r="B983" s="1" t="n">
        <v>45483.57244212963</v>
      </c>
      <c r="C983" s="1" t="n">
        <v>46113</v>
      </c>
      <c r="D983" t="inlineStr">
        <is>
          <t>STOCKHOLMS LÄN</t>
        </is>
      </c>
      <c r="E983" t="inlineStr">
        <is>
          <t>NORRTÄLJE</t>
        </is>
      </c>
      <c r="G983" t="n">
        <v>15.9</v>
      </c>
      <c r="H983" t="n">
        <v>0</v>
      </c>
      <c r="I983" t="n">
        <v>0</v>
      </c>
      <c r="J983" t="n">
        <v>0</v>
      </c>
      <c r="K983" t="n">
        <v>0</v>
      </c>
      <c r="L983" t="n">
        <v>0</v>
      </c>
      <c r="M983" t="n">
        <v>0</v>
      </c>
      <c r="N983" t="n">
        <v>0</v>
      </c>
      <c r="O983" t="n">
        <v>0</v>
      </c>
      <c r="P983" t="n">
        <v>0</v>
      </c>
      <c r="Q983" t="n">
        <v>0</v>
      </c>
      <c r="R983" s="2" t="inlineStr"/>
    </row>
    <row r="984" ht="15" customHeight="1">
      <c r="A984" t="inlineStr">
        <is>
          <t>A 12718-2026</t>
        </is>
      </c>
      <c r="B984" s="1" t="n">
        <v>46091.60412037037</v>
      </c>
      <c r="C984" s="1" t="n">
        <v>46113</v>
      </c>
      <c r="D984" t="inlineStr">
        <is>
          <t>STOCKHOLMS LÄN</t>
        </is>
      </c>
      <c r="E984" t="inlineStr">
        <is>
          <t>NORRTÄLJE</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37630-2025</t>
        </is>
      </c>
      <c r="B985" s="1" t="n">
        <v>45880.46372685185</v>
      </c>
      <c r="C985" s="1" t="n">
        <v>46113</v>
      </c>
      <c r="D985" t="inlineStr">
        <is>
          <t>STOCKHOLMS LÄN</t>
        </is>
      </c>
      <c r="E985" t="inlineStr">
        <is>
          <t>NORRTÄLJE</t>
        </is>
      </c>
      <c r="F985" t="inlineStr">
        <is>
          <t>Sveaskog</t>
        </is>
      </c>
      <c r="G985" t="n">
        <v>12.9</v>
      </c>
      <c r="H985" t="n">
        <v>0</v>
      </c>
      <c r="I985" t="n">
        <v>0</v>
      </c>
      <c r="J985" t="n">
        <v>0</v>
      </c>
      <c r="K985" t="n">
        <v>0</v>
      </c>
      <c r="L985" t="n">
        <v>0</v>
      </c>
      <c r="M985" t="n">
        <v>0</v>
      </c>
      <c r="N985" t="n">
        <v>0</v>
      </c>
      <c r="O985" t="n">
        <v>0</v>
      </c>
      <c r="P985" t="n">
        <v>0</v>
      </c>
      <c r="Q985" t="n">
        <v>0</v>
      </c>
      <c r="R985" s="2" t="inlineStr"/>
    </row>
    <row r="986" ht="15" customHeight="1">
      <c r="A986" t="inlineStr">
        <is>
          <t>A 37632-2025</t>
        </is>
      </c>
      <c r="B986" s="1" t="n">
        <v>45880.46524305556</v>
      </c>
      <c r="C986" s="1" t="n">
        <v>46113</v>
      </c>
      <c r="D986" t="inlineStr">
        <is>
          <t>STOCKHOLMS LÄN</t>
        </is>
      </c>
      <c r="E986" t="inlineStr">
        <is>
          <t>NORRTÄLJE</t>
        </is>
      </c>
      <c r="F986" t="inlineStr">
        <is>
          <t>Sveaskog</t>
        </is>
      </c>
      <c r="G986" t="n">
        <v>6.4</v>
      </c>
      <c r="H986" t="n">
        <v>0</v>
      </c>
      <c r="I986" t="n">
        <v>0</v>
      </c>
      <c r="J986" t="n">
        <v>0</v>
      </c>
      <c r="K986" t="n">
        <v>0</v>
      </c>
      <c r="L986" t="n">
        <v>0</v>
      </c>
      <c r="M986" t="n">
        <v>0</v>
      </c>
      <c r="N986" t="n">
        <v>0</v>
      </c>
      <c r="O986" t="n">
        <v>0</v>
      </c>
      <c r="P986" t="n">
        <v>0</v>
      </c>
      <c r="Q986" t="n">
        <v>0</v>
      </c>
      <c r="R986" s="2" t="inlineStr"/>
    </row>
    <row r="987" ht="15" customHeight="1">
      <c r="A987" t="inlineStr">
        <is>
          <t>A 17775-2022</t>
        </is>
      </c>
      <c r="B987" s="1" t="n">
        <v>44682.78430555556</v>
      </c>
      <c r="C987" s="1" t="n">
        <v>46113</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29841-2024</t>
        </is>
      </c>
      <c r="B988" s="1" t="n">
        <v>45485.60261574074</v>
      </c>
      <c r="C988" s="1" t="n">
        <v>46113</v>
      </c>
      <c r="D988" t="inlineStr">
        <is>
          <t>STOCKHOLMS LÄN</t>
        </is>
      </c>
      <c r="E988" t="inlineStr">
        <is>
          <t>NORRTÄLJE</t>
        </is>
      </c>
      <c r="G988" t="n">
        <v>15.9</v>
      </c>
      <c r="H988" t="n">
        <v>0</v>
      </c>
      <c r="I988" t="n">
        <v>0</v>
      </c>
      <c r="J988" t="n">
        <v>0</v>
      </c>
      <c r="K988" t="n">
        <v>0</v>
      </c>
      <c r="L988" t="n">
        <v>0</v>
      </c>
      <c r="M988" t="n">
        <v>0</v>
      </c>
      <c r="N988" t="n">
        <v>0</v>
      </c>
      <c r="O988" t="n">
        <v>0</v>
      </c>
      <c r="P988" t="n">
        <v>0</v>
      </c>
      <c r="Q988" t="n">
        <v>0</v>
      </c>
      <c r="R988" s="2" t="inlineStr"/>
    </row>
    <row r="989" ht="15" customHeight="1">
      <c r="A989" t="inlineStr">
        <is>
          <t>A 47481-2024</t>
        </is>
      </c>
      <c r="B989" s="1" t="n">
        <v>45587</v>
      </c>
      <c r="C989" s="1" t="n">
        <v>46113</v>
      </c>
      <c r="D989" t="inlineStr">
        <is>
          <t>STOCKHOLMS LÄN</t>
        </is>
      </c>
      <c r="E989" t="inlineStr">
        <is>
          <t>NORRTÄLJE</t>
        </is>
      </c>
      <c r="G989" t="n">
        <v>0.5</v>
      </c>
      <c r="H989" t="n">
        <v>0</v>
      </c>
      <c r="I989" t="n">
        <v>0</v>
      </c>
      <c r="J989" t="n">
        <v>0</v>
      </c>
      <c r="K989" t="n">
        <v>0</v>
      </c>
      <c r="L989" t="n">
        <v>0</v>
      </c>
      <c r="M989" t="n">
        <v>0</v>
      </c>
      <c r="N989" t="n">
        <v>0</v>
      </c>
      <c r="O989" t="n">
        <v>0</v>
      </c>
      <c r="P989" t="n">
        <v>0</v>
      </c>
      <c r="Q989" t="n">
        <v>0</v>
      </c>
      <c r="R989" s="2" t="inlineStr"/>
    </row>
    <row r="990" ht="15" customHeight="1">
      <c r="A990" t="inlineStr">
        <is>
          <t>A 37628-2025</t>
        </is>
      </c>
      <c r="B990" s="1" t="n">
        <v>45880.46189814815</v>
      </c>
      <c r="C990" s="1" t="n">
        <v>46113</v>
      </c>
      <c r="D990" t="inlineStr">
        <is>
          <t>STOCKHOLMS LÄN</t>
        </is>
      </c>
      <c r="E990" t="inlineStr">
        <is>
          <t>NORRTÄLJE</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24933-2023</t>
        </is>
      </c>
      <c r="B991" s="1" t="n">
        <v>45085.5309375</v>
      </c>
      <c r="C991" s="1" t="n">
        <v>46113</v>
      </c>
      <c r="D991" t="inlineStr">
        <is>
          <t>STOCKHOLMS LÄN</t>
        </is>
      </c>
      <c r="E991" t="inlineStr">
        <is>
          <t>NORRTÄLJE</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11062-2024</t>
        </is>
      </c>
      <c r="B992" s="1" t="n">
        <v>45370</v>
      </c>
      <c r="C992" s="1" t="n">
        <v>46113</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13544-2026</t>
        </is>
      </c>
      <c r="B993" s="1" t="n">
        <v>46094.68538194444</v>
      </c>
      <c r="C993" s="1" t="n">
        <v>46113</v>
      </c>
      <c r="D993" t="inlineStr">
        <is>
          <t>STOCKHOLMS LÄN</t>
        </is>
      </c>
      <c r="E993" t="inlineStr">
        <is>
          <t>NORRTÄLJE</t>
        </is>
      </c>
      <c r="F993" t="inlineStr">
        <is>
          <t>Holmen skog AB</t>
        </is>
      </c>
      <c r="G993" t="n">
        <v>3.2</v>
      </c>
      <c r="H993" t="n">
        <v>0</v>
      </c>
      <c r="I993" t="n">
        <v>0</v>
      </c>
      <c r="J993" t="n">
        <v>0</v>
      </c>
      <c r="K993" t="n">
        <v>0</v>
      </c>
      <c r="L993" t="n">
        <v>0</v>
      </c>
      <c r="M993" t="n">
        <v>0</v>
      </c>
      <c r="N993" t="n">
        <v>0</v>
      </c>
      <c r="O993" t="n">
        <v>0</v>
      </c>
      <c r="P993" t="n">
        <v>0</v>
      </c>
      <c r="Q993" t="n">
        <v>0</v>
      </c>
      <c r="R993" s="2" t="inlineStr"/>
    </row>
    <row r="994" ht="15" customHeight="1">
      <c r="A994" t="inlineStr">
        <is>
          <t>A 13109-2026</t>
        </is>
      </c>
      <c r="B994" s="1" t="n">
        <v>46093.42730324074</v>
      </c>
      <c r="C994" s="1" t="n">
        <v>46113</v>
      </c>
      <c r="D994" t="inlineStr">
        <is>
          <t>STOCKHOLMS LÄN</t>
        </is>
      </c>
      <c r="E994" t="inlineStr">
        <is>
          <t>NORRTÄLJE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13546-2026</t>
        </is>
      </c>
      <c r="B995" s="1" t="n">
        <v>46094.69196759259</v>
      </c>
      <c r="C995" s="1" t="n">
        <v>46113</v>
      </c>
      <c r="D995" t="inlineStr">
        <is>
          <t>STOCKHOLMS LÄN</t>
        </is>
      </c>
      <c r="E995" t="inlineStr">
        <is>
          <t>NORRTÄLJE</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24350-2025</t>
        </is>
      </c>
      <c r="B996" s="1" t="n">
        <v>45797.58350694444</v>
      </c>
      <c r="C996" s="1" t="n">
        <v>46113</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5934-2026</t>
        </is>
      </c>
      <c r="B997" s="1" t="n">
        <v>46052.47082175926</v>
      </c>
      <c r="C997" s="1" t="n">
        <v>46113</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26703-2025</t>
        </is>
      </c>
      <c r="B998" s="1" t="n">
        <v>45810.45263888889</v>
      </c>
      <c r="C998" s="1" t="n">
        <v>46113</v>
      </c>
      <c r="D998" t="inlineStr">
        <is>
          <t>STOCKHOLMS LÄN</t>
        </is>
      </c>
      <c r="E998" t="inlineStr">
        <is>
          <t>NORRTÄLJE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576-2023</t>
        </is>
      </c>
      <c r="B999" s="1" t="n">
        <v>44925</v>
      </c>
      <c r="C999" s="1" t="n">
        <v>46113</v>
      </c>
      <c r="D999" t="inlineStr">
        <is>
          <t>STOCKHOLMS LÄN</t>
        </is>
      </c>
      <c r="E999" t="inlineStr">
        <is>
          <t>NORRTÄLJE</t>
        </is>
      </c>
      <c r="G999" t="n">
        <v>7.2</v>
      </c>
      <c r="H999" t="n">
        <v>0</v>
      </c>
      <c r="I999" t="n">
        <v>0</v>
      </c>
      <c r="J999" t="n">
        <v>0</v>
      </c>
      <c r="K999" t="n">
        <v>0</v>
      </c>
      <c r="L999" t="n">
        <v>0</v>
      </c>
      <c r="M999" t="n">
        <v>0</v>
      </c>
      <c r="N999" t="n">
        <v>0</v>
      </c>
      <c r="O999" t="n">
        <v>0</v>
      </c>
      <c r="P999" t="n">
        <v>0</v>
      </c>
      <c r="Q999" t="n">
        <v>0</v>
      </c>
      <c r="R999" s="2" t="inlineStr"/>
    </row>
    <row r="1000" ht="15" customHeight="1">
      <c r="A1000" t="inlineStr">
        <is>
          <t>A 13122-2026</t>
        </is>
      </c>
      <c r="B1000" s="1" t="n">
        <v>46093.45657407407</v>
      </c>
      <c r="C1000" s="1" t="n">
        <v>46113</v>
      </c>
      <c r="D1000" t="inlineStr">
        <is>
          <t>STOCKHOLMS LÄN</t>
        </is>
      </c>
      <c r="E1000" t="inlineStr">
        <is>
          <t>NORRTÄLJE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12908-2025</t>
        </is>
      </c>
      <c r="B1001" s="1" t="n">
        <v>45733.82105324074</v>
      </c>
      <c r="C1001" s="1" t="n">
        <v>46113</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68361-2021</t>
        </is>
      </c>
      <c r="B1002" s="1" t="n">
        <v>44528.91494212963</v>
      </c>
      <c r="C1002" s="1" t="n">
        <v>46113</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50469-2022</t>
        </is>
      </c>
      <c r="B1003" s="1" t="n">
        <v>44866.49827546296</v>
      </c>
      <c r="C1003" s="1" t="n">
        <v>46113</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13204-2026</t>
        </is>
      </c>
      <c r="B1004" s="1" t="n">
        <v>46093.60788194444</v>
      </c>
      <c r="C1004" s="1" t="n">
        <v>46113</v>
      </c>
      <c r="D1004" t="inlineStr">
        <is>
          <t>STOCKHOLMS LÄN</t>
        </is>
      </c>
      <c r="E1004" t="inlineStr">
        <is>
          <t>NORRTÄLJE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13137-2024</t>
        </is>
      </c>
      <c r="B1005" s="1" t="n">
        <v>45386.34175925926</v>
      </c>
      <c r="C1005" s="1" t="n">
        <v>46113</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38153-2025</t>
        </is>
      </c>
      <c r="B1006" s="1" t="n">
        <v>45882.59722222222</v>
      </c>
      <c r="C1006" s="1" t="n">
        <v>46113</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41976-2024</t>
        </is>
      </c>
      <c r="B1007" s="1" t="n">
        <v>45561.62141203704</v>
      </c>
      <c r="C1007" s="1" t="n">
        <v>46113</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13545-2026</t>
        </is>
      </c>
      <c r="B1008" s="1" t="n">
        <v>46094.6911574074</v>
      </c>
      <c r="C1008" s="1" t="n">
        <v>46113</v>
      </c>
      <c r="D1008" t="inlineStr">
        <is>
          <t>STOCKHOLMS LÄN</t>
        </is>
      </c>
      <c r="E1008" t="inlineStr">
        <is>
          <t>NORRTÄLJE</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39610-2025</t>
        </is>
      </c>
      <c r="B1009" s="1" t="n">
        <v>45890</v>
      </c>
      <c r="C1009" s="1" t="n">
        <v>46113</v>
      </c>
      <c r="D1009" t="inlineStr">
        <is>
          <t>STOCKHOLMS LÄN</t>
        </is>
      </c>
      <c r="E1009" t="inlineStr">
        <is>
          <t>NORRTÄLJE</t>
        </is>
      </c>
      <c r="G1009" t="n">
        <v>28.6</v>
      </c>
      <c r="H1009" t="n">
        <v>0</v>
      </c>
      <c r="I1009" t="n">
        <v>0</v>
      </c>
      <c r="J1009" t="n">
        <v>0</v>
      </c>
      <c r="K1009" t="n">
        <v>0</v>
      </c>
      <c r="L1009" t="n">
        <v>0</v>
      </c>
      <c r="M1009" t="n">
        <v>0</v>
      </c>
      <c r="N1009" t="n">
        <v>0</v>
      </c>
      <c r="O1009" t="n">
        <v>0</v>
      </c>
      <c r="P1009" t="n">
        <v>0</v>
      </c>
      <c r="Q1009" t="n">
        <v>0</v>
      </c>
      <c r="R1009" s="2" t="inlineStr"/>
    </row>
    <row r="1010" ht="15" customHeight="1">
      <c r="A1010" t="inlineStr">
        <is>
          <t>A 6701-2026</t>
        </is>
      </c>
      <c r="B1010" s="1" t="n">
        <v>46056</v>
      </c>
      <c r="C1010" s="1" t="n">
        <v>46113</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62206-2022</t>
        </is>
      </c>
      <c r="B1011" s="1" t="n">
        <v>44922</v>
      </c>
      <c r="C1011" s="1" t="n">
        <v>46113</v>
      </c>
      <c r="D1011" t="inlineStr">
        <is>
          <t>STOCKHOLMS LÄN</t>
        </is>
      </c>
      <c r="E1011" t="inlineStr">
        <is>
          <t>NORRTÄLJE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30886-2022</t>
        </is>
      </c>
      <c r="B1012" s="1" t="n">
        <v>44767.60601851852</v>
      </c>
      <c r="C1012" s="1" t="n">
        <v>46113</v>
      </c>
      <c r="D1012" t="inlineStr">
        <is>
          <t>STOCKHOLMS LÄN</t>
        </is>
      </c>
      <c r="E1012" t="inlineStr">
        <is>
          <t>NORRTÄLJE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38593-2025</t>
        </is>
      </c>
      <c r="B1013" s="1" t="n">
        <v>45884.48696759259</v>
      </c>
      <c r="C1013" s="1" t="n">
        <v>46113</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58989-2021</t>
        </is>
      </c>
      <c r="B1014" s="1" t="n">
        <v>44490.02482638889</v>
      </c>
      <c r="C1014" s="1" t="n">
        <v>46113</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58990-2021</t>
        </is>
      </c>
      <c r="B1015" s="1" t="n">
        <v>44490.03621527777</v>
      </c>
      <c r="C1015" s="1" t="n">
        <v>46113</v>
      </c>
      <c r="D1015" t="inlineStr">
        <is>
          <t>STOCKHOLMS LÄN</t>
        </is>
      </c>
      <c r="E1015" t="inlineStr">
        <is>
          <t>NORRTÄLJE</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11940-2023</t>
        </is>
      </c>
      <c r="B1016" s="1" t="n">
        <v>44995</v>
      </c>
      <c r="C1016" s="1" t="n">
        <v>46113</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67921-2021</t>
        </is>
      </c>
      <c r="B1017" s="1" t="n">
        <v>44525</v>
      </c>
      <c r="C1017" s="1" t="n">
        <v>46113</v>
      </c>
      <c r="D1017" t="inlineStr">
        <is>
          <t>STOCKHOLMS LÄN</t>
        </is>
      </c>
      <c r="E1017" t="inlineStr">
        <is>
          <t>NORRTÄLJE</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29266-2022</t>
        </is>
      </c>
      <c r="B1018" s="1" t="n">
        <v>44750.66068287037</v>
      </c>
      <c r="C1018" s="1" t="n">
        <v>46113</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29278-2022</t>
        </is>
      </c>
      <c r="B1019" s="1" t="n">
        <v>44750</v>
      </c>
      <c r="C1019" s="1" t="n">
        <v>46113</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6724-2026</t>
        </is>
      </c>
      <c r="B1020" s="1" t="n">
        <v>46056.67717592593</v>
      </c>
      <c r="C1020" s="1" t="n">
        <v>46113</v>
      </c>
      <c r="D1020" t="inlineStr">
        <is>
          <t>STOCKHOLMS LÄN</t>
        </is>
      </c>
      <c r="E1020" t="inlineStr">
        <is>
          <t>NORRTÄLJE</t>
        </is>
      </c>
      <c r="F1020" t="inlineStr">
        <is>
          <t>Holmen skog AB</t>
        </is>
      </c>
      <c r="G1020" t="n">
        <v>16.2</v>
      </c>
      <c r="H1020" t="n">
        <v>0</v>
      </c>
      <c r="I1020" t="n">
        <v>0</v>
      </c>
      <c r="J1020" t="n">
        <v>0</v>
      </c>
      <c r="K1020" t="n">
        <v>0</v>
      </c>
      <c r="L1020" t="n">
        <v>0</v>
      </c>
      <c r="M1020" t="n">
        <v>0</v>
      </c>
      <c r="N1020" t="n">
        <v>0</v>
      </c>
      <c r="O1020" t="n">
        <v>0</v>
      </c>
      <c r="P1020" t="n">
        <v>0</v>
      </c>
      <c r="Q1020" t="n">
        <v>0</v>
      </c>
      <c r="R1020" s="2" t="inlineStr"/>
    </row>
    <row r="1021" ht="15" customHeight="1">
      <c r="A1021" t="inlineStr">
        <is>
          <t>A 6401-2024</t>
        </is>
      </c>
      <c r="B1021" s="1" t="n">
        <v>45338</v>
      </c>
      <c r="C1021" s="1" t="n">
        <v>46113</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24501-2023</t>
        </is>
      </c>
      <c r="B1022" s="1" t="n">
        <v>45082</v>
      </c>
      <c r="C1022" s="1" t="n">
        <v>46113</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24520-2023</t>
        </is>
      </c>
      <c r="B1023" s="1" t="n">
        <v>45082.68922453704</v>
      </c>
      <c r="C1023" s="1" t="n">
        <v>46113</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6532-2026</t>
        </is>
      </c>
      <c r="B1024" s="1" t="n">
        <v>46056.41300925926</v>
      </c>
      <c r="C1024" s="1" t="n">
        <v>46113</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38612-2022</t>
        </is>
      </c>
      <c r="B1025" s="1" t="n">
        <v>44813</v>
      </c>
      <c r="C1025" s="1" t="n">
        <v>46113</v>
      </c>
      <c r="D1025" t="inlineStr">
        <is>
          <t>STOCKHOLMS LÄN</t>
        </is>
      </c>
      <c r="E1025" t="inlineStr">
        <is>
          <t>NORRTÄLJE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33040-2021</t>
        </is>
      </c>
      <c r="B1026" s="1" t="n">
        <v>44376.50728009259</v>
      </c>
      <c r="C1026" s="1" t="n">
        <v>46113</v>
      </c>
      <c r="D1026" t="inlineStr">
        <is>
          <t>STOCKHOLMS LÄN</t>
        </is>
      </c>
      <c r="E1026" t="inlineStr">
        <is>
          <t>NORRTÄLJE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7308-2026</t>
        </is>
      </c>
      <c r="B1027" s="1" t="n">
        <v>46058.66025462963</v>
      </c>
      <c r="C1027" s="1" t="n">
        <v>46113</v>
      </c>
      <c r="D1027" t="inlineStr">
        <is>
          <t>STOCKHOLMS LÄN</t>
        </is>
      </c>
      <c r="E1027" t="inlineStr">
        <is>
          <t>NORRTÄLJE</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26117-2024</t>
        </is>
      </c>
      <c r="B1028" s="1" t="n">
        <v>45468.45877314815</v>
      </c>
      <c r="C1028" s="1" t="n">
        <v>46113</v>
      </c>
      <c r="D1028" t="inlineStr">
        <is>
          <t>STOCKHOLMS LÄN</t>
        </is>
      </c>
      <c r="E1028" t="inlineStr">
        <is>
          <t>NORRTÄLJE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14348-2026</t>
        </is>
      </c>
      <c r="B1029" s="1" t="n">
        <v>46100.34112268518</v>
      </c>
      <c r="C1029" s="1" t="n">
        <v>46113</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61113-2023</t>
        </is>
      </c>
      <c r="B1030" s="1" t="n">
        <v>45261</v>
      </c>
      <c r="C1030" s="1" t="n">
        <v>46113</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6838-2026</t>
        </is>
      </c>
      <c r="B1031" s="1" t="n">
        <v>46057.41151620371</v>
      </c>
      <c r="C1031" s="1" t="n">
        <v>46113</v>
      </c>
      <c r="D1031" t="inlineStr">
        <is>
          <t>STOCKHOLMS LÄN</t>
        </is>
      </c>
      <c r="E1031" t="inlineStr">
        <is>
          <t>NORRTÄLJE</t>
        </is>
      </c>
      <c r="F1031" t="inlineStr">
        <is>
          <t>Holmen skog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14475-2026</t>
        </is>
      </c>
      <c r="B1032" s="1" t="n">
        <v>46100.57251157407</v>
      </c>
      <c r="C1032" s="1" t="n">
        <v>46113</v>
      </c>
      <c r="D1032" t="inlineStr">
        <is>
          <t>STOCKHOLMS LÄN</t>
        </is>
      </c>
      <c r="E1032" t="inlineStr">
        <is>
          <t>NORRTÄLJE</t>
        </is>
      </c>
      <c r="G1032" t="n">
        <v>12.3</v>
      </c>
      <c r="H1032" t="n">
        <v>0</v>
      </c>
      <c r="I1032" t="n">
        <v>0</v>
      </c>
      <c r="J1032" t="n">
        <v>0</v>
      </c>
      <c r="K1032" t="n">
        <v>0</v>
      </c>
      <c r="L1032" t="n">
        <v>0</v>
      </c>
      <c r="M1032" t="n">
        <v>0</v>
      </c>
      <c r="N1032" t="n">
        <v>0</v>
      </c>
      <c r="O1032" t="n">
        <v>0</v>
      </c>
      <c r="P1032" t="n">
        <v>0</v>
      </c>
      <c r="Q1032" t="n">
        <v>0</v>
      </c>
      <c r="R1032" s="2" t="inlineStr"/>
    </row>
    <row r="1033" ht="15" customHeight="1">
      <c r="A1033" t="inlineStr">
        <is>
          <t>A 60822-2023</t>
        </is>
      </c>
      <c r="B1033" s="1" t="n">
        <v>45259</v>
      </c>
      <c r="C1033" s="1" t="n">
        <v>46113</v>
      </c>
      <c r="D1033" t="inlineStr">
        <is>
          <t>STOCKHOLMS LÄN</t>
        </is>
      </c>
      <c r="E1033" t="inlineStr">
        <is>
          <t>NORRTÄLJE</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59310-2023</t>
        </is>
      </c>
      <c r="B1034" s="1" t="n">
        <v>45253.61146990741</v>
      </c>
      <c r="C1034" s="1" t="n">
        <v>46113</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20343-2024</t>
        </is>
      </c>
      <c r="B1035" s="1" t="n">
        <v>45435.43466435185</v>
      </c>
      <c r="C1035" s="1" t="n">
        <v>46113</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20345-2024</t>
        </is>
      </c>
      <c r="B1036" s="1" t="n">
        <v>45435.43820601852</v>
      </c>
      <c r="C1036" s="1" t="n">
        <v>46113</v>
      </c>
      <c r="D1036" t="inlineStr">
        <is>
          <t>STOCKHOLMS LÄN</t>
        </is>
      </c>
      <c r="E1036" t="inlineStr">
        <is>
          <t>NORRTÄLJE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55010-2024</t>
        </is>
      </c>
      <c r="B1037" s="1" t="n">
        <v>45621.34425925926</v>
      </c>
      <c r="C1037" s="1" t="n">
        <v>46113</v>
      </c>
      <c r="D1037" t="inlineStr">
        <is>
          <t>STOCKHOLMS LÄN</t>
        </is>
      </c>
      <c r="E1037" t="inlineStr">
        <is>
          <t>NORRTÄLJE</t>
        </is>
      </c>
      <c r="F1037" t="inlineStr">
        <is>
          <t>Sveaskog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55018-2024</t>
        </is>
      </c>
      <c r="B1038" s="1" t="n">
        <v>45621.35712962963</v>
      </c>
      <c r="C1038" s="1" t="n">
        <v>46113</v>
      </c>
      <c r="D1038" t="inlineStr">
        <is>
          <t>STOCKHOLMS LÄN</t>
        </is>
      </c>
      <c r="E1038" t="inlineStr">
        <is>
          <t>NORRTÄLJE</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6874-2026</t>
        </is>
      </c>
      <c r="B1039" s="1" t="n">
        <v>46057.45295138889</v>
      </c>
      <c r="C1039" s="1" t="n">
        <v>46113</v>
      </c>
      <c r="D1039" t="inlineStr">
        <is>
          <t>STOCKHOLMS LÄN</t>
        </is>
      </c>
      <c r="E1039" t="inlineStr">
        <is>
          <t>NORRTÄLJE</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50113-2024</t>
        </is>
      </c>
      <c r="B1040" s="1" t="n">
        <v>45600.411875</v>
      </c>
      <c r="C1040" s="1" t="n">
        <v>46113</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20336-2024</t>
        </is>
      </c>
      <c r="B1041" s="1" t="n">
        <v>45435.43123842592</v>
      </c>
      <c r="C1041" s="1" t="n">
        <v>46113</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64899-2023</t>
        </is>
      </c>
      <c r="B1042" s="1" t="n">
        <v>45282</v>
      </c>
      <c r="C1042" s="1" t="n">
        <v>46113</v>
      </c>
      <c r="D1042" t="inlineStr">
        <is>
          <t>STOCKHOLMS LÄN</t>
        </is>
      </c>
      <c r="E1042" t="inlineStr">
        <is>
          <t>NORRTÄLJE</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46113</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29362-2022</t>
        </is>
      </c>
      <c r="B1044" s="1" t="n">
        <v>44753</v>
      </c>
      <c r="C1044" s="1" t="n">
        <v>46113</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20291-2022</t>
        </is>
      </c>
      <c r="B1045" s="1" t="n">
        <v>44698</v>
      </c>
      <c r="C1045" s="1" t="n">
        <v>46113</v>
      </c>
      <c r="D1045" t="inlineStr">
        <is>
          <t>STOCKHOLMS LÄN</t>
        </is>
      </c>
      <c r="E1045" t="inlineStr">
        <is>
          <t>NORRTÄLJE</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6828-2026</t>
        </is>
      </c>
      <c r="B1046" s="1" t="n">
        <v>46057</v>
      </c>
      <c r="C1046" s="1" t="n">
        <v>46113</v>
      </c>
      <c r="D1046" t="inlineStr">
        <is>
          <t>STOCKHOLMS LÄN</t>
        </is>
      </c>
      <c r="E1046" t="inlineStr">
        <is>
          <t>NORRTÄLJE</t>
        </is>
      </c>
      <c r="F1046" t="inlineStr">
        <is>
          <t>Holmen skog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12302-2025</t>
        </is>
      </c>
      <c r="B1047" s="1" t="n">
        <v>45729.72851851852</v>
      </c>
      <c r="C1047" s="1" t="n">
        <v>46113</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31926-2022</t>
        </is>
      </c>
      <c r="B1048" s="1" t="n">
        <v>44777</v>
      </c>
      <c r="C1048" s="1" t="n">
        <v>46113</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7532-2026</t>
        </is>
      </c>
      <c r="B1049" s="1" t="n">
        <v>46059</v>
      </c>
      <c r="C1049" s="1" t="n">
        <v>46113</v>
      </c>
      <c r="D1049" t="inlineStr">
        <is>
          <t>STOCKHOLMS LÄN</t>
        </is>
      </c>
      <c r="E1049" t="inlineStr">
        <is>
          <t>NORRTÄLJE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1425-2025</t>
        </is>
      </c>
      <c r="B1050" s="1" t="n">
        <v>45668.67446759259</v>
      </c>
      <c r="C1050" s="1" t="n">
        <v>46113</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1453-2025</t>
        </is>
      </c>
      <c r="B1051" s="1" t="n">
        <v>45670.3079050926</v>
      </c>
      <c r="C1051" s="1" t="n">
        <v>46113</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13860-2023</t>
        </is>
      </c>
      <c r="B1052" s="1" t="n">
        <v>45007</v>
      </c>
      <c r="C1052" s="1" t="n">
        <v>46113</v>
      </c>
      <c r="D1052" t="inlineStr">
        <is>
          <t>STOCKHOLMS LÄN</t>
        </is>
      </c>
      <c r="E1052" t="inlineStr">
        <is>
          <t>NORRTÄLJE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6070-2022</t>
        </is>
      </c>
      <c r="B1053" s="1" t="n">
        <v>44599.58428240741</v>
      </c>
      <c r="C1053" s="1" t="n">
        <v>46113</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7723-2026</t>
        </is>
      </c>
      <c r="B1054" s="1" t="n">
        <v>46062.49905092592</v>
      </c>
      <c r="C1054" s="1" t="n">
        <v>46113</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7729-2026</t>
        </is>
      </c>
      <c r="B1055" s="1" t="n">
        <v>46062.51100694444</v>
      </c>
      <c r="C1055" s="1" t="n">
        <v>46113</v>
      </c>
      <c r="D1055" t="inlineStr">
        <is>
          <t>STOCKHOLMS LÄN</t>
        </is>
      </c>
      <c r="E1055" t="inlineStr">
        <is>
          <t>NORRTÄLJE</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9130-2025</t>
        </is>
      </c>
      <c r="B1056" s="1" t="n">
        <v>45713.92623842593</v>
      </c>
      <c r="C1056" s="1" t="n">
        <v>46113</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27828-2022</t>
        </is>
      </c>
      <c r="B1057" s="1" t="n">
        <v>44743.59765046297</v>
      </c>
      <c r="C1057" s="1" t="n">
        <v>46113</v>
      </c>
      <c r="D1057" t="inlineStr">
        <is>
          <t>STOCKHOLMS LÄN</t>
        </is>
      </c>
      <c r="E1057" t="inlineStr">
        <is>
          <t>NORRTÄLJE</t>
        </is>
      </c>
      <c r="F1057" t="inlineStr">
        <is>
          <t>Kommuner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7582-2026</t>
        </is>
      </c>
      <c r="B1058" s="1" t="n">
        <v>46061</v>
      </c>
      <c r="C1058" s="1" t="n">
        <v>46113</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59873-2024</t>
        </is>
      </c>
      <c r="B1059" s="1" t="n">
        <v>45640.57305555556</v>
      </c>
      <c r="C1059" s="1" t="n">
        <v>46113</v>
      </c>
      <c r="D1059" t="inlineStr">
        <is>
          <t>STOCKHOLMS LÄN</t>
        </is>
      </c>
      <c r="E1059" t="inlineStr">
        <is>
          <t>NORRTÄLJE</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7793-2026</t>
        </is>
      </c>
      <c r="B1060" s="1" t="n">
        <v>46062.59496527778</v>
      </c>
      <c r="C1060" s="1" t="n">
        <v>46113</v>
      </c>
      <c r="D1060" t="inlineStr">
        <is>
          <t>STOCKHOLMS LÄN</t>
        </is>
      </c>
      <c r="E1060" t="inlineStr">
        <is>
          <t>NORRTÄLJE</t>
        </is>
      </c>
      <c r="F1060" t="inlineStr">
        <is>
          <t>Holmen skog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22412-2021</t>
        </is>
      </c>
      <c r="B1061" s="1" t="n">
        <v>44326.61967592593</v>
      </c>
      <c r="C1061" s="1" t="n">
        <v>46113</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48161-2022</t>
        </is>
      </c>
      <c r="B1062" s="1" t="n">
        <v>44858</v>
      </c>
      <c r="C1062" s="1" t="n">
        <v>46113</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43150-2023</t>
        </is>
      </c>
      <c r="B1063" s="1" t="n">
        <v>45183</v>
      </c>
      <c r="C1063" s="1" t="n">
        <v>46113</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59534-2024</t>
        </is>
      </c>
      <c r="B1064" s="1" t="n">
        <v>45638.5987037037</v>
      </c>
      <c r="C1064" s="1" t="n">
        <v>46113</v>
      </c>
      <c r="D1064" t="inlineStr">
        <is>
          <t>STOCKHOLMS LÄN</t>
        </is>
      </c>
      <c r="E1064" t="inlineStr">
        <is>
          <t>NORRTÄLJE</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23307-2024</t>
        </is>
      </c>
      <c r="B1065" s="1" t="n">
        <v>45453</v>
      </c>
      <c r="C1065" s="1" t="n">
        <v>46113</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19450-2025</t>
        </is>
      </c>
      <c r="B1066" s="1" t="n">
        <v>45770</v>
      </c>
      <c r="C1066" s="1" t="n">
        <v>46113</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2281-2024</t>
        </is>
      </c>
      <c r="B1067" s="1" t="n">
        <v>45310.40628472222</v>
      </c>
      <c r="C1067" s="1" t="n">
        <v>46113</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2287-2024</t>
        </is>
      </c>
      <c r="B1068" s="1" t="n">
        <v>45310</v>
      </c>
      <c r="C1068" s="1" t="n">
        <v>46113</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20618-2022</t>
        </is>
      </c>
      <c r="B1069" s="1" t="n">
        <v>44700.50659722222</v>
      </c>
      <c r="C1069" s="1" t="n">
        <v>46113</v>
      </c>
      <c r="D1069" t="inlineStr">
        <is>
          <t>STOCKHOLMS LÄN</t>
        </is>
      </c>
      <c r="E1069" t="inlineStr">
        <is>
          <t>NORRTÄLJE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59504-2023</t>
        </is>
      </c>
      <c r="B1070" s="1" t="n">
        <v>45254</v>
      </c>
      <c r="C1070" s="1" t="n">
        <v>46113</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8091-2026</t>
        </is>
      </c>
      <c r="B1071" s="1" t="n">
        <v>46063.70944444444</v>
      </c>
      <c r="C1071" s="1" t="n">
        <v>46113</v>
      </c>
      <c r="D1071" t="inlineStr">
        <is>
          <t>STOCKHOLMS LÄN</t>
        </is>
      </c>
      <c r="E1071" t="inlineStr">
        <is>
          <t>NORRTÄLJE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8096-2026</t>
        </is>
      </c>
      <c r="B1072" s="1" t="n">
        <v>46063.714375</v>
      </c>
      <c r="C1072" s="1" t="n">
        <v>46113</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25656-2023</t>
        </is>
      </c>
      <c r="B1073" s="1" t="n">
        <v>45089</v>
      </c>
      <c r="C1073" s="1" t="n">
        <v>46113</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38049-2023</t>
        </is>
      </c>
      <c r="B1074" s="1" t="n">
        <v>45159</v>
      </c>
      <c r="C1074" s="1" t="n">
        <v>46113</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3966-2024</t>
        </is>
      </c>
      <c r="B1075" s="1" t="n">
        <v>45322</v>
      </c>
      <c r="C1075" s="1" t="n">
        <v>46113</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17348-2024</t>
        </is>
      </c>
      <c r="B1076" s="1" t="n">
        <v>45414.58650462963</v>
      </c>
      <c r="C1076" s="1" t="n">
        <v>46113</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8055-2026</t>
        </is>
      </c>
      <c r="B1077" s="1" t="n">
        <v>46063.62002314815</v>
      </c>
      <c r="C1077" s="1" t="n">
        <v>46113</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38591-2023</t>
        </is>
      </c>
      <c r="B1078" s="1" t="n">
        <v>45162</v>
      </c>
      <c r="C1078" s="1" t="n">
        <v>46113</v>
      </c>
      <c r="D1078" t="inlineStr">
        <is>
          <t>STOCKHOLMS LÄN</t>
        </is>
      </c>
      <c r="E1078" t="inlineStr">
        <is>
          <t>NORRTÄLJE</t>
        </is>
      </c>
      <c r="F1078" t="inlineStr">
        <is>
          <t>Övriga Aktiebolag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3273-2025</t>
        </is>
      </c>
      <c r="B1079" s="1" t="n">
        <v>45679</v>
      </c>
      <c r="C1079" s="1" t="n">
        <v>46113</v>
      </c>
      <c r="D1079" t="inlineStr">
        <is>
          <t>STOCKHOLMS LÄN</t>
        </is>
      </c>
      <c r="E1079" t="inlineStr">
        <is>
          <t>NORRTÄLJE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34461-2023</t>
        </is>
      </c>
      <c r="B1080" s="1" t="n">
        <v>45139</v>
      </c>
      <c r="C1080" s="1" t="n">
        <v>46113</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15836-2026</t>
        </is>
      </c>
      <c r="B1081" s="1" t="n">
        <v>46107.56134259259</v>
      </c>
      <c r="C1081" s="1" t="n">
        <v>46113</v>
      </c>
      <c r="D1081" t="inlineStr">
        <is>
          <t>STOCKHOLMS LÄN</t>
        </is>
      </c>
      <c r="E1081" t="inlineStr">
        <is>
          <t>NORRTÄLJE</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8454-2026</t>
        </is>
      </c>
      <c r="B1082" s="1" t="n">
        <v>46065.42506944444</v>
      </c>
      <c r="C1082" s="1" t="n">
        <v>46113</v>
      </c>
      <c r="D1082" t="inlineStr">
        <is>
          <t>STOCKHOLMS LÄN</t>
        </is>
      </c>
      <c r="E1082" t="inlineStr">
        <is>
          <t>NORRTÄLJE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15217-2023</t>
        </is>
      </c>
      <c r="B1083" s="1" t="n">
        <v>45019.28847222222</v>
      </c>
      <c r="C1083" s="1" t="n">
        <v>46113</v>
      </c>
      <c r="D1083" t="inlineStr">
        <is>
          <t>STOCKHOLMS LÄN</t>
        </is>
      </c>
      <c r="E1083" t="inlineStr">
        <is>
          <t>NORRTÄLJE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24522-2023</t>
        </is>
      </c>
      <c r="B1084" s="1" t="n">
        <v>45082.69179398148</v>
      </c>
      <c r="C1084" s="1" t="n">
        <v>46113</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29176-2024</t>
        </is>
      </c>
      <c r="B1085" s="1" t="n">
        <v>45482.53388888889</v>
      </c>
      <c r="C1085" s="1" t="n">
        <v>46113</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8465-2026</t>
        </is>
      </c>
      <c r="B1086" s="1" t="n">
        <v>46065.44141203703</v>
      </c>
      <c r="C1086" s="1" t="n">
        <v>46113</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14937-2026</t>
        </is>
      </c>
      <c r="B1087" s="1" t="n">
        <v>46104</v>
      </c>
      <c r="C1087" s="1" t="n">
        <v>46113</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8410-2026</t>
        </is>
      </c>
      <c r="B1088" s="1" t="n">
        <v>46065.34261574074</v>
      </c>
      <c r="C1088" s="1" t="n">
        <v>46113</v>
      </c>
      <c r="D1088" t="inlineStr">
        <is>
          <t>STOCKHOLMS LÄN</t>
        </is>
      </c>
      <c r="E1088" t="inlineStr">
        <is>
          <t>NORRTÄLJE</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8489-2026</t>
        </is>
      </c>
      <c r="B1089" s="1" t="n">
        <v>46065.48268518518</v>
      </c>
      <c r="C1089" s="1" t="n">
        <v>46113</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4596-2023</t>
        </is>
      </c>
      <c r="B1090" s="1" t="n">
        <v>44956</v>
      </c>
      <c r="C1090" s="1" t="n">
        <v>46113</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8985-2026</t>
        </is>
      </c>
      <c r="B1091" s="1" t="n">
        <v>46069.45234953704</v>
      </c>
      <c r="C1091" s="1" t="n">
        <v>46113</v>
      </c>
      <c r="D1091" t="inlineStr">
        <is>
          <t>STOCKHOLMS LÄN</t>
        </is>
      </c>
      <c r="E1091" t="inlineStr">
        <is>
          <t>NORRTÄLJE</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4438-2023</t>
        </is>
      </c>
      <c r="B1092" s="1" t="n">
        <v>44956</v>
      </c>
      <c r="C1092" s="1" t="n">
        <v>46113</v>
      </c>
      <c r="D1092" t="inlineStr">
        <is>
          <t>STOCKHOLMS LÄN</t>
        </is>
      </c>
      <c r="E1092" t="inlineStr">
        <is>
          <t>NORRTÄLJE</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24727-2023</t>
        </is>
      </c>
      <c r="B1093" s="1" t="n">
        <v>45084.57695601852</v>
      </c>
      <c r="C1093" s="1" t="n">
        <v>46113</v>
      </c>
      <c r="D1093" t="inlineStr">
        <is>
          <t>STOCKHOLMS LÄN</t>
        </is>
      </c>
      <c r="E1093" t="inlineStr">
        <is>
          <t>NORRTÄLJE</t>
        </is>
      </c>
      <c r="F1093" t="inlineStr">
        <is>
          <t>Holmen skog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59904-2023</t>
        </is>
      </c>
      <c r="B1094" s="1" t="n">
        <v>45257</v>
      </c>
      <c r="C1094" s="1" t="n">
        <v>46113</v>
      </c>
      <c r="D1094" t="inlineStr">
        <is>
          <t>STOCKHOLMS LÄN</t>
        </is>
      </c>
      <c r="E1094" t="inlineStr">
        <is>
          <t>NORRTÄLJE</t>
        </is>
      </c>
      <c r="G1094" t="n">
        <v>17.4</v>
      </c>
      <c r="H1094" t="n">
        <v>0</v>
      </c>
      <c r="I1094" t="n">
        <v>0</v>
      </c>
      <c r="J1094" t="n">
        <v>0</v>
      </c>
      <c r="K1094" t="n">
        <v>0</v>
      </c>
      <c r="L1094" t="n">
        <v>0</v>
      </c>
      <c r="M1094" t="n">
        <v>0</v>
      </c>
      <c r="N1094" t="n">
        <v>0</v>
      </c>
      <c r="O1094" t="n">
        <v>0</v>
      </c>
      <c r="P1094" t="n">
        <v>0</v>
      </c>
      <c r="Q1094" t="n">
        <v>0</v>
      </c>
      <c r="R1094" s="2" t="inlineStr"/>
    </row>
    <row r="1095" ht="15" customHeight="1">
      <c r="A1095" t="inlineStr">
        <is>
          <t>A 36308-2022</t>
        </is>
      </c>
      <c r="B1095" s="1" t="n">
        <v>44803</v>
      </c>
      <c r="C1095" s="1" t="n">
        <v>46113</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9103-2026</t>
        </is>
      </c>
      <c r="B1096" s="1" t="n">
        <v>46069.65039351852</v>
      </c>
      <c r="C1096" s="1" t="n">
        <v>46113</v>
      </c>
      <c r="D1096" t="inlineStr">
        <is>
          <t>STOCKHOLMS LÄN</t>
        </is>
      </c>
      <c r="E1096" t="inlineStr">
        <is>
          <t>NORRTÄLJE</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8989-2026</t>
        </is>
      </c>
      <c r="B1097" s="1" t="n">
        <v>46069.45789351852</v>
      </c>
      <c r="C1097" s="1" t="n">
        <v>46113</v>
      </c>
      <c r="D1097" t="inlineStr">
        <is>
          <t>STOCKHOLMS LÄN</t>
        </is>
      </c>
      <c r="E1097" t="inlineStr">
        <is>
          <t>NORRTÄLJE</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18787-2022</t>
        </is>
      </c>
      <c r="B1098" s="1" t="n">
        <v>44687</v>
      </c>
      <c r="C1098" s="1" t="n">
        <v>46113</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50108-2021</t>
        </is>
      </c>
      <c r="B1099" s="1" t="n">
        <v>44456</v>
      </c>
      <c r="C1099" s="1" t="n">
        <v>46113</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16243-2026</t>
        </is>
      </c>
      <c r="B1100" s="1" t="n">
        <v>46111.45902777778</v>
      </c>
      <c r="C1100" s="1" t="n">
        <v>46113</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25621-2022</t>
        </is>
      </c>
      <c r="B1101" s="1" t="n">
        <v>44732</v>
      </c>
      <c r="C1101" s="1" t="n">
        <v>46113</v>
      </c>
      <c r="D1101" t="inlineStr">
        <is>
          <t>STOCKHOLMS LÄN</t>
        </is>
      </c>
      <c r="E1101" t="inlineStr">
        <is>
          <t>NORRTÄLJE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20304-2023</t>
        </is>
      </c>
      <c r="B1102" s="1" t="n">
        <v>45056</v>
      </c>
      <c r="C1102" s="1" t="n">
        <v>46113</v>
      </c>
      <c r="D1102" t="inlineStr">
        <is>
          <t>STOCKHOLMS LÄN</t>
        </is>
      </c>
      <c r="E1102" t="inlineStr">
        <is>
          <t>NORRTÄLJE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35235-2024</t>
        </is>
      </c>
      <c r="B1103" s="1" t="n">
        <v>45530</v>
      </c>
      <c r="C1103" s="1" t="n">
        <v>46113</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51061-2023</t>
        </is>
      </c>
      <c r="B1104" s="1" t="n">
        <v>45218.65849537037</v>
      </c>
      <c r="C1104" s="1" t="n">
        <v>46113</v>
      </c>
      <c r="D1104" t="inlineStr">
        <is>
          <t>STOCKHOLMS LÄN</t>
        </is>
      </c>
      <c r="E1104" t="inlineStr">
        <is>
          <t>NORRTÄLJE</t>
        </is>
      </c>
      <c r="G1104" t="n">
        <v>8.699999999999999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39213-2022</t>
        </is>
      </c>
      <c r="B1105" s="1" t="n">
        <v>44817.56120370371</v>
      </c>
      <c r="C1105" s="1" t="n">
        <v>46113</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36246-2021</t>
        </is>
      </c>
      <c r="B1106" s="1" t="n">
        <v>44390</v>
      </c>
      <c r="C1106" s="1" t="n">
        <v>46113</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8962-2026</t>
        </is>
      </c>
      <c r="B1107" s="1" t="n">
        <v>46069.41644675926</v>
      </c>
      <c r="C1107" s="1" t="n">
        <v>46113</v>
      </c>
      <c r="D1107" t="inlineStr">
        <is>
          <t>STOCKHOLMS LÄN</t>
        </is>
      </c>
      <c r="E1107" t="inlineStr">
        <is>
          <t>NORRTÄLJE</t>
        </is>
      </c>
      <c r="F1107" t="inlineStr">
        <is>
          <t>Holmen skog AB</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16229-2026</t>
        </is>
      </c>
      <c r="B1108" s="1" t="n">
        <v>46111.45084490741</v>
      </c>
      <c r="C1108" s="1" t="n">
        <v>46113</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15905-2023</t>
        </is>
      </c>
      <c r="B1109" s="1" t="n">
        <v>45022</v>
      </c>
      <c r="C1109" s="1" t="n">
        <v>46113</v>
      </c>
      <c r="D1109" t="inlineStr">
        <is>
          <t>STOCKHOLMS LÄN</t>
        </is>
      </c>
      <c r="E1109" t="inlineStr">
        <is>
          <t>NORRTÄLJE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11041-2025</t>
        </is>
      </c>
      <c r="B1110" s="1" t="n">
        <v>45723</v>
      </c>
      <c r="C1110" s="1" t="n">
        <v>46113</v>
      </c>
      <c r="D1110" t="inlineStr">
        <is>
          <t>STOCKHOLMS LÄN</t>
        </is>
      </c>
      <c r="E1110" t="inlineStr">
        <is>
          <t>NORRTÄLJE</t>
        </is>
      </c>
      <c r="F1110" t="inlineStr">
        <is>
          <t>Övriga Aktiebolag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44917-2022</t>
        </is>
      </c>
      <c r="B1111" s="1" t="n">
        <v>44841.52804398148</v>
      </c>
      <c r="C1111" s="1" t="n">
        <v>46113</v>
      </c>
      <c r="D1111" t="inlineStr">
        <is>
          <t>STOCKHOLMS LÄN</t>
        </is>
      </c>
      <c r="E1111" t="inlineStr">
        <is>
          <t>NORRTÄLJE</t>
        </is>
      </c>
      <c r="F1111" t="inlineStr">
        <is>
          <t>Holmen skog AB</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33173-2024</t>
        </is>
      </c>
      <c r="B1112" s="1" t="n">
        <v>45518</v>
      </c>
      <c r="C1112" s="1" t="n">
        <v>46113</v>
      </c>
      <c r="D1112" t="inlineStr">
        <is>
          <t>STOCKHOLMS LÄN</t>
        </is>
      </c>
      <c r="E1112" t="inlineStr">
        <is>
          <t>NORRTÄLJE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17551-2025</t>
        </is>
      </c>
      <c r="B1113" s="1" t="n">
        <v>45757.61421296297</v>
      </c>
      <c r="C1113" s="1" t="n">
        <v>46113</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10678-2025</t>
        </is>
      </c>
      <c r="B1114" s="1" t="n">
        <v>45721.89123842592</v>
      </c>
      <c r="C1114" s="1" t="n">
        <v>46113</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8370-2025</t>
        </is>
      </c>
      <c r="B1115" s="1" t="n">
        <v>45708</v>
      </c>
      <c r="C1115" s="1" t="n">
        <v>46113</v>
      </c>
      <c r="D1115" t="inlineStr">
        <is>
          <t>STOCKHOLMS LÄN</t>
        </is>
      </c>
      <c r="E1115" t="inlineStr">
        <is>
          <t>NORRTÄLJE</t>
        </is>
      </c>
      <c r="F1115" t="inlineStr">
        <is>
          <t>Övriga Aktiebolag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951-2023</t>
        </is>
      </c>
      <c r="B1116" s="1" t="n">
        <v>44934</v>
      </c>
      <c r="C1116" s="1" t="n">
        <v>46113</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32100-2022</t>
        </is>
      </c>
      <c r="B1117" s="1" t="n">
        <v>44778</v>
      </c>
      <c r="C1117" s="1" t="n">
        <v>46113</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2888-2022</t>
        </is>
      </c>
      <c r="B1118" s="1" t="n">
        <v>44581</v>
      </c>
      <c r="C1118" s="1" t="n">
        <v>46113</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11902-2024</t>
        </is>
      </c>
      <c r="B1119" s="1" t="n">
        <v>45376.55704861111</v>
      </c>
      <c r="C1119" s="1" t="n">
        <v>46113</v>
      </c>
      <c r="D1119" t="inlineStr">
        <is>
          <t>STOCKHOLMS LÄN</t>
        </is>
      </c>
      <c r="E1119" t="inlineStr">
        <is>
          <t>NORRTÄLJE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13-2024</t>
        </is>
      </c>
      <c r="B1120" s="1" t="n">
        <v>45293.37263888889</v>
      </c>
      <c r="C1120" s="1" t="n">
        <v>46113</v>
      </c>
      <c r="D1120" t="inlineStr">
        <is>
          <t>STOCKHOLMS LÄN</t>
        </is>
      </c>
      <c r="E1120" t="inlineStr">
        <is>
          <t>NORRTÄLJE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58260-2023</t>
        </is>
      </c>
      <c r="B1121" s="1" t="n">
        <v>45245</v>
      </c>
      <c r="C1121" s="1" t="n">
        <v>46113</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58261-2023</t>
        </is>
      </c>
      <c r="B1122" s="1" t="n">
        <v>45245</v>
      </c>
      <c r="C1122" s="1" t="n">
        <v>46113</v>
      </c>
      <c r="D1122" t="inlineStr">
        <is>
          <t>STOCKHOLMS LÄN</t>
        </is>
      </c>
      <c r="E1122" t="inlineStr">
        <is>
          <t>NORRTÄLJE</t>
        </is>
      </c>
      <c r="G1122" t="n">
        <v>53.5</v>
      </c>
      <c r="H1122" t="n">
        <v>0</v>
      </c>
      <c r="I1122" t="n">
        <v>0</v>
      </c>
      <c r="J1122" t="n">
        <v>0</v>
      </c>
      <c r="K1122" t="n">
        <v>0</v>
      </c>
      <c r="L1122" t="n">
        <v>0</v>
      </c>
      <c r="M1122" t="n">
        <v>0</v>
      </c>
      <c r="N1122" t="n">
        <v>0</v>
      </c>
      <c r="O1122" t="n">
        <v>0</v>
      </c>
      <c r="P1122" t="n">
        <v>0</v>
      </c>
      <c r="Q1122" t="n">
        <v>0</v>
      </c>
      <c r="R1122" s="2" t="inlineStr"/>
    </row>
    <row r="1123" ht="15" customHeight="1">
      <c r="A1123" t="inlineStr">
        <is>
          <t>A 4553-2023</t>
        </is>
      </c>
      <c r="B1123" s="1" t="n">
        <v>44956.65920138889</v>
      </c>
      <c r="C1123" s="1" t="n">
        <v>46113</v>
      </c>
      <c r="D1123" t="inlineStr">
        <is>
          <t>STOCKHOLMS LÄN</t>
        </is>
      </c>
      <c r="E1123" t="inlineStr">
        <is>
          <t>NORRTÄLJE</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875-2023</t>
        </is>
      </c>
      <c r="B1124" s="1" t="n">
        <v>44931.65626157408</v>
      </c>
      <c r="C1124" s="1" t="n">
        <v>46113</v>
      </c>
      <c r="D1124" t="inlineStr">
        <is>
          <t>STOCKHOLMS LÄN</t>
        </is>
      </c>
      <c r="E1124" t="inlineStr">
        <is>
          <t>NORRTÄLJE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24575-2024</t>
        </is>
      </c>
      <c r="B1125" s="1" t="n">
        <v>45460.45523148148</v>
      </c>
      <c r="C1125" s="1" t="n">
        <v>46113</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19-2024</t>
        </is>
      </c>
      <c r="B1126" s="1" t="n">
        <v>45293</v>
      </c>
      <c r="C1126" s="1" t="n">
        <v>46113</v>
      </c>
      <c r="D1126" t="inlineStr">
        <is>
          <t>STOCKHOLMS LÄN</t>
        </is>
      </c>
      <c r="E1126" t="inlineStr">
        <is>
          <t>NORRTÄLJE</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11333-2025</t>
        </is>
      </c>
      <c r="B1127" s="1" t="n">
        <v>45726.48377314815</v>
      </c>
      <c r="C1127" s="1" t="n">
        <v>46113</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21529-2021</t>
        </is>
      </c>
      <c r="B1128" s="1" t="n">
        <v>44321</v>
      </c>
      <c r="C1128" s="1" t="n">
        <v>46113</v>
      </c>
      <c r="D1128" t="inlineStr">
        <is>
          <t>STOCKHOLMS LÄN</t>
        </is>
      </c>
      <c r="E1128" t="inlineStr">
        <is>
          <t>NORRTÄLJE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31827-2023</t>
        </is>
      </c>
      <c r="B1129" s="1" t="n">
        <v>45118</v>
      </c>
      <c r="C1129" s="1" t="n">
        <v>46113</v>
      </c>
      <c r="D1129" t="inlineStr">
        <is>
          <t>STOCKHOLMS LÄN</t>
        </is>
      </c>
      <c r="E1129" t="inlineStr">
        <is>
          <t>NORRTÄLJE</t>
        </is>
      </c>
      <c r="F1129" t="inlineStr">
        <is>
          <t>Kyrkan</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10973-2025</t>
        </is>
      </c>
      <c r="B1130" s="1" t="n">
        <v>45723</v>
      </c>
      <c r="C1130" s="1" t="n">
        <v>46113</v>
      </c>
      <c r="D1130" t="inlineStr">
        <is>
          <t>STOCKHOLMS LÄN</t>
        </is>
      </c>
      <c r="E1130" t="inlineStr">
        <is>
          <t>NORRTÄLJE</t>
        </is>
      </c>
      <c r="F1130" t="inlineStr">
        <is>
          <t>Övriga Aktiebolag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54496-2024</t>
        </is>
      </c>
      <c r="B1131" s="1" t="n">
        <v>45617.57439814815</v>
      </c>
      <c r="C1131" s="1" t="n">
        <v>46113</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7796-2025</t>
        </is>
      </c>
      <c r="B1132" s="1" t="n">
        <v>45706.60130787037</v>
      </c>
      <c r="C1132" s="1" t="n">
        <v>46113</v>
      </c>
      <c r="D1132" t="inlineStr">
        <is>
          <t>STOCKHOLMS LÄN</t>
        </is>
      </c>
      <c r="E1132" t="inlineStr">
        <is>
          <t>NORRTÄLJE</t>
        </is>
      </c>
      <c r="F1132" t="inlineStr">
        <is>
          <t>Holmen skog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59767-2022</t>
        </is>
      </c>
      <c r="B1133" s="1" t="n">
        <v>44900</v>
      </c>
      <c r="C1133" s="1" t="n">
        <v>46113</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22756-2022</t>
        </is>
      </c>
      <c r="B1134" s="1" t="n">
        <v>44714.92253472222</v>
      </c>
      <c r="C1134" s="1" t="n">
        <v>46113</v>
      </c>
      <c r="D1134" t="inlineStr">
        <is>
          <t>STOCKHOLMS LÄN</t>
        </is>
      </c>
      <c r="E1134" t="inlineStr">
        <is>
          <t>NORRTÄLJE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58311-2023</t>
        </is>
      </c>
      <c r="B1135" s="1" t="n">
        <v>45245</v>
      </c>
      <c r="C1135" s="1" t="n">
        <v>46113</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8739-2024</t>
        </is>
      </c>
      <c r="B1136" s="1" t="n">
        <v>45356.47784722222</v>
      </c>
      <c r="C1136" s="1" t="n">
        <v>46113</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26640-2023</t>
        </is>
      </c>
      <c r="B1137" s="1" t="n">
        <v>45092</v>
      </c>
      <c r="C1137" s="1" t="n">
        <v>46113</v>
      </c>
      <c r="D1137" t="inlineStr">
        <is>
          <t>STOCKHOLMS LÄN</t>
        </is>
      </c>
      <c r="E1137" t="inlineStr">
        <is>
          <t>NORRTÄLJE</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62765-2022</t>
        </is>
      </c>
      <c r="B1138" s="1" t="n">
        <v>44637</v>
      </c>
      <c r="C1138" s="1" t="n">
        <v>46113</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38990-2022</t>
        </is>
      </c>
      <c r="B1139" s="1" t="n">
        <v>44816</v>
      </c>
      <c r="C1139" s="1" t="n">
        <v>46113</v>
      </c>
      <c r="D1139" t="inlineStr">
        <is>
          <t>STOCKHOLMS LÄN</t>
        </is>
      </c>
      <c r="E1139" t="inlineStr">
        <is>
          <t>NORRTÄLJE</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17545-2025</t>
        </is>
      </c>
      <c r="B1140" s="1" t="n">
        <v>45757.60658564815</v>
      </c>
      <c r="C1140" s="1" t="n">
        <v>46113</v>
      </c>
      <c r="D1140" t="inlineStr">
        <is>
          <t>STOCKHOLMS LÄN</t>
        </is>
      </c>
      <c r="E1140" t="inlineStr">
        <is>
          <t>NORRTÄLJE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17956-2025</t>
        </is>
      </c>
      <c r="B1141" s="1" t="n">
        <v>45760.91174768518</v>
      </c>
      <c r="C1141" s="1" t="n">
        <v>46113</v>
      </c>
      <c r="D1141" t="inlineStr">
        <is>
          <t>STOCKHOLMS LÄN</t>
        </is>
      </c>
      <c r="E1141" t="inlineStr">
        <is>
          <t>NORRTÄLJE</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23265-2023</t>
        </is>
      </c>
      <c r="B1142" s="1" t="n">
        <v>45075.90703703704</v>
      </c>
      <c r="C1142" s="1" t="n">
        <v>46113</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30268-2024</t>
        </is>
      </c>
      <c r="B1143" s="1" t="n">
        <v>45490.60572916667</v>
      </c>
      <c r="C1143" s="1" t="n">
        <v>46113</v>
      </c>
      <c r="D1143" t="inlineStr">
        <is>
          <t>STOCKHOLMS LÄN</t>
        </is>
      </c>
      <c r="E1143" t="inlineStr">
        <is>
          <t>NORRTÄLJE</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59535-2024</t>
        </is>
      </c>
      <c r="B1144" s="1" t="n">
        <v>45638.59979166667</v>
      </c>
      <c r="C1144" s="1" t="n">
        <v>46113</v>
      </c>
      <c r="D1144" t="inlineStr">
        <is>
          <t>STOCKHOLMS LÄN</t>
        </is>
      </c>
      <c r="E1144" t="inlineStr">
        <is>
          <t>NORRTÄLJE</t>
        </is>
      </c>
      <c r="F1144" t="inlineStr">
        <is>
          <t>Holmen skog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9246-2024</t>
        </is>
      </c>
      <c r="B1145" s="1" t="n">
        <v>45357</v>
      </c>
      <c r="C1145" s="1" t="n">
        <v>46113</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45058.78607638889</v>
      </c>
      <c r="C1146" s="1" t="n">
        <v>46113</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50355-2024</t>
        </is>
      </c>
      <c r="B1147" s="1" t="n">
        <v>45600.86128472222</v>
      </c>
      <c r="C1147" s="1" t="n">
        <v>46113</v>
      </c>
      <c r="D1147" t="inlineStr">
        <is>
          <t>STOCKHOLMS LÄN</t>
        </is>
      </c>
      <c r="E1147" t="inlineStr">
        <is>
          <t>NORRTÄLJE</t>
        </is>
      </c>
      <c r="F1147" t="inlineStr">
        <is>
          <t>Kommuner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60694-2024</t>
        </is>
      </c>
      <c r="B1148" s="1" t="n">
        <v>45644.47878472223</v>
      </c>
      <c r="C1148" s="1" t="n">
        <v>46113</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25094-2023</t>
        </is>
      </c>
      <c r="B1149" s="1" t="n">
        <v>45086.3629050926</v>
      </c>
      <c r="C1149" s="1" t="n">
        <v>46113</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59276-2023</t>
        </is>
      </c>
      <c r="B1150" s="1" t="n">
        <v>45253.55641203704</v>
      </c>
      <c r="C1150" s="1" t="n">
        <v>46113</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13767-2025</t>
        </is>
      </c>
      <c r="B1151" s="1" t="n">
        <v>45737.43347222222</v>
      </c>
      <c r="C1151" s="1" t="n">
        <v>46113</v>
      </c>
      <c r="D1151" t="inlineStr">
        <is>
          <t>STOCKHOLMS LÄN</t>
        </is>
      </c>
      <c r="E1151" t="inlineStr">
        <is>
          <t>NORRTÄLJE</t>
        </is>
      </c>
      <c r="F1151" t="inlineStr">
        <is>
          <t>Holmen skog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41587-2023</t>
        </is>
      </c>
      <c r="B1152" s="1" t="n">
        <v>45175</v>
      </c>
      <c r="C1152" s="1" t="n">
        <v>46113</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27381-2024</t>
        </is>
      </c>
      <c r="B1153" s="1" t="n">
        <v>45473.94501157408</v>
      </c>
      <c r="C1153" s="1" t="n">
        <v>46113</v>
      </c>
      <c r="D1153" t="inlineStr">
        <is>
          <t>STOCKHOLMS LÄN</t>
        </is>
      </c>
      <c r="E1153" t="inlineStr">
        <is>
          <t>NORRTÄLJE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60529-2023</t>
        </is>
      </c>
      <c r="B1154" s="1" t="n">
        <v>45259</v>
      </c>
      <c r="C1154" s="1" t="n">
        <v>46113</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59326-2023</t>
        </is>
      </c>
      <c r="B1155" s="1" t="n">
        <v>45253.63089120371</v>
      </c>
      <c r="C1155" s="1" t="n">
        <v>46113</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20790-2025</t>
        </is>
      </c>
      <c r="B1156" s="1" t="n">
        <v>45776.62563657408</v>
      </c>
      <c r="C1156" s="1" t="n">
        <v>46113</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3152-2024</t>
        </is>
      </c>
      <c r="B1157" s="1" t="n">
        <v>45316.60306712963</v>
      </c>
      <c r="C1157" s="1" t="n">
        <v>46113</v>
      </c>
      <c r="D1157" t="inlineStr">
        <is>
          <t>STOCKHOLMS LÄN</t>
        </is>
      </c>
      <c r="E1157" t="inlineStr">
        <is>
          <t>NORRTÄLJE</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20699-2025</t>
        </is>
      </c>
      <c r="B1158" s="1" t="n">
        <v>45776.47346064815</v>
      </c>
      <c r="C1158" s="1" t="n">
        <v>46113</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20779-2025</t>
        </is>
      </c>
      <c r="B1159" s="1" t="n">
        <v>45776.59871527777</v>
      </c>
      <c r="C1159" s="1" t="n">
        <v>46113</v>
      </c>
      <c r="D1159" t="inlineStr">
        <is>
          <t>STOCKHOLMS LÄN</t>
        </is>
      </c>
      <c r="E1159" t="inlineStr">
        <is>
          <t>NORRTÄLJE</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44836-2023</t>
        </is>
      </c>
      <c r="B1160" s="1" t="n">
        <v>45190.55609953704</v>
      </c>
      <c r="C1160" s="1" t="n">
        <v>46113</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21771-2025</t>
        </is>
      </c>
      <c r="B1161" s="1" t="n">
        <v>45783</v>
      </c>
      <c r="C1161" s="1" t="n">
        <v>46113</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21778-2025</t>
        </is>
      </c>
      <c r="B1162" s="1" t="n">
        <v>45783.66429398148</v>
      </c>
      <c r="C1162" s="1" t="n">
        <v>46113</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12902-2024</t>
        </is>
      </c>
      <c r="B1163" s="1" t="n">
        <v>45385.38146990741</v>
      </c>
      <c r="C1163" s="1" t="n">
        <v>46113</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39237-2024</t>
        </is>
      </c>
      <c r="B1164" s="1" t="n">
        <v>45549</v>
      </c>
      <c r="C1164" s="1" t="n">
        <v>46113</v>
      </c>
      <c r="D1164" t="inlineStr">
        <is>
          <t>STOCKHOLMS LÄN</t>
        </is>
      </c>
      <c r="E1164" t="inlineStr">
        <is>
          <t>NORRTÄLJE</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44891-2023</t>
        </is>
      </c>
      <c r="B1165" s="1" t="n">
        <v>45187</v>
      </c>
      <c r="C1165" s="1" t="n">
        <v>46113</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13268-2025</t>
        </is>
      </c>
      <c r="B1166" s="1" t="n">
        <v>45735</v>
      </c>
      <c r="C1166" s="1" t="n">
        <v>46113</v>
      </c>
      <c r="D1166" t="inlineStr">
        <is>
          <t>STOCKHOLMS LÄN</t>
        </is>
      </c>
      <c r="E1166" t="inlineStr">
        <is>
          <t>NORRTÄLJE</t>
        </is>
      </c>
      <c r="G1166" t="n">
        <v>11.4</v>
      </c>
      <c r="H1166" t="n">
        <v>0</v>
      </c>
      <c r="I1166" t="n">
        <v>0</v>
      </c>
      <c r="J1166" t="n">
        <v>0</v>
      </c>
      <c r="K1166" t="n">
        <v>0</v>
      </c>
      <c r="L1166" t="n">
        <v>0</v>
      </c>
      <c r="M1166" t="n">
        <v>0</v>
      </c>
      <c r="N1166" t="n">
        <v>0</v>
      </c>
      <c r="O1166" t="n">
        <v>0</v>
      </c>
      <c r="P1166" t="n">
        <v>0</v>
      </c>
      <c r="Q1166" t="n">
        <v>0</v>
      </c>
      <c r="R1166" s="2" t="inlineStr"/>
    </row>
    <row r="1167">
      <c r="A1167" t="inlineStr">
        <is>
          <t>A 8414-2025</t>
        </is>
      </c>
      <c r="B1167" s="1" t="n">
        <v>45709.39361111111</v>
      </c>
      <c r="C1167" s="1" t="n">
        <v>46113</v>
      </c>
      <c r="D1167" t="inlineStr">
        <is>
          <t>STOCKHOLMS LÄN</t>
        </is>
      </c>
      <c r="E1167" t="inlineStr">
        <is>
          <t>NORRTÄLJE</t>
        </is>
      </c>
      <c r="F1167" t="inlineStr">
        <is>
          <t>Holmen skog AB</t>
        </is>
      </c>
      <c r="G1167" t="n">
        <v>1.2</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2026-04-01T10:42:16Z</dcterms:created>
  <dcterms:modified xmlns:dcterms="http://purl.org/dc/terms/" xmlns:xsi="http://www.w3.org/2001/XMLSchema-instance" xsi:type="dcterms:W3CDTF">2026-04-01T10:42:17Z</dcterms:modified>
</cp:coreProperties>
</file>