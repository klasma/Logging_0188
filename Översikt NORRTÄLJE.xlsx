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45750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45750</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45750</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45750</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28411-2019</t>
        </is>
      </c>
      <c r="B18" s="1" t="n">
        <v>43626</v>
      </c>
      <c r="C18" s="1" t="n">
        <v>45750</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45750</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45750</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45750</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45750</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45750</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45750</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45750</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45750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45750</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45750</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45750</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45750</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45750</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45750</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45750</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45750</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45750</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45750</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45750</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45750</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45750</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45750</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45750</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45750</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45750</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45750</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45750</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45750</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45750</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45750</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45750</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45750</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45750</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45750</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45750</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HYPERLINK("https://klasma.github.io/Logging_010188/artfynd/A 9362-2025 artfynd.xlsx", "A 9362-2025")</f>
        <v/>
      </c>
      <c r="T53">
        <f>HYPERLINK("https://klasma.github.io/Logging_010188/kartor/A 9362-2025 karta.png", "A 9362-2025")</f>
        <v/>
      </c>
      <c r="V53">
        <f>HYPERLINK("https://klasma.github.io/Logging_010188/klagomål/A 9362-2025 FSC-klagomål.docx", "A 9362-2025")</f>
        <v/>
      </c>
      <c r="W53">
        <f>HYPERLINK("https://klasma.github.io/Logging_010188/klagomålsmail/A 9362-2025 FSC-klagomål mail.docx", "A 9362-2025")</f>
        <v/>
      </c>
      <c r="X53">
        <f>HYPERLINK("https://klasma.github.io/Logging_010188/tillsyn/A 9362-2025 tillsynsbegäran.docx", "A 9362-2025")</f>
        <v/>
      </c>
      <c r="Y53">
        <f>HYPERLINK("https://klasma.github.io/Logging_010188/tillsynsmail/A 9362-2025 tillsynsbegäran mail.docx", "A 9362-2025")</f>
        <v/>
      </c>
    </row>
    <row r="54" ht="15" customHeight="1">
      <c r="A54" t="inlineStr">
        <is>
          <t>A 18284-2019</t>
        </is>
      </c>
      <c r="B54" s="1" t="n">
        <v>43558</v>
      </c>
      <c r="C54" s="1" t="n">
        <v>45750</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45750</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45750</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45750</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45750</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45750</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45750</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45750</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45750</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45750</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45750</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45750</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45750</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45750</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45750</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45750</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45750</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45750</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45750</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45750</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45750</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45750</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45750</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HYPERLINK("https://klasma.github.io/Logging_010188/artfynd/A 10876-2025 artfynd.xlsx", "A 10876-2025")</f>
        <v/>
      </c>
      <c r="T76">
        <f>HYPERLINK("https://klasma.github.io/Logging_010188/kartor/A 10876-2025 karta.png", "A 10876-2025")</f>
        <v/>
      </c>
      <c r="V76">
        <f>HYPERLINK("https://klasma.github.io/Logging_010188/klagomål/A 10876-2025 FSC-klagomål.docx", "A 10876-2025")</f>
        <v/>
      </c>
      <c r="W76">
        <f>HYPERLINK("https://klasma.github.io/Logging_010188/klagomålsmail/A 10876-2025 FSC-klagomål mail.docx", "A 10876-2025")</f>
        <v/>
      </c>
      <c r="X76">
        <f>HYPERLINK("https://klasma.github.io/Logging_010188/tillsyn/A 10876-2025 tillsynsbegäran.docx", "A 10876-2025")</f>
        <v/>
      </c>
      <c r="Y76">
        <f>HYPERLINK("https://klasma.github.io/Logging_010188/tillsynsmail/A 10876-2025 tillsynsbegäran mail.docx", "A 10876-2025")</f>
        <v/>
      </c>
    </row>
    <row r="77" ht="15" customHeight="1">
      <c r="A77" t="inlineStr">
        <is>
          <t>A 19617-2019</t>
        </is>
      </c>
      <c r="B77" s="1" t="n">
        <v>43566</v>
      </c>
      <c r="C77" s="1" t="n">
        <v>45750</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45750</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45750</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45750</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45750</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45750</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45750</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45750</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45750</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45750</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45750</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45750</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45750</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45750</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45750</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45750</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45750</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45750</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45750</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45750</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45750</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45750</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45750</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45750</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45750</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45750</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45750</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45750</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45750</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45750</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45750</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45750</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45750</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45750</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45750</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45750</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45750</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45750</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45750</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45750</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45750</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45750</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45750</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45750</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45750</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45750</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45750</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45750</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45750</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45750</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45750</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HYPERLINK("https://klasma.github.io/Logging_010188/artfynd/A 11031-2025 artfynd.xlsx", "A 11031-2025")</f>
        <v/>
      </c>
      <c r="T127">
        <f>HYPERLINK("https://klasma.github.io/Logging_010188/kartor/A 11031-2025 karta.png", "A 11031-2025")</f>
        <v/>
      </c>
      <c r="V127">
        <f>HYPERLINK("https://klasma.github.io/Logging_010188/klagomål/A 11031-2025 FSC-klagomål.docx", "A 11031-2025")</f>
        <v/>
      </c>
      <c r="W127">
        <f>HYPERLINK("https://klasma.github.io/Logging_010188/klagomålsmail/A 11031-2025 FSC-klagomål mail.docx", "A 11031-2025")</f>
        <v/>
      </c>
      <c r="X127">
        <f>HYPERLINK("https://klasma.github.io/Logging_010188/tillsyn/A 11031-2025 tillsynsbegäran.docx", "A 11031-2025")</f>
        <v/>
      </c>
      <c r="Y127">
        <f>HYPERLINK("https://klasma.github.io/Logging_010188/tillsynsmail/A 11031-2025 tillsynsbegäran mail.docx", "A 11031-2025")</f>
        <v/>
      </c>
      <c r="Z127">
        <f>HYPERLINK("https://klasma.github.io/Logging_010188/fåglar/A 11031-2025 prioriterade fågelarter.docx", "A 11031-2025")</f>
        <v/>
      </c>
    </row>
    <row r="128" ht="15" customHeight="1">
      <c r="A128" t="inlineStr">
        <is>
          <t>A 15804-2025</t>
        </is>
      </c>
      <c r="B128" s="1" t="n">
        <v>45748</v>
      </c>
      <c r="C128" s="1" t="n">
        <v>45750</v>
      </c>
      <c r="D128" t="inlineStr">
        <is>
          <t>STOCKHOLMS LÄN</t>
        </is>
      </c>
      <c r="E128" t="inlineStr">
        <is>
          <t>NORRTÄLJE</t>
        </is>
      </c>
      <c r="F128" t="inlineStr">
        <is>
          <t>Holmen skog AB</t>
        </is>
      </c>
      <c r="G128" t="n">
        <v>1.7</v>
      </c>
      <c r="H128" t="n">
        <v>1</v>
      </c>
      <c r="I128" t="n">
        <v>0</v>
      </c>
      <c r="J128" t="n">
        <v>1</v>
      </c>
      <c r="K128" t="n">
        <v>0</v>
      </c>
      <c r="L128" t="n">
        <v>1</v>
      </c>
      <c r="M128" t="n">
        <v>0</v>
      </c>
      <c r="N128" t="n">
        <v>0</v>
      </c>
      <c r="O128" t="n">
        <v>2</v>
      </c>
      <c r="P128" t="n">
        <v>1</v>
      </c>
      <c r="Q128" t="n">
        <v>2</v>
      </c>
      <c r="R128" s="2" t="inlineStr">
        <is>
          <t>Asknätfjäril
Slåtterfibbla</t>
        </is>
      </c>
      <c r="S128">
        <f>HYPERLINK("https://klasma.github.io/Logging_010188/artfynd/A 15804-2025 artfynd.xlsx", "A 15804-2025")</f>
        <v/>
      </c>
      <c r="T128">
        <f>HYPERLINK("https://klasma.github.io/Logging_010188/kartor/A 15804-2025 karta.png", "A 15804-2025")</f>
        <v/>
      </c>
      <c r="V128">
        <f>HYPERLINK("https://klasma.github.io/Logging_010188/klagomål/A 15804-2025 FSC-klagomål.docx", "A 15804-2025")</f>
        <v/>
      </c>
      <c r="W128">
        <f>HYPERLINK("https://klasma.github.io/Logging_010188/klagomålsmail/A 15804-2025 FSC-klagomål mail.docx", "A 15804-2025")</f>
        <v/>
      </c>
      <c r="X128">
        <f>HYPERLINK("https://klasma.github.io/Logging_010188/tillsyn/A 15804-2025 tillsynsbegäran.docx", "A 15804-2025")</f>
        <v/>
      </c>
      <c r="Y128">
        <f>HYPERLINK("https://klasma.github.io/Logging_010188/tillsynsmail/A 15804-2025 tillsynsbegäran mail.docx", "A 15804-2025")</f>
        <v/>
      </c>
    </row>
    <row r="129" ht="15" customHeight="1">
      <c r="A129" t="inlineStr">
        <is>
          <t>A 20740-2019</t>
        </is>
      </c>
      <c r="B129" s="1" t="n">
        <v>43573</v>
      </c>
      <c r="C129" s="1" t="n">
        <v>45750</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45750</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45750</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45750</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62848-2019</t>
        </is>
      </c>
      <c r="B133" s="1" t="n">
        <v>43790</v>
      </c>
      <c r="C133" s="1" t="n">
        <v>45750</v>
      </c>
      <c r="D133" t="inlineStr">
        <is>
          <t>STOCKHOLMS LÄN</t>
        </is>
      </c>
      <c r="E133" t="inlineStr">
        <is>
          <t>NORRTÄLJE</t>
        </is>
      </c>
      <c r="F133" t="inlineStr">
        <is>
          <t>Holmen skog AB</t>
        </is>
      </c>
      <c r="G133" t="n">
        <v>6.6</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62848-2019 artfynd.xlsx", "A 62848-2019")</f>
        <v/>
      </c>
      <c r="T133">
        <f>HYPERLINK("https://klasma.github.io/Logging_0188/kartor/A 62848-2019 karta.png", "A 62848-2019")</f>
        <v/>
      </c>
      <c r="V133">
        <f>HYPERLINK("https://klasma.github.io/Logging_0188/klagomål/A 62848-2019 FSC-klagomål.docx", "A 62848-2019")</f>
        <v/>
      </c>
      <c r="W133">
        <f>HYPERLINK("https://klasma.github.io/Logging_0188/klagomålsmail/A 62848-2019 FSC-klagomål mail.docx", "A 62848-2019")</f>
        <v/>
      </c>
      <c r="X133">
        <f>HYPERLINK("https://klasma.github.io/Logging_0188/tillsyn/A 62848-2019 tillsynsbegäran.docx", "A 62848-2019")</f>
        <v/>
      </c>
      <c r="Y133">
        <f>HYPERLINK("https://klasma.github.io/Logging_0188/tillsynsmail/A 62848-2019 tillsynsbegäran mail.docx", "A 62848-2019")</f>
        <v/>
      </c>
    </row>
    <row r="134" ht="15" customHeight="1">
      <c r="A134" t="inlineStr">
        <is>
          <t>A 64849-2019</t>
        </is>
      </c>
      <c r="B134" s="1" t="n">
        <v>43801</v>
      </c>
      <c r="C134" s="1" t="n">
        <v>45750</v>
      </c>
      <c r="D134" t="inlineStr">
        <is>
          <t>STOCKHOLMS LÄN</t>
        </is>
      </c>
      <c r="E134" t="inlineStr">
        <is>
          <t>NORRTÄLJE</t>
        </is>
      </c>
      <c r="G134" t="n">
        <v>1.6</v>
      </c>
      <c r="H134" t="n">
        <v>0</v>
      </c>
      <c r="I134" t="n">
        <v>0</v>
      </c>
      <c r="J134" t="n">
        <v>1</v>
      </c>
      <c r="K134" t="n">
        <v>0</v>
      </c>
      <c r="L134" t="n">
        <v>0</v>
      </c>
      <c r="M134" t="n">
        <v>0</v>
      </c>
      <c r="N134" t="n">
        <v>0</v>
      </c>
      <c r="O134" t="n">
        <v>1</v>
      </c>
      <c r="P134" t="n">
        <v>0</v>
      </c>
      <c r="Q134" t="n">
        <v>1</v>
      </c>
      <c r="R134" s="2" t="inlineStr">
        <is>
          <t>Skogsklocka</t>
        </is>
      </c>
      <c r="S134">
        <f>HYPERLINK("https://klasma.github.io/Logging_0188/artfynd/A 64849-2019 artfynd.xlsx", "A 64849-2019")</f>
        <v/>
      </c>
      <c r="T134">
        <f>HYPERLINK("https://klasma.github.io/Logging_0188/kartor/A 64849-2019 karta.png", "A 64849-2019")</f>
        <v/>
      </c>
      <c r="V134">
        <f>HYPERLINK("https://klasma.github.io/Logging_0188/klagomål/A 64849-2019 FSC-klagomål.docx", "A 64849-2019")</f>
        <v/>
      </c>
      <c r="W134">
        <f>HYPERLINK("https://klasma.github.io/Logging_0188/klagomålsmail/A 64849-2019 FSC-klagomål mail.docx", "A 64849-2019")</f>
        <v/>
      </c>
      <c r="X134">
        <f>HYPERLINK("https://klasma.github.io/Logging_0188/tillsyn/A 64849-2019 tillsynsbegäran.docx", "A 64849-2019")</f>
        <v/>
      </c>
      <c r="Y134">
        <f>HYPERLINK("https://klasma.github.io/Logging_0188/tillsynsmail/A 64849-2019 tillsynsbegäran mail.docx", "A 64849-2019")</f>
        <v/>
      </c>
    </row>
    <row r="135" ht="15" customHeight="1">
      <c r="A135" t="inlineStr">
        <is>
          <t>A 2808-2020</t>
        </is>
      </c>
      <c r="B135" s="1" t="n">
        <v>43850</v>
      </c>
      <c r="C135" s="1" t="n">
        <v>45750</v>
      </c>
      <c r="D135" t="inlineStr">
        <is>
          <t>STOCKHOLMS LÄN</t>
        </is>
      </c>
      <c r="E135" t="inlineStr">
        <is>
          <t>NORRTÄLJE</t>
        </is>
      </c>
      <c r="G135" t="n">
        <v>1</v>
      </c>
      <c r="H135" t="n">
        <v>1</v>
      </c>
      <c r="I135" t="n">
        <v>0</v>
      </c>
      <c r="J135" t="n">
        <v>0</v>
      </c>
      <c r="K135" t="n">
        <v>1</v>
      </c>
      <c r="L135" t="n">
        <v>0</v>
      </c>
      <c r="M135" t="n">
        <v>0</v>
      </c>
      <c r="N135" t="n">
        <v>0</v>
      </c>
      <c r="O135" t="n">
        <v>1</v>
      </c>
      <c r="P135" t="n">
        <v>1</v>
      </c>
      <c r="Q135" t="n">
        <v>1</v>
      </c>
      <c r="R135" s="2" t="inlineStr">
        <is>
          <t>Knärot</t>
        </is>
      </c>
      <c r="S135">
        <f>HYPERLINK("https://klasma.github.io/Logging_0188/artfynd/A 2808-2020 artfynd.xlsx", "A 2808-2020")</f>
        <v/>
      </c>
      <c r="T135">
        <f>HYPERLINK("https://klasma.github.io/Logging_0188/kartor/A 2808-2020 karta.png", "A 2808-2020")</f>
        <v/>
      </c>
      <c r="U135">
        <f>HYPERLINK("https://klasma.github.io/Logging_0188/knärot/A 2808-2020 karta knärot.png", "A 2808-2020")</f>
        <v/>
      </c>
      <c r="V135">
        <f>HYPERLINK("https://klasma.github.io/Logging_0188/klagomål/A 2808-2020 FSC-klagomål.docx", "A 2808-2020")</f>
        <v/>
      </c>
      <c r="W135">
        <f>HYPERLINK("https://klasma.github.io/Logging_0188/klagomålsmail/A 2808-2020 FSC-klagomål mail.docx", "A 2808-2020")</f>
        <v/>
      </c>
      <c r="X135">
        <f>HYPERLINK("https://klasma.github.io/Logging_0188/tillsyn/A 2808-2020 tillsynsbegäran.docx", "A 2808-2020")</f>
        <v/>
      </c>
      <c r="Y135">
        <f>HYPERLINK("https://klasma.github.io/Logging_0188/tillsynsmail/A 2808-2020 tillsynsbegäran mail.docx", "A 2808-2020")</f>
        <v/>
      </c>
    </row>
    <row r="136" ht="15" customHeight="1">
      <c r="A136" t="inlineStr">
        <is>
          <t>A 2796-2020</t>
        </is>
      </c>
      <c r="B136" s="1" t="n">
        <v>43850</v>
      </c>
      <c r="C136" s="1" t="n">
        <v>45750</v>
      </c>
      <c r="D136" t="inlineStr">
        <is>
          <t>STOCKHOLMS LÄN</t>
        </is>
      </c>
      <c r="E136" t="inlineStr">
        <is>
          <t>NORRTÄLJE</t>
        </is>
      </c>
      <c r="G136" t="n">
        <v>5.6</v>
      </c>
      <c r="H136" t="n">
        <v>1</v>
      </c>
      <c r="I136" t="n">
        <v>1</v>
      </c>
      <c r="J136" t="n">
        <v>0</v>
      </c>
      <c r="K136" t="n">
        <v>0</v>
      </c>
      <c r="L136" t="n">
        <v>0</v>
      </c>
      <c r="M136" t="n">
        <v>0</v>
      </c>
      <c r="N136" t="n">
        <v>0</v>
      </c>
      <c r="O136" t="n">
        <v>0</v>
      </c>
      <c r="P136" t="n">
        <v>0</v>
      </c>
      <c r="Q136" t="n">
        <v>1</v>
      </c>
      <c r="R136" s="2" t="inlineStr">
        <is>
          <t>Spindelblomster</t>
        </is>
      </c>
      <c r="S136">
        <f>HYPERLINK("https://klasma.github.io/Logging_0188/artfynd/A 2796-2020 artfynd.xlsx", "A 2796-2020")</f>
        <v/>
      </c>
      <c r="T136">
        <f>HYPERLINK("https://klasma.github.io/Logging_0188/kartor/A 2796-2020 karta.png", "A 2796-2020")</f>
        <v/>
      </c>
      <c r="V136">
        <f>HYPERLINK("https://klasma.github.io/Logging_0188/klagomål/A 2796-2020 FSC-klagomål.docx", "A 2796-2020")</f>
        <v/>
      </c>
      <c r="W136">
        <f>HYPERLINK("https://klasma.github.io/Logging_0188/klagomålsmail/A 2796-2020 FSC-klagomål mail.docx", "A 2796-2020")</f>
        <v/>
      </c>
      <c r="X136">
        <f>HYPERLINK("https://klasma.github.io/Logging_0188/tillsyn/A 2796-2020 tillsynsbegäran.docx", "A 2796-2020")</f>
        <v/>
      </c>
      <c r="Y136">
        <f>HYPERLINK("https://klasma.github.io/Logging_0188/tillsynsmail/A 2796-2020 tillsynsbegäran mail.docx", "A 2796-2020")</f>
        <v/>
      </c>
    </row>
    <row r="137" ht="15" customHeight="1">
      <c r="A137" t="inlineStr">
        <is>
          <t>A 9051-2020</t>
        </is>
      </c>
      <c r="B137" s="1" t="n">
        <v>43879</v>
      </c>
      <c r="C137" s="1" t="n">
        <v>45750</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9051-2020 artfynd.xlsx", "A 9051-2020")</f>
        <v/>
      </c>
      <c r="T137">
        <f>HYPERLINK("https://klasma.github.io/Logging_0188/kartor/A 9051-2020 karta.png", "A 9051-2020")</f>
        <v/>
      </c>
      <c r="V137">
        <f>HYPERLINK("https://klasma.github.io/Logging_0188/klagomål/A 9051-2020 FSC-klagomål.docx", "A 9051-2020")</f>
        <v/>
      </c>
      <c r="W137">
        <f>HYPERLINK("https://klasma.github.io/Logging_0188/klagomålsmail/A 9051-2020 FSC-klagomål mail.docx", "A 9051-2020")</f>
        <v/>
      </c>
      <c r="X137">
        <f>HYPERLINK("https://klasma.github.io/Logging_0188/tillsyn/A 9051-2020 tillsynsbegäran.docx", "A 9051-2020")</f>
        <v/>
      </c>
      <c r="Y137">
        <f>HYPERLINK("https://klasma.github.io/Logging_0188/tillsynsmail/A 9051-2020 tillsynsbegäran mail.docx", "A 9051-2020")</f>
        <v/>
      </c>
    </row>
    <row r="138" ht="15" customHeight="1">
      <c r="A138" t="inlineStr">
        <is>
          <t>A 12843-2020</t>
        </is>
      </c>
      <c r="B138" s="1" t="n">
        <v>43899</v>
      </c>
      <c r="C138" s="1" t="n">
        <v>45750</v>
      </c>
      <c r="D138" t="inlineStr">
        <is>
          <t>STOCKHOLMS LÄN</t>
        </is>
      </c>
      <c r="E138" t="inlineStr">
        <is>
          <t>NORRTÄLJE</t>
        </is>
      </c>
      <c r="G138" t="n">
        <v>7.5</v>
      </c>
      <c r="H138" t="n">
        <v>1</v>
      </c>
      <c r="I138" t="n">
        <v>0</v>
      </c>
      <c r="J138" t="n">
        <v>1</v>
      </c>
      <c r="K138" t="n">
        <v>0</v>
      </c>
      <c r="L138" t="n">
        <v>0</v>
      </c>
      <c r="M138" t="n">
        <v>0</v>
      </c>
      <c r="N138" t="n">
        <v>0</v>
      </c>
      <c r="O138" t="n">
        <v>1</v>
      </c>
      <c r="P138" t="n">
        <v>0</v>
      </c>
      <c r="Q138" t="n">
        <v>1</v>
      </c>
      <c r="R138" s="2" t="inlineStr">
        <is>
          <t>Talltita</t>
        </is>
      </c>
      <c r="S138">
        <f>HYPERLINK("https://klasma.github.io/Logging_0188/artfynd/A 12843-2020 artfynd.xlsx", "A 12843-2020")</f>
        <v/>
      </c>
      <c r="T138">
        <f>HYPERLINK("https://klasma.github.io/Logging_0188/kartor/A 12843-2020 karta.png", "A 12843-2020")</f>
        <v/>
      </c>
      <c r="V138">
        <f>HYPERLINK("https://klasma.github.io/Logging_0188/klagomål/A 12843-2020 FSC-klagomål.docx", "A 12843-2020")</f>
        <v/>
      </c>
      <c r="W138">
        <f>HYPERLINK("https://klasma.github.io/Logging_0188/klagomålsmail/A 12843-2020 FSC-klagomål mail.docx", "A 12843-2020")</f>
        <v/>
      </c>
      <c r="X138">
        <f>HYPERLINK("https://klasma.github.io/Logging_0188/tillsyn/A 12843-2020 tillsynsbegäran.docx", "A 12843-2020")</f>
        <v/>
      </c>
      <c r="Y138">
        <f>HYPERLINK("https://klasma.github.io/Logging_0188/tillsynsmail/A 12843-2020 tillsynsbegäran mail.docx", "A 12843-2020")</f>
        <v/>
      </c>
      <c r="Z138">
        <f>HYPERLINK("https://klasma.github.io/Logging_0188/fåglar/A 12843-2020 prioriterade fågelarter.docx", "A 12843-2020")</f>
        <v/>
      </c>
    </row>
    <row r="139" ht="15" customHeight="1">
      <c r="A139" t="inlineStr">
        <is>
          <t>A 28380-2020</t>
        </is>
      </c>
      <c r="B139" s="1" t="n">
        <v>43998</v>
      </c>
      <c r="C139" s="1" t="n">
        <v>45750</v>
      </c>
      <c r="D139" t="inlineStr">
        <is>
          <t>STOCKHOLMS LÄN</t>
        </is>
      </c>
      <c r="E139" t="inlineStr">
        <is>
          <t>NORRTÄLJE</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28380-2020 artfynd.xlsx", "A 28380-2020")</f>
        <v/>
      </c>
      <c r="T139">
        <f>HYPERLINK("https://klasma.github.io/Logging_0188/kartor/A 28380-2020 karta.png", "A 28380-2020")</f>
        <v/>
      </c>
      <c r="V139">
        <f>HYPERLINK("https://klasma.github.io/Logging_0188/klagomål/A 28380-2020 FSC-klagomål.docx", "A 28380-2020")</f>
        <v/>
      </c>
      <c r="W139">
        <f>HYPERLINK("https://klasma.github.io/Logging_0188/klagomålsmail/A 28380-2020 FSC-klagomål mail.docx", "A 28380-2020")</f>
        <v/>
      </c>
      <c r="X139">
        <f>HYPERLINK("https://klasma.github.io/Logging_0188/tillsyn/A 28380-2020 tillsynsbegäran.docx", "A 28380-2020")</f>
        <v/>
      </c>
      <c r="Y139">
        <f>HYPERLINK("https://klasma.github.io/Logging_0188/tillsynsmail/A 28380-2020 tillsynsbegäran mail.docx", "A 28380-2020")</f>
        <v/>
      </c>
    </row>
    <row r="140" ht="15" customHeight="1">
      <c r="A140" t="inlineStr">
        <is>
          <t>A 48288-2020</t>
        </is>
      </c>
      <c r="B140" s="1" t="n">
        <v>44102</v>
      </c>
      <c r="C140" s="1" t="n">
        <v>45750</v>
      </c>
      <c r="D140" t="inlineStr">
        <is>
          <t>STOCKHOLMS LÄN</t>
        </is>
      </c>
      <c r="E140" t="inlineStr">
        <is>
          <t>NORRTÄLJE</t>
        </is>
      </c>
      <c r="F140" t="inlineStr">
        <is>
          <t>Holmen skog AB</t>
        </is>
      </c>
      <c r="G140" t="n">
        <v>2.9</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48288-2020 artfynd.xlsx", "A 48288-2020")</f>
        <v/>
      </c>
      <c r="T140">
        <f>HYPERLINK("https://klasma.github.io/Logging_0188/kartor/A 48288-2020 karta.png", "A 48288-2020")</f>
        <v/>
      </c>
      <c r="V140">
        <f>HYPERLINK("https://klasma.github.io/Logging_0188/klagomål/A 48288-2020 FSC-klagomål.docx", "A 48288-2020")</f>
        <v/>
      </c>
      <c r="W140">
        <f>HYPERLINK("https://klasma.github.io/Logging_0188/klagomålsmail/A 48288-2020 FSC-klagomål mail.docx", "A 48288-2020")</f>
        <v/>
      </c>
      <c r="X140">
        <f>HYPERLINK("https://klasma.github.io/Logging_0188/tillsyn/A 48288-2020 tillsynsbegäran.docx", "A 48288-2020")</f>
        <v/>
      </c>
      <c r="Y140">
        <f>HYPERLINK("https://klasma.github.io/Logging_0188/tillsynsmail/A 48288-2020 tillsynsbegäran mail.docx", "A 48288-2020")</f>
        <v/>
      </c>
    </row>
    <row r="141" ht="15" customHeight="1">
      <c r="A141" t="inlineStr">
        <is>
          <t>A 62846-2020</t>
        </is>
      </c>
      <c r="B141" s="1" t="n">
        <v>44161</v>
      </c>
      <c r="C141" s="1" t="n">
        <v>45750</v>
      </c>
      <c r="D141" t="inlineStr">
        <is>
          <t>STOCKHOLMS LÄN</t>
        </is>
      </c>
      <c r="E141" t="inlineStr">
        <is>
          <t>NORRTÄLJE</t>
        </is>
      </c>
      <c r="G141" t="n">
        <v>1.4</v>
      </c>
      <c r="H141" t="n">
        <v>1</v>
      </c>
      <c r="I141" t="n">
        <v>0</v>
      </c>
      <c r="J141" t="n">
        <v>0</v>
      </c>
      <c r="K141" t="n">
        <v>0</v>
      </c>
      <c r="L141" t="n">
        <v>0</v>
      </c>
      <c r="M141" t="n">
        <v>0</v>
      </c>
      <c r="N141" t="n">
        <v>0</v>
      </c>
      <c r="O141" t="n">
        <v>0</v>
      </c>
      <c r="P141" t="n">
        <v>0</v>
      </c>
      <c r="Q141" t="n">
        <v>1</v>
      </c>
      <c r="R141" s="2" t="inlineStr">
        <is>
          <t>Fläcknycklar</t>
        </is>
      </c>
      <c r="S141">
        <f>HYPERLINK("https://klasma.github.io/Logging_0188/artfynd/A 62846-2020 artfynd.xlsx", "A 62846-2020")</f>
        <v/>
      </c>
      <c r="T141">
        <f>HYPERLINK("https://klasma.github.io/Logging_0188/kartor/A 62846-2020 karta.png", "A 62846-2020")</f>
        <v/>
      </c>
      <c r="V141">
        <f>HYPERLINK("https://klasma.github.io/Logging_0188/klagomål/A 62846-2020 FSC-klagomål.docx", "A 62846-2020")</f>
        <v/>
      </c>
      <c r="W141">
        <f>HYPERLINK("https://klasma.github.io/Logging_0188/klagomålsmail/A 62846-2020 FSC-klagomål mail.docx", "A 62846-2020")</f>
        <v/>
      </c>
      <c r="X141">
        <f>HYPERLINK("https://klasma.github.io/Logging_0188/tillsyn/A 62846-2020 tillsynsbegäran.docx", "A 62846-2020")</f>
        <v/>
      </c>
      <c r="Y141">
        <f>HYPERLINK("https://klasma.github.io/Logging_0188/tillsynsmail/A 62846-2020 tillsynsbegäran mail.docx", "A 62846-2020")</f>
        <v/>
      </c>
    </row>
    <row r="142" ht="15" customHeight="1">
      <c r="A142" t="inlineStr">
        <is>
          <t>A 1162-2021</t>
        </is>
      </c>
      <c r="B142" s="1" t="n">
        <v>44207</v>
      </c>
      <c r="C142" s="1" t="n">
        <v>45750</v>
      </c>
      <c r="D142" t="inlineStr">
        <is>
          <t>STOCKHOLMS LÄN</t>
        </is>
      </c>
      <c r="E142" t="inlineStr">
        <is>
          <t>NORRTÄLJE</t>
        </is>
      </c>
      <c r="G142" t="n">
        <v>2.2</v>
      </c>
      <c r="H142" t="n">
        <v>1</v>
      </c>
      <c r="I142" t="n">
        <v>0</v>
      </c>
      <c r="J142" t="n">
        <v>0</v>
      </c>
      <c r="K142" t="n">
        <v>1</v>
      </c>
      <c r="L142" t="n">
        <v>0</v>
      </c>
      <c r="M142" t="n">
        <v>0</v>
      </c>
      <c r="N142" t="n">
        <v>0</v>
      </c>
      <c r="O142" t="n">
        <v>1</v>
      </c>
      <c r="P142" t="n">
        <v>1</v>
      </c>
      <c r="Q142" t="n">
        <v>1</v>
      </c>
      <c r="R142" s="2" t="inlineStr">
        <is>
          <t>Hällebräcka</t>
        </is>
      </c>
      <c r="S142">
        <f>HYPERLINK("https://klasma.github.io/Logging_0188/artfynd/A 1162-2021 artfynd.xlsx", "A 1162-2021")</f>
        <v/>
      </c>
      <c r="T142">
        <f>HYPERLINK("https://klasma.github.io/Logging_0188/kartor/A 1162-2021 karta.png", "A 1162-2021")</f>
        <v/>
      </c>
      <c r="V142">
        <f>HYPERLINK("https://klasma.github.io/Logging_0188/klagomål/A 1162-2021 FSC-klagomål.docx", "A 1162-2021")</f>
        <v/>
      </c>
      <c r="W142">
        <f>HYPERLINK("https://klasma.github.io/Logging_0188/klagomålsmail/A 1162-2021 FSC-klagomål mail.docx", "A 1162-2021")</f>
        <v/>
      </c>
      <c r="X142">
        <f>HYPERLINK("https://klasma.github.io/Logging_0188/tillsyn/A 1162-2021 tillsynsbegäran.docx", "A 1162-2021")</f>
        <v/>
      </c>
      <c r="Y142">
        <f>HYPERLINK("https://klasma.github.io/Logging_0188/tillsynsmail/A 1162-2021 tillsynsbegäran mail.docx", "A 1162-2021")</f>
        <v/>
      </c>
    </row>
    <row r="143" ht="15" customHeight="1">
      <c r="A143" t="inlineStr">
        <is>
          <t>A 30138-2021</t>
        </is>
      </c>
      <c r="B143" s="1" t="n">
        <v>44363</v>
      </c>
      <c r="C143" s="1" t="n">
        <v>45750</v>
      </c>
      <c r="D143" t="inlineStr">
        <is>
          <t>STOCKHOLMS LÄN</t>
        </is>
      </c>
      <c r="E143" t="inlineStr">
        <is>
          <t>NORRTÄLJE</t>
        </is>
      </c>
      <c r="G143" t="n">
        <v>4.5</v>
      </c>
      <c r="H143" t="n">
        <v>0</v>
      </c>
      <c r="I143" t="n">
        <v>1</v>
      </c>
      <c r="J143" t="n">
        <v>0</v>
      </c>
      <c r="K143" t="n">
        <v>0</v>
      </c>
      <c r="L143" t="n">
        <v>0</v>
      </c>
      <c r="M143" t="n">
        <v>0</v>
      </c>
      <c r="N143" t="n">
        <v>0</v>
      </c>
      <c r="O143" t="n">
        <v>0</v>
      </c>
      <c r="P143" t="n">
        <v>0</v>
      </c>
      <c r="Q143" t="n">
        <v>1</v>
      </c>
      <c r="R143" s="2" t="inlineStr">
        <is>
          <t>Vårärt</t>
        </is>
      </c>
      <c r="S143">
        <f>HYPERLINK("https://klasma.github.io/Logging_0188/artfynd/A 30138-2021 artfynd.xlsx", "A 30138-2021")</f>
        <v/>
      </c>
      <c r="T143">
        <f>HYPERLINK("https://klasma.github.io/Logging_0188/kartor/A 30138-2021 karta.png", "A 30138-2021")</f>
        <v/>
      </c>
      <c r="V143">
        <f>HYPERLINK("https://klasma.github.io/Logging_0188/klagomål/A 30138-2021 FSC-klagomål.docx", "A 30138-2021")</f>
        <v/>
      </c>
      <c r="W143">
        <f>HYPERLINK("https://klasma.github.io/Logging_0188/klagomålsmail/A 30138-2021 FSC-klagomål mail.docx", "A 30138-2021")</f>
        <v/>
      </c>
      <c r="X143">
        <f>HYPERLINK("https://klasma.github.io/Logging_0188/tillsyn/A 30138-2021 tillsynsbegäran.docx", "A 30138-2021")</f>
        <v/>
      </c>
      <c r="Y143">
        <f>HYPERLINK("https://klasma.github.io/Logging_0188/tillsynsmail/A 30138-2021 tillsynsbegäran mail.docx", "A 30138-2021")</f>
        <v/>
      </c>
    </row>
    <row r="144" ht="15" customHeight="1">
      <c r="A144" t="inlineStr">
        <is>
          <t>A 33302-2021</t>
        </is>
      </c>
      <c r="B144" s="1" t="n">
        <v>44377</v>
      </c>
      <c r="C144" s="1" t="n">
        <v>45750</v>
      </c>
      <c r="D144" t="inlineStr">
        <is>
          <t>STOCKHOLMS LÄN</t>
        </is>
      </c>
      <c r="E144" t="inlineStr">
        <is>
          <t>NORRTÄLJE</t>
        </is>
      </c>
      <c r="G144" t="n">
        <v>12.5</v>
      </c>
      <c r="H144" t="n">
        <v>1</v>
      </c>
      <c r="I144" t="n">
        <v>0</v>
      </c>
      <c r="J144" t="n">
        <v>1</v>
      </c>
      <c r="K144" t="n">
        <v>0</v>
      </c>
      <c r="L144" t="n">
        <v>0</v>
      </c>
      <c r="M144" t="n">
        <v>0</v>
      </c>
      <c r="N144" t="n">
        <v>0</v>
      </c>
      <c r="O144" t="n">
        <v>1</v>
      </c>
      <c r="P144" t="n">
        <v>0</v>
      </c>
      <c r="Q144" t="n">
        <v>1</v>
      </c>
      <c r="R144" s="2" t="inlineStr">
        <is>
          <t>Spillkråka</t>
        </is>
      </c>
      <c r="S144">
        <f>HYPERLINK("https://klasma.github.io/Logging_0188/artfynd/A 33302-2021 artfynd.xlsx", "A 33302-2021")</f>
        <v/>
      </c>
      <c r="T144">
        <f>HYPERLINK("https://klasma.github.io/Logging_0188/kartor/A 33302-2021 karta.png", "A 33302-2021")</f>
        <v/>
      </c>
      <c r="V144">
        <f>HYPERLINK("https://klasma.github.io/Logging_0188/klagomål/A 33302-2021 FSC-klagomål.docx", "A 33302-2021")</f>
        <v/>
      </c>
      <c r="W144">
        <f>HYPERLINK("https://klasma.github.io/Logging_0188/klagomålsmail/A 33302-2021 FSC-klagomål mail.docx", "A 33302-2021")</f>
        <v/>
      </c>
      <c r="X144">
        <f>HYPERLINK("https://klasma.github.io/Logging_0188/tillsyn/A 33302-2021 tillsynsbegäran.docx", "A 33302-2021")</f>
        <v/>
      </c>
      <c r="Y144">
        <f>HYPERLINK("https://klasma.github.io/Logging_0188/tillsynsmail/A 33302-2021 tillsynsbegäran mail.docx", "A 33302-2021")</f>
        <v/>
      </c>
      <c r="Z144">
        <f>HYPERLINK("https://klasma.github.io/Logging_0188/fåglar/A 33302-2021 prioriterade fågelarter.docx", "A 33302-2021")</f>
        <v/>
      </c>
    </row>
    <row r="145" ht="15" customHeight="1">
      <c r="A145" t="inlineStr">
        <is>
          <t>A 58888-2021</t>
        </is>
      </c>
      <c r="B145" s="1" t="n">
        <v>44489</v>
      </c>
      <c r="C145" s="1" t="n">
        <v>45750</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68692-2021</t>
        </is>
      </c>
      <c r="B146" s="1" t="n">
        <v>44529</v>
      </c>
      <c r="C146" s="1" t="n">
        <v>45750</v>
      </c>
      <c r="D146" t="inlineStr">
        <is>
          <t>STOCKHOLMS LÄN</t>
        </is>
      </c>
      <c r="E146" t="inlineStr">
        <is>
          <t>NORRTÄLJE</t>
        </is>
      </c>
      <c r="F146" t="inlineStr">
        <is>
          <t>Holmen skog AB</t>
        </is>
      </c>
      <c r="G146" t="n">
        <v>0.7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68692-2021 artfynd.xlsx", "A 68692-2021")</f>
        <v/>
      </c>
      <c r="T146">
        <f>HYPERLINK("https://klasma.github.io/Logging_0188/kartor/A 68692-2021 karta.png", "A 68692-2021")</f>
        <v/>
      </c>
      <c r="V146">
        <f>HYPERLINK("https://klasma.github.io/Logging_0188/klagomål/A 68692-2021 FSC-klagomål.docx", "A 68692-2021")</f>
        <v/>
      </c>
      <c r="W146">
        <f>HYPERLINK("https://klasma.github.io/Logging_0188/klagomålsmail/A 68692-2021 FSC-klagomål mail.docx", "A 68692-2021")</f>
        <v/>
      </c>
      <c r="X146">
        <f>HYPERLINK("https://klasma.github.io/Logging_0188/tillsyn/A 68692-2021 tillsynsbegäran.docx", "A 68692-2021")</f>
        <v/>
      </c>
      <c r="Y146">
        <f>HYPERLINK("https://klasma.github.io/Logging_0188/tillsynsmail/A 68692-2021 tillsynsbegäran mail.docx", "A 68692-2021")</f>
        <v/>
      </c>
    </row>
    <row r="147" ht="15" customHeight="1">
      <c r="A147" t="inlineStr">
        <is>
          <t>A 188-2022</t>
        </is>
      </c>
      <c r="B147" s="1" t="n">
        <v>44564</v>
      </c>
      <c r="C147" s="1" t="n">
        <v>45750</v>
      </c>
      <c r="D147" t="inlineStr">
        <is>
          <t>STOCKHOLMS LÄN</t>
        </is>
      </c>
      <c r="E147" t="inlineStr">
        <is>
          <t>NORRTÄLJE</t>
        </is>
      </c>
      <c r="G147" t="n">
        <v>4.1</v>
      </c>
      <c r="H147" t="n">
        <v>0</v>
      </c>
      <c r="I147" t="n">
        <v>1</v>
      </c>
      <c r="J147" t="n">
        <v>0</v>
      </c>
      <c r="K147" t="n">
        <v>0</v>
      </c>
      <c r="L147" t="n">
        <v>0</v>
      </c>
      <c r="M147" t="n">
        <v>0</v>
      </c>
      <c r="N147" t="n">
        <v>0</v>
      </c>
      <c r="O147" t="n">
        <v>0</v>
      </c>
      <c r="P147" t="n">
        <v>0</v>
      </c>
      <c r="Q147" t="n">
        <v>1</v>
      </c>
      <c r="R147" s="2" t="inlineStr">
        <is>
          <t>Svart trolldruva</t>
        </is>
      </c>
      <c r="S147">
        <f>HYPERLINK("https://klasma.github.io/Logging_0188/artfynd/A 188-2022 artfynd.xlsx", "A 188-2022")</f>
        <v/>
      </c>
      <c r="T147">
        <f>HYPERLINK("https://klasma.github.io/Logging_0188/kartor/A 188-2022 karta.png", "A 188-2022")</f>
        <v/>
      </c>
      <c r="V147">
        <f>HYPERLINK("https://klasma.github.io/Logging_0188/klagomål/A 188-2022 FSC-klagomål.docx", "A 188-2022")</f>
        <v/>
      </c>
      <c r="W147">
        <f>HYPERLINK("https://klasma.github.io/Logging_0188/klagomålsmail/A 188-2022 FSC-klagomål mail.docx", "A 188-2022")</f>
        <v/>
      </c>
      <c r="X147">
        <f>HYPERLINK("https://klasma.github.io/Logging_0188/tillsyn/A 188-2022 tillsynsbegäran.docx", "A 188-2022")</f>
        <v/>
      </c>
      <c r="Y147">
        <f>HYPERLINK("https://klasma.github.io/Logging_0188/tillsynsmail/A 188-2022 tillsynsbegäran mail.docx", "A 188-2022")</f>
        <v/>
      </c>
    </row>
    <row r="148" ht="15" customHeight="1">
      <c r="A148" t="inlineStr">
        <is>
          <t>A 1547-2022</t>
        </is>
      </c>
      <c r="B148" s="1" t="n">
        <v>44573</v>
      </c>
      <c r="C148" s="1" t="n">
        <v>45750</v>
      </c>
      <c r="D148" t="inlineStr">
        <is>
          <t>STOCKHOLMS LÄN</t>
        </is>
      </c>
      <c r="E148" t="inlineStr">
        <is>
          <t>NORRTÄLJE</t>
        </is>
      </c>
      <c r="G148" t="n">
        <v>1.8</v>
      </c>
      <c r="H148" t="n">
        <v>1</v>
      </c>
      <c r="I148" t="n">
        <v>0</v>
      </c>
      <c r="J148" t="n">
        <v>0</v>
      </c>
      <c r="K148" t="n">
        <v>1</v>
      </c>
      <c r="L148" t="n">
        <v>0</v>
      </c>
      <c r="M148" t="n">
        <v>0</v>
      </c>
      <c r="N148" t="n">
        <v>0</v>
      </c>
      <c r="O148" t="n">
        <v>1</v>
      </c>
      <c r="P148" t="n">
        <v>1</v>
      </c>
      <c r="Q148" t="n">
        <v>1</v>
      </c>
      <c r="R148" s="2" t="inlineStr">
        <is>
          <t>Hällebräcka</t>
        </is>
      </c>
      <c r="S148">
        <f>HYPERLINK("https://klasma.github.io/Logging_0188/artfynd/A 1547-2022 artfynd.xlsx", "A 1547-2022")</f>
        <v/>
      </c>
      <c r="T148">
        <f>HYPERLINK("https://klasma.github.io/Logging_0188/kartor/A 1547-2022 karta.png", "A 1547-2022")</f>
        <v/>
      </c>
      <c r="V148">
        <f>HYPERLINK("https://klasma.github.io/Logging_0188/klagomål/A 1547-2022 FSC-klagomål.docx", "A 1547-2022")</f>
        <v/>
      </c>
      <c r="W148">
        <f>HYPERLINK("https://klasma.github.io/Logging_0188/klagomålsmail/A 1547-2022 FSC-klagomål mail.docx", "A 1547-2022")</f>
        <v/>
      </c>
      <c r="X148">
        <f>HYPERLINK("https://klasma.github.io/Logging_0188/tillsyn/A 1547-2022 tillsynsbegäran.docx", "A 1547-2022")</f>
        <v/>
      </c>
      <c r="Y148">
        <f>HYPERLINK("https://klasma.github.io/Logging_0188/tillsynsmail/A 1547-2022 tillsynsbegäran mail.docx", "A 1547-2022")</f>
        <v/>
      </c>
    </row>
    <row r="149" ht="15" customHeight="1">
      <c r="A149" t="inlineStr">
        <is>
          <t>A 7172-2022</t>
        </is>
      </c>
      <c r="B149" s="1" t="n">
        <v>44604</v>
      </c>
      <c r="C149" s="1" t="n">
        <v>45750</v>
      </c>
      <c r="D149" t="inlineStr">
        <is>
          <t>STOCKHOLMS LÄN</t>
        </is>
      </c>
      <c r="E149" t="inlineStr">
        <is>
          <t>NORRTÄLJE</t>
        </is>
      </c>
      <c r="G149" t="n">
        <v>4.8</v>
      </c>
      <c r="H149" t="n">
        <v>0</v>
      </c>
      <c r="I149" t="n">
        <v>1</v>
      </c>
      <c r="J149" t="n">
        <v>0</v>
      </c>
      <c r="K149" t="n">
        <v>0</v>
      </c>
      <c r="L149" t="n">
        <v>0</v>
      </c>
      <c r="M149" t="n">
        <v>0</v>
      </c>
      <c r="N149" t="n">
        <v>0</v>
      </c>
      <c r="O149" t="n">
        <v>0</v>
      </c>
      <c r="P149" t="n">
        <v>0</v>
      </c>
      <c r="Q149" t="n">
        <v>1</v>
      </c>
      <c r="R149" s="2" t="inlineStr">
        <is>
          <t>Trådticka</t>
        </is>
      </c>
      <c r="S149">
        <f>HYPERLINK("https://klasma.github.io/Logging_0188/artfynd/A 7172-2022 artfynd.xlsx", "A 7172-2022")</f>
        <v/>
      </c>
      <c r="T149">
        <f>HYPERLINK("https://klasma.github.io/Logging_0188/kartor/A 7172-2022 karta.png", "A 7172-2022")</f>
        <v/>
      </c>
      <c r="U149">
        <f>HYPERLINK("https://klasma.github.io/Logging_0188/knärot/A 7172-2022 karta knärot.png", "A 7172-2022")</f>
        <v/>
      </c>
      <c r="V149">
        <f>HYPERLINK("https://klasma.github.io/Logging_0188/klagomål/A 7172-2022 FSC-klagomål.docx", "A 7172-2022")</f>
        <v/>
      </c>
      <c r="W149">
        <f>HYPERLINK("https://klasma.github.io/Logging_0188/klagomålsmail/A 7172-2022 FSC-klagomål mail.docx", "A 7172-2022")</f>
        <v/>
      </c>
      <c r="X149">
        <f>HYPERLINK("https://klasma.github.io/Logging_0188/tillsyn/A 7172-2022 tillsynsbegäran.docx", "A 7172-2022")</f>
        <v/>
      </c>
      <c r="Y149">
        <f>HYPERLINK("https://klasma.github.io/Logging_0188/tillsynsmail/A 7172-2022 tillsynsbegäran mail.docx", "A 7172-2022")</f>
        <v/>
      </c>
    </row>
    <row r="150" ht="15" customHeight="1">
      <c r="A150" t="inlineStr">
        <is>
          <t>A 9955-2022</t>
        </is>
      </c>
      <c r="B150" s="1" t="n">
        <v>44620</v>
      </c>
      <c r="C150" s="1" t="n">
        <v>45750</v>
      </c>
      <c r="D150" t="inlineStr">
        <is>
          <t>STOCKHOLMS LÄN</t>
        </is>
      </c>
      <c r="E150" t="inlineStr">
        <is>
          <t>NORRTÄLJE</t>
        </is>
      </c>
      <c r="G150" t="n">
        <v>7.8</v>
      </c>
      <c r="H150" t="n">
        <v>1</v>
      </c>
      <c r="I150" t="n">
        <v>0</v>
      </c>
      <c r="J150" t="n">
        <v>0</v>
      </c>
      <c r="K150" t="n">
        <v>0</v>
      </c>
      <c r="L150" t="n">
        <v>0</v>
      </c>
      <c r="M150" t="n">
        <v>0</v>
      </c>
      <c r="N150" t="n">
        <v>0</v>
      </c>
      <c r="O150" t="n">
        <v>0</v>
      </c>
      <c r="P150" t="n">
        <v>0</v>
      </c>
      <c r="Q150" t="n">
        <v>1</v>
      </c>
      <c r="R150" s="2" t="inlineStr">
        <is>
          <t>Åkergroda</t>
        </is>
      </c>
      <c r="S150">
        <f>HYPERLINK("https://klasma.github.io/Logging_0188/artfynd/A 9955-2022 artfynd.xlsx", "A 9955-2022")</f>
        <v/>
      </c>
      <c r="T150">
        <f>HYPERLINK("https://klasma.github.io/Logging_0188/kartor/A 9955-2022 karta.png", "A 9955-2022")</f>
        <v/>
      </c>
      <c r="V150">
        <f>HYPERLINK("https://klasma.github.io/Logging_0188/klagomål/A 9955-2022 FSC-klagomål.docx", "A 9955-2022")</f>
        <v/>
      </c>
      <c r="W150">
        <f>HYPERLINK("https://klasma.github.io/Logging_0188/klagomålsmail/A 9955-2022 FSC-klagomål mail.docx", "A 9955-2022")</f>
        <v/>
      </c>
      <c r="X150">
        <f>HYPERLINK("https://klasma.github.io/Logging_0188/tillsyn/A 9955-2022 tillsynsbegäran.docx", "A 9955-2022")</f>
        <v/>
      </c>
      <c r="Y150">
        <f>HYPERLINK("https://klasma.github.io/Logging_0188/tillsynsmail/A 9955-2022 tillsynsbegäran mail.docx", "A 9955-2022")</f>
        <v/>
      </c>
    </row>
    <row r="151" ht="15" customHeight="1">
      <c r="A151" t="inlineStr">
        <is>
          <t>A 10712-2022</t>
        </is>
      </c>
      <c r="B151" s="1" t="n">
        <v>44626</v>
      </c>
      <c r="C151" s="1" t="n">
        <v>45750</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Åkergroda</t>
        </is>
      </c>
      <c r="S151">
        <f>HYPERLINK("https://klasma.github.io/Logging_0188/artfynd/A 10712-2022 artfynd.xlsx", "A 10712-2022")</f>
        <v/>
      </c>
      <c r="T151">
        <f>HYPERLINK("https://klasma.github.io/Logging_0188/kartor/A 10712-2022 karta.png", "A 10712-2022")</f>
        <v/>
      </c>
      <c r="V151">
        <f>HYPERLINK("https://klasma.github.io/Logging_0188/klagomål/A 10712-2022 FSC-klagomål.docx", "A 10712-2022")</f>
        <v/>
      </c>
      <c r="W151">
        <f>HYPERLINK("https://klasma.github.io/Logging_0188/klagomålsmail/A 10712-2022 FSC-klagomål mail.docx", "A 10712-2022")</f>
        <v/>
      </c>
      <c r="X151">
        <f>HYPERLINK("https://klasma.github.io/Logging_0188/tillsyn/A 10712-2022 tillsynsbegäran.docx", "A 10712-2022")</f>
        <v/>
      </c>
      <c r="Y151">
        <f>HYPERLINK("https://klasma.github.io/Logging_0188/tillsynsmail/A 10712-2022 tillsynsbegäran mail.docx", "A 10712-2022")</f>
        <v/>
      </c>
    </row>
    <row r="152" ht="15" customHeight="1">
      <c r="A152" t="inlineStr">
        <is>
          <t>A 14720-2022</t>
        </is>
      </c>
      <c r="B152" s="1" t="n">
        <v>44656</v>
      </c>
      <c r="C152" s="1" t="n">
        <v>45750</v>
      </c>
      <c r="D152" t="inlineStr">
        <is>
          <t>STOCKHOLMS LÄN</t>
        </is>
      </c>
      <c r="E152" t="inlineStr">
        <is>
          <t>NORRTÄLJE</t>
        </is>
      </c>
      <c r="F152" t="inlineStr">
        <is>
          <t>Sveaskog</t>
        </is>
      </c>
      <c r="G152" t="n">
        <v>5.1</v>
      </c>
      <c r="H152" t="n">
        <v>0</v>
      </c>
      <c r="I152" t="n">
        <v>0</v>
      </c>
      <c r="J152" t="n">
        <v>1</v>
      </c>
      <c r="K152" t="n">
        <v>0</v>
      </c>
      <c r="L152" t="n">
        <v>0</v>
      </c>
      <c r="M152" t="n">
        <v>0</v>
      </c>
      <c r="N152" t="n">
        <v>0</v>
      </c>
      <c r="O152" t="n">
        <v>1</v>
      </c>
      <c r="P152" t="n">
        <v>0</v>
      </c>
      <c r="Q152" t="n">
        <v>1</v>
      </c>
      <c r="R152" s="2" t="inlineStr">
        <is>
          <t>Loppstarr</t>
        </is>
      </c>
      <c r="S152">
        <f>HYPERLINK("https://klasma.github.io/Logging_0188/artfynd/A 14720-2022 artfynd.xlsx", "A 14720-2022")</f>
        <v/>
      </c>
      <c r="T152">
        <f>HYPERLINK("https://klasma.github.io/Logging_0188/kartor/A 14720-2022 karta.png", "A 14720-2022")</f>
        <v/>
      </c>
      <c r="V152">
        <f>HYPERLINK("https://klasma.github.io/Logging_0188/klagomål/A 14720-2022 FSC-klagomål.docx", "A 14720-2022")</f>
        <v/>
      </c>
      <c r="W152">
        <f>HYPERLINK("https://klasma.github.io/Logging_0188/klagomålsmail/A 14720-2022 FSC-klagomål mail.docx", "A 14720-2022")</f>
        <v/>
      </c>
      <c r="X152">
        <f>HYPERLINK("https://klasma.github.io/Logging_0188/tillsyn/A 14720-2022 tillsynsbegäran.docx", "A 14720-2022")</f>
        <v/>
      </c>
      <c r="Y152">
        <f>HYPERLINK("https://klasma.github.io/Logging_0188/tillsynsmail/A 14720-2022 tillsynsbegäran mail.docx", "A 14720-2022")</f>
        <v/>
      </c>
    </row>
    <row r="153" ht="15" customHeight="1">
      <c r="A153" t="inlineStr">
        <is>
          <t>A 16539-2022</t>
        </is>
      </c>
      <c r="B153" s="1" t="n">
        <v>44672</v>
      </c>
      <c r="C153" s="1" t="n">
        <v>45750</v>
      </c>
      <c r="D153" t="inlineStr">
        <is>
          <t>STOCKHOLMS LÄN</t>
        </is>
      </c>
      <c r="E153" t="inlineStr">
        <is>
          <t>NORRTÄLJE</t>
        </is>
      </c>
      <c r="G153" t="n">
        <v>8.6</v>
      </c>
      <c r="H153" t="n">
        <v>1</v>
      </c>
      <c r="I153" t="n">
        <v>1</v>
      </c>
      <c r="J153" t="n">
        <v>0</v>
      </c>
      <c r="K153" t="n">
        <v>0</v>
      </c>
      <c r="L153" t="n">
        <v>0</v>
      </c>
      <c r="M153" t="n">
        <v>0</v>
      </c>
      <c r="N153" t="n">
        <v>0</v>
      </c>
      <c r="O153" t="n">
        <v>0</v>
      </c>
      <c r="P153" t="n">
        <v>0</v>
      </c>
      <c r="Q153" t="n">
        <v>1</v>
      </c>
      <c r="R153" s="2" t="inlineStr">
        <is>
          <t>Nästrot</t>
        </is>
      </c>
      <c r="S153">
        <f>HYPERLINK("https://klasma.github.io/Logging_0188/artfynd/A 16539-2022 artfynd.xlsx", "A 16539-2022")</f>
        <v/>
      </c>
      <c r="T153">
        <f>HYPERLINK("https://klasma.github.io/Logging_0188/kartor/A 16539-2022 karta.png", "A 16539-2022")</f>
        <v/>
      </c>
      <c r="V153">
        <f>HYPERLINK("https://klasma.github.io/Logging_0188/klagomål/A 16539-2022 FSC-klagomål.docx", "A 16539-2022")</f>
        <v/>
      </c>
      <c r="W153">
        <f>HYPERLINK("https://klasma.github.io/Logging_0188/klagomålsmail/A 16539-2022 FSC-klagomål mail.docx", "A 16539-2022")</f>
        <v/>
      </c>
      <c r="X153">
        <f>HYPERLINK("https://klasma.github.io/Logging_0188/tillsyn/A 16539-2022 tillsynsbegäran.docx", "A 16539-2022")</f>
        <v/>
      </c>
      <c r="Y153">
        <f>HYPERLINK("https://klasma.github.io/Logging_0188/tillsynsmail/A 16539-2022 tillsynsbegäran mail.docx", "A 16539-2022")</f>
        <v/>
      </c>
    </row>
    <row r="154" ht="15" customHeight="1">
      <c r="A154" t="inlineStr">
        <is>
          <t>A 19829-2022</t>
        </is>
      </c>
      <c r="B154" s="1" t="n">
        <v>44695</v>
      </c>
      <c r="C154" s="1" t="n">
        <v>45750</v>
      </c>
      <c r="D154" t="inlineStr">
        <is>
          <t>STOCKHOLMS LÄN</t>
        </is>
      </c>
      <c r="E154" t="inlineStr">
        <is>
          <t>NORRTÄLJE</t>
        </is>
      </c>
      <c r="G154" t="n">
        <v>2</v>
      </c>
      <c r="H154" t="n">
        <v>1</v>
      </c>
      <c r="I154" t="n">
        <v>1</v>
      </c>
      <c r="J154" t="n">
        <v>0</v>
      </c>
      <c r="K154" t="n">
        <v>0</v>
      </c>
      <c r="L154" t="n">
        <v>0</v>
      </c>
      <c r="M154" t="n">
        <v>0</v>
      </c>
      <c r="N154" t="n">
        <v>0</v>
      </c>
      <c r="O154" t="n">
        <v>0</v>
      </c>
      <c r="P154" t="n">
        <v>0</v>
      </c>
      <c r="Q154" t="n">
        <v>1</v>
      </c>
      <c r="R154" s="2" t="inlineStr">
        <is>
          <t>Guckusko</t>
        </is>
      </c>
      <c r="S154">
        <f>HYPERLINK("https://klasma.github.io/Logging_0188/artfynd/A 19829-2022 artfynd.xlsx", "A 19829-2022")</f>
        <v/>
      </c>
      <c r="T154">
        <f>HYPERLINK("https://klasma.github.io/Logging_0188/kartor/A 19829-2022 karta.png", "A 19829-2022")</f>
        <v/>
      </c>
      <c r="V154">
        <f>HYPERLINK("https://klasma.github.io/Logging_0188/klagomål/A 19829-2022 FSC-klagomål.docx", "A 19829-2022")</f>
        <v/>
      </c>
      <c r="W154">
        <f>HYPERLINK("https://klasma.github.io/Logging_0188/klagomålsmail/A 19829-2022 FSC-klagomål mail.docx", "A 19829-2022")</f>
        <v/>
      </c>
      <c r="X154">
        <f>HYPERLINK("https://klasma.github.io/Logging_0188/tillsyn/A 19829-2022 tillsynsbegäran.docx", "A 19829-2022")</f>
        <v/>
      </c>
      <c r="Y154">
        <f>HYPERLINK("https://klasma.github.io/Logging_0188/tillsynsmail/A 19829-2022 tillsynsbegäran mail.docx", "A 19829-2022")</f>
        <v/>
      </c>
    </row>
    <row r="155" ht="15" customHeight="1">
      <c r="A155" t="inlineStr">
        <is>
          <t>A 21150-2022</t>
        </is>
      </c>
      <c r="B155" s="1" t="n">
        <v>44704</v>
      </c>
      <c r="C155" s="1" t="n">
        <v>45750</v>
      </c>
      <c r="D155" t="inlineStr">
        <is>
          <t>STOCKHOLMS LÄN</t>
        </is>
      </c>
      <c r="E155" t="inlineStr">
        <is>
          <t>NORRTÄLJE</t>
        </is>
      </c>
      <c r="G155" t="n">
        <v>12.5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21150-2022 artfynd.xlsx", "A 21150-2022")</f>
        <v/>
      </c>
      <c r="T155">
        <f>HYPERLINK("https://klasma.github.io/Logging_0188/kartor/A 21150-2022 karta.png", "A 21150-2022")</f>
        <v/>
      </c>
      <c r="V155">
        <f>HYPERLINK("https://klasma.github.io/Logging_0188/klagomål/A 21150-2022 FSC-klagomål.docx", "A 21150-2022")</f>
        <v/>
      </c>
      <c r="W155">
        <f>HYPERLINK("https://klasma.github.io/Logging_0188/klagomålsmail/A 21150-2022 FSC-klagomål mail.docx", "A 21150-2022")</f>
        <v/>
      </c>
      <c r="X155">
        <f>HYPERLINK("https://klasma.github.io/Logging_0188/tillsyn/A 21150-2022 tillsynsbegäran.docx", "A 21150-2022")</f>
        <v/>
      </c>
      <c r="Y155">
        <f>HYPERLINK("https://klasma.github.io/Logging_0188/tillsynsmail/A 21150-2022 tillsynsbegäran mail.docx", "A 21150-2022")</f>
        <v/>
      </c>
    </row>
    <row r="156" ht="15" customHeight="1">
      <c r="A156" t="inlineStr">
        <is>
          <t>A 31194-2022</t>
        </is>
      </c>
      <c r="B156" s="1" t="n">
        <v>44770</v>
      </c>
      <c r="C156" s="1" t="n">
        <v>45750</v>
      </c>
      <c r="D156" t="inlineStr">
        <is>
          <t>STOCKHOLMS LÄN</t>
        </is>
      </c>
      <c r="E156" t="inlineStr">
        <is>
          <t>NORRTÄLJE</t>
        </is>
      </c>
      <c r="G156" t="n">
        <v>2.7</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31194-2022 artfynd.xlsx", "A 31194-2022")</f>
        <v/>
      </c>
      <c r="T156">
        <f>HYPERLINK("https://klasma.github.io/Logging_0188/kartor/A 31194-2022 karta.png", "A 31194-2022")</f>
        <v/>
      </c>
      <c r="V156">
        <f>HYPERLINK("https://klasma.github.io/Logging_0188/klagomål/A 31194-2022 FSC-klagomål.docx", "A 31194-2022")</f>
        <v/>
      </c>
      <c r="W156">
        <f>HYPERLINK("https://klasma.github.io/Logging_0188/klagomålsmail/A 31194-2022 FSC-klagomål mail.docx", "A 31194-2022")</f>
        <v/>
      </c>
      <c r="X156">
        <f>HYPERLINK("https://klasma.github.io/Logging_0188/tillsyn/A 31194-2022 tillsynsbegäran.docx", "A 31194-2022")</f>
        <v/>
      </c>
      <c r="Y156">
        <f>HYPERLINK("https://klasma.github.io/Logging_0188/tillsynsmail/A 31194-2022 tillsynsbegäran mail.docx", "A 31194-2022")</f>
        <v/>
      </c>
    </row>
    <row r="157" ht="15" customHeight="1">
      <c r="A157" t="inlineStr">
        <is>
          <t>A 33477-2022</t>
        </is>
      </c>
      <c r="B157" s="1" t="n">
        <v>44788</v>
      </c>
      <c r="C157" s="1" t="n">
        <v>45750</v>
      </c>
      <c r="D157" t="inlineStr">
        <is>
          <t>STOCKHOLMS LÄN</t>
        </is>
      </c>
      <c r="E157" t="inlineStr">
        <is>
          <t>NORRTÄLJE</t>
        </is>
      </c>
      <c r="G157" t="n">
        <v>5.7</v>
      </c>
      <c r="H157" t="n">
        <v>1</v>
      </c>
      <c r="I157" t="n">
        <v>1</v>
      </c>
      <c r="J157" t="n">
        <v>0</v>
      </c>
      <c r="K157" t="n">
        <v>0</v>
      </c>
      <c r="L157" t="n">
        <v>0</v>
      </c>
      <c r="M157" t="n">
        <v>0</v>
      </c>
      <c r="N157" t="n">
        <v>0</v>
      </c>
      <c r="O157" t="n">
        <v>0</v>
      </c>
      <c r="P157" t="n">
        <v>0</v>
      </c>
      <c r="Q157" t="n">
        <v>1</v>
      </c>
      <c r="R157" s="2" t="inlineStr">
        <is>
          <t>Nästrot</t>
        </is>
      </c>
      <c r="S157">
        <f>HYPERLINK("https://klasma.github.io/Logging_0188/artfynd/A 33477-2022 artfynd.xlsx", "A 33477-2022")</f>
        <v/>
      </c>
      <c r="T157">
        <f>HYPERLINK("https://klasma.github.io/Logging_0188/kartor/A 33477-2022 karta.png", "A 33477-2022")</f>
        <v/>
      </c>
      <c r="V157">
        <f>HYPERLINK("https://klasma.github.io/Logging_0188/klagomål/A 33477-2022 FSC-klagomål.docx", "A 33477-2022")</f>
        <v/>
      </c>
      <c r="W157">
        <f>HYPERLINK("https://klasma.github.io/Logging_0188/klagomålsmail/A 33477-2022 FSC-klagomål mail.docx", "A 33477-2022")</f>
        <v/>
      </c>
      <c r="X157">
        <f>HYPERLINK("https://klasma.github.io/Logging_0188/tillsyn/A 33477-2022 tillsynsbegäran.docx", "A 33477-2022")</f>
        <v/>
      </c>
      <c r="Y157">
        <f>HYPERLINK("https://klasma.github.io/Logging_0188/tillsynsmail/A 33477-2022 tillsynsbegäran mail.docx", "A 33477-2022")</f>
        <v/>
      </c>
    </row>
    <row r="158" ht="15" customHeight="1">
      <c r="A158" t="inlineStr">
        <is>
          <t>A 37522-2022</t>
        </is>
      </c>
      <c r="B158" s="1" t="n">
        <v>44809</v>
      </c>
      <c r="C158" s="1" t="n">
        <v>45750</v>
      </c>
      <c r="D158" t="inlineStr">
        <is>
          <t>STOCKHOLMS LÄN</t>
        </is>
      </c>
      <c r="E158" t="inlineStr">
        <is>
          <t>NORRTÄLJE</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HYPERLINK("https://klasma.github.io/Logging_0188/artfynd/A 37522-2022 artfynd.xlsx", "A 37522-2022")</f>
        <v/>
      </c>
      <c r="T158">
        <f>HYPERLINK("https://klasma.github.io/Logging_0188/kartor/A 37522-2022 karta.png", "A 37522-2022")</f>
        <v/>
      </c>
      <c r="V158">
        <f>HYPERLINK("https://klasma.github.io/Logging_0188/klagomål/A 37522-2022 FSC-klagomål.docx", "A 37522-2022")</f>
        <v/>
      </c>
      <c r="W158">
        <f>HYPERLINK("https://klasma.github.io/Logging_0188/klagomålsmail/A 37522-2022 FSC-klagomål mail.docx", "A 37522-2022")</f>
        <v/>
      </c>
      <c r="X158">
        <f>HYPERLINK("https://klasma.github.io/Logging_0188/tillsyn/A 37522-2022 tillsynsbegäran.docx", "A 37522-2022")</f>
        <v/>
      </c>
      <c r="Y158">
        <f>HYPERLINK("https://klasma.github.io/Logging_0188/tillsynsmail/A 37522-2022 tillsynsbegäran mail.docx", "A 37522-2022")</f>
        <v/>
      </c>
    </row>
    <row r="159" ht="15" customHeight="1">
      <c r="A159" t="inlineStr">
        <is>
          <t>A 39318-2022</t>
        </is>
      </c>
      <c r="B159" s="1" t="n">
        <v>44817</v>
      </c>
      <c r="C159" s="1" t="n">
        <v>45750</v>
      </c>
      <c r="D159" t="inlineStr">
        <is>
          <t>STOCKHOLMS LÄN</t>
        </is>
      </c>
      <c r="E159" t="inlineStr">
        <is>
          <t>NORRTÄLJE</t>
        </is>
      </c>
      <c r="G159" t="n">
        <v>2.4</v>
      </c>
      <c r="H159" t="n">
        <v>1</v>
      </c>
      <c r="I159" t="n">
        <v>0</v>
      </c>
      <c r="J159" t="n">
        <v>0</v>
      </c>
      <c r="K159" t="n">
        <v>1</v>
      </c>
      <c r="L159" t="n">
        <v>0</v>
      </c>
      <c r="M159" t="n">
        <v>0</v>
      </c>
      <c r="N159" t="n">
        <v>0</v>
      </c>
      <c r="O159" t="n">
        <v>1</v>
      </c>
      <c r="P159" t="n">
        <v>1</v>
      </c>
      <c r="Q159" t="n">
        <v>1</v>
      </c>
      <c r="R159" s="2" t="inlineStr">
        <is>
          <t>Stare</t>
        </is>
      </c>
      <c r="S159">
        <f>HYPERLINK("https://klasma.github.io/Logging_0188/artfynd/A 39318-2022 artfynd.xlsx", "A 39318-2022")</f>
        <v/>
      </c>
      <c r="T159">
        <f>HYPERLINK("https://klasma.github.io/Logging_0188/kartor/A 39318-2022 karta.png", "A 39318-2022")</f>
        <v/>
      </c>
      <c r="V159">
        <f>HYPERLINK("https://klasma.github.io/Logging_0188/klagomål/A 39318-2022 FSC-klagomål.docx", "A 39318-2022")</f>
        <v/>
      </c>
      <c r="W159">
        <f>HYPERLINK("https://klasma.github.io/Logging_0188/klagomålsmail/A 39318-2022 FSC-klagomål mail.docx", "A 39318-2022")</f>
        <v/>
      </c>
      <c r="X159">
        <f>HYPERLINK("https://klasma.github.io/Logging_0188/tillsyn/A 39318-2022 tillsynsbegäran.docx", "A 39318-2022")</f>
        <v/>
      </c>
      <c r="Y159">
        <f>HYPERLINK("https://klasma.github.io/Logging_0188/tillsynsmail/A 39318-2022 tillsynsbegäran mail.docx", "A 39318-2022")</f>
        <v/>
      </c>
    </row>
    <row r="160" ht="15" customHeight="1">
      <c r="A160" t="inlineStr">
        <is>
          <t>A 40672-2022</t>
        </is>
      </c>
      <c r="B160" s="1" t="n">
        <v>44824</v>
      </c>
      <c r="C160" s="1" t="n">
        <v>45750</v>
      </c>
      <c r="D160" t="inlineStr">
        <is>
          <t>STOCKHOLMS LÄN</t>
        </is>
      </c>
      <c r="E160" t="inlineStr">
        <is>
          <t>NORRTÄLJE</t>
        </is>
      </c>
      <c r="F160" t="inlineStr">
        <is>
          <t>Övriga Aktiebolag</t>
        </is>
      </c>
      <c r="G160" t="n">
        <v>1.3</v>
      </c>
      <c r="H160" t="n">
        <v>0</v>
      </c>
      <c r="I160" t="n">
        <v>0</v>
      </c>
      <c r="J160" t="n">
        <v>1</v>
      </c>
      <c r="K160" t="n">
        <v>0</v>
      </c>
      <c r="L160" t="n">
        <v>0</v>
      </c>
      <c r="M160" t="n">
        <v>0</v>
      </c>
      <c r="N160" t="n">
        <v>0</v>
      </c>
      <c r="O160" t="n">
        <v>1</v>
      </c>
      <c r="P160" t="n">
        <v>0</v>
      </c>
      <c r="Q160" t="n">
        <v>1</v>
      </c>
      <c r="R160" s="2" t="inlineStr">
        <is>
          <t>Månlåsbräken</t>
        </is>
      </c>
      <c r="S160">
        <f>HYPERLINK("https://klasma.github.io/Logging_0188/artfynd/A 40672-2022 artfynd.xlsx", "A 40672-2022")</f>
        <v/>
      </c>
      <c r="T160">
        <f>HYPERLINK("https://klasma.github.io/Logging_0188/kartor/A 40672-2022 karta.png", "A 40672-2022")</f>
        <v/>
      </c>
      <c r="V160">
        <f>HYPERLINK("https://klasma.github.io/Logging_0188/klagomål/A 40672-2022 FSC-klagomål.docx", "A 40672-2022")</f>
        <v/>
      </c>
      <c r="W160">
        <f>HYPERLINK("https://klasma.github.io/Logging_0188/klagomålsmail/A 40672-2022 FSC-klagomål mail.docx", "A 40672-2022")</f>
        <v/>
      </c>
      <c r="X160">
        <f>HYPERLINK("https://klasma.github.io/Logging_0188/tillsyn/A 40672-2022 tillsynsbegäran.docx", "A 40672-2022")</f>
        <v/>
      </c>
      <c r="Y160">
        <f>HYPERLINK("https://klasma.github.io/Logging_0188/tillsynsmail/A 40672-2022 tillsynsbegäran mail.docx", "A 40672-2022")</f>
        <v/>
      </c>
    </row>
    <row r="161" ht="15" customHeight="1">
      <c r="A161" t="inlineStr">
        <is>
          <t>A 44709-2022</t>
        </is>
      </c>
      <c r="B161" s="1" t="n">
        <v>44839</v>
      </c>
      <c r="C161" s="1" t="n">
        <v>45750</v>
      </c>
      <c r="D161" t="inlineStr">
        <is>
          <t>STOCKHOLMS LÄN</t>
        </is>
      </c>
      <c r="E161" t="inlineStr">
        <is>
          <t>NORRTÄLJE</t>
        </is>
      </c>
      <c r="G161" t="n">
        <v>16.3</v>
      </c>
      <c r="H161" t="n">
        <v>0</v>
      </c>
      <c r="I161" t="n">
        <v>0</v>
      </c>
      <c r="J161" t="n">
        <v>1</v>
      </c>
      <c r="K161" t="n">
        <v>0</v>
      </c>
      <c r="L161" t="n">
        <v>0</v>
      </c>
      <c r="M161" t="n">
        <v>0</v>
      </c>
      <c r="N161" t="n">
        <v>0</v>
      </c>
      <c r="O161" t="n">
        <v>1</v>
      </c>
      <c r="P161" t="n">
        <v>0</v>
      </c>
      <c r="Q161" t="n">
        <v>1</v>
      </c>
      <c r="R161" s="2" t="inlineStr">
        <is>
          <t>Asppraktbagge</t>
        </is>
      </c>
      <c r="S161">
        <f>HYPERLINK("https://klasma.github.io/Logging_0188/artfynd/A 44709-2022 artfynd.xlsx", "A 44709-2022")</f>
        <v/>
      </c>
      <c r="T161">
        <f>HYPERLINK("https://klasma.github.io/Logging_0188/kartor/A 44709-2022 karta.png", "A 44709-2022")</f>
        <v/>
      </c>
      <c r="V161">
        <f>HYPERLINK("https://klasma.github.io/Logging_0188/klagomål/A 44709-2022 FSC-klagomål.docx", "A 44709-2022")</f>
        <v/>
      </c>
      <c r="W161">
        <f>HYPERLINK("https://klasma.github.io/Logging_0188/klagomålsmail/A 44709-2022 FSC-klagomål mail.docx", "A 44709-2022")</f>
        <v/>
      </c>
      <c r="X161">
        <f>HYPERLINK("https://klasma.github.io/Logging_0188/tillsyn/A 44709-2022 tillsynsbegäran.docx", "A 44709-2022")</f>
        <v/>
      </c>
      <c r="Y161">
        <f>HYPERLINK("https://klasma.github.io/Logging_0188/tillsynsmail/A 44709-2022 tillsynsbegäran mail.docx", "A 44709-2022")</f>
        <v/>
      </c>
    </row>
    <row r="162" ht="15" customHeight="1">
      <c r="A162" t="inlineStr">
        <is>
          <t>A 47898-2022</t>
        </is>
      </c>
      <c r="B162" s="1" t="n">
        <v>44855</v>
      </c>
      <c r="C162" s="1" t="n">
        <v>45750</v>
      </c>
      <c r="D162" t="inlineStr">
        <is>
          <t>STOCKHOLMS LÄN</t>
        </is>
      </c>
      <c r="E162" t="inlineStr">
        <is>
          <t>NORRTÄLJE</t>
        </is>
      </c>
      <c r="G162" t="n">
        <v>6.7</v>
      </c>
      <c r="H162" t="n">
        <v>1</v>
      </c>
      <c r="I162" t="n">
        <v>1</v>
      </c>
      <c r="J162" t="n">
        <v>0</v>
      </c>
      <c r="K162" t="n">
        <v>0</v>
      </c>
      <c r="L162" t="n">
        <v>0</v>
      </c>
      <c r="M162" t="n">
        <v>0</v>
      </c>
      <c r="N162" t="n">
        <v>0</v>
      </c>
      <c r="O162" t="n">
        <v>0</v>
      </c>
      <c r="P162" t="n">
        <v>0</v>
      </c>
      <c r="Q162" t="n">
        <v>1</v>
      </c>
      <c r="R162" s="2" t="inlineStr">
        <is>
          <t>Guckusko</t>
        </is>
      </c>
      <c r="S162">
        <f>HYPERLINK("https://klasma.github.io/Logging_0188/artfynd/A 47898-2022 artfynd.xlsx", "A 47898-2022")</f>
        <v/>
      </c>
      <c r="T162">
        <f>HYPERLINK("https://klasma.github.io/Logging_0188/kartor/A 47898-2022 karta.png", "A 47898-2022")</f>
        <v/>
      </c>
      <c r="V162">
        <f>HYPERLINK("https://klasma.github.io/Logging_0188/klagomål/A 47898-2022 FSC-klagomål.docx", "A 47898-2022")</f>
        <v/>
      </c>
      <c r="W162">
        <f>HYPERLINK("https://klasma.github.io/Logging_0188/klagomålsmail/A 47898-2022 FSC-klagomål mail.docx", "A 47898-2022")</f>
        <v/>
      </c>
      <c r="X162">
        <f>HYPERLINK("https://klasma.github.io/Logging_0188/tillsyn/A 47898-2022 tillsynsbegäran.docx", "A 47898-2022")</f>
        <v/>
      </c>
      <c r="Y162">
        <f>HYPERLINK("https://klasma.github.io/Logging_0188/tillsynsmail/A 47898-2022 tillsynsbegäran mail.docx", "A 47898-2022")</f>
        <v/>
      </c>
    </row>
    <row r="163" ht="15" customHeight="1">
      <c r="A163" t="inlineStr">
        <is>
          <t>A 50854-2022</t>
        </is>
      </c>
      <c r="B163" s="1" t="n">
        <v>44863</v>
      </c>
      <c r="C163" s="1" t="n">
        <v>45750</v>
      </c>
      <c r="D163" t="inlineStr">
        <is>
          <t>STOCKHOLMS LÄN</t>
        </is>
      </c>
      <c r="E163" t="inlineStr">
        <is>
          <t>NORRTÄLJE</t>
        </is>
      </c>
      <c r="G163" t="n">
        <v>2.9</v>
      </c>
      <c r="H163" t="n">
        <v>0</v>
      </c>
      <c r="I163" t="n">
        <v>1</v>
      </c>
      <c r="J163" t="n">
        <v>0</v>
      </c>
      <c r="K163" t="n">
        <v>0</v>
      </c>
      <c r="L163" t="n">
        <v>0</v>
      </c>
      <c r="M163" t="n">
        <v>0</v>
      </c>
      <c r="N163" t="n">
        <v>0</v>
      </c>
      <c r="O163" t="n">
        <v>0</v>
      </c>
      <c r="P163" t="n">
        <v>0</v>
      </c>
      <c r="Q163" t="n">
        <v>1</v>
      </c>
      <c r="R163" s="2" t="inlineStr">
        <is>
          <t>Tibast</t>
        </is>
      </c>
      <c r="S163">
        <f>HYPERLINK("https://klasma.github.io/Logging_0188/artfynd/A 50854-2022 artfynd.xlsx", "A 50854-2022")</f>
        <v/>
      </c>
      <c r="T163">
        <f>HYPERLINK("https://klasma.github.io/Logging_0188/kartor/A 50854-2022 karta.png", "A 50854-2022")</f>
        <v/>
      </c>
      <c r="V163">
        <f>HYPERLINK("https://klasma.github.io/Logging_0188/klagomål/A 50854-2022 FSC-klagomål.docx", "A 50854-2022")</f>
        <v/>
      </c>
      <c r="W163">
        <f>HYPERLINK("https://klasma.github.io/Logging_0188/klagomålsmail/A 50854-2022 FSC-klagomål mail.docx", "A 50854-2022")</f>
        <v/>
      </c>
      <c r="X163">
        <f>HYPERLINK("https://klasma.github.io/Logging_0188/tillsyn/A 50854-2022 tillsynsbegäran.docx", "A 50854-2022")</f>
        <v/>
      </c>
      <c r="Y163">
        <f>HYPERLINK("https://klasma.github.io/Logging_0188/tillsynsmail/A 50854-2022 tillsynsbegäran mail.docx", "A 50854-2022")</f>
        <v/>
      </c>
    </row>
    <row r="164" ht="15" customHeight="1">
      <c r="A164" t="inlineStr">
        <is>
          <t>A 52130-2022</t>
        </is>
      </c>
      <c r="B164" s="1" t="n">
        <v>44868</v>
      </c>
      <c r="C164" s="1" t="n">
        <v>45750</v>
      </c>
      <c r="D164" t="inlineStr">
        <is>
          <t>STOCKHOLMS LÄN</t>
        </is>
      </c>
      <c r="E164" t="inlineStr">
        <is>
          <t>NORRTÄLJE</t>
        </is>
      </c>
      <c r="G164" t="n">
        <v>3.7</v>
      </c>
      <c r="H164" t="n">
        <v>0</v>
      </c>
      <c r="I164" t="n">
        <v>0</v>
      </c>
      <c r="J164" t="n">
        <v>1</v>
      </c>
      <c r="K164" t="n">
        <v>0</v>
      </c>
      <c r="L164" t="n">
        <v>0</v>
      </c>
      <c r="M164" t="n">
        <v>0</v>
      </c>
      <c r="N164" t="n">
        <v>0</v>
      </c>
      <c r="O164" t="n">
        <v>1</v>
      </c>
      <c r="P164" t="n">
        <v>0</v>
      </c>
      <c r="Q164" t="n">
        <v>1</v>
      </c>
      <c r="R164" s="2" t="inlineStr">
        <is>
          <t>Flattoppad klubbsvamp</t>
        </is>
      </c>
      <c r="S164">
        <f>HYPERLINK("https://klasma.github.io/Logging_0188/artfynd/A 52130-2022 artfynd.xlsx", "A 52130-2022")</f>
        <v/>
      </c>
      <c r="T164">
        <f>HYPERLINK("https://klasma.github.io/Logging_0188/kartor/A 52130-2022 karta.png", "A 52130-2022")</f>
        <v/>
      </c>
      <c r="V164">
        <f>HYPERLINK("https://klasma.github.io/Logging_0188/klagomål/A 52130-2022 FSC-klagomål.docx", "A 52130-2022")</f>
        <v/>
      </c>
      <c r="W164">
        <f>HYPERLINK("https://klasma.github.io/Logging_0188/klagomålsmail/A 52130-2022 FSC-klagomål mail.docx", "A 52130-2022")</f>
        <v/>
      </c>
      <c r="X164">
        <f>HYPERLINK("https://klasma.github.io/Logging_0188/tillsyn/A 52130-2022 tillsynsbegäran.docx", "A 52130-2022")</f>
        <v/>
      </c>
      <c r="Y164">
        <f>HYPERLINK("https://klasma.github.io/Logging_0188/tillsynsmail/A 52130-2022 tillsynsbegäran mail.docx", "A 52130-2022")</f>
        <v/>
      </c>
    </row>
    <row r="165" ht="15" customHeight="1">
      <c r="A165" t="inlineStr">
        <is>
          <t>A 61011-2022</t>
        </is>
      </c>
      <c r="B165" s="1" t="n">
        <v>44914</v>
      </c>
      <c r="C165" s="1" t="n">
        <v>45750</v>
      </c>
      <c r="D165" t="inlineStr">
        <is>
          <t>STOCKHOLMS LÄN</t>
        </is>
      </c>
      <c r="E165" t="inlineStr">
        <is>
          <t>NORRTÄLJE</t>
        </is>
      </c>
      <c r="G165" t="n">
        <v>2.2</v>
      </c>
      <c r="H165" t="n">
        <v>0</v>
      </c>
      <c r="I165" t="n">
        <v>0</v>
      </c>
      <c r="J165" t="n">
        <v>1</v>
      </c>
      <c r="K165" t="n">
        <v>0</v>
      </c>
      <c r="L165" t="n">
        <v>0</v>
      </c>
      <c r="M165" t="n">
        <v>0</v>
      </c>
      <c r="N165" t="n">
        <v>0</v>
      </c>
      <c r="O165" t="n">
        <v>1</v>
      </c>
      <c r="P165" t="n">
        <v>0</v>
      </c>
      <c r="Q165" t="n">
        <v>1</v>
      </c>
      <c r="R165" s="2" t="inlineStr">
        <is>
          <t>Orange taggsvamp</t>
        </is>
      </c>
      <c r="S165">
        <f>HYPERLINK("https://klasma.github.io/Logging_0188/artfynd/A 61011-2022 artfynd.xlsx", "A 61011-2022")</f>
        <v/>
      </c>
      <c r="T165">
        <f>HYPERLINK("https://klasma.github.io/Logging_0188/kartor/A 61011-2022 karta.png", "A 61011-2022")</f>
        <v/>
      </c>
      <c r="V165">
        <f>HYPERLINK("https://klasma.github.io/Logging_0188/klagomål/A 61011-2022 FSC-klagomål.docx", "A 61011-2022")</f>
        <v/>
      </c>
      <c r="W165">
        <f>HYPERLINK("https://klasma.github.io/Logging_0188/klagomålsmail/A 61011-2022 FSC-klagomål mail.docx", "A 61011-2022")</f>
        <v/>
      </c>
      <c r="X165">
        <f>HYPERLINK("https://klasma.github.io/Logging_0188/tillsyn/A 61011-2022 tillsynsbegäran.docx", "A 61011-2022")</f>
        <v/>
      </c>
      <c r="Y165">
        <f>HYPERLINK("https://klasma.github.io/Logging_0188/tillsynsmail/A 61011-2022 tillsynsbegäran mail.docx", "A 61011-2022")</f>
        <v/>
      </c>
    </row>
    <row r="166" ht="15" customHeight="1">
      <c r="A166" t="inlineStr">
        <is>
          <t>A 4385-2023</t>
        </is>
      </c>
      <c r="B166" s="1" t="n">
        <v>44955</v>
      </c>
      <c r="C166" s="1" t="n">
        <v>45750</v>
      </c>
      <c r="D166" t="inlineStr">
        <is>
          <t>STOCKHOLMS LÄN</t>
        </is>
      </c>
      <c r="E166" t="inlineStr">
        <is>
          <t>NORRTÄLJE</t>
        </is>
      </c>
      <c r="G166" t="n">
        <v>7.8</v>
      </c>
      <c r="H166" t="n">
        <v>1</v>
      </c>
      <c r="I166" t="n">
        <v>1</v>
      </c>
      <c r="J166" t="n">
        <v>0</v>
      </c>
      <c r="K166" t="n">
        <v>0</v>
      </c>
      <c r="L166" t="n">
        <v>0</v>
      </c>
      <c r="M166" t="n">
        <v>0</v>
      </c>
      <c r="N166" t="n">
        <v>0</v>
      </c>
      <c r="O166" t="n">
        <v>0</v>
      </c>
      <c r="P166" t="n">
        <v>0</v>
      </c>
      <c r="Q166" t="n">
        <v>1</v>
      </c>
      <c r="R166" s="2" t="inlineStr">
        <is>
          <t>Skogsknipprot</t>
        </is>
      </c>
      <c r="S166">
        <f>HYPERLINK("https://klasma.github.io/Logging_0188/artfynd/A 4385-2023 artfynd.xlsx", "A 4385-2023")</f>
        <v/>
      </c>
      <c r="T166">
        <f>HYPERLINK("https://klasma.github.io/Logging_0188/kartor/A 4385-2023 karta.png", "A 4385-2023")</f>
        <v/>
      </c>
      <c r="V166">
        <f>HYPERLINK("https://klasma.github.io/Logging_0188/klagomål/A 4385-2023 FSC-klagomål.docx", "A 4385-2023")</f>
        <v/>
      </c>
      <c r="W166">
        <f>HYPERLINK("https://klasma.github.io/Logging_0188/klagomålsmail/A 4385-2023 FSC-klagomål mail.docx", "A 4385-2023")</f>
        <v/>
      </c>
      <c r="X166">
        <f>HYPERLINK("https://klasma.github.io/Logging_0188/tillsyn/A 4385-2023 tillsynsbegäran.docx", "A 4385-2023")</f>
        <v/>
      </c>
      <c r="Y166">
        <f>HYPERLINK("https://klasma.github.io/Logging_0188/tillsynsmail/A 4385-2023 tillsynsbegäran mail.docx", "A 4385-2023")</f>
        <v/>
      </c>
    </row>
    <row r="167" ht="15" customHeight="1">
      <c r="A167" t="inlineStr">
        <is>
          <t>A 4595-2023</t>
        </is>
      </c>
      <c r="B167" s="1" t="n">
        <v>44956</v>
      </c>
      <c r="C167" s="1" t="n">
        <v>45750</v>
      </c>
      <c r="D167" t="inlineStr">
        <is>
          <t>STOCKHOLMS LÄN</t>
        </is>
      </c>
      <c r="E167" t="inlineStr">
        <is>
          <t>NORRTÄLJE</t>
        </is>
      </c>
      <c r="G167" t="n">
        <v>0.6</v>
      </c>
      <c r="H167" t="n">
        <v>1</v>
      </c>
      <c r="I167" t="n">
        <v>0</v>
      </c>
      <c r="J167" t="n">
        <v>0</v>
      </c>
      <c r="K167" t="n">
        <v>0</v>
      </c>
      <c r="L167" t="n">
        <v>0</v>
      </c>
      <c r="M167" t="n">
        <v>0</v>
      </c>
      <c r="N167" t="n">
        <v>0</v>
      </c>
      <c r="O167" t="n">
        <v>0</v>
      </c>
      <c r="P167" t="n">
        <v>0</v>
      </c>
      <c r="Q167" t="n">
        <v>1</v>
      </c>
      <c r="R167" s="2" t="inlineStr">
        <is>
          <t>Blåsippa</t>
        </is>
      </c>
      <c r="S167">
        <f>HYPERLINK("https://klasma.github.io/Logging_0188/artfynd/A 4595-2023 artfynd.xlsx", "A 4595-2023")</f>
        <v/>
      </c>
      <c r="T167">
        <f>HYPERLINK("https://klasma.github.io/Logging_0188/kartor/A 4595-2023 karta.png", "A 4595-2023")</f>
        <v/>
      </c>
      <c r="V167">
        <f>HYPERLINK("https://klasma.github.io/Logging_0188/klagomål/A 4595-2023 FSC-klagomål.docx", "A 4595-2023")</f>
        <v/>
      </c>
      <c r="W167">
        <f>HYPERLINK("https://klasma.github.io/Logging_0188/klagomålsmail/A 4595-2023 FSC-klagomål mail.docx", "A 4595-2023")</f>
        <v/>
      </c>
      <c r="X167">
        <f>HYPERLINK("https://klasma.github.io/Logging_0188/tillsyn/A 4595-2023 tillsynsbegäran.docx", "A 4595-2023")</f>
        <v/>
      </c>
      <c r="Y167">
        <f>HYPERLINK("https://klasma.github.io/Logging_0188/tillsynsmail/A 4595-2023 tillsynsbegäran mail.docx", "A 4595-2023")</f>
        <v/>
      </c>
    </row>
    <row r="168" ht="15" customHeight="1">
      <c r="A168" t="inlineStr">
        <is>
          <t>A 6381-2023</t>
        </is>
      </c>
      <c r="B168" s="1" t="n">
        <v>44965</v>
      </c>
      <c r="C168" s="1" t="n">
        <v>45750</v>
      </c>
      <c r="D168" t="inlineStr">
        <is>
          <t>STOCKHOLMS LÄN</t>
        </is>
      </c>
      <c r="E168" t="inlineStr">
        <is>
          <t>NORRTÄLJE</t>
        </is>
      </c>
      <c r="G168" t="n">
        <v>3.5</v>
      </c>
      <c r="H168" t="n">
        <v>1</v>
      </c>
      <c r="I168" t="n">
        <v>1</v>
      </c>
      <c r="J168" t="n">
        <v>0</v>
      </c>
      <c r="K168" t="n">
        <v>0</v>
      </c>
      <c r="L168" t="n">
        <v>0</v>
      </c>
      <c r="M168" t="n">
        <v>0</v>
      </c>
      <c r="N168" t="n">
        <v>0</v>
      </c>
      <c r="O168" t="n">
        <v>0</v>
      </c>
      <c r="P168" t="n">
        <v>0</v>
      </c>
      <c r="Q168" t="n">
        <v>1</v>
      </c>
      <c r="R168" s="2" t="inlineStr">
        <is>
          <t>Guckusko</t>
        </is>
      </c>
      <c r="S168">
        <f>HYPERLINK("https://klasma.github.io/Logging_0188/artfynd/A 6381-2023 artfynd.xlsx", "A 6381-2023")</f>
        <v/>
      </c>
      <c r="T168">
        <f>HYPERLINK("https://klasma.github.io/Logging_0188/kartor/A 6381-2023 karta.png", "A 6381-2023")</f>
        <v/>
      </c>
      <c r="V168">
        <f>HYPERLINK("https://klasma.github.io/Logging_0188/klagomål/A 6381-2023 FSC-klagomål.docx", "A 6381-2023")</f>
        <v/>
      </c>
      <c r="W168">
        <f>HYPERLINK("https://klasma.github.io/Logging_0188/klagomålsmail/A 6381-2023 FSC-klagomål mail.docx", "A 6381-2023")</f>
        <v/>
      </c>
      <c r="X168">
        <f>HYPERLINK("https://klasma.github.io/Logging_0188/tillsyn/A 6381-2023 tillsynsbegäran.docx", "A 6381-2023")</f>
        <v/>
      </c>
      <c r="Y168">
        <f>HYPERLINK("https://klasma.github.io/Logging_0188/tillsynsmail/A 6381-2023 tillsynsbegäran mail.docx", "A 6381-2023")</f>
        <v/>
      </c>
    </row>
    <row r="169" ht="15" customHeight="1">
      <c r="A169" t="inlineStr">
        <is>
          <t>A 9214-2023</t>
        </is>
      </c>
      <c r="B169" s="1" t="n">
        <v>44980</v>
      </c>
      <c r="C169" s="1" t="n">
        <v>45750</v>
      </c>
      <c r="D169" t="inlineStr">
        <is>
          <t>STOCKHOLMS LÄN</t>
        </is>
      </c>
      <c r="E169" t="inlineStr">
        <is>
          <t>NORRTÄLJE</t>
        </is>
      </c>
      <c r="G169" t="n">
        <v>10.6</v>
      </c>
      <c r="H169" t="n">
        <v>1</v>
      </c>
      <c r="I169" t="n">
        <v>1</v>
      </c>
      <c r="J169" t="n">
        <v>0</v>
      </c>
      <c r="K169" t="n">
        <v>0</v>
      </c>
      <c r="L169" t="n">
        <v>0</v>
      </c>
      <c r="M169" t="n">
        <v>0</v>
      </c>
      <c r="N169" t="n">
        <v>0</v>
      </c>
      <c r="O169" t="n">
        <v>0</v>
      </c>
      <c r="P169" t="n">
        <v>0</v>
      </c>
      <c r="Q169" t="n">
        <v>1</v>
      </c>
      <c r="R169" s="2" t="inlineStr">
        <is>
          <t>Guckusko</t>
        </is>
      </c>
      <c r="S169">
        <f>HYPERLINK("https://klasma.github.io/Logging_0188/artfynd/A 9214-2023 artfynd.xlsx", "A 9214-2023")</f>
        <v/>
      </c>
      <c r="T169">
        <f>HYPERLINK("https://klasma.github.io/Logging_0188/kartor/A 9214-2023 karta.png", "A 9214-2023")</f>
        <v/>
      </c>
      <c r="V169">
        <f>HYPERLINK("https://klasma.github.io/Logging_0188/klagomål/A 9214-2023 FSC-klagomål.docx", "A 9214-2023")</f>
        <v/>
      </c>
      <c r="W169">
        <f>HYPERLINK("https://klasma.github.io/Logging_0188/klagomålsmail/A 9214-2023 FSC-klagomål mail.docx", "A 9214-2023")</f>
        <v/>
      </c>
      <c r="X169">
        <f>HYPERLINK("https://klasma.github.io/Logging_0188/tillsyn/A 9214-2023 tillsynsbegäran.docx", "A 9214-2023")</f>
        <v/>
      </c>
      <c r="Y169">
        <f>HYPERLINK("https://klasma.github.io/Logging_0188/tillsynsmail/A 9214-2023 tillsynsbegäran mail.docx", "A 9214-2023")</f>
        <v/>
      </c>
    </row>
    <row r="170" ht="15" customHeight="1">
      <c r="A170" t="inlineStr">
        <is>
          <t>A 9271-2023</t>
        </is>
      </c>
      <c r="B170" s="1" t="n">
        <v>44980</v>
      </c>
      <c r="C170" s="1" t="n">
        <v>45750</v>
      </c>
      <c r="D170" t="inlineStr">
        <is>
          <t>STOCKHOLMS LÄN</t>
        </is>
      </c>
      <c r="E170" t="inlineStr">
        <is>
          <t>NORRTÄLJE</t>
        </is>
      </c>
      <c r="G170" t="n">
        <v>5.3</v>
      </c>
      <c r="H170" t="n">
        <v>1</v>
      </c>
      <c r="I170" t="n">
        <v>0</v>
      </c>
      <c r="J170" t="n">
        <v>0</v>
      </c>
      <c r="K170" t="n">
        <v>1</v>
      </c>
      <c r="L170" t="n">
        <v>0</v>
      </c>
      <c r="M170" t="n">
        <v>0</v>
      </c>
      <c r="N170" t="n">
        <v>0</v>
      </c>
      <c r="O170" t="n">
        <v>1</v>
      </c>
      <c r="P170" t="n">
        <v>1</v>
      </c>
      <c r="Q170" t="n">
        <v>1</v>
      </c>
      <c r="R170" s="2" t="inlineStr">
        <is>
          <t>Hällebräcka</t>
        </is>
      </c>
      <c r="S170">
        <f>HYPERLINK("https://klasma.github.io/Logging_0188/artfynd/A 9271-2023 artfynd.xlsx", "A 9271-2023")</f>
        <v/>
      </c>
      <c r="T170">
        <f>HYPERLINK("https://klasma.github.io/Logging_0188/kartor/A 9271-2023 karta.png", "A 9271-2023")</f>
        <v/>
      </c>
      <c r="V170">
        <f>HYPERLINK("https://klasma.github.io/Logging_0188/klagomål/A 9271-2023 FSC-klagomål.docx", "A 9271-2023")</f>
        <v/>
      </c>
      <c r="W170">
        <f>HYPERLINK("https://klasma.github.io/Logging_0188/klagomålsmail/A 9271-2023 FSC-klagomål mail.docx", "A 9271-2023")</f>
        <v/>
      </c>
      <c r="X170">
        <f>HYPERLINK("https://klasma.github.io/Logging_0188/tillsyn/A 9271-2023 tillsynsbegäran.docx", "A 9271-2023")</f>
        <v/>
      </c>
      <c r="Y170">
        <f>HYPERLINK("https://klasma.github.io/Logging_0188/tillsynsmail/A 9271-2023 tillsynsbegäran mail.docx", "A 9271-2023")</f>
        <v/>
      </c>
    </row>
    <row r="171" ht="15" customHeight="1">
      <c r="A171" t="inlineStr">
        <is>
          <t>A 9522-2023</t>
        </is>
      </c>
      <c r="B171" s="1" t="n">
        <v>44981</v>
      </c>
      <c r="C171" s="1" t="n">
        <v>45750</v>
      </c>
      <c r="D171" t="inlineStr">
        <is>
          <t>STOCKHOLMS LÄN</t>
        </is>
      </c>
      <c r="E171" t="inlineStr">
        <is>
          <t>NORRTÄLJE</t>
        </is>
      </c>
      <c r="F171" t="inlineStr">
        <is>
          <t>Holmen skog AB</t>
        </is>
      </c>
      <c r="G171" t="n">
        <v>7.5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9522-2023 artfynd.xlsx", "A 9522-2023")</f>
        <v/>
      </c>
      <c r="T171">
        <f>HYPERLINK("https://klasma.github.io/Logging_0188/kartor/A 9522-2023 karta.png", "A 9522-2023")</f>
        <v/>
      </c>
      <c r="V171">
        <f>HYPERLINK("https://klasma.github.io/Logging_0188/klagomål/A 9522-2023 FSC-klagomål.docx", "A 9522-2023")</f>
        <v/>
      </c>
      <c r="W171">
        <f>HYPERLINK("https://klasma.github.io/Logging_0188/klagomålsmail/A 9522-2023 FSC-klagomål mail.docx", "A 9522-2023")</f>
        <v/>
      </c>
      <c r="X171">
        <f>HYPERLINK("https://klasma.github.io/Logging_0188/tillsyn/A 9522-2023 tillsynsbegäran.docx", "A 9522-2023")</f>
        <v/>
      </c>
      <c r="Y171">
        <f>HYPERLINK("https://klasma.github.io/Logging_0188/tillsynsmail/A 9522-2023 tillsynsbegäran mail.docx", "A 9522-2023")</f>
        <v/>
      </c>
    </row>
    <row r="172" ht="15" customHeight="1">
      <c r="A172" t="inlineStr">
        <is>
          <t>A 10019-2023</t>
        </is>
      </c>
      <c r="B172" s="1" t="n">
        <v>44985</v>
      </c>
      <c r="C172" s="1" t="n">
        <v>45750</v>
      </c>
      <c r="D172" t="inlineStr">
        <is>
          <t>STOCKHOLMS LÄN</t>
        </is>
      </c>
      <c r="E172" t="inlineStr">
        <is>
          <t>NORRTÄLJE</t>
        </is>
      </c>
      <c r="G172" t="n">
        <v>8.4</v>
      </c>
      <c r="H172" t="n">
        <v>0</v>
      </c>
      <c r="I172" t="n">
        <v>1</v>
      </c>
      <c r="J172" t="n">
        <v>0</v>
      </c>
      <c r="K172" t="n">
        <v>0</v>
      </c>
      <c r="L172" t="n">
        <v>0</v>
      </c>
      <c r="M172" t="n">
        <v>0</v>
      </c>
      <c r="N172" t="n">
        <v>0</v>
      </c>
      <c r="O172" t="n">
        <v>0</v>
      </c>
      <c r="P172" t="n">
        <v>0</v>
      </c>
      <c r="Q172" t="n">
        <v>1</v>
      </c>
      <c r="R172" s="2" t="inlineStr">
        <is>
          <t>Underviol</t>
        </is>
      </c>
      <c r="S172">
        <f>HYPERLINK("https://klasma.github.io/Logging_0188/artfynd/A 10019-2023 artfynd.xlsx", "A 10019-2023")</f>
        <v/>
      </c>
      <c r="T172">
        <f>HYPERLINK("https://klasma.github.io/Logging_0188/kartor/A 10019-2023 karta.png", "A 10019-2023")</f>
        <v/>
      </c>
      <c r="V172">
        <f>HYPERLINK("https://klasma.github.io/Logging_0188/klagomål/A 10019-2023 FSC-klagomål.docx", "A 10019-2023")</f>
        <v/>
      </c>
      <c r="W172">
        <f>HYPERLINK("https://klasma.github.io/Logging_0188/klagomålsmail/A 10019-2023 FSC-klagomål mail.docx", "A 10019-2023")</f>
        <v/>
      </c>
      <c r="X172">
        <f>HYPERLINK("https://klasma.github.io/Logging_0188/tillsyn/A 10019-2023 tillsynsbegäran.docx", "A 10019-2023")</f>
        <v/>
      </c>
      <c r="Y172">
        <f>HYPERLINK("https://klasma.github.io/Logging_0188/tillsynsmail/A 10019-2023 tillsynsbegäran mail.docx", "A 10019-2023")</f>
        <v/>
      </c>
    </row>
    <row r="173" ht="15" customHeight="1">
      <c r="A173" t="inlineStr">
        <is>
          <t>A 11429-2023</t>
        </is>
      </c>
      <c r="B173" s="1" t="n">
        <v>44993</v>
      </c>
      <c r="C173" s="1" t="n">
        <v>45750</v>
      </c>
      <c r="D173" t="inlineStr">
        <is>
          <t>STOCKHOLMS LÄN</t>
        </is>
      </c>
      <c r="E173" t="inlineStr">
        <is>
          <t>NORRTÄLJE</t>
        </is>
      </c>
      <c r="G173" t="n">
        <v>2</v>
      </c>
      <c r="H173" t="n">
        <v>0</v>
      </c>
      <c r="I173" t="n">
        <v>0</v>
      </c>
      <c r="J173" t="n">
        <v>1</v>
      </c>
      <c r="K173" t="n">
        <v>0</v>
      </c>
      <c r="L173" t="n">
        <v>0</v>
      </c>
      <c r="M173" t="n">
        <v>0</v>
      </c>
      <c r="N173" t="n">
        <v>0</v>
      </c>
      <c r="O173" t="n">
        <v>1</v>
      </c>
      <c r="P173" t="n">
        <v>0</v>
      </c>
      <c r="Q173" t="n">
        <v>1</v>
      </c>
      <c r="R173" s="2" t="inlineStr">
        <is>
          <t>Skogsklocka</t>
        </is>
      </c>
      <c r="S173">
        <f>HYPERLINK("https://klasma.github.io/Logging_0188/artfynd/A 11429-2023 artfynd.xlsx", "A 11429-2023")</f>
        <v/>
      </c>
      <c r="T173">
        <f>HYPERLINK("https://klasma.github.io/Logging_0188/kartor/A 11429-2023 karta.png", "A 11429-2023")</f>
        <v/>
      </c>
      <c r="V173">
        <f>HYPERLINK("https://klasma.github.io/Logging_0188/klagomål/A 11429-2023 FSC-klagomål.docx", "A 11429-2023")</f>
        <v/>
      </c>
      <c r="W173">
        <f>HYPERLINK("https://klasma.github.io/Logging_0188/klagomålsmail/A 11429-2023 FSC-klagomål mail.docx", "A 11429-2023")</f>
        <v/>
      </c>
      <c r="X173">
        <f>HYPERLINK("https://klasma.github.io/Logging_0188/tillsyn/A 11429-2023 tillsynsbegäran.docx", "A 11429-2023")</f>
        <v/>
      </c>
      <c r="Y173">
        <f>HYPERLINK("https://klasma.github.io/Logging_0188/tillsynsmail/A 11429-2023 tillsynsbegäran mail.docx", "A 11429-2023")</f>
        <v/>
      </c>
    </row>
    <row r="174" ht="15" customHeight="1">
      <c r="A174" t="inlineStr">
        <is>
          <t>A 12442-2023</t>
        </is>
      </c>
      <c r="B174" s="1" t="n">
        <v>44999</v>
      </c>
      <c r="C174" s="1" t="n">
        <v>45750</v>
      </c>
      <c r="D174" t="inlineStr">
        <is>
          <t>STOCKHOLMS LÄN</t>
        </is>
      </c>
      <c r="E174" t="inlineStr">
        <is>
          <t>NORRTÄLJE</t>
        </is>
      </c>
      <c r="G174" t="n">
        <v>1.9</v>
      </c>
      <c r="H174" t="n">
        <v>1</v>
      </c>
      <c r="I174" t="n">
        <v>0</v>
      </c>
      <c r="J174" t="n">
        <v>0</v>
      </c>
      <c r="K174" t="n">
        <v>0</v>
      </c>
      <c r="L174" t="n">
        <v>0</v>
      </c>
      <c r="M174" t="n">
        <v>0</v>
      </c>
      <c r="N174" t="n">
        <v>0</v>
      </c>
      <c r="O174" t="n">
        <v>0</v>
      </c>
      <c r="P174" t="n">
        <v>0</v>
      </c>
      <c r="Q174" t="n">
        <v>1</v>
      </c>
      <c r="R174" s="2" t="inlineStr">
        <is>
          <t>Gullviva</t>
        </is>
      </c>
      <c r="S174">
        <f>HYPERLINK("https://klasma.github.io/Logging_0188/artfynd/A 12442-2023 artfynd.xlsx", "A 12442-2023")</f>
        <v/>
      </c>
      <c r="T174">
        <f>HYPERLINK("https://klasma.github.io/Logging_0188/kartor/A 12442-2023 karta.png", "A 12442-2023")</f>
        <v/>
      </c>
      <c r="V174">
        <f>HYPERLINK("https://klasma.github.io/Logging_0188/klagomål/A 12442-2023 FSC-klagomål.docx", "A 12442-2023")</f>
        <v/>
      </c>
      <c r="W174">
        <f>HYPERLINK("https://klasma.github.io/Logging_0188/klagomålsmail/A 12442-2023 FSC-klagomål mail.docx", "A 12442-2023")</f>
        <v/>
      </c>
      <c r="X174">
        <f>HYPERLINK("https://klasma.github.io/Logging_0188/tillsyn/A 12442-2023 tillsynsbegäran.docx", "A 12442-2023")</f>
        <v/>
      </c>
      <c r="Y174">
        <f>HYPERLINK("https://klasma.github.io/Logging_0188/tillsynsmail/A 12442-2023 tillsynsbegäran mail.docx", "A 12442-2023")</f>
        <v/>
      </c>
    </row>
    <row r="175" ht="15" customHeight="1">
      <c r="A175" t="inlineStr">
        <is>
          <t>A 15644-2023</t>
        </is>
      </c>
      <c r="B175" s="1" t="n">
        <v>45021</v>
      </c>
      <c r="C175" s="1" t="n">
        <v>45750</v>
      </c>
      <c r="D175" t="inlineStr">
        <is>
          <t>STOCKHOLMS LÄN</t>
        </is>
      </c>
      <c r="E175" t="inlineStr">
        <is>
          <t>NORRTÄLJE</t>
        </is>
      </c>
      <c r="F175" t="inlineStr">
        <is>
          <t>Holmen skog AB</t>
        </is>
      </c>
      <c r="G175" t="n">
        <v>13</v>
      </c>
      <c r="H175" t="n">
        <v>1</v>
      </c>
      <c r="I175" t="n">
        <v>0</v>
      </c>
      <c r="J175" t="n">
        <v>0</v>
      </c>
      <c r="K175" t="n">
        <v>0</v>
      </c>
      <c r="L175" t="n">
        <v>1</v>
      </c>
      <c r="M175" t="n">
        <v>0</v>
      </c>
      <c r="N175" t="n">
        <v>0</v>
      </c>
      <c r="O175" t="n">
        <v>1</v>
      </c>
      <c r="P175" t="n">
        <v>1</v>
      </c>
      <c r="Q175" t="n">
        <v>1</v>
      </c>
      <c r="R175" s="2" t="inlineStr">
        <is>
          <t>Asknätfjäril</t>
        </is>
      </c>
      <c r="S175">
        <f>HYPERLINK("https://klasma.github.io/Logging_0188/artfynd/A 15644-2023 artfynd.xlsx", "A 15644-2023")</f>
        <v/>
      </c>
      <c r="T175">
        <f>HYPERLINK("https://klasma.github.io/Logging_0188/kartor/A 15644-2023 karta.png", "A 15644-2023")</f>
        <v/>
      </c>
      <c r="V175">
        <f>HYPERLINK("https://klasma.github.io/Logging_0188/klagomål/A 15644-2023 FSC-klagomål.docx", "A 15644-2023")</f>
        <v/>
      </c>
      <c r="W175">
        <f>HYPERLINK("https://klasma.github.io/Logging_0188/klagomålsmail/A 15644-2023 FSC-klagomål mail.docx", "A 15644-2023")</f>
        <v/>
      </c>
      <c r="X175">
        <f>HYPERLINK("https://klasma.github.io/Logging_0188/tillsyn/A 15644-2023 tillsynsbegäran.docx", "A 15644-2023")</f>
        <v/>
      </c>
      <c r="Y175">
        <f>HYPERLINK("https://klasma.github.io/Logging_0188/tillsynsmail/A 15644-2023 tillsynsbegäran mail.docx", "A 15644-2023")</f>
        <v/>
      </c>
    </row>
    <row r="176" ht="15" customHeight="1">
      <c r="A176" t="inlineStr">
        <is>
          <t>A 18216-2023</t>
        </is>
      </c>
      <c r="B176" s="1" t="n">
        <v>45041</v>
      </c>
      <c r="C176" s="1" t="n">
        <v>45750</v>
      </c>
      <c r="D176" t="inlineStr">
        <is>
          <t>STOCKHOLMS LÄN</t>
        </is>
      </c>
      <c r="E176" t="inlineStr">
        <is>
          <t>NORRTÄLJE</t>
        </is>
      </c>
      <c r="F176" t="inlineStr">
        <is>
          <t>Holmen skog AB</t>
        </is>
      </c>
      <c r="G176" t="n">
        <v>1.9</v>
      </c>
      <c r="H176" t="n">
        <v>0</v>
      </c>
      <c r="I176" t="n">
        <v>1</v>
      </c>
      <c r="J176" t="n">
        <v>0</v>
      </c>
      <c r="K176" t="n">
        <v>0</v>
      </c>
      <c r="L176" t="n">
        <v>0</v>
      </c>
      <c r="M176" t="n">
        <v>0</v>
      </c>
      <c r="N176" t="n">
        <v>0</v>
      </c>
      <c r="O176" t="n">
        <v>0</v>
      </c>
      <c r="P176" t="n">
        <v>0</v>
      </c>
      <c r="Q176" t="n">
        <v>1</v>
      </c>
      <c r="R176" s="2" t="inlineStr">
        <is>
          <t>Vårärt</t>
        </is>
      </c>
      <c r="S176">
        <f>HYPERLINK("https://klasma.github.io/Logging_0188/artfynd/A 18216-2023 artfynd.xlsx", "A 18216-2023")</f>
        <v/>
      </c>
      <c r="T176">
        <f>HYPERLINK("https://klasma.github.io/Logging_0188/kartor/A 18216-2023 karta.png", "A 18216-2023")</f>
        <v/>
      </c>
      <c r="V176">
        <f>HYPERLINK("https://klasma.github.io/Logging_0188/klagomål/A 18216-2023 FSC-klagomål.docx", "A 18216-2023")</f>
        <v/>
      </c>
      <c r="W176">
        <f>HYPERLINK("https://klasma.github.io/Logging_0188/klagomålsmail/A 18216-2023 FSC-klagomål mail.docx", "A 18216-2023")</f>
        <v/>
      </c>
      <c r="X176">
        <f>HYPERLINK("https://klasma.github.io/Logging_0188/tillsyn/A 18216-2023 tillsynsbegäran.docx", "A 18216-2023")</f>
        <v/>
      </c>
      <c r="Y176">
        <f>HYPERLINK("https://klasma.github.io/Logging_0188/tillsynsmail/A 18216-2023 tillsynsbegäran mail.docx", "A 18216-2023")</f>
        <v/>
      </c>
    </row>
    <row r="177" ht="15" customHeight="1">
      <c r="A177" t="inlineStr">
        <is>
          <t>A 21431-2023</t>
        </is>
      </c>
      <c r="B177" s="1" t="n">
        <v>45063</v>
      </c>
      <c r="C177" s="1" t="n">
        <v>45750</v>
      </c>
      <c r="D177" t="inlineStr">
        <is>
          <t>STOCKHOLMS LÄN</t>
        </is>
      </c>
      <c r="E177" t="inlineStr">
        <is>
          <t>NORRTÄLJE</t>
        </is>
      </c>
      <c r="F177" t="inlineStr">
        <is>
          <t>Holmen skog AB</t>
        </is>
      </c>
      <c r="G177" t="n">
        <v>4</v>
      </c>
      <c r="H177" t="n">
        <v>1</v>
      </c>
      <c r="I177" t="n">
        <v>1</v>
      </c>
      <c r="J177" t="n">
        <v>0</v>
      </c>
      <c r="K177" t="n">
        <v>0</v>
      </c>
      <c r="L177" t="n">
        <v>0</v>
      </c>
      <c r="M177" t="n">
        <v>0</v>
      </c>
      <c r="N177" t="n">
        <v>0</v>
      </c>
      <c r="O177" t="n">
        <v>0</v>
      </c>
      <c r="P177" t="n">
        <v>0</v>
      </c>
      <c r="Q177" t="n">
        <v>1</v>
      </c>
      <c r="R177" s="2" t="inlineStr">
        <is>
          <t>Nästrot</t>
        </is>
      </c>
      <c r="S177">
        <f>HYPERLINK("https://klasma.github.io/Logging_0188/artfynd/A 21431-2023 artfynd.xlsx", "A 21431-2023")</f>
        <v/>
      </c>
      <c r="T177">
        <f>HYPERLINK("https://klasma.github.io/Logging_0188/kartor/A 21431-2023 karta.png", "A 21431-2023")</f>
        <v/>
      </c>
      <c r="V177">
        <f>HYPERLINK("https://klasma.github.io/Logging_0188/klagomål/A 21431-2023 FSC-klagomål.docx", "A 21431-2023")</f>
        <v/>
      </c>
      <c r="W177">
        <f>HYPERLINK("https://klasma.github.io/Logging_0188/klagomålsmail/A 21431-2023 FSC-klagomål mail.docx", "A 21431-2023")</f>
        <v/>
      </c>
      <c r="X177">
        <f>HYPERLINK("https://klasma.github.io/Logging_0188/tillsyn/A 21431-2023 tillsynsbegäran.docx", "A 21431-2023")</f>
        <v/>
      </c>
      <c r="Y177">
        <f>HYPERLINK("https://klasma.github.io/Logging_0188/tillsynsmail/A 21431-2023 tillsynsbegäran mail.docx", "A 21431-2023")</f>
        <v/>
      </c>
    </row>
    <row r="178" ht="15" customHeight="1">
      <c r="A178" t="inlineStr">
        <is>
          <t>A 21744-2023</t>
        </is>
      </c>
      <c r="B178" s="1" t="n">
        <v>45065</v>
      </c>
      <c r="C178" s="1" t="n">
        <v>45750</v>
      </c>
      <c r="D178" t="inlineStr">
        <is>
          <t>STOCKHOLMS LÄN</t>
        </is>
      </c>
      <c r="E178" t="inlineStr">
        <is>
          <t>NORRTÄLJE</t>
        </is>
      </c>
      <c r="F178" t="inlineStr">
        <is>
          <t>Holmen skog AB</t>
        </is>
      </c>
      <c r="G178" t="n">
        <v>4.2</v>
      </c>
      <c r="H178" t="n">
        <v>0</v>
      </c>
      <c r="I178" t="n">
        <v>1</v>
      </c>
      <c r="J178" t="n">
        <v>0</v>
      </c>
      <c r="K178" t="n">
        <v>0</v>
      </c>
      <c r="L178" t="n">
        <v>0</v>
      </c>
      <c r="M178" t="n">
        <v>0</v>
      </c>
      <c r="N178" t="n">
        <v>0</v>
      </c>
      <c r="O178" t="n">
        <v>0</v>
      </c>
      <c r="P178" t="n">
        <v>0</v>
      </c>
      <c r="Q178" t="n">
        <v>1</v>
      </c>
      <c r="R178" s="2" t="inlineStr">
        <is>
          <t>Korallblylav</t>
        </is>
      </c>
      <c r="S178">
        <f>HYPERLINK("https://klasma.github.io/Logging_0188/artfynd/A 21744-2023 artfynd.xlsx", "A 21744-2023")</f>
        <v/>
      </c>
      <c r="T178">
        <f>HYPERLINK("https://klasma.github.io/Logging_0188/kartor/A 21744-2023 karta.png", "A 21744-2023")</f>
        <v/>
      </c>
      <c r="V178">
        <f>HYPERLINK("https://klasma.github.io/Logging_0188/klagomål/A 21744-2023 FSC-klagomål.docx", "A 21744-2023")</f>
        <v/>
      </c>
      <c r="W178">
        <f>HYPERLINK("https://klasma.github.io/Logging_0188/klagomålsmail/A 21744-2023 FSC-klagomål mail.docx", "A 21744-2023")</f>
        <v/>
      </c>
      <c r="X178">
        <f>HYPERLINK("https://klasma.github.io/Logging_0188/tillsyn/A 21744-2023 tillsynsbegäran.docx", "A 21744-2023")</f>
        <v/>
      </c>
      <c r="Y178">
        <f>HYPERLINK("https://klasma.github.io/Logging_0188/tillsynsmail/A 21744-2023 tillsynsbegäran mail.docx", "A 21744-2023")</f>
        <v/>
      </c>
    </row>
    <row r="179" ht="15" customHeight="1">
      <c r="A179" t="inlineStr">
        <is>
          <t>A 24535-2023</t>
        </is>
      </c>
      <c r="B179" s="1" t="n">
        <v>45082</v>
      </c>
      <c r="C179" s="1" t="n">
        <v>45750</v>
      </c>
      <c r="D179" t="inlineStr">
        <is>
          <t>STOCKHOLMS LÄN</t>
        </is>
      </c>
      <c r="E179" t="inlineStr">
        <is>
          <t>NORRTÄLJE</t>
        </is>
      </c>
      <c r="F179" t="inlineStr">
        <is>
          <t>Kommuner</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HYPERLINK("https://klasma.github.io/Logging_0188/artfynd/A 24535-2023 artfynd.xlsx", "A 24535-2023")</f>
        <v/>
      </c>
      <c r="T179">
        <f>HYPERLINK("https://klasma.github.io/Logging_0188/kartor/A 24535-2023 karta.png", "A 24535-2023")</f>
        <v/>
      </c>
      <c r="V179">
        <f>HYPERLINK("https://klasma.github.io/Logging_0188/klagomål/A 24535-2023 FSC-klagomål.docx", "A 24535-2023")</f>
        <v/>
      </c>
      <c r="W179">
        <f>HYPERLINK("https://klasma.github.io/Logging_0188/klagomålsmail/A 24535-2023 FSC-klagomål mail.docx", "A 24535-2023")</f>
        <v/>
      </c>
      <c r="X179">
        <f>HYPERLINK("https://klasma.github.io/Logging_0188/tillsyn/A 24535-2023 tillsynsbegäran.docx", "A 24535-2023")</f>
        <v/>
      </c>
      <c r="Y179">
        <f>HYPERLINK("https://klasma.github.io/Logging_0188/tillsynsmail/A 24535-2023 tillsynsbegäran mail.docx", "A 24535-2023")</f>
        <v/>
      </c>
    </row>
    <row r="180" ht="15" customHeight="1">
      <c r="A180" t="inlineStr">
        <is>
          <t>A 26635-2023</t>
        </is>
      </c>
      <c r="B180" s="1" t="n">
        <v>45092</v>
      </c>
      <c r="C180" s="1" t="n">
        <v>45750</v>
      </c>
      <c r="D180" t="inlineStr">
        <is>
          <t>STOCKHOLMS LÄN</t>
        </is>
      </c>
      <c r="E180" t="inlineStr">
        <is>
          <t>NORRTÄLJE</t>
        </is>
      </c>
      <c r="G180" t="n">
        <v>3.1</v>
      </c>
      <c r="H180" t="n">
        <v>1</v>
      </c>
      <c r="I180" t="n">
        <v>0</v>
      </c>
      <c r="J180" t="n">
        <v>0</v>
      </c>
      <c r="K180" t="n">
        <v>0</v>
      </c>
      <c r="L180" t="n">
        <v>0</v>
      </c>
      <c r="M180" t="n">
        <v>0</v>
      </c>
      <c r="N180" t="n">
        <v>0</v>
      </c>
      <c r="O180" t="n">
        <v>0</v>
      </c>
      <c r="P180" t="n">
        <v>0</v>
      </c>
      <c r="Q180" t="n">
        <v>1</v>
      </c>
      <c r="R180" s="2" t="inlineStr">
        <is>
          <t>Fläcknycklar</t>
        </is>
      </c>
      <c r="S180">
        <f>HYPERLINK("https://klasma.github.io/Logging_0188/artfynd/A 26635-2023 artfynd.xlsx", "A 26635-2023")</f>
        <v/>
      </c>
      <c r="T180">
        <f>HYPERLINK("https://klasma.github.io/Logging_0188/kartor/A 26635-2023 karta.png", "A 26635-2023")</f>
        <v/>
      </c>
      <c r="V180">
        <f>HYPERLINK("https://klasma.github.io/Logging_0188/klagomål/A 26635-2023 FSC-klagomål.docx", "A 26635-2023")</f>
        <v/>
      </c>
      <c r="W180">
        <f>HYPERLINK("https://klasma.github.io/Logging_0188/klagomålsmail/A 26635-2023 FSC-klagomål mail.docx", "A 26635-2023")</f>
        <v/>
      </c>
      <c r="X180">
        <f>HYPERLINK("https://klasma.github.io/Logging_0188/tillsyn/A 26635-2023 tillsynsbegäran.docx", "A 26635-2023")</f>
        <v/>
      </c>
      <c r="Y180">
        <f>HYPERLINK("https://klasma.github.io/Logging_0188/tillsynsmail/A 26635-2023 tillsynsbegäran mail.docx", "A 26635-2023")</f>
        <v/>
      </c>
    </row>
    <row r="181" ht="15" customHeight="1">
      <c r="A181" t="inlineStr">
        <is>
          <t>A 35649-2023</t>
        </is>
      </c>
      <c r="B181" s="1" t="n">
        <v>45146</v>
      </c>
      <c r="C181" s="1" t="n">
        <v>45750</v>
      </c>
      <c r="D181" t="inlineStr">
        <is>
          <t>STOCKHOLMS LÄN</t>
        </is>
      </c>
      <c r="E181" t="inlineStr">
        <is>
          <t>NORRTÄLJE</t>
        </is>
      </c>
      <c r="G181" t="n">
        <v>25.1</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35649-2023 artfynd.xlsx", "A 35649-2023")</f>
        <v/>
      </c>
      <c r="T181">
        <f>HYPERLINK("https://klasma.github.io/Logging_0188/kartor/A 35649-2023 karta.png", "A 35649-2023")</f>
        <v/>
      </c>
      <c r="V181">
        <f>HYPERLINK("https://klasma.github.io/Logging_0188/klagomål/A 35649-2023 FSC-klagomål.docx", "A 35649-2023")</f>
        <v/>
      </c>
      <c r="W181">
        <f>HYPERLINK("https://klasma.github.io/Logging_0188/klagomålsmail/A 35649-2023 FSC-klagomål mail.docx", "A 35649-2023")</f>
        <v/>
      </c>
      <c r="X181">
        <f>HYPERLINK("https://klasma.github.io/Logging_0188/tillsyn/A 35649-2023 tillsynsbegäran.docx", "A 35649-2023")</f>
        <v/>
      </c>
      <c r="Y181">
        <f>HYPERLINK("https://klasma.github.io/Logging_0188/tillsynsmail/A 35649-2023 tillsynsbegäran mail.docx", "A 35649-2023")</f>
        <v/>
      </c>
    </row>
    <row r="182" ht="15" customHeight="1">
      <c r="A182" t="inlineStr">
        <is>
          <t>A 43178-2023</t>
        </is>
      </c>
      <c r="B182" s="1" t="n">
        <v>45183</v>
      </c>
      <c r="C182" s="1" t="n">
        <v>45750</v>
      </c>
      <c r="D182" t="inlineStr">
        <is>
          <t>STOCKHOLMS LÄN</t>
        </is>
      </c>
      <c r="E182" t="inlineStr">
        <is>
          <t>NORRTÄLJE</t>
        </is>
      </c>
      <c r="F182" t="inlineStr">
        <is>
          <t>Kyrkan</t>
        </is>
      </c>
      <c r="G182" t="n">
        <v>1.5</v>
      </c>
      <c r="H182" t="n">
        <v>0</v>
      </c>
      <c r="I182" t="n">
        <v>0</v>
      </c>
      <c r="J182" t="n">
        <v>1</v>
      </c>
      <c r="K182" t="n">
        <v>0</v>
      </c>
      <c r="L182" t="n">
        <v>0</v>
      </c>
      <c r="M182" t="n">
        <v>0</v>
      </c>
      <c r="N182" t="n">
        <v>0</v>
      </c>
      <c r="O182" t="n">
        <v>1</v>
      </c>
      <c r="P182" t="n">
        <v>0</v>
      </c>
      <c r="Q182" t="n">
        <v>1</v>
      </c>
      <c r="R182" s="2" t="inlineStr">
        <is>
          <t>Mindre bastardsvärmare</t>
        </is>
      </c>
      <c r="S182">
        <f>HYPERLINK("https://klasma.github.io/Logging_0188/artfynd/A 43178-2023 artfynd.xlsx", "A 43178-2023")</f>
        <v/>
      </c>
      <c r="T182">
        <f>HYPERLINK("https://klasma.github.io/Logging_0188/kartor/A 43178-2023 karta.png", "A 43178-2023")</f>
        <v/>
      </c>
      <c r="V182">
        <f>HYPERLINK("https://klasma.github.io/Logging_0188/klagomål/A 43178-2023 FSC-klagomål.docx", "A 43178-2023")</f>
        <v/>
      </c>
      <c r="W182">
        <f>HYPERLINK("https://klasma.github.io/Logging_0188/klagomålsmail/A 43178-2023 FSC-klagomål mail.docx", "A 43178-2023")</f>
        <v/>
      </c>
      <c r="X182">
        <f>HYPERLINK("https://klasma.github.io/Logging_0188/tillsyn/A 43178-2023 tillsynsbegäran.docx", "A 43178-2023")</f>
        <v/>
      </c>
      <c r="Y182">
        <f>HYPERLINK("https://klasma.github.io/Logging_0188/tillsynsmail/A 43178-2023 tillsynsbegäran mail.docx", "A 43178-2023")</f>
        <v/>
      </c>
    </row>
    <row r="183" ht="15" customHeight="1">
      <c r="A183" t="inlineStr">
        <is>
          <t>A 43171-2023</t>
        </is>
      </c>
      <c r="B183" s="1" t="n">
        <v>45183</v>
      </c>
      <c r="C183" s="1" t="n">
        <v>45750</v>
      </c>
      <c r="D183" t="inlineStr">
        <is>
          <t>STOCKHOLMS LÄN</t>
        </is>
      </c>
      <c r="E183" t="inlineStr">
        <is>
          <t>NORRTÄLJE</t>
        </is>
      </c>
      <c r="F183" t="inlineStr">
        <is>
          <t>Kyrkan</t>
        </is>
      </c>
      <c r="G183" t="n">
        <v>1.3</v>
      </c>
      <c r="H183" t="n">
        <v>0</v>
      </c>
      <c r="I183" t="n">
        <v>0</v>
      </c>
      <c r="J183" t="n">
        <v>0</v>
      </c>
      <c r="K183" t="n">
        <v>0</v>
      </c>
      <c r="L183" t="n">
        <v>1</v>
      </c>
      <c r="M183" t="n">
        <v>0</v>
      </c>
      <c r="N183" t="n">
        <v>0</v>
      </c>
      <c r="O183" t="n">
        <v>1</v>
      </c>
      <c r="P183" t="n">
        <v>1</v>
      </c>
      <c r="Q183" t="n">
        <v>1</v>
      </c>
      <c r="R183" s="2" t="inlineStr">
        <is>
          <t>Ryl</t>
        </is>
      </c>
      <c r="S183">
        <f>HYPERLINK("https://klasma.github.io/Logging_0188/artfynd/A 43171-2023 artfynd.xlsx", "A 43171-2023")</f>
        <v/>
      </c>
      <c r="T183">
        <f>HYPERLINK("https://klasma.github.io/Logging_0188/kartor/A 43171-2023 karta.png", "A 43171-2023")</f>
        <v/>
      </c>
      <c r="U183">
        <f>HYPERLINK("https://klasma.github.io/Logging_0188/knärot/A 43171-2023 karta knärot.png", "A 43171-2023")</f>
        <v/>
      </c>
      <c r="V183">
        <f>HYPERLINK("https://klasma.github.io/Logging_0188/klagomål/A 43171-2023 FSC-klagomål.docx", "A 43171-2023")</f>
        <v/>
      </c>
      <c r="W183">
        <f>HYPERLINK("https://klasma.github.io/Logging_0188/klagomålsmail/A 43171-2023 FSC-klagomål mail.docx", "A 43171-2023")</f>
        <v/>
      </c>
      <c r="X183">
        <f>HYPERLINK("https://klasma.github.io/Logging_0188/tillsyn/A 43171-2023 tillsynsbegäran.docx", "A 43171-2023")</f>
        <v/>
      </c>
      <c r="Y183">
        <f>HYPERLINK("https://klasma.github.io/Logging_0188/tillsynsmail/A 43171-2023 tillsynsbegäran mail.docx", "A 43171-2023")</f>
        <v/>
      </c>
    </row>
    <row r="184" ht="15" customHeight="1">
      <c r="A184" t="inlineStr">
        <is>
          <t>A 43350-2023</t>
        </is>
      </c>
      <c r="B184" s="1" t="n">
        <v>45183</v>
      </c>
      <c r="C184" s="1" t="n">
        <v>45750</v>
      </c>
      <c r="D184" t="inlineStr">
        <is>
          <t>STOCKHOLMS LÄN</t>
        </is>
      </c>
      <c r="E184" t="inlineStr">
        <is>
          <t>NORRTÄLJE</t>
        </is>
      </c>
      <c r="F184" t="inlineStr">
        <is>
          <t>Holmen skog AB</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HYPERLINK("https://klasma.github.io/Logging_0188/artfynd/A 43350-2023 artfynd.xlsx", "A 43350-2023")</f>
        <v/>
      </c>
      <c r="T184">
        <f>HYPERLINK("https://klasma.github.io/Logging_0188/kartor/A 43350-2023 karta.png", "A 43350-2023")</f>
        <v/>
      </c>
      <c r="V184">
        <f>HYPERLINK("https://klasma.github.io/Logging_0188/klagomål/A 43350-2023 FSC-klagomål.docx", "A 43350-2023")</f>
        <v/>
      </c>
      <c r="W184">
        <f>HYPERLINK("https://klasma.github.io/Logging_0188/klagomålsmail/A 43350-2023 FSC-klagomål mail.docx", "A 43350-2023")</f>
        <v/>
      </c>
      <c r="X184">
        <f>HYPERLINK("https://klasma.github.io/Logging_0188/tillsyn/A 43350-2023 tillsynsbegäran.docx", "A 43350-2023")</f>
        <v/>
      </c>
      <c r="Y184">
        <f>HYPERLINK("https://klasma.github.io/Logging_0188/tillsynsmail/A 43350-2023 tillsynsbegäran mail.docx", "A 43350-2023")</f>
        <v/>
      </c>
    </row>
    <row r="185" ht="15" customHeight="1">
      <c r="A185" t="inlineStr">
        <is>
          <t>A 43354-2023</t>
        </is>
      </c>
      <c r="B185" s="1" t="n">
        <v>45183</v>
      </c>
      <c r="C185" s="1" t="n">
        <v>45750</v>
      </c>
      <c r="D185" t="inlineStr">
        <is>
          <t>STOCKHOLMS LÄN</t>
        </is>
      </c>
      <c r="E185" t="inlineStr">
        <is>
          <t>NORRTÄLJE</t>
        </is>
      </c>
      <c r="F185" t="inlineStr">
        <is>
          <t>Holmen skog AB</t>
        </is>
      </c>
      <c r="G185" t="n">
        <v>9.9</v>
      </c>
      <c r="H185" t="n">
        <v>0</v>
      </c>
      <c r="I185" t="n">
        <v>1</v>
      </c>
      <c r="J185" t="n">
        <v>0</v>
      </c>
      <c r="K185" t="n">
        <v>0</v>
      </c>
      <c r="L185" t="n">
        <v>0</v>
      </c>
      <c r="M185" t="n">
        <v>0</v>
      </c>
      <c r="N185" t="n">
        <v>0</v>
      </c>
      <c r="O185" t="n">
        <v>0</v>
      </c>
      <c r="P185" t="n">
        <v>0</v>
      </c>
      <c r="Q185" t="n">
        <v>1</v>
      </c>
      <c r="R185" s="2" t="inlineStr">
        <is>
          <t>Tibast</t>
        </is>
      </c>
      <c r="S185">
        <f>HYPERLINK("https://klasma.github.io/Logging_0188/artfynd/A 43354-2023 artfynd.xlsx", "A 43354-2023")</f>
        <v/>
      </c>
      <c r="T185">
        <f>HYPERLINK("https://klasma.github.io/Logging_0188/kartor/A 43354-2023 karta.png", "A 43354-2023")</f>
        <v/>
      </c>
      <c r="V185">
        <f>HYPERLINK("https://klasma.github.io/Logging_0188/klagomål/A 43354-2023 FSC-klagomål.docx", "A 43354-2023")</f>
        <v/>
      </c>
      <c r="W185">
        <f>HYPERLINK("https://klasma.github.io/Logging_0188/klagomålsmail/A 43354-2023 FSC-klagomål mail.docx", "A 43354-2023")</f>
        <v/>
      </c>
      <c r="X185">
        <f>HYPERLINK("https://klasma.github.io/Logging_0188/tillsyn/A 43354-2023 tillsynsbegäran.docx", "A 43354-2023")</f>
        <v/>
      </c>
      <c r="Y185">
        <f>HYPERLINK("https://klasma.github.io/Logging_0188/tillsynsmail/A 43354-2023 tillsynsbegäran mail.docx", "A 43354-2023")</f>
        <v/>
      </c>
    </row>
    <row r="186" ht="15" customHeight="1">
      <c r="A186" t="inlineStr">
        <is>
          <t>A 45172-2023</t>
        </is>
      </c>
      <c r="B186" s="1" t="n">
        <v>45191</v>
      </c>
      <c r="C186" s="1" t="n">
        <v>45750</v>
      </c>
      <c r="D186" t="inlineStr">
        <is>
          <t>STOCKHOLMS LÄN</t>
        </is>
      </c>
      <c r="E186" t="inlineStr">
        <is>
          <t>NORRTÄLJE</t>
        </is>
      </c>
      <c r="F186" t="inlineStr">
        <is>
          <t>Sveaskog</t>
        </is>
      </c>
      <c r="G186" t="n">
        <v>3.8</v>
      </c>
      <c r="H186" t="n">
        <v>1</v>
      </c>
      <c r="I186" t="n">
        <v>0</v>
      </c>
      <c r="J186" t="n">
        <v>1</v>
      </c>
      <c r="K186" t="n">
        <v>0</v>
      </c>
      <c r="L186" t="n">
        <v>0</v>
      </c>
      <c r="M186" t="n">
        <v>0</v>
      </c>
      <c r="N186" t="n">
        <v>0</v>
      </c>
      <c r="O186" t="n">
        <v>1</v>
      </c>
      <c r="P186" t="n">
        <v>0</v>
      </c>
      <c r="Q186" t="n">
        <v>1</v>
      </c>
      <c r="R186" s="2" t="inlineStr">
        <is>
          <t>Slaguggla</t>
        </is>
      </c>
      <c r="S186">
        <f>HYPERLINK("https://klasma.github.io/Logging_0188/artfynd/A 45172-2023 artfynd.xlsx", "A 45172-2023")</f>
        <v/>
      </c>
      <c r="T186">
        <f>HYPERLINK("https://klasma.github.io/Logging_0188/kartor/A 45172-2023 karta.png", "A 45172-2023")</f>
        <v/>
      </c>
      <c r="V186">
        <f>HYPERLINK("https://klasma.github.io/Logging_0188/klagomål/A 45172-2023 FSC-klagomål.docx", "A 45172-2023")</f>
        <v/>
      </c>
      <c r="W186">
        <f>HYPERLINK("https://klasma.github.io/Logging_0188/klagomålsmail/A 45172-2023 FSC-klagomål mail.docx", "A 45172-2023")</f>
        <v/>
      </c>
      <c r="X186">
        <f>HYPERLINK("https://klasma.github.io/Logging_0188/tillsyn/A 45172-2023 tillsynsbegäran.docx", "A 45172-2023")</f>
        <v/>
      </c>
      <c r="Y186">
        <f>HYPERLINK("https://klasma.github.io/Logging_0188/tillsynsmail/A 45172-2023 tillsynsbegäran mail.docx", "A 45172-2023")</f>
        <v/>
      </c>
      <c r="Z186">
        <f>HYPERLINK("https://klasma.github.io/Logging_0188/fåglar/A 45172-2023 prioriterade fågelarter.docx", "A 45172-2023")</f>
        <v/>
      </c>
    </row>
    <row r="187" ht="15" customHeight="1">
      <c r="A187" t="inlineStr">
        <is>
          <t>A 48131-2023</t>
        </is>
      </c>
      <c r="B187" s="1" t="n">
        <v>45205</v>
      </c>
      <c r="C187" s="1" t="n">
        <v>45750</v>
      </c>
      <c r="D187" t="inlineStr">
        <is>
          <t>STOCKHOLMS LÄN</t>
        </is>
      </c>
      <c r="E187" t="inlineStr">
        <is>
          <t>NORRTÄLJE</t>
        </is>
      </c>
      <c r="G187" t="n">
        <v>2.3</v>
      </c>
      <c r="H187" t="n">
        <v>0</v>
      </c>
      <c r="I187" t="n">
        <v>0</v>
      </c>
      <c r="J187" t="n">
        <v>1</v>
      </c>
      <c r="K187" t="n">
        <v>0</v>
      </c>
      <c r="L187" t="n">
        <v>0</v>
      </c>
      <c r="M187" t="n">
        <v>0</v>
      </c>
      <c r="N187" t="n">
        <v>0</v>
      </c>
      <c r="O187" t="n">
        <v>1</v>
      </c>
      <c r="P187" t="n">
        <v>0</v>
      </c>
      <c r="Q187" t="n">
        <v>1</v>
      </c>
      <c r="R187" s="2" t="inlineStr">
        <is>
          <t>Slåtterfibbla</t>
        </is>
      </c>
      <c r="S187">
        <f>HYPERLINK("https://klasma.github.io/Logging_0188/artfynd/A 48131-2023 artfynd.xlsx", "A 48131-2023")</f>
        <v/>
      </c>
      <c r="T187">
        <f>HYPERLINK("https://klasma.github.io/Logging_0188/kartor/A 48131-2023 karta.png", "A 48131-2023")</f>
        <v/>
      </c>
      <c r="V187">
        <f>HYPERLINK("https://klasma.github.io/Logging_0188/klagomål/A 48131-2023 FSC-klagomål.docx", "A 48131-2023")</f>
        <v/>
      </c>
      <c r="W187">
        <f>HYPERLINK("https://klasma.github.io/Logging_0188/klagomålsmail/A 48131-2023 FSC-klagomål mail.docx", "A 48131-2023")</f>
        <v/>
      </c>
      <c r="X187">
        <f>HYPERLINK("https://klasma.github.io/Logging_0188/tillsyn/A 48131-2023 tillsynsbegäran.docx", "A 48131-2023")</f>
        <v/>
      </c>
      <c r="Y187">
        <f>HYPERLINK("https://klasma.github.io/Logging_0188/tillsynsmail/A 48131-2023 tillsynsbegäran mail.docx", "A 48131-2023")</f>
        <v/>
      </c>
    </row>
    <row r="188" ht="15" customHeight="1">
      <c r="A188" t="inlineStr">
        <is>
          <t>A 51909-2023</t>
        </is>
      </c>
      <c r="B188" s="1" t="n">
        <v>45223</v>
      </c>
      <c r="C188" s="1" t="n">
        <v>45750</v>
      </c>
      <c r="D188" t="inlineStr">
        <is>
          <t>STOCKHOLMS LÄN</t>
        </is>
      </c>
      <c r="E188" t="inlineStr">
        <is>
          <t>NORRTÄLJE</t>
        </is>
      </c>
      <c r="G188" t="n">
        <v>8.1</v>
      </c>
      <c r="H188" t="n">
        <v>1</v>
      </c>
      <c r="I188" t="n">
        <v>1</v>
      </c>
      <c r="J188" t="n">
        <v>0</v>
      </c>
      <c r="K188" t="n">
        <v>0</v>
      </c>
      <c r="L188" t="n">
        <v>0</v>
      </c>
      <c r="M188" t="n">
        <v>0</v>
      </c>
      <c r="N188" t="n">
        <v>0</v>
      </c>
      <c r="O188" t="n">
        <v>0</v>
      </c>
      <c r="P188" t="n">
        <v>0</v>
      </c>
      <c r="Q188" t="n">
        <v>1</v>
      </c>
      <c r="R188" s="2" t="inlineStr">
        <is>
          <t>Skogsknipprot</t>
        </is>
      </c>
      <c r="S188">
        <f>HYPERLINK("https://klasma.github.io/Logging_0188/artfynd/A 51909-2023 artfynd.xlsx", "A 51909-2023")</f>
        <v/>
      </c>
      <c r="T188">
        <f>HYPERLINK("https://klasma.github.io/Logging_0188/kartor/A 51909-2023 karta.png", "A 51909-2023")</f>
        <v/>
      </c>
      <c r="V188">
        <f>HYPERLINK("https://klasma.github.io/Logging_0188/klagomål/A 51909-2023 FSC-klagomål.docx", "A 51909-2023")</f>
        <v/>
      </c>
      <c r="W188">
        <f>HYPERLINK("https://klasma.github.io/Logging_0188/klagomålsmail/A 51909-2023 FSC-klagomål mail.docx", "A 51909-2023")</f>
        <v/>
      </c>
      <c r="X188">
        <f>HYPERLINK("https://klasma.github.io/Logging_0188/tillsyn/A 51909-2023 tillsynsbegäran.docx", "A 51909-2023")</f>
        <v/>
      </c>
      <c r="Y188">
        <f>HYPERLINK("https://klasma.github.io/Logging_0188/tillsynsmail/A 51909-2023 tillsynsbegäran mail.docx", "A 51909-2023")</f>
        <v/>
      </c>
    </row>
    <row r="189" ht="15" customHeight="1">
      <c r="A189" t="inlineStr">
        <is>
          <t>A 52508-2023</t>
        </is>
      </c>
      <c r="B189" s="1" t="n">
        <v>45225</v>
      </c>
      <c r="C189" s="1" t="n">
        <v>45750</v>
      </c>
      <c r="D189" t="inlineStr">
        <is>
          <t>STOCKHOLMS LÄN</t>
        </is>
      </c>
      <c r="E189" t="inlineStr">
        <is>
          <t>NORRTÄLJE</t>
        </is>
      </c>
      <c r="G189" t="n">
        <v>19.7</v>
      </c>
      <c r="H189" t="n">
        <v>1</v>
      </c>
      <c r="I189" t="n">
        <v>0</v>
      </c>
      <c r="J189" t="n">
        <v>0</v>
      </c>
      <c r="K189" t="n">
        <v>1</v>
      </c>
      <c r="L189" t="n">
        <v>0</v>
      </c>
      <c r="M189" t="n">
        <v>0</v>
      </c>
      <c r="N189" t="n">
        <v>0</v>
      </c>
      <c r="O189" t="n">
        <v>1</v>
      </c>
      <c r="P189" t="n">
        <v>1</v>
      </c>
      <c r="Q189" t="n">
        <v>1</v>
      </c>
      <c r="R189" s="2" t="inlineStr">
        <is>
          <t>Svärta</t>
        </is>
      </c>
      <c r="S189">
        <f>HYPERLINK("https://klasma.github.io/Logging_0188/artfynd/A 52508-2023 artfynd.xlsx", "A 52508-2023")</f>
        <v/>
      </c>
      <c r="T189">
        <f>HYPERLINK("https://klasma.github.io/Logging_0188/kartor/A 52508-2023 karta.png", "A 52508-2023")</f>
        <v/>
      </c>
      <c r="V189">
        <f>HYPERLINK("https://klasma.github.io/Logging_0188/klagomål/A 52508-2023 FSC-klagomål.docx", "A 52508-2023")</f>
        <v/>
      </c>
      <c r="W189">
        <f>HYPERLINK("https://klasma.github.io/Logging_0188/klagomålsmail/A 52508-2023 FSC-klagomål mail.docx", "A 52508-2023")</f>
        <v/>
      </c>
      <c r="X189">
        <f>HYPERLINK("https://klasma.github.io/Logging_0188/tillsyn/A 52508-2023 tillsynsbegäran.docx", "A 52508-2023")</f>
        <v/>
      </c>
      <c r="Y189">
        <f>HYPERLINK("https://klasma.github.io/Logging_0188/tillsynsmail/A 52508-2023 tillsynsbegäran mail.docx", "A 52508-2023")</f>
        <v/>
      </c>
    </row>
    <row r="190" ht="15" customHeight="1">
      <c r="A190" t="inlineStr">
        <is>
          <t>A 55767-2023</t>
        </is>
      </c>
      <c r="B190" s="1" t="n">
        <v>45239</v>
      </c>
      <c r="C190" s="1" t="n">
        <v>45750</v>
      </c>
      <c r="D190" t="inlineStr">
        <is>
          <t>STOCKHOLMS LÄN</t>
        </is>
      </c>
      <c r="E190" t="inlineStr">
        <is>
          <t>NORRTÄLJE</t>
        </is>
      </c>
      <c r="G190" t="n">
        <v>3.7</v>
      </c>
      <c r="H190" t="n">
        <v>0</v>
      </c>
      <c r="I190" t="n">
        <v>1</v>
      </c>
      <c r="J190" t="n">
        <v>0</v>
      </c>
      <c r="K190" t="n">
        <v>0</v>
      </c>
      <c r="L190" t="n">
        <v>0</v>
      </c>
      <c r="M190" t="n">
        <v>0</v>
      </c>
      <c r="N190" t="n">
        <v>0</v>
      </c>
      <c r="O190" t="n">
        <v>0</v>
      </c>
      <c r="P190" t="n">
        <v>0</v>
      </c>
      <c r="Q190" t="n">
        <v>1</v>
      </c>
      <c r="R190" s="2" t="inlineStr">
        <is>
          <t>Ögonpyrola</t>
        </is>
      </c>
      <c r="S190">
        <f>HYPERLINK("https://klasma.github.io/Logging_0188/artfynd/A 55767-2023 artfynd.xlsx", "A 55767-2023")</f>
        <v/>
      </c>
      <c r="T190">
        <f>HYPERLINK("https://klasma.github.io/Logging_0188/kartor/A 55767-2023 karta.png", "A 55767-2023")</f>
        <v/>
      </c>
      <c r="V190">
        <f>HYPERLINK("https://klasma.github.io/Logging_0188/klagomål/A 55767-2023 FSC-klagomål.docx", "A 55767-2023")</f>
        <v/>
      </c>
      <c r="W190">
        <f>HYPERLINK("https://klasma.github.io/Logging_0188/klagomålsmail/A 55767-2023 FSC-klagomål mail.docx", "A 55767-2023")</f>
        <v/>
      </c>
      <c r="X190">
        <f>HYPERLINK("https://klasma.github.io/Logging_0188/tillsyn/A 55767-2023 tillsynsbegäran.docx", "A 55767-2023")</f>
        <v/>
      </c>
      <c r="Y190">
        <f>HYPERLINK("https://klasma.github.io/Logging_0188/tillsynsmail/A 55767-2023 tillsynsbegäran mail.docx", "A 55767-2023")</f>
        <v/>
      </c>
    </row>
    <row r="191" ht="15" customHeight="1">
      <c r="A191" t="inlineStr">
        <is>
          <t>A 59580-2023</t>
        </is>
      </c>
      <c r="B191" s="1" t="n">
        <v>45254</v>
      </c>
      <c r="C191" s="1" t="n">
        <v>45750</v>
      </c>
      <c r="D191" t="inlineStr">
        <is>
          <t>STOCKHOLMS LÄN</t>
        </is>
      </c>
      <c r="E191" t="inlineStr">
        <is>
          <t>NORRTÄLJE</t>
        </is>
      </c>
      <c r="G191" t="n">
        <v>3.2</v>
      </c>
      <c r="H191" t="n">
        <v>0</v>
      </c>
      <c r="I191" t="n">
        <v>1</v>
      </c>
      <c r="J191" t="n">
        <v>0</v>
      </c>
      <c r="K191" t="n">
        <v>0</v>
      </c>
      <c r="L191" t="n">
        <v>0</v>
      </c>
      <c r="M191" t="n">
        <v>0</v>
      </c>
      <c r="N191" t="n">
        <v>0</v>
      </c>
      <c r="O191" t="n">
        <v>0</v>
      </c>
      <c r="P191" t="n">
        <v>0</v>
      </c>
      <c r="Q191" t="n">
        <v>1</v>
      </c>
      <c r="R191" s="2" t="inlineStr">
        <is>
          <t>Trådticka</t>
        </is>
      </c>
      <c r="S191">
        <f>HYPERLINK("https://klasma.github.io/Logging_0188/artfynd/A 59580-2023 artfynd.xlsx", "A 59580-2023")</f>
        <v/>
      </c>
      <c r="T191">
        <f>HYPERLINK("https://klasma.github.io/Logging_0188/kartor/A 59580-2023 karta.png", "A 59580-2023")</f>
        <v/>
      </c>
      <c r="V191">
        <f>HYPERLINK("https://klasma.github.io/Logging_0188/klagomål/A 59580-2023 FSC-klagomål.docx", "A 59580-2023")</f>
        <v/>
      </c>
      <c r="W191">
        <f>HYPERLINK("https://klasma.github.io/Logging_0188/klagomålsmail/A 59580-2023 FSC-klagomål mail.docx", "A 59580-2023")</f>
        <v/>
      </c>
      <c r="X191">
        <f>HYPERLINK("https://klasma.github.io/Logging_0188/tillsyn/A 59580-2023 tillsynsbegäran.docx", "A 59580-2023")</f>
        <v/>
      </c>
      <c r="Y191">
        <f>HYPERLINK("https://klasma.github.io/Logging_0188/tillsynsmail/A 59580-2023 tillsynsbegäran mail.docx", "A 59580-2023")</f>
        <v/>
      </c>
    </row>
    <row r="192" ht="15" customHeight="1">
      <c r="A192" t="inlineStr">
        <is>
          <t>A 63851-2023</t>
        </is>
      </c>
      <c r="B192" s="1" t="n">
        <v>45278</v>
      </c>
      <c r="C192" s="1" t="n">
        <v>45750</v>
      </c>
      <c r="D192" t="inlineStr">
        <is>
          <t>STOCKHOLMS LÄN</t>
        </is>
      </c>
      <c r="E192" t="inlineStr">
        <is>
          <t>NORRTÄLJE</t>
        </is>
      </c>
      <c r="G192" t="n">
        <v>5.6</v>
      </c>
      <c r="H192" t="n">
        <v>1</v>
      </c>
      <c r="I192" t="n">
        <v>0</v>
      </c>
      <c r="J192" t="n">
        <v>0</v>
      </c>
      <c r="K192" t="n">
        <v>0</v>
      </c>
      <c r="L192" t="n">
        <v>0</v>
      </c>
      <c r="M192" t="n">
        <v>0</v>
      </c>
      <c r="N192" t="n">
        <v>0</v>
      </c>
      <c r="O192" t="n">
        <v>0</v>
      </c>
      <c r="P192" t="n">
        <v>0</v>
      </c>
      <c r="Q192" t="n">
        <v>1</v>
      </c>
      <c r="R192" s="2" t="inlineStr">
        <is>
          <t>Tjäder</t>
        </is>
      </c>
      <c r="S192">
        <f>HYPERLINK("https://klasma.github.io/Logging_0188/artfynd/A 63851-2023 artfynd.xlsx", "A 63851-2023")</f>
        <v/>
      </c>
      <c r="T192">
        <f>HYPERLINK("https://klasma.github.io/Logging_0188/kartor/A 63851-2023 karta.png", "A 63851-2023")</f>
        <v/>
      </c>
      <c r="V192">
        <f>HYPERLINK("https://klasma.github.io/Logging_0188/klagomål/A 63851-2023 FSC-klagomål.docx", "A 63851-2023")</f>
        <v/>
      </c>
      <c r="W192">
        <f>HYPERLINK("https://klasma.github.io/Logging_0188/klagomålsmail/A 63851-2023 FSC-klagomål mail.docx", "A 63851-2023")</f>
        <v/>
      </c>
      <c r="X192">
        <f>HYPERLINK("https://klasma.github.io/Logging_0188/tillsyn/A 63851-2023 tillsynsbegäran.docx", "A 63851-2023")</f>
        <v/>
      </c>
      <c r="Y192">
        <f>HYPERLINK("https://klasma.github.io/Logging_0188/tillsynsmail/A 63851-2023 tillsynsbegäran mail.docx", "A 63851-2023")</f>
        <v/>
      </c>
      <c r="Z192">
        <f>HYPERLINK("https://klasma.github.io/Logging_0188/fåglar/A 63851-2023 prioriterade fågelarter.docx", "A 63851-2023")</f>
        <v/>
      </c>
    </row>
    <row r="193" ht="15" customHeight="1">
      <c r="A193" t="inlineStr">
        <is>
          <t>A 64456-2023</t>
        </is>
      </c>
      <c r="B193" s="1" t="n">
        <v>45280</v>
      </c>
      <c r="C193" s="1" t="n">
        <v>45750</v>
      </c>
      <c r="D193" t="inlineStr">
        <is>
          <t>STOCKHOLMS LÄN</t>
        </is>
      </c>
      <c r="E193" t="inlineStr">
        <is>
          <t>NORRTÄLJE</t>
        </is>
      </c>
      <c r="G193" t="n">
        <v>2.5</v>
      </c>
      <c r="H193" t="n">
        <v>0</v>
      </c>
      <c r="I193" t="n">
        <v>1</v>
      </c>
      <c r="J193" t="n">
        <v>0</v>
      </c>
      <c r="K193" t="n">
        <v>0</v>
      </c>
      <c r="L193" t="n">
        <v>0</v>
      </c>
      <c r="M193" t="n">
        <v>0</v>
      </c>
      <c r="N193" t="n">
        <v>0</v>
      </c>
      <c r="O193" t="n">
        <v>0</v>
      </c>
      <c r="P193" t="n">
        <v>0</v>
      </c>
      <c r="Q193" t="n">
        <v>1</v>
      </c>
      <c r="R193" s="2" t="inlineStr">
        <is>
          <t>Rödgul trumpetsvamp</t>
        </is>
      </c>
      <c r="S193">
        <f>HYPERLINK("https://klasma.github.io/Logging_0188/artfynd/A 64456-2023 artfynd.xlsx", "A 64456-2023")</f>
        <v/>
      </c>
      <c r="T193">
        <f>HYPERLINK("https://klasma.github.io/Logging_0188/kartor/A 64456-2023 karta.png", "A 64456-2023")</f>
        <v/>
      </c>
      <c r="V193">
        <f>HYPERLINK("https://klasma.github.io/Logging_0188/klagomål/A 64456-2023 FSC-klagomål.docx", "A 64456-2023")</f>
        <v/>
      </c>
      <c r="W193">
        <f>HYPERLINK("https://klasma.github.io/Logging_0188/klagomålsmail/A 64456-2023 FSC-klagomål mail.docx", "A 64456-2023")</f>
        <v/>
      </c>
      <c r="X193">
        <f>HYPERLINK("https://klasma.github.io/Logging_0188/tillsyn/A 64456-2023 tillsynsbegäran.docx", "A 64456-2023")</f>
        <v/>
      </c>
      <c r="Y193">
        <f>HYPERLINK("https://klasma.github.io/Logging_0188/tillsynsmail/A 64456-2023 tillsynsbegäran mail.docx", "A 64456-2023")</f>
        <v/>
      </c>
    </row>
    <row r="194" ht="15" customHeight="1">
      <c r="A194" t="inlineStr">
        <is>
          <t>A 4730-2024</t>
        </is>
      </c>
      <c r="B194" s="1" t="n">
        <v>45328</v>
      </c>
      <c r="C194" s="1" t="n">
        <v>45750</v>
      </c>
      <c r="D194" t="inlineStr">
        <is>
          <t>STOCKHOLMS LÄN</t>
        </is>
      </c>
      <c r="E194" t="inlineStr">
        <is>
          <t>NORRTÄLJE</t>
        </is>
      </c>
      <c r="G194" t="n">
        <v>4.4</v>
      </c>
      <c r="H194" t="n">
        <v>1</v>
      </c>
      <c r="I194" t="n">
        <v>0</v>
      </c>
      <c r="J194" t="n">
        <v>0</v>
      </c>
      <c r="K194" t="n">
        <v>0</v>
      </c>
      <c r="L194" t="n">
        <v>0</v>
      </c>
      <c r="M194" t="n">
        <v>0</v>
      </c>
      <c r="N194" t="n">
        <v>0</v>
      </c>
      <c r="O194" t="n">
        <v>0</v>
      </c>
      <c r="P194" t="n">
        <v>0</v>
      </c>
      <c r="Q194" t="n">
        <v>1</v>
      </c>
      <c r="R194" s="2" t="inlineStr">
        <is>
          <t>Blåsippa</t>
        </is>
      </c>
      <c r="S194">
        <f>HYPERLINK("https://klasma.github.io/Logging_0188/artfynd/A 4730-2024 artfynd.xlsx", "A 4730-2024")</f>
        <v/>
      </c>
      <c r="T194">
        <f>HYPERLINK("https://klasma.github.io/Logging_0188/kartor/A 4730-2024 karta.png", "A 4730-2024")</f>
        <v/>
      </c>
      <c r="V194">
        <f>HYPERLINK("https://klasma.github.io/Logging_0188/klagomål/A 4730-2024 FSC-klagomål.docx", "A 4730-2024")</f>
        <v/>
      </c>
      <c r="W194">
        <f>HYPERLINK("https://klasma.github.io/Logging_0188/klagomålsmail/A 4730-2024 FSC-klagomål mail.docx", "A 4730-2024")</f>
        <v/>
      </c>
      <c r="X194">
        <f>HYPERLINK("https://klasma.github.io/Logging_0188/tillsyn/A 4730-2024 tillsynsbegäran.docx", "A 4730-2024")</f>
        <v/>
      </c>
      <c r="Y194">
        <f>HYPERLINK("https://klasma.github.io/Logging_0188/tillsynsmail/A 4730-2024 tillsynsbegäran mail.docx", "A 4730-2024")</f>
        <v/>
      </c>
    </row>
    <row r="195" ht="15" customHeight="1">
      <c r="A195" t="inlineStr">
        <is>
          <t>A 6950-2024</t>
        </is>
      </c>
      <c r="B195" s="1" t="n">
        <v>45343</v>
      </c>
      <c r="C195" s="1" t="n">
        <v>45750</v>
      </c>
      <c r="D195" t="inlineStr">
        <is>
          <t>STOCKHOLMS LÄN</t>
        </is>
      </c>
      <c r="E195" t="inlineStr">
        <is>
          <t>NORRTÄLJE</t>
        </is>
      </c>
      <c r="G195" t="n">
        <v>26.8</v>
      </c>
      <c r="H195" t="n">
        <v>1</v>
      </c>
      <c r="I195" t="n">
        <v>0</v>
      </c>
      <c r="J195" t="n">
        <v>0</v>
      </c>
      <c r="K195" t="n">
        <v>0</v>
      </c>
      <c r="L195" t="n">
        <v>0</v>
      </c>
      <c r="M195" t="n">
        <v>0</v>
      </c>
      <c r="N195" t="n">
        <v>0</v>
      </c>
      <c r="O195" t="n">
        <v>0</v>
      </c>
      <c r="P195" t="n">
        <v>0</v>
      </c>
      <c r="Q195" t="n">
        <v>1</v>
      </c>
      <c r="R195" s="2" t="inlineStr">
        <is>
          <t>Blåsippa</t>
        </is>
      </c>
      <c r="S195">
        <f>HYPERLINK("https://klasma.github.io/Logging_0188/artfynd/A 6950-2024 artfynd.xlsx", "A 6950-2024")</f>
        <v/>
      </c>
      <c r="T195">
        <f>HYPERLINK("https://klasma.github.io/Logging_0188/kartor/A 6950-2024 karta.png", "A 6950-2024")</f>
        <v/>
      </c>
      <c r="V195">
        <f>HYPERLINK("https://klasma.github.io/Logging_0188/klagomål/A 6950-2024 FSC-klagomål.docx", "A 6950-2024")</f>
        <v/>
      </c>
      <c r="W195">
        <f>HYPERLINK("https://klasma.github.io/Logging_0188/klagomålsmail/A 6950-2024 FSC-klagomål mail.docx", "A 6950-2024")</f>
        <v/>
      </c>
      <c r="X195">
        <f>HYPERLINK("https://klasma.github.io/Logging_0188/tillsyn/A 6950-2024 tillsynsbegäran.docx", "A 6950-2024")</f>
        <v/>
      </c>
      <c r="Y195">
        <f>HYPERLINK("https://klasma.github.io/Logging_0188/tillsynsmail/A 6950-2024 tillsynsbegäran mail.docx", "A 6950-2024")</f>
        <v/>
      </c>
    </row>
    <row r="196" ht="15" customHeight="1">
      <c r="A196" t="inlineStr">
        <is>
          <t>A 20468-2024</t>
        </is>
      </c>
      <c r="B196" s="1" t="n">
        <v>45435</v>
      </c>
      <c r="C196" s="1" t="n">
        <v>45750</v>
      </c>
      <c r="D196" t="inlineStr">
        <is>
          <t>STOCKHOLMS LÄN</t>
        </is>
      </c>
      <c r="E196" t="inlineStr">
        <is>
          <t>NORRTÄLJE</t>
        </is>
      </c>
      <c r="G196" t="n">
        <v>2.2</v>
      </c>
      <c r="H196" t="n">
        <v>0</v>
      </c>
      <c r="I196" t="n">
        <v>0</v>
      </c>
      <c r="J196" t="n">
        <v>0</v>
      </c>
      <c r="K196" t="n">
        <v>0</v>
      </c>
      <c r="L196" t="n">
        <v>1</v>
      </c>
      <c r="M196" t="n">
        <v>0</v>
      </c>
      <c r="N196" t="n">
        <v>0</v>
      </c>
      <c r="O196" t="n">
        <v>1</v>
      </c>
      <c r="P196" t="n">
        <v>1</v>
      </c>
      <c r="Q196" t="n">
        <v>1</v>
      </c>
      <c r="R196" s="2" t="inlineStr">
        <is>
          <t>Fältgentiana</t>
        </is>
      </c>
      <c r="S196">
        <f>HYPERLINK("https://klasma.github.io/Logging_0188/artfynd/A 20468-2024 artfynd.xlsx", "A 20468-2024")</f>
        <v/>
      </c>
      <c r="T196">
        <f>HYPERLINK("https://klasma.github.io/Logging_0188/kartor/A 20468-2024 karta.png", "A 20468-2024")</f>
        <v/>
      </c>
      <c r="V196">
        <f>HYPERLINK("https://klasma.github.io/Logging_0188/klagomål/A 20468-2024 FSC-klagomål.docx", "A 20468-2024")</f>
        <v/>
      </c>
      <c r="W196">
        <f>HYPERLINK("https://klasma.github.io/Logging_0188/klagomålsmail/A 20468-2024 FSC-klagomål mail.docx", "A 20468-2024")</f>
        <v/>
      </c>
      <c r="X196">
        <f>HYPERLINK("https://klasma.github.io/Logging_0188/tillsyn/A 20468-2024 tillsynsbegäran.docx", "A 20468-2024")</f>
        <v/>
      </c>
      <c r="Y196">
        <f>HYPERLINK("https://klasma.github.io/Logging_0188/tillsynsmail/A 20468-2024 tillsynsbegäran mail.docx", "A 20468-2024")</f>
        <v/>
      </c>
    </row>
    <row r="197" ht="15" customHeight="1">
      <c r="A197" t="inlineStr">
        <is>
          <t>A 22190-2024</t>
        </is>
      </c>
      <c r="B197" s="1" t="n">
        <v>45446</v>
      </c>
      <c r="C197" s="1" t="n">
        <v>45750</v>
      </c>
      <c r="D197" t="inlineStr">
        <is>
          <t>STOCKHOLMS LÄN</t>
        </is>
      </c>
      <c r="E197" t="inlineStr">
        <is>
          <t>NORRTÄLJE</t>
        </is>
      </c>
      <c r="G197" t="n">
        <v>2.8</v>
      </c>
      <c r="H197" t="n">
        <v>1</v>
      </c>
      <c r="I197" t="n">
        <v>0</v>
      </c>
      <c r="J197" t="n">
        <v>0</v>
      </c>
      <c r="K197" t="n">
        <v>0</v>
      </c>
      <c r="L197" t="n">
        <v>0</v>
      </c>
      <c r="M197" t="n">
        <v>0</v>
      </c>
      <c r="N197" t="n">
        <v>0</v>
      </c>
      <c r="O197" t="n">
        <v>0</v>
      </c>
      <c r="P197" t="n">
        <v>0</v>
      </c>
      <c r="Q197" t="n">
        <v>1</v>
      </c>
      <c r="R197" s="2" t="inlineStr">
        <is>
          <t>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23146-2024</t>
        </is>
      </c>
      <c r="B198" s="1" t="n">
        <v>45450</v>
      </c>
      <c r="C198" s="1" t="n">
        <v>45750</v>
      </c>
      <c r="D198" t="inlineStr">
        <is>
          <t>STOCKHOLMS LÄN</t>
        </is>
      </c>
      <c r="E198" t="inlineStr">
        <is>
          <t>NORRTÄLJE</t>
        </is>
      </c>
      <c r="F198" t="inlineStr">
        <is>
          <t>Kommuner</t>
        </is>
      </c>
      <c r="G198" t="n">
        <v>6</v>
      </c>
      <c r="H198" t="n">
        <v>0</v>
      </c>
      <c r="I198" t="n">
        <v>0</v>
      </c>
      <c r="J198" t="n">
        <v>1</v>
      </c>
      <c r="K198" t="n">
        <v>0</v>
      </c>
      <c r="L198" t="n">
        <v>0</v>
      </c>
      <c r="M198" t="n">
        <v>0</v>
      </c>
      <c r="N198" t="n">
        <v>0</v>
      </c>
      <c r="O198" t="n">
        <v>1</v>
      </c>
      <c r="P198" t="n">
        <v>0</v>
      </c>
      <c r="Q198" t="n">
        <v>1</v>
      </c>
      <c r="R198" s="2" t="inlineStr">
        <is>
          <t>Motaggsvamp</t>
        </is>
      </c>
      <c r="S198">
        <f>HYPERLINK("https://klasma.github.io/Logging_0188/artfynd/A 23146-2024 artfynd.xlsx", "A 23146-2024")</f>
        <v/>
      </c>
      <c r="T198">
        <f>HYPERLINK("https://klasma.github.io/Logging_0188/kartor/A 23146-2024 karta.png", "A 23146-2024")</f>
        <v/>
      </c>
      <c r="V198">
        <f>HYPERLINK("https://klasma.github.io/Logging_0188/klagomål/A 23146-2024 FSC-klagomål.docx", "A 23146-2024")</f>
        <v/>
      </c>
      <c r="W198">
        <f>HYPERLINK("https://klasma.github.io/Logging_0188/klagomålsmail/A 23146-2024 FSC-klagomål mail.docx", "A 23146-2024")</f>
        <v/>
      </c>
      <c r="X198">
        <f>HYPERLINK("https://klasma.github.io/Logging_0188/tillsyn/A 23146-2024 tillsynsbegäran.docx", "A 23146-2024")</f>
        <v/>
      </c>
      <c r="Y198">
        <f>HYPERLINK("https://klasma.github.io/Logging_0188/tillsynsmail/A 23146-2024 tillsynsbegäran mail.docx", "A 23146-2024")</f>
        <v/>
      </c>
    </row>
    <row r="199" ht="15" customHeight="1">
      <c r="A199" t="inlineStr">
        <is>
          <t>A 24577-2024</t>
        </is>
      </c>
      <c r="B199" s="1" t="n">
        <v>45460</v>
      </c>
      <c r="C199" s="1" t="n">
        <v>45750</v>
      </c>
      <c r="D199" t="inlineStr">
        <is>
          <t>STOCKHOLMS LÄN</t>
        </is>
      </c>
      <c r="E199" t="inlineStr">
        <is>
          <t>NORRTÄLJE</t>
        </is>
      </c>
      <c r="G199" t="n">
        <v>3.8</v>
      </c>
      <c r="H199" t="n">
        <v>0</v>
      </c>
      <c r="I199" t="n">
        <v>1</v>
      </c>
      <c r="J199" t="n">
        <v>0</v>
      </c>
      <c r="K199" t="n">
        <v>0</v>
      </c>
      <c r="L199" t="n">
        <v>0</v>
      </c>
      <c r="M199" t="n">
        <v>0</v>
      </c>
      <c r="N199" t="n">
        <v>0</v>
      </c>
      <c r="O199" t="n">
        <v>0</v>
      </c>
      <c r="P199" t="n">
        <v>0</v>
      </c>
      <c r="Q199" t="n">
        <v>1</v>
      </c>
      <c r="R199" s="2" t="inlineStr">
        <is>
          <t>Rostfläck</t>
        </is>
      </c>
      <c r="S199">
        <f>HYPERLINK("https://klasma.github.io/Logging_0188/artfynd/A 24577-2024 artfynd.xlsx", "A 24577-2024")</f>
        <v/>
      </c>
      <c r="T199">
        <f>HYPERLINK("https://klasma.github.io/Logging_0188/kartor/A 24577-2024 karta.png", "A 24577-2024")</f>
        <v/>
      </c>
      <c r="V199">
        <f>HYPERLINK("https://klasma.github.io/Logging_0188/klagomål/A 24577-2024 FSC-klagomål.docx", "A 24577-2024")</f>
        <v/>
      </c>
      <c r="W199">
        <f>HYPERLINK("https://klasma.github.io/Logging_0188/klagomålsmail/A 24577-2024 FSC-klagomål mail.docx", "A 24577-2024")</f>
        <v/>
      </c>
      <c r="X199">
        <f>HYPERLINK("https://klasma.github.io/Logging_0188/tillsyn/A 24577-2024 tillsynsbegäran.docx", "A 24577-2024")</f>
        <v/>
      </c>
      <c r="Y199">
        <f>HYPERLINK("https://klasma.github.io/Logging_0188/tillsynsmail/A 24577-2024 tillsynsbegäran mail.docx", "A 24577-2024")</f>
        <v/>
      </c>
    </row>
    <row r="200" ht="15" customHeight="1">
      <c r="A200" t="inlineStr">
        <is>
          <t>A 24528-2024</t>
        </is>
      </c>
      <c r="B200" s="1" t="n">
        <v>45460</v>
      </c>
      <c r="C200" s="1" t="n">
        <v>45750</v>
      </c>
      <c r="D200" t="inlineStr">
        <is>
          <t>STOCKHOLMS LÄN</t>
        </is>
      </c>
      <c r="E200" t="inlineStr">
        <is>
          <t>NORRTÄLJE</t>
        </is>
      </c>
      <c r="G200" t="n">
        <v>1.4</v>
      </c>
      <c r="H200" t="n">
        <v>1</v>
      </c>
      <c r="I200" t="n">
        <v>0</v>
      </c>
      <c r="J200" t="n">
        <v>0</v>
      </c>
      <c r="K200" t="n">
        <v>1</v>
      </c>
      <c r="L200" t="n">
        <v>0</v>
      </c>
      <c r="M200" t="n">
        <v>0</v>
      </c>
      <c r="N200" t="n">
        <v>0</v>
      </c>
      <c r="O200" t="n">
        <v>1</v>
      </c>
      <c r="P200" t="n">
        <v>1</v>
      </c>
      <c r="Q200" t="n">
        <v>1</v>
      </c>
      <c r="R200" s="2" t="inlineStr">
        <is>
          <t>Hällebräcka</t>
        </is>
      </c>
      <c r="S200">
        <f>HYPERLINK("https://klasma.github.io/Logging_0188/artfynd/A 24528-2024 artfynd.xlsx", "A 24528-2024")</f>
        <v/>
      </c>
      <c r="T200">
        <f>HYPERLINK("https://klasma.github.io/Logging_0188/kartor/A 24528-2024 karta.png", "A 24528-2024")</f>
        <v/>
      </c>
      <c r="V200">
        <f>HYPERLINK("https://klasma.github.io/Logging_0188/klagomål/A 24528-2024 FSC-klagomål.docx", "A 24528-2024")</f>
        <v/>
      </c>
      <c r="W200">
        <f>HYPERLINK("https://klasma.github.io/Logging_0188/klagomålsmail/A 24528-2024 FSC-klagomål mail.docx", "A 24528-2024")</f>
        <v/>
      </c>
      <c r="X200">
        <f>HYPERLINK("https://klasma.github.io/Logging_0188/tillsyn/A 24528-2024 tillsynsbegäran.docx", "A 24528-2024")</f>
        <v/>
      </c>
      <c r="Y200">
        <f>HYPERLINK("https://klasma.github.io/Logging_0188/tillsynsmail/A 24528-2024 tillsynsbegäran mail.docx", "A 24528-2024")</f>
        <v/>
      </c>
    </row>
    <row r="201" ht="15" customHeight="1">
      <c r="A201" t="inlineStr">
        <is>
          <t>A 26120-2024</t>
        </is>
      </c>
      <c r="B201" s="1" t="n">
        <v>45468</v>
      </c>
      <c r="C201" s="1" t="n">
        <v>45750</v>
      </c>
      <c r="D201" t="inlineStr">
        <is>
          <t>STOCKHOLMS LÄN</t>
        </is>
      </c>
      <c r="E201" t="inlineStr">
        <is>
          <t>NORRTÄLJE</t>
        </is>
      </c>
      <c r="G201" t="n">
        <v>1.8</v>
      </c>
      <c r="H201" t="n">
        <v>0</v>
      </c>
      <c r="I201" t="n">
        <v>0</v>
      </c>
      <c r="J201" t="n">
        <v>1</v>
      </c>
      <c r="K201" t="n">
        <v>0</v>
      </c>
      <c r="L201" t="n">
        <v>0</v>
      </c>
      <c r="M201" t="n">
        <v>0</v>
      </c>
      <c r="N201" t="n">
        <v>0</v>
      </c>
      <c r="O201" t="n">
        <v>1</v>
      </c>
      <c r="P201" t="n">
        <v>0</v>
      </c>
      <c r="Q201" t="n">
        <v>1</v>
      </c>
      <c r="R201" s="2" t="inlineStr">
        <is>
          <t>Majviva</t>
        </is>
      </c>
      <c r="S201">
        <f>HYPERLINK("https://klasma.github.io/Logging_0188/artfynd/A 26120-2024 artfynd.xlsx", "A 26120-2024")</f>
        <v/>
      </c>
      <c r="T201">
        <f>HYPERLINK("https://klasma.github.io/Logging_0188/kartor/A 26120-2024 karta.png", "A 26120-2024")</f>
        <v/>
      </c>
      <c r="V201">
        <f>HYPERLINK("https://klasma.github.io/Logging_0188/klagomål/A 26120-2024 FSC-klagomål.docx", "A 26120-2024")</f>
        <v/>
      </c>
      <c r="W201">
        <f>HYPERLINK("https://klasma.github.io/Logging_0188/klagomålsmail/A 26120-2024 FSC-klagomål mail.docx", "A 26120-2024")</f>
        <v/>
      </c>
      <c r="X201">
        <f>HYPERLINK("https://klasma.github.io/Logging_0188/tillsyn/A 26120-2024 tillsynsbegäran.docx", "A 26120-2024")</f>
        <v/>
      </c>
      <c r="Y201">
        <f>HYPERLINK("https://klasma.github.io/Logging_0188/tillsynsmail/A 26120-2024 tillsynsbegäran mail.docx", "A 26120-2024")</f>
        <v/>
      </c>
    </row>
    <row r="202" ht="15" customHeight="1">
      <c r="A202" t="inlineStr">
        <is>
          <t>A 27538-2024</t>
        </is>
      </c>
      <c r="B202" s="1" t="n">
        <v>45474</v>
      </c>
      <c r="C202" s="1" t="n">
        <v>45750</v>
      </c>
      <c r="D202" t="inlineStr">
        <is>
          <t>STOCKHOLMS LÄN</t>
        </is>
      </c>
      <c r="E202" t="inlineStr">
        <is>
          <t>NORRTÄLJE</t>
        </is>
      </c>
      <c r="G202" t="n">
        <v>1.5</v>
      </c>
      <c r="H202" t="n">
        <v>1</v>
      </c>
      <c r="I202" t="n">
        <v>1</v>
      </c>
      <c r="J202" t="n">
        <v>0</v>
      </c>
      <c r="K202" t="n">
        <v>0</v>
      </c>
      <c r="L202" t="n">
        <v>0</v>
      </c>
      <c r="M202" t="n">
        <v>0</v>
      </c>
      <c r="N202" t="n">
        <v>0</v>
      </c>
      <c r="O202" t="n">
        <v>0</v>
      </c>
      <c r="P202" t="n">
        <v>0</v>
      </c>
      <c r="Q202" t="n">
        <v>1</v>
      </c>
      <c r="R202" s="2" t="inlineStr">
        <is>
          <t>Skogsknipprot</t>
        </is>
      </c>
      <c r="S202">
        <f>HYPERLINK("https://klasma.github.io/Logging_0188/artfynd/A 27538-2024 artfynd.xlsx", "A 27538-2024")</f>
        <v/>
      </c>
      <c r="T202">
        <f>HYPERLINK("https://klasma.github.io/Logging_0188/kartor/A 27538-2024 karta.png", "A 27538-2024")</f>
        <v/>
      </c>
      <c r="V202">
        <f>HYPERLINK("https://klasma.github.io/Logging_0188/klagomål/A 27538-2024 FSC-klagomål.docx", "A 27538-2024")</f>
        <v/>
      </c>
      <c r="W202">
        <f>HYPERLINK("https://klasma.github.io/Logging_0188/klagomålsmail/A 27538-2024 FSC-klagomål mail.docx", "A 27538-2024")</f>
        <v/>
      </c>
      <c r="X202">
        <f>HYPERLINK("https://klasma.github.io/Logging_0188/tillsyn/A 27538-2024 tillsynsbegäran.docx", "A 27538-2024")</f>
        <v/>
      </c>
      <c r="Y202">
        <f>HYPERLINK("https://klasma.github.io/Logging_0188/tillsynsmail/A 27538-2024 tillsynsbegäran mail.docx", "A 27538-2024")</f>
        <v/>
      </c>
    </row>
    <row r="203" ht="15" customHeight="1">
      <c r="A203" t="inlineStr">
        <is>
          <t>A 35764-2024</t>
        </is>
      </c>
      <c r="B203" s="1" t="n">
        <v>45532</v>
      </c>
      <c r="C203" s="1" t="n">
        <v>45750</v>
      </c>
      <c r="D203" t="inlineStr">
        <is>
          <t>STOCKHOLMS LÄN</t>
        </is>
      </c>
      <c r="E203" t="inlineStr">
        <is>
          <t>NORRTÄLJE</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HYPERLINK("https://klasma.github.io/Logging_0188/artfynd/A 35764-2024 artfynd.xlsx", "A 35764-2024")</f>
        <v/>
      </c>
      <c r="T203">
        <f>HYPERLINK("https://klasma.github.io/Logging_0188/kartor/A 35764-2024 karta.png", "A 35764-2024")</f>
        <v/>
      </c>
      <c r="U203">
        <f>HYPERLINK("https://klasma.github.io/Logging_0188/knärot/A 35764-2024 karta knärot.png", "A 35764-2024")</f>
        <v/>
      </c>
      <c r="V203">
        <f>HYPERLINK("https://klasma.github.io/Logging_0188/klagomål/A 35764-2024 FSC-klagomål.docx", "A 35764-2024")</f>
        <v/>
      </c>
      <c r="W203">
        <f>HYPERLINK("https://klasma.github.io/Logging_0188/klagomålsmail/A 35764-2024 FSC-klagomål mail.docx", "A 35764-2024")</f>
        <v/>
      </c>
      <c r="X203">
        <f>HYPERLINK("https://klasma.github.io/Logging_0188/tillsyn/A 35764-2024 tillsynsbegäran.docx", "A 35764-2024")</f>
        <v/>
      </c>
      <c r="Y203">
        <f>HYPERLINK("https://klasma.github.io/Logging_0188/tillsynsmail/A 35764-2024 tillsynsbegäran mail.docx", "A 35764-2024")</f>
        <v/>
      </c>
    </row>
    <row r="204" ht="15" customHeight="1">
      <c r="A204" t="inlineStr">
        <is>
          <t>A 37918-2024</t>
        </is>
      </c>
      <c r="B204" s="1" t="n">
        <v>45544</v>
      </c>
      <c r="C204" s="1" t="n">
        <v>45750</v>
      </c>
      <c r="D204" t="inlineStr">
        <is>
          <t>STOCKHOLMS LÄN</t>
        </is>
      </c>
      <c r="E204" t="inlineStr">
        <is>
          <t>NORRTÄLJE</t>
        </is>
      </c>
      <c r="F204" t="inlineStr">
        <is>
          <t>Holmen skog AB</t>
        </is>
      </c>
      <c r="G204" t="n">
        <v>8.4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37918-2024 artfynd.xlsx", "A 37918-2024")</f>
        <v/>
      </c>
      <c r="T204">
        <f>HYPERLINK("https://klasma.github.io/Logging_0188/kartor/A 37918-2024 karta.png", "A 37918-2024")</f>
        <v/>
      </c>
      <c r="V204">
        <f>HYPERLINK("https://klasma.github.io/Logging_0188/klagomål/A 37918-2024 FSC-klagomål.docx", "A 37918-2024")</f>
        <v/>
      </c>
      <c r="W204">
        <f>HYPERLINK("https://klasma.github.io/Logging_0188/klagomålsmail/A 37918-2024 FSC-klagomål mail.docx", "A 37918-2024")</f>
        <v/>
      </c>
      <c r="X204">
        <f>HYPERLINK("https://klasma.github.io/Logging_0188/tillsyn/A 37918-2024 tillsynsbegäran.docx", "A 37918-2024")</f>
        <v/>
      </c>
      <c r="Y204">
        <f>HYPERLINK("https://klasma.github.io/Logging_0188/tillsynsmail/A 37918-2024 tillsynsbegäran mail.docx", "A 37918-2024")</f>
        <v/>
      </c>
    </row>
    <row r="205" ht="15" customHeight="1">
      <c r="A205" t="inlineStr">
        <is>
          <t>A 44547-2024</t>
        </is>
      </c>
      <c r="B205" s="1" t="n">
        <v>45574</v>
      </c>
      <c r="C205" s="1" t="n">
        <v>45750</v>
      </c>
      <c r="D205" t="inlineStr">
        <is>
          <t>STOCKHOLMS LÄN</t>
        </is>
      </c>
      <c r="E205" t="inlineStr">
        <is>
          <t>NORRTÄLJE</t>
        </is>
      </c>
      <c r="G205" t="n">
        <v>11.1</v>
      </c>
      <c r="H205" t="n">
        <v>0</v>
      </c>
      <c r="I205" t="n">
        <v>0</v>
      </c>
      <c r="J205" t="n">
        <v>1</v>
      </c>
      <c r="K205" t="n">
        <v>0</v>
      </c>
      <c r="L205" t="n">
        <v>0</v>
      </c>
      <c r="M205" t="n">
        <v>0</v>
      </c>
      <c r="N205" t="n">
        <v>0</v>
      </c>
      <c r="O205" t="n">
        <v>1</v>
      </c>
      <c r="P205" t="n">
        <v>0</v>
      </c>
      <c r="Q205" t="n">
        <v>1</v>
      </c>
      <c r="R205" s="2" t="inlineStr">
        <is>
          <t>Skogsklocka</t>
        </is>
      </c>
      <c r="S205">
        <f>HYPERLINK("https://klasma.github.io/Logging_0188/artfynd/A 44547-2024 artfynd.xlsx", "A 44547-2024")</f>
        <v/>
      </c>
      <c r="T205">
        <f>HYPERLINK("https://klasma.github.io/Logging_0188/kartor/A 44547-2024 karta.png", "A 44547-2024")</f>
        <v/>
      </c>
      <c r="V205">
        <f>HYPERLINK("https://klasma.github.io/Logging_0188/klagomål/A 44547-2024 FSC-klagomål.docx", "A 44547-2024")</f>
        <v/>
      </c>
      <c r="W205">
        <f>HYPERLINK("https://klasma.github.io/Logging_0188/klagomålsmail/A 44547-2024 FSC-klagomål mail.docx", "A 44547-2024")</f>
        <v/>
      </c>
      <c r="X205">
        <f>HYPERLINK("https://klasma.github.io/Logging_0188/tillsyn/A 44547-2024 tillsynsbegäran.docx", "A 44547-2024")</f>
        <v/>
      </c>
      <c r="Y205">
        <f>HYPERLINK("https://klasma.github.io/Logging_0188/tillsynsmail/A 44547-2024 tillsynsbegäran mail.docx", "A 44547-2024")</f>
        <v/>
      </c>
    </row>
    <row r="206" ht="15" customHeight="1">
      <c r="A206" t="inlineStr">
        <is>
          <t>A 52363-2024</t>
        </is>
      </c>
      <c r="B206" s="1" t="n">
        <v>45609</v>
      </c>
      <c r="C206" s="1" t="n">
        <v>45750</v>
      </c>
      <c r="D206" t="inlineStr">
        <is>
          <t>STOCKHOLMS LÄN</t>
        </is>
      </c>
      <c r="E206" t="inlineStr">
        <is>
          <t>NORRTÄLJE</t>
        </is>
      </c>
      <c r="G206" t="n">
        <v>9.199999999999999</v>
      </c>
      <c r="H206" t="n">
        <v>1</v>
      </c>
      <c r="I206" t="n">
        <v>0</v>
      </c>
      <c r="J206" t="n">
        <v>0</v>
      </c>
      <c r="K206" t="n">
        <v>0</v>
      </c>
      <c r="L206" t="n">
        <v>0</v>
      </c>
      <c r="M206" t="n">
        <v>0</v>
      </c>
      <c r="N206" t="n">
        <v>0</v>
      </c>
      <c r="O206" t="n">
        <v>0</v>
      </c>
      <c r="P206" t="n">
        <v>0</v>
      </c>
      <c r="Q206" t="n">
        <v>1</v>
      </c>
      <c r="R206" s="2" t="inlineStr">
        <is>
          <t>Revlummer</t>
        </is>
      </c>
      <c r="S206">
        <f>HYPERLINK("https://klasma.github.io/Logging_0188/artfynd/A 52363-2024 artfynd.xlsx", "A 52363-2024")</f>
        <v/>
      </c>
      <c r="T206">
        <f>HYPERLINK("https://klasma.github.io/Logging_0188/kartor/A 52363-2024 karta.png", "A 52363-2024")</f>
        <v/>
      </c>
      <c r="V206">
        <f>HYPERLINK("https://klasma.github.io/Logging_0188/klagomål/A 52363-2024 FSC-klagomål.docx", "A 52363-2024")</f>
        <v/>
      </c>
      <c r="W206">
        <f>HYPERLINK("https://klasma.github.io/Logging_0188/klagomålsmail/A 52363-2024 FSC-klagomål mail.docx", "A 52363-2024")</f>
        <v/>
      </c>
      <c r="X206">
        <f>HYPERLINK("https://klasma.github.io/Logging_0188/tillsyn/A 52363-2024 tillsynsbegäran.docx", "A 52363-2024")</f>
        <v/>
      </c>
      <c r="Y206">
        <f>HYPERLINK("https://klasma.github.io/Logging_0188/tillsynsmail/A 52363-2024 tillsynsbegäran mail.docx", "A 52363-2024")</f>
        <v/>
      </c>
    </row>
    <row r="207" ht="15" customHeight="1">
      <c r="A207" t="inlineStr">
        <is>
          <t>A 52611-2024</t>
        </is>
      </c>
      <c r="B207" s="1" t="n">
        <v>45609</v>
      </c>
      <c r="C207" s="1" t="n">
        <v>45750</v>
      </c>
      <c r="D207" t="inlineStr">
        <is>
          <t>STOCKHOLMS LÄN</t>
        </is>
      </c>
      <c r="E207" t="inlineStr">
        <is>
          <t>NORRTÄLJE</t>
        </is>
      </c>
      <c r="G207" t="n">
        <v>10.6</v>
      </c>
      <c r="H207" t="n">
        <v>1</v>
      </c>
      <c r="I207" t="n">
        <v>0</v>
      </c>
      <c r="J207" t="n">
        <v>0</v>
      </c>
      <c r="K207" t="n">
        <v>0</v>
      </c>
      <c r="L207" t="n">
        <v>0</v>
      </c>
      <c r="M207" t="n">
        <v>0</v>
      </c>
      <c r="N207" t="n">
        <v>0</v>
      </c>
      <c r="O207" t="n">
        <v>0</v>
      </c>
      <c r="P207" t="n">
        <v>0</v>
      </c>
      <c r="Q207" t="n">
        <v>1</v>
      </c>
      <c r="R207" s="2" t="inlineStr">
        <is>
          <t>Blåsippa</t>
        </is>
      </c>
      <c r="S207">
        <f>HYPERLINK("https://klasma.github.io/Logging_0188/artfynd/A 52611-2024 artfynd.xlsx", "A 52611-2024")</f>
        <v/>
      </c>
      <c r="T207">
        <f>HYPERLINK("https://klasma.github.io/Logging_0188/kartor/A 52611-2024 karta.png", "A 52611-2024")</f>
        <v/>
      </c>
      <c r="V207">
        <f>HYPERLINK("https://klasma.github.io/Logging_0188/klagomål/A 52611-2024 FSC-klagomål.docx", "A 52611-2024")</f>
        <v/>
      </c>
      <c r="W207">
        <f>HYPERLINK("https://klasma.github.io/Logging_0188/klagomålsmail/A 52611-2024 FSC-klagomål mail.docx", "A 52611-2024")</f>
        <v/>
      </c>
      <c r="X207">
        <f>HYPERLINK("https://klasma.github.io/Logging_0188/tillsyn/A 52611-2024 tillsynsbegäran.docx", "A 52611-2024")</f>
        <v/>
      </c>
      <c r="Y207">
        <f>HYPERLINK("https://klasma.github.io/Logging_0188/tillsynsmail/A 52611-2024 tillsynsbegäran mail.docx", "A 52611-2024")</f>
        <v/>
      </c>
    </row>
    <row r="208" ht="15" customHeight="1">
      <c r="A208" t="inlineStr">
        <is>
          <t>A 62129-2024</t>
        </is>
      </c>
      <c r="B208" s="1" t="n">
        <v>45646</v>
      </c>
      <c r="C208" s="1" t="n">
        <v>45750</v>
      </c>
      <c r="D208" t="inlineStr">
        <is>
          <t>STOCKHOLMS LÄN</t>
        </is>
      </c>
      <c r="E208" t="inlineStr">
        <is>
          <t>NORRTÄLJE</t>
        </is>
      </c>
      <c r="G208" t="n">
        <v>5.9</v>
      </c>
      <c r="H208" t="n">
        <v>0</v>
      </c>
      <c r="I208" t="n">
        <v>1</v>
      </c>
      <c r="J208" t="n">
        <v>0</v>
      </c>
      <c r="K208" t="n">
        <v>0</v>
      </c>
      <c r="L208" t="n">
        <v>0</v>
      </c>
      <c r="M208" t="n">
        <v>0</v>
      </c>
      <c r="N208" t="n">
        <v>0</v>
      </c>
      <c r="O208" t="n">
        <v>0</v>
      </c>
      <c r="P208" t="n">
        <v>0</v>
      </c>
      <c r="Q208" t="n">
        <v>1</v>
      </c>
      <c r="R208" s="2" t="inlineStr">
        <is>
          <t>Bronshjon</t>
        </is>
      </c>
      <c r="S208">
        <f>HYPERLINK("https://klasma.github.io/Logging_0188/artfynd/A 62129-2024 artfynd.xlsx", "A 62129-2024")</f>
        <v/>
      </c>
      <c r="T208">
        <f>HYPERLINK("https://klasma.github.io/Logging_0188/kartor/A 62129-2024 karta.png", "A 62129-2024")</f>
        <v/>
      </c>
      <c r="V208">
        <f>HYPERLINK("https://klasma.github.io/Logging_0188/klagomål/A 62129-2024 FSC-klagomål.docx", "A 62129-2024")</f>
        <v/>
      </c>
      <c r="W208">
        <f>HYPERLINK("https://klasma.github.io/Logging_0188/klagomålsmail/A 62129-2024 FSC-klagomål mail.docx", "A 62129-2024")</f>
        <v/>
      </c>
      <c r="X208">
        <f>HYPERLINK("https://klasma.github.io/Logging_0188/tillsyn/A 62129-2024 tillsynsbegäran.docx", "A 62129-2024")</f>
        <v/>
      </c>
      <c r="Y208">
        <f>HYPERLINK("https://klasma.github.io/Logging_0188/tillsynsmail/A 62129-2024 tillsynsbegäran mail.docx", "A 62129-2024")</f>
        <v/>
      </c>
    </row>
    <row r="209" ht="15" customHeight="1">
      <c r="A209" t="inlineStr">
        <is>
          <t>A 3116-2025</t>
        </is>
      </c>
      <c r="B209" s="1" t="n">
        <v>45678</v>
      </c>
      <c r="C209" s="1" t="n">
        <v>45750</v>
      </c>
      <c r="D209" t="inlineStr">
        <is>
          <t>STOCKHOLMS LÄN</t>
        </is>
      </c>
      <c r="E209" t="inlineStr">
        <is>
          <t>NORRTÄLJE</t>
        </is>
      </c>
      <c r="G209" t="n">
        <v>10.8</v>
      </c>
      <c r="H209" t="n">
        <v>1</v>
      </c>
      <c r="I209" t="n">
        <v>0</v>
      </c>
      <c r="J209" t="n">
        <v>0</v>
      </c>
      <c r="K209" t="n">
        <v>0</v>
      </c>
      <c r="L209" t="n">
        <v>0</v>
      </c>
      <c r="M209" t="n">
        <v>0</v>
      </c>
      <c r="N209" t="n">
        <v>0</v>
      </c>
      <c r="O209" t="n">
        <v>0</v>
      </c>
      <c r="P209" t="n">
        <v>0</v>
      </c>
      <c r="Q209" t="n">
        <v>1</v>
      </c>
      <c r="R209" s="2" t="inlineStr">
        <is>
          <t>Mattlummer</t>
        </is>
      </c>
      <c r="S209">
        <f>HYPERLINK("https://klasma.github.io/Logging_0188/artfynd/A 3116-2025 artfynd.xlsx", "A 3116-2025")</f>
        <v/>
      </c>
      <c r="T209">
        <f>HYPERLINK("https://klasma.github.io/Logging_0188/kartor/A 3116-2025 karta.png", "A 3116-2025")</f>
        <v/>
      </c>
      <c r="V209">
        <f>HYPERLINK("https://klasma.github.io/Logging_0188/klagomål/A 3116-2025 FSC-klagomål.docx", "A 3116-2025")</f>
        <v/>
      </c>
      <c r="W209">
        <f>HYPERLINK("https://klasma.github.io/Logging_0188/klagomålsmail/A 3116-2025 FSC-klagomål mail.docx", "A 3116-2025")</f>
        <v/>
      </c>
      <c r="X209">
        <f>HYPERLINK("https://klasma.github.io/Logging_0188/tillsyn/A 3116-2025 tillsynsbegäran.docx", "A 3116-2025")</f>
        <v/>
      </c>
      <c r="Y209">
        <f>HYPERLINK("https://klasma.github.io/Logging_0188/tillsynsmail/A 3116-2025 tillsynsbegäran mail.docx", "A 3116-2025")</f>
        <v/>
      </c>
    </row>
    <row r="210" ht="15" customHeight="1">
      <c r="A210" t="inlineStr">
        <is>
          <t>A 4532-2025</t>
        </is>
      </c>
      <c r="B210" s="1" t="n">
        <v>45687</v>
      </c>
      <c r="C210" s="1" t="n">
        <v>45750</v>
      </c>
      <c r="D210" t="inlineStr">
        <is>
          <t>STOCKHOLMS LÄN</t>
        </is>
      </c>
      <c r="E210" t="inlineStr">
        <is>
          <t>NORRTÄLJE</t>
        </is>
      </c>
      <c r="F210" t="inlineStr">
        <is>
          <t>Holmen skog AB</t>
        </is>
      </c>
      <c r="G210" t="n">
        <v>6.4</v>
      </c>
      <c r="H210" t="n">
        <v>1</v>
      </c>
      <c r="I210" t="n">
        <v>0</v>
      </c>
      <c r="J210" t="n">
        <v>0</v>
      </c>
      <c r="K210" t="n">
        <v>0</v>
      </c>
      <c r="L210" t="n">
        <v>1</v>
      </c>
      <c r="M210" t="n">
        <v>0</v>
      </c>
      <c r="N210" t="n">
        <v>0</v>
      </c>
      <c r="O210" t="n">
        <v>1</v>
      </c>
      <c r="P210" t="n">
        <v>1</v>
      </c>
      <c r="Q210" t="n">
        <v>1</v>
      </c>
      <c r="R210" s="2" t="inlineStr">
        <is>
          <t>Asknätfjäril</t>
        </is>
      </c>
      <c r="S210">
        <f>HYPERLINK("https://klasma.github.io/Logging_0188/artfynd/A 4532-2025 artfynd.xlsx", "A 4532-2025")</f>
        <v/>
      </c>
      <c r="T210">
        <f>HYPERLINK("https://klasma.github.io/Logging_0188/kartor/A 4532-2025 karta.png", "A 4532-2025")</f>
        <v/>
      </c>
      <c r="V210">
        <f>HYPERLINK("https://klasma.github.io/Logging_0188/klagomål/A 4532-2025 FSC-klagomål.docx", "A 4532-2025")</f>
        <v/>
      </c>
      <c r="W210">
        <f>HYPERLINK("https://klasma.github.io/Logging_0188/klagomålsmail/A 4532-2025 FSC-klagomål mail.docx", "A 4532-2025")</f>
        <v/>
      </c>
      <c r="X210">
        <f>HYPERLINK("https://klasma.github.io/Logging_0188/tillsyn/A 4532-2025 tillsynsbegäran.docx", "A 4532-2025")</f>
        <v/>
      </c>
      <c r="Y210">
        <f>HYPERLINK("https://klasma.github.io/Logging_0188/tillsynsmail/A 4532-2025 tillsynsbegäran mail.docx", "A 4532-2025")</f>
        <v/>
      </c>
    </row>
    <row r="211" ht="15" customHeight="1">
      <c r="A211" t="inlineStr">
        <is>
          <t>A 8371-2025</t>
        </is>
      </c>
      <c r="B211" s="1" t="n">
        <v>45708</v>
      </c>
      <c r="C211" s="1" t="n">
        <v>45750</v>
      </c>
      <c r="D211" t="inlineStr">
        <is>
          <t>STOCKHOLMS LÄN</t>
        </is>
      </c>
      <c r="E211" t="inlineStr">
        <is>
          <t>NORRTÄLJE</t>
        </is>
      </c>
      <c r="F211" t="inlineStr">
        <is>
          <t>Övriga Aktiebolag</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HYPERLINK("https://klasma.github.io/Logging_0188/artfynd/A 8371-2025 artfynd.xlsx", "A 8371-2025")</f>
        <v/>
      </c>
      <c r="T211">
        <f>HYPERLINK("https://klasma.github.io/Logging_0188/kartor/A 8371-2025 karta.png", "A 8371-2025")</f>
        <v/>
      </c>
      <c r="V211">
        <f>HYPERLINK("https://klasma.github.io/Logging_0188/klagomål/A 8371-2025 FSC-klagomål.docx", "A 8371-2025")</f>
        <v/>
      </c>
      <c r="W211">
        <f>HYPERLINK("https://klasma.github.io/Logging_0188/klagomålsmail/A 8371-2025 FSC-klagomål mail.docx", "A 8371-2025")</f>
        <v/>
      </c>
      <c r="X211">
        <f>HYPERLINK("https://klasma.github.io/Logging_0188/tillsyn/A 8371-2025 tillsynsbegäran.docx", "A 8371-2025")</f>
        <v/>
      </c>
      <c r="Y211">
        <f>HYPERLINK("https://klasma.github.io/Logging_0188/tillsynsmail/A 8371-2025 tillsynsbegäran mail.docx", "A 8371-2025")</f>
        <v/>
      </c>
      <c r="Z211">
        <f>HYPERLINK("https://klasma.github.io/Logging_0188/fåglar/A 8371-2025 prioriterade fågelarter.docx", "A 8371-2025")</f>
        <v/>
      </c>
    </row>
    <row r="212" ht="15" customHeight="1">
      <c r="A212" t="inlineStr">
        <is>
          <t>A 13271-2025</t>
        </is>
      </c>
      <c r="B212" s="1" t="n">
        <v>45735</v>
      </c>
      <c r="C212" s="1" t="n">
        <v>45750</v>
      </c>
      <c r="D212" t="inlineStr">
        <is>
          <t>STOCKHOLMS LÄN</t>
        </is>
      </c>
      <c r="E212" t="inlineStr">
        <is>
          <t>NORRTÄLJE</t>
        </is>
      </c>
      <c r="G212" t="n">
        <v>7.2</v>
      </c>
      <c r="H212" t="n">
        <v>1</v>
      </c>
      <c r="I212" t="n">
        <v>0</v>
      </c>
      <c r="J212" t="n">
        <v>0</v>
      </c>
      <c r="K212" t="n">
        <v>0</v>
      </c>
      <c r="L212" t="n">
        <v>1</v>
      </c>
      <c r="M212" t="n">
        <v>0</v>
      </c>
      <c r="N212" t="n">
        <v>0</v>
      </c>
      <c r="O212" t="n">
        <v>1</v>
      </c>
      <c r="P212" t="n">
        <v>1</v>
      </c>
      <c r="Q212" t="n">
        <v>1</v>
      </c>
      <c r="R212" s="2" t="inlineStr">
        <is>
          <t>Asknätfjäril</t>
        </is>
      </c>
      <c r="S212">
        <f>HYPERLINK("https://klasma.github.io/Logging_010188/artfynd/A 13271-2025 artfynd.xlsx", "A 13271-2025")</f>
        <v/>
      </c>
      <c r="T212">
        <f>HYPERLINK("https://klasma.github.io/Logging_010188/kartor/A 13271-2025 karta.png", "A 13271-2025")</f>
        <v/>
      </c>
      <c r="V212">
        <f>HYPERLINK("https://klasma.github.io/Logging_010188/klagomål/A 13271-2025 FSC-klagomål.docx", "A 13271-2025")</f>
        <v/>
      </c>
      <c r="W212">
        <f>HYPERLINK("https://klasma.github.io/Logging_010188/klagomålsmail/A 13271-2025 FSC-klagomål mail.docx", "A 13271-2025")</f>
        <v/>
      </c>
      <c r="X212">
        <f>HYPERLINK("https://klasma.github.io/Logging_010188/tillsyn/A 13271-2025 tillsynsbegäran.docx", "A 13271-2025")</f>
        <v/>
      </c>
      <c r="Y212">
        <f>HYPERLINK("https://klasma.github.io/Logging_010188/tillsynsmail/A 13271-2025 tillsynsbegäran mail.docx", "A 13271-2025")</f>
        <v/>
      </c>
    </row>
    <row r="213" ht="15" customHeight="1">
      <c r="A213" t="inlineStr">
        <is>
          <t>A 17752-2019</t>
        </is>
      </c>
      <c r="B213" s="1" t="n">
        <v>43556</v>
      </c>
      <c r="C213" s="1" t="n">
        <v>45750</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17795-2019</t>
        </is>
      </c>
      <c r="B214" s="1" t="n">
        <v>43556</v>
      </c>
      <c r="C214" s="1" t="n">
        <v>45750</v>
      </c>
      <c r="D214" t="inlineStr">
        <is>
          <t>STOCKHOLMS LÄN</t>
        </is>
      </c>
      <c r="E214" t="inlineStr">
        <is>
          <t>NORRTÄLJE</t>
        </is>
      </c>
      <c r="G214" t="n">
        <v>0.8</v>
      </c>
      <c r="H214" t="n">
        <v>0</v>
      </c>
      <c r="I214" t="n">
        <v>0</v>
      </c>
      <c r="J214" t="n">
        <v>0</v>
      </c>
      <c r="K214" t="n">
        <v>0</v>
      </c>
      <c r="L214" t="n">
        <v>0</v>
      </c>
      <c r="M214" t="n">
        <v>0</v>
      </c>
      <c r="N214" t="n">
        <v>0</v>
      </c>
      <c r="O214" t="n">
        <v>0</v>
      </c>
      <c r="P214" t="n">
        <v>0</v>
      </c>
      <c r="Q214" t="n">
        <v>0</v>
      </c>
      <c r="R214" s="2" t="inlineStr"/>
    </row>
    <row r="215" ht="15" customHeight="1">
      <c r="A215" t="inlineStr">
        <is>
          <t>A 17757-2019</t>
        </is>
      </c>
      <c r="B215" s="1" t="n">
        <v>43556</v>
      </c>
      <c r="C215" s="1" t="n">
        <v>45750</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17963-2019</t>
        </is>
      </c>
      <c r="B216" s="1" t="n">
        <v>43557</v>
      </c>
      <c r="C216" s="1" t="n">
        <v>45750</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18378-2019</t>
        </is>
      </c>
      <c r="B217" s="1" t="n">
        <v>43559</v>
      </c>
      <c r="C217" s="1" t="n">
        <v>45750</v>
      </c>
      <c r="D217" t="inlineStr">
        <is>
          <t>STOCKHOLMS LÄN</t>
        </is>
      </c>
      <c r="E217" t="inlineStr">
        <is>
          <t>NORRTÄLJE</t>
        </is>
      </c>
      <c r="G217" t="n">
        <v>5.8</v>
      </c>
      <c r="H217" t="n">
        <v>0</v>
      </c>
      <c r="I217" t="n">
        <v>0</v>
      </c>
      <c r="J217" t="n">
        <v>0</v>
      </c>
      <c r="K217" t="n">
        <v>0</v>
      </c>
      <c r="L217" t="n">
        <v>0</v>
      </c>
      <c r="M217" t="n">
        <v>0</v>
      </c>
      <c r="N217" t="n">
        <v>0</v>
      </c>
      <c r="O217" t="n">
        <v>0</v>
      </c>
      <c r="P217" t="n">
        <v>0</v>
      </c>
      <c r="Q217" t="n">
        <v>0</v>
      </c>
      <c r="R217" s="2" t="inlineStr"/>
    </row>
    <row r="218" ht="15" customHeight="1">
      <c r="A218" t="inlineStr">
        <is>
          <t>A 18664-2019</t>
        </is>
      </c>
      <c r="B218" s="1" t="n">
        <v>43560</v>
      </c>
      <c r="C218" s="1" t="n">
        <v>45750</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18767-2019</t>
        </is>
      </c>
      <c r="B219" s="1" t="n">
        <v>43560</v>
      </c>
      <c r="C219" s="1" t="n">
        <v>45750</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18820-2019</t>
        </is>
      </c>
      <c r="B220" s="1" t="n">
        <v>43563</v>
      </c>
      <c r="C220" s="1" t="n">
        <v>45750</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18890-2019</t>
        </is>
      </c>
      <c r="B221" s="1" t="n">
        <v>43563</v>
      </c>
      <c r="C221" s="1" t="n">
        <v>45750</v>
      </c>
      <c r="D221" t="inlineStr">
        <is>
          <t>STOCKHOLMS LÄN</t>
        </is>
      </c>
      <c r="E221" t="inlineStr">
        <is>
          <t>NORRTÄLJE</t>
        </is>
      </c>
      <c r="G221" t="n">
        <v>4.7</v>
      </c>
      <c r="H221" t="n">
        <v>0</v>
      </c>
      <c r="I221" t="n">
        <v>0</v>
      </c>
      <c r="J221" t="n">
        <v>0</v>
      </c>
      <c r="K221" t="n">
        <v>0</v>
      </c>
      <c r="L221" t="n">
        <v>0</v>
      </c>
      <c r="M221" t="n">
        <v>0</v>
      </c>
      <c r="N221" t="n">
        <v>0</v>
      </c>
      <c r="O221" t="n">
        <v>0</v>
      </c>
      <c r="P221" t="n">
        <v>0</v>
      </c>
      <c r="Q221" t="n">
        <v>0</v>
      </c>
      <c r="R221" s="2" t="inlineStr"/>
    </row>
    <row r="222" ht="15" customHeight="1">
      <c r="A222" t="inlineStr">
        <is>
          <t>A 18909-2019</t>
        </is>
      </c>
      <c r="B222" s="1" t="n">
        <v>43563</v>
      </c>
      <c r="C222" s="1" t="n">
        <v>45750</v>
      </c>
      <c r="D222" t="inlineStr">
        <is>
          <t>STOCKHOLMS LÄN</t>
        </is>
      </c>
      <c r="E222" t="inlineStr">
        <is>
          <t>NORRTÄLJE</t>
        </is>
      </c>
      <c r="G222" t="n">
        <v>2.9</v>
      </c>
      <c r="H222" t="n">
        <v>0</v>
      </c>
      <c r="I222" t="n">
        <v>0</v>
      </c>
      <c r="J222" t="n">
        <v>0</v>
      </c>
      <c r="K222" t="n">
        <v>0</v>
      </c>
      <c r="L222" t="n">
        <v>0</v>
      </c>
      <c r="M222" t="n">
        <v>0</v>
      </c>
      <c r="N222" t="n">
        <v>0</v>
      </c>
      <c r="O222" t="n">
        <v>0</v>
      </c>
      <c r="P222" t="n">
        <v>0</v>
      </c>
      <c r="Q222" t="n">
        <v>0</v>
      </c>
      <c r="R222" s="2" t="inlineStr"/>
    </row>
    <row r="223" ht="15" customHeight="1">
      <c r="A223" t="inlineStr">
        <is>
          <t>A 19026-2019</t>
        </is>
      </c>
      <c r="B223" s="1" t="n">
        <v>43563</v>
      </c>
      <c r="C223" s="1" t="n">
        <v>45750</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19014-2019</t>
        </is>
      </c>
      <c r="B224" s="1" t="n">
        <v>43563</v>
      </c>
      <c r="C224" s="1" t="n">
        <v>45750</v>
      </c>
      <c r="D224" t="inlineStr">
        <is>
          <t>STOCKHOLMS LÄN</t>
        </is>
      </c>
      <c r="E224" t="inlineStr">
        <is>
          <t>NORRTÄLJE</t>
        </is>
      </c>
      <c r="G224" t="n">
        <v>2.2</v>
      </c>
      <c r="H224" t="n">
        <v>0</v>
      </c>
      <c r="I224" t="n">
        <v>0</v>
      </c>
      <c r="J224" t="n">
        <v>0</v>
      </c>
      <c r="K224" t="n">
        <v>0</v>
      </c>
      <c r="L224" t="n">
        <v>0</v>
      </c>
      <c r="M224" t="n">
        <v>0</v>
      </c>
      <c r="N224" t="n">
        <v>0</v>
      </c>
      <c r="O224" t="n">
        <v>0</v>
      </c>
      <c r="P224" t="n">
        <v>0</v>
      </c>
      <c r="Q224" t="n">
        <v>0</v>
      </c>
      <c r="R224" s="2" t="inlineStr"/>
    </row>
    <row r="225" ht="15" customHeight="1">
      <c r="A225" t="inlineStr">
        <is>
          <t>A 19247-2019</t>
        </is>
      </c>
      <c r="B225" s="1" t="n">
        <v>43564</v>
      </c>
      <c r="C225" s="1" t="n">
        <v>45750</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19255-2019</t>
        </is>
      </c>
      <c r="B226" s="1" t="n">
        <v>43564</v>
      </c>
      <c r="C226" s="1" t="n">
        <v>45750</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19302-2019</t>
        </is>
      </c>
      <c r="B227" s="1" t="n">
        <v>43565</v>
      </c>
      <c r="C227" s="1" t="n">
        <v>45750</v>
      </c>
      <c r="D227" t="inlineStr">
        <is>
          <t>STOCKHOLMS LÄN</t>
        </is>
      </c>
      <c r="E227" t="inlineStr">
        <is>
          <t>NORRTÄLJE</t>
        </is>
      </c>
      <c r="F227" t="inlineStr">
        <is>
          <t>Kommuner</t>
        </is>
      </c>
      <c r="G227" t="n">
        <v>4.2</v>
      </c>
      <c r="H227" t="n">
        <v>0</v>
      </c>
      <c r="I227" t="n">
        <v>0</v>
      </c>
      <c r="J227" t="n">
        <v>0</v>
      </c>
      <c r="K227" t="n">
        <v>0</v>
      </c>
      <c r="L227" t="n">
        <v>0</v>
      </c>
      <c r="M227" t="n">
        <v>0</v>
      </c>
      <c r="N227" t="n">
        <v>0</v>
      </c>
      <c r="O227" t="n">
        <v>0</v>
      </c>
      <c r="P227" t="n">
        <v>0</v>
      </c>
      <c r="Q227" t="n">
        <v>0</v>
      </c>
      <c r="R227" s="2" t="inlineStr"/>
    </row>
    <row r="228" ht="15" customHeight="1">
      <c r="A228" t="inlineStr">
        <is>
          <t>A 19301-2019</t>
        </is>
      </c>
      <c r="B228" s="1" t="n">
        <v>43565</v>
      </c>
      <c r="C228" s="1" t="n">
        <v>45750</v>
      </c>
      <c r="D228" t="inlineStr">
        <is>
          <t>STOCKHOLMS LÄN</t>
        </is>
      </c>
      <c r="E228" t="inlineStr">
        <is>
          <t>NORRTÄLJE</t>
        </is>
      </c>
      <c r="F228" t="inlineStr">
        <is>
          <t>Kommuner</t>
        </is>
      </c>
      <c r="G228" t="n">
        <v>3.9</v>
      </c>
      <c r="H228" t="n">
        <v>0</v>
      </c>
      <c r="I228" t="n">
        <v>0</v>
      </c>
      <c r="J228" t="n">
        <v>0</v>
      </c>
      <c r="K228" t="n">
        <v>0</v>
      </c>
      <c r="L228" t="n">
        <v>0</v>
      </c>
      <c r="M228" t="n">
        <v>0</v>
      </c>
      <c r="N228" t="n">
        <v>0</v>
      </c>
      <c r="O228" t="n">
        <v>0</v>
      </c>
      <c r="P228" t="n">
        <v>0</v>
      </c>
      <c r="Q228" t="n">
        <v>0</v>
      </c>
      <c r="R228" s="2" t="inlineStr"/>
    </row>
    <row r="229" ht="15" customHeight="1">
      <c r="A229" t="inlineStr">
        <is>
          <t>A 19297-2019</t>
        </is>
      </c>
      <c r="B229" s="1" t="n">
        <v>43565</v>
      </c>
      <c r="C229" s="1" t="n">
        <v>45750</v>
      </c>
      <c r="D229" t="inlineStr">
        <is>
          <t>STOCKHOLMS LÄN</t>
        </is>
      </c>
      <c r="E229" t="inlineStr">
        <is>
          <t>NORRTÄLJE</t>
        </is>
      </c>
      <c r="F229" t="inlineStr">
        <is>
          <t>Kommuner</t>
        </is>
      </c>
      <c r="G229" t="n">
        <v>1.2</v>
      </c>
      <c r="H229" t="n">
        <v>0</v>
      </c>
      <c r="I229" t="n">
        <v>0</v>
      </c>
      <c r="J229" t="n">
        <v>0</v>
      </c>
      <c r="K229" t="n">
        <v>0</v>
      </c>
      <c r="L229" t="n">
        <v>0</v>
      </c>
      <c r="M229" t="n">
        <v>0</v>
      </c>
      <c r="N229" t="n">
        <v>0</v>
      </c>
      <c r="O229" t="n">
        <v>0</v>
      </c>
      <c r="P229" t="n">
        <v>0</v>
      </c>
      <c r="Q229" t="n">
        <v>0</v>
      </c>
      <c r="R229" s="2" t="inlineStr"/>
    </row>
    <row r="230" ht="15" customHeight="1">
      <c r="A230" t="inlineStr">
        <is>
          <t>A 19537-2019</t>
        </is>
      </c>
      <c r="B230" s="1" t="n">
        <v>43565</v>
      </c>
      <c r="C230" s="1" t="n">
        <v>45750</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19539-2019</t>
        </is>
      </c>
      <c r="B231" s="1" t="n">
        <v>43565</v>
      </c>
      <c r="C231" s="1" t="n">
        <v>45750</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19540-2019</t>
        </is>
      </c>
      <c r="B232" s="1" t="n">
        <v>43565</v>
      </c>
      <c r="C232" s="1" t="n">
        <v>45750</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19638-2019</t>
        </is>
      </c>
      <c r="B233" s="1" t="n">
        <v>43566</v>
      </c>
      <c r="C233" s="1" t="n">
        <v>45750</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19593-2019</t>
        </is>
      </c>
      <c r="B234" s="1" t="n">
        <v>43566</v>
      </c>
      <c r="C234" s="1" t="n">
        <v>45750</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19872-2019</t>
        </is>
      </c>
      <c r="B235" s="1" t="n">
        <v>43567</v>
      </c>
      <c r="C235" s="1" t="n">
        <v>45750</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19811-2019</t>
        </is>
      </c>
      <c r="B236" s="1" t="n">
        <v>43567</v>
      </c>
      <c r="C236" s="1" t="n">
        <v>45750</v>
      </c>
      <c r="D236" t="inlineStr">
        <is>
          <t>STOCKHOLMS LÄN</t>
        </is>
      </c>
      <c r="E236" t="inlineStr">
        <is>
          <t>NORRTÄLJE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19812-2019</t>
        </is>
      </c>
      <c r="B237" s="1" t="n">
        <v>43567</v>
      </c>
      <c r="C237" s="1" t="n">
        <v>45750</v>
      </c>
      <c r="D237" t="inlineStr">
        <is>
          <t>STOCKHOLMS LÄN</t>
        </is>
      </c>
      <c r="E237" t="inlineStr">
        <is>
          <t>NORRTÄLJE</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19931-2019</t>
        </is>
      </c>
      <c r="B238" s="1" t="n">
        <v>43568</v>
      </c>
      <c r="C238" s="1" t="n">
        <v>45750</v>
      </c>
      <c r="D238" t="inlineStr">
        <is>
          <t>STOCKHOLMS LÄN</t>
        </is>
      </c>
      <c r="E238" t="inlineStr">
        <is>
          <t>NORRTÄLJE</t>
        </is>
      </c>
      <c r="G238" t="n">
        <v>4.2</v>
      </c>
      <c r="H238" t="n">
        <v>0</v>
      </c>
      <c r="I238" t="n">
        <v>0</v>
      </c>
      <c r="J238" t="n">
        <v>0</v>
      </c>
      <c r="K238" t="n">
        <v>0</v>
      </c>
      <c r="L238" t="n">
        <v>0</v>
      </c>
      <c r="M238" t="n">
        <v>0</v>
      </c>
      <c r="N238" t="n">
        <v>0</v>
      </c>
      <c r="O238" t="n">
        <v>0</v>
      </c>
      <c r="P238" t="n">
        <v>0</v>
      </c>
      <c r="Q238" t="n">
        <v>0</v>
      </c>
      <c r="R238" s="2" t="inlineStr"/>
    </row>
    <row r="239" ht="15" customHeight="1">
      <c r="A239" t="inlineStr">
        <is>
          <t>A 20033-2019</t>
        </is>
      </c>
      <c r="B239" s="1" t="n">
        <v>43570</v>
      </c>
      <c r="C239" s="1" t="n">
        <v>45750</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20020-2019</t>
        </is>
      </c>
      <c r="B240" s="1" t="n">
        <v>43570</v>
      </c>
      <c r="C240" s="1" t="n">
        <v>45750</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20051-2019</t>
        </is>
      </c>
      <c r="B241" s="1" t="n">
        <v>43570</v>
      </c>
      <c r="C241" s="1" t="n">
        <v>45750</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20137-2019</t>
        </is>
      </c>
      <c r="B242" s="1" t="n">
        <v>43570</v>
      </c>
      <c r="C242" s="1" t="n">
        <v>45750</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20007-2019</t>
        </is>
      </c>
      <c r="B243" s="1" t="n">
        <v>43570</v>
      </c>
      <c r="C243" s="1" t="n">
        <v>45750</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20052-2019</t>
        </is>
      </c>
      <c r="B244" s="1" t="n">
        <v>43570</v>
      </c>
      <c r="C244" s="1" t="n">
        <v>45750</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20159-2019</t>
        </is>
      </c>
      <c r="B245" s="1" t="n">
        <v>43570</v>
      </c>
      <c r="C245" s="1" t="n">
        <v>45750</v>
      </c>
      <c r="D245" t="inlineStr">
        <is>
          <t>STOCKHOLMS LÄN</t>
        </is>
      </c>
      <c r="E245" t="inlineStr">
        <is>
          <t>NORRTÄLJE</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20181-2019</t>
        </is>
      </c>
      <c r="B246" s="1" t="n">
        <v>43570</v>
      </c>
      <c r="C246" s="1" t="n">
        <v>45750</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20184-2019</t>
        </is>
      </c>
      <c r="B247" s="1" t="n">
        <v>43570</v>
      </c>
      <c r="C247" s="1" t="n">
        <v>45750</v>
      </c>
      <c r="D247" t="inlineStr">
        <is>
          <t>STOCKHOLMS LÄN</t>
        </is>
      </c>
      <c r="E247" t="inlineStr">
        <is>
          <t>NORRTÄLJE</t>
        </is>
      </c>
      <c r="G247" t="n">
        <v>2.8</v>
      </c>
      <c r="H247" t="n">
        <v>0</v>
      </c>
      <c r="I247" t="n">
        <v>0</v>
      </c>
      <c r="J247" t="n">
        <v>0</v>
      </c>
      <c r="K247" t="n">
        <v>0</v>
      </c>
      <c r="L247" t="n">
        <v>0</v>
      </c>
      <c r="M247" t="n">
        <v>0</v>
      </c>
      <c r="N247" t="n">
        <v>0</v>
      </c>
      <c r="O247" t="n">
        <v>0</v>
      </c>
      <c r="P247" t="n">
        <v>0</v>
      </c>
      <c r="Q247" t="n">
        <v>0</v>
      </c>
      <c r="R247" s="2" t="inlineStr"/>
    </row>
    <row r="248" ht="15" customHeight="1">
      <c r="A248" t="inlineStr">
        <is>
          <t>A 20193-2019</t>
        </is>
      </c>
      <c r="B248" s="1" t="n">
        <v>43570</v>
      </c>
      <c r="C248" s="1" t="n">
        <v>45750</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20090-2019</t>
        </is>
      </c>
      <c r="B249" s="1" t="n">
        <v>43570</v>
      </c>
      <c r="C249" s="1" t="n">
        <v>45750</v>
      </c>
      <c r="D249" t="inlineStr">
        <is>
          <t>STOCKHOLMS LÄN</t>
        </is>
      </c>
      <c r="E249" t="inlineStr">
        <is>
          <t>NORRTÄLJE</t>
        </is>
      </c>
      <c r="F249" t="inlineStr">
        <is>
          <t>Kommuner</t>
        </is>
      </c>
      <c r="G249" t="n">
        <v>1.3</v>
      </c>
      <c r="H249" t="n">
        <v>0</v>
      </c>
      <c r="I249" t="n">
        <v>0</v>
      </c>
      <c r="J249" t="n">
        <v>0</v>
      </c>
      <c r="K249" t="n">
        <v>0</v>
      </c>
      <c r="L249" t="n">
        <v>0</v>
      </c>
      <c r="M249" t="n">
        <v>0</v>
      </c>
      <c r="N249" t="n">
        <v>0</v>
      </c>
      <c r="O249" t="n">
        <v>0</v>
      </c>
      <c r="P249" t="n">
        <v>0</v>
      </c>
      <c r="Q249" t="n">
        <v>0</v>
      </c>
      <c r="R249" s="2" t="inlineStr"/>
    </row>
    <row r="250" ht="15" customHeight="1">
      <c r="A250" t="inlineStr">
        <is>
          <t>A 20165-2019</t>
        </is>
      </c>
      <c r="B250" s="1" t="n">
        <v>43570</v>
      </c>
      <c r="C250" s="1" t="n">
        <v>45750</v>
      </c>
      <c r="D250" t="inlineStr">
        <is>
          <t>STOCKHOLMS LÄN</t>
        </is>
      </c>
      <c r="E250" t="inlineStr">
        <is>
          <t>NORRTÄLJE</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20023-2019</t>
        </is>
      </c>
      <c r="B251" s="1" t="n">
        <v>43570</v>
      </c>
      <c r="C251" s="1" t="n">
        <v>45750</v>
      </c>
      <c r="D251" t="inlineStr">
        <is>
          <t>STOCKHOLMS LÄN</t>
        </is>
      </c>
      <c r="E251" t="inlineStr">
        <is>
          <t>NORRTÄLJE</t>
        </is>
      </c>
      <c r="G251" t="n">
        <v>5.1</v>
      </c>
      <c r="H251" t="n">
        <v>0</v>
      </c>
      <c r="I251" t="n">
        <v>0</v>
      </c>
      <c r="J251" t="n">
        <v>0</v>
      </c>
      <c r="K251" t="n">
        <v>0</v>
      </c>
      <c r="L251" t="n">
        <v>0</v>
      </c>
      <c r="M251" t="n">
        <v>0</v>
      </c>
      <c r="N251" t="n">
        <v>0</v>
      </c>
      <c r="O251" t="n">
        <v>0</v>
      </c>
      <c r="P251" t="n">
        <v>0</v>
      </c>
      <c r="Q251" t="n">
        <v>0</v>
      </c>
      <c r="R251" s="2" t="inlineStr"/>
    </row>
    <row r="252" ht="15" customHeight="1">
      <c r="A252" t="inlineStr">
        <is>
          <t>A 20531-2019</t>
        </is>
      </c>
      <c r="B252" s="1" t="n">
        <v>43572</v>
      </c>
      <c r="C252" s="1" t="n">
        <v>45750</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20743-2019</t>
        </is>
      </c>
      <c r="B253" s="1" t="n">
        <v>43573</v>
      </c>
      <c r="C253" s="1" t="n">
        <v>45750</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20809-2019</t>
        </is>
      </c>
      <c r="B254" s="1" t="n">
        <v>43573</v>
      </c>
      <c r="C254" s="1" t="n">
        <v>45750</v>
      </c>
      <c r="D254" t="inlineStr">
        <is>
          <t>STOCKHOLMS LÄN</t>
        </is>
      </c>
      <c r="E254" t="inlineStr">
        <is>
          <t>NORRTÄLJE</t>
        </is>
      </c>
      <c r="F254" t="inlineStr">
        <is>
          <t>Kommuner</t>
        </is>
      </c>
      <c r="G254" t="n">
        <v>2.2</v>
      </c>
      <c r="H254" t="n">
        <v>0</v>
      </c>
      <c r="I254" t="n">
        <v>0</v>
      </c>
      <c r="J254" t="n">
        <v>0</v>
      </c>
      <c r="K254" t="n">
        <v>0</v>
      </c>
      <c r="L254" t="n">
        <v>0</v>
      </c>
      <c r="M254" t="n">
        <v>0</v>
      </c>
      <c r="N254" t="n">
        <v>0</v>
      </c>
      <c r="O254" t="n">
        <v>0</v>
      </c>
      <c r="P254" t="n">
        <v>0</v>
      </c>
      <c r="Q254" t="n">
        <v>0</v>
      </c>
      <c r="R254" s="2" t="inlineStr"/>
    </row>
    <row r="255" ht="15" customHeight="1">
      <c r="A255" t="inlineStr">
        <is>
          <t>A 20925-2019</t>
        </is>
      </c>
      <c r="B255" s="1" t="n">
        <v>43578</v>
      </c>
      <c r="C255" s="1" t="n">
        <v>45750</v>
      </c>
      <c r="D255" t="inlineStr">
        <is>
          <t>STOCKHOLMS LÄN</t>
        </is>
      </c>
      <c r="E255" t="inlineStr">
        <is>
          <t>NORRTÄLJE</t>
        </is>
      </c>
      <c r="G255" t="n">
        <v>5</v>
      </c>
      <c r="H255" t="n">
        <v>0</v>
      </c>
      <c r="I255" t="n">
        <v>0</v>
      </c>
      <c r="J255" t="n">
        <v>0</v>
      </c>
      <c r="K255" t="n">
        <v>0</v>
      </c>
      <c r="L255" t="n">
        <v>0</v>
      </c>
      <c r="M255" t="n">
        <v>0</v>
      </c>
      <c r="N255" t="n">
        <v>0</v>
      </c>
      <c r="O255" t="n">
        <v>0</v>
      </c>
      <c r="P255" t="n">
        <v>0</v>
      </c>
      <c r="Q255" t="n">
        <v>0</v>
      </c>
      <c r="R255" s="2" t="inlineStr"/>
    </row>
    <row r="256" ht="15" customHeight="1">
      <c r="A256" t="inlineStr">
        <is>
          <t>A 21062-2019</t>
        </is>
      </c>
      <c r="B256" s="1" t="n">
        <v>43578</v>
      </c>
      <c r="C256" s="1" t="n">
        <v>45750</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21441-2019</t>
        </is>
      </c>
      <c r="B257" s="1" t="n">
        <v>43580</v>
      </c>
      <c r="C257" s="1" t="n">
        <v>45750</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21521-2019</t>
        </is>
      </c>
      <c r="B258" s="1" t="n">
        <v>43580</v>
      </c>
      <c r="C258" s="1" t="n">
        <v>45750</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21508-2019</t>
        </is>
      </c>
      <c r="B259" s="1" t="n">
        <v>43580</v>
      </c>
      <c r="C259" s="1" t="n">
        <v>45750</v>
      </c>
      <c r="D259" t="inlineStr">
        <is>
          <t>STOCKHOLMS LÄN</t>
        </is>
      </c>
      <c r="E259" t="inlineStr">
        <is>
          <t>NORRTÄLJE</t>
        </is>
      </c>
      <c r="G259" t="n">
        <v>1.2</v>
      </c>
      <c r="H259" t="n">
        <v>0</v>
      </c>
      <c r="I259" t="n">
        <v>0</v>
      </c>
      <c r="J259" t="n">
        <v>0</v>
      </c>
      <c r="K259" t="n">
        <v>0</v>
      </c>
      <c r="L259" t="n">
        <v>0</v>
      </c>
      <c r="M259" t="n">
        <v>0</v>
      </c>
      <c r="N259" t="n">
        <v>0</v>
      </c>
      <c r="O259" t="n">
        <v>0</v>
      </c>
      <c r="P259" t="n">
        <v>0</v>
      </c>
      <c r="Q259" t="n">
        <v>0</v>
      </c>
      <c r="R259" s="2" t="inlineStr"/>
    </row>
    <row r="260" ht="15" customHeight="1">
      <c r="A260" t="inlineStr">
        <is>
          <t>A 21457-2019</t>
        </is>
      </c>
      <c r="B260" s="1" t="n">
        <v>43580</v>
      </c>
      <c r="C260" s="1" t="n">
        <v>45750</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21501-2019</t>
        </is>
      </c>
      <c r="B261" s="1" t="n">
        <v>43580</v>
      </c>
      <c r="C261" s="1" t="n">
        <v>45750</v>
      </c>
      <c r="D261" t="inlineStr">
        <is>
          <t>STOCKHOLMS LÄN</t>
        </is>
      </c>
      <c r="E261" t="inlineStr">
        <is>
          <t>NORRTÄLJE</t>
        </is>
      </c>
      <c r="G261" t="n">
        <v>3.6</v>
      </c>
      <c r="H261" t="n">
        <v>0</v>
      </c>
      <c r="I261" t="n">
        <v>0</v>
      </c>
      <c r="J261" t="n">
        <v>0</v>
      </c>
      <c r="K261" t="n">
        <v>0</v>
      </c>
      <c r="L261" t="n">
        <v>0</v>
      </c>
      <c r="M261" t="n">
        <v>0</v>
      </c>
      <c r="N261" t="n">
        <v>0</v>
      </c>
      <c r="O261" t="n">
        <v>0</v>
      </c>
      <c r="P261" t="n">
        <v>0</v>
      </c>
      <c r="Q261" t="n">
        <v>0</v>
      </c>
      <c r="R261" s="2" t="inlineStr"/>
    </row>
    <row r="262" ht="15" customHeight="1">
      <c r="A262" t="inlineStr">
        <is>
          <t>A 21616-2019</t>
        </is>
      </c>
      <c r="B262" s="1" t="n">
        <v>43581</v>
      </c>
      <c r="C262" s="1" t="n">
        <v>45750</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21662-2019</t>
        </is>
      </c>
      <c r="B263" s="1" t="n">
        <v>43581</v>
      </c>
      <c r="C263" s="1" t="n">
        <v>45750</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21720-2019</t>
        </is>
      </c>
      <c r="B264" s="1" t="n">
        <v>43581</v>
      </c>
      <c r="C264" s="1" t="n">
        <v>45750</v>
      </c>
      <c r="D264" t="inlineStr">
        <is>
          <t>STOCKHOLMS LÄN</t>
        </is>
      </c>
      <c r="E264" t="inlineStr">
        <is>
          <t>NORRTÄLJE</t>
        </is>
      </c>
      <c r="F264" t="inlineStr">
        <is>
          <t>Kommuner</t>
        </is>
      </c>
      <c r="G264" t="n">
        <v>1.5</v>
      </c>
      <c r="H264" t="n">
        <v>0</v>
      </c>
      <c r="I264" t="n">
        <v>0</v>
      </c>
      <c r="J264" t="n">
        <v>0</v>
      </c>
      <c r="K264" t="n">
        <v>0</v>
      </c>
      <c r="L264" t="n">
        <v>0</v>
      </c>
      <c r="M264" t="n">
        <v>0</v>
      </c>
      <c r="N264" t="n">
        <v>0</v>
      </c>
      <c r="O264" t="n">
        <v>0</v>
      </c>
      <c r="P264" t="n">
        <v>0</v>
      </c>
      <c r="Q264" t="n">
        <v>0</v>
      </c>
      <c r="R264" s="2" t="inlineStr"/>
    </row>
    <row r="265" ht="15" customHeight="1">
      <c r="A265" t="inlineStr">
        <is>
          <t>A 21692-2019</t>
        </is>
      </c>
      <c r="B265" s="1" t="n">
        <v>43581</v>
      </c>
      <c r="C265" s="1" t="n">
        <v>45750</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21811-2019</t>
        </is>
      </c>
      <c r="B266" s="1" t="n">
        <v>43582</v>
      </c>
      <c r="C266" s="1" t="n">
        <v>45750</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22207-2019</t>
        </is>
      </c>
      <c r="B267" s="1" t="n">
        <v>43585</v>
      </c>
      <c r="C267" s="1" t="n">
        <v>45750</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22211-2019</t>
        </is>
      </c>
      <c r="B268" s="1" t="n">
        <v>43585</v>
      </c>
      <c r="C268" s="1" t="n">
        <v>45750</v>
      </c>
      <c r="D268" t="inlineStr">
        <is>
          <t>STOCKHOLMS LÄN</t>
        </is>
      </c>
      <c r="E268" t="inlineStr">
        <is>
          <t>NORRTÄLJE</t>
        </is>
      </c>
      <c r="G268" t="n">
        <v>6.8</v>
      </c>
      <c r="H268" t="n">
        <v>0</v>
      </c>
      <c r="I268" t="n">
        <v>0</v>
      </c>
      <c r="J268" t="n">
        <v>0</v>
      </c>
      <c r="K268" t="n">
        <v>0</v>
      </c>
      <c r="L268" t="n">
        <v>0</v>
      </c>
      <c r="M268" t="n">
        <v>0</v>
      </c>
      <c r="N268" t="n">
        <v>0</v>
      </c>
      <c r="O268" t="n">
        <v>0</v>
      </c>
      <c r="P268" t="n">
        <v>0</v>
      </c>
      <c r="Q268" t="n">
        <v>0</v>
      </c>
      <c r="R268" s="2" t="inlineStr"/>
    </row>
    <row r="269" ht="15" customHeight="1">
      <c r="A269" t="inlineStr">
        <is>
          <t>A 22254-2019</t>
        </is>
      </c>
      <c r="B269" s="1" t="n">
        <v>43585</v>
      </c>
      <c r="C269" s="1" t="n">
        <v>45750</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22218-2019</t>
        </is>
      </c>
      <c r="B270" s="1" t="n">
        <v>43585</v>
      </c>
      <c r="C270" s="1" t="n">
        <v>45750</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22331-2019</t>
        </is>
      </c>
      <c r="B271" s="1" t="n">
        <v>43586</v>
      </c>
      <c r="C271" s="1" t="n">
        <v>45750</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22359-2019</t>
        </is>
      </c>
      <c r="B272" s="1" t="n">
        <v>43587</v>
      </c>
      <c r="C272" s="1" t="n">
        <v>45750</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22422-2019</t>
        </is>
      </c>
      <c r="B273" s="1" t="n">
        <v>43587</v>
      </c>
      <c r="C273" s="1" t="n">
        <v>45750</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22490-2019</t>
        </is>
      </c>
      <c r="B274" s="1" t="n">
        <v>43587</v>
      </c>
      <c r="C274" s="1" t="n">
        <v>45750</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22496-2019</t>
        </is>
      </c>
      <c r="B275" s="1" t="n">
        <v>43587</v>
      </c>
      <c r="C275" s="1" t="n">
        <v>45750</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23711-2019</t>
        </is>
      </c>
      <c r="B276" s="1" t="n">
        <v>43594</v>
      </c>
      <c r="C276" s="1" t="n">
        <v>45750</v>
      </c>
      <c r="D276" t="inlineStr">
        <is>
          <t>STOCKHOLMS LÄN</t>
        </is>
      </c>
      <c r="E276" t="inlineStr">
        <is>
          <t>NORRTÄLJE</t>
        </is>
      </c>
      <c r="G276" t="n">
        <v>2.6</v>
      </c>
      <c r="H276" t="n">
        <v>0</v>
      </c>
      <c r="I276" t="n">
        <v>0</v>
      </c>
      <c r="J276" t="n">
        <v>0</v>
      </c>
      <c r="K276" t="n">
        <v>0</v>
      </c>
      <c r="L276" t="n">
        <v>0</v>
      </c>
      <c r="M276" t="n">
        <v>0</v>
      </c>
      <c r="N276" t="n">
        <v>0</v>
      </c>
      <c r="O276" t="n">
        <v>0</v>
      </c>
      <c r="P276" t="n">
        <v>0</v>
      </c>
      <c r="Q276" t="n">
        <v>0</v>
      </c>
      <c r="R276" s="2" t="inlineStr"/>
    </row>
    <row r="277" ht="15" customHeight="1">
      <c r="A277" t="inlineStr">
        <is>
          <t>A 23710-2019</t>
        </is>
      </c>
      <c r="B277" s="1" t="n">
        <v>43594</v>
      </c>
      <c r="C277" s="1" t="n">
        <v>45750</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23862-2019</t>
        </is>
      </c>
      <c r="B278" s="1" t="n">
        <v>43595</v>
      </c>
      <c r="C278" s="1" t="n">
        <v>45750</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23878-2019</t>
        </is>
      </c>
      <c r="B279" s="1" t="n">
        <v>43595</v>
      </c>
      <c r="C279" s="1" t="n">
        <v>45750</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23961-2019</t>
        </is>
      </c>
      <c r="B280" s="1" t="n">
        <v>43597</v>
      </c>
      <c r="C280" s="1" t="n">
        <v>45750</v>
      </c>
      <c r="D280" t="inlineStr">
        <is>
          <t>STOCKHOLMS LÄN</t>
        </is>
      </c>
      <c r="E280" t="inlineStr">
        <is>
          <t>NORRTÄLJE</t>
        </is>
      </c>
      <c r="G280" t="n">
        <v>17.6</v>
      </c>
      <c r="H280" t="n">
        <v>0</v>
      </c>
      <c r="I280" t="n">
        <v>0</v>
      </c>
      <c r="J280" t="n">
        <v>0</v>
      </c>
      <c r="K280" t="n">
        <v>0</v>
      </c>
      <c r="L280" t="n">
        <v>0</v>
      </c>
      <c r="M280" t="n">
        <v>0</v>
      </c>
      <c r="N280" t="n">
        <v>0</v>
      </c>
      <c r="O280" t="n">
        <v>0</v>
      </c>
      <c r="P280" t="n">
        <v>0</v>
      </c>
      <c r="Q280" t="n">
        <v>0</v>
      </c>
      <c r="R280" s="2" t="inlineStr"/>
    </row>
    <row r="281" ht="15" customHeight="1">
      <c r="A281" t="inlineStr">
        <is>
          <t>A 23965-2019</t>
        </is>
      </c>
      <c r="B281" s="1" t="n">
        <v>43597</v>
      </c>
      <c r="C281" s="1" t="n">
        <v>45750</v>
      </c>
      <c r="D281" t="inlineStr">
        <is>
          <t>STOCKHOLMS LÄN</t>
        </is>
      </c>
      <c r="E281" t="inlineStr">
        <is>
          <t>NORRTÄLJE</t>
        </is>
      </c>
      <c r="G281" t="n">
        <v>6.1</v>
      </c>
      <c r="H281" t="n">
        <v>0</v>
      </c>
      <c r="I281" t="n">
        <v>0</v>
      </c>
      <c r="J281" t="n">
        <v>0</v>
      </c>
      <c r="K281" t="n">
        <v>0</v>
      </c>
      <c r="L281" t="n">
        <v>0</v>
      </c>
      <c r="M281" t="n">
        <v>0</v>
      </c>
      <c r="N281" t="n">
        <v>0</v>
      </c>
      <c r="O281" t="n">
        <v>0</v>
      </c>
      <c r="P281" t="n">
        <v>0</v>
      </c>
      <c r="Q281" t="n">
        <v>0</v>
      </c>
      <c r="R281" s="2" t="inlineStr"/>
    </row>
    <row r="282" ht="15" customHeight="1">
      <c r="A282" t="inlineStr">
        <is>
          <t>A 23963-2019</t>
        </is>
      </c>
      <c r="B282" s="1" t="n">
        <v>43597</v>
      </c>
      <c r="C282" s="1" t="n">
        <v>45750</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24124-2019</t>
        </is>
      </c>
      <c r="B283" s="1" t="n">
        <v>43598</v>
      </c>
      <c r="C283" s="1" t="n">
        <v>45750</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24058-2019</t>
        </is>
      </c>
      <c r="B284" s="1" t="n">
        <v>43598</v>
      </c>
      <c r="C284" s="1" t="n">
        <v>45750</v>
      </c>
      <c r="D284" t="inlineStr">
        <is>
          <t>STOCKHOLMS LÄN</t>
        </is>
      </c>
      <c r="E284" t="inlineStr">
        <is>
          <t>NORRTÄLJE</t>
        </is>
      </c>
      <c r="G284" t="n">
        <v>2.5</v>
      </c>
      <c r="H284" t="n">
        <v>0</v>
      </c>
      <c r="I284" t="n">
        <v>0</v>
      </c>
      <c r="J284" t="n">
        <v>0</v>
      </c>
      <c r="K284" t="n">
        <v>0</v>
      </c>
      <c r="L284" t="n">
        <v>0</v>
      </c>
      <c r="M284" t="n">
        <v>0</v>
      </c>
      <c r="N284" t="n">
        <v>0</v>
      </c>
      <c r="O284" t="n">
        <v>0</v>
      </c>
      <c r="P284" t="n">
        <v>0</v>
      </c>
      <c r="Q284" t="n">
        <v>0</v>
      </c>
      <c r="R284" s="2" t="inlineStr"/>
    </row>
    <row r="285" ht="15" customHeight="1">
      <c r="A285" t="inlineStr">
        <is>
          <t>A 24562-2019</t>
        </is>
      </c>
      <c r="B285" s="1" t="n">
        <v>43600</v>
      </c>
      <c r="C285" s="1" t="n">
        <v>45750</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24721-2019</t>
        </is>
      </c>
      <c r="B286" s="1" t="n">
        <v>43601</v>
      </c>
      <c r="C286" s="1" t="n">
        <v>45750</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25284-2019</t>
        </is>
      </c>
      <c r="B287" s="1" t="n">
        <v>43605</v>
      </c>
      <c r="C287" s="1" t="n">
        <v>45750</v>
      </c>
      <c r="D287" t="inlineStr">
        <is>
          <t>STOCKHOLMS LÄN</t>
        </is>
      </c>
      <c r="E287" t="inlineStr">
        <is>
          <t>NORRTÄLJE</t>
        </is>
      </c>
      <c r="G287" t="n">
        <v>3.6</v>
      </c>
      <c r="H287" t="n">
        <v>0</v>
      </c>
      <c r="I287" t="n">
        <v>0</v>
      </c>
      <c r="J287" t="n">
        <v>0</v>
      </c>
      <c r="K287" t="n">
        <v>0</v>
      </c>
      <c r="L287" t="n">
        <v>0</v>
      </c>
      <c r="M287" t="n">
        <v>0</v>
      </c>
      <c r="N287" t="n">
        <v>0</v>
      </c>
      <c r="O287" t="n">
        <v>0</v>
      </c>
      <c r="P287" t="n">
        <v>0</v>
      </c>
      <c r="Q287" t="n">
        <v>0</v>
      </c>
      <c r="R287" s="2" t="inlineStr"/>
    </row>
    <row r="288" ht="15" customHeight="1">
      <c r="A288" t="inlineStr">
        <is>
          <t>A 25535-2019</t>
        </is>
      </c>
      <c r="B288" s="1" t="n">
        <v>43606</v>
      </c>
      <c r="C288" s="1" t="n">
        <v>45750</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25316-2019</t>
        </is>
      </c>
      <c r="B289" s="1" t="n">
        <v>43606</v>
      </c>
      <c r="C289" s="1" t="n">
        <v>45750</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26374-2019</t>
        </is>
      </c>
      <c r="B290" s="1" t="n">
        <v>43606</v>
      </c>
      <c r="C290" s="1" t="n">
        <v>45750</v>
      </c>
      <c r="D290" t="inlineStr">
        <is>
          <t>STOCKHOLMS LÄN</t>
        </is>
      </c>
      <c r="E290" t="inlineStr">
        <is>
          <t>NORRTÄLJE</t>
        </is>
      </c>
      <c r="G290" t="n">
        <v>11.6</v>
      </c>
      <c r="H290" t="n">
        <v>0</v>
      </c>
      <c r="I290" t="n">
        <v>0</v>
      </c>
      <c r="J290" t="n">
        <v>0</v>
      </c>
      <c r="K290" t="n">
        <v>0</v>
      </c>
      <c r="L290" t="n">
        <v>0</v>
      </c>
      <c r="M290" t="n">
        <v>0</v>
      </c>
      <c r="N290" t="n">
        <v>0</v>
      </c>
      <c r="O290" t="n">
        <v>0</v>
      </c>
      <c r="P290" t="n">
        <v>0</v>
      </c>
      <c r="Q290" t="n">
        <v>0</v>
      </c>
      <c r="R290" s="2" t="inlineStr"/>
    </row>
    <row r="291" ht="15" customHeight="1">
      <c r="A291" t="inlineStr">
        <is>
          <t>A 25315-2019</t>
        </is>
      </c>
      <c r="B291" s="1" t="n">
        <v>43606</v>
      </c>
      <c r="C291" s="1" t="n">
        <v>45750</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25625-2019</t>
        </is>
      </c>
      <c r="B292" s="1" t="n">
        <v>43607</v>
      </c>
      <c r="C292" s="1" t="n">
        <v>45750</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26272-2019</t>
        </is>
      </c>
      <c r="B293" s="1" t="n">
        <v>43611</v>
      </c>
      <c r="C293" s="1" t="n">
        <v>45750</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26620-2019</t>
        </is>
      </c>
      <c r="B294" s="1" t="n">
        <v>43612</v>
      </c>
      <c r="C294" s="1" t="n">
        <v>45750</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26391-2019</t>
        </is>
      </c>
      <c r="B295" s="1" t="n">
        <v>43612</v>
      </c>
      <c r="C295" s="1" t="n">
        <v>45750</v>
      </c>
      <c r="D295" t="inlineStr">
        <is>
          <t>STOCKHOLMS LÄN</t>
        </is>
      </c>
      <c r="E295" t="inlineStr">
        <is>
          <t>NORRTÄLJE</t>
        </is>
      </c>
      <c r="G295" t="n">
        <v>1.9</v>
      </c>
      <c r="H295" t="n">
        <v>0</v>
      </c>
      <c r="I295" t="n">
        <v>0</v>
      </c>
      <c r="J295" t="n">
        <v>0</v>
      </c>
      <c r="K295" t="n">
        <v>0</v>
      </c>
      <c r="L295" t="n">
        <v>0</v>
      </c>
      <c r="M295" t="n">
        <v>0</v>
      </c>
      <c r="N295" t="n">
        <v>0</v>
      </c>
      <c r="O295" t="n">
        <v>0</v>
      </c>
      <c r="P295" t="n">
        <v>0</v>
      </c>
      <c r="Q295" t="n">
        <v>0</v>
      </c>
      <c r="R295" s="2" t="inlineStr"/>
    </row>
    <row r="296" ht="15" customHeight="1">
      <c r="A296" t="inlineStr">
        <is>
          <t>A 26933-2019</t>
        </is>
      </c>
      <c r="B296" s="1" t="n">
        <v>43613</v>
      </c>
      <c r="C296" s="1" t="n">
        <v>45750</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26830-2019</t>
        </is>
      </c>
      <c r="B297" s="1" t="n">
        <v>43613</v>
      </c>
      <c r="C297" s="1" t="n">
        <v>45750</v>
      </c>
      <c r="D297" t="inlineStr">
        <is>
          <t>STOCKHOLMS LÄN</t>
        </is>
      </c>
      <c r="E297" t="inlineStr">
        <is>
          <t>NORRTÄLJE</t>
        </is>
      </c>
      <c r="G297" t="n">
        <v>2.1</v>
      </c>
      <c r="H297" t="n">
        <v>0</v>
      </c>
      <c r="I297" t="n">
        <v>0</v>
      </c>
      <c r="J297" t="n">
        <v>0</v>
      </c>
      <c r="K297" t="n">
        <v>0</v>
      </c>
      <c r="L297" t="n">
        <v>0</v>
      </c>
      <c r="M297" t="n">
        <v>0</v>
      </c>
      <c r="N297" t="n">
        <v>0</v>
      </c>
      <c r="O297" t="n">
        <v>0</v>
      </c>
      <c r="P297" t="n">
        <v>0</v>
      </c>
      <c r="Q297" t="n">
        <v>0</v>
      </c>
      <c r="R297" s="2" t="inlineStr"/>
    </row>
    <row r="298" ht="15" customHeight="1">
      <c r="A298" t="inlineStr">
        <is>
          <t>A 27095-2019</t>
        </is>
      </c>
      <c r="B298" s="1" t="n">
        <v>43614</v>
      </c>
      <c r="C298" s="1" t="n">
        <v>45750</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28157-2019</t>
        </is>
      </c>
      <c r="B299" s="1" t="n">
        <v>43614</v>
      </c>
      <c r="C299" s="1" t="n">
        <v>45750</v>
      </c>
      <c r="D299" t="inlineStr">
        <is>
          <t>STOCKHOLMS LÄN</t>
        </is>
      </c>
      <c r="E299" t="inlineStr">
        <is>
          <t>NORRTÄLJE</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27264-2019</t>
        </is>
      </c>
      <c r="B300" s="1" t="n">
        <v>43615</v>
      </c>
      <c r="C300" s="1" t="n">
        <v>45750</v>
      </c>
      <c r="D300" t="inlineStr">
        <is>
          <t>STOCKHOLMS LÄN</t>
        </is>
      </c>
      <c r="E300" t="inlineStr">
        <is>
          <t>NORRTÄLJE</t>
        </is>
      </c>
      <c r="G300" t="n">
        <v>1.6</v>
      </c>
      <c r="H300" t="n">
        <v>0</v>
      </c>
      <c r="I300" t="n">
        <v>0</v>
      </c>
      <c r="J300" t="n">
        <v>0</v>
      </c>
      <c r="K300" t="n">
        <v>0</v>
      </c>
      <c r="L300" t="n">
        <v>0</v>
      </c>
      <c r="M300" t="n">
        <v>0</v>
      </c>
      <c r="N300" t="n">
        <v>0</v>
      </c>
      <c r="O300" t="n">
        <v>0</v>
      </c>
      <c r="P300" t="n">
        <v>0</v>
      </c>
      <c r="Q300" t="n">
        <v>0</v>
      </c>
      <c r="R300" s="2" t="inlineStr"/>
    </row>
    <row r="301" ht="15" customHeight="1">
      <c r="A301" t="inlineStr">
        <is>
          <t>A 27971-2019</t>
        </is>
      </c>
      <c r="B301" s="1" t="n">
        <v>43620</v>
      </c>
      <c r="C301" s="1" t="n">
        <v>45750</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27967-2019</t>
        </is>
      </c>
      <c r="B302" s="1" t="n">
        <v>43620</v>
      </c>
      <c r="C302" s="1" t="n">
        <v>45750</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28121-2019</t>
        </is>
      </c>
      <c r="B303" s="1" t="n">
        <v>43621</v>
      </c>
      <c r="C303" s="1" t="n">
        <v>45750</v>
      </c>
      <c r="D303" t="inlineStr">
        <is>
          <t>STOCKHOLMS LÄN</t>
        </is>
      </c>
      <c r="E303" t="inlineStr">
        <is>
          <t>NORRTÄLJE</t>
        </is>
      </c>
      <c r="F303" t="inlineStr">
        <is>
          <t>Kyrkan</t>
        </is>
      </c>
      <c r="G303" t="n">
        <v>2.5</v>
      </c>
      <c r="H303" t="n">
        <v>0</v>
      </c>
      <c r="I303" t="n">
        <v>0</v>
      </c>
      <c r="J303" t="n">
        <v>0</v>
      </c>
      <c r="K303" t="n">
        <v>0</v>
      </c>
      <c r="L303" t="n">
        <v>0</v>
      </c>
      <c r="M303" t="n">
        <v>0</v>
      </c>
      <c r="N303" t="n">
        <v>0</v>
      </c>
      <c r="O303" t="n">
        <v>0</v>
      </c>
      <c r="P303" t="n">
        <v>0</v>
      </c>
      <c r="Q303" t="n">
        <v>0</v>
      </c>
      <c r="R303" s="2" t="inlineStr"/>
    </row>
    <row r="304" ht="15" customHeight="1">
      <c r="A304" t="inlineStr">
        <is>
          <t>A 28289-2019</t>
        </is>
      </c>
      <c r="B304" s="1" t="n">
        <v>43623</v>
      </c>
      <c r="C304" s="1" t="n">
        <v>45750</v>
      </c>
      <c r="D304" t="inlineStr">
        <is>
          <t>STOCKHOLMS LÄN</t>
        </is>
      </c>
      <c r="E304" t="inlineStr">
        <is>
          <t>NORRTÄLJE</t>
        </is>
      </c>
      <c r="G304" t="n">
        <v>7.7</v>
      </c>
      <c r="H304" t="n">
        <v>0</v>
      </c>
      <c r="I304" t="n">
        <v>0</v>
      </c>
      <c r="J304" t="n">
        <v>0</v>
      </c>
      <c r="K304" t="n">
        <v>0</v>
      </c>
      <c r="L304" t="n">
        <v>0</v>
      </c>
      <c r="M304" t="n">
        <v>0</v>
      </c>
      <c r="N304" t="n">
        <v>0</v>
      </c>
      <c r="O304" t="n">
        <v>0</v>
      </c>
      <c r="P304" t="n">
        <v>0</v>
      </c>
      <c r="Q304" t="n">
        <v>0</v>
      </c>
      <c r="R304" s="2" t="inlineStr"/>
    </row>
    <row r="305" ht="15" customHeight="1">
      <c r="A305" t="inlineStr">
        <is>
          <t>A 28519-2019</t>
        </is>
      </c>
      <c r="B305" s="1" t="n">
        <v>43626</v>
      </c>
      <c r="C305" s="1" t="n">
        <v>45750</v>
      </c>
      <c r="D305" t="inlineStr">
        <is>
          <t>STOCKHOLMS LÄN</t>
        </is>
      </c>
      <c r="E305" t="inlineStr">
        <is>
          <t>NORRTÄLJE</t>
        </is>
      </c>
      <c r="G305" t="n">
        <v>3</v>
      </c>
      <c r="H305" t="n">
        <v>0</v>
      </c>
      <c r="I305" t="n">
        <v>0</v>
      </c>
      <c r="J305" t="n">
        <v>0</v>
      </c>
      <c r="K305" t="n">
        <v>0</v>
      </c>
      <c r="L305" t="n">
        <v>0</v>
      </c>
      <c r="M305" t="n">
        <v>0</v>
      </c>
      <c r="N305" t="n">
        <v>0</v>
      </c>
      <c r="O305" t="n">
        <v>0</v>
      </c>
      <c r="P305" t="n">
        <v>0</v>
      </c>
      <c r="Q305" t="n">
        <v>0</v>
      </c>
      <c r="R305" s="2" t="inlineStr"/>
    </row>
    <row r="306" ht="15" customHeight="1">
      <c r="A306" t="inlineStr">
        <is>
          <t>A 28495-2019</t>
        </is>
      </c>
      <c r="B306" s="1" t="n">
        <v>43626</v>
      </c>
      <c r="C306" s="1" t="n">
        <v>45750</v>
      </c>
      <c r="D306" t="inlineStr">
        <is>
          <t>STOCKHOLMS LÄN</t>
        </is>
      </c>
      <c r="E306" t="inlineStr">
        <is>
          <t>NORRTÄLJE</t>
        </is>
      </c>
      <c r="G306" t="n">
        <v>14.7</v>
      </c>
      <c r="H306" t="n">
        <v>0</v>
      </c>
      <c r="I306" t="n">
        <v>0</v>
      </c>
      <c r="J306" t="n">
        <v>0</v>
      </c>
      <c r="K306" t="n">
        <v>0</v>
      </c>
      <c r="L306" t="n">
        <v>0</v>
      </c>
      <c r="M306" t="n">
        <v>0</v>
      </c>
      <c r="N306" t="n">
        <v>0</v>
      </c>
      <c r="O306" t="n">
        <v>0</v>
      </c>
      <c r="P306" t="n">
        <v>0</v>
      </c>
      <c r="Q306" t="n">
        <v>0</v>
      </c>
      <c r="R306" s="2" t="inlineStr"/>
    </row>
    <row r="307" ht="15" customHeight="1">
      <c r="A307" t="inlineStr">
        <is>
          <t>A 28394-2019</t>
        </is>
      </c>
      <c r="B307" s="1" t="n">
        <v>43626</v>
      </c>
      <c r="C307" s="1" t="n">
        <v>45750</v>
      </c>
      <c r="D307" t="inlineStr">
        <is>
          <t>STOCKHOLMS LÄN</t>
        </is>
      </c>
      <c r="E307" t="inlineStr">
        <is>
          <t>NORRTÄLJE</t>
        </is>
      </c>
      <c r="G307" t="n">
        <v>2.4</v>
      </c>
      <c r="H307" t="n">
        <v>0</v>
      </c>
      <c r="I307" t="n">
        <v>0</v>
      </c>
      <c r="J307" t="n">
        <v>0</v>
      </c>
      <c r="K307" t="n">
        <v>0</v>
      </c>
      <c r="L307" t="n">
        <v>0</v>
      </c>
      <c r="M307" t="n">
        <v>0</v>
      </c>
      <c r="N307" t="n">
        <v>0</v>
      </c>
      <c r="O307" t="n">
        <v>0</v>
      </c>
      <c r="P307" t="n">
        <v>0</v>
      </c>
      <c r="Q307" t="n">
        <v>0</v>
      </c>
      <c r="R307" s="2" t="inlineStr"/>
    </row>
    <row r="308" ht="15" customHeight="1">
      <c r="A308" t="inlineStr">
        <is>
          <t>A 29260-2019</t>
        </is>
      </c>
      <c r="B308" s="1" t="n">
        <v>43629</v>
      </c>
      <c r="C308" s="1" t="n">
        <v>45750</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29312-2019</t>
        </is>
      </c>
      <c r="B309" s="1" t="n">
        <v>43629</v>
      </c>
      <c r="C309" s="1" t="n">
        <v>45750</v>
      </c>
      <c r="D309" t="inlineStr">
        <is>
          <t>STOCKHOLMS LÄN</t>
        </is>
      </c>
      <c r="E309" t="inlineStr">
        <is>
          <t>NORRTÄLJE</t>
        </is>
      </c>
      <c r="G309" t="n">
        <v>7.1</v>
      </c>
      <c r="H309" t="n">
        <v>0</v>
      </c>
      <c r="I309" t="n">
        <v>0</v>
      </c>
      <c r="J309" t="n">
        <v>0</v>
      </c>
      <c r="K309" t="n">
        <v>0</v>
      </c>
      <c r="L309" t="n">
        <v>0</v>
      </c>
      <c r="M309" t="n">
        <v>0</v>
      </c>
      <c r="N309" t="n">
        <v>0</v>
      </c>
      <c r="O309" t="n">
        <v>0</v>
      </c>
      <c r="P309" t="n">
        <v>0</v>
      </c>
      <c r="Q309" t="n">
        <v>0</v>
      </c>
      <c r="R309" s="2" t="inlineStr"/>
    </row>
    <row r="310" ht="15" customHeight="1">
      <c r="A310" t="inlineStr">
        <is>
          <t>A 29759-2019</t>
        </is>
      </c>
      <c r="B310" s="1" t="n">
        <v>43631</v>
      </c>
      <c r="C310" s="1" t="n">
        <v>45750</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30000-2019</t>
        </is>
      </c>
      <c r="B311" s="1" t="n">
        <v>43633</v>
      </c>
      <c r="C311" s="1" t="n">
        <v>45750</v>
      </c>
      <c r="D311" t="inlineStr">
        <is>
          <t>STOCKHOLMS LÄN</t>
        </is>
      </c>
      <c r="E311" t="inlineStr">
        <is>
          <t>NORRTÄLJE</t>
        </is>
      </c>
      <c r="G311" t="n">
        <v>5.4</v>
      </c>
      <c r="H311" t="n">
        <v>0</v>
      </c>
      <c r="I311" t="n">
        <v>0</v>
      </c>
      <c r="J311" t="n">
        <v>0</v>
      </c>
      <c r="K311" t="n">
        <v>0</v>
      </c>
      <c r="L311" t="n">
        <v>0</v>
      </c>
      <c r="M311" t="n">
        <v>0</v>
      </c>
      <c r="N311" t="n">
        <v>0</v>
      </c>
      <c r="O311" t="n">
        <v>0</v>
      </c>
      <c r="P311" t="n">
        <v>0</v>
      </c>
      <c r="Q311" t="n">
        <v>0</v>
      </c>
      <c r="R311" s="2" t="inlineStr"/>
    </row>
    <row r="312" ht="15" customHeight="1">
      <c r="A312" t="inlineStr">
        <is>
          <t>A 30833-2019</t>
        </is>
      </c>
      <c r="B312" s="1" t="n">
        <v>43636</v>
      </c>
      <c r="C312" s="1" t="n">
        <v>45750</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31215-2019</t>
        </is>
      </c>
      <c r="B313" s="1" t="n">
        <v>43640</v>
      </c>
      <c r="C313" s="1" t="n">
        <v>45750</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31017-2019</t>
        </is>
      </c>
      <c r="B314" s="1" t="n">
        <v>43640</v>
      </c>
      <c r="C314" s="1" t="n">
        <v>45750</v>
      </c>
      <c r="D314" t="inlineStr">
        <is>
          <t>STOCKHOLMS LÄN</t>
        </is>
      </c>
      <c r="E314" t="inlineStr">
        <is>
          <t>NORRTÄLJE</t>
        </is>
      </c>
      <c r="G314" t="n">
        <v>3.4</v>
      </c>
      <c r="H314" t="n">
        <v>0</v>
      </c>
      <c r="I314" t="n">
        <v>0</v>
      </c>
      <c r="J314" t="n">
        <v>0</v>
      </c>
      <c r="K314" t="n">
        <v>0</v>
      </c>
      <c r="L314" t="n">
        <v>0</v>
      </c>
      <c r="M314" t="n">
        <v>0</v>
      </c>
      <c r="N314" t="n">
        <v>0</v>
      </c>
      <c r="O314" t="n">
        <v>0</v>
      </c>
      <c r="P314" t="n">
        <v>0</v>
      </c>
      <c r="Q314" t="n">
        <v>0</v>
      </c>
      <c r="R314" s="2" t="inlineStr"/>
    </row>
    <row r="315" ht="15" customHeight="1">
      <c r="A315" t="inlineStr">
        <is>
          <t>A 31966-2019</t>
        </is>
      </c>
      <c r="B315" s="1" t="n">
        <v>43643</v>
      </c>
      <c r="C315" s="1" t="n">
        <v>45750</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32725-2019</t>
        </is>
      </c>
      <c r="B316" s="1" t="n">
        <v>43647</v>
      </c>
      <c r="C316" s="1" t="n">
        <v>45750</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32726-2019</t>
        </is>
      </c>
      <c r="B317" s="1" t="n">
        <v>43647</v>
      </c>
      <c r="C317" s="1" t="n">
        <v>45750</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33207-2019</t>
        </is>
      </c>
      <c r="B318" s="1" t="n">
        <v>43649</v>
      </c>
      <c r="C318" s="1" t="n">
        <v>45750</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33955-2019</t>
        </is>
      </c>
      <c r="B319" s="1" t="n">
        <v>43654</v>
      </c>
      <c r="C319" s="1" t="n">
        <v>45750</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33966-2019</t>
        </is>
      </c>
      <c r="B320" s="1" t="n">
        <v>43654</v>
      </c>
      <c r="C320" s="1" t="n">
        <v>45750</v>
      </c>
      <c r="D320" t="inlineStr">
        <is>
          <t>STOCKHOLMS LÄN</t>
        </is>
      </c>
      <c r="E320" t="inlineStr">
        <is>
          <t>NORRTÄLJE</t>
        </is>
      </c>
      <c r="G320" t="n">
        <v>3.2</v>
      </c>
      <c r="H320" t="n">
        <v>0</v>
      </c>
      <c r="I320" t="n">
        <v>0</v>
      </c>
      <c r="J320" t="n">
        <v>0</v>
      </c>
      <c r="K320" t="n">
        <v>0</v>
      </c>
      <c r="L320" t="n">
        <v>0</v>
      </c>
      <c r="M320" t="n">
        <v>0</v>
      </c>
      <c r="N320" t="n">
        <v>0</v>
      </c>
      <c r="O320" t="n">
        <v>0</v>
      </c>
      <c r="P320" t="n">
        <v>0</v>
      </c>
      <c r="Q320" t="n">
        <v>0</v>
      </c>
      <c r="R320" s="2" t="inlineStr"/>
    </row>
    <row r="321" ht="15" customHeight="1">
      <c r="A321" t="inlineStr">
        <is>
          <t>A 35247-2019</t>
        </is>
      </c>
      <c r="B321" s="1" t="n">
        <v>43656</v>
      </c>
      <c r="C321" s="1" t="n">
        <v>45750</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35244-2019</t>
        </is>
      </c>
      <c r="B322" s="1" t="n">
        <v>43656</v>
      </c>
      <c r="C322" s="1" t="n">
        <v>45750</v>
      </c>
      <c r="D322" t="inlineStr">
        <is>
          <t>STOCKHOLMS LÄN</t>
        </is>
      </c>
      <c r="E322" t="inlineStr">
        <is>
          <t>NORRTÄLJE</t>
        </is>
      </c>
      <c r="G322" t="n">
        <v>1.9</v>
      </c>
      <c r="H322" t="n">
        <v>0</v>
      </c>
      <c r="I322" t="n">
        <v>0</v>
      </c>
      <c r="J322" t="n">
        <v>0</v>
      </c>
      <c r="K322" t="n">
        <v>0</v>
      </c>
      <c r="L322" t="n">
        <v>0</v>
      </c>
      <c r="M322" t="n">
        <v>0</v>
      </c>
      <c r="N322" t="n">
        <v>0</v>
      </c>
      <c r="O322" t="n">
        <v>0</v>
      </c>
      <c r="P322" t="n">
        <v>0</v>
      </c>
      <c r="Q322" t="n">
        <v>0</v>
      </c>
      <c r="R322" s="2" t="inlineStr"/>
    </row>
    <row r="323" ht="15" customHeight="1">
      <c r="A323" t="inlineStr">
        <is>
          <t>A 35249-2019</t>
        </is>
      </c>
      <c r="B323" s="1" t="n">
        <v>43656</v>
      </c>
      <c r="C323" s="1" t="n">
        <v>45750</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35251-2019</t>
        </is>
      </c>
      <c r="B324" s="1" t="n">
        <v>43656</v>
      </c>
      <c r="C324" s="1" t="n">
        <v>45750</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35492-2019</t>
        </is>
      </c>
      <c r="B325" s="1" t="n">
        <v>43663</v>
      </c>
      <c r="C325" s="1" t="n">
        <v>45750</v>
      </c>
      <c r="D325" t="inlineStr">
        <is>
          <t>STOCKHOLMS LÄN</t>
        </is>
      </c>
      <c r="E325" t="inlineStr">
        <is>
          <t>NORRTÄLJE</t>
        </is>
      </c>
      <c r="G325" t="n">
        <v>14</v>
      </c>
      <c r="H325" t="n">
        <v>0</v>
      </c>
      <c r="I325" t="n">
        <v>0</v>
      </c>
      <c r="J325" t="n">
        <v>0</v>
      </c>
      <c r="K325" t="n">
        <v>0</v>
      </c>
      <c r="L325" t="n">
        <v>0</v>
      </c>
      <c r="M325" t="n">
        <v>0</v>
      </c>
      <c r="N325" t="n">
        <v>0</v>
      </c>
      <c r="O325" t="n">
        <v>0</v>
      </c>
      <c r="P325" t="n">
        <v>0</v>
      </c>
      <c r="Q325" t="n">
        <v>0</v>
      </c>
      <c r="R325" s="2" t="inlineStr"/>
    </row>
    <row r="326" ht="15" customHeight="1">
      <c r="A326" t="inlineStr">
        <is>
          <t>A 35770-2019</t>
        </is>
      </c>
      <c r="B326" s="1" t="n">
        <v>43665</v>
      </c>
      <c r="C326" s="1" t="n">
        <v>45750</v>
      </c>
      <c r="D326" t="inlineStr">
        <is>
          <t>STOCKHOLMS LÄN</t>
        </is>
      </c>
      <c r="E326" t="inlineStr">
        <is>
          <t>NORRTÄLJE</t>
        </is>
      </c>
      <c r="G326" t="n">
        <v>6.3</v>
      </c>
      <c r="H326" t="n">
        <v>0</v>
      </c>
      <c r="I326" t="n">
        <v>0</v>
      </c>
      <c r="J326" t="n">
        <v>0</v>
      </c>
      <c r="K326" t="n">
        <v>0</v>
      </c>
      <c r="L326" t="n">
        <v>0</v>
      </c>
      <c r="M326" t="n">
        <v>0</v>
      </c>
      <c r="N326" t="n">
        <v>0</v>
      </c>
      <c r="O326" t="n">
        <v>0</v>
      </c>
      <c r="P326" t="n">
        <v>0</v>
      </c>
      <c r="Q326" t="n">
        <v>0</v>
      </c>
      <c r="R326" s="2" t="inlineStr"/>
    </row>
    <row r="327" ht="15" customHeight="1">
      <c r="A327" t="inlineStr">
        <is>
          <t>A 35766-2019</t>
        </is>
      </c>
      <c r="B327" s="1" t="n">
        <v>43665</v>
      </c>
      <c r="C327" s="1" t="n">
        <v>45750</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36418-2019</t>
        </is>
      </c>
      <c r="B328" s="1" t="n">
        <v>43670</v>
      </c>
      <c r="C328" s="1" t="n">
        <v>45750</v>
      </c>
      <c r="D328" t="inlineStr">
        <is>
          <t>STOCKHOLMS LÄN</t>
        </is>
      </c>
      <c r="E328" t="inlineStr">
        <is>
          <t>NORRTÄLJE</t>
        </is>
      </c>
      <c r="G328" t="n">
        <v>16.8</v>
      </c>
      <c r="H328" t="n">
        <v>0</v>
      </c>
      <c r="I328" t="n">
        <v>0</v>
      </c>
      <c r="J328" t="n">
        <v>0</v>
      </c>
      <c r="K328" t="n">
        <v>0</v>
      </c>
      <c r="L328" t="n">
        <v>0</v>
      </c>
      <c r="M328" t="n">
        <v>0</v>
      </c>
      <c r="N328" t="n">
        <v>0</v>
      </c>
      <c r="O328" t="n">
        <v>0</v>
      </c>
      <c r="P328" t="n">
        <v>0</v>
      </c>
      <c r="Q328" t="n">
        <v>0</v>
      </c>
      <c r="R328" s="2" t="inlineStr"/>
    </row>
    <row r="329" ht="15" customHeight="1">
      <c r="A329" t="inlineStr">
        <is>
          <t>A 37401-2019</t>
        </is>
      </c>
      <c r="B329" s="1" t="n">
        <v>43678</v>
      </c>
      <c r="C329" s="1" t="n">
        <v>45750</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37662-2019</t>
        </is>
      </c>
      <c r="B330" s="1" t="n">
        <v>43682</v>
      </c>
      <c r="C330" s="1" t="n">
        <v>45750</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38144-2019</t>
        </is>
      </c>
      <c r="B331" s="1" t="n">
        <v>43684</v>
      </c>
      <c r="C331" s="1" t="n">
        <v>45750</v>
      </c>
      <c r="D331" t="inlineStr">
        <is>
          <t>STOCKHOLMS LÄN</t>
        </is>
      </c>
      <c r="E331" t="inlineStr">
        <is>
          <t>NORRTÄLJE</t>
        </is>
      </c>
      <c r="G331" t="n">
        <v>3.6</v>
      </c>
      <c r="H331" t="n">
        <v>0</v>
      </c>
      <c r="I331" t="n">
        <v>0</v>
      </c>
      <c r="J331" t="n">
        <v>0</v>
      </c>
      <c r="K331" t="n">
        <v>0</v>
      </c>
      <c r="L331" t="n">
        <v>0</v>
      </c>
      <c r="M331" t="n">
        <v>0</v>
      </c>
      <c r="N331" t="n">
        <v>0</v>
      </c>
      <c r="O331" t="n">
        <v>0</v>
      </c>
      <c r="P331" t="n">
        <v>0</v>
      </c>
      <c r="Q331" t="n">
        <v>0</v>
      </c>
      <c r="R331" s="2" t="inlineStr"/>
    </row>
    <row r="332" ht="15" customHeight="1">
      <c r="A332" t="inlineStr">
        <is>
          <t>A 38139-2019</t>
        </is>
      </c>
      <c r="B332" s="1" t="n">
        <v>43684</v>
      </c>
      <c r="C332" s="1" t="n">
        <v>45750</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38145-2019</t>
        </is>
      </c>
      <c r="B333" s="1" t="n">
        <v>43684</v>
      </c>
      <c r="C333" s="1" t="n">
        <v>45750</v>
      </c>
      <c r="D333" t="inlineStr">
        <is>
          <t>STOCKHOLMS LÄN</t>
        </is>
      </c>
      <c r="E333" t="inlineStr">
        <is>
          <t>NORRTÄLJE</t>
        </is>
      </c>
      <c r="G333" t="n">
        <v>9.9</v>
      </c>
      <c r="H333" t="n">
        <v>0</v>
      </c>
      <c r="I333" t="n">
        <v>0</v>
      </c>
      <c r="J333" t="n">
        <v>0</v>
      </c>
      <c r="K333" t="n">
        <v>0</v>
      </c>
      <c r="L333" t="n">
        <v>0</v>
      </c>
      <c r="M333" t="n">
        <v>0</v>
      </c>
      <c r="N333" t="n">
        <v>0</v>
      </c>
      <c r="O333" t="n">
        <v>0</v>
      </c>
      <c r="P333" t="n">
        <v>0</v>
      </c>
      <c r="Q333" t="n">
        <v>0</v>
      </c>
      <c r="R333" s="2" t="inlineStr"/>
    </row>
    <row r="334" ht="15" customHeight="1">
      <c r="A334" t="inlineStr">
        <is>
          <t>A 38140-2019</t>
        </is>
      </c>
      <c r="B334" s="1" t="n">
        <v>43684</v>
      </c>
      <c r="C334" s="1" t="n">
        <v>45750</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38143-2019</t>
        </is>
      </c>
      <c r="B335" s="1" t="n">
        <v>43684</v>
      </c>
      <c r="C335" s="1" t="n">
        <v>45750</v>
      </c>
      <c r="D335" t="inlineStr">
        <is>
          <t>STOCKHOLMS LÄN</t>
        </is>
      </c>
      <c r="E335" t="inlineStr">
        <is>
          <t>NORRTÄLJE</t>
        </is>
      </c>
      <c r="G335" t="n">
        <v>12.7</v>
      </c>
      <c r="H335" t="n">
        <v>0</v>
      </c>
      <c r="I335" t="n">
        <v>0</v>
      </c>
      <c r="J335" t="n">
        <v>0</v>
      </c>
      <c r="K335" t="n">
        <v>0</v>
      </c>
      <c r="L335" t="n">
        <v>0</v>
      </c>
      <c r="M335" t="n">
        <v>0</v>
      </c>
      <c r="N335" t="n">
        <v>0</v>
      </c>
      <c r="O335" t="n">
        <v>0</v>
      </c>
      <c r="P335" t="n">
        <v>0</v>
      </c>
      <c r="Q335" t="n">
        <v>0</v>
      </c>
      <c r="R335" s="2" t="inlineStr"/>
    </row>
    <row r="336" ht="15" customHeight="1">
      <c r="A336" t="inlineStr">
        <is>
          <t>A 38506-2019</t>
        </is>
      </c>
      <c r="B336" s="1" t="n">
        <v>43685</v>
      </c>
      <c r="C336" s="1" t="n">
        <v>45750</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38605-2019</t>
        </is>
      </c>
      <c r="B337" s="1" t="n">
        <v>43686</v>
      </c>
      <c r="C337" s="1" t="n">
        <v>45750</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38737-2019</t>
        </is>
      </c>
      <c r="B338" s="1" t="n">
        <v>43686</v>
      </c>
      <c r="C338" s="1" t="n">
        <v>45750</v>
      </c>
      <c r="D338" t="inlineStr">
        <is>
          <t>STOCKHOLMS LÄN</t>
        </is>
      </c>
      <c r="E338" t="inlineStr">
        <is>
          <t>NORRTÄLJE</t>
        </is>
      </c>
      <c r="G338" t="n">
        <v>4.7</v>
      </c>
      <c r="H338" t="n">
        <v>0</v>
      </c>
      <c r="I338" t="n">
        <v>0</v>
      </c>
      <c r="J338" t="n">
        <v>0</v>
      </c>
      <c r="K338" t="n">
        <v>0</v>
      </c>
      <c r="L338" t="n">
        <v>0</v>
      </c>
      <c r="M338" t="n">
        <v>0</v>
      </c>
      <c r="N338" t="n">
        <v>0</v>
      </c>
      <c r="O338" t="n">
        <v>0</v>
      </c>
      <c r="P338" t="n">
        <v>0</v>
      </c>
      <c r="Q338" t="n">
        <v>0</v>
      </c>
      <c r="R338" s="2" t="inlineStr"/>
    </row>
    <row r="339" ht="15" customHeight="1">
      <c r="A339" t="inlineStr">
        <is>
          <t>A 40571-2019</t>
        </is>
      </c>
      <c r="B339" s="1" t="n">
        <v>43696</v>
      </c>
      <c r="C339" s="1" t="n">
        <v>45750</v>
      </c>
      <c r="D339" t="inlineStr">
        <is>
          <t>STOCKHOLMS LÄN</t>
        </is>
      </c>
      <c r="E339" t="inlineStr">
        <is>
          <t>NORRTÄLJE</t>
        </is>
      </c>
      <c r="G339" t="n">
        <v>2.8</v>
      </c>
      <c r="H339" t="n">
        <v>0</v>
      </c>
      <c r="I339" t="n">
        <v>0</v>
      </c>
      <c r="J339" t="n">
        <v>0</v>
      </c>
      <c r="K339" t="n">
        <v>0</v>
      </c>
      <c r="L339" t="n">
        <v>0</v>
      </c>
      <c r="M339" t="n">
        <v>0</v>
      </c>
      <c r="N339" t="n">
        <v>0</v>
      </c>
      <c r="O339" t="n">
        <v>0</v>
      </c>
      <c r="P339" t="n">
        <v>0</v>
      </c>
      <c r="Q339" t="n">
        <v>0</v>
      </c>
      <c r="R339" s="2" t="inlineStr"/>
    </row>
    <row r="340" ht="15" customHeight="1">
      <c r="A340" t="inlineStr">
        <is>
          <t>A 42330-2019</t>
        </is>
      </c>
      <c r="B340" s="1" t="n">
        <v>43703</v>
      </c>
      <c r="C340" s="1" t="n">
        <v>45750</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43379-2019</t>
        </is>
      </c>
      <c r="B341" s="1" t="n">
        <v>43703</v>
      </c>
      <c r="C341" s="1" t="n">
        <v>45750</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43296-2019</t>
        </is>
      </c>
      <c r="B342" s="1" t="n">
        <v>43706</v>
      </c>
      <c r="C342" s="1" t="n">
        <v>45750</v>
      </c>
      <c r="D342" t="inlineStr">
        <is>
          <t>STOCKHOLMS LÄN</t>
        </is>
      </c>
      <c r="E342" t="inlineStr">
        <is>
          <t>NORRTÄLJE</t>
        </is>
      </c>
      <c r="F342" t="inlineStr">
        <is>
          <t>Kommuner</t>
        </is>
      </c>
      <c r="G342" t="n">
        <v>1.7</v>
      </c>
      <c r="H342" t="n">
        <v>0</v>
      </c>
      <c r="I342" t="n">
        <v>0</v>
      </c>
      <c r="J342" t="n">
        <v>0</v>
      </c>
      <c r="K342" t="n">
        <v>0</v>
      </c>
      <c r="L342" t="n">
        <v>0</v>
      </c>
      <c r="M342" t="n">
        <v>0</v>
      </c>
      <c r="N342" t="n">
        <v>0</v>
      </c>
      <c r="O342" t="n">
        <v>0</v>
      </c>
      <c r="P342" t="n">
        <v>0</v>
      </c>
      <c r="Q342" t="n">
        <v>0</v>
      </c>
      <c r="R342" s="2" t="inlineStr"/>
    </row>
    <row r="343" ht="15" customHeight="1">
      <c r="A343" t="inlineStr">
        <is>
          <t>A 44643-2019</t>
        </is>
      </c>
      <c r="B343" s="1" t="n">
        <v>43712</v>
      </c>
      <c r="C343" s="1" t="n">
        <v>45750</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45463-2019</t>
        </is>
      </c>
      <c r="B344" s="1" t="n">
        <v>43714</v>
      </c>
      <c r="C344" s="1" t="n">
        <v>45750</v>
      </c>
      <c r="D344" t="inlineStr">
        <is>
          <t>STOCKHOLMS LÄN</t>
        </is>
      </c>
      <c r="E344" t="inlineStr">
        <is>
          <t>NORRTÄLJE</t>
        </is>
      </c>
      <c r="F344" t="inlineStr">
        <is>
          <t>Övriga statliga verk och myndigheter</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45477-2019</t>
        </is>
      </c>
      <c r="B345" s="1" t="n">
        <v>43714</v>
      </c>
      <c r="C345" s="1" t="n">
        <v>45750</v>
      </c>
      <c r="D345" t="inlineStr">
        <is>
          <t>STOCKHOLMS LÄN</t>
        </is>
      </c>
      <c r="E345" t="inlineStr">
        <is>
          <t>NORRTÄLJE</t>
        </is>
      </c>
      <c r="F345" t="inlineStr">
        <is>
          <t>Övriga statliga verk och myndigheter</t>
        </is>
      </c>
      <c r="G345" t="n">
        <v>8.9</v>
      </c>
      <c r="H345" t="n">
        <v>0</v>
      </c>
      <c r="I345" t="n">
        <v>0</v>
      </c>
      <c r="J345" t="n">
        <v>0</v>
      </c>
      <c r="K345" t="n">
        <v>0</v>
      </c>
      <c r="L345" t="n">
        <v>0</v>
      </c>
      <c r="M345" t="n">
        <v>0</v>
      </c>
      <c r="N345" t="n">
        <v>0</v>
      </c>
      <c r="O345" t="n">
        <v>0</v>
      </c>
      <c r="P345" t="n">
        <v>0</v>
      </c>
      <c r="Q345" t="n">
        <v>0</v>
      </c>
      <c r="R345" s="2" t="inlineStr"/>
    </row>
    <row r="346" ht="15" customHeight="1">
      <c r="A346" t="inlineStr">
        <is>
          <t>A 46327-2019</t>
        </is>
      </c>
      <c r="B346" s="1" t="n">
        <v>43718</v>
      </c>
      <c r="C346" s="1" t="n">
        <v>45750</v>
      </c>
      <c r="D346" t="inlineStr">
        <is>
          <t>STOCKHOLMS LÄN</t>
        </is>
      </c>
      <c r="E346" t="inlineStr">
        <is>
          <t>NORRTÄLJE</t>
        </is>
      </c>
      <c r="G346" t="n">
        <v>2.4</v>
      </c>
      <c r="H346" t="n">
        <v>0</v>
      </c>
      <c r="I346" t="n">
        <v>0</v>
      </c>
      <c r="J346" t="n">
        <v>0</v>
      </c>
      <c r="K346" t="n">
        <v>0</v>
      </c>
      <c r="L346" t="n">
        <v>0</v>
      </c>
      <c r="M346" t="n">
        <v>0</v>
      </c>
      <c r="N346" t="n">
        <v>0</v>
      </c>
      <c r="O346" t="n">
        <v>0</v>
      </c>
      <c r="P346" t="n">
        <v>0</v>
      </c>
      <c r="Q346" t="n">
        <v>0</v>
      </c>
      <c r="R346" s="2" t="inlineStr"/>
    </row>
    <row r="347" ht="15" customHeight="1">
      <c r="A347" t="inlineStr">
        <is>
          <t>A 47876-2019</t>
        </is>
      </c>
      <c r="B347" s="1" t="n">
        <v>43725</v>
      </c>
      <c r="C347" s="1" t="n">
        <v>45750</v>
      </c>
      <c r="D347" t="inlineStr">
        <is>
          <t>STOCKHOLMS LÄN</t>
        </is>
      </c>
      <c r="E347" t="inlineStr">
        <is>
          <t>NORRTÄLJE</t>
        </is>
      </c>
      <c r="G347" t="n">
        <v>11.4</v>
      </c>
      <c r="H347" t="n">
        <v>0</v>
      </c>
      <c r="I347" t="n">
        <v>0</v>
      </c>
      <c r="J347" t="n">
        <v>0</v>
      </c>
      <c r="K347" t="n">
        <v>0</v>
      </c>
      <c r="L347" t="n">
        <v>0</v>
      </c>
      <c r="M347" t="n">
        <v>0</v>
      </c>
      <c r="N347" t="n">
        <v>0</v>
      </c>
      <c r="O347" t="n">
        <v>0</v>
      </c>
      <c r="P347" t="n">
        <v>0</v>
      </c>
      <c r="Q347" t="n">
        <v>0</v>
      </c>
      <c r="R347" s="2" t="inlineStr"/>
    </row>
    <row r="348" ht="15" customHeight="1">
      <c r="A348" t="inlineStr">
        <is>
          <t>A 47877-2019</t>
        </is>
      </c>
      <c r="B348" s="1" t="n">
        <v>43725</v>
      </c>
      <c r="C348" s="1" t="n">
        <v>45750</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47903-2019</t>
        </is>
      </c>
      <c r="B349" s="1" t="n">
        <v>43725</v>
      </c>
      <c r="C349" s="1" t="n">
        <v>45750</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47901-2019</t>
        </is>
      </c>
      <c r="B350" s="1" t="n">
        <v>43725</v>
      </c>
      <c r="C350" s="1" t="n">
        <v>45750</v>
      </c>
      <c r="D350" t="inlineStr">
        <is>
          <t>STOCKHOLMS LÄN</t>
        </is>
      </c>
      <c r="E350" t="inlineStr">
        <is>
          <t>NORRTÄLJE</t>
        </is>
      </c>
      <c r="G350" t="n">
        <v>3</v>
      </c>
      <c r="H350" t="n">
        <v>0</v>
      </c>
      <c r="I350" t="n">
        <v>0</v>
      </c>
      <c r="J350" t="n">
        <v>0</v>
      </c>
      <c r="K350" t="n">
        <v>0</v>
      </c>
      <c r="L350" t="n">
        <v>0</v>
      </c>
      <c r="M350" t="n">
        <v>0</v>
      </c>
      <c r="N350" t="n">
        <v>0</v>
      </c>
      <c r="O350" t="n">
        <v>0</v>
      </c>
      <c r="P350" t="n">
        <v>0</v>
      </c>
      <c r="Q350" t="n">
        <v>0</v>
      </c>
      <c r="R350" s="2" t="inlineStr"/>
    </row>
    <row r="351" ht="15" customHeight="1">
      <c r="A351" t="inlineStr">
        <is>
          <t>A 47939-2019</t>
        </is>
      </c>
      <c r="B351" s="1" t="n">
        <v>43725</v>
      </c>
      <c r="C351" s="1" t="n">
        <v>45750</v>
      </c>
      <c r="D351" t="inlineStr">
        <is>
          <t>STOCKHOLMS LÄN</t>
        </is>
      </c>
      <c r="E351" t="inlineStr">
        <is>
          <t>NORRTÄLJE</t>
        </is>
      </c>
      <c r="G351" t="n">
        <v>4.5</v>
      </c>
      <c r="H351" t="n">
        <v>0</v>
      </c>
      <c r="I351" t="n">
        <v>0</v>
      </c>
      <c r="J351" t="n">
        <v>0</v>
      </c>
      <c r="K351" t="n">
        <v>0</v>
      </c>
      <c r="L351" t="n">
        <v>0</v>
      </c>
      <c r="M351" t="n">
        <v>0</v>
      </c>
      <c r="N351" t="n">
        <v>0</v>
      </c>
      <c r="O351" t="n">
        <v>0</v>
      </c>
      <c r="P351" t="n">
        <v>0</v>
      </c>
      <c r="Q351" t="n">
        <v>0</v>
      </c>
      <c r="R351" s="2" t="inlineStr"/>
    </row>
    <row r="352" ht="15" customHeight="1">
      <c r="A352" t="inlineStr">
        <is>
          <t>A 47941-2019</t>
        </is>
      </c>
      <c r="B352" s="1" t="n">
        <v>43725</v>
      </c>
      <c r="C352" s="1" t="n">
        <v>45750</v>
      </c>
      <c r="D352" t="inlineStr">
        <is>
          <t>STOCKHOLMS LÄN</t>
        </is>
      </c>
      <c r="E352" t="inlineStr">
        <is>
          <t>NORRTÄLJE</t>
        </is>
      </c>
      <c r="G352" t="n">
        <v>1.3</v>
      </c>
      <c r="H352" t="n">
        <v>0</v>
      </c>
      <c r="I352" t="n">
        <v>0</v>
      </c>
      <c r="J352" t="n">
        <v>0</v>
      </c>
      <c r="K352" t="n">
        <v>0</v>
      </c>
      <c r="L352" t="n">
        <v>0</v>
      </c>
      <c r="M352" t="n">
        <v>0</v>
      </c>
      <c r="N352" t="n">
        <v>0</v>
      </c>
      <c r="O352" t="n">
        <v>0</v>
      </c>
      <c r="P352" t="n">
        <v>0</v>
      </c>
      <c r="Q352" t="n">
        <v>0</v>
      </c>
      <c r="R352" s="2" t="inlineStr"/>
    </row>
    <row r="353" ht="15" customHeight="1">
      <c r="A353" t="inlineStr">
        <is>
          <t>A 47879-2019</t>
        </is>
      </c>
      <c r="B353" s="1" t="n">
        <v>43725</v>
      </c>
      <c r="C353" s="1" t="n">
        <v>45750</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48730-2019</t>
        </is>
      </c>
      <c r="B354" s="1" t="n">
        <v>43728</v>
      </c>
      <c r="C354" s="1" t="n">
        <v>45750</v>
      </c>
      <c r="D354" t="inlineStr">
        <is>
          <t>STOCKHOLMS LÄN</t>
        </is>
      </c>
      <c r="E354" t="inlineStr">
        <is>
          <t>NORRTÄLJE</t>
        </is>
      </c>
      <c r="F354" t="inlineStr">
        <is>
          <t>Övriga statliga verk och myndigheter</t>
        </is>
      </c>
      <c r="G354" t="n">
        <v>1.3</v>
      </c>
      <c r="H354" t="n">
        <v>0</v>
      </c>
      <c r="I354" t="n">
        <v>0</v>
      </c>
      <c r="J354" t="n">
        <v>0</v>
      </c>
      <c r="K354" t="n">
        <v>0</v>
      </c>
      <c r="L354" t="n">
        <v>0</v>
      </c>
      <c r="M354" t="n">
        <v>0</v>
      </c>
      <c r="N354" t="n">
        <v>0</v>
      </c>
      <c r="O354" t="n">
        <v>0</v>
      </c>
      <c r="P354" t="n">
        <v>0</v>
      </c>
      <c r="Q354" t="n">
        <v>0</v>
      </c>
      <c r="R354" s="2" t="inlineStr"/>
    </row>
    <row r="355" ht="15" customHeight="1">
      <c r="A355" t="inlineStr">
        <is>
          <t>A 49252-2019</t>
        </is>
      </c>
      <c r="B355" s="1" t="n">
        <v>43731</v>
      </c>
      <c r="C355" s="1" t="n">
        <v>45750</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51940-2019</t>
        </is>
      </c>
      <c r="B356" s="1" t="n">
        <v>43741</v>
      </c>
      <c r="C356" s="1" t="n">
        <v>45750</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51942-2019</t>
        </is>
      </c>
      <c r="B357" s="1" t="n">
        <v>43741</v>
      </c>
      <c r="C357" s="1" t="n">
        <v>45750</v>
      </c>
      <c r="D357" t="inlineStr">
        <is>
          <t>STOCKHOLMS LÄN</t>
        </is>
      </c>
      <c r="E357" t="inlineStr">
        <is>
          <t>NORRTÄLJE</t>
        </is>
      </c>
      <c r="G357" t="n">
        <v>5.6</v>
      </c>
      <c r="H357" t="n">
        <v>0</v>
      </c>
      <c r="I357" t="n">
        <v>0</v>
      </c>
      <c r="J357" t="n">
        <v>0</v>
      </c>
      <c r="K357" t="n">
        <v>0</v>
      </c>
      <c r="L357" t="n">
        <v>0</v>
      </c>
      <c r="M357" t="n">
        <v>0</v>
      </c>
      <c r="N357" t="n">
        <v>0</v>
      </c>
      <c r="O357" t="n">
        <v>0</v>
      </c>
      <c r="P357" t="n">
        <v>0</v>
      </c>
      <c r="Q357" t="n">
        <v>0</v>
      </c>
      <c r="R357" s="2" t="inlineStr"/>
    </row>
    <row r="358" ht="15" customHeight="1">
      <c r="A358" t="inlineStr">
        <is>
          <t>A 55481-2019</t>
        </is>
      </c>
      <c r="B358" s="1" t="n">
        <v>43759</v>
      </c>
      <c r="C358" s="1" t="n">
        <v>45750</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55891-2019</t>
        </is>
      </c>
      <c r="B359" s="1" t="n">
        <v>43761</v>
      </c>
      <c r="C359" s="1" t="n">
        <v>45750</v>
      </c>
      <c r="D359" t="inlineStr">
        <is>
          <t>STOCKHOLMS LÄN</t>
        </is>
      </c>
      <c r="E359" t="inlineStr">
        <is>
          <t>NORRTÄLJE</t>
        </is>
      </c>
      <c r="G359" t="n">
        <v>7.6</v>
      </c>
      <c r="H359" t="n">
        <v>0</v>
      </c>
      <c r="I359" t="n">
        <v>0</v>
      </c>
      <c r="J359" t="n">
        <v>0</v>
      </c>
      <c r="K359" t="n">
        <v>0</v>
      </c>
      <c r="L359" t="n">
        <v>0</v>
      </c>
      <c r="M359" t="n">
        <v>0</v>
      </c>
      <c r="N359" t="n">
        <v>0</v>
      </c>
      <c r="O359" t="n">
        <v>0</v>
      </c>
      <c r="P359" t="n">
        <v>0</v>
      </c>
      <c r="Q359" t="n">
        <v>0</v>
      </c>
      <c r="R359" s="2" t="inlineStr"/>
    </row>
    <row r="360" ht="15" customHeight="1">
      <c r="A360" t="inlineStr">
        <is>
          <t>A 56349-2019</t>
        </is>
      </c>
      <c r="B360" s="1" t="n">
        <v>43762</v>
      </c>
      <c r="C360" s="1" t="n">
        <v>45750</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57759-2019</t>
        </is>
      </c>
      <c r="B361" s="1" t="n">
        <v>43763</v>
      </c>
      <c r="C361" s="1" t="n">
        <v>45750</v>
      </c>
      <c r="D361" t="inlineStr">
        <is>
          <t>STOCKHOLMS LÄN</t>
        </is>
      </c>
      <c r="E361" t="inlineStr">
        <is>
          <t>NORRTÄLJE</t>
        </is>
      </c>
      <c r="F361" t="inlineStr">
        <is>
          <t>Övriga Aktiebolag</t>
        </is>
      </c>
      <c r="G361" t="n">
        <v>7.3</v>
      </c>
      <c r="H361" t="n">
        <v>0</v>
      </c>
      <c r="I361" t="n">
        <v>0</v>
      </c>
      <c r="J361" t="n">
        <v>0</v>
      </c>
      <c r="K361" t="n">
        <v>0</v>
      </c>
      <c r="L361" t="n">
        <v>0</v>
      </c>
      <c r="M361" t="n">
        <v>0</v>
      </c>
      <c r="N361" t="n">
        <v>0</v>
      </c>
      <c r="O361" t="n">
        <v>0</v>
      </c>
      <c r="P361" t="n">
        <v>0</v>
      </c>
      <c r="Q361" t="n">
        <v>0</v>
      </c>
      <c r="R361" s="2" t="inlineStr"/>
    </row>
    <row r="362" ht="15" customHeight="1">
      <c r="A362" t="inlineStr">
        <is>
          <t>A 57063-2019</t>
        </is>
      </c>
      <c r="B362" s="1" t="n">
        <v>43766</v>
      </c>
      <c r="C362" s="1" t="n">
        <v>45750</v>
      </c>
      <c r="D362" t="inlineStr">
        <is>
          <t>STOCKHOLMS LÄN</t>
        </is>
      </c>
      <c r="E362" t="inlineStr">
        <is>
          <t>NORRTÄLJE</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56950-2019</t>
        </is>
      </c>
      <c r="B363" s="1" t="n">
        <v>43766</v>
      </c>
      <c r="C363" s="1" t="n">
        <v>45750</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57605-2019</t>
        </is>
      </c>
      <c r="B364" s="1" t="n">
        <v>43768</v>
      </c>
      <c r="C364" s="1" t="n">
        <v>45750</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58064-2019</t>
        </is>
      </c>
      <c r="B365" s="1" t="n">
        <v>43769</v>
      </c>
      <c r="C365" s="1" t="n">
        <v>45750</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58631-2019</t>
        </is>
      </c>
      <c r="B366" s="1" t="n">
        <v>43773</v>
      </c>
      <c r="C366" s="1" t="n">
        <v>45750</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60214-2019</t>
        </is>
      </c>
      <c r="B367" s="1" t="n">
        <v>43780</v>
      </c>
      <c r="C367" s="1" t="n">
        <v>45750</v>
      </c>
      <c r="D367" t="inlineStr">
        <is>
          <t>STOCKHOLMS LÄN</t>
        </is>
      </c>
      <c r="E367" t="inlineStr">
        <is>
          <t>NORRTÄLJE</t>
        </is>
      </c>
      <c r="G367" t="n">
        <v>1.4</v>
      </c>
      <c r="H367" t="n">
        <v>0</v>
      </c>
      <c r="I367" t="n">
        <v>0</v>
      </c>
      <c r="J367" t="n">
        <v>0</v>
      </c>
      <c r="K367" t="n">
        <v>0</v>
      </c>
      <c r="L367" t="n">
        <v>0</v>
      </c>
      <c r="M367" t="n">
        <v>0</v>
      </c>
      <c r="N367" t="n">
        <v>0</v>
      </c>
      <c r="O367" t="n">
        <v>0</v>
      </c>
      <c r="P367" t="n">
        <v>0</v>
      </c>
      <c r="Q367" t="n">
        <v>0</v>
      </c>
      <c r="R367" s="2" t="inlineStr"/>
    </row>
    <row r="368" ht="15" customHeight="1">
      <c r="A368" t="inlineStr">
        <is>
          <t>A 60208-2019</t>
        </is>
      </c>
      <c r="B368" s="1" t="n">
        <v>43780</v>
      </c>
      <c r="C368" s="1" t="n">
        <v>45750</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60842-2019</t>
        </is>
      </c>
      <c r="B369" s="1" t="n">
        <v>43781</v>
      </c>
      <c r="C369" s="1" t="n">
        <v>45750</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60844-2019</t>
        </is>
      </c>
      <c r="B370" s="1" t="n">
        <v>43781</v>
      </c>
      <c r="C370" s="1" t="n">
        <v>45750</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61657-2019</t>
        </is>
      </c>
      <c r="B371" s="1" t="n">
        <v>43784</v>
      </c>
      <c r="C371" s="1" t="n">
        <v>45750</v>
      </c>
      <c r="D371" t="inlineStr">
        <is>
          <t>STOCKHOLMS LÄN</t>
        </is>
      </c>
      <c r="E371" t="inlineStr">
        <is>
          <t>NORRTÄLJE</t>
        </is>
      </c>
      <c r="G371" t="n">
        <v>5</v>
      </c>
      <c r="H371" t="n">
        <v>0</v>
      </c>
      <c r="I371" t="n">
        <v>0</v>
      </c>
      <c r="J371" t="n">
        <v>0</v>
      </c>
      <c r="K371" t="n">
        <v>0</v>
      </c>
      <c r="L371" t="n">
        <v>0</v>
      </c>
      <c r="M371" t="n">
        <v>0</v>
      </c>
      <c r="N371" t="n">
        <v>0</v>
      </c>
      <c r="O371" t="n">
        <v>0</v>
      </c>
      <c r="P371" t="n">
        <v>0</v>
      </c>
      <c r="Q371" t="n">
        <v>0</v>
      </c>
      <c r="R371" s="2" t="inlineStr"/>
    </row>
    <row r="372" ht="15" customHeight="1">
      <c r="A372" t="inlineStr">
        <is>
          <t>A 62980-2019</t>
        </is>
      </c>
      <c r="B372" s="1" t="n">
        <v>43790</v>
      </c>
      <c r="C372" s="1" t="n">
        <v>45750</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63513-2019</t>
        </is>
      </c>
      <c r="B373" s="1" t="n">
        <v>43794</v>
      </c>
      <c r="C373" s="1" t="n">
        <v>45750</v>
      </c>
      <c r="D373" t="inlineStr">
        <is>
          <t>STOCKHOLMS LÄN</t>
        </is>
      </c>
      <c r="E373" t="inlineStr">
        <is>
          <t>NORRTÄLJE</t>
        </is>
      </c>
      <c r="G373" t="n">
        <v>9</v>
      </c>
      <c r="H373" t="n">
        <v>0</v>
      </c>
      <c r="I373" t="n">
        <v>0</v>
      </c>
      <c r="J373" t="n">
        <v>0</v>
      </c>
      <c r="K373" t="n">
        <v>0</v>
      </c>
      <c r="L373" t="n">
        <v>0</v>
      </c>
      <c r="M373" t="n">
        <v>0</v>
      </c>
      <c r="N373" t="n">
        <v>0</v>
      </c>
      <c r="O373" t="n">
        <v>0</v>
      </c>
      <c r="P373" t="n">
        <v>0</v>
      </c>
      <c r="Q373" t="n">
        <v>0</v>
      </c>
      <c r="R373" s="2" t="inlineStr"/>
    </row>
    <row r="374" ht="15" customHeight="1">
      <c r="A374" t="inlineStr">
        <is>
          <t>A 63529-2019</t>
        </is>
      </c>
      <c r="B374" s="1" t="n">
        <v>43794</v>
      </c>
      <c r="C374" s="1" t="n">
        <v>45750</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63495-2019</t>
        </is>
      </c>
      <c r="B375" s="1" t="n">
        <v>43794</v>
      </c>
      <c r="C375" s="1" t="n">
        <v>45750</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63504-2019</t>
        </is>
      </c>
      <c r="B376" s="1" t="n">
        <v>43794</v>
      </c>
      <c r="C376" s="1" t="n">
        <v>45750</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63528-2019</t>
        </is>
      </c>
      <c r="B377" s="1" t="n">
        <v>43794</v>
      </c>
      <c r="C377" s="1" t="n">
        <v>45750</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63515-2019</t>
        </is>
      </c>
      <c r="B378" s="1" t="n">
        <v>43794</v>
      </c>
      <c r="C378" s="1" t="n">
        <v>45750</v>
      </c>
      <c r="D378" t="inlineStr">
        <is>
          <t>STOCKHOLMS LÄN</t>
        </is>
      </c>
      <c r="E378" t="inlineStr">
        <is>
          <t>NORRTÄLJE</t>
        </is>
      </c>
      <c r="G378" t="n">
        <v>7.1</v>
      </c>
      <c r="H378" t="n">
        <v>0</v>
      </c>
      <c r="I378" t="n">
        <v>0</v>
      </c>
      <c r="J378" t="n">
        <v>0</v>
      </c>
      <c r="K378" t="n">
        <v>0</v>
      </c>
      <c r="L378" t="n">
        <v>0</v>
      </c>
      <c r="M378" t="n">
        <v>0</v>
      </c>
      <c r="N378" t="n">
        <v>0</v>
      </c>
      <c r="O378" t="n">
        <v>0</v>
      </c>
      <c r="P378" t="n">
        <v>0</v>
      </c>
      <c r="Q378" t="n">
        <v>0</v>
      </c>
      <c r="R378" s="2" t="inlineStr"/>
    </row>
    <row r="379" ht="15" customHeight="1">
      <c r="A379" t="inlineStr">
        <is>
          <t>A 64293-2019</t>
        </is>
      </c>
      <c r="B379" s="1" t="n">
        <v>43797</v>
      </c>
      <c r="C379" s="1" t="n">
        <v>45750</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65640-2019</t>
        </is>
      </c>
      <c r="B380" s="1" t="n">
        <v>43804</v>
      </c>
      <c r="C380" s="1" t="n">
        <v>45750</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65998-2019</t>
        </is>
      </c>
      <c r="B381" s="1" t="n">
        <v>43805</v>
      </c>
      <c r="C381" s="1" t="n">
        <v>45750</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66604-2019</t>
        </is>
      </c>
      <c r="B382" s="1" t="n">
        <v>43809</v>
      </c>
      <c r="C382" s="1" t="n">
        <v>45750</v>
      </c>
      <c r="D382" t="inlineStr">
        <is>
          <t>STOCKHOLMS LÄN</t>
        </is>
      </c>
      <c r="E382" t="inlineStr">
        <is>
          <t>NORRTÄLJE</t>
        </is>
      </c>
      <c r="G382" t="n">
        <v>2.3</v>
      </c>
      <c r="H382" t="n">
        <v>0</v>
      </c>
      <c r="I382" t="n">
        <v>0</v>
      </c>
      <c r="J382" t="n">
        <v>0</v>
      </c>
      <c r="K382" t="n">
        <v>0</v>
      </c>
      <c r="L382" t="n">
        <v>0</v>
      </c>
      <c r="M382" t="n">
        <v>0</v>
      </c>
      <c r="N382" t="n">
        <v>0</v>
      </c>
      <c r="O382" t="n">
        <v>0</v>
      </c>
      <c r="P382" t="n">
        <v>0</v>
      </c>
      <c r="Q382" t="n">
        <v>0</v>
      </c>
      <c r="R382" s="2" t="inlineStr"/>
    </row>
    <row r="383" ht="15" customHeight="1">
      <c r="A383" t="inlineStr">
        <is>
          <t>A 67158-2019</t>
        </is>
      </c>
      <c r="B383" s="1" t="n">
        <v>43811</v>
      </c>
      <c r="C383" s="1" t="n">
        <v>45750</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67324-2019</t>
        </is>
      </c>
      <c r="B384" s="1" t="n">
        <v>43812</v>
      </c>
      <c r="C384" s="1" t="n">
        <v>45750</v>
      </c>
      <c r="D384" t="inlineStr">
        <is>
          <t>STOCKHOLMS LÄN</t>
        </is>
      </c>
      <c r="E384" t="inlineStr">
        <is>
          <t>NORRTÄLJE</t>
        </is>
      </c>
      <c r="G384" t="n">
        <v>7.7</v>
      </c>
      <c r="H384" t="n">
        <v>0</v>
      </c>
      <c r="I384" t="n">
        <v>0</v>
      </c>
      <c r="J384" t="n">
        <v>0</v>
      </c>
      <c r="K384" t="n">
        <v>0</v>
      </c>
      <c r="L384" t="n">
        <v>0</v>
      </c>
      <c r="M384" t="n">
        <v>0</v>
      </c>
      <c r="N384" t="n">
        <v>0</v>
      </c>
      <c r="O384" t="n">
        <v>0</v>
      </c>
      <c r="P384" t="n">
        <v>0</v>
      </c>
      <c r="Q384" t="n">
        <v>0</v>
      </c>
      <c r="R384" s="2" t="inlineStr"/>
    </row>
    <row r="385" ht="15" customHeight="1">
      <c r="A385" t="inlineStr">
        <is>
          <t>A 68865-2019</t>
        </is>
      </c>
      <c r="B385" s="1" t="n">
        <v>43821</v>
      </c>
      <c r="C385" s="1" t="n">
        <v>45750</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1099-2020</t>
        </is>
      </c>
      <c r="B386" s="1" t="n">
        <v>43822</v>
      </c>
      <c r="C386" s="1" t="n">
        <v>45750</v>
      </c>
      <c r="D386" t="inlineStr">
        <is>
          <t>STOCKHOLMS LÄN</t>
        </is>
      </c>
      <c r="E386" t="inlineStr">
        <is>
          <t>NORRTÄLJE</t>
        </is>
      </c>
      <c r="G386" t="n">
        <v>2.7</v>
      </c>
      <c r="H386" t="n">
        <v>0</v>
      </c>
      <c r="I386" t="n">
        <v>0</v>
      </c>
      <c r="J386" t="n">
        <v>0</v>
      </c>
      <c r="K386" t="n">
        <v>0</v>
      </c>
      <c r="L386" t="n">
        <v>0</v>
      </c>
      <c r="M386" t="n">
        <v>0</v>
      </c>
      <c r="N386" t="n">
        <v>0</v>
      </c>
      <c r="O386" t="n">
        <v>0</v>
      </c>
      <c r="P386" t="n">
        <v>0</v>
      </c>
      <c r="Q386" t="n">
        <v>0</v>
      </c>
      <c r="R386" s="2" t="inlineStr"/>
    </row>
    <row r="387" ht="15" customHeight="1">
      <c r="A387" t="inlineStr">
        <is>
          <t>A 4475-2020</t>
        </is>
      </c>
      <c r="B387" s="1" t="n">
        <v>43849</v>
      </c>
      <c r="C387" s="1" t="n">
        <v>45750</v>
      </c>
      <c r="D387" t="inlineStr">
        <is>
          <t>STOCKHOLMS LÄN</t>
        </is>
      </c>
      <c r="E387" t="inlineStr">
        <is>
          <t>NORRTÄLJE</t>
        </is>
      </c>
      <c r="G387" t="n">
        <v>1.6</v>
      </c>
      <c r="H387" t="n">
        <v>0</v>
      </c>
      <c r="I387" t="n">
        <v>0</v>
      </c>
      <c r="J387" t="n">
        <v>0</v>
      </c>
      <c r="K387" t="n">
        <v>0</v>
      </c>
      <c r="L387" t="n">
        <v>0</v>
      </c>
      <c r="M387" t="n">
        <v>0</v>
      </c>
      <c r="N387" t="n">
        <v>0</v>
      </c>
      <c r="O387" t="n">
        <v>0</v>
      </c>
      <c r="P387" t="n">
        <v>0</v>
      </c>
      <c r="Q387" t="n">
        <v>0</v>
      </c>
      <c r="R387" s="2" t="inlineStr"/>
    </row>
    <row r="388" ht="15" customHeight="1">
      <c r="A388" t="inlineStr">
        <is>
          <t>A 3882-2020</t>
        </is>
      </c>
      <c r="B388" s="1" t="n">
        <v>43854</v>
      </c>
      <c r="C388" s="1" t="n">
        <v>45750</v>
      </c>
      <c r="D388" t="inlineStr">
        <is>
          <t>STOCKHOLMS LÄN</t>
        </is>
      </c>
      <c r="E388" t="inlineStr">
        <is>
          <t>NORRTÄLJE</t>
        </is>
      </c>
      <c r="G388" t="n">
        <v>5.9</v>
      </c>
      <c r="H388" t="n">
        <v>0</v>
      </c>
      <c r="I388" t="n">
        <v>0</v>
      </c>
      <c r="J388" t="n">
        <v>0</v>
      </c>
      <c r="K388" t="n">
        <v>0</v>
      </c>
      <c r="L388" t="n">
        <v>0</v>
      </c>
      <c r="M388" t="n">
        <v>0</v>
      </c>
      <c r="N388" t="n">
        <v>0</v>
      </c>
      <c r="O388" t="n">
        <v>0</v>
      </c>
      <c r="P388" t="n">
        <v>0</v>
      </c>
      <c r="Q388" t="n">
        <v>0</v>
      </c>
      <c r="R388" s="2" t="inlineStr"/>
    </row>
    <row r="389" ht="15" customHeight="1">
      <c r="A389" t="inlineStr">
        <is>
          <t>A 4094-2020</t>
        </is>
      </c>
      <c r="B389" s="1" t="n">
        <v>43857</v>
      </c>
      <c r="C389" s="1" t="n">
        <v>45750</v>
      </c>
      <c r="D389" t="inlineStr">
        <is>
          <t>STOCKHOLMS LÄN</t>
        </is>
      </c>
      <c r="E389" t="inlineStr">
        <is>
          <t>NORRTÄLJE</t>
        </is>
      </c>
      <c r="G389" t="n">
        <v>2.5</v>
      </c>
      <c r="H389" t="n">
        <v>0</v>
      </c>
      <c r="I389" t="n">
        <v>0</v>
      </c>
      <c r="J389" t="n">
        <v>0</v>
      </c>
      <c r="K389" t="n">
        <v>0</v>
      </c>
      <c r="L389" t="n">
        <v>0</v>
      </c>
      <c r="M389" t="n">
        <v>0</v>
      </c>
      <c r="N389" t="n">
        <v>0</v>
      </c>
      <c r="O389" t="n">
        <v>0</v>
      </c>
      <c r="P389" t="n">
        <v>0</v>
      </c>
      <c r="Q389" t="n">
        <v>0</v>
      </c>
      <c r="R389" s="2" t="inlineStr"/>
    </row>
    <row r="390" ht="15" customHeight="1">
      <c r="A390" t="inlineStr">
        <is>
          <t>A 4950-2020</t>
        </is>
      </c>
      <c r="B390" s="1" t="n">
        <v>43859</v>
      </c>
      <c r="C390" s="1" t="n">
        <v>45750</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5084-2020</t>
        </is>
      </c>
      <c r="B391" s="1" t="n">
        <v>43859</v>
      </c>
      <c r="C391" s="1" t="n">
        <v>45750</v>
      </c>
      <c r="D391" t="inlineStr">
        <is>
          <t>STOCKHOLMS LÄN</t>
        </is>
      </c>
      <c r="E391" t="inlineStr">
        <is>
          <t>NORRTÄLJE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4952-2020</t>
        </is>
      </c>
      <c r="B392" s="1" t="n">
        <v>43859</v>
      </c>
      <c r="C392" s="1" t="n">
        <v>45750</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5735-2020</t>
        </is>
      </c>
      <c r="B393" s="1" t="n">
        <v>43863</v>
      </c>
      <c r="C393" s="1" t="n">
        <v>45750</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5733-2020</t>
        </is>
      </c>
      <c r="B394" s="1" t="n">
        <v>43863</v>
      </c>
      <c r="C394" s="1" t="n">
        <v>45750</v>
      </c>
      <c r="D394" t="inlineStr">
        <is>
          <t>STOCKHOLMS LÄN</t>
        </is>
      </c>
      <c r="E394" t="inlineStr">
        <is>
          <t>NORRTÄLJE</t>
        </is>
      </c>
      <c r="G394" t="n">
        <v>1.5</v>
      </c>
      <c r="H394" t="n">
        <v>0</v>
      </c>
      <c r="I394" t="n">
        <v>0</v>
      </c>
      <c r="J394" t="n">
        <v>0</v>
      </c>
      <c r="K394" t="n">
        <v>0</v>
      </c>
      <c r="L394" t="n">
        <v>0</v>
      </c>
      <c r="M394" t="n">
        <v>0</v>
      </c>
      <c r="N394" t="n">
        <v>0</v>
      </c>
      <c r="O394" t="n">
        <v>0</v>
      </c>
      <c r="P394" t="n">
        <v>0</v>
      </c>
      <c r="Q394" t="n">
        <v>0</v>
      </c>
      <c r="R394" s="2" t="inlineStr"/>
    </row>
    <row r="395" ht="15" customHeight="1">
      <c r="A395" t="inlineStr">
        <is>
          <t>A 5739-2020</t>
        </is>
      </c>
      <c r="B395" s="1" t="n">
        <v>43863</v>
      </c>
      <c r="C395" s="1" t="n">
        <v>45750</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7471-2020</t>
        </is>
      </c>
      <c r="B396" s="1" t="n">
        <v>43871</v>
      </c>
      <c r="C396" s="1" t="n">
        <v>45750</v>
      </c>
      <c r="D396" t="inlineStr">
        <is>
          <t>STOCKHOLMS LÄN</t>
        </is>
      </c>
      <c r="E396" t="inlineStr">
        <is>
          <t>NORRTÄLJE</t>
        </is>
      </c>
      <c r="G396" t="n">
        <v>7.8</v>
      </c>
      <c r="H396" t="n">
        <v>0</v>
      </c>
      <c r="I396" t="n">
        <v>0</v>
      </c>
      <c r="J396" t="n">
        <v>0</v>
      </c>
      <c r="K396" t="n">
        <v>0</v>
      </c>
      <c r="L396" t="n">
        <v>0</v>
      </c>
      <c r="M396" t="n">
        <v>0</v>
      </c>
      <c r="N396" t="n">
        <v>0</v>
      </c>
      <c r="O396" t="n">
        <v>0</v>
      </c>
      <c r="P396" t="n">
        <v>0</v>
      </c>
      <c r="Q396" t="n">
        <v>0</v>
      </c>
      <c r="R396" s="2" t="inlineStr"/>
    </row>
    <row r="397" ht="15" customHeight="1">
      <c r="A397" t="inlineStr">
        <is>
          <t>A 9845-2020</t>
        </is>
      </c>
      <c r="B397" s="1" t="n">
        <v>43881</v>
      </c>
      <c r="C397" s="1" t="n">
        <v>45750</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10618-2020</t>
        </is>
      </c>
      <c r="B398" s="1" t="n">
        <v>43887</v>
      </c>
      <c r="C398" s="1" t="n">
        <v>45750</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11184-2020</t>
        </is>
      </c>
      <c r="B399" s="1" t="n">
        <v>43892</v>
      </c>
      <c r="C399" s="1" t="n">
        <v>45750</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11576-2020</t>
        </is>
      </c>
      <c r="B400" s="1" t="n">
        <v>43893</v>
      </c>
      <c r="C400" s="1" t="n">
        <v>45750</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12113-2020</t>
        </is>
      </c>
      <c r="B401" s="1" t="n">
        <v>43895</v>
      </c>
      <c r="C401" s="1" t="n">
        <v>45750</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12970-2020</t>
        </is>
      </c>
      <c r="B402" s="1" t="n">
        <v>43900</v>
      </c>
      <c r="C402" s="1" t="n">
        <v>45750</v>
      </c>
      <c r="D402" t="inlineStr">
        <is>
          <t>STOCKHOLMS LÄN</t>
        </is>
      </c>
      <c r="E402" t="inlineStr">
        <is>
          <t>NORRTÄLJE</t>
        </is>
      </c>
      <c r="F402" t="inlineStr">
        <is>
          <t>Kommuner</t>
        </is>
      </c>
      <c r="G402" t="n">
        <v>3</v>
      </c>
      <c r="H402" t="n">
        <v>0</v>
      </c>
      <c r="I402" t="n">
        <v>0</v>
      </c>
      <c r="J402" t="n">
        <v>0</v>
      </c>
      <c r="K402" t="n">
        <v>0</v>
      </c>
      <c r="L402" t="n">
        <v>0</v>
      </c>
      <c r="M402" t="n">
        <v>0</v>
      </c>
      <c r="N402" t="n">
        <v>0</v>
      </c>
      <c r="O402" t="n">
        <v>0</v>
      </c>
      <c r="P402" t="n">
        <v>0</v>
      </c>
      <c r="Q402" t="n">
        <v>0</v>
      </c>
      <c r="R402" s="2" t="inlineStr"/>
    </row>
    <row r="403" ht="15" customHeight="1">
      <c r="A403" t="inlineStr">
        <is>
          <t>A 13230-2020</t>
        </is>
      </c>
      <c r="B403" s="1" t="n">
        <v>43901</v>
      </c>
      <c r="C403" s="1" t="n">
        <v>45750</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13287-2020</t>
        </is>
      </c>
      <c r="B404" s="1" t="n">
        <v>43901</v>
      </c>
      <c r="C404" s="1" t="n">
        <v>45750</v>
      </c>
      <c r="D404" t="inlineStr">
        <is>
          <t>STOCKHOLMS LÄN</t>
        </is>
      </c>
      <c r="E404" t="inlineStr">
        <is>
          <t>NORRTÄLJE</t>
        </is>
      </c>
      <c r="F404" t="inlineStr">
        <is>
          <t>Kommuner</t>
        </is>
      </c>
      <c r="G404" t="n">
        <v>3.2</v>
      </c>
      <c r="H404" t="n">
        <v>0</v>
      </c>
      <c r="I404" t="n">
        <v>0</v>
      </c>
      <c r="J404" t="n">
        <v>0</v>
      </c>
      <c r="K404" t="n">
        <v>0</v>
      </c>
      <c r="L404" t="n">
        <v>0</v>
      </c>
      <c r="M404" t="n">
        <v>0</v>
      </c>
      <c r="N404" t="n">
        <v>0</v>
      </c>
      <c r="O404" t="n">
        <v>0</v>
      </c>
      <c r="P404" t="n">
        <v>0</v>
      </c>
      <c r="Q404" t="n">
        <v>0</v>
      </c>
      <c r="R404" s="2" t="inlineStr"/>
    </row>
    <row r="405" ht="15" customHeight="1">
      <c r="A405" t="inlineStr">
        <is>
          <t>A 13281-2020</t>
        </is>
      </c>
      <c r="B405" s="1" t="n">
        <v>43901</v>
      </c>
      <c r="C405" s="1" t="n">
        <v>45750</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13501-2020</t>
        </is>
      </c>
      <c r="B406" s="1" t="n">
        <v>43902</v>
      </c>
      <c r="C406" s="1" t="n">
        <v>45750</v>
      </c>
      <c r="D406" t="inlineStr">
        <is>
          <t>STOCKHOLMS LÄN</t>
        </is>
      </c>
      <c r="E406" t="inlineStr">
        <is>
          <t>NORRTÄLJE</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13506-2020</t>
        </is>
      </c>
      <c r="B407" s="1" t="n">
        <v>43902</v>
      </c>
      <c r="C407" s="1" t="n">
        <v>45750</v>
      </c>
      <c r="D407" t="inlineStr">
        <is>
          <t>STOCKHOLMS LÄN</t>
        </is>
      </c>
      <c r="E407" t="inlineStr">
        <is>
          <t>NORRTÄLJE</t>
        </is>
      </c>
      <c r="G407" t="n">
        <v>5.7</v>
      </c>
      <c r="H407" t="n">
        <v>0</v>
      </c>
      <c r="I407" t="n">
        <v>0</v>
      </c>
      <c r="J407" t="n">
        <v>0</v>
      </c>
      <c r="K407" t="n">
        <v>0</v>
      </c>
      <c r="L407" t="n">
        <v>0</v>
      </c>
      <c r="M407" t="n">
        <v>0</v>
      </c>
      <c r="N407" t="n">
        <v>0</v>
      </c>
      <c r="O407" t="n">
        <v>0</v>
      </c>
      <c r="P407" t="n">
        <v>0</v>
      </c>
      <c r="Q407" t="n">
        <v>0</v>
      </c>
      <c r="R407" s="2" t="inlineStr"/>
    </row>
    <row r="408" ht="15" customHeight="1">
      <c r="A408" t="inlineStr">
        <is>
          <t>A 14525-2020</t>
        </is>
      </c>
      <c r="B408" s="1" t="n">
        <v>43908</v>
      </c>
      <c r="C408" s="1" t="n">
        <v>45750</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14831-2020</t>
        </is>
      </c>
      <c r="B409" s="1" t="n">
        <v>43909</v>
      </c>
      <c r="C409" s="1" t="n">
        <v>45750</v>
      </c>
      <c r="D409" t="inlineStr">
        <is>
          <t>STOCKHOLMS LÄN</t>
        </is>
      </c>
      <c r="E409" t="inlineStr">
        <is>
          <t>NORRTÄLJE</t>
        </is>
      </c>
      <c r="G409" t="n">
        <v>11.4</v>
      </c>
      <c r="H409" t="n">
        <v>0</v>
      </c>
      <c r="I409" t="n">
        <v>0</v>
      </c>
      <c r="J409" t="n">
        <v>0</v>
      </c>
      <c r="K409" t="n">
        <v>0</v>
      </c>
      <c r="L409" t="n">
        <v>0</v>
      </c>
      <c r="M409" t="n">
        <v>0</v>
      </c>
      <c r="N409" t="n">
        <v>0</v>
      </c>
      <c r="O409" t="n">
        <v>0</v>
      </c>
      <c r="P409" t="n">
        <v>0</v>
      </c>
      <c r="Q409" t="n">
        <v>0</v>
      </c>
      <c r="R409" s="2" t="inlineStr"/>
    </row>
    <row r="410" ht="15" customHeight="1">
      <c r="A410" t="inlineStr">
        <is>
          <t>A 15663-2020</t>
        </is>
      </c>
      <c r="B410" s="1" t="n">
        <v>43915</v>
      </c>
      <c r="C410" s="1" t="n">
        <v>45750</v>
      </c>
      <c r="D410" t="inlineStr">
        <is>
          <t>STOCKHOLMS LÄN</t>
        </is>
      </c>
      <c r="E410" t="inlineStr">
        <is>
          <t>NORRTÄLJE</t>
        </is>
      </c>
      <c r="G410" t="n">
        <v>11.1</v>
      </c>
      <c r="H410" t="n">
        <v>0</v>
      </c>
      <c r="I410" t="n">
        <v>0</v>
      </c>
      <c r="J410" t="n">
        <v>0</v>
      </c>
      <c r="K410" t="n">
        <v>0</v>
      </c>
      <c r="L410" t="n">
        <v>0</v>
      </c>
      <c r="M410" t="n">
        <v>0</v>
      </c>
      <c r="N410" t="n">
        <v>0</v>
      </c>
      <c r="O410" t="n">
        <v>0</v>
      </c>
      <c r="P410" t="n">
        <v>0</v>
      </c>
      <c r="Q410" t="n">
        <v>0</v>
      </c>
      <c r="R410" s="2" t="inlineStr"/>
    </row>
    <row r="411" ht="15" customHeight="1">
      <c r="A411" t="inlineStr">
        <is>
          <t>A 16273-2020</t>
        </is>
      </c>
      <c r="B411" s="1" t="n">
        <v>43917</v>
      </c>
      <c r="C411" s="1" t="n">
        <v>45750</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17965-2020</t>
        </is>
      </c>
      <c r="B412" s="1" t="n">
        <v>43925</v>
      </c>
      <c r="C412" s="1" t="n">
        <v>45750</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19258-2020</t>
        </is>
      </c>
      <c r="B413" s="1" t="n">
        <v>43937</v>
      </c>
      <c r="C413" s="1" t="n">
        <v>45750</v>
      </c>
      <c r="D413" t="inlineStr">
        <is>
          <t>STOCKHOLMS LÄN</t>
        </is>
      </c>
      <c r="E413" t="inlineStr">
        <is>
          <t>NORRTÄLJE</t>
        </is>
      </c>
      <c r="F413" t="inlineStr">
        <is>
          <t>Övriga statliga verk och myndigheter</t>
        </is>
      </c>
      <c r="G413" t="n">
        <v>2.9</v>
      </c>
      <c r="H413" t="n">
        <v>0</v>
      </c>
      <c r="I413" t="n">
        <v>0</v>
      </c>
      <c r="J413" t="n">
        <v>0</v>
      </c>
      <c r="K413" t="n">
        <v>0</v>
      </c>
      <c r="L413" t="n">
        <v>0</v>
      </c>
      <c r="M413" t="n">
        <v>0</v>
      </c>
      <c r="N413" t="n">
        <v>0</v>
      </c>
      <c r="O413" t="n">
        <v>0</v>
      </c>
      <c r="P413" t="n">
        <v>0</v>
      </c>
      <c r="Q413" t="n">
        <v>0</v>
      </c>
      <c r="R413" s="2" t="inlineStr"/>
    </row>
    <row r="414" ht="15" customHeight="1">
      <c r="A414" t="inlineStr">
        <is>
          <t>A 20257-2020</t>
        </is>
      </c>
      <c r="B414" s="1" t="n">
        <v>43944</v>
      </c>
      <c r="C414" s="1" t="n">
        <v>45750</v>
      </c>
      <c r="D414" t="inlineStr">
        <is>
          <t>STOCKHOLMS LÄN</t>
        </is>
      </c>
      <c r="E414" t="inlineStr">
        <is>
          <t>NORRTÄLJE</t>
        </is>
      </c>
      <c r="G414" t="n">
        <v>80.09999999999999</v>
      </c>
      <c r="H414" t="n">
        <v>0</v>
      </c>
      <c r="I414" t="n">
        <v>0</v>
      </c>
      <c r="J414" t="n">
        <v>0</v>
      </c>
      <c r="K414" t="n">
        <v>0</v>
      </c>
      <c r="L414" t="n">
        <v>0</v>
      </c>
      <c r="M414" t="n">
        <v>0</v>
      </c>
      <c r="N414" t="n">
        <v>0</v>
      </c>
      <c r="O414" t="n">
        <v>0</v>
      </c>
      <c r="P414" t="n">
        <v>0</v>
      </c>
      <c r="Q414" t="n">
        <v>0</v>
      </c>
      <c r="R414" s="2" t="inlineStr"/>
    </row>
    <row r="415" ht="15" customHeight="1">
      <c r="A415" t="inlineStr">
        <is>
          <t>A 21849-2020</t>
        </is>
      </c>
      <c r="B415" s="1" t="n">
        <v>43958</v>
      </c>
      <c r="C415" s="1" t="n">
        <v>45750</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21875-2020</t>
        </is>
      </c>
      <c r="B416" s="1" t="n">
        <v>43958</v>
      </c>
      <c r="C416" s="1" t="n">
        <v>45750</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23751-2020</t>
        </is>
      </c>
      <c r="B417" s="1" t="n">
        <v>43970</v>
      </c>
      <c r="C417" s="1" t="n">
        <v>45750</v>
      </c>
      <c r="D417" t="inlineStr">
        <is>
          <t>STOCKHOLMS LÄN</t>
        </is>
      </c>
      <c r="E417" t="inlineStr">
        <is>
          <t>NORRTÄLJE</t>
        </is>
      </c>
      <c r="G417" t="n">
        <v>5.6</v>
      </c>
      <c r="H417" t="n">
        <v>0</v>
      </c>
      <c r="I417" t="n">
        <v>0</v>
      </c>
      <c r="J417" t="n">
        <v>0</v>
      </c>
      <c r="K417" t="n">
        <v>0</v>
      </c>
      <c r="L417" t="n">
        <v>0</v>
      </c>
      <c r="M417" t="n">
        <v>0</v>
      </c>
      <c r="N417" t="n">
        <v>0</v>
      </c>
      <c r="O417" t="n">
        <v>0</v>
      </c>
      <c r="P417" t="n">
        <v>0</v>
      </c>
      <c r="Q417" t="n">
        <v>0</v>
      </c>
      <c r="R417" s="2" t="inlineStr"/>
    </row>
    <row r="418" ht="15" customHeight="1">
      <c r="A418" t="inlineStr">
        <is>
          <t>A 24136-2020</t>
        </is>
      </c>
      <c r="B418" s="1" t="n">
        <v>43973</v>
      </c>
      <c r="C418" s="1" t="n">
        <v>45750</v>
      </c>
      <c r="D418" t="inlineStr">
        <is>
          <t>STOCKHOLMS LÄN</t>
        </is>
      </c>
      <c r="E418" t="inlineStr">
        <is>
          <t>NORRTÄLJE</t>
        </is>
      </c>
      <c r="G418" t="n">
        <v>4.1</v>
      </c>
      <c r="H418" t="n">
        <v>0</v>
      </c>
      <c r="I418" t="n">
        <v>0</v>
      </c>
      <c r="J418" t="n">
        <v>0</v>
      </c>
      <c r="K418" t="n">
        <v>0</v>
      </c>
      <c r="L418" t="n">
        <v>0</v>
      </c>
      <c r="M418" t="n">
        <v>0</v>
      </c>
      <c r="N418" t="n">
        <v>0</v>
      </c>
      <c r="O418" t="n">
        <v>0</v>
      </c>
      <c r="P418" t="n">
        <v>0</v>
      </c>
      <c r="Q418" t="n">
        <v>0</v>
      </c>
      <c r="R418" s="2" t="inlineStr"/>
    </row>
    <row r="419" ht="15" customHeight="1">
      <c r="A419" t="inlineStr">
        <is>
          <t>A 25584-2020</t>
        </is>
      </c>
      <c r="B419" s="1" t="n">
        <v>43983</v>
      </c>
      <c r="C419" s="1" t="n">
        <v>45750</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25589-2020</t>
        </is>
      </c>
      <c r="B420" s="1" t="n">
        <v>43983</v>
      </c>
      <c r="C420" s="1" t="n">
        <v>45750</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25897-2020</t>
        </is>
      </c>
      <c r="B421" s="1" t="n">
        <v>43984</v>
      </c>
      <c r="C421" s="1" t="n">
        <v>45750</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30600-2020</t>
        </is>
      </c>
      <c r="B422" s="1" t="n">
        <v>44008</v>
      </c>
      <c r="C422" s="1" t="n">
        <v>45750</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31783-2020</t>
        </is>
      </c>
      <c r="B423" s="1" t="n">
        <v>44014</v>
      </c>
      <c r="C423" s="1" t="n">
        <v>45750</v>
      </c>
      <c r="D423" t="inlineStr">
        <is>
          <t>STOCKHOLMS LÄN</t>
        </is>
      </c>
      <c r="E423" t="inlineStr">
        <is>
          <t>NORRTÄLJE</t>
        </is>
      </c>
      <c r="G423" t="n">
        <v>4.8</v>
      </c>
      <c r="H423" t="n">
        <v>0</v>
      </c>
      <c r="I423" t="n">
        <v>0</v>
      </c>
      <c r="J423" t="n">
        <v>0</v>
      </c>
      <c r="K423" t="n">
        <v>0</v>
      </c>
      <c r="L423" t="n">
        <v>0</v>
      </c>
      <c r="M423" t="n">
        <v>0</v>
      </c>
      <c r="N423" t="n">
        <v>0</v>
      </c>
      <c r="O423" t="n">
        <v>0</v>
      </c>
      <c r="P423" t="n">
        <v>0</v>
      </c>
      <c r="Q423" t="n">
        <v>0</v>
      </c>
      <c r="R423" s="2" t="inlineStr"/>
    </row>
    <row r="424" ht="15" customHeight="1">
      <c r="A424" t="inlineStr">
        <is>
          <t>A 33749-2020</t>
        </is>
      </c>
      <c r="B424" s="1" t="n">
        <v>44026</v>
      </c>
      <c r="C424" s="1" t="n">
        <v>45750</v>
      </c>
      <c r="D424" t="inlineStr">
        <is>
          <t>STOCKHOLMS LÄN</t>
        </is>
      </c>
      <c r="E424" t="inlineStr">
        <is>
          <t>NORRTÄLJE</t>
        </is>
      </c>
      <c r="F424" t="inlineStr">
        <is>
          <t>Holmen skog AB</t>
        </is>
      </c>
      <c r="G424" t="n">
        <v>0.5</v>
      </c>
      <c r="H424" t="n">
        <v>0</v>
      </c>
      <c r="I424" t="n">
        <v>0</v>
      </c>
      <c r="J424" t="n">
        <v>0</v>
      </c>
      <c r="K424" t="n">
        <v>0</v>
      </c>
      <c r="L424" t="n">
        <v>0</v>
      </c>
      <c r="M424" t="n">
        <v>0</v>
      </c>
      <c r="N424" t="n">
        <v>0</v>
      </c>
      <c r="O424" t="n">
        <v>0</v>
      </c>
      <c r="P424" t="n">
        <v>0</v>
      </c>
      <c r="Q424" t="n">
        <v>0</v>
      </c>
      <c r="R424" s="2" t="inlineStr"/>
    </row>
    <row r="425" ht="15" customHeight="1">
      <c r="A425" t="inlineStr">
        <is>
          <t>A 34651-2020</t>
        </is>
      </c>
      <c r="B425" s="1" t="n">
        <v>44034</v>
      </c>
      <c r="C425" s="1" t="n">
        <v>45750</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34650-2020</t>
        </is>
      </c>
      <c r="B426" s="1" t="n">
        <v>44034</v>
      </c>
      <c r="C426" s="1" t="n">
        <v>45750</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36314-2020</t>
        </is>
      </c>
      <c r="B427" s="1" t="n">
        <v>44049</v>
      </c>
      <c r="C427" s="1" t="n">
        <v>45750</v>
      </c>
      <c r="D427" t="inlineStr">
        <is>
          <t>STOCKHOLMS LÄN</t>
        </is>
      </c>
      <c r="E427" t="inlineStr">
        <is>
          <t>NORRTÄLJE</t>
        </is>
      </c>
      <c r="G427" t="n">
        <v>5</v>
      </c>
      <c r="H427" t="n">
        <v>0</v>
      </c>
      <c r="I427" t="n">
        <v>0</v>
      </c>
      <c r="J427" t="n">
        <v>0</v>
      </c>
      <c r="K427" t="n">
        <v>0</v>
      </c>
      <c r="L427" t="n">
        <v>0</v>
      </c>
      <c r="M427" t="n">
        <v>0</v>
      </c>
      <c r="N427" t="n">
        <v>0</v>
      </c>
      <c r="O427" t="n">
        <v>0</v>
      </c>
      <c r="P427" t="n">
        <v>0</v>
      </c>
      <c r="Q427" t="n">
        <v>0</v>
      </c>
      <c r="R427" s="2" t="inlineStr"/>
    </row>
    <row r="428" ht="15" customHeight="1">
      <c r="A428" t="inlineStr">
        <is>
          <t>A 36359-2020</t>
        </is>
      </c>
      <c r="B428" s="1" t="n">
        <v>44049</v>
      </c>
      <c r="C428" s="1" t="n">
        <v>45750</v>
      </c>
      <c r="D428" t="inlineStr">
        <is>
          <t>STOCKHOLMS LÄN</t>
        </is>
      </c>
      <c r="E428" t="inlineStr">
        <is>
          <t>NORRTÄLJE</t>
        </is>
      </c>
      <c r="G428" t="n">
        <v>6.5</v>
      </c>
      <c r="H428" t="n">
        <v>0</v>
      </c>
      <c r="I428" t="n">
        <v>0</v>
      </c>
      <c r="J428" t="n">
        <v>0</v>
      </c>
      <c r="K428" t="n">
        <v>0</v>
      </c>
      <c r="L428" t="n">
        <v>0</v>
      </c>
      <c r="M428" t="n">
        <v>0</v>
      </c>
      <c r="N428" t="n">
        <v>0</v>
      </c>
      <c r="O428" t="n">
        <v>0</v>
      </c>
      <c r="P428" t="n">
        <v>0</v>
      </c>
      <c r="Q428" t="n">
        <v>0</v>
      </c>
      <c r="R428" s="2" t="inlineStr"/>
    </row>
    <row r="429" ht="15" customHeight="1">
      <c r="A429" t="inlineStr">
        <is>
          <t>A 40837-2020</t>
        </is>
      </c>
      <c r="B429" s="1" t="n">
        <v>44067</v>
      </c>
      <c r="C429" s="1" t="n">
        <v>45750</v>
      </c>
      <c r="D429" t="inlineStr">
        <is>
          <t>STOCKHOLMS LÄN</t>
        </is>
      </c>
      <c r="E429" t="inlineStr">
        <is>
          <t>NORRTÄLJE</t>
        </is>
      </c>
      <c r="G429" t="n">
        <v>20.6</v>
      </c>
      <c r="H429" t="n">
        <v>0</v>
      </c>
      <c r="I429" t="n">
        <v>0</v>
      </c>
      <c r="J429" t="n">
        <v>0</v>
      </c>
      <c r="K429" t="n">
        <v>0</v>
      </c>
      <c r="L429" t="n">
        <v>0</v>
      </c>
      <c r="M429" t="n">
        <v>0</v>
      </c>
      <c r="N429" t="n">
        <v>0</v>
      </c>
      <c r="O429" t="n">
        <v>0</v>
      </c>
      <c r="P429" t="n">
        <v>0</v>
      </c>
      <c r="Q429" t="n">
        <v>0</v>
      </c>
      <c r="R429" s="2" t="inlineStr"/>
    </row>
    <row r="430" ht="15" customHeight="1">
      <c r="A430" t="inlineStr">
        <is>
          <t>A 40661-2020</t>
        </is>
      </c>
      <c r="B430" s="1" t="n">
        <v>44069</v>
      </c>
      <c r="C430" s="1" t="n">
        <v>45750</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42247-2020</t>
        </is>
      </c>
      <c r="B431" s="1" t="n">
        <v>44074</v>
      </c>
      <c r="C431" s="1" t="n">
        <v>45750</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42256-2020</t>
        </is>
      </c>
      <c r="B432" s="1" t="n">
        <v>44074</v>
      </c>
      <c r="C432" s="1" t="n">
        <v>45750</v>
      </c>
      <c r="D432" t="inlineStr">
        <is>
          <t>STOCKHOLMS LÄN</t>
        </is>
      </c>
      <c r="E432" t="inlineStr">
        <is>
          <t>NORRTÄLJE</t>
        </is>
      </c>
      <c r="F432" t="inlineStr">
        <is>
          <t>Övriga Aktiebolag</t>
        </is>
      </c>
      <c r="G432" t="n">
        <v>0.8</v>
      </c>
      <c r="H432" t="n">
        <v>0</v>
      </c>
      <c r="I432" t="n">
        <v>0</v>
      </c>
      <c r="J432" t="n">
        <v>0</v>
      </c>
      <c r="K432" t="n">
        <v>0</v>
      </c>
      <c r="L432" t="n">
        <v>0</v>
      </c>
      <c r="M432" t="n">
        <v>0</v>
      </c>
      <c r="N432" t="n">
        <v>0</v>
      </c>
      <c r="O432" t="n">
        <v>0</v>
      </c>
      <c r="P432" t="n">
        <v>0</v>
      </c>
      <c r="Q432" t="n">
        <v>0</v>
      </c>
      <c r="R432" s="2" t="inlineStr"/>
    </row>
    <row r="433" ht="15" customHeight="1">
      <c r="A433" t="inlineStr">
        <is>
          <t>A 41694-2020</t>
        </is>
      </c>
      <c r="B433" s="1" t="n">
        <v>44074</v>
      </c>
      <c r="C433" s="1" t="n">
        <v>45750</v>
      </c>
      <c r="D433" t="inlineStr">
        <is>
          <t>STOCKHOLMS LÄN</t>
        </is>
      </c>
      <c r="E433" t="inlineStr">
        <is>
          <t>NORRTÄLJE</t>
        </is>
      </c>
      <c r="G433" t="n">
        <v>3</v>
      </c>
      <c r="H433" t="n">
        <v>0</v>
      </c>
      <c r="I433" t="n">
        <v>0</v>
      </c>
      <c r="J433" t="n">
        <v>0</v>
      </c>
      <c r="K433" t="n">
        <v>0</v>
      </c>
      <c r="L433" t="n">
        <v>0</v>
      </c>
      <c r="M433" t="n">
        <v>0</v>
      </c>
      <c r="N433" t="n">
        <v>0</v>
      </c>
      <c r="O433" t="n">
        <v>0</v>
      </c>
      <c r="P433" t="n">
        <v>0</v>
      </c>
      <c r="Q433" t="n">
        <v>0</v>
      </c>
      <c r="R433" s="2" t="inlineStr"/>
    </row>
    <row r="434" ht="15" customHeight="1">
      <c r="A434" t="inlineStr">
        <is>
          <t>A 42365-2020</t>
        </is>
      </c>
      <c r="B434" s="1" t="n">
        <v>44076</v>
      </c>
      <c r="C434" s="1" t="n">
        <v>45750</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42361-2020</t>
        </is>
      </c>
      <c r="B435" s="1" t="n">
        <v>44076</v>
      </c>
      <c r="C435" s="1" t="n">
        <v>45750</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42455-2020</t>
        </is>
      </c>
      <c r="B436" s="1" t="n">
        <v>44076</v>
      </c>
      <c r="C436" s="1" t="n">
        <v>45750</v>
      </c>
      <c r="D436" t="inlineStr">
        <is>
          <t>STOCKHOLMS LÄN</t>
        </is>
      </c>
      <c r="E436" t="inlineStr">
        <is>
          <t>NORRTÄLJE</t>
        </is>
      </c>
      <c r="G436" t="n">
        <v>1.9</v>
      </c>
      <c r="H436" t="n">
        <v>0</v>
      </c>
      <c r="I436" t="n">
        <v>0</v>
      </c>
      <c r="J436" t="n">
        <v>0</v>
      </c>
      <c r="K436" t="n">
        <v>0</v>
      </c>
      <c r="L436" t="n">
        <v>0</v>
      </c>
      <c r="M436" t="n">
        <v>0</v>
      </c>
      <c r="N436" t="n">
        <v>0</v>
      </c>
      <c r="O436" t="n">
        <v>0</v>
      </c>
      <c r="P436" t="n">
        <v>0</v>
      </c>
      <c r="Q436" t="n">
        <v>0</v>
      </c>
      <c r="R436" s="2" t="inlineStr"/>
    </row>
    <row r="437" ht="15" customHeight="1">
      <c r="A437" t="inlineStr">
        <is>
          <t>A 43751-2020</t>
        </is>
      </c>
      <c r="B437" s="1" t="n">
        <v>44082</v>
      </c>
      <c r="C437" s="1" t="n">
        <v>45750</v>
      </c>
      <c r="D437" t="inlineStr">
        <is>
          <t>STOCKHOLMS LÄN</t>
        </is>
      </c>
      <c r="E437" t="inlineStr">
        <is>
          <t>NORRTÄLJE</t>
        </is>
      </c>
      <c r="G437" t="n">
        <v>8</v>
      </c>
      <c r="H437" t="n">
        <v>0</v>
      </c>
      <c r="I437" t="n">
        <v>0</v>
      </c>
      <c r="J437" t="n">
        <v>0</v>
      </c>
      <c r="K437" t="n">
        <v>0</v>
      </c>
      <c r="L437" t="n">
        <v>0</v>
      </c>
      <c r="M437" t="n">
        <v>0</v>
      </c>
      <c r="N437" t="n">
        <v>0</v>
      </c>
      <c r="O437" t="n">
        <v>0</v>
      </c>
      <c r="P437" t="n">
        <v>0</v>
      </c>
      <c r="Q437" t="n">
        <v>0</v>
      </c>
      <c r="R437" s="2" t="inlineStr"/>
    </row>
    <row r="438" ht="15" customHeight="1">
      <c r="A438" t="inlineStr">
        <is>
          <t>A 44096-2020</t>
        </is>
      </c>
      <c r="B438" s="1" t="n">
        <v>44083</v>
      </c>
      <c r="C438" s="1" t="n">
        <v>45750</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44071-2020</t>
        </is>
      </c>
      <c r="B439" s="1" t="n">
        <v>44083</v>
      </c>
      <c r="C439" s="1" t="n">
        <v>45750</v>
      </c>
      <c r="D439" t="inlineStr">
        <is>
          <t>STOCKHOLMS LÄN</t>
        </is>
      </c>
      <c r="E439" t="inlineStr">
        <is>
          <t>NORRTÄLJE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44183-2020</t>
        </is>
      </c>
      <c r="B440" s="1" t="n">
        <v>44083</v>
      </c>
      <c r="C440" s="1" t="n">
        <v>45750</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44792-2020</t>
        </is>
      </c>
      <c r="B441" s="1" t="n">
        <v>44085</v>
      </c>
      <c r="C441" s="1" t="n">
        <v>45750</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45988-2020</t>
        </is>
      </c>
      <c r="B442" s="1" t="n">
        <v>44091</v>
      </c>
      <c r="C442" s="1" t="n">
        <v>45750</v>
      </c>
      <c r="D442" t="inlineStr">
        <is>
          <t>STOCKHOLMS LÄN</t>
        </is>
      </c>
      <c r="E442" t="inlineStr">
        <is>
          <t>NORRTÄLJE</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46556-2020</t>
        </is>
      </c>
      <c r="B443" s="1" t="n">
        <v>44095</v>
      </c>
      <c r="C443" s="1" t="n">
        <v>45750</v>
      </c>
      <c r="D443" t="inlineStr">
        <is>
          <t>STOCKHOLMS LÄN</t>
        </is>
      </c>
      <c r="E443" t="inlineStr">
        <is>
          <t>NORRTÄLJE</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47291-2020</t>
        </is>
      </c>
      <c r="B444" s="1" t="n">
        <v>44097</v>
      </c>
      <c r="C444" s="1" t="n">
        <v>45750</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48392-2020</t>
        </is>
      </c>
      <c r="B445" s="1" t="n">
        <v>44097</v>
      </c>
      <c r="C445" s="1" t="n">
        <v>45750</v>
      </c>
      <c r="D445" t="inlineStr">
        <is>
          <t>STOCKHOLMS LÄN</t>
        </is>
      </c>
      <c r="E445" t="inlineStr">
        <is>
          <t>NORRTÄLJE</t>
        </is>
      </c>
      <c r="G445" t="n">
        <v>12.5</v>
      </c>
      <c r="H445" t="n">
        <v>0</v>
      </c>
      <c r="I445" t="n">
        <v>0</v>
      </c>
      <c r="J445" t="n">
        <v>0</v>
      </c>
      <c r="K445" t="n">
        <v>0</v>
      </c>
      <c r="L445" t="n">
        <v>0</v>
      </c>
      <c r="M445" t="n">
        <v>0</v>
      </c>
      <c r="N445" t="n">
        <v>0</v>
      </c>
      <c r="O445" t="n">
        <v>0</v>
      </c>
      <c r="P445" t="n">
        <v>0</v>
      </c>
      <c r="Q445" t="n">
        <v>0</v>
      </c>
      <c r="R445" s="2" t="inlineStr"/>
    </row>
    <row r="446" ht="15" customHeight="1">
      <c r="A446" t="inlineStr">
        <is>
          <t>A 47869-2020</t>
        </is>
      </c>
      <c r="B446" s="1" t="n">
        <v>44098</v>
      </c>
      <c r="C446" s="1" t="n">
        <v>45750</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47868-2020</t>
        </is>
      </c>
      <c r="B447" s="1" t="n">
        <v>44098</v>
      </c>
      <c r="C447" s="1" t="n">
        <v>45750</v>
      </c>
      <c r="D447" t="inlineStr">
        <is>
          <t>STOCKHOLMS LÄN</t>
        </is>
      </c>
      <c r="E447" t="inlineStr">
        <is>
          <t>NORRTÄLJE</t>
        </is>
      </c>
      <c r="G447" t="n">
        <v>4.7</v>
      </c>
      <c r="H447" t="n">
        <v>0</v>
      </c>
      <c r="I447" t="n">
        <v>0</v>
      </c>
      <c r="J447" t="n">
        <v>0</v>
      </c>
      <c r="K447" t="n">
        <v>0</v>
      </c>
      <c r="L447" t="n">
        <v>0</v>
      </c>
      <c r="M447" t="n">
        <v>0</v>
      </c>
      <c r="N447" t="n">
        <v>0</v>
      </c>
      <c r="O447" t="n">
        <v>0</v>
      </c>
      <c r="P447" t="n">
        <v>0</v>
      </c>
      <c r="Q447" t="n">
        <v>0</v>
      </c>
      <c r="R447" s="2" t="inlineStr"/>
    </row>
    <row r="448" ht="15" customHeight="1">
      <c r="A448" t="inlineStr">
        <is>
          <t>A 48066-2020</t>
        </is>
      </c>
      <c r="B448" s="1" t="n">
        <v>44100</v>
      </c>
      <c r="C448" s="1" t="n">
        <v>45750</v>
      </c>
      <c r="D448" t="inlineStr">
        <is>
          <t>STOCKHOLMS LÄN</t>
        </is>
      </c>
      <c r="E448" t="inlineStr">
        <is>
          <t>NORRTÄLJE</t>
        </is>
      </c>
      <c r="G448" t="n">
        <v>3.7</v>
      </c>
      <c r="H448" t="n">
        <v>0</v>
      </c>
      <c r="I448" t="n">
        <v>0</v>
      </c>
      <c r="J448" t="n">
        <v>0</v>
      </c>
      <c r="K448" t="n">
        <v>0</v>
      </c>
      <c r="L448" t="n">
        <v>0</v>
      </c>
      <c r="M448" t="n">
        <v>0</v>
      </c>
      <c r="N448" t="n">
        <v>0</v>
      </c>
      <c r="O448" t="n">
        <v>0</v>
      </c>
      <c r="P448" t="n">
        <v>0</v>
      </c>
      <c r="Q448" t="n">
        <v>0</v>
      </c>
      <c r="R448" s="2" t="inlineStr"/>
    </row>
    <row r="449" ht="15" customHeight="1">
      <c r="A449" t="inlineStr">
        <is>
          <t>A 48071-2020</t>
        </is>
      </c>
      <c r="B449" s="1" t="n">
        <v>44100</v>
      </c>
      <c r="C449" s="1" t="n">
        <v>45750</v>
      </c>
      <c r="D449" t="inlineStr">
        <is>
          <t>STOCKHOLMS LÄN</t>
        </is>
      </c>
      <c r="E449" t="inlineStr">
        <is>
          <t>NORRTÄLJE</t>
        </is>
      </c>
      <c r="G449" t="n">
        <v>6.8</v>
      </c>
      <c r="H449" t="n">
        <v>0</v>
      </c>
      <c r="I449" t="n">
        <v>0</v>
      </c>
      <c r="J449" t="n">
        <v>0</v>
      </c>
      <c r="K449" t="n">
        <v>0</v>
      </c>
      <c r="L449" t="n">
        <v>0</v>
      </c>
      <c r="M449" t="n">
        <v>0</v>
      </c>
      <c r="N449" t="n">
        <v>0</v>
      </c>
      <c r="O449" t="n">
        <v>0</v>
      </c>
      <c r="P449" t="n">
        <v>0</v>
      </c>
      <c r="Q449" t="n">
        <v>0</v>
      </c>
      <c r="R449" s="2" t="inlineStr"/>
    </row>
    <row r="450" ht="15" customHeight="1">
      <c r="A450" t="inlineStr">
        <is>
          <t>A 48496-2020</t>
        </is>
      </c>
      <c r="B450" s="1" t="n">
        <v>44103</v>
      </c>
      <c r="C450" s="1" t="n">
        <v>45750</v>
      </c>
      <c r="D450" t="inlineStr">
        <is>
          <t>STOCKHOLMS LÄN</t>
        </is>
      </c>
      <c r="E450" t="inlineStr">
        <is>
          <t>NORRTÄLJE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48522-2020</t>
        </is>
      </c>
      <c r="B451" s="1" t="n">
        <v>44103</v>
      </c>
      <c r="C451" s="1" t="n">
        <v>45750</v>
      </c>
      <c r="D451" t="inlineStr">
        <is>
          <t>STOCKHOLMS LÄN</t>
        </is>
      </c>
      <c r="E451" t="inlineStr">
        <is>
          <t>NORRTÄLJE</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49334-2020</t>
        </is>
      </c>
      <c r="B452" s="1" t="n">
        <v>44105</v>
      </c>
      <c r="C452" s="1" t="n">
        <v>45750</v>
      </c>
      <c r="D452" t="inlineStr">
        <is>
          <t>STOCKHOLMS LÄN</t>
        </is>
      </c>
      <c r="E452" t="inlineStr">
        <is>
          <t>NORRTÄLJE</t>
        </is>
      </c>
      <c r="G452" t="n">
        <v>1.5</v>
      </c>
      <c r="H452" t="n">
        <v>0</v>
      </c>
      <c r="I452" t="n">
        <v>0</v>
      </c>
      <c r="J452" t="n">
        <v>0</v>
      </c>
      <c r="K452" t="n">
        <v>0</v>
      </c>
      <c r="L452" t="n">
        <v>0</v>
      </c>
      <c r="M452" t="n">
        <v>0</v>
      </c>
      <c r="N452" t="n">
        <v>0</v>
      </c>
      <c r="O452" t="n">
        <v>0</v>
      </c>
      <c r="P452" t="n">
        <v>0</v>
      </c>
      <c r="Q452" t="n">
        <v>0</v>
      </c>
      <c r="R452" s="2" t="inlineStr"/>
    </row>
    <row r="453" ht="15" customHeight="1">
      <c r="A453" t="inlineStr">
        <is>
          <t>A 49327-2020</t>
        </is>
      </c>
      <c r="B453" s="1" t="n">
        <v>44105</v>
      </c>
      <c r="C453" s="1" t="n">
        <v>45750</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49898-2020</t>
        </is>
      </c>
      <c r="B454" s="1" t="n">
        <v>44108</v>
      </c>
      <c r="C454" s="1" t="n">
        <v>45750</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50497-2020</t>
        </is>
      </c>
      <c r="B455" s="1" t="n">
        <v>44110</v>
      </c>
      <c r="C455" s="1" t="n">
        <v>45750</v>
      </c>
      <c r="D455" t="inlineStr">
        <is>
          <t>STOCKHOLMS LÄN</t>
        </is>
      </c>
      <c r="E455" t="inlineStr">
        <is>
          <t>NORRTÄLJE</t>
        </is>
      </c>
      <c r="F455" t="inlineStr">
        <is>
          <t>Holmen skog AB</t>
        </is>
      </c>
      <c r="G455" t="n">
        <v>4.3</v>
      </c>
      <c r="H455" t="n">
        <v>0</v>
      </c>
      <c r="I455" t="n">
        <v>0</v>
      </c>
      <c r="J455" t="n">
        <v>0</v>
      </c>
      <c r="K455" t="n">
        <v>0</v>
      </c>
      <c r="L455" t="n">
        <v>0</v>
      </c>
      <c r="M455" t="n">
        <v>0</v>
      </c>
      <c r="N455" t="n">
        <v>0</v>
      </c>
      <c r="O455" t="n">
        <v>0</v>
      </c>
      <c r="P455" t="n">
        <v>0</v>
      </c>
      <c r="Q455" t="n">
        <v>0</v>
      </c>
      <c r="R455" s="2" t="inlineStr"/>
    </row>
    <row r="456" ht="15" customHeight="1">
      <c r="A456" t="inlineStr">
        <is>
          <t>A 50738-2020</t>
        </is>
      </c>
      <c r="B456" s="1" t="n">
        <v>44111</v>
      </c>
      <c r="C456" s="1" t="n">
        <v>45750</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50746-2020</t>
        </is>
      </c>
      <c r="B457" s="1" t="n">
        <v>44111</v>
      </c>
      <c r="C457" s="1" t="n">
        <v>45750</v>
      </c>
      <c r="D457" t="inlineStr">
        <is>
          <t>STOCKHOLMS LÄN</t>
        </is>
      </c>
      <c r="E457" t="inlineStr">
        <is>
          <t>NORRTÄLJE</t>
        </is>
      </c>
      <c r="G457" t="n">
        <v>4.9</v>
      </c>
      <c r="H457" t="n">
        <v>0</v>
      </c>
      <c r="I457" t="n">
        <v>0</v>
      </c>
      <c r="J457" t="n">
        <v>0</v>
      </c>
      <c r="K457" t="n">
        <v>0</v>
      </c>
      <c r="L457" t="n">
        <v>0</v>
      </c>
      <c r="M457" t="n">
        <v>0</v>
      </c>
      <c r="N457" t="n">
        <v>0</v>
      </c>
      <c r="O457" t="n">
        <v>0</v>
      </c>
      <c r="P457" t="n">
        <v>0</v>
      </c>
      <c r="Q457" t="n">
        <v>0</v>
      </c>
      <c r="R457" s="2" t="inlineStr"/>
    </row>
    <row r="458" ht="15" customHeight="1">
      <c r="A458" t="inlineStr">
        <is>
          <t>A 50742-2020</t>
        </is>
      </c>
      <c r="B458" s="1" t="n">
        <v>44111</v>
      </c>
      <c r="C458" s="1" t="n">
        <v>45750</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51720-2020</t>
        </is>
      </c>
      <c r="B459" s="1" t="n">
        <v>44113</v>
      </c>
      <c r="C459" s="1" t="n">
        <v>45750</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51787-2020</t>
        </is>
      </c>
      <c r="B460" s="1" t="n">
        <v>44116</v>
      </c>
      <c r="C460" s="1" t="n">
        <v>45750</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51798-2020</t>
        </is>
      </c>
      <c r="B461" s="1" t="n">
        <v>44116</v>
      </c>
      <c r="C461" s="1" t="n">
        <v>45750</v>
      </c>
      <c r="D461" t="inlineStr">
        <is>
          <t>STOCKHOLMS LÄN</t>
        </is>
      </c>
      <c r="E461" t="inlineStr">
        <is>
          <t>NORRTÄLJE</t>
        </is>
      </c>
      <c r="G461" t="n">
        <v>4.3</v>
      </c>
      <c r="H461" t="n">
        <v>0</v>
      </c>
      <c r="I461" t="n">
        <v>0</v>
      </c>
      <c r="J461" t="n">
        <v>0</v>
      </c>
      <c r="K461" t="n">
        <v>0</v>
      </c>
      <c r="L461" t="n">
        <v>0</v>
      </c>
      <c r="M461" t="n">
        <v>0</v>
      </c>
      <c r="N461" t="n">
        <v>0</v>
      </c>
      <c r="O461" t="n">
        <v>0</v>
      </c>
      <c r="P461" t="n">
        <v>0</v>
      </c>
      <c r="Q461" t="n">
        <v>0</v>
      </c>
      <c r="R461" s="2" t="inlineStr"/>
    </row>
    <row r="462" ht="15" customHeight="1">
      <c r="A462" t="inlineStr">
        <is>
          <t>A 53768-2020</t>
        </is>
      </c>
      <c r="B462" s="1" t="n">
        <v>44123</v>
      </c>
      <c r="C462" s="1" t="n">
        <v>45750</v>
      </c>
      <c r="D462" t="inlineStr">
        <is>
          <t>STOCKHOLMS LÄN</t>
        </is>
      </c>
      <c r="E462" t="inlineStr">
        <is>
          <t>NORRTÄLJE</t>
        </is>
      </c>
      <c r="F462" t="inlineStr">
        <is>
          <t>Kommuner</t>
        </is>
      </c>
      <c r="G462" t="n">
        <v>2.1</v>
      </c>
      <c r="H462" t="n">
        <v>0</v>
      </c>
      <c r="I462" t="n">
        <v>0</v>
      </c>
      <c r="J462" t="n">
        <v>0</v>
      </c>
      <c r="K462" t="n">
        <v>0</v>
      </c>
      <c r="L462" t="n">
        <v>0</v>
      </c>
      <c r="M462" t="n">
        <v>0</v>
      </c>
      <c r="N462" t="n">
        <v>0</v>
      </c>
      <c r="O462" t="n">
        <v>0</v>
      </c>
      <c r="P462" t="n">
        <v>0</v>
      </c>
      <c r="Q462" t="n">
        <v>0</v>
      </c>
      <c r="R462" s="2" t="inlineStr"/>
    </row>
    <row r="463" ht="15" customHeight="1">
      <c r="A463" t="inlineStr">
        <is>
          <t>A 53652-2020</t>
        </is>
      </c>
      <c r="B463" s="1" t="n">
        <v>44124</v>
      </c>
      <c r="C463" s="1" t="n">
        <v>45750</v>
      </c>
      <c r="D463" t="inlineStr">
        <is>
          <t>STOCKHOLMS LÄN</t>
        </is>
      </c>
      <c r="E463" t="inlineStr">
        <is>
          <t>NORRTÄLJE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53690-2020</t>
        </is>
      </c>
      <c r="B464" s="1" t="n">
        <v>44124</v>
      </c>
      <c r="C464" s="1" t="n">
        <v>45750</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53607-2020</t>
        </is>
      </c>
      <c r="B465" s="1" t="n">
        <v>44124</v>
      </c>
      <c r="C465" s="1" t="n">
        <v>45750</v>
      </c>
      <c r="D465" t="inlineStr">
        <is>
          <t>STOCKHOLMS LÄN</t>
        </is>
      </c>
      <c r="E465" t="inlineStr">
        <is>
          <t>NORRTÄLJE</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55089-2020</t>
        </is>
      </c>
      <c r="B466" s="1" t="n">
        <v>44130</v>
      </c>
      <c r="C466" s="1" t="n">
        <v>45750</v>
      </c>
      <c r="D466" t="inlineStr">
        <is>
          <t>STOCKHOLMS LÄN</t>
        </is>
      </c>
      <c r="E466" t="inlineStr">
        <is>
          <t>NORRTÄLJE</t>
        </is>
      </c>
      <c r="G466" t="n">
        <v>1</v>
      </c>
      <c r="H466" t="n">
        <v>0</v>
      </c>
      <c r="I466" t="n">
        <v>0</v>
      </c>
      <c r="J466" t="n">
        <v>0</v>
      </c>
      <c r="K466" t="n">
        <v>0</v>
      </c>
      <c r="L466" t="n">
        <v>0</v>
      </c>
      <c r="M466" t="n">
        <v>0</v>
      </c>
      <c r="N466" t="n">
        <v>0</v>
      </c>
      <c r="O466" t="n">
        <v>0</v>
      </c>
      <c r="P466" t="n">
        <v>0</v>
      </c>
      <c r="Q466" t="n">
        <v>0</v>
      </c>
      <c r="R466" s="2" t="inlineStr"/>
    </row>
    <row r="467" ht="15" customHeight="1">
      <c r="A467" t="inlineStr">
        <is>
          <t>A 55895-2020</t>
        </is>
      </c>
      <c r="B467" s="1" t="n">
        <v>44132</v>
      </c>
      <c r="C467" s="1" t="n">
        <v>45750</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55890-2020</t>
        </is>
      </c>
      <c r="B468" s="1" t="n">
        <v>44132</v>
      </c>
      <c r="C468" s="1" t="n">
        <v>45750</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55982-2020</t>
        </is>
      </c>
      <c r="B469" s="1" t="n">
        <v>44132</v>
      </c>
      <c r="C469" s="1" t="n">
        <v>45750</v>
      </c>
      <c r="D469" t="inlineStr">
        <is>
          <t>STOCKHOLMS LÄN</t>
        </is>
      </c>
      <c r="E469" t="inlineStr">
        <is>
          <t>NORRTÄLJE</t>
        </is>
      </c>
      <c r="G469" t="n">
        <v>11.3</v>
      </c>
      <c r="H469" t="n">
        <v>0</v>
      </c>
      <c r="I469" t="n">
        <v>0</v>
      </c>
      <c r="J469" t="n">
        <v>0</v>
      </c>
      <c r="K469" t="n">
        <v>0</v>
      </c>
      <c r="L469" t="n">
        <v>0</v>
      </c>
      <c r="M469" t="n">
        <v>0</v>
      </c>
      <c r="N469" t="n">
        <v>0</v>
      </c>
      <c r="O469" t="n">
        <v>0</v>
      </c>
      <c r="P469" t="n">
        <v>0</v>
      </c>
      <c r="Q469" t="n">
        <v>0</v>
      </c>
      <c r="R469" s="2" t="inlineStr"/>
    </row>
    <row r="470" ht="15" customHeight="1">
      <c r="A470" t="inlineStr">
        <is>
          <t>A 56166-2020</t>
        </is>
      </c>
      <c r="B470" s="1" t="n">
        <v>44133</v>
      </c>
      <c r="C470" s="1" t="n">
        <v>45750</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56323-2020</t>
        </is>
      </c>
      <c r="B471" s="1" t="n">
        <v>44134</v>
      </c>
      <c r="C471" s="1" t="n">
        <v>45750</v>
      </c>
      <c r="D471" t="inlineStr">
        <is>
          <t>STOCKHOLMS LÄN</t>
        </is>
      </c>
      <c r="E471" t="inlineStr">
        <is>
          <t>NORRTÄLJE</t>
        </is>
      </c>
      <c r="G471" t="n">
        <v>2.4</v>
      </c>
      <c r="H471" t="n">
        <v>0</v>
      </c>
      <c r="I471" t="n">
        <v>0</v>
      </c>
      <c r="J471" t="n">
        <v>0</v>
      </c>
      <c r="K471" t="n">
        <v>0</v>
      </c>
      <c r="L471" t="n">
        <v>0</v>
      </c>
      <c r="M471" t="n">
        <v>0</v>
      </c>
      <c r="N471" t="n">
        <v>0</v>
      </c>
      <c r="O471" t="n">
        <v>0</v>
      </c>
      <c r="P471" t="n">
        <v>0</v>
      </c>
      <c r="Q471" t="n">
        <v>0</v>
      </c>
      <c r="R471" s="2" t="inlineStr"/>
    </row>
    <row r="472" ht="15" customHeight="1">
      <c r="A472" t="inlineStr">
        <is>
          <t>A 57216-2020</t>
        </is>
      </c>
      <c r="B472" s="1" t="n">
        <v>44139</v>
      </c>
      <c r="C472" s="1" t="n">
        <v>45750</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57957-2020</t>
        </is>
      </c>
      <c r="B473" s="1" t="n">
        <v>44143</v>
      </c>
      <c r="C473" s="1" t="n">
        <v>45750</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57987-2020</t>
        </is>
      </c>
      <c r="B474" s="1" t="n">
        <v>44143</v>
      </c>
      <c r="C474" s="1" t="n">
        <v>45750</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58493-2020</t>
        </is>
      </c>
      <c r="B475" s="1" t="n">
        <v>44145</v>
      </c>
      <c r="C475" s="1" t="n">
        <v>45750</v>
      </c>
      <c r="D475" t="inlineStr">
        <is>
          <t>STOCKHOLMS LÄN</t>
        </is>
      </c>
      <c r="E475" t="inlineStr">
        <is>
          <t>NORRTÄLJE</t>
        </is>
      </c>
      <c r="G475" t="n">
        <v>2.8</v>
      </c>
      <c r="H475" t="n">
        <v>0</v>
      </c>
      <c r="I475" t="n">
        <v>0</v>
      </c>
      <c r="J475" t="n">
        <v>0</v>
      </c>
      <c r="K475" t="n">
        <v>0</v>
      </c>
      <c r="L475" t="n">
        <v>0</v>
      </c>
      <c r="M475" t="n">
        <v>0</v>
      </c>
      <c r="N475" t="n">
        <v>0</v>
      </c>
      <c r="O475" t="n">
        <v>0</v>
      </c>
      <c r="P475" t="n">
        <v>0</v>
      </c>
      <c r="Q475" t="n">
        <v>0</v>
      </c>
      <c r="R475" s="2" t="inlineStr"/>
    </row>
    <row r="476" ht="15" customHeight="1">
      <c r="A476" t="inlineStr">
        <is>
          <t>A 58661-2020</t>
        </is>
      </c>
      <c r="B476" s="1" t="n">
        <v>44145</v>
      </c>
      <c r="C476" s="1" t="n">
        <v>45750</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58665-2020</t>
        </is>
      </c>
      <c r="B477" s="1" t="n">
        <v>44145</v>
      </c>
      <c r="C477" s="1" t="n">
        <v>45750</v>
      </c>
      <c r="D477" t="inlineStr">
        <is>
          <t>STOCKHOLMS LÄN</t>
        </is>
      </c>
      <c r="E477" t="inlineStr">
        <is>
          <t>NORRTÄLJE</t>
        </is>
      </c>
      <c r="G477" t="n">
        <v>5.2</v>
      </c>
      <c r="H477" t="n">
        <v>0</v>
      </c>
      <c r="I477" t="n">
        <v>0</v>
      </c>
      <c r="J477" t="n">
        <v>0</v>
      </c>
      <c r="K477" t="n">
        <v>0</v>
      </c>
      <c r="L477" t="n">
        <v>0</v>
      </c>
      <c r="M477" t="n">
        <v>0</v>
      </c>
      <c r="N477" t="n">
        <v>0</v>
      </c>
      <c r="O477" t="n">
        <v>0</v>
      </c>
      <c r="P477" t="n">
        <v>0</v>
      </c>
      <c r="Q477" t="n">
        <v>0</v>
      </c>
      <c r="R477" s="2" t="inlineStr"/>
    </row>
    <row r="478" ht="15" customHeight="1">
      <c r="A478" t="inlineStr">
        <is>
          <t>A 58888-2020</t>
        </is>
      </c>
      <c r="B478" s="1" t="n">
        <v>44146</v>
      </c>
      <c r="C478" s="1" t="n">
        <v>45750</v>
      </c>
      <c r="D478" t="inlineStr">
        <is>
          <t>STOCKHOLMS LÄN</t>
        </is>
      </c>
      <c r="E478" t="inlineStr">
        <is>
          <t>NORRTÄLJE</t>
        </is>
      </c>
      <c r="G478" t="n">
        <v>1.9</v>
      </c>
      <c r="H478" t="n">
        <v>0</v>
      </c>
      <c r="I478" t="n">
        <v>0</v>
      </c>
      <c r="J478" t="n">
        <v>0</v>
      </c>
      <c r="K478" t="n">
        <v>0</v>
      </c>
      <c r="L478" t="n">
        <v>0</v>
      </c>
      <c r="M478" t="n">
        <v>0</v>
      </c>
      <c r="N478" t="n">
        <v>0</v>
      </c>
      <c r="O478" t="n">
        <v>0</v>
      </c>
      <c r="P478" t="n">
        <v>0</v>
      </c>
      <c r="Q478" t="n">
        <v>0</v>
      </c>
      <c r="R478" s="2" t="inlineStr"/>
    </row>
    <row r="479" ht="15" customHeight="1">
      <c r="A479" t="inlineStr">
        <is>
          <t>A 60321-2020</t>
        </is>
      </c>
      <c r="B479" s="1" t="n">
        <v>44152</v>
      </c>
      <c r="C479" s="1" t="n">
        <v>45750</v>
      </c>
      <c r="D479" t="inlineStr">
        <is>
          <t>STOCKHOLMS LÄN</t>
        </is>
      </c>
      <c r="E479" t="inlineStr">
        <is>
          <t>NORRTÄLJE</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60542-2020</t>
        </is>
      </c>
      <c r="B480" s="1" t="n">
        <v>44153</v>
      </c>
      <c r="C480" s="1" t="n">
        <v>45750</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60977-2020</t>
        </is>
      </c>
      <c r="B481" s="1" t="n">
        <v>44154</v>
      </c>
      <c r="C481" s="1" t="n">
        <v>45750</v>
      </c>
      <c r="D481" t="inlineStr">
        <is>
          <t>STOCKHOLMS LÄN</t>
        </is>
      </c>
      <c r="E481" t="inlineStr">
        <is>
          <t>NORRTÄLJE</t>
        </is>
      </c>
      <c r="F481" t="inlineStr">
        <is>
          <t>Holmen skog AB</t>
        </is>
      </c>
      <c r="G481" t="n">
        <v>0.8</v>
      </c>
      <c r="H481" t="n">
        <v>0</v>
      </c>
      <c r="I481" t="n">
        <v>0</v>
      </c>
      <c r="J481" t="n">
        <v>0</v>
      </c>
      <c r="K481" t="n">
        <v>0</v>
      </c>
      <c r="L481" t="n">
        <v>0</v>
      </c>
      <c r="M481" t="n">
        <v>0</v>
      </c>
      <c r="N481" t="n">
        <v>0</v>
      </c>
      <c r="O481" t="n">
        <v>0</v>
      </c>
      <c r="P481" t="n">
        <v>0</v>
      </c>
      <c r="Q481" t="n">
        <v>0</v>
      </c>
      <c r="R481" s="2" t="inlineStr"/>
    </row>
    <row r="482" ht="15" customHeight="1">
      <c r="A482" t="inlineStr">
        <is>
          <t>A 60891-2020</t>
        </is>
      </c>
      <c r="B482" s="1" t="n">
        <v>44154</v>
      </c>
      <c r="C482" s="1" t="n">
        <v>45750</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60961-2020</t>
        </is>
      </c>
      <c r="B483" s="1" t="n">
        <v>44154</v>
      </c>
      <c r="C483" s="1" t="n">
        <v>45750</v>
      </c>
      <c r="D483" t="inlineStr">
        <is>
          <t>STOCKHOLMS LÄN</t>
        </is>
      </c>
      <c r="E483" t="inlineStr">
        <is>
          <t>NORRTÄLJE</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61195-2020</t>
        </is>
      </c>
      <c r="B484" s="1" t="n">
        <v>44155</v>
      </c>
      <c r="C484" s="1" t="n">
        <v>45750</v>
      </c>
      <c r="D484" t="inlineStr">
        <is>
          <t>STOCKHOLMS LÄN</t>
        </is>
      </c>
      <c r="E484" t="inlineStr">
        <is>
          <t>NORRTÄLJE</t>
        </is>
      </c>
      <c r="G484" t="n">
        <v>7.8</v>
      </c>
      <c r="H484" t="n">
        <v>0</v>
      </c>
      <c r="I484" t="n">
        <v>0</v>
      </c>
      <c r="J484" t="n">
        <v>0</v>
      </c>
      <c r="K484" t="n">
        <v>0</v>
      </c>
      <c r="L484" t="n">
        <v>0</v>
      </c>
      <c r="M484" t="n">
        <v>0</v>
      </c>
      <c r="N484" t="n">
        <v>0</v>
      </c>
      <c r="O484" t="n">
        <v>0</v>
      </c>
      <c r="P484" t="n">
        <v>0</v>
      </c>
      <c r="Q484" t="n">
        <v>0</v>
      </c>
      <c r="R484" s="2" t="inlineStr"/>
    </row>
    <row r="485" ht="15" customHeight="1">
      <c r="A485" t="inlineStr">
        <is>
          <t>A 61221-2020</t>
        </is>
      </c>
      <c r="B485" s="1" t="n">
        <v>44155</v>
      </c>
      <c r="C485" s="1" t="n">
        <v>45750</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61363-2020</t>
        </is>
      </c>
      <c r="B486" s="1" t="n">
        <v>44155</v>
      </c>
      <c r="C486" s="1" t="n">
        <v>45750</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61469-2020</t>
        </is>
      </c>
      <c r="B487" s="1" t="n">
        <v>44155</v>
      </c>
      <c r="C487" s="1" t="n">
        <v>45750</v>
      </c>
      <c r="D487" t="inlineStr">
        <is>
          <t>STOCKHOLMS LÄN</t>
        </is>
      </c>
      <c r="E487" t="inlineStr">
        <is>
          <t>NORRTÄLJE</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61192-2020</t>
        </is>
      </c>
      <c r="B488" s="1" t="n">
        <v>44155</v>
      </c>
      <c r="C488" s="1" t="n">
        <v>45750</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62460-2020</t>
        </is>
      </c>
      <c r="B489" s="1" t="n">
        <v>44160</v>
      </c>
      <c r="C489" s="1" t="n">
        <v>45750</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62854-2020</t>
        </is>
      </c>
      <c r="B490" s="1" t="n">
        <v>44161</v>
      </c>
      <c r="C490" s="1" t="n">
        <v>45750</v>
      </c>
      <c r="D490" t="inlineStr">
        <is>
          <t>STOCKHOLMS LÄN</t>
        </is>
      </c>
      <c r="E490" t="inlineStr">
        <is>
          <t>NORRTÄLJE</t>
        </is>
      </c>
      <c r="G490" t="n">
        <v>4.7</v>
      </c>
      <c r="H490" t="n">
        <v>0</v>
      </c>
      <c r="I490" t="n">
        <v>0</v>
      </c>
      <c r="J490" t="n">
        <v>0</v>
      </c>
      <c r="K490" t="n">
        <v>0</v>
      </c>
      <c r="L490" t="n">
        <v>0</v>
      </c>
      <c r="M490" t="n">
        <v>0</v>
      </c>
      <c r="N490" t="n">
        <v>0</v>
      </c>
      <c r="O490" t="n">
        <v>0</v>
      </c>
      <c r="P490" t="n">
        <v>0</v>
      </c>
      <c r="Q490" t="n">
        <v>0</v>
      </c>
      <c r="R490" s="2" t="inlineStr"/>
    </row>
    <row r="491" ht="15" customHeight="1">
      <c r="A491" t="inlineStr">
        <is>
          <t>A 63824-2020</t>
        </is>
      </c>
      <c r="B491" s="1" t="n">
        <v>44162</v>
      </c>
      <c r="C491" s="1" t="n">
        <v>45750</v>
      </c>
      <c r="D491" t="inlineStr">
        <is>
          <t>STOCKHOLMS LÄN</t>
        </is>
      </c>
      <c r="E491" t="inlineStr">
        <is>
          <t>NORRTÄLJE</t>
        </is>
      </c>
      <c r="F491" t="inlineStr">
        <is>
          <t>Övriga Aktiebolag</t>
        </is>
      </c>
      <c r="G491" t="n">
        <v>1.9</v>
      </c>
      <c r="H491" t="n">
        <v>0</v>
      </c>
      <c r="I491" t="n">
        <v>0</v>
      </c>
      <c r="J491" t="n">
        <v>0</v>
      </c>
      <c r="K491" t="n">
        <v>0</v>
      </c>
      <c r="L491" t="n">
        <v>0</v>
      </c>
      <c r="M491" t="n">
        <v>0</v>
      </c>
      <c r="N491" t="n">
        <v>0</v>
      </c>
      <c r="O491" t="n">
        <v>0</v>
      </c>
      <c r="P491" t="n">
        <v>0</v>
      </c>
      <c r="Q491" t="n">
        <v>0</v>
      </c>
      <c r="R491" s="2" t="inlineStr"/>
    </row>
    <row r="492" ht="15" customHeight="1">
      <c r="A492" t="inlineStr">
        <is>
          <t>A 66372-2020</t>
        </is>
      </c>
      <c r="B492" s="1" t="n">
        <v>44176</v>
      </c>
      <c r="C492" s="1" t="n">
        <v>45750</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66907-2020</t>
        </is>
      </c>
      <c r="B493" s="1" t="n">
        <v>44176</v>
      </c>
      <c r="C493" s="1" t="n">
        <v>45750</v>
      </c>
      <c r="D493" t="inlineStr">
        <is>
          <t>STOCKHOLMS LÄN</t>
        </is>
      </c>
      <c r="E493" t="inlineStr">
        <is>
          <t>NORRTÄLJE</t>
        </is>
      </c>
      <c r="G493" t="n">
        <v>1.7</v>
      </c>
      <c r="H493" t="n">
        <v>0</v>
      </c>
      <c r="I493" t="n">
        <v>0</v>
      </c>
      <c r="J493" t="n">
        <v>0</v>
      </c>
      <c r="K493" t="n">
        <v>0</v>
      </c>
      <c r="L493" t="n">
        <v>0</v>
      </c>
      <c r="M493" t="n">
        <v>0</v>
      </c>
      <c r="N493" t="n">
        <v>0</v>
      </c>
      <c r="O493" t="n">
        <v>0</v>
      </c>
      <c r="P493" t="n">
        <v>0</v>
      </c>
      <c r="Q493" t="n">
        <v>0</v>
      </c>
      <c r="R493" s="2" t="inlineStr"/>
    </row>
    <row r="494" ht="15" customHeight="1">
      <c r="A494" t="inlineStr">
        <is>
          <t>A 67393-2020</t>
        </is>
      </c>
      <c r="B494" s="1" t="n">
        <v>44181</v>
      </c>
      <c r="C494" s="1" t="n">
        <v>45750</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68081-2020</t>
        </is>
      </c>
      <c r="B495" s="1" t="n">
        <v>44183</v>
      </c>
      <c r="C495" s="1" t="n">
        <v>45750</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367-2021</t>
        </is>
      </c>
      <c r="B496" s="1" t="n">
        <v>44201</v>
      </c>
      <c r="C496" s="1" t="n">
        <v>45750</v>
      </c>
      <c r="D496" t="inlineStr">
        <is>
          <t>STOCKHOLMS LÄN</t>
        </is>
      </c>
      <c r="E496" t="inlineStr">
        <is>
          <t>NORRTÄLJE</t>
        </is>
      </c>
      <c r="G496" t="n">
        <v>0.1</v>
      </c>
      <c r="H496" t="n">
        <v>0</v>
      </c>
      <c r="I496" t="n">
        <v>0</v>
      </c>
      <c r="J496" t="n">
        <v>0</v>
      </c>
      <c r="K496" t="n">
        <v>0</v>
      </c>
      <c r="L496" t="n">
        <v>0</v>
      </c>
      <c r="M496" t="n">
        <v>0</v>
      </c>
      <c r="N496" t="n">
        <v>0</v>
      </c>
      <c r="O496" t="n">
        <v>0</v>
      </c>
      <c r="P496" t="n">
        <v>0</v>
      </c>
      <c r="Q496" t="n">
        <v>0</v>
      </c>
      <c r="R496" s="2" t="inlineStr"/>
    </row>
    <row r="497" ht="15" customHeight="1">
      <c r="A497" t="inlineStr">
        <is>
          <t>A 348-2021</t>
        </is>
      </c>
      <c r="B497" s="1" t="n">
        <v>44201</v>
      </c>
      <c r="C497" s="1" t="n">
        <v>45750</v>
      </c>
      <c r="D497" t="inlineStr">
        <is>
          <t>STOCKHOLMS LÄN</t>
        </is>
      </c>
      <c r="E497" t="inlineStr">
        <is>
          <t>NORRTÄLJE</t>
        </is>
      </c>
      <c r="G497" t="n">
        <v>0.1</v>
      </c>
      <c r="H497" t="n">
        <v>0</v>
      </c>
      <c r="I497" t="n">
        <v>0</v>
      </c>
      <c r="J497" t="n">
        <v>0</v>
      </c>
      <c r="K497" t="n">
        <v>0</v>
      </c>
      <c r="L497" t="n">
        <v>0</v>
      </c>
      <c r="M497" t="n">
        <v>0</v>
      </c>
      <c r="N497" t="n">
        <v>0</v>
      </c>
      <c r="O497" t="n">
        <v>0</v>
      </c>
      <c r="P497" t="n">
        <v>0</v>
      </c>
      <c r="Q497" t="n">
        <v>0</v>
      </c>
      <c r="R497" s="2" t="inlineStr"/>
    </row>
    <row r="498" ht="15" customHeight="1">
      <c r="A498" t="inlineStr">
        <is>
          <t>A 1637-2021</t>
        </is>
      </c>
      <c r="B498" s="1" t="n">
        <v>44209</v>
      </c>
      <c r="C498" s="1" t="n">
        <v>45750</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1970-2021</t>
        </is>
      </c>
      <c r="B499" s="1" t="n">
        <v>44210</v>
      </c>
      <c r="C499" s="1" t="n">
        <v>45750</v>
      </c>
      <c r="D499" t="inlineStr">
        <is>
          <t>STOCKHOLMS LÄN</t>
        </is>
      </c>
      <c r="E499" t="inlineStr">
        <is>
          <t>NORRTÄLJE</t>
        </is>
      </c>
      <c r="G499" t="n">
        <v>3.1</v>
      </c>
      <c r="H499" t="n">
        <v>0</v>
      </c>
      <c r="I499" t="n">
        <v>0</v>
      </c>
      <c r="J499" t="n">
        <v>0</v>
      </c>
      <c r="K499" t="n">
        <v>0</v>
      </c>
      <c r="L499" t="n">
        <v>0</v>
      </c>
      <c r="M499" t="n">
        <v>0</v>
      </c>
      <c r="N499" t="n">
        <v>0</v>
      </c>
      <c r="O499" t="n">
        <v>0</v>
      </c>
      <c r="P499" t="n">
        <v>0</v>
      </c>
      <c r="Q499" t="n">
        <v>0</v>
      </c>
      <c r="R499" s="2" t="inlineStr"/>
    </row>
    <row r="500" ht="15" customHeight="1">
      <c r="A500" t="inlineStr">
        <is>
          <t>A 2447-2021</t>
        </is>
      </c>
      <c r="B500" s="1" t="n">
        <v>44214</v>
      </c>
      <c r="C500" s="1" t="n">
        <v>45750</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2976-2021</t>
        </is>
      </c>
      <c r="B501" s="1" t="n">
        <v>44216</v>
      </c>
      <c r="C501" s="1" t="n">
        <v>45750</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3143-2021</t>
        </is>
      </c>
      <c r="B502" s="1" t="n">
        <v>44217</v>
      </c>
      <c r="C502" s="1" t="n">
        <v>45750</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3386-2021</t>
        </is>
      </c>
      <c r="B503" s="1" t="n">
        <v>44218</v>
      </c>
      <c r="C503" s="1" t="n">
        <v>45750</v>
      </c>
      <c r="D503" t="inlineStr">
        <is>
          <t>STOCKHOLMS LÄN</t>
        </is>
      </c>
      <c r="E503" t="inlineStr">
        <is>
          <t>NORRTÄLJE</t>
        </is>
      </c>
      <c r="G503" t="n">
        <v>8</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45750</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4632-2021</t>
        </is>
      </c>
      <c r="B505" s="1" t="n">
        <v>44224</v>
      </c>
      <c r="C505" s="1" t="n">
        <v>45750</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5037-2021</t>
        </is>
      </c>
      <c r="B506" s="1" t="n">
        <v>44228</v>
      </c>
      <c r="C506" s="1" t="n">
        <v>45750</v>
      </c>
      <c r="D506" t="inlineStr">
        <is>
          <t>STOCKHOLMS LÄN</t>
        </is>
      </c>
      <c r="E506" t="inlineStr">
        <is>
          <t>NORRTÄLJE</t>
        </is>
      </c>
      <c r="F506" t="inlineStr">
        <is>
          <t>Holmen skog AB</t>
        </is>
      </c>
      <c r="G506" t="n">
        <v>3.8</v>
      </c>
      <c r="H506" t="n">
        <v>0</v>
      </c>
      <c r="I506" t="n">
        <v>0</v>
      </c>
      <c r="J506" t="n">
        <v>0</v>
      </c>
      <c r="K506" t="n">
        <v>0</v>
      </c>
      <c r="L506" t="n">
        <v>0</v>
      </c>
      <c r="M506" t="n">
        <v>0</v>
      </c>
      <c r="N506" t="n">
        <v>0</v>
      </c>
      <c r="O506" t="n">
        <v>0</v>
      </c>
      <c r="P506" t="n">
        <v>0</v>
      </c>
      <c r="Q506" t="n">
        <v>0</v>
      </c>
      <c r="R506" s="2" t="inlineStr"/>
    </row>
    <row r="507" ht="15" customHeight="1">
      <c r="A507" t="inlineStr">
        <is>
          <t>A 5562-2021</t>
        </is>
      </c>
      <c r="B507" s="1" t="n">
        <v>44230</v>
      </c>
      <c r="C507" s="1" t="n">
        <v>45750</v>
      </c>
      <c r="D507" t="inlineStr">
        <is>
          <t>STOCKHOLMS LÄN</t>
        </is>
      </c>
      <c r="E507" t="inlineStr">
        <is>
          <t>NORRTÄLJE</t>
        </is>
      </c>
      <c r="G507" t="n">
        <v>0.5</v>
      </c>
      <c r="H507" t="n">
        <v>0</v>
      </c>
      <c r="I507" t="n">
        <v>0</v>
      </c>
      <c r="J507" t="n">
        <v>0</v>
      </c>
      <c r="K507" t="n">
        <v>0</v>
      </c>
      <c r="L507" t="n">
        <v>0</v>
      </c>
      <c r="M507" t="n">
        <v>0</v>
      </c>
      <c r="N507" t="n">
        <v>0</v>
      </c>
      <c r="O507" t="n">
        <v>0</v>
      </c>
      <c r="P507" t="n">
        <v>0</v>
      </c>
      <c r="Q507" t="n">
        <v>0</v>
      </c>
      <c r="R507" s="2" t="inlineStr"/>
    </row>
    <row r="508" ht="15" customHeight="1">
      <c r="A508" t="inlineStr">
        <is>
          <t>A 5566-2021</t>
        </is>
      </c>
      <c r="B508" s="1" t="n">
        <v>44230</v>
      </c>
      <c r="C508" s="1" t="n">
        <v>45750</v>
      </c>
      <c r="D508" t="inlineStr">
        <is>
          <t>STOCKHOLMS LÄN</t>
        </is>
      </c>
      <c r="E508" t="inlineStr">
        <is>
          <t>NORRTÄLJE</t>
        </is>
      </c>
      <c r="G508" t="n">
        <v>3.1</v>
      </c>
      <c r="H508" t="n">
        <v>0</v>
      </c>
      <c r="I508" t="n">
        <v>0</v>
      </c>
      <c r="J508" t="n">
        <v>0</v>
      </c>
      <c r="K508" t="n">
        <v>0</v>
      </c>
      <c r="L508" t="n">
        <v>0</v>
      </c>
      <c r="M508" t="n">
        <v>0</v>
      </c>
      <c r="N508" t="n">
        <v>0</v>
      </c>
      <c r="O508" t="n">
        <v>0</v>
      </c>
      <c r="P508" t="n">
        <v>0</v>
      </c>
      <c r="Q508" t="n">
        <v>0</v>
      </c>
      <c r="R508" s="2" t="inlineStr"/>
    </row>
    <row r="509" ht="15" customHeight="1">
      <c r="A509" t="inlineStr">
        <is>
          <t>A 5950-2021</t>
        </is>
      </c>
      <c r="B509" s="1" t="n">
        <v>44231</v>
      </c>
      <c r="C509" s="1" t="n">
        <v>45750</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6049-2021</t>
        </is>
      </c>
      <c r="B510" s="1" t="n">
        <v>44231</v>
      </c>
      <c r="C510" s="1" t="n">
        <v>45750</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7903-2021</t>
        </is>
      </c>
      <c r="B511" s="1" t="n">
        <v>44243</v>
      </c>
      <c r="C511" s="1" t="n">
        <v>45750</v>
      </c>
      <c r="D511" t="inlineStr">
        <is>
          <t>STOCKHOLMS LÄN</t>
        </is>
      </c>
      <c r="E511" t="inlineStr">
        <is>
          <t>NORRTÄLJE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7999-2021</t>
        </is>
      </c>
      <c r="B512" s="1" t="n">
        <v>44243</v>
      </c>
      <c r="C512" s="1" t="n">
        <v>45750</v>
      </c>
      <c r="D512" t="inlineStr">
        <is>
          <t>STOCKHOLMS LÄN</t>
        </is>
      </c>
      <c r="E512" t="inlineStr">
        <is>
          <t>NORRTÄLJE</t>
        </is>
      </c>
      <c r="G512" t="n">
        <v>6.8</v>
      </c>
      <c r="H512" t="n">
        <v>0</v>
      </c>
      <c r="I512" t="n">
        <v>0</v>
      </c>
      <c r="J512" t="n">
        <v>0</v>
      </c>
      <c r="K512" t="n">
        <v>0</v>
      </c>
      <c r="L512" t="n">
        <v>0</v>
      </c>
      <c r="M512" t="n">
        <v>0</v>
      </c>
      <c r="N512" t="n">
        <v>0</v>
      </c>
      <c r="O512" t="n">
        <v>0</v>
      </c>
      <c r="P512" t="n">
        <v>0</v>
      </c>
      <c r="Q512" t="n">
        <v>0</v>
      </c>
      <c r="R512" s="2" t="inlineStr"/>
    </row>
    <row r="513" ht="15" customHeight="1">
      <c r="A513" t="inlineStr">
        <is>
          <t>A 8338-2021</t>
        </is>
      </c>
      <c r="B513" s="1" t="n">
        <v>44244</v>
      </c>
      <c r="C513" s="1" t="n">
        <v>45750</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9467-2021</t>
        </is>
      </c>
      <c r="B514" s="1" t="n">
        <v>44251</v>
      </c>
      <c r="C514" s="1" t="n">
        <v>45750</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9469-2021</t>
        </is>
      </c>
      <c r="B515" s="1" t="n">
        <v>44251</v>
      </c>
      <c r="C515" s="1" t="n">
        <v>45750</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9446-2021</t>
        </is>
      </c>
      <c r="B516" s="1" t="n">
        <v>44251</v>
      </c>
      <c r="C516" s="1" t="n">
        <v>45750</v>
      </c>
      <c r="D516" t="inlineStr">
        <is>
          <t>STOCKHOLMS LÄN</t>
        </is>
      </c>
      <c r="E516" t="inlineStr">
        <is>
          <t>NORRTÄLJE</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9719-2021</t>
        </is>
      </c>
      <c r="B517" s="1" t="n">
        <v>44252</v>
      </c>
      <c r="C517" s="1" t="n">
        <v>45750</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9703-2021</t>
        </is>
      </c>
      <c r="B518" s="1" t="n">
        <v>44252</v>
      </c>
      <c r="C518" s="1" t="n">
        <v>45750</v>
      </c>
      <c r="D518" t="inlineStr">
        <is>
          <t>STOCKHOLMS LÄN</t>
        </is>
      </c>
      <c r="E518" t="inlineStr">
        <is>
          <t>NORRTÄLJE</t>
        </is>
      </c>
      <c r="G518" t="n">
        <v>3.4</v>
      </c>
      <c r="H518" t="n">
        <v>0</v>
      </c>
      <c r="I518" t="n">
        <v>0</v>
      </c>
      <c r="J518" t="n">
        <v>0</v>
      </c>
      <c r="K518" t="n">
        <v>0</v>
      </c>
      <c r="L518" t="n">
        <v>0</v>
      </c>
      <c r="M518" t="n">
        <v>0</v>
      </c>
      <c r="N518" t="n">
        <v>0</v>
      </c>
      <c r="O518" t="n">
        <v>0</v>
      </c>
      <c r="P518" t="n">
        <v>0</v>
      </c>
      <c r="Q518" t="n">
        <v>0</v>
      </c>
      <c r="R518" s="2" t="inlineStr"/>
    </row>
    <row r="519" ht="15" customHeight="1">
      <c r="A519" t="inlineStr">
        <is>
          <t>A 10687-2021</t>
        </is>
      </c>
      <c r="B519" s="1" t="n">
        <v>44258</v>
      </c>
      <c r="C519" s="1" t="n">
        <v>45750</v>
      </c>
      <c r="D519" t="inlineStr">
        <is>
          <t>STOCKHOLMS LÄN</t>
        </is>
      </c>
      <c r="E519" t="inlineStr">
        <is>
          <t>NORRTÄLJE</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10684-2021</t>
        </is>
      </c>
      <c r="B520" s="1" t="n">
        <v>44258</v>
      </c>
      <c r="C520" s="1" t="n">
        <v>45750</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11122-2021</t>
        </is>
      </c>
      <c r="B521" s="1" t="n">
        <v>44260</v>
      </c>
      <c r="C521" s="1" t="n">
        <v>45750</v>
      </c>
      <c r="D521" t="inlineStr">
        <is>
          <t>STOCKHOLMS LÄN</t>
        </is>
      </c>
      <c r="E521" t="inlineStr">
        <is>
          <t>NORRTÄLJE</t>
        </is>
      </c>
      <c r="F521" t="inlineStr">
        <is>
          <t>Holmen skog AB</t>
        </is>
      </c>
      <c r="G521" t="n">
        <v>2.1</v>
      </c>
      <c r="H521" t="n">
        <v>0</v>
      </c>
      <c r="I521" t="n">
        <v>0</v>
      </c>
      <c r="J521" t="n">
        <v>0</v>
      </c>
      <c r="K521" t="n">
        <v>0</v>
      </c>
      <c r="L521" t="n">
        <v>0</v>
      </c>
      <c r="M521" t="n">
        <v>0</v>
      </c>
      <c r="N521" t="n">
        <v>0</v>
      </c>
      <c r="O521" t="n">
        <v>0</v>
      </c>
      <c r="P521" t="n">
        <v>0</v>
      </c>
      <c r="Q521" t="n">
        <v>0</v>
      </c>
      <c r="R521" s="2" t="inlineStr"/>
    </row>
    <row r="522" ht="15" customHeight="1">
      <c r="A522" t="inlineStr">
        <is>
          <t>A 11438-2021</t>
        </is>
      </c>
      <c r="B522" s="1" t="n">
        <v>44263</v>
      </c>
      <c r="C522" s="1" t="n">
        <v>45750</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11988-2021</t>
        </is>
      </c>
      <c r="B523" s="1" t="n">
        <v>44266</v>
      </c>
      <c r="C523" s="1" t="n">
        <v>45750</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12031-2021</t>
        </is>
      </c>
      <c r="B524" s="1" t="n">
        <v>44266</v>
      </c>
      <c r="C524" s="1" t="n">
        <v>45750</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12111-2021</t>
        </is>
      </c>
      <c r="B525" s="1" t="n">
        <v>44266</v>
      </c>
      <c r="C525" s="1" t="n">
        <v>45750</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12132-2021</t>
        </is>
      </c>
      <c r="B526" s="1" t="n">
        <v>44266</v>
      </c>
      <c r="C526" s="1" t="n">
        <v>45750</v>
      </c>
      <c r="D526" t="inlineStr">
        <is>
          <t>STOCKHOLMS LÄN</t>
        </is>
      </c>
      <c r="E526" t="inlineStr">
        <is>
          <t>NORRTÄLJE</t>
        </is>
      </c>
      <c r="G526" t="n">
        <v>4</v>
      </c>
      <c r="H526" t="n">
        <v>0</v>
      </c>
      <c r="I526" t="n">
        <v>0</v>
      </c>
      <c r="J526" t="n">
        <v>0</v>
      </c>
      <c r="K526" t="n">
        <v>0</v>
      </c>
      <c r="L526" t="n">
        <v>0</v>
      </c>
      <c r="M526" t="n">
        <v>0</v>
      </c>
      <c r="N526" t="n">
        <v>0</v>
      </c>
      <c r="O526" t="n">
        <v>0</v>
      </c>
      <c r="P526" t="n">
        <v>0</v>
      </c>
      <c r="Q526" t="n">
        <v>0</v>
      </c>
      <c r="R526" s="2" t="inlineStr"/>
    </row>
    <row r="527" ht="15" customHeight="1">
      <c r="A527" t="inlineStr">
        <is>
          <t>A 12564-2021</t>
        </is>
      </c>
      <c r="B527" s="1" t="n">
        <v>44270</v>
      </c>
      <c r="C527" s="1" t="n">
        <v>45750</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12779-2021</t>
        </is>
      </c>
      <c r="B528" s="1" t="n">
        <v>44270</v>
      </c>
      <c r="C528" s="1" t="n">
        <v>45750</v>
      </c>
      <c r="D528" t="inlineStr">
        <is>
          <t>STOCKHOLMS LÄN</t>
        </is>
      </c>
      <c r="E528" t="inlineStr">
        <is>
          <t>NORRTÄLJE</t>
        </is>
      </c>
      <c r="G528" t="n">
        <v>10.8</v>
      </c>
      <c r="H528" t="n">
        <v>0</v>
      </c>
      <c r="I528" t="n">
        <v>0</v>
      </c>
      <c r="J528" t="n">
        <v>0</v>
      </c>
      <c r="K528" t="n">
        <v>0</v>
      </c>
      <c r="L528" t="n">
        <v>0</v>
      </c>
      <c r="M528" t="n">
        <v>0</v>
      </c>
      <c r="N528" t="n">
        <v>0</v>
      </c>
      <c r="O528" t="n">
        <v>0</v>
      </c>
      <c r="P528" t="n">
        <v>0</v>
      </c>
      <c r="Q528" t="n">
        <v>0</v>
      </c>
      <c r="R528" s="2" t="inlineStr"/>
    </row>
    <row r="529" ht="15" customHeight="1">
      <c r="A529" t="inlineStr">
        <is>
          <t>A 12782-2021</t>
        </is>
      </c>
      <c r="B529" s="1" t="n">
        <v>44270</v>
      </c>
      <c r="C529" s="1" t="n">
        <v>45750</v>
      </c>
      <c r="D529" t="inlineStr">
        <is>
          <t>STOCKHOLMS LÄN</t>
        </is>
      </c>
      <c r="E529" t="inlineStr">
        <is>
          <t>NORRTÄLJE</t>
        </is>
      </c>
      <c r="G529" t="n">
        <v>3.8</v>
      </c>
      <c r="H529" t="n">
        <v>0</v>
      </c>
      <c r="I529" t="n">
        <v>0</v>
      </c>
      <c r="J529" t="n">
        <v>0</v>
      </c>
      <c r="K529" t="n">
        <v>0</v>
      </c>
      <c r="L529" t="n">
        <v>0</v>
      </c>
      <c r="M529" t="n">
        <v>0</v>
      </c>
      <c r="N529" t="n">
        <v>0</v>
      </c>
      <c r="O529" t="n">
        <v>0</v>
      </c>
      <c r="P529" t="n">
        <v>0</v>
      </c>
      <c r="Q529" t="n">
        <v>0</v>
      </c>
      <c r="R529" s="2" t="inlineStr"/>
    </row>
    <row r="530" ht="15" customHeight="1">
      <c r="A530" t="inlineStr">
        <is>
          <t>A 13051-2021</t>
        </is>
      </c>
      <c r="B530" s="1" t="n">
        <v>44272</v>
      </c>
      <c r="C530" s="1" t="n">
        <v>45750</v>
      </c>
      <c r="D530" t="inlineStr">
        <is>
          <t>STOCKHOLMS LÄN</t>
        </is>
      </c>
      <c r="E530" t="inlineStr">
        <is>
          <t>NORRTÄLJE</t>
        </is>
      </c>
      <c r="G530" t="n">
        <v>9.1</v>
      </c>
      <c r="H530" t="n">
        <v>0</v>
      </c>
      <c r="I530" t="n">
        <v>0</v>
      </c>
      <c r="J530" t="n">
        <v>0</v>
      </c>
      <c r="K530" t="n">
        <v>0</v>
      </c>
      <c r="L530" t="n">
        <v>0</v>
      </c>
      <c r="M530" t="n">
        <v>0</v>
      </c>
      <c r="N530" t="n">
        <v>0</v>
      </c>
      <c r="O530" t="n">
        <v>0</v>
      </c>
      <c r="P530" t="n">
        <v>0</v>
      </c>
      <c r="Q530" t="n">
        <v>0</v>
      </c>
      <c r="R530" s="2" t="inlineStr"/>
    </row>
    <row r="531" ht="15" customHeight="1">
      <c r="A531" t="inlineStr">
        <is>
          <t>A 13148-2021</t>
        </is>
      </c>
      <c r="B531" s="1" t="n">
        <v>44272</v>
      </c>
      <c r="C531" s="1" t="n">
        <v>45750</v>
      </c>
      <c r="D531" t="inlineStr">
        <is>
          <t>STOCKHOLMS LÄN</t>
        </is>
      </c>
      <c r="E531" t="inlineStr">
        <is>
          <t>NORRTÄLJE</t>
        </is>
      </c>
      <c r="G531" t="n">
        <v>12.4</v>
      </c>
      <c r="H531" t="n">
        <v>0</v>
      </c>
      <c r="I531" t="n">
        <v>0</v>
      </c>
      <c r="J531" t="n">
        <v>0</v>
      </c>
      <c r="K531" t="n">
        <v>0</v>
      </c>
      <c r="L531" t="n">
        <v>0</v>
      </c>
      <c r="M531" t="n">
        <v>0</v>
      </c>
      <c r="N531" t="n">
        <v>0</v>
      </c>
      <c r="O531" t="n">
        <v>0</v>
      </c>
      <c r="P531" t="n">
        <v>0</v>
      </c>
      <c r="Q531" t="n">
        <v>0</v>
      </c>
      <c r="R531" s="2" t="inlineStr"/>
    </row>
    <row r="532" ht="15" customHeight="1">
      <c r="A532" t="inlineStr">
        <is>
          <t>A 13736-2021</t>
        </is>
      </c>
      <c r="B532" s="1" t="n">
        <v>44274</v>
      </c>
      <c r="C532" s="1" t="n">
        <v>45750</v>
      </c>
      <c r="D532" t="inlineStr">
        <is>
          <t>STOCKHOLMS LÄN</t>
        </is>
      </c>
      <c r="E532" t="inlineStr">
        <is>
          <t>NORRTÄLJE</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13752-2021</t>
        </is>
      </c>
      <c r="B533" s="1" t="n">
        <v>44274</v>
      </c>
      <c r="C533" s="1" t="n">
        <v>45750</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45750</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14922-2021</t>
        </is>
      </c>
      <c r="B535" s="1" t="n">
        <v>44281</v>
      </c>
      <c r="C535" s="1" t="n">
        <v>45750</v>
      </c>
      <c r="D535" t="inlineStr">
        <is>
          <t>STOCKHOLMS LÄN</t>
        </is>
      </c>
      <c r="E535" t="inlineStr">
        <is>
          <t>NORRTÄLJE</t>
        </is>
      </c>
      <c r="G535" t="n">
        <v>4.8</v>
      </c>
      <c r="H535" t="n">
        <v>0</v>
      </c>
      <c r="I535" t="n">
        <v>0</v>
      </c>
      <c r="J535" t="n">
        <v>0</v>
      </c>
      <c r="K535" t="n">
        <v>0</v>
      </c>
      <c r="L535" t="n">
        <v>0</v>
      </c>
      <c r="M535" t="n">
        <v>0</v>
      </c>
      <c r="N535" t="n">
        <v>0</v>
      </c>
      <c r="O535" t="n">
        <v>0</v>
      </c>
      <c r="P535" t="n">
        <v>0</v>
      </c>
      <c r="Q535" t="n">
        <v>0</v>
      </c>
      <c r="R535" s="2" t="inlineStr"/>
    </row>
    <row r="536" ht="15" customHeight="1">
      <c r="A536" t="inlineStr">
        <is>
          <t>A 14933-2021</t>
        </is>
      </c>
      <c r="B536" s="1" t="n">
        <v>44281</v>
      </c>
      <c r="C536" s="1" t="n">
        <v>45750</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15289-2021</t>
        </is>
      </c>
      <c r="B537" s="1" t="n">
        <v>44284</v>
      </c>
      <c r="C537" s="1" t="n">
        <v>45750</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15441-2021</t>
        </is>
      </c>
      <c r="B538" s="1" t="n">
        <v>44284</v>
      </c>
      <c r="C538" s="1" t="n">
        <v>45750</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15552-2021</t>
        </is>
      </c>
      <c r="B539" s="1" t="n">
        <v>44285</v>
      </c>
      <c r="C539" s="1" t="n">
        <v>45750</v>
      </c>
      <c r="D539" t="inlineStr">
        <is>
          <t>STOCKHOLMS LÄN</t>
        </is>
      </c>
      <c r="E539" t="inlineStr">
        <is>
          <t>NORRTÄLJE</t>
        </is>
      </c>
      <c r="G539" t="n">
        <v>10</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45750</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17460-2021</t>
        </is>
      </c>
      <c r="B541" s="1" t="n">
        <v>44299</v>
      </c>
      <c r="C541" s="1" t="n">
        <v>45750</v>
      </c>
      <c r="D541" t="inlineStr">
        <is>
          <t>STOCKHOLMS LÄN</t>
        </is>
      </c>
      <c r="E541" t="inlineStr">
        <is>
          <t>NORRTÄLJE</t>
        </is>
      </c>
      <c r="G541" t="n">
        <v>3.2</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45750</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18580-2021</t>
        </is>
      </c>
      <c r="B543" s="1" t="n">
        <v>44306</v>
      </c>
      <c r="C543" s="1" t="n">
        <v>45750</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18609-2021</t>
        </is>
      </c>
      <c r="B544" s="1" t="n">
        <v>44306</v>
      </c>
      <c r="C544" s="1" t="n">
        <v>45750</v>
      </c>
      <c r="D544" t="inlineStr">
        <is>
          <t>STOCKHOLMS LÄN</t>
        </is>
      </c>
      <c r="E544" t="inlineStr">
        <is>
          <t>NORRTÄLJE</t>
        </is>
      </c>
      <c r="G544" t="n">
        <v>9.5</v>
      </c>
      <c r="H544" t="n">
        <v>0</v>
      </c>
      <c r="I544" t="n">
        <v>0</v>
      </c>
      <c r="J544" t="n">
        <v>0</v>
      </c>
      <c r="K544" t="n">
        <v>0</v>
      </c>
      <c r="L544" t="n">
        <v>0</v>
      </c>
      <c r="M544" t="n">
        <v>0</v>
      </c>
      <c r="N544" t="n">
        <v>0</v>
      </c>
      <c r="O544" t="n">
        <v>0</v>
      </c>
      <c r="P544" t="n">
        <v>0</v>
      </c>
      <c r="Q544" t="n">
        <v>0</v>
      </c>
      <c r="R544" s="2" t="inlineStr"/>
    </row>
    <row r="545" ht="15" customHeight="1">
      <c r="A545" t="inlineStr">
        <is>
          <t>A 18539-2021</t>
        </is>
      </c>
      <c r="B545" s="1" t="n">
        <v>44306</v>
      </c>
      <c r="C545" s="1" t="n">
        <v>45750</v>
      </c>
      <c r="D545" t="inlineStr">
        <is>
          <t>STOCKHOLMS LÄN</t>
        </is>
      </c>
      <c r="E545" t="inlineStr">
        <is>
          <t>NORRTÄLJE</t>
        </is>
      </c>
      <c r="F545" t="inlineStr">
        <is>
          <t>Holmen skog AB</t>
        </is>
      </c>
      <c r="G545" t="n">
        <v>5.5</v>
      </c>
      <c r="H545" t="n">
        <v>0</v>
      </c>
      <c r="I545" t="n">
        <v>0</v>
      </c>
      <c r="J545" t="n">
        <v>0</v>
      </c>
      <c r="K545" t="n">
        <v>0</v>
      </c>
      <c r="L545" t="n">
        <v>0</v>
      </c>
      <c r="M545" t="n">
        <v>0</v>
      </c>
      <c r="N545" t="n">
        <v>0</v>
      </c>
      <c r="O545" t="n">
        <v>0</v>
      </c>
      <c r="P545" t="n">
        <v>0</v>
      </c>
      <c r="Q545" t="n">
        <v>0</v>
      </c>
      <c r="R545" s="2" t="inlineStr"/>
    </row>
    <row r="546" ht="15" customHeight="1">
      <c r="A546" t="inlineStr">
        <is>
          <t>A 18570-2021</t>
        </is>
      </c>
      <c r="B546" s="1" t="n">
        <v>44306</v>
      </c>
      <c r="C546" s="1" t="n">
        <v>45750</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19283-2021</t>
        </is>
      </c>
      <c r="B547" s="1" t="n">
        <v>44309</v>
      </c>
      <c r="C547" s="1" t="n">
        <v>45750</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19400-2021</t>
        </is>
      </c>
      <c r="B548" s="1" t="n">
        <v>44309</v>
      </c>
      <c r="C548" s="1" t="n">
        <v>45750</v>
      </c>
      <c r="D548" t="inlineStr">
        <is>
          <t>STOCKHOLMS LÄN</t>
        </is>
      </c>
      <c r="E548" t="inlineStr">
        <is>
          <t>NORRTÄLJE</t>
        </is>
      </c>
      <c r="F548" t="inlineStr">
        <is>
          <t>Kommuner</t>
        </is>
      </c>
      <c r="G548" t="n">
        <v>2.4</v>
      </c>
      <c r="H548" t="n">
        <v>0</v>
      </c>
      <c r="I548" t="n">
        <v>0</v>
      </c>
      <c r="J548" t="n">
        <v>0</v>
      </c>
      <c r="K548" t="n">
        <v>0</v>
      </c>
      <c r="L548" t="n">
        <v>0</v>
      </c>
      <c r="M548" t="n">
        <v>0</v>
      </c>
      <c r="N548" t="n">
        <v>0</v>
      </c>
      <c r="O548" t="n">
        <v>0</v>
      </c>
      <c r="P548" t="n">
        <v>0</v>
      </c>
      <c r="Q548" t="n">
        <v>0</v>
      </c>
      <c r="R548" s="2" t="inlineStr"/>
    </row>
    <row r="549" ht="15" customHeight="1">
      <c r="A549" t="inlineStr">
        <is>
          <t>A 19307-2021</t>
        </is>
      </c>
      <c r="B549" s="1" t="n">
        <v>44309</v>
      </c>
      <c r="C549" s="1" t="n">
        <v>45750</v>
      </c>
      <c r="D549" t="inlineStr">
        <is>
          <t>STOCKHOLMS LÄN</t>
        </is>
      </c>
      <c r="E549" t="inlineStr">
        <is>
          <t>NORRTÄLJE</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19398-2021</t>
        </is>
      </c>
      <c r="B550" s="1" t="n">
        <v>44309</v>
      </c>
      <c r="C550" s="1" t="n">
        <v>45750</v>
      </c>
      <c r="D550" t="inlineStr">
        <is>
          <t>STOCKHOLMS LÄN</t>
        </is>
      </c>
      <c r="E550" t="inlineStr">
        <is>
          <t>NORRTÄLJE</t>
        </is>
      </c>
      <c r="F550" t="inlineStr">
        <is>
          <t>Kommuner</t>
        </is>
      </c>
      <c r="G550" t="n">
        <v>2.1</v>
      </c>
      <c r="H550" t="n">
        <v>0</v>
      </c>
      <c r="I550" t="n">
        <v>0</v>
      </c>
      <c r="J550" t="n">
        <v>0</v>
      </c>
      <c r="K550" t="n">
        <v>0</v>
      </c>
      <c r="L550" t="n">
        <v>0</v>
      </c>
      <c r="M550" t="n">
        <v>0</v>
      </c>
      <c r="N550" t="n">
        <v>0</v>
      </c>
      <c r="O550" t="n">
        <v>0</v>
      </c>
      <c r="P550" t="n">
        <v>0</v>
      </c>
      <c r="Q550" t="n">
        <v>0</v>
      </c>
      <c r="R550" s="2" t="inlineStr"/>
    </row>
    <row r="551" ht="15" customHeight="1">
      <c r="A551" t="inlineStr">
        <is>
          <t>A 20073-2021</t>
        </is>
      </c>
      <c r="B551" s="1" t="n">
        <v>44314</v>
      </c>
      <c r="C551" s="1" t="n">
        <v>45750</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20473-2021</t>
        </is>
      </c>
      <c r="B552" s="1" t="n">
        <v>44315</v>
      </c>
      <c r="C552" s="1" t="n">
        <v>45750</v>
      </c>
      <c r="D552" t="inlineStr">
        <is>
          <t>STOCKHOLMS LÄN</t>
        </is>
      </c>
      <c r="E552" t="inlineStr">
        <is>
          <t>NORRTÄLJE</t>
        </is>
      </c>
      <c r="F552" t="inlineStr">
        <is>
          <t>Övriga Aktiebolag</t>
        </is>
      </c>
      <c r="G552" t="n">
        <v>3.6</v>
      </c>
      <c r="H552" t="n">
        <v>0</v>
      </c>
      <c r="I552" t="n">
        <v>0</v>
      </c>
      <c r="J552" t="n">
        <v>0</v>
      </c>
      <c r="K552" t="n">
        <v>0</v>
      </c>
      <c r="L552" t="n">
        <v>0</v>
      </c>
      <c r="M552" t="n">
        <v>0</v>
      </c>
      <c r="N552" t="n">
        <v>0</v>
      </c>
      <c r="O552" t="n">
        <v>0</v>
      </c>
      <c r="P552" t="n">
        <v>0</v>
      </c>
      <c r="Q552" t="n">
        <v>0</v>
      </c>
      <c r="R552" s="2" t="inlineStr"/>
    </row>
    <row r="553" ht="15" customHeight="1">
      <c r="A553" t="inlineStr">
        <is>
          <t>A 21291-2021</t>
        </is>
      </c>
      <c r="B553" s="1" t="n">
        <v>44319</v>
      </c>
      <c r="C553" s="1" t="n">
        <v>45750</v>
      </c>
      <c r="D553" t="inlineStr">
        <is>
          <t>STOCKHOLMS LÄN</t>
        </is>
      </c>
      <c r="E553" t="inlineStr">
        <is>
          <t>NORRTÄLJE</t>
        </is>
      </c>
      <c r="G553" t="n">
        <v>12.7</v>
      </c>
      <c r="H553" t="n">
        <v>0</v>
      </c>
      <c r="I553" t="n">
        <v>0</v>
      </c>
      <c r="J553" t="n">
        <v>0</v>
      </c>
      <c r="K553" t="n">
        <v>0</v>
      </c>
      <c r="L553" t="n">
        <v>0</v>
      </c>
      <c r="M553" t="n">
        <v>0</v>
      </c>
      <c r="N553" t="n">
        <v>0</v>
      </c>
      <c r="O553" t="n">
        <v>0</v>
      </c>
      <c r="P553" t="n">
        <v>0</v>
      </c>
      <c r="Q553" t="n">
        <v>0</v>
      </c>
      <c r="R553" s="2" t="inlineStr"/>
    </row>
    <row r="554" ht="15" customHeight="1">
      <c r="A554" t="inlineStr">
        <is>
          <t>A 21529-2021</t>
        </is>
      </c>
      <c r="B554" s="1" t="n">
        <v>44321</v>
      </c>
      <c r="C554" s="1" t="n">
        <v>45750</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22832-2021</t>
        </is>
      </c>
      <c r="B555" s="1" t="n">
        <v>44325</v>
      </c>
      <c r="C555" s="1" t="n">
        <v>45750</v>
      </c>
      <c r="D555" t="inlineStr">
        <is>
          <t>STOCKHOLMS LÄN</t>
        </is>
      </c>
      <c r="E555" t="inlineStr">
        <is>
          <t>NORRTÄLJE</t>
        </is>
      </c>
      <c r="G555" t="n">
        <v>6.8</v>
      </c>
      <c r="H555" t="n">
        <v>0</v>
      </c>
      <c r="I555" t="n">
        <v>0</v>
      </c>
      <c r="J555" t="n">
        <v>0</v>
      </c>
      <c r="K555" t="n">
        <v>0</v>
      </c>
      <c r="L555" t="n">
        <v>0</v>
      </c>
      <c r="M555" t="n">
        <v>0</v>
      </c>
      <c r="N555" t="n">
        <v>0</v>
      </c>
      <c r="O555" t="n">
        <v>0</v>
      </c>
      <c r="P555" t="n">
        <v>0</v>
      </c>
      <c r="Q555" t="n">
        <v>0</v>
      </c>
      <c r="R555" s="2" t="inlineStr"/>
    </row>
    <row r="556" ht="15" customHeight="1">
      <c r="A556" t="inlineStr">
        <is>
          <t>A 22816-2021</t>
        </is>
      </c>
      <c r="B556" s="1" t="n">
        <v>44325</v>
      </c>
      <c r="C556" s="1" t="n">
        <v>45750</v>
      </c>
      <c r="D556" t="inlineStr">
        <is>
          <t>STOCKHOLMS LÄN</t>
        </is>
      </c>
      <c r="E556" t="inlineStr">
        <is>
          <t>NORRTÄLJE</t>
        </is>
      </c>
      <c r="G556" t="n">
        <v>4.5</v>
      </c>
      <c r="H556" t="n">
        <v>0</v>
      </c>
      <c r="I556" t="n">
        <v>0</v>
      </c>
      <c r="J556" t="n">
        <v>0</v>
      </c>
      <c r="K556" t="n">
        <v>0</v>
      </c>
      <c r="L556" t="n">
        <v>0</v>
      </c>
      <c r="M556" t="n">
        <v>0</v>
      </c>
      <c r="N556" t="n">
        <v>0</v>
      </c>
      <c r="O556" t="n">
        <v>0</v>
      </c>
      <c r="P556" t="n">
        <v>0</v>
      </c>
      <c r="Q556" t="n">
        <v>0</v>
      </c>
      <c r="R556" s="2" t="inlineStr"/>
    </row>
    <row r="557" ht="15" customHeight="1">
      <c r="A557" t="inlineStr">
        <is>
          <t>A 22369-2021</t>
        </is>
      </c>
      <c r="B557" s="1" t="n">
        <v>44326</v>
      </c>
      <c r="C557" s="1" t="n">
        <v>45750</v>
      </c>
      <c r="D557" t="inlineStr">
        <is>
          <t>STOCKHOLMS LÄN</t>
        </is>
      </c>
      <c r="E557" t="inlineStr">
        <is>
          <t>NORRTÄLJE</t>
        </is>
      </c>
      <c r="F557" t="inlineStr">
        <is>
          <t>Holmen skog AB</t>
        </is>
      </c>
      <c r="G557" t="n">
        <v>3.4</v>
      </c>
      <c r="H557" t="n">
        <v>0</v>
      </c>
      <c r="I557" t="n">
        <v>0</v>
      </c>
      <c r="J557" t="n">
        <v>0</v>
      </c>
      <c r="K557" t="n">
        <v>0</v>
      </c>
      <c r="L557" t="n">
        <v>0</v>
      </c>
      <c r="M557" t="n">
        <v>0</v>
      </c>
      <c r="N557" t="n">
        <v>0</v>
      </c>
      <c r="O557" t="n">
        <v>0</v>
      </c>
      <c r="P557" t="n">
        <v>0</v>
      </c>
      <c r="Q557" t="n">
        <v>0</v>
      </c>
      <c r="R557" s="2" t="inlineStr"/>
    </row>
    <row r="558" ht="15" customHeight="1">
      <c r="A558" t="inlineStr">
        <is>
          <t>A 22421-2021</t>
        </is>
      </c>
      <c r="B558" s="1" t="n">
        <v>44326</v>
      </c>
      <c r="C558" s="1" t="n">
        <v>45750</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22412-2021</t>
        </is>
      </c>
      <c r="B559" s="1" t="n">
        <v>44326</v>
      </c>
      <c r="C559" s="1" t="n">
        <v>45750</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45750</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23096-2021</t>
        </is>
      </c>
      <c r="B561" s="1" t="n">
        <v>44330</v>
      </c>
      <c r="C561" s="1" t="n">
        <v>45750</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23122-2021</t>
        </is>
      </c>
      <c r="B562" s="1" t="n">
        <v>44330</v>
      </c>
      <c r="C562" s="1" t="n">
        <v>45750</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23453-2021</t>
        </is>
      </c>
      <c r="B563" s="1" t="n">
        <v>44333</v>
      </c>
      <c r="C563" s="1" t="n">
        <v>45750</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24082-2021</t>
        </is>
      </c>
      <c r="B564" s="1" t="n">
        <v>44336</v>
      </c>
      <c r="C564" s="1" t="n">
        <v>45750</v>
      </c>
      <c r="D564" t="inlineStr">
        <is>
          <t>STOCKHOLMS LÄN</t>
        </is>
      </c>
      <c r="E564" t="inlineStr">
        <is>
          <t>NORRTÄLJE</t>
        </is>
      </c>
      <c r="G564" t="n">
        <v>6.8</v>
      </c>
      <c r="H564" t="n">
        <v>0</v>
      </c>
      <c r="I564" t="n">
        <v>0</v>
      </c>
      <c r="J564" t="n">
        <v>0</v>
      </c>
      <c r="K564" t="n">
        <v>0</v>
      </c>
      <c r="L564" t="n">
        <v>0</v>
      </c>
      <c r="M564" t="n">
        <v>0</v>
      </c>
      <c r="N564" t="n">
        <v>0</v>
      </c>
      <c r="O564" t="n">
        <v>0</v>
      </c>
      <c r="P564" t="n">
        <v>0</v>
      </c>
      <c r="Q564" t="n">
        <v>0</v>
      </c>
      <c r="R564" s="2" t="inlineStr"/>
    </row>
    <row r="565" ht="15" customHeight="1">
      <c r="A565" t="inlineStr">
        <is>
          <t>A 25463-2021</t>
        </is>
      </c>
      <c r="B565" s="1" t="n">
        <v>44342</v>
      </c>
      <c r="C565" s="1" t="n">
        <v>45750</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27217-2021</t>
        </is>
      </c>
      <c r="B566" s="1" t="n">
        <v>44350</v>
      </c>
      <c r="C566" s="1" t="n">
        <v>45750</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27214-2021</t>
        </is>
      </c>
      <c r="B567" s="1" t="n">
        <v>44350</v>
      </c>
      <c r="C567" s="1" t="n">
        <v>45750</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29357-2021</t>
        </is>
      </c>
      <c r="B568" s="1" t="n">
        <v>44361</v>
      </c>
      <c r="C568" s="1" t="n">
        <v>45750</v>
      </c>
      <c r="D568" t="inlineStr">
        <is>
          <t>STOCKHOLMS LÄN</t>
        </is>
      </c>
      <c r="E568" t="inlineStr">
        <is>
          <t>NORRTÄLJE</t>
        </is>
      </c>
      <c r="F568" t="inlineStr">
        <is>
          <t>Holmen skog AB</t>
        </is>
      </c>
      <c r="G568" t="n">
        <v>1.8</v>
      </c>
      <c r="H568" t="n">
        <v>0</v>
      </c>
      <c r="I568" t="n">
        <v>0</v>
      </c>
      <c r="J568" t="n">
        <v>0</v>
      </c>
      <c r="K568" t="n">
        <v>0</v>
      </c>
      <c r="L568" t="n">
        <v>0</v>
      </c>
      <c r="M568" t="n">
        <v>0</v>
      </c>
      <c r="N568" t="n">
        <v>0</v>
      </c>
      <c r="O568" t="n">
        <v>0</v>
      </c>
      <c r="P568" t="n">
        <v>0</v>
      </c>
      <c r="Q568" t="n">
        <v>0</v>
      </c>
      <c r="R568" s="2" t="inlineStr"/>
    </row>
    <row r="569" ht="15" customHeight="1">
      <c r="A569" t="inlineStr">
        <is>
          <t>A 29680-2021</t>
        </is>
      </c>
      <c r="B569" s="1" t="n">
        <v>44362</v>
      </c>
      <c r="C569" s="1" t="n">
        <v>45750</v>
      </c>
      <c r="D569" t="inlineStr">
        <is>
          <t>STOCKHOLMS LÄN</t>
        </is>
      </c>
      <c r="E569" t="inlineStr">
        <is>
          <t>NORRTÄLJE</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29684-2021</t>
        </is>
      </c>
      <c r="B570" s="1" t="n">
        <v>44362</v>
      </c>
      <c r="C570" s="1" t="n">
        <v>45750</v>
      </c>
      <c r="D570" t="inlineStr">
        <is>
          <t>STOCKHOLMS LÄN</t>
        </is>
      </c>
      <c r="E570" t="inlineStr">
        <is>
          <t>NORRTÄLJE</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30129-2021</t>
        </is>
      </c>
      <c r="B571" s="1" t="n">
        <v>44363</v>
      </c>
      <c r="C571" s="1" t="n">
        <v>45750</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31688-2021</t>
        </is>
      </c>
      <c r="B572" s="1" t="n">
        <v>44369</v>
      </c>
      <c r="C572" s="1" t="n">
        <v>45750</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32002-2021</t>
        </is>
      </c>
      <c r="B573" s="1" t="n">
        <v>44370</v>
      </c>
      <c r="C573" s="1" t="n">
        <v>45750</v>
      </c>
      <c r="D573" t="inlineStr">
        <is>
          <t>STOCKHOLMS LÄN</t>
        </is>
      </c>
      <c r="E573" t="inlineStr">
        <is>
          <t>NORRTÄLJE</t>
        </is>
      </c>
      <c r="F573" t="inlineStr">
        <is>
          <t>Övriga Aktiebolag</t>
        </is>
      </c>
      <c r="G573" t="n">
        <v>4</v>
      </c>
      <c r="H573" t="n">
        <v>0</v>
      </c>
      <c r="I573" t="n">
        <v>0</v>
      </c>
      <c r="J573" t="n">
        <v>0</v>
      </c>
      <c r="K573" t="n">
        <v>0</v>
      </c>
      <c r="L573" t="n">
        <v>0</v>
      </c>
      <c r="M573" t="n">
        <v>0</v>
      </c>
      <c r="N573" t="n">
        <v>0</v>
      </c>
      <c r="O573" t="n">
        <v>0</v>
      </c>
      <c r="P573" t="n">
        <v>0</v>
      </c>
      <c r="Q573" t="n">
        <v>0</v>
      </c>
      <c r="R573" s="2" t="inlineStr"/>
    </row>
    <row r="574" ht="15" customHeight="1">
      <c r="A574" t="inlineStr">
        <is>
          <t>A 32051-2021</t>
        </is>
      </c>
      <c r="B574" s="1" t="n">
        <v>44370</v>
      </c>
      <c r="C574" s="1" t="n">
        <v>45750</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32055-2021</t>
        </is>
      </c>
      <c r="B575" s="1" t="n">
        <v>44370</v>
      </c>
      <c r="C575" s="1" t="n">
        <v>45750</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32561-2021</t>
        </is>
      </c>
      <c r="B576" s="1" t="n">
        <v>44375</v>
      </c>
      <c r="C576" s="1" t="n">
        <v>45750</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32857-2021</t>
        </is>
      </c>
      <c r="B577" s="1" t="n">
        <v>44375</v>
      </c>
      <c r="C577" s="1" t="n">
        <v>45750</v>
      </c>
      <c r="D577" t="inlineStr">
        <is>
          <t>STOCKHOLMS LÄN</t>
        </is>
      </c>
      <c r="E577" t="inlineStr">
        <is>
          <t>NORRTÄLJE</t>
        </is>
      </c>
      <c r="G577" t="n">
        <v>2.9</v>
      </c>
      <c r="H577" t="n">
        <v>0</v>
      </c>
      <c r="I577" t="n">
        <v>0</v>
      </c>
      <c r="J577" t="n">
        <v>0</v>
      </c>
      <c r="K577" t="n">
        <v>0</v>
      </c>
      <c r="L577" t="n">
        <v>0</v>
      </c>
      <c r="M577" t="n">
        <v>0</v>
      </c>
      <c r="N577" t="n">
        <v>0</v>
      </c>
      <c r="O577" t="n">
        <v>0</v>
      </c>
      <c r="P577" t="n">
        <v>0</v>
      </c>
      <c r="Q577" t="n">
        <v>0</v>
      </c>
      <c r="R577" s="2" t="inlineStr"/>
    </row>
    <row r="578" ht="15" customHeight="1">
      <c r="A578" t="inlineStr">
        <is>
          <t>A 33053-2021</t>
        </is>
      </c>
      <c r="B578" s="1" t="n">
        <v>44376</v>
      </c>
      <c r="C578" s="1" t="n">
        <v>45750</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33046-2021</t>
        </is>
      </c>
      <c r="B579" s="1" t="n">
        <v>44376</v>
      </c>
      <c r="C579" s="1" t="n">
        <v>45750</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33040-2021</t>
        </is>
      </c>
      <c r="B580" s="1" t="n">
        <v>44376</v>
      </c>
      <c r="C580" s="1" t="n">
        <v>45750</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34520-2021</t>
        </is>
      </c>
      <c r="B581" s="1" t="n">
        <v>44379</v>
      </c>
      <c r="C581" s="1" t="n">
        <v>45750</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34432-2021</t>
        </is>
      </c>
      <c r="B582" s="1" t="n">
        <v>44380</v>
      </c>
      <c r="C582" s="1" t="n">
        <v>45750</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34431-2021</t>
        </is>
      </c>
      <c r="B583" s="1" t="n">
        <v>44380</v>
      </c>
      <c r="C583" s="1" t="n">
        <v>45750</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34436-2021</t>
        </is>
      </c>
      <c r="B584" s="1" t="n">
        <v>44380</v>
      </c>
      <c r="C584" s="1" t="n">
        <v>45750</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34731-2021</t>
        </is>
      </c>
      <c r="B585" s="1" t="n">
        <v>44382</v>
      </c>
      <c r="C585" s="1" t="n">
        <v>45750</v>
      </c>
      <c r="D585" t="inlineStr">
        <is>
          <t>STOCKHOLMS LÄN</t>
        </is>
      </c>
      <c r="E585" t="inlineStr">
        <is>
          <t>NORRTÄLJE</t>
        </is>
      </c>
      <c r="G585" t="n">
        <v>0.2</v>
      </c>
      <c r="H585" t="n">
        <v>0</v>
      </c>
      <c r="I585" t="n">
        <v>0</v>
      </c>
      <c r="J585" t="n">
        <v>0</v>
      </c>
      <c r="K585" t="n">
        <v>0</v>
      </c>
      <c r="L585" t="n">
        <v>0</v>
      </c>
      <c r="M585" t="n">
        <v>0</v>
      </c>
      <c r="N585" t="n">
        <v>0</v>
      </c>
      <c r="O585" t="n">
        <v>0</v>
      </c>
      <c r="P585" t="n">
        <v>0</v>
      </c>
      <c r="Q585" t="n">
        <v>0</v>
      </c>
      <c r="R585" s="2" t="inlineStr"/>
    </row>
    <row r="586" ht="15" customHeight="1">
      <c r="A586" t="inlineStr">
        <is>
          <t>A 34792-2021</t>
        </is>
      </c>
      <c r="B586" s="1" t="n">
        <v>44383</v>
      </c>
      <c r="C586" s="1" t="n">
        <v>45750</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36246-2021</t>
        </is>
      </c>
      <c r="B587" s="1" t="n">
        <v>44390</v>
      </c>
      <c r="C587" s="1" t="n">
        <v>45750</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36565-2021</t>
        </is>
      </c>
      <c r="B588" s="1" t="n">
        <v>44391</v>
      </c>
      <c r="C588" s="1" t="n">
        <v>45750</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37085-2021</t>
        </is>
      </c>
      <c r="B589" s="1" t="n">
        <v>44395</v>
      </c>
      <c r="C589" s="1" t="n">
        <v>45750</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37344-2021</t>
        </is>
      </c>
      <c r="B590" s="1" t="n">
        <v>44397</v>
      </c>
      <c r="C590" s="1" t="n">
        <v>45750</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37415-2021</t>
        </is>
      </c>
      <c r="B591" s="1" t="n">
        <v>44397</v>
      </c>
      <c r="C591" s="1" t="n">
        <v>45750</v>
      </c>
      <c r="D591" t="inlineStr">
        <is>
          <t>STOCKHOLMS LÄN</t>
        </is>
      </c>
      <c r="E591" t="inlineStr">
        <is>
          <t>NORRTÄLJE</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37444-2021</t>
        </is>
      </c>
      <c r="B592" s="1" t="n">
        <v>44398</v>
      </c>
      <c r="C592" s="1" t="n">
        <v>45750</v>
      </c>
      <c r="D592" t="inlineStr">
        <is>
          <t>STOCKHOLMS LÄN</t>
        </is>
      </c>
      <c r="E592" t="inlineStr">
        <is>
          <t>NORRTÄLJE</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37462-2021</t>
        </is>
      </c>
      <c r="B593" s="1" t="n">
        <v>44398</v>
      </c>
      <c r="C593" s="1" t="n">
        <v>45750</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37530-2021</t>
        </is>
      </c>
      <c r="B594" s="1" t="n">
        <v>44399</v>
      </c>
      <c r="C594" s="1" t="n">
        <v>45750</v>
      </c>
      <c r="D594" t="inlineStr">
        <is>
          <t>STOCKHOLMS LÄN</t>
        </is>
      </c>
      <c r="E594" t="inlineStr">
        <is>
          <t>NORRTÄLJE</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37522-2021</t>
        </is>
      </c>
      <c r="B595" s="1" t="n">
        <v>44399</v>
      </c>
      <c r="C595" s="1" t="n">
        <v>45750</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37525-2021</t>
        </is>
      </c>
      <c r="B596" s="1" t="n">
        <v>44399</v>
      </c>
      <c r="C596" s="1" t="n">
        <v>45750</v>
      </c>
      <c r="D596" t="inlineStr">
        <is>
          <t>STOCKHOLMS LÄN</t>
        </is>
      </c>
      <c r="E596" t="inlineStr">
        <is>
          <t>NORRTÄLJE</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37712-2021</t>
        </is>
      </c>
      <c r="B597" s="1" t="n">
        <v>44400</v>
      </c>
      <c r="C597" s="1" t="n">
        <v>45750</v>
      </c>
      <c r="D597" t="inlineStr">
        <is>
          <t>STOCKHOLMS LÄN</t>
        </is>
      </c>
      <c r="E597" t="inlineStr">
        <is>
          <t>NORRTÄLJE</t>
        </is>
      </c>
      <c r="G597" t="n">
        <v>22.9</v>
      </c>
      <c r="H597" t="n">
        <v>0</v>
      </c>
      <c r="I597" t="n">
        <v>0</v>
      </c>
      <c r="J597" t="n">
        <v>0</v>
      </c>
      <c r="K597" t="n">
        <v>0</v>
      </c>
      <c r="L597" t="n">
        <v>0</v>
      </c>
      <c r="M597" t="n">
        <v>0</v>
      </c>
      <c r="N597" t="n">
        <v>0</v>
      </c>
      <c r="O597" t="n">
        <v>0</v>
      </c>
      <c r="P597" t="n">
        <v>0</v>
      </c>
      <c r="Q597" t="n">
        <v>0</v>
      </c>
      <c r="R597" s="2" t="inlineStr"/>
    </row>
    <row r="598" ht="15" customHeight="1">
      <c r="A598" t="inlineStr">
        <is>
          <t>A 37859-2021</t>
        </is>
      </c>
      <c r="B598" s="1" t="n">
        <v>44403</v>
      </c>
      <c r="C598" s="1" t="n">
        <v>45750</v>
      </c>
      <c r="D598" t="inlineStr">
        <is>
          <t>STOCKHOLMS LÄN</t>
        </is>
      </c>
      <c r="E598" t="inlineStr">
        <is>
          <t>NORRTÄLJE</t>
        </is>
      </c>
      <c r="F598" t="inlineStr">
        <is>
          <t>Holmen skog AB</t>
        </is>
      </c>
      <c r="G598" t="n">
        <v>6.9</v>
      </c>
      <c r="H598" t="n">
        <v>0</v>
      </c>
      <c r="I598" t="n">
        <v>0</v>
      </c>
      <c r="J598" t="n">
        <v>0</v>
      </c>
      <c r="K598" t="n">
        <v>0</v>
      </c>
      <c r="L598" t="n">
        <v>0</v>
      </c>
      <c r="M598" t="n">
        <v>0</v>
      </c>
      <c r="N598" t="n">
        <v>0</v>
      </c>
      <c r="O598" t="n">
        <v>0</v>
      </c>
      <c r="P598" t="n">
        <v>0</v>
      </c>
      <c r="Q598" t="n">
        <v>0</v>
      </c>
      <c r="R598" s="2" t="inlineStr"/>
    </row>
    <row r="599" ht="15" customHeight="1">
      <c r="A599" t="inlineStr">
        <is>
          <t>A 39157-2021</t>
        </is>
      </c>
      <c r="B599" s="1" t="n">
        <v>44412</v>
      </c>
      <c r="C599" s="1" t="n">
        <v>45750</v>
      </c>
      <c r="D599" t="inlineStr">
        <is>
          <t>STOCKHOLMS LÄN</t>
        </is>
      </c>
      <c r="E599" t="inlineStr">
        <is>
          <t>NORRTÄLJE</t>
        </is>
      </c>
      <c r="G599" t="n">
        <v>3.1</v>
      </c>
      <c r="H599" t="n">
        <v>0</v>
      </c>
      <c r="I599" t="n">
        <v>0</v>
      </c>
      <c r="J599" t="n">
        <v>0</v>
      </c>
      <c r="K599" t="n">
        <v>0</v>
      </c>
      <c r="L599" t="n">
        <v>0</v>
      </c>
      <c r="M599" t="n">
        <v>0</v>
      </c>
      <c r="N599" t="n">
        <v>0</v>
      </c>
      <c r="O599" t="n">
        <v>0</v>
      </c>
      <c r="P599" t="n">
        <v>0</v>
      </c>
      <c r="Q599" t="n">
        <v>0</v>
      </c>
      <c r="R599" s="2" t="inlineStr"/>
    </row>
    <row r="600" ht="15" customHeight="1">
      <c r="A600" t="inlineStr">
        <is>
          <t>A 39496-2021</t>
        </is>
      </c>
      <c r="B600" s="1" t="n">
        <v>44414</v>
      </c>
      <c r="C600" s="1" t="n">
        <v>45750</v>
      </c>
      <c r="D600" t="inlineStr">
        <is>
          <t>STOCKHOLMS LÄN</t>
        </is>
      </c>
      <c r="E600" t="inlineStr">
        <is>
          <t>NORRTÄLJE</t>
        </is>
      </c>
      <c r="G600" t="n">
        <v>4.6</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v>
      </c>
      <c r="C601" s="1" t="n">
        <v>45750</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40425-2021</t>
        </is>
      </c>
      <c r="B602" s="1" t="n">
        <v>44419</v>
      </c>
      <c r="C602" s="1" t="n">
        <v>45750</v>
      </c>
      <c r="D602" t="inlineStr">
        <is>
          <t>STOCKHOLMS LÄN</t>
        </is>
      </c>
      <c r="E602" t="inlineStr">
        <is>
          <t>NORRTÄLJE</t>
        </is>
      </c>
      <c r="G602" t="n">
        <v>5</v>
      </c>
      <c r="H602" t="n">
        <v>0</v>
      </c>
      <c r="I602" t="n">
        <v>0</v>
      </c>
      <c r="J602" t="n">
        <v>0</v>
      </c>
      <c r="K602" t="n">
        <v>0</v>
      </c>
      <c r="L602" t="n">
        <v>0</v>
      </c>
      <c r="M602" t="n">
        <v>0</v>
      </c>
      <c r="N602" t="n">
        <v>0</v>
      </c>
      <c r="O602" t="n">
        <v>0</v>
      </c>
      <c r="P602" t="n">
        <v>0</v>
      </c>
      <c r="Q602" t="n">
        <v>0</v>
      </c>
      <c r="R602" s="2" t="inlineStr"/>
    </row>
    <row r="603" ht="15" customHeight="1">
      <c r="A603" t="inlineStr">
        <is>
          <t>A 40542-2021</t>
        </is>
      </c>
      <c r="B603" s="1" t="n">
        <v>44420</v>
      </c>
      <c r="C603" s="1" t="n">
        <v>45750</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40546-2021</t>
        </is>
      </c>
      <c r="B604" s="1" t="n">
        <v>44420</v>
      </c>
      <c r="C604" s="1" t="n">
        <v>45750</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41595-2021</t>
        </is>
      </c>
      <c r="B605" s="1" t="n">
        <v>44425</v>
      </c>
      <c r="C605" s="1" t="n">
        <v>45750</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41823-2021</t>
        </is>
      </c>
      <c r="B606" s="1" t="n">
        <v>44425</v>
      </c>
      <c r="C606" s="1" t="n">
        <v>45750</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41822-2021</t>
        </is>
      </c>
      <c r="B607" s="1" t="n">
        <v>44425</v>
      </c>
      <c r="C607" s="1" t="n">
        <v>45750</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42396-2021</t>
        </is>
      </c>
      <c r="B608" s="1" t="n">
        <v>44427</v>
      </c>
      <c r="C608" s="1" t="n">
        <v>45750</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43478-2021</t>
        </is>
      </c>
      <c r="B609" s="1" t="n">
        <v>44432</v>
      </c>
      <c r="C609" s="1" t="n">
        <v>45750</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44274-2021</t>
        </is>
      </c>
      <c r="B610" s="1" t="n">
        <v>44435</v>
      </c>
      <c r="C610" s="1" t="n">
        <v>45750</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47344-2021</t>
        </is>
      </c>
      <c r="B611" s="1" t="n">
        <v>44447</v>
      </c>
      <c r="C611" s="1" t="n">
        <v>45750</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47349-2021</t>
        </is>
      </c>
      <c r="B612" s="1" t="n">
        <v>44447</v>
      </c>
      <c r="C612" s="1" t="n">
        <v>45750</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47691-2021</t>
        </is>
      </c>
      <c r="B613" s="1" t="n">
        <v>44448</v>
      </c>
      <c r="C613" s="1" t="n">
        <v>45750</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48384-2021</t>
        </is>
      </c>
      <c r="B614" s="1" t="n">
        <v>44451</v>
      </c>
      <c r="C614" s="1" t="n">
        <v>45750</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48798-2021</t>
        </is>
      </c>
      <c r="B615" s="1" t="n">
        <v>44452</v>
      </c>
      <c r="C615" s="1" t="n">
        <v>45750</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48932-2021</t>
        </is>
      </c>
      <c r="B616" s="1" t="n">
        <v>44453</v>
      </c>
      <c r="C616" s="1" t="n">
        <v>45750</v>
      </c>
      <c r="D616" t="inlineStr">
        <is>
          <t>STOCKHOLMS LÄN</t>
        </is>
      </c>
      <c r="E616" t="inlineStr">
        <is>
          <t>NORRTÄLJE</t>
        </is>
      </c>
      <c r="G616" t="n">
        <v>11.2</v>
      </c>
      <c r="H616" t="n">
        <v>0</v>
      </c>
      <c r="I616" t="n">
        <v>0</v>
      </c>
      <c r="J616" t="n">
        <v>0</v>
      </c>
      <c r="K616" t="n">
        <v>0</v>
      </c>
      <c r="L616" t="n">
        <v>0</v>
      </c>
      <c r="M616" t="n">
        <v>0</v>
      </c>
      <c r="N616" t="n">
        <v>0</v>
      </c>
      <c r="O616" t="n">
        <v>0</v>
      </c>
      <c r="P616" t="n">
        <v>0</v>
      </c>
      <c r="Q616" t="n">
        <v>0</v>
      </c>
      <c r="R616" s="2" t="inlineStr"/>
    </row>
    <row r="617" ht="15" customHeight="1">
      <c r="A617" t="inlineStr">
        <is>
          <t>A 49113-2021</t>
        </is>
      </c>
      <c r="B617" s="1" t="n">
        <v>44453</v>
      </c>
      <c r="C617" s="1" t="n">
        <v>45750</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50038-2021</t>
        </is>
      </c>
      <c r="B618" s="1" t="n">
        <v>44456</v>
      </c>
      <c r="C618" s="1" t="n">
        <v>45750</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50108-2021</t>
        </is>
      </c>
      <c r="B619" s="1" t="n">
        <v>44456</v>
      </c>
      <c r="C619" s="1" t="n">
        <v>45750</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50252-2021</t>
        </is>
      </c>
      <c r="B620" s="1" t="n">
        <v>44458</v>
      </c>
      <c r="C620" s="1" t="n">
        <v>45750</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50602-2021</t>
        </is>
      </c>
      <c r="B621" s="1" t="n">
        <v>44459</v>
      </c>
      <c r="C621" s="1" t="n">
        <v>45750</v>
      </c>
      <c r="D621" t="inlineStr">
        <is>
          <t>STOCKHOLMS LÄN</t>
        </is>
      </c>
      <c r="E621" t="inlineStr">
        <is>
          <t>NORRTÄLJE</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51279-2021</t>
        </is>
      </c>
      <c r="B622" s="1" t="n">
        <v>44461</v>
      </c>
      <c r="C622" s="1" t="n">
        <v>45750</v>
      </c>
      <c r="D622" t="inlineStr">
        <is>
          <t>STOCKHOLMS LÄN</t>
        </is>
      </c>
      <c r="E622" t="inlineStr">
        <is>
          <t>NORRTÄLJE</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51315-2021</t>
        </is>
      </c>
      <c r="B623" s="1" t="n">
        <v>44461</v>
      </c>
      <c r="C623" s="1" t="n">
        <v>45750</v>
      </c>
      <c r="D623" t="inlineStr">
        <is>
          <t>STOCKHOLMS LÄN</t>
        </is>
      </c>
      <c r="E623" t="inlineStr">
        <is>
          <t>NORRTÄLJE</t>
        </is>
      </c>
      <c r="F623" t="inlineStr">
        <is>
          <t>Holmen skog AB</t>
        </is>
      </c>
      <c r="G623" t="n">
        <v>2.2</v>
      </c>
      <c r="H623" t="n">
        <v>0</v>
      </c>
      <c r="I623" t="n">
        <v>0</v>
      </c>
      <c r="J623" t="n">
        <v>0</v>
      </c>
      <c r="K623" t="n">
        <v>0</v>
      </c>
      <c r="L623" t="n">
        <v>0</v>
      </c>
      <c r="M623" t="n">
        <v>0</v>
      </c>
      <c r="N623" t="n">
        <v>0</v>
      </c>
      <c r="O623" t="n">
        <v>0</v>
      </c>
      <c r="P623" t="n">
        <v>0</v>
      </c>
      <c r="Q623" t="n">
        <v>0</v>
      </c>
      <c r="R623" s="2" t="inlineStr"/>
    </row>
    <row r="624" ht="15" customHeight="1">
      <c r="A624" t="inlineStr">
        <is>
          <t>A 52090-2021</t>
        </is>
      </c>
      <c r="B624" s="1" t="n">
        <v>44463</v>
      </c>
      <c r="C624" s="1" t="n">
        <v>45750</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52449-2021</t>
        </is>
      </c>
      <c r="B625" s="1" t="n">
        <v>44466</v>
      </c>
      <c r="C625" s="1" t="n">
        <v>45750</v>
      </c>
      <c r="D625" t="inlineStr">
        <is>
          <t>STOCKHOLMS LÄN</t>
        </is>
      </c>
      <c r="E625" t="inlineStr">
        <is>
          <t>NORRTÄLJE</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54276-2021</t>
        </is>
      </c>
      <c r="B626" s="1" t="n">
        <v>44470</v>
      </c>
      <c r="C626" s="1" t="n">
        <v>45750</v>
      </c>
      <c r="D626" t="inlineStr">
        <is>
          <t>STOCKHOLMS LÄN</t>
        </is>
      </c>
      <c r="E626" t="inlineStr">
        <is>
          <t>NORRTÄLJE</t>
        </is>
      </c>
      <c r="G626" t="n">
        <v>7.3</v>
      </c>
      <c r="H626" t="n">
        <v>0</v>
      </c>
      <c r="I626" t="n">
        <v>0</v>
      </c>
      <c r="J626" t="n">
        <v>0</v>
      </c>
      <c r="K626" t="n">
        <v>0</v>
      </c>
      <c r="L626" t="n">
        <v>0</v>
      </c>
      <c r="M626" t="n">
        <v>0</v>
      </c>
      <c r="N626" t="n">
        <v>0</v>
      </c>
      <c r="O626" t="n">
        <v>0</v>
      </c>
      <c r="P626" t="n">
        <v>0</v>
      </c>
      <c r="Q626" t="n">
        <v>0</v>
      </c>
      <c r="R626" s="2" t="inlineStr"/>
    </row>
    <row r="627" ht="15" customHeight="1">
      <c r="A627" t="inlineStr">
        <is>
          <t>A 54273-2021</t>
        </is>
      </c>
      <c r="B627" s="1" t="n">
        <v>44470</v>
      </c>
      <c r="C627" s="1" t="n">
        <v>45750</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54272-2021</t>
        </is>
      </c>
      <c r="B628" s="1" t="n">
        <v>44470</v>
      </c>
      <c r="C628" s="1" t="n">
        <v>45750</v>
      </c>
      <c r="D628" t="inlineStr">
        <is>
          <t>STOCKHOLMS LÄN</t>
        </is>
      </c>
      <c r="E628" t="inlineStr">
        <is>
          <t>NORRTÄLJE</t>
        </is>
      </c>
      <c r="G628" t="n">
        <v>5.8</v>
      </c>
      <c r="H628" t="n">
        <v>0</v>
      </c>
      <c r="I628" t="n">
        <v>0</v>
      </c>
      <c r="J628" t="n">
        <v>0</v>
      </c>
      <c r="K628" t="n">
        <v>0</v>
      </c>
      <c r="L628" t="n">
        <v>0</v>
      </c>
      <c r="M628" t="n">
        <v>0</v>
      </c>
      <c r="N628" t="n">
        <v>0</v>
      </c>
      <c r="O628" t="n">
        <v>0</v>
      </c>
      <c r="P628" t="n">
        <v>0</v>
      </c>
      <c r="Q628" t="n">
        <v>0</v>
      </c>
      <c r="R628" s="2" t="inlineStr"/>
    </row>
    <row r="629" ht="15" customHeight="1">
      <c r="A629" t="inlineStr">
        <is>
          <t>A 54396-2021</t>
        </is>
      </c>
      <c r="B629" s="1" t="n">
        <v>44472</v>
      </c>
      <c r="C629" s="1" t="n">
        <v>45750</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55058-2021</t>
        </is>
      </c>
      <c r="B630" s="1" t="n">
        <v>44474</v>
      </c>
      <c r="C630" s="1" t="n">
        <v>45750</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45750</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56225-2021</t>
        </is>
      </c>
      <c r="B632" s="1" t="n">
        <v>44478</v>
      </c>
      <c r="C632" s="1" t="n">
        <v>45750</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56878-2021</t>
        </is>
      </c>
      <c r="B633" s="1" t="n">
        <v>44481</v>
      </c>
      <c r="C633" s="1" t="n">
        <v>45750</v>
      </c>
      <c r="D633" t="inlineStr">
        <is>
          <t>STOCKHOLMS LÄN</t>
        </is>
      </c>
      <c r="E633" t="inlineStr">
        <is>
          <t>NORRTÄLJE</t>
        </is>
      </c>
      <c r="G633" t="n">
        <v>4.5</v>
      </c>
      <c r="H633" t="n">
        <v>0</v>
      </c>
      <c r="I633" t="n">
        <v>0</v>
      </c>
      <c r="J633" t="n">
        <v>0</v>
      </c>
      <c r="K633" t="n">
        <v>0</v>
      </c>
      <c r="L633" t="n">
        <v>0</v>
      </c>
      <c r="M633" t="n">
        <v>0</v>
      </c>
      <c r="N633" t="n">
        <v>0</v>
      </c>
      <c r="O633" t="n">
        <v>0</v>
      </c>
      <c r="P633" t="n">
        <v>0</v>
      </c>
      <c r="Q633" t="n">
        <v>0</v>
      </c>
      <c r="R633" s="2" t="inlineStr"/>
    </row>
    <row r="634" ht="15" customHeight="1">
      <c r="A634" t="inlineStr">
        <is>
          <t>A 57442-2021</t>
        </is>
      </c>
      <c r="B634" s="1" t="n">
        <v>44483</v>
      </c>
      <c r="C634" s="1" t="n">
        <v>45750</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57507-2021</t>
        </is>
      </c>
      <c r="B635" s="1" t="n">
        <v>44483</v>
      </c>
      <c r="C635" s="1" t="n">
        <v>45750</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58989-2021</t>
        </is>
      </c>
      <c r="B636" s="1" t="n">
        <v>44490</v>
      </c>
      <c r="C636" s="1" t="n">
        <v>45750</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58990-2021</t>
        </is>
      </c>
      <c r="B637" s="1" t="n">
        <v>44490</v>
      </c>
      <c r="C637" s="1" t="n">
        <v>45750</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60217-2021</t>
        </is>
      </c>
      <c r="B638" s="1" t="n">
        <v>44495</v>
      </c>
      <c r="C638" s="1" t="n">
        <v>45750</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60184-2021</t>
        </is>
      </c>
      <c r="B639" s="1" t="n">
        <v>44495</v>
      </c>
      <c r="C639" s="1" t="n">
        <v>45750</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60186-2021</t>
        </is>
      </c>
      <c r="B640" s="1" t="n">
        <v>44495</v>
      </c>
      <c r="C640" s="1" t="n">
        <v>45750</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60209-2021</t>
        </is>
      </c>
      <c r="B641" s="1" t="n">
        <v>44495</v>
      </c>
      <c r="C641" s="1" t="n">
        <v>45750</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60671-2021</t>
        </is>
      </c>
      <c r="B642" s="1" t="n">
        <v>44496</v>
      </c>
      <c r="C642" s="1" t="n">
        <v>45750</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60733-2021</t>
        </is>
      </c>
      <c r="B643" s="1" t="n">
        <v>44496</v>
      </c>
      <c r="C643" s="1" t="n">
        <v>45750</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60813-2021</t>
        </is>
      </c>
      <c r="B644" s="1" t="n">
        <v>44496</v>
      </c>
      <c r="C644" s="1" t="n">
        <v>45750</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60822-2021</t>
        </is>
      </c>
      <c r="B645" s="1" t="n">
        <v>44496</v>
      </c>
      <c r="C645" s="1" t="n">
        <v>45750</v>
      </c>
      <c r="D645" t="inlineStr">
        <is>
          <t>STOCKHOLMS LÄN</t>
        </is>
      </c>
      <c r="E645" t="inlineStr">
        <is>
          <t>NORRTÄLJE</t>
        </is>
      </c>
      <c r="G645" t="n">
        <v>7.6</v>
      </c>
      <c r="H645" t="n">
        <v>0</v>
      </c>
      <c r="I645" t="n">
        <v>0</v>
      </c>
      <c r="J645" t="n">
        <v>0</v>
      </c>
      <c r="K645" t="n">
        <v>0</v>
      </c>
      <c r="L645" t="n">
        <v>0</v>
      </c>
      <c r="M645" t="n">
        <v>0</v>
      </c>
      <c r="N645" t="n">
        <v>0</v>
      </c>
      <c r="O645" t="n">
        <v>0</v>
      </c>
      <c r="P645" t="n">
        <v>0</v>
      </c>
      <c r="Q645" t="n">
        <v>0</v>
      </c>
      <c r="R645" s="2" t="inlineStr"/>
    </row>
    <row r="646" ht="15" customHeight="1">
      <c r="A646" t="inlineStr">
        <is>
          <t>A 62030-2021</t>
        </is>
      </c>
      <c r="B646" s="1" t="n">
        <v>44502</v>
      </c>
      <c r="C646" s="1" t="n">
        <v>45750</v>
      </c>
      <c r="D646" t="inlineStr">
        <is>
          <t>STOCKHOLMS LÄN</t>
        </is>
      </c>
      <c r="E646" t="inlineStr">
        <is>
          <t>NORRTÄLJE</t>
        </is>
      </c>
      <c r="G646" t="n">
        <v>4.7</v>
      </c>
      <c r="H646" t="n">
        <v>0</v>
      </c>
      <c r="I646" t="n">
        <v>0</v>
      </c>
      <c r="J646" t="n">
        <v>0</v>
      </c>
      <c r="K646" t="n">
        <v>0</v>
      </c>
      <c r="L646" t="n">
        <v>0</v>
      </c>
      <c r="M646" t="n">
        <v>0</v>
      </c>
      <c r="N646" t="n">
        <v>0</v>
      </c>
      <c r="O646" t="n">
        <v>0</v>
      </c>
      <c r="P646" t="n">
        <v>0</v>
      </c>
      <c r="Q646" t="n">
        <v>0</v>
      </c>
      <c r="R646" s="2" t="inlineStr"/>
    </row>
    <row r="647" ht="15" customHeight="1">
      <c r="A647" t="inlineStr">
        <is>
          <t>A 63530-2021</t>
        </is>
      </c>
      <c r="B647" s="1" t="n">
        <v>44508</v>
      </c>
      <c r="C647" s="1" t="n">
        <v>45750</v>
      </c>
      <c r="D647" t="inlineStr">
        <is>
          <t>STOCKHOLMS LÄN</t>
        </is>
      </c>
      <c r="E647" t="inlineStr">
        <is>
          <t>NORRTÄLJE</t>
        </is>
      </c>
      <c r="G647" t="n">
        <v>8.9</v>
      </c>
      <c r="H647" t="n">
        <v>0</v>
      </c>
      <c r="I647" t="n">
        <v>0</v>
      </c>
      <c r="J647" t="n">
        <v>0</v>
      </c>
      <c r="K647" t="n">
        <v>0</v>
      </c>
      <c r="L647" t="n">
        <v>0</v>
      </c>
      <c r="M647" t="n">
        <v>0</v>
      </c>
      <c r="N647" t="n">
        <v>0</v>
      </c>
      <c r="O647" t="n">
        <v>0</v>
      </c>
      <c r="P647" t="n">
        <v>0</v>
      </c>
      <c r="Q647" t="n">
        <v>0</v>
      </c>
      <c r="R647" s="2" t="inlineStr"/>
    </row>
    <row r="648" ht="15" customHeight="1">
      <c r="A648" t="inlineStr">
        <is>
          <t>A 64137-2021</t>
        </is>
      </c>
      <c r="B648" s="1" t="n">
        <v>44510</v>
      </c>
      <c r="C648" s="1" t="n">
        <v>45750</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64212-2021</t>
        </is>
      </c>
      <c r="B649" s="1" t="n">
        <v>44510</v>
      </c>
      <c r="C649" s="1" t="n">
        <v>45750</v>
      </c>
      <c r="D649" t="inlineStr">
        <is>
          <t>STOCKHOLMS LÄN</t>
        </is>
      </c>
      <c r="E649" t="inlineStr">
        <is>
          <t>NORRTÄLJE</t>
        </is>
      </c>
      <c r="G649" t="n">
        <v>28.7</v>
      </c>
      <c r="H649" t="n">
        <v>0</v>
      </c>
      <c r="I649" t="n">
        <v>0</v>
      </c>
      <c r="J649" t="n">
        <v>0</v>
      </c>
      <c r="K649" t="n">
        <v>0</v>
      </c>
      <c r="L649" t="n">
        <v>0</v>
      </c>
      <c r="M649" t="n">
        <v>0</v>
      </c>
      <c r="N649" t="n">
        <v>0</v>
      </c>
      <c r="O649" t="n">
        <v>0</v>
      </c>
      <c r="P649" t="n">
        <v>0</v>
      </c>
      <c r="Q649" t="n">
        <v>0</v>
      </c>
      <c r="R649" s="2" t="inlineStr"/>
    </row>
    <row r="650" ht="15" customHeight="1">
      <c r="A650" t="inlineStr">
        <is>
          <t>A 64074-2021</t>
        </is>
      </c>
      <c r="B650" s="1" t="n">
        <v>44510</v>
      </c>
      <c r="C650" s="1" t="n">
        <v>45750</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64145-2021</t>
        </is>
      </c>
      <c r="B651" s="1" t="n">
        <v>44510</v>
      </c>
      <c r="C651" s="1" t="n">
        <v>45750</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64600-2021</t>
        </is>
      </c>
      <c r="B652" s="1" t="n">
        <v>44511</v>
      </c>
      <c r="C652" s="1" t="n">
        <v>45750</v>
      </c>
      <c r="D652" t="inlineStr">
        <is>
          <t>STOCKHOLMS LÄN</t>
        </is>
      </c>
      <c r="E652" t="inlineStr">
        <is>
          <t>NORRTÄLJE</t>
        </is>
      </c>
      <c r="G652" t="n">
        <v>6.2</v>
      </c>
      <c r="H652" t="n">
        <v>0</v>
      </c>
      <c r="I652" t="n">
        <v>0</v>
      </c>
      <c r="J652" t="n">
        <v>0</v>
      </c>
      <c r="K652" t="n">
        <v>0</v>
      </c>
      <c r="L652" t="n">
        <v>0</v>
      </c>
      <c r="M652" t="n">
        <v>0</v>
      </c>
      <c r="N652" t="n">
        <v>0</v>
      </c>
      <c r="O652" t="n">
        <v>0</v>
      </c>
      <c r="P652" t="n">
        <v>0</v>
      </c>
      <c r="Q652" t="n">
        <v>0</v>
      </c>
      <c r="R652" s="2" t="inlineStr"/>
    </row>
    <row r="653" ht="15" customHeight="1">
      <c r="A653" t="inlineStr">
        <is>
          <t>A 64599-2021</t>
        </is>
      </c>
      <c r="B653" s="1" t="n">
        <v>44511</v>
      </c>
      <c r="C653" s="1" t="n">
        <v>45750</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64628-2021</t>
        </is>
      </c>
      <c r="B654" s="1" t="n">
        <v>44511</v>
      </c>
      <c r="C654" s="1" t="n">
        <v>45750</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64915-2021</t>
        </is>
      </c>
      <c r="B655" s="1" t="n">
        <v>44512</v>
      </c>
      <c r="C655" s="1" t="n">
        <v>45750</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65359-2021</t>
        </is>
      </c>
      <c r="B656" s="1" t="n">
        <v>44515</v>
      </c>
      <c r="C656" s="1" t="n">
        <v>45750</v>
      </c>
      <c r="D656" t="inlineStr">
        <is>
          <t>STOCKHOLMS LÄN</t>
        </is>
      </c>
      <c r="E656" t="inlineStr">
        <is>
          <t>NORRTÄLJE</t>
        </is>
      </c>
      <c r="F656" t="inlineStr">
        <is>
          <t>Kyrkan</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65499-2021</t>
        </is>
      </c>
      <c r="B657" s="1" t="n">
        <v>44516</v>
      </c>
      <c r="C657" s="1" t="n">
        <v>45750</v>
      </c>
      <c r="D657" t="inlineStr">
        <is>
          <t>STOCKHOLMS LÄN</t>
        </is>
      </c>
      <c r="E657" t="inlineStr">
        <is>
          <t>NORRTÄLJE</t>
        </is>
      </c>
      <c r="F657" t="inlineStr">
        <is>
          <t>Kommuner</t>
        </is>
      </c>
      <c r="G657" t="n">
        <v>5.2</v>
      </c>
      <c r="H657" t="n">
        <v>0</v>
      </c>
      <c r="I657" t="n">
        <v>0</v>
      </c>
      <c r="J657" t="n">
        <v>0</v>
      </c>
      <c r="K657" t="n">
        <v>0</v>
      </c>
      <c r="L657" t="n">
        <v>0</v>
      </c>
      <c r="M657" t="n">
        <v>0</v>
      </c>
      <c r="N657" t="n">
        <v>0</v>
      </c>
      <c r="O657" t="n">
        <v>0</v>
      </c>
      <c r="P657" t="n">
        <v>0</v>
      </c>
      <c r="Q657" t="n">
        <v>0</v>
      </c>
      <c r="R657" s="2" t="inlineStr"/>
    </row>
    <row r="658" ht="15" customHeight="1">
      <c r="A658" t="inlineStr">
        <is>
          <t>A 65513-2021</t>
        </is>
      </c>
      <c r="B658" s="1" t="n">
        <v>44516</v>
      </c>
      <c r="C658" s="1" t="n">
        <v>45750</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65511-2021</t>
        </is>
      </c>
      <c r="B659" s="1" t="n">
        <v>44516</v>
      </c>
      <c r="C659" s="1" t="n">
        <v>45750</v>
      </c>
      <c r="D659" t="inlineStr">
        <is>
          <t>STOCKHOLMS LÄN</t>
        </is>
      </c>
      <c r="E659" t="inlineStr">
        <is>
          <t>NORRTÄLJE</t>
        </is>
      </c>
      <c r="F659" t="inlineStr">
        <is>
          <t>Kommuner</t>
        </is>
      </c>
      <c r="G659" t="n">
        <v>2.8</v>
      </c>
      <c r="H659" t="n">
        <v>0</v>
      </c>
      <c r="I659" t="n">
        <v>0</v>
      </c>
      <c r="J659" t="n">
        <v>0</v>
      </c>
      <c r="K659" t="n">
        <v>0</v>
      </c>
      <c r="L659" t="n">
        <v>0</v>
      </c>
      <c r="M659" t="n">
        <v>0</v>
      </c>
      <c r="N659" t="n">
        <v>0</v>
      </c>
      <c r="O659" t="n">
        <v>0</v>
      </c>
      <c r="P659" t="n">
        <v>0</v>
      </c>
      <c r="Q659" t="n">
        <v>0</v>
      </c>
      <c r="R659" s="2" t="inlineStr"/>
    </row>
    <row r="660" ht="15" customHeight="1">
      <c r="A660" t="inlineStr">
        <is>
          <t>A 65501-2021</t>
        </is>
      </c>
      <c r="B660" s="1" t="n">
        <v>44516</v>
      </c>
      <c r="C660" s="1" t="n">
        <v>45750</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65509-2021</t>
        </is>
      </c>
      <c r="B661" s="1" t="n">
        <v>44516</v>
      </c>
      <c r="C661" s="1" t="n">
        <v>45750</v>
      </c>
      <c r="D661" t="inlineStr">
        <is>
          <t>STOCKHOLMS LÄN</t>
        </is>
      </c>
      <c r="E661" t="inlineStr">
        <is>
          <t>NORRTÄLJE</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65611-2021</t>
        </is>
      </c>
      <c r="B662" s="1" t="n">
        <v>44516</v>
      </c>
      <c r="C662" s="1" t="n">
        <v>45750</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65737-2021</t>
        </is>
      </c>
      <c r="B663" s="1" t="n">
        <v>44516</v>
      </c>
      <c r="C663" s="1" t="n">
        <v>45750</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66450-2021</t>
        </is>
      </c>
      <c r="B664" s="1" t="n">
        <v>44518</v>
      </c>
      <c r="C664" s="1" t="n">
        <v>45750</v>
      </c>
      <c r="D664" t="inlineStr">
        <is>
          <t>STOCKHOLMS LÄN</t>
        </is>
      </c>
      <c r="E664" t="inlineStr">
        <is>
          <t>NORRTÄLJE</t>
        </is>
      </c>
      <c r="G664" t="n">
        <v>9.1</v>
      </c>
      <c r="H664" t="n">
        <v>0</v>
      </c>
      <c r="I664" t="n">
        <v>0</v>
      </c>
      <c r="J664" t="n">
        <v>0</v>
      </c>
      <c r="K664" t="n">
        <v>0</v>
      </c>
      <c r="L664" t="n">
        <v>0</v>
      </c>
      <c r="M664" t="n">
        <v>0</v>
      </c>
      <c r="N664" t="n">
        <v>0</v>
      </c>
      <c r="O664" t="n">
        <v>0</v>
      </c>
      <c r="P664" t="n">
        <v>0</v>
      </c>
      <c r="Q664" t="n">
        <v>0</v>
      </c>
      <c r="R664" s="2" t="inlineStr"/>
    </row>
    <row r="665" ht="15" customHeight="1">
      <c r="A665" t="inlineStr">
        <is>
          <t>A 66608-2021</t>
        </is>
      </c>
      <c r="B665" s="1" t="n">
        <v>44519</v>
      </c>
      <c r="C665" s="1" t="n">
        <v>45750</v>
      </c>
      <c r="D665" t="inlineStr">
        <is>
          <t>STOCKHOLMS LÄN</t>
        </is>
      </c>
      <c r="E665" t="inlineStr">
        <is>
          <t>NORRTÄLJE</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66592-2021</t>
        </is>
      </c>
      <c r="B666" s="1" t="n">
        <v>44519</v>
      </c>
      <c r="C666" s="1" t="n">
        <v>45750</v>
      </c>
      <c r="D666" t="inlineStr">
        <is>
          <t>STOCKHOLMS LÄN</t>
        </is>
      </c>
      <c r="E666" t="inlineStr">
        <is>
          <t>NORRTÄLJE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66769-2021</t>
        </is>
      </c>
      <c r="B667" s="1" t="n">
        <v>44521</v>
      </c>
      <c r="C667" s="1" t="n">
        <v>45750</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67285-2021</t>
        </is>
      </c>
      <c r="B668" s="1" t="n">
        <v>44523</v>
      </c>
      <c r="C668" s="1" t="n">
        <v>45750</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67525-2021</t>
        </is>
      </c>
      <c r="B669" s="1" t="n">
        <v>44524</v>
      </c>
      <c r="C669" s="1" t="n">
        <v>45750</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67598-2021</t>
        </is>
      </c>
      <c r="B670" s="1" t="n">
        <v>44524</v>
      </c>
      <c r="C670" s="1" t="n">
        <v>45750</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67921-2021</t>
        </is>
      </c>
      <c r="B671" s="1" t="n">
        <v>44525</v>
      </c>
      <c r="C671" s="1" t="n">
        <v>45750</v>
      </c>
      <c r="D671" t="inlineStr">
        <is>
          <t>STOCKHOLMS LÄN</t>
        </is>
      </c>
      <c r="E671" t="inlineStr">
        <is>
          <t>NORRTÄLJE</t>
        </is>
      </c>
      <c r="G671" t="n">
        <v>6.3</v>
      </c>
      <c r="H671" t="n">
        <v>0</v>
      </c>
      <c r="I671" t="n">
        <v>0</v>
      </c>
      <c r="J671" t="n">
        <v>0</v>
      </c>
      <c r="K671" t="n">
        <v>0</v>
      </c>
      <c r="L671" t="n">
        <v>0</v>
      </c>
      <c r="M671" t="n">
        <v>0</v>
      </c>
      <c r="N671" t="n">
        <v>0</v>
      </c>
      <c r="O671" t="n">
        <v>0</v>
      </c>
      <c r="P671" t="n">
        <v>0</v>
      </c>
      <c r="Q671" t="n">
        <v>0</v>
      </c>
      <c r="R671" s="2" t="inlineStr"/>
    </row>
    <row r="672" ht="15" customHeight="1">
      <c r="A672" t="inlineStr">
        <is>
          <t>A 67990-2021</t>
        </is>
      </c>
      <c r="B672" s="1" t="n">
        <v>44525</v>
      </c>
      <c r="C672" s="1" t="n">
        <v>45750</v>
      </c>
      <c r="D672" t="inlineStr">
        <is>
          <t>STOCKHOLMS LÄN</t>
        </is>
      </c>
      <c r="E672" t="inlineStr">
        <is>
          <t>NORRTÄLJE</t>
        </is>
      </c>
      <c r="F672" t="inlineStr">
        <is>
          <t>Sveaskog</t>
        </is>
      </c>
      <c r="G672" t="n">
        <v>7.8</v>
      </c>
      <c r="H672" t="n">
        <v>0</v>
      </c>
      <c r="I672" t="n">
        <v>0</v>
      </c>
      <c r="J672" t="n">
        <v>0</v>
      </c>
      <c r="K672" t="n">
        <v>0</v>
      </c>
      <c r="L672" t="n">
        <v>0</v>
      </c>
      <c r="M672" t="n">
        <v>0</v>
      </c>
      <c r="N672" t="n">
        <v>0</v>
      </c>
      <c r="O672" t="n">
        <v>0</v>
      </c>
      <c r="P672" t="n">
        <v>0</v>
      </c>
      <c r="Q672" t="n">
        <v>0</v>
      </c>
      <c r="R672" s="2" t="inlineStr"/>
    </row>
    <row r="673" ht="15" customHeight="1">
      <c r="A673" t="inlineStr">
        <is>
          <t>A 67992-2021</t>
        </is>
      </c>
      <c r="B673" s="1" t="n">
        <v>44525</v>
      </c>
      <c r="C673" s="1" t="n">
        <v>45750</v>
      </c>
      <c r="D673" t="inlineStr">
        <is>
          <t>STOCKHOLMS LÄN</t>
        </is>
      </c>
      <c r="E673" t="inlineStr">
        <is>
          <t>NORRTÄLJE</t>
        </is>
      </c>
      <c r="F673" t="inlineStr">
        <is>
          <t>Sveaskog</t>
        </is>
      </c>
      <c r="G673" t="n">
        <v>4.6</v>
      </c>
      <c r="H673" t="n">
        <v>0</v>
      </c>
      <c r="I673" t="n">
        <v>0</v>
      </c>
      <c r="J673" t="n">
        <v>0</v>
      </c>
      <c r="K673" t="n">
        <v>0</v>
      </c>
      <c r="L673" t="n">
        <v>0</v>
      </c>
      <c r="M673" t="n">
        <v>0</v>
      </c>
      <c r="N673" t="n">
        <v>0</v>
      </c>
      <c r="O673" t="n">
        <v>0</v>
      </c>
      <c r="P673" t="n">
        <v>0</v>
      </c>
      <c r="Q673" t="n">
        <v>0</v>
      </c>
      <c r="R673" s="2" t="inlineStr"/>
    </row>
    <row r="674" ht="15" customHeight="1">
      <c r="A674" t="inlineStr">
        <is>
          <t>A 67993-2021</t>
        </is>
      </c>
      <c r="B674" s="1" t="n">
        <v>44525</v>
      </c>
      <c r="C674" s="1" t="n">
        <v>45750</v>
      </c>
      <c r="D674" t="inlineStr">
        <is>
          <t>STOCKHOLMS LÄN</t>
        </is>
      </c>
      <c r="E674" t="inlineStr">
        <is>
          <t>NORRTÄLJE</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68273-2021</t>
        </is>
      </c>
      <c r="B675" s="1" t="n">
        <v>44526</v>
      </c>
      <c r="C675" s="1" t="n">
        <v>45750</v>
      </c>
      <c r="D675" t="inlineStr">
        <is>
          <t>STOCKHOLMS LÄN</t>
        </is>
      </c>
      <c r="E675" t="inlineStr">
        <is>
          <t>NORRTÄLJE</t>
        </is>
      </c>
      <c r="G675" t="n">
        <v>5.3</v>
      </c>
      <c r="H675" t="n">
        <v>0</v>
      </c>
      <c r="I675" t="n">
        <v>0</v>
      </c>
      <c r="J675" t="n">
        <v>0</v>
      </c>
      <c r="K675" t="n">
        <v>0</v>
      </c>
      <c r="L675" t="n">
        <v>0</v>
      </c>
      <c r="M675" t="n">
        <v>0</v>
      </c>
      <c r="N675" t="n">
        <v>0</v>
      </c>
      <c r="O675" t="n">
        <v>0</v>
      </c>
      <c r="P675" t="n">
        <v>0</v>
      </c>
      <c r="Q675" t="n">
        <v>0</v>
      </c>
      <c r="R675" s="2" t="inlineStr"/>
    </row>
    <row r="676" ht="15" customHeight="1">
      <c r="A676" t="inlineStr">
        <is>
          <t>A 68361-2021</t>
        </is>
      </c>
      <c r="B676" s="1" t="n">
        <v>44528</v>
      </c>
      <c r="C676" s="1" t="n">
        <v>45750</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69034-2021</t>
        </is>
      </c>
      <c r="B677" s="1" t="n">
        <v>44529</v>
      </c>
      <c r="C677" s="1" t="n">
        <v>45750</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69539-2021</t>
        </is>
      </c>
      <c r="B678" s="1" t="n">
        <v>44531</v>
      </c>
      <c r="C678" s="1" t="n">
        <v>45750</v>
      </c>
      <c r="D678" t="inlineStr">
        <is>
          <t>STOCKHOLMS LÄN</t>
        </is>
      </c>
      <c r="E678" t="inlineStr">
        <is>
          <t>NORRTÄLJE</t>
        </is>
      </c>
      <c r="G678" t="n">
        <v>1.9</v>
      </c>
      <c r="H678" t="n">
        <v>0</v>
      </c>
      <c r="I678" t="n">
        <v>0</v>
      </c>
      <c r="J678" t="n">
        <v>0</v>
      </c>
      <c r="K678" t="n">
        <v>0</v>
      </c>
      <c r="L678" t="n">
        <v>0</v>
      </c>
      <c r="M678" t="n">
        <v>0</v>
      </c>
      <c r="N678" t="n">
        <v>0</v>
      </c>
      <c r="O678" t="n">
        <v>0</v>
      </c>
      <c r="P678" t="n">
        <v>0</v>
      </c>
      <c r="Q678" t="n">
        <v>0</v>
      </c>
      <c r="R678" s="2" t="inlineStr"/>
    </row>
    <row r="679" ht="15" customHeight="1">
      <c r="A679" t="inlineStr">
        <is>
          <t>A 69723-2021</t>
        </is>
      </c>
      <c r="B679" s="1" t="n">
        <v>44532</v>
      </c>
      <c r="C679" s="1" t="n">
        <v>45750</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69816-2021</t>
        </is>
      </c>
      <c r="B680" s="1" t="n">
        <v>44532</v>
      </c>
      <c r="C680" s="1" t="n">
        <v>45750</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70170-2021</t>
        </is>
      </c>
      <c r="B681" s="1" t="n">
        <v>44533</v>
      </c>
      <c r="C681" s="1" t="n">
        <v>45750</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69988-2021</t>
        </is>
      </c>
      <c r="B682" s="1" t="n">
        <v>44533</v>
      </c>
      <c r="C682" s="1" t="n">
        <v>45750</v>
      </c>
      <c r="D682" t="inlineStr">
        <is>
          <t>STOCKHOLMS LÄN</t>
        </is>
      </c>
      <c r="E682" t="inlineStr">
        <is>
          <t>NORRTÄLJE</t>
        </is>
      </c>
      <c r="G682" t="n">
        <v>6.3</v>
      </c>
      <c r="H682" t="n">
        <v>0</v>
      </c>
      <c r="I682" t="n">
        <v>0</v>
      </c>
      <c r="J682" t="n">
        <v>0</v>
      </c>
      <c r="K682" t="n">
        <v>0</v>
      </c>
      <c r="L682" t="n">
        <v>0</v>
      </c>
      <c r="M682" t="n">
        <v>0</v>
      </c>
      <c r="N682" t="n">
        <v>0</v>
      </c>
      <c r="O682" t="n">
        <v>0</v>
      </c>
      <c r="P682" t="n">
        <v>0</v>
      </c>
      <c r="Q682" t="n">
        <v>0</v>
      </c>
      <c r="R682" s="2" t="inlineStr"/>
    </row>
    <row r="683" ht="15" customHeight="1">
      <c r="A683" t="inlineStr">
        <is>
          <t>A 70469-2021</t>
        </is>
      </c>
      <c r="B683" s="1" t="n">
        <v>44536</v>
      </c>
      <c r="C683" s="1" t="n">
        <v>45750</v>
      </c>
      <c r="D683" t="inlineStr">
        <is>
          <t>STOCKHOLMS LÄN</t>
        </is>
      </c>
      <c r="E683" t="inlineStr">
        <is>
          <t>NORRTÄLJE</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71325-2021</t>
        </is>
      </c>
      <c r="B684" s="1" t="n">
        <v>44539</v>
      </c>
      <c r="C684" s="1" t="n">
        <v>45750</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71552-2021</t>
        </is>
      </c>
      <c r="B685" s="1" t="n">
        <v>44540</v>
      </c>
      <c r="C685" s="1" t="n">
        <v>45750</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71479-2021</t>
        </is>
      </c>
      <c r="B686" s="1" t="n">
        <v>44540</v>
      </c>
      <c r="C686" s="1" t="n">
        <v>45750</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71543-2021</t>
        </is>
      </c>
      <c r="B687" s="1" t="n">
        <v>44540</v>
      </c>
      <c r="C687" s="1" t="n">
        <v>45750</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71873-2021</t>
        </is>
      </c>
      <c r="B688" s="1" t="n">
        <v>44543</v>
      </c>
      <c r="C688" s="1" t="n">
        <v>45750</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71876-2021</t>
        </is>
      </c>
      <c r="B689" s="1" t="n">
        <v>44543</v>
      </c>
      <c r="C689" s="1" t="n">
        <v>45750</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71880-2021</t>
        </is>
      </c>
      <c r="B690" s="1" t="n">
        <v>44543</v>
      </c>
      <c r="C690" s="1" t="n">
        <v>45750</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71871-2021</t>
        </is>
      </c>
      <c r="B691" s="1" t="n">
        <v>44543</v>
      </c>
      <c r="C691" s="1" t="n">
        <v>45750</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71878-2021</t>
        </is>
      </c>
      <c r="B692" s="1" t="n">
        <v>44543</v>
      </c>
      <c r="C692" s="1" t="n">
        <v>45750</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72085-2021</t>
        </is>
      </c>
      <c r="B693" s="1" t="n">
        <v>44544</v>
      </c>
      <c r="C693" s="1" t="n">
        <v>45750</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72202-2021</t>
        </is>
      </c>
      <c r="B694" s="1" t="n">
        <v>44544</v>
      </c>
      <c r="C694" s="1" t="n">
        <v>45750</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72308-2021</t>
        </is>
      </c>
      <c r="B695" s="1" t="n">
        <v>44545</v>
      </c>
      <c r="C695" s="1" t="n">
        <v>45750</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72343-2021</t>
        </is>
      </c>
      <c r="B696" s="1" t="n">
        <v>44545</v>
      </c>
      <c r="C696" s="1" t="n">
        <v>45750</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72357-2021</t>
        </is>
      </c>
      <c r="B697" s="1" t="n">
        <v>44545</v>
      </c>
      <c r="C697" s="1" t="n">
        <v>45750</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72355-2021</t>
        </is>
      </c>
      <c r="B698" s="1" t="n">
        <v>44545</v>
      </c>
      <c r="C698" s="1" t="n">
        <v>45750</v>
      </c>
      <c r="D698" t="inlineStr">
        <is>
          <t>STOCKHOLMS LÄN</t>
        </is>
      </c>
      <c r="E698" t="inlineStr">
        <is>
          <t>NORRTÄLJE</t>
        </is>
      </c>
      <c r="G698" t="n">
        <v>3.6</v>
      </c>
      <c r="H698" t="n">
        <v>0</v>
      </c>
      <c r="I698" t="n">
        <v>0</v>
      </c>
      <c r="J698" t="n">
        <v>0</v>
      </c>
      <c r="K698" t="n">
        <v>0</v>
      </c>
      <c r="L698" t="n">
        <v>0</v>
      </c>
      <c r="M698" t="n">
        <v>0</v>
      </c>
      <c r="N698" t="n">
        <v>0</v>
      </c>
      <c r="O698" t="n">
        <v>0</v>
      </c>
      <c r="P698" t="n">
        <v>0</v>
      </c>
      <c r="Q698" t="n">
        <v>0</v>
      </c>
      <c r="R698" s="2" t="inlineStr"/>
    </row>
    <row r="699" ht="15" customHeight="1">
      <c r="A699" t="inlineStr">
        <is>
          <t>A 72353-2021</t>
        </is>
      </c>
      <c r="B699" s="1" t="n">
        <v>44545</v>
      </c>
      <c r="C699" s="1" t="n">
        <v>45750</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72747-2021</t>
        </is>
      </c>
      <c r="B700" s="1" t="n">
        <v>44546</v>
      </c>
      <c r="C700" s="1" t="n">
        <v>45750</v>
      </c>
      <c r="D700" t="inlineStr">
        <is>
          <t>STOCKHOLMS LÄN</t>
        </is>
      </c>
      <c r="E700" t="inlineStr">
        <is>
          <t>NORRTÄLJE</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72704-2021</t>
        </is>
      </c>
      <c r="B701" s="1" t="n">
        <v>44546</v>
      </c>
      <c r="C701" s="1" t="n">
        <v>45750</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72890-2021</t>
        </is>
      </c>
      <c r="B702" s="1" t="n">
        <v>44547</v>
      </c>
      <c r="C702" s="1" t="n">
        <v>45750</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73311-2021</t>
        </is>
      </c>
      <c r="B703" s="1" t="n">
        <v>44549</v>
      </c>
      <c r="C703" s="1" t="n">
        <v>45750</v>
      </c>
      <c r="D703" t="inlineStr">
        <is>
          <t>STOCKHOLMS LÄN</t>
        </is>
      </c>
      <c r="E703" t="inlineStr">
        <is>
          <t>NORRTÄLJE</t>
        </is>
      </c>
      <c r="G703" t="n">
        <v>5.2</v>
      </c>
      <c r="H703" t="n">
        <v>0</v>
      </c>
      <c r="I703" t="n">
        <v>0</v>
      </c>
      <c r="J703" t="n">
        <v>0</v>
      </c>
      <c r="K703" t="n">
        <v>0</v>
      </c>
      <c r="L703" t="n">
        <v>0</v>
      </c>
      <c r="M703" t="n">
        <v>0</v>
      </c>
      <c r="N703" t="n">
        <v>0</v>
      </c>
      <c r="O703" t="n">
        <v>0</v>
      </c>
      <c r="P703" t="n">
        <v>0</v>
      </c>
      <c r="Q703" t="n">
        <v>0</v>
      </c>
      <c r="R703" s="2" t="inlineStr"/>
    </row>
    <row r="704" ht="15" customHeight="1">
      <c r="A704" t="inlineStr">
        <is>
          <t>A 73307-2021</t>
        </is>
      </c>
      <c r="B704" s="1" t="n">
        <v>44549</v>
      </c>
      <c r="C704" s="1" t="n">
        <v>45750</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73271-2021</t>
        </is>
      </c>
      <c r="B705" s="1" t="n">
        <v>44550</v>
      </c>
      <c r="C705" s="1" t="n">
        <v>45750</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73504-2021</t>
        </is>
      </c>
      <c r="B706" s="1" t="n">
        <v>44551</v>
      </c>
      <c r="C706" s="1" t="n">
        <v>45750</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73855-2021</t>
        </is>
      </c>
      <c r="B707" s="1" t="n">
        <v>44552</v>
      </c>
      <c r="C707" s="1" t="n">
        <v>45750</v>
      </c>
      <c r="D707" t="inlineStr">
        <is>
          <t>STOCKHOLMS LÄN</t>
        </is>
      </c>
      <c r="E707" t="inlineStr">
        <is>
          <t>NORRTÄLJE</t>
        </is>
      </c>
      <c r="F707" t="inlineStr">
        <is>
          <t>Övriga Aktiebolag</t>
        </is>
      </c>
      <c r="G707" t="n">
        <v>4</v>
      </c>
      <c r="H707" t="n">
        <v>0</v>
      </c>
      <c r="I707" t="n">
        <v>0</v>
      </c>
      <c r="J707" t="n">
        <v>0</v>
      </c>
      <c r="K707" t="n">
        <v>0</v>
      </c>
      <c r="L707" t="n">
        <v>0</v>
      </c>
      <c r="M707" t="n">
        <v>0</v>
      </c>
      <c r="N707" t="n">
        <v>0</v>
      </c>
      <c r="O707" t="n">
        <v>0</v>
      </c>
      <c r="P707" t="n">
        <v>0</v>
      </c>
      <c r="Q707" t="n">
        <v>0</v>
      </c>
      <c r="R707" s="2" t="inlineStr"/>
    </row>
    <row r="708" ht="15" customHeight="1">
      <c r="A708" t="inlineStr">
        <is>
          <t>A 73992-2021</t>
        </is>
      </c>
      <c r="B708" s="1" t="n">
        <v>44556</v>
      </c>
      <c r="C708" s="1" t="n">
        <v>45750</v>
      </c>
      <c r="D708" t="inlineStr">
        <is>
          <t>STOCKHOLMS LÄN</t>
        </is>
      </c>
      <c r="E708" t="inlineStr">
        <is>
          <t>NORRTÄLJE</t>
        </is>
      </c>
      <c r="G708" t="n">
        <v>12.5</v>
      </c>
      <c r="H708" t="n">
        <v>0</v>
      </c>
      <c r="I708" t="n">
        <v>0</v>
      </c>
      <c r="J708" t="n">
        <v>0</v>
      </c>
      <c r="K708" t="n">
        <v>0</v>
      </c>
      <c r="L708" t="n">
        <v>0</v>
      </c>
      <c r="M708" t="n">
        <v>0</v>
      </c>
      <c r="N708" t="n">
        <v>0</v>
      </c>
      <c r="O708" t="n">
        <v>0</v>
      </c>
      <c r="P708" t="n">
        <v>0</v>
      </c>
      <c r="Q708" t="n">
        <v>0</v>
      </c>
      <c r="R708" s="2" t="inlineStr"/>
    </row>
    <row r="709" ht="15" customHeight="1">
      <c r="A709" t="inlineStr">
        <is>
          <t>A 73993-2021</t>
        </is>
      </c>
      <c r="B709" s="1" t="n">
        <v>44556</v>
      </c>
      <c r="C709" s="1" t="n">
        <v>45750</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74468-2021</t>
        </is>
      </c>
      <c r="B710" s="1" t="n">
        <v>44560</v>
      </c>
      <c r="C710" s="1" t="n">
        <v>45750</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185-2022</t>
        </is>
      </c>
      <c r="B711" s="1" t="n">
        <v>44564</v>
      </c>
      <c r="C711" s="1" t="n">
        <v>45750</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190-2022</t>
        </is>
      </c>
      <c r="B712" s="1" t="n">
        <v>44564</v>
      </c>
      <c r="C712" s="1" t="n">
        <v>45750</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187-2022</t>
        </is>
      </c>
      <c r="B713" s="1" t="n">
        <v>44564</v>
      </c>
      <c r="C713" s="1" t="n">
        <v>45750</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77-2022</t>
        </is>
      </c>
      <c r="B714" s="1" t="n">
        <v>44564</v>
      </c>
      <c r="C714" s="1" t="n">
        <v>45750</v>
      </c>
      <c r="D714" t="inlineStr">
        <is>
          <t>STOCKHOLMS LÄN</t>
        </is>
      </c>
      <c r="E714" t="inlineStr">
        <is>
          <t>NORRTÄLJE</t>
        </is>
      </c>
      <c r="G714" t="n">
        <v>4.1</v>
      </c>
      <c r="H714" t="n">
        <v>0</v>
      </c>
      <c r="I714" t="n">
        <v>0</v>
      </c>
      <c r="J714" t="n">
        <v>0</v>
      </c>
      <c r="K714" t="n">
        <v>0</v>
      </c>
      <c r="L714" t="n">
        <v>0</v>
      </c>
      <c r="M714" t="n">
        <v>0</v>
      </c>
      <c r="N714" t="n">
        <v>0</v>
      </c>
      <c r="O714" t="n">
        <v>0</v>
      </c>
      <c r="P714" t="n">
        <v>0</v>
      </c>
      <c r="Q714" t="n">
        <v>0</v>
      </c>
      <c r="R714" s="2" t="inlineStr"/>
    </row>
    <row r="715" ht="15" customHeight="1">
      <c r="A715" t="inlineStr">
        <is>
          <t>A 1058-2022</t>
        </is>
      </c>
      <c r="B715" s="1" t="n">
        <v>44571</v>
      </c>
      <c r="C715" s="1" t="n">
        <v>45750</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1051-2022</t>
        </is>
      </c>
      <c r="B716" s="1" t="n">
        <v>44571</v>
      </c>
      <c r="C716" s="1" t="n">
        <v>45750</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1054-2022</t>
        </is>
      </c>
      <c r="B717" s="1" t="n">
        <v>44571</v>
      </c>
      <c r="C717" s="1" t="n">
        <v>45750</v>
      </c>
      <c r="D717" t="inlineStr">
        <is>
          <t>STOCKHOLMS LÄN</t>
        </is>
      </c>
      <c r="E717" t="inlineStr">
        <is>
          <t>NORRTÄLJE</t>
        </is>
      </c>
      <c r="G717" t="n">
        <v>5</v>
      </c>
      <c r="H717" t="n">
        <v>0</v>
      </c>
      <c r="I717" t="n">
        <v>0</v>
      </c>
      <c r="J717" t="n">
        <v>0</v>
      </c>
      <c r="K717" t="n">
        <v>0</v>
      </c>
      <c r="L717" t="n">
        <v>0</v>
      </c>
      <c r="M717" t="n">
        <v>0</v>
      </c>
      <c r="N717" t="n">
        <v>0</v>
      </c>
      <c r="O717" t="n">
        <v>0</v>
      </c>
      <c r="P717" t="n">
        <v>0</v>
      </c>
      <c r="Q717" t="n">
        <v>0</v>
      </c>
      <c r="R717" s="2" t="inlineStr"/>
    </row>
    <row r="718" ht="15" customHeight="1">
      <c r="A718" t="inlineStr">
        <is>
          <t>A 1229-2022</t>
        </is>
      </c>
      <c r="B718" s="1" t="n">
        <v>44572</v>
      </c>
      <c r="C718" s="1" t="n">
        <v>45750</v>
      </c>
      <c r="D718" t="inlineStr">
        <is>
          <t>STOCKHOLMS LÄN</t>
        </is>
      </c>
      <c r="E718" t="inlineStr">
        <is>
          <t>NORRTÄLJE</t>
        </is>
      </c>
      <c r="G718" t="n">
        <v>11.5</v>
      </c>
      <c r="H718" t="n">
        <v>0</v>
      </c>
      <c r="I718" t="n">
        <v>0</v>
      </c>
      <c r="J718" t="n">
        <v>0</v>
      </c>
      <c r="K718" t="n">
        <v>0</v>
      </c>
      <c r="L718" t="n">
        <v>0</v>
      </c>
      <c r="M718" t="n">
        <v>0</v>
      </c>
      <c r="N718" t="n">
        <v>0</v>
      </c>
      <c r="O718" t="n">
        <v>0</v>
      </c>
      <c r="P718" t="n">
        <v>0</v>
      </c>
      <c r="Q718" t="n">
        <v>0</v>
      </c>
      <c r="R718" s="2" t="inlineStr"/>
    </row>
    <row r="719" ht="15" customHeight="1">
      <c r="A719" t="inlineStr">
        <is>
          <t>A 1704-2022</t>
        </is>
      </c>
      <c r="B719" s="1" t="n">
        <v>44574</v>
      </c>
      <c r="C719" s="1" t="n">
        <v>45750</v>
      </c>
      <c r="D719" t="inlineStr">
        <is>
          <t>STOCKHOLMS LÄN</t>
        </is>
      </c>
      <c r="E719" t="inlineStr">
        <is>
          <t>NORRTÄLJE</t>
        </is>
      </c>
      <c r="G719" t="n">
        <v>6.2</v>
      </c>
      <c r="H719" t="n">
        <v>0</v>
      </c>
      <c r="I719" t="n">
        <v>0</v>
      </c>
      <c r="J719" t="n">
        <v>0</v>
      </c>
      <c r="K719" t="n">
        <v>0</v>
      </c>
      <c r="L719" t="n">
        <v>0</v>
      </c>
      <c r="M719" t="n">
        <v>0</v>
      </c>
      <c r="N719" t="n">
        <v>0</v>
      </c>
      <c r="O719" t="n">
        <v>0</v>
      </c>
      <c r="P719" t="n">
        <v>0</v>
      </c>
      <c r="Q719" t="n">
        <v>0</v>
      </c>
      <c r="R719" s="2" t="inlineStr"/>
    </row>
    <row r="720" ht="15" customHeight="1">
      <c r="A720" t="inlineStr">
        <is>
          <t>A 1968-2022</t>
        </is>
      </c>
      <c r="B720" s="1" t="n">
        <v>44575</v>
      </c>
      <c r="C720" s="1" t="n">
        <v>45750</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2182-2022</t>
        </is>
      </c>
      <c r="B721" s="1" t="n">
        <v>44578</v>
      </c>
      <c r="C721" s="1" t="n">
        <v>45750</v>
      </c>
      <c r="D721" t="inlineStr">
        <is>
          <t>STOCKHOLMS LÄN</t>
        </is>
      </c>
      <c r="E721" t="inlineStr">
        <is>
          <t>NORRTÄLJE</t>
        </is>
      </c>
      <c r="G721" t="n">
        <v>7.2</v>
      </c>
      <c r="H721" t="n">
        <v>0</v>
      </c>
      <c r="I721" t="n">
        <v>0</v>
      </c>
      <c r="J721" t="n">
        <v>0</v>
      </c>
      <c r="K721" t="n">
        <v>0</v>
      </c>
      <c r="L721" t="n">
        <v>0</v>
      </c>
      <c r="M721" t="n">
        <v>0</v>
      </c>
      <c r="N721" t="n">
        <v>0</v>
      </c>
      <c r="O721" t="n">
        <v>0</v>
      </c>
      <c r="P721" t="n">
        <v>0</v>
      </c>
      <c r="Q721" t="n">
        <v>0</v>
      </c>
      <c r="R721" s="2" t="inlineStr"/>
    </row>
    <row r="722" ht="15" customHeight="1">
      <c r="A722" t="inlineStr">
        <is>
          <t>A 2549-2022</t>
        </is>
      </c>
      <c r="B722" s="1" t="n">
        <v>44580</v>
      </c>
      <c r="C722" s="1" t="n">
        <v>45750</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2732-2022</t>
        </is>
      </c>
      <c r="B723" s="1" t="n">
        <v>44580</v>
      </c>
      <c r="C723" s="1" t="n">
        <v>45750</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2888-2022</t>
        </is>
      </c>
      <c r="B724" s="1" t="n">
        <v>44581</v>
      </c>
      <c r="C724" s="1" t="n">
        <v>45750</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2977-2022</t>
        </is>
      </c>
      <c r="B725" s="1" t="n">
        <v>44581</v>
      </c>
      <c r="C725" s="1" t="n">
        <v>45750</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v>
      </c>
      <c r="C726" s="1" t="n">
        <v>45750</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3310-2022</t>
        </is>
      </c>
      <c r="B727" s="1" t="n">
        <v>44584</v>
      </c>
      <c r="C727" s="1" t="n">
        <v>45750</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3396-2022</t>
        </is>
      </c>
      <c r="B728" s="1" t="n">
        <v>44585</v>
      </c>
      <c r="C728" s="1" t="n">
        <v>45750</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3509-2022</t>
        </is>
      </c>
      <c r="B729" s="1" t="n">
        <v>44585</v>
      </c>
      <c r="C729" s="1" t="n">
        <v>45750</v>
      </c>
      <c r="D729" t="inlineStr">
        <is>
          <t>STOCKHOLMS LÄN</t>
        </is>
      </c>
      <c r="E729" t="inlineStr">
        <is>
          <t>NORRTÄLJE</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4860-2022</t>
        </is>
      </c>
      <c r="B730" s="1" t="n">
        <v>44592</v>
      </c>
      <c r="C730" s="1" t="n">
        <v>45750</v>
      </c>
      <c r="D730" t="inlineStr">
        <is>
          <t>STOCKHOLMS LÄN</t>
        </is>
      </c>
      <c r="E730" t="inlineStr">
        <is>
          <t>NORRTÄLJE</t>
        </is>
      </c>
      <c r="G730" t="n">
        <v>22.3</v>
      </c>
      <c r="H730" t="n">
        <v>0</v>
      </c>
      <c r="I730" t="n">
        <v>0</v>
      </c>
      <c r="J730" t="n">
        <v>0</v>
      </c>
      <c r="K730" t="n">
        <v>0</v>
      </c>
      <c r="L730" t="n">
        <v>0</v>
      </c>
      <c r="M730" t="n">
        <v>0</v>
      </c>
      <c r="N730" t="n">
        <v>0</v>
      </c>
      <c r="O730" t="n">
        <v>0</v>
      </c>
      <c r="P730" t="n">
        <v>0</v>
      </c>
      <c r="Q730" t="n">
        <v>0</v>
      </c>
      <c r="R730" s="2" t="inlineStr"/>
    </row>
    <row r="731" ht="15" customHeight="1">
      <c r="A731" t="inlineStr">
        <is>
          <t>A 5351-2022</t>
        </is>
      </c>
      <c r="B731" s="1" t="n">
        <v>44594</v>
      </c>
      <c r="C731" s="1" t="n">
        <v>45750</v>
      </c>
      <c r="D731" t="inlineStr">
        <is>
          <t>STOCKHOLMS LÄN</t>
        </is>
      </c>
      <c r="E731" t="inlineStr">
        <is>
          <t>NORRTÄLJE</t>
        </is>
      </c>
      <c r="G731" t="n">
        <v>4</v>
      </c>
      <c r="H731" t="n">
        <v>0</v>
      </c>
      <c r="I731" t="n">
        <v>0</v>
      </c>
      <c r="J731" t="n">
        <v>0</v>
      </c>
      <c r="K731" t="n">
        <v>0</v>
      </c>
      <c r="L731" t="n">
        <v>0</v>
      </c>
      <c r="M731" t="n">
        <v>0</v>
      </c>
      <c r="N731" t="n">
        <v>0</v>
      </c>
      <c r="O731" t="n">
        <v>0</v>
      </c>
      <c r="P731" t="n">
        <v>0</v>
      </c>
      <c r="Q731" t="n">
        <v>0</v>
      </c>
      <c r="R731" s="2" t="inlineStr"/>
    </row>
    <row r="732" ht="15" customHeight="1">
      <c r="A732" t="inlineStr">
        <is>
          <t>A 5513-2022</t>
        </is>
      </c>
      <c r="B732" s="1" t="n">
        <v>44595</v>
      </c>
      <c r="C732" s="1" t="n">
        <v>45750</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5611-2022</t>
        </is>
      </c>
      <c r="B733" s="1" t="n">
        <v>44595</v>
      </c>
      <c r="C733" s="1" t="n">
        <v>45750</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5831-2022</t>
        </is>
      </c>
      <c r="B734" s="1" t="n">
        <v>44596</v>
      </c>
      <c r="C734" s="1" t="n">
        <v>45750</v>
      </c>
      <c r="D734" t="inlineStr">
        <is>
          <t>STOCKHOLMS LÄN</t>
        </is>
      </c>
      <c r="E734" t="inlineStr">
        <is>
          <t>NORRTÄLJE</t>
        </is>
      </c>
      <c r="G734" t="n">
        <v>4.8</v>
      </c>
      <c r="H734" t="n">
        <v>0</v>
      </c>
      <c r="I734" t="n">
        <v>0</v>
      </c>
      <c r="J734" t="n">
        <v>0</v>
      </c>
      <c r="K734" t="n">
        <v>0</v>
      </c>
      <c r="L734" t="n">
        <v>0</v>
      </c>
      <c r="M734" t="n">
        <v>0</v>
      </c>
      <c r="N734" t="n">
        <v>0</v>
      </c>
      <c r="O734" t="n">
        <v>0</v>
      </c>
      <c r="P734" t="n">
        <v>0</v>
      </c>
      <c r="Q734" t="n">
        <v>0</v>
      </c>
      <c r="R734" s="2" t="inlineStr"/>
    </row>
    <row r="735" ht="15" customHeight="1">
      <c r="A735" t="inlineStr">
        <is>
          <t>A 5867-2022</t>
        </is>
      </c>
      <c r="B735" s="1" t="n">
        <v>44596</v>
      </c>
      <c r="C735" s="1" t="n">
        <v>45750</v>
      </c>
      <c r="D735" t="inlineStr">
        <is>
          <t>STOCKHOLMS LÄN</t>
        </is>
      </c>
      <c r="E735" t="inlineStr">
        <is>
          <t>NORRTÄLJE</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6070-2022</t>
        </is>
      </c>
      <c r="B736" s="1" t="n">
        <v>44599</v>
      </c>
      <c r="C736" s="1" t="n">
        <v>45750</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6332-2022</t>
        </is>
      </c>
      <c r="B737" s="1" t="n">
        <v>44600</v>
      </c>
      <c r="C737" s="1" t="n">
        <v>45750</v>
      </c>
      <c r="D737" t="inlineStr">
        <is>
          <t>STOCKHOLMS LÄN</t>
        </is>
      </c>
      <c r="E737" t="inlineStr">
        <is>
          <t>NORRTÄLJE</t>
        </is>
      </c>
      <c r="G737" t="n">
        <v>3.4</v>
      </c>
      <c r="H737" t="n">
        <v>0</v>
      </c>
      <c r="I737" t="n">
        <v>0</v>
      </c>
      <c r="J737" t="n">
        <v>0</v>
      </c>
      <c r="K737" t="n">
        <v>0</v>
      </c>
      <c r="L737" t="n">
        <v>0</v>
      </c>
      <c r="M737" t="n">
        <v>0</v>
      </c>
      <c r="N737" t="n">
        <v>0</v>
      </c>
      <c r="O737" t="n">
        <v>0</v>
      </c>
      <c r="P737" t="n">
        <v>0</v>
      </c>
      <c r="Q737" t="n">
        <v>0</v>
      </c>
      <c r="R737" s="2" t="inlineStr"/>
    </row>
    <row r="738" ht="15" customHeight="1">
      <c r="A738" t="inlineStr">
        <is>
          <t>A 7301-2022</t>
        </is>
      </c>
      <c r="B738" s="1" t="n">
        <v>44606</v>
      </c>
      <c r="C738" s="1" t="n">
        <v>45750</v>
      </c>
      <c r="D738" t="inlineStr">
        <is>
          <t>STOCKHOLMS LÄN</t>
        </is>
      </c>
      <c r="E738" t="inlineStr">
        <is>
          <t>NORRTÄLJE</t>
        </is>
      </c>
      <c r="G738" t="n">
        <v>6.1</v>
      </c>
      <c r="H738" t="n">
        <v>0</v>
      </c>
      <c r="I738" t="n">
        <v>0</v>
      </c>
      <c r="J738" t="n">
        <v>0</v>
      </c>
      <c r="K738" t="n">
        <v>0</v>
      </c>
      <c r="L738" t="n">
        <v>0</v>
      </c>
      <c r="M738" t="n">
        <v>0</v>
      </c>
      <c r="N738" t="n">
        <v>0</v>
      </c>
      <c r="O738" t="n">
        <v>0</v>
      </c>
      <c r="P738" t="n">
        <v>0</v>
      </c>
      <c r="Q738" t="n">
        <v>0</v>
      </c>
      <c r="R738" s="2" t="inlineStr"/>
    </row>
    <row r="739" ht="15" customHeight="1">
      <c r="A739" t="inlineStr">
        <is>
          <t>A 7565-2022</t>
        </is>
      </c>
      <c r="B739" s="1" t="n">
        <v>44607</v>
      </c>
      <c r="C739" s="1" t="n">
        <v>45750</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8049-2022</t>
        </is>
      </c>
      <c r="B740" s="1" t="n">
        <v>44609</v>
      </c>
      <c r="C740" s="1" t="n">
        <v>45750</v>
      </c>
      <c r="D740" t="inlineStr">
        <is>
          <t>STOCKHOLMS LÄN</t>
        </is>
      </c>
      <c r="E740" t="inlineStr">
        <is>
          <t>NORRTÄLJE</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45750</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8433-2022</t>
        </is>
      </c>
      <c r="B742" s="1" t="n">
        <v>44611</v>
      </c>
      <c r="C742" s="1" t="n">
        <v>45750</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9668-2022</t>
        </is>
      </c>
      <c r="B743" s="1" t="n">
        <v>44617</v>
      </c>
      <c r="C743" s="1" t="n">
        <v>45750</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9654-2022</t>
        </is>
      </c>
      <c r="B744" s="1" t="n">
        <v>44617</v>
      </c>
      <c r="C744" s="1" t="n">
        <v>45750</v>
      </c>
      <c r="D744" t="inlineStr">
        <is>
          <t>STOCKHOLMS LÄN</t>
        </is>
      </c>
      <c r="E744" t="inlineStr">
        <is>
          <t>NORRTÄLJE</t>
        </is>
      </c>
      <c r="G744" t="n">
        <v>6.4</v>
      </c>
      <c r="H744" t="n">
        <v>0</v>
      </c>
      <c r="I744" t="n">
        <v>0</v>
      </c>
      <c r="J744" t="n">
        <v>0</v>
      </c>
      <c r="K744" t="n">
        <v>0</v>
      </c>
      <c r="L744" t="n">
        <v>0</v>
      </c>
      <c r="M744" t="n">
        <v>0</v>
      </c>
      <c r="N744" t="n">
        <v>0</v>
      </c>
      <c r="O744" t="n">
        <v>0</v>
      </c>
      <c r="P744" t="n">
        <v>0</v>
      </c>
      <c r="Q744" t="n">
        <v>0</v>
      </c>
      <c r="R744" s="2" t="inlineStr"/>
    </row>
    <row r="745" ht="15" customHeight="1">
      <c r="A745" t="inlineStr">
        <is>
          <t>A 9749-2022</t>
        </is>
      </c>
      <c r="B745" s="1" t="n">
        <v>44618</v>
      </c>
      <c r="C745" s="1" t="n">
        <v>45750</v>
      </c>
      <c r="D745" t="inlineStr">
        <is>
          <t>STOCKHOLMS LÄN</t>
        </is>
      </c>
      <c r="E745" t="inlineStr">
        <is>
          <t>NORRTÄLJE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9988-2022</t>
        </is>
      </c>
      <c r="B746" s="1" t="n">
        <v>44621</v>
      </c>
      <c r="C746" s="1" t="n">
        <v>45750</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10090-2022</t>
        </is>
      </c>
      <c r="B747" s="1" t="n">
        <v>44621</v>
      </c>
      <c r="C747" s="1" t="n">
        <v>45750</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10098-2022</t>
        </is>
      </c>
      <c r="B748" s="1" t="n">
        <v>44621</v>
      </c>
      <c r="C748" s="1" t="n">
        <v>45750</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45750</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10653-2022</t>
        </is>
      </c>
      <c r="B750" s="1" t="n">
        <v>44624</v>
      </c>
      <c r="C750" s="1" t="n">
        <v>45750</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10710-2022</t>
        </is>
      </c>
      <c r="B751" s="1" t="n">
        <v>44626</v>
      </c>
      <c r="C751" s="1" t="n">
        <v>45750</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10711-2022</t>
        </is>
      </c>
      <c r="B752" s="1" t="n">
        <v>44626</v>
      </c>
      <c r="C752" s="1" t="n">
        <v>45750</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11150-2022</t>
        </is>
      </c>
      <c r="B753" s="1" t="n">
        <v>44629</v>
      </c>
      <c r="C753" s="1" t="n">
        <v>45750</v>
      </c>
      <c r="D753" t="inlineStr">
        <is>
          <t>STOCKHOLMS LÄN</t>
        </is>
      </c>
      <c r="E753" t="inlineStr">
        <is>
          <t>NORRTÄLJE</t>
        </is>
      </c>
      <c r="F753" t="inlineStr">
        <is>
          <t>Övriga Aktiebolag</t>
        </is>
      </c>
      <c r="G753" t="n">
        <v>6.5</v>
      </c>
      <c r="H753" t="n">
        <v>0</v>
      </c>
      <c r="I753" t="n">
        <v>0</v>
      </c>
      <c r="J753" t="n">
        <v>0</v>
      </c>
      <c r="K753" t="n">
        <v>0</v>
      </c>
      <c r="L753" t="n">
        <v>0</v>
      </c>
      <c r="M753" t="n">
        <v>0</v>
      </c>
      <c r="N753" t="n">
        <v>0</v>
      </c>
      <c r="O753" t="n">
        <v>0</v>
      </c>
      <c r="P753" t="n">
        <v>0</v>
      </c>
      <c r="Q753" t="n">
        <v>0</v>
      </c>
      <c r="R753" s="2" t="inlineStr"/>
    </row>
    <row r="754" ht="15" customHeight="1">
      <c r="A754" t="inlineStr">
        <is>
          <t>A 11229-2022</t>
        </is>
      </c>
      <c r="B754" s="1" t="n">
        <v>44629</v>
      </c>
      <c r="C754" s="1" t="n">
        <v>45750</v>
      </c>
      <c r="D754" t="inlineStr">
        <is>
          <t>STOCKHOLMS LÄN</t>
        </is>
      </c>
      <c r="E754" t="inlineStr">
        <is>
          <t>NORRTÄLJE</t>
        </is>
      </c>
      <c r="F754" t="inlineStr">
        <is>
          <t>Övriga Aktiebolag</t>
        </is>
      </c>
      <c r="G754" t="n">
        <v>4.1</v>
      </c>
      <c r="H754" t="n">
        <v>0</v>
      </c>
      <c r="I754" t="n">
        <v>0</v>
      </c>
      <c r="J754" t="n">
        <v>0</v>
      </c>
      <c r="K754" t="n">
        <v>0</v>
      </c>
      <c r="L754" t="n">
        <v>0</v>
      </c>
      <c r="M754" t="n">
        <v>0</v>
      </c>
      <c r="N754" t="n">
        <v>0</v>
      </c>
      <c r="O754" t="n">
        <v>0</v>
      </c>
      <c r="P754" t="n">
        <v>0</v>
      </c>
      <c r="Q754" t="n">
        <v>0</v>
      </c>
      <c r="R754" s="2" t="inlineStr"/>
    </row>
    <row r="755" ht="15" customHeight="1">
      <c r="A755" t="inlineStr">
        <is>
          <t>A 11533-2022</t>
        </is>
      </c>
      <c r="B755" s="1" t="n">
        <v>44631</v>
      </c>
      <c r="C755" s="1" t="n">
        <v>45750</v>
      </c>
      <c r="D755" t="inlineStr">
        <is>
          <t>STOCKHOLMS LÄN</t>
        </is>
      </c>
      <c r="E755" t="inlineStr">
        <is>
          <t>NORRTÄLJE</t>
        </is>
      </c>
      <c r="G755" t="n">
        <v>3.6</v>
      </c>
      <c r="H755" t="n">
        <v>0</v>
      </c>
      <c r="I755" t="n">
        <v>0</v>
      </c>
      <c r="J755" t="n">
        <v>0</v>
      </c>
      <c r="K755" t="n">
        <v>0</v>
      </c>
      <c r="L755" t="n">
        <v>0</v>
      </c>
      <c r="M755" t="n">
        <v>0</v>
      </c>
      <c r="N755" t="n">
        <v>0</v>
      </c>
      <c r="O755" t="n">
        <v>0</v>
      </c>
      <c r="P755" t="n">
        <v>0</v>
      </c>
      <c r="Q755" t="n">
        <v>0</v>
      </c>
      <c r="R755" s="2" t="inlineStr"/>
    </row>
    <row r="756" ht="15" customHeight="1">
      <c r="A756" t="inlineStr">
        <is>
          <t>A 11821-2022</t>
        </is>
      </c>
      <c r="B756" s="1" t="n">
        <v>44634</v>
      </c>
      <c r="C756" s="1" t="n">
        <v>45750</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11900-2022</t>
        </is>
      </c>
      <c r="B757" s="1" t="n">
        <v>44635</v>
      </c>
      <c r="C757" s="1" t="n">
        <v>45750</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12355-2022</t>
        </is>
      </c>
      <c r="B758" s="1" t="n">
        <v>44637</v>
      </c>
      <c r="C758" s="1" t="n">
        <v>45750</v>
      </c>
      <c r="D758" t="inlineStr">
        <is>
          <t>STOCKHOLMS LÄN</t>
        </is>
      </c>
      <c r="E758" t="inlineStr">
        <is>
          <t>NORRTÄLJE</t>
        </is>
      </c>
      <c r="G758" t="n">
        <v>10.4</v>
      </c>
      <c r="H758" t="n">
        <v>0</v>
      </c>
      <c r="I758" t="n">
        <v>0</v>
      </c>
      <c r="J758" t="n">
        <v>0</v>
      </c>
      <c r="K758" t="n">
        <v>0</v>
      </c>
      <c r="L758" t="n">
        <v>0</v>
      </c>
      <c r="M758" t="n">
        <v>0</v>
      </c>
      <c r="N758" t="n">
        <v>0</v>
      </c>
      <c r="O758" t="n">
        <v>0</v>
      </c>
      <c r="P758" t="n">
        <v>0</v>
      </c>
      <c r="Q758" t="n">
        <v>0</v>
      </c>
      <c r="R758" s="2" t="inlineStr"/>
    </row>
    <row r="759" ht="15" customHeight="1">
      <c r="A759" t="inlineStr">
        <is>
          <t>A 12270-2022</t>
        </is>
      </c>
      <c r="B759" s="1" t="n">
        <v>44637</v>
      </c>
      <c r="C759" s="1" t="n">
        <v>45750</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12314-2022</t>
        </is>
      </c>
      <c r="B760" s="1" t="n">
        <v>44637</v>
      </c>
      <c r="C760" s="1" t="n">
        <v>45750</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45750</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12357-2022</t>
        </is>
      </c>
      <c r="B762" s="1" t="n">
        <v>44637</v>
      </c>
      <c r="C762" s="1" t="n">
        <v>45750</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62765-2022</t>
        </is>
      </c>
      <c r="B763" s="1" t="n">
        <v>44637</v>
      </c>
      <c r="C763" s="1" t="n">
        <v>45750</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12874-2022</t>
        </is>
      </c>
      <c r="B764" s="1" t="n">
        <v>44642</v>
      </c>
      <c r="C764" s="1" t="n">
        <v>45750</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12816-2022</t>
        </is>
      </c>
      <c r="B765" s="1" t="n">
        <v>44642</v>
      </c>
      <c r="C765" s="1" t="n">
        <v>45750</v>
      </c>
      <c r="D765" t="inlineStr">
        <is>
          <t>STOCKHOLMS LÄN</t>
        </is>
      </c>
      <c r="E765" t="inlineStr">
        <is>
          <t>NORRTÄLJE</t>
        </is>
      </c>
      <c r="G765" t="n">
        <v>4.4</v>
      </c>
      <c r="H765" t="n">
        <v>0</v>
      </c>
      <c r="I765" t="n">
        <v>0</v>
      </c>
      <c r="J765" t="n">
        <v>0</v>
      </c>
      <c r="K765" t="n">
        <v>0</v>
      </c>
      <c r="L765" t="n">
        <v>0</v>
      </c>
      <c r="M765" t="n">
        <v>0</v>
      </c>
      <c r="N765" t="n">
        <v>0</v>
      </c>
      <c r="O765" t="n">
        <v>0</v>
      </c>
      <c r="P765" t="n">
        <v>0</v>
      </c>
      <c r="Q765" t="n">
        <v>0</v>
      </c>
      <c r="R765" s="2" t="inlineStr"/>
    </row>
    <row r="766" ht="15" customHeight="1">
      <c r="A766" t="inlineStr">
        <is>
          <t>A 12877-2022</t>
        </is>
      </c>
      <c r="B766" s="1" t="n">
        <v>44642</v>
      </c>
      <c r="C766" s="1" t="n">
        <v>45750</v>
      </c>
      <c r="D766" t="inlineStr">
        <is>
          <t>STOCKHOLMS LÄN</t>
        </is>
      </c>
      <c r="E766" t="inlineStr">
        <is>
          <t>NORRTÄLJE</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12875-2022</t>
        </is>
      </c>
      <c r="B767" s="1" t="n">
        <v>44642</v>
      </c>
      <c r="C767" s="1" t="n">
        <v>45750</v>
      </c>
      <c r="D767" t="inlineStr">
        <is>
          <t>STOCKHOLMS LÄN</t>
        </is>
      </c>
      <c r="E767" t="inlineStr">
        <is>
          <t>NORRTÄLJE</t>
        </is>
      </c>
      <c r="G767" t="n">
        <v>1.6</v>
      </c>
      <c r="H767" t="n">
        <v>0</v>
      </c>
      <c r="I767" t="n">
        <v>0</v>
      </c>
      <c r="J767" t="n">
        <v>0</v>
      </c>
      <c r="K767" t="n">
        <v>0</v>
      </c>
      <c r="L767" t="n">
        <v>0</v>
      </c>
      <c r="M767" t="n">
        <v>0</v>
      </c>
      <c r="N767" t="n">
        <v>0</v>
      </c>
      <c r="O767" t="n">
        <v>0</v>
      </c>
      <c r="P767" t="n">
        <v>0</v>
      </c>
      <c r="Q767" t="n">
        <v>0</v>
      </c>
      <c r="R767" s="2" t="inlineStr"/>
    </row>
    <row r="768" ht="15" customHeight="1">
      <c r="A768" t="inlineStr">
        <is>
          <t>A 13077-2022</t>
        </is>
      </c>
      <c r="B768" s="1" t="n">
        <v>44643</v>
      </c>
      <c r="C768" s="1" t="n">
        <v>45750</v>
      </c>
      <c r="D768" t="inlineStr">
        <is>
          <t>STOCKHOLMS LÄN</t>
        </is>
      </c>
      <c r="E768" t="inlineStr">
        <is>
          <t>NORRTÄLJE</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13053-2022</t>
        </is>
      </c>
      <c r="B769" s="1" t="n">
        <v>44643</v>
      </c>
      <c r="C769" s="1" t="n">
        <v>45750</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13089-2022</t>
        </is>
      </c>
      <c r="B770" s="1" t="n">
        <v>44643</v>
      </c>
      <c r="C770" s="1" t="n">
        <v>45750</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13106-2022</t>
        </is>
      </c>
      <c r="B771" s="1" t="n">
        <v>44644</v>
      </c>
      <c r="C771" s="1" t="n">
        <v>45750</v>
      </c>
      <c r="D771" t="inlineStr">
        <is>
          <t>STOCKHOLMS LÄN</t>
        </is>
      </c>
      <c r="E771" t="inlineStr">
        <is>
          <t>NORRTÄLJE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13278-2022</t>
        </is>
      </c>
      <c r="B772" s="1" t="n">
        <v>44644</v>
      </c>
      <c r="C772" s="1" t="n">
        <v>45750</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13276-2022</t>
        </is>
      </c>
      <c r="B773" s="1" t="n">
        <v>44644</v>
      </c>
      <c r="C773" s="1" t="n">
        <v>45750</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13395-2022</t>
        </is>
      </c>
      <c r="B774" s="1" t="n">
        <v>44645</v>
      </c>
      <c r="C774" s="1" t="n">
        <v>45750</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13696-2022</t>
        </is>
      </c>
      <c r="B775" s="1" t="n">
        <v>44648</v>
      </c>
      <c r="C775" s="1" t="n">
        <v>45750</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13701-2022</t>
        </is>
      </c>
      <c r="B776" s="1" t="n">
        <v>44648</v>
      </c>
      <c r="C776" s="1" t="n">
        <v>45750</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13718-2022</t>
        </is>
      </c>
      <c r="B777" s="1" t="n">
        <v>44649</v>
      </c>
      <c r="C777" s="1" t="n">
        <v>45750</v>
      </c>
      <c r="D777" t="inlineStr">
        <is>
          <t>STOCKHOLMS LÄN</t>
        </is>
      </c>
      <c r="E777" t="inlineStr">
        <is>
          <t>NORRTÄLJE</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14036-2022</t>
        </is>
      </c>
      <c r="B778" s="1" t="n">
        <v>44650</v>
      </c>
      <c r="C778" s="1" t="n">
        <v>45750</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14033-2022</t>
        </is>
      </c>
      <c r="B779" s="1" t="n">
        <v>44650</v>
      </c>
      <c r="C779" s="1" t="n">
        <v>45750</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14034-2022</t>
        </is>
      </c>
      <c r="B780" s="1" t="n">
        <v>44650</v>
      </c>
      <c r="C780" s="1" t="n">
        <v>45750</v>
      </c>
      <c r="D780" t="inlineStr">
        <is>
          <t>STOCKHOLMS LÄN</t>
        </is>
      </c>
      <c r="E780" t="inlineStr">
        <is>
          <t>NORRTÄLJE</t>
        </is>
      </c>
      <c r="G780" t="n">
        <v>6.1</v>
      </c>
      <c r="H780" t="n">
        <v>0</v>
      </c>
      <c r="I780" t="n">
        <v>0</v>
      </c>
      <c r="J780" t="n">
        <v>0</v>
      </c>
      <c r="K780" t="n">
        <v>0</v>
      </c>
      <c r="L780" t="n">
        <v>0</v>
      </c>
      <c r="M780" t="n">
        <v>0</v>
      </c>
      <c r="N780" t="n">
        <v>0</v>
      </c>
      <c r="O780" t="n">
        <v>0</v>
      </c>
      <c r="P780" t="n">
        <v>0</v>
      </c>
      <c r="Q780" t="n">
        <v>0</v>
      </c>
      <c r="R780" s="2" t="inlineStr"/>
    </row>
    <row r="781" ht="15" customHeight="1">
      <c r="A781" t="inlineStr">
        <is>
          <t>A 14051-2022</t>
        </is>
      </c>
      <c r="B781" s="1" t="n">
        <v>44651</v>
      </c>
      <c r="C781" s="1" t="n">
        <v>45750</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14166-2022</t>
        </is>
      </c>
      <c r="B782" s="1" t="n">
        <v>44651</v>
      </c>
      <c r="C782" s="1" t="n">
        <v>45750</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14543-2022</t>
        </is>
      </c>
      <c r="B783" s="1" t="n">
        <v>44655</v>
      </c>
      <c r="C783" s="1" t="n">
        <v>45750</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14724-2022</t>
        </is>
      </c>
      <c r="B784" s="1" t="n">
        <v>44656</v>
      </c>
      <c r="C784" s="1" t="n">
        <v>45750</v>
      </c>
      <c r="D784" t="inlineStr">
        <is>
          <t>STOCKHOLMS LÄN</t>
        </is>
      </c>
      <c r="E784" t="inlineStr">
        <is>
          <t>NORRTÄLJE</t>
        </is>
      </c>
      <c r="F784" t="inlineStr">
        <is>
          <t>Sveaskog</t>
        </is>
      </c>
      <c r="G784" t="n">
        <v>9</v>
      </c>
      <c r="H784" t="n">
        <v>0</v>
      </c>
      <c r="I784" t="n">
        <v>0</v>
      </c>
      <c r="J784" t="n">
        <v>0</v>
      </c>
      <c r="K784" t="n">
        <v>0</v>
      </c>
      <c r="L784" t="n">
        <v>0</v>
      </c>
      <c r="M784" t="n">
        <v>0</v>
      </c>
      <c r="N784" t="n">
        <v>0</v>
      </c>
      <c r="O784" t="n">
        <v>0</v>
      </c>
      <c r="P784" t="n">
        <v>0</v>
      </c>
      <c r="Q784" t="n">
        <v>0</v>
      </c>
      <c r="R784" s="2" t="inlineStr"/>
    </row>
    <row r="785" ht="15" customHeight="1">
      <c r="A785" t="inlineStr">
        <is>
          <t>A 14716-2022</t>
        </is>
      </c>
      <c r="B785" s="1" t="n">
        <v>44656</v>
      </c>
      <c r="C785" s="1" t="n">
        <v>45750</v>
      </c>
      <c r="D785" t="inlineStr">
        <is>
          <t>STOCKHOLMS LÄN</t>
        </is>
      </c>
      <c r="E785" t="inlineStr">
        <is>
          <t>NORRTÄLJE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14869-2022</t>
        </is>
      </c>
      <c r="B786" s="1" t="n">
        <v>44656</v>
      </c>
      <c r="C786" s="1" t="n">
        <v>45750</v>
      </c>
      <c r="D786" t="inlineStr">
        <is>
          <t>STOCKHOLMS LÄN</t>
        </is>
      </c>
      <c r="E786" t="inlineStr">
        <is>
          <t>NORRTÄLJE</t>
        </is>
      </c>
      <c r="F786" t="inlineStr">
        <is>
          <t>Holmen skog AB</t>
        </is>
      </c>
      <c r="G786" t="n">
        <v>9.1</v>
      </c>
      <c r="H786" t="n">
        <v>0</v>
      </c>
      <c r="I786" t="n">
        <v>0</v>
      </c>
      <c r="J786" t="n">
        <v>0</v>
      </c>
      <c r="K786" t="n">
        <v>0</v>
      </c>
      <c r="L786" t="n">
        <v>0</v>
      </c>
      <c r="M786" t="n">
        <v>0</v>
      </c>
      <c r="N786" t="n">
        <v>0</v>
      </c>
      <c r="O786" t="n">
        <v>0</v>
      </c>
      <c r="P786" t="n">
        <v>0</v>
      </c>
      <c r="Q786" t="n">
        <v>0</v>
      </c>
      <c r="R786" s="2" t="inlineStr"/>
    </row>
    <row r="787" ht="15" customHeight="1">
      <c r="A787" t="inlineStr">
        <is>
          <t>A 15225-2022</t>
        </is>
      </c>
      <c r="B787" s="1" t="n">
        <v>44658</v>
      </c>
      <c r="C787" s="1" t="n">
        <v>45750</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15226-2022</t>
        </is>
      </c>
      <c r="B788" s="1" t="n">
        <v>44658</v>
      </c>
      <c r="C788" s="1" t="n">
        <v>45750</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15861-2022</t>
        </is>
      </c>
      <c r="B789" s="1" t="n">
        <v>44664</v>
      </c>
      <c r="C789" s="1" t="n">
        <v>45750</v>
      </c>
      <c r="D789" t="inlineStr">
        <is>
          <t>STOCKHOLMS LÄN</t>
        </is>
      </c>
      <c r="E789" t="inlineStr">
        <is>
          <t>NORRTÄLJE</t>
        </is>
      </c>
      <c r="G789" t="n">
        <v>10.2</v>
      </c>
      <c r="H789" t="n">
        <v>0</v>
      </c>
      <c r="I789" t="n">
        <v>0</v>
      </c>
      <c r="J789" t="n">
        <v>0</v>
      </c>
      <c r="K789" t="n">
        <v>0</v>
      </c>
      <c r="L789" t="n">
        <v>0</v>
      </c>
      <c r="M789" t="n">
        <v>0</v>
      </c>
      <c r="N789" t="n">
        <v>0</v>
      </c>
      <c r="O789" t="n">
        <v>0</v>
      </c>
      <c r="P789" t="n">
        <v>0</v>
      </c>
      <c r="Q789" t="n">
        <v>0</v>
      </c>
      <c r="R789" s="2" t="inlineStr"/>
    </row>
    <row r="790" ht="15" customHeight="1">
      <c r="A790" t="inlineStr">
        <is>
          <t>A 16117-2022</t>
        </is>
      </c>
      <c r="B790" s="1" t="n">
        <v>44665</v>
      </c>
      <c r="C790" s="1" t="n">
        <v>45750</v>
      </c>
      <c r="D790" t="inlineStr">
        <is>
          <t>STOCKHOLMS LÄN</t>
        </is>
      </c>
      <c r="E790" t="inlineStr">
        <is>
          <t>NORRTÄLJE</t>
        </is>
      </c>
      <c r="G790" t="n">
        <v>8.1</v>
      </c>
      <c r="H790" t="n">
        <v>0</v>
      </c>
      <c r="I790" t="n">
        <v>0</v>
      </c>
      <c r="J790" t="n">
        <v>0</v>
      </c>
      <c r="K790" t="n">
        <v>0</v>
      </c>
      <c r="L790" t="n">
        <v>0</v>
      </c>
      <c r="M790" t="n">
        <v>0</v>
      </c>
      <c r="N790" t="n">
        <v>0</v>
      </c>
      <c r="O790" t="n">
        <v>0</v>
      </c>
      <c r="P790" t="n">
        <v>0</v>
      </c>
      <c r="Q790" t="n">
        <v>0</v>
      </c>
      <c r="R790" s="2" t="inlineStr"/>
    </row>
    <row r="791" ht="15" customHeight="1">
      <c r="A791" t="inlineStr">
        <is>
          <t>A 16119-2022</t>
        </is>
      </c>
      <c r="B791" s="1" t="n">
        <v>44665</v>
      </c>
      <c r="C791" s="1" t="n">
        <v>45750</v>
      </c>
      <c r="D791" t="inlineStr">
        <is>
          <t>STOCKHOLMS LÄN</t>
        </is>
      </c>
      <c r="E791" t="inlineStr">
        <is>
          <t>NORRTÄLJE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16132-2022</t>
        </is>
      </c>
      <c r="B792" s="1" t="n">
        <v>44665</v>
      </c>
      <c r="C792" s="1" t="n">
        <v>45750</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16224-2022</t>
        </is>
      </c>
      <c r="B793" s="1" t="n">
        <v>44670</v>
      </c>
      <c r="C793" s="1" t="n">
        <v>45750</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16202-2022</t>
        </is>
      </c>
      <c r="B794" s="1" t="n">
        <v>44670</v>
      </c>
      <c r="C794" s="1" t="n">
        <v>45750</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16229-2022</t>
        </is>
      </c>
      <c r="B795" s="1" t="n">
        <v>44670</v>
      </c>
      <c r="C795" s="1" t="n">
        <v>45750</v>
      </c>
      <c r="D795" t="inlineStr">
        <is>
          <t>STOCKHOLMS LÄN</t>
        </is>
      </c>
      <c r="E795" t="inlineStr">
        <is>
          <t>NORRTÄLJE</t>
        </is>
      </c>
      <c r="G795" t="n">
        <v>7.4</v>
      </c>
      <c r="H795" t="n">
        <v>0</v>
      </c>
      <c r="I795" t="n">
        <v>0</v>
      </c>
      <c r="J795" t="n">
        <v>0</v>
      </c>
      <c r="K795" t="n">
        <v>0</v>
      </c>
      <c r="L795" t="n">
        <v>0</v>
      </c>
      <c r="M795" t="n">
        <v>0</v>
      </c>
      <c r="N795" t="n">
        <v>0</v>
      </c>
      <c r="O795" t="n">
        <v>0</v>
      </c>
      <c r="P795" t="n">
        <v>0</v>
      </c>
      <c r="Q795" t="n">
        <v>0</v>
      </c>
      <c r="R795" s="2" t="inlineStr"/>
    </row>
    <row r="796" ht="15" customHeight="1">
      <c r="A796" t="inlineStr">
        <is>
          <t>A 16442-2022</t>
        </is>
      </c>
      <c r="B796" s="1" t="n">
        <v>44671</v>
      </c>
      <c r="C796" s="1" t="n">
        <v>45750</v>
      </c>
      <c r="D796" t="inlineStr">
        <is>
          <t>STOCKHOLMS LÄN</t>
        </is>
      </c>
      <c r="E796" t="inlineStr">
        <is>
          <t>NORRTÄLJE</t>
        </is>
      </c>
      <c r="G796" t="n">
        <v>4.8</v>
      </c>
      <c r="H796" t="n">
        <v>0</v>
      </c>
      <c r="I796" t="n">
        <v>0</v>
      </c>
      <c r="J796" t="n">
        <v>0</v>
      </c>
      <c r="K796" t="n">
        <v>0</v>
      </c>
      <c r="L796" t="n">
        <v>0</v>
      </c>
      <c r="M796" t="n">
        <v>0</v>
      </c>
      <c r="N796" t="n">
        <v>0</v>
      </c>
      <c r="O796" t="n">
        <v>0</v>
      </c>
      <c r="P796" t="n">
        <v>0</v>
      </c>
      <c r="Q796" t="n">
        <v>0</v>
      </c>
      <c r="R796" s="2" t="inlineStr"/>
    </row>
    <row r="797" ht="15" customHeight="1">
      <c r="A797" t="inlineStr">
        <is>
          <t>A 16534-2022</t>
        </is>
      </c>
      <c r="B797" s="1" t="n">
        <v>44672</v>
      </c>
      <c r="C797" s="1" t="n">
        <v>45750</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16835-2022</t>
        </is>
      </c>
      <c r="B798" s="1" t="n">
        <v>44673</v>
      </c>
      <c r="C798" s="1" t="n">
        <v>45750</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17391-2022</t>
        </is>
      </c>
      <c r="B799" s="1" t="n">
        <v>44678</v>
      </c>
      <c r="C799" s="1" t="n">
        <v>45750</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17388-2022</t>
        </is>
      </c>
      <c r="B800" s="1" t="n">
        <v>44678</v>
      </c>
      <c r="C800" s="1" t="n">
        <v>45750</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17390-2022</t>
        </is>
      </c>
      <c r="B801" s="1" t="n">
        <v>44678</v>
      </c>
      <c r="C801" s="1" t="n">
        <v>45750</v>
      </c>
      <c r="D801" t="inlineStr">
        <is>
          <t>STOCKHOLMS LÄN</t>
        </is>
      </c>
      <c r="E801" t="inlineStr">
        <is>
          <t>NORRTÄLJE</t>
        </is>
      </c>
      <c r="G801" t="n">
        <v>4.9</v>
      </c>
      <c r="H801" t="n">
        <v>0</v>
      </c>
      <c r="I801" t="n">
        <v>0</v>
      </c>
      <c r="J801" t="n">
        <v>0</v>
      </c>
      <c r="K801" t="n">
        <v>0</v>
      </c>
      <c r="L801" t="n">
        <v>0</v>
      </c>
      <c r="M801" t="n">
        <v>0</v>
      </c>
      <c r="N801" t="n">
        <v>0</v>
      </c>
      <c r="O801" t="n">
        <v>0</v>
      </c>
      <c r="P801" t="n">
        <v>0</v>
      </c>
      <c r="Q801" t="n">
        <v>0</v>
      </c>
      <c r="R801" s="2" t="inlineStr"/>
    </row>
    <row r="802" ht="15" customHeight="1">
      <c r="A802" t="inlineStr">
        <is>
          <t>A 17612-2022</t>
        </is>
      </c>
      <c r="B802" s="1" t="n">
        <v>44680</v>
      </c>
      <c r="C802" s="1" t="n">
        <v>45750</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17629-2022</t>
        </is>
      </c>
      <c r="B803" s="1" t="n">
        <v>44680</v>
      </c>
      <c r="C803" s="1" t="n">
        <v>45750</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17771-2022</t>
        </is>
      </c>
      <c r="B804" s="1" t="n">
        <v>44682</v>
      </c>
      <c r="C804" s="1" t="n">
        <v>45750</v>
      </c>
      <c r="D804" t="inlineStr">
        <is>
          <t>STOCKHOLMS LÄN</t>
        </is>
      </c>
      <c r="E804" t="inlineStr">
        <is>
          <t>NORRTÄLJE</t>
        </is>
      </c>
      <c r="G804" t="n">
        <v>13.3</v>
      </c>
      <c r="H804" t="n">
        <v>0</v>
      </c>
      <c r="I804" t="n">
        <v>0</v>
      </c>
      <c r="J804" t="n">
        <v>0</v>
      </c>
      <c r="K804" t="n">
        <v>0</v>
      </c>
      <c r="L804" t="n">
        <v>0</v>
      </c>
      <c r="M804" t="n">
        <v>0</v>
      </c>
      <c r="N804" t="n">
        <v>0</v>
      </c>
      <c r="O804" t="n">
        <v>0</v>
      </c>
      <c r="P804" t="n">
        <v>0</v>
      </c>
      <c r="Q804" t="n">
        <v>0</v>
      </c>
      <c r="R804" s="2" t="inlineStr"/>
    </row>
    <row r="805" ht="15" customHeight="1">
      <c r="A805" t="inlineStr">
        <is>
          <t>A 17775-2022</t>
        </is>
      </c>
      <c r="B805" s="1" t="n">
        <v>44682</v>
      </c>
      <c r="C805" s="1" t="n">
        <v>45750</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17773-2022</t>
        </is>
      </c>
      <c r="B806" s="1" t="n">
        <v>44682</v>
      </c>
      <c r="C806" s="1" t="n">
        <v>45750</v>
      </c>
      <c r="D806" t="inlineStr">
        <is>
          <t>STOCKHOLMS LÄN</t>
        </is>
      </c>
      <c r="E806" t="inlineStr">
        <is>
          <t>NORRTÄLJE</t>
        </is>
      </c>
      <c r="G806" t="n">
        <v>10.8</v>
      </c>
      <c r="H806" t="n">
        <v>0</v>
      </c>
      <c r="I806" t="n">
        <v>0</v>
      </c>
      <c r="J806" t="n">
        <v>0</v>
      </c>
      <c r="K806" t="n">
        <v>0</v>
      </c>
      <c r="L806" t="n">
        <v>0</v>
      </c>
      <c r="M806" t="n">
        <v>0</v>
      </c>
      <c r="N806" t="n">
        <v>0</v>
      </c>
      <c r="O806" t="n">
        <v>0</v>
      </c>
      <c r="P806" t="n">
        <v>0</v>
      </c>
      <c r="Q806" t="n">
        <v>0</v>
      </c>
      <c r="R806" s="2" t="inlineStr"/>
    </row>
    <row r="807" ht="15" customHeight="1">
      <c r="A807" t="inlineStr">
        <is>
          <t>A 17772-2022</t>
        </is>
      </c>
      <c r="B807" s="1" t="n">
        <v>44682</v>
      </c>
      <c r="C807" s="1" t="n">
        <v>45750</v>
      </c>
      <c r="D807" t="inlineStr">
        <is>
          <t>STOCKHOLMS LÄN</t>
        </is>
      </c>
      <c r="E807" t="inlineStr">
        <is>
          <t>NORRTÄLJE</t>
        </is>
      </c>
      <c r="G807" t="n">
        <v>4</v>
      </c>
      <c r="H807" t="n">
        <v>0</v>
      </c>
      <c r="I807" t="n">
        <v>0</v>
      </c>
      <c r="J807" t="n">
        <v>0</v>
      </c>
      <c r="K807" t="n">
        <v>0</v>
      </c>
      <c r="L807" t="n">
        <v>0</v>
      </c>
      <c r="M807" t="n">
        <v>0</v>
      </c>
      <c r="N807" t="n">
        <v>0</v>
      </c>
      <c r="O807" t="n">
        <v>0</v>
      </c>
      <c r="P807" t="n">
        <v>0</v>
      </c>
      <c r="Q807" t="n">
        <v>0</v>
      </c>
      <c r="R807" s="2" t="inlineStr"/>
    </row>
    <row r="808" ht="15" customHeight="1">
      <c r="A808" t="inlineStr">
        <is>
          <t>A 17777-2022</t>
        </is>
      </c>
      <c r="B808" s="1" t="n">
        <v>44682</v>
      </c>
      <c r="C808" s="1" t="n">
        <v>45750</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17803-2022</t>
        </is>
      </c>
      <c r="B809" s="1" t="n">
        <v>44683</v>
      </c>
      <c r="C809" s="1" t="n">
        <v>45750</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17952-2022</t>
        </is>
      </c>
      <c r="B810" s="1" t="n">
        <v>44683</v>
      </c>
      <c r="C810" s="1" t="n">
        <v>45750</v>
      </c>
      <c r="D810" t="inlineStr">
        <is>
          <t>STOCKHOLMS LÄN</t>
        </is>
      </c>
      <c r="E810" t="inlineStr">
        <is>
          <t>NORRTÄLJE</t>
        </is>
      </c>
      <c r="G810" t="n">
        <v>51.1</v>
      </c>
      <c r="H810" t="n">
        <v>0</v>
      </c>
      <c r="I810" t="n">
        <v>0</v>
      </c>
      <c r="J810" t="n">
        <v>0</v>
      </c>
      <c r="K810" t="n">
        <v>0</v>
      </c>
      <c r="L810" t="n">
        <v>0</v>
      </c>
      <c r="M810" t="n">
        <v>0</v>
      </c>
      <c r="N810" t="n">
        <v>0</v>
      </c>
      <c r="O810" t="n">
        <v>0</v>
      </c>
      <c r="P810" t="n">
        <v>0</v>
      </c>
      <c r="Q810" t="n">
        <v>0</v>
      </c>
      <c r="R810" s="2" t="inlineStr"/>
    </row>
    <row r="811" ht="15" customHeight="1">
      <c r="A811" t="inlineStr">
        <is>
          <t>A 18092-2022</t>
        </is>
      </c>
      <c r="B811" s="1" t="n">
        <v>44684</v>
      </c>
      <c r="C811" s="1" t="n">
        <v>45750</v>
      </c>
      <c r="D811" t="inlineStr">
        <is>
          <t>STOCKHOLMS LÄN</t>
        </is>
      </c>
      <c r="E811" t="inlineStr">
        <is>
          <t>NORRTÄLJE</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18103-2022</t>
        </is>
      </c>
      <c r="B812" s="1" t="n">
        <v>44684</v>
      </c>
      <c r="C812" s="1" t="n">
        <v>45750</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18350-2022</t>
        </is>
      </c>
      <c r="B813" s="1" t="n">
        <v>44685</v>
      </c>
      <c r="C813" s="1" t="n">
        <v>45750</v>
      </c>
      <c r="D813" t="inlineStr">
        <is>
          <t>STOCKHOLMS LÄN</t>
        </is>
      </c>
      <c r="E813" t="inlineStr">
        <is>
          <t>NORRTÄLJE</t>
        </is>
      </c>
      <c r="F813" t="inlineStr">
        <is>
          <t>Holmen skog AB</t>
        </is>
      </c>
      <c r="G813" t="n">
        <v>7.1</v>
      </c>
      <c r="H813" t="n">
        <v>0</v>
      </c>
      <c r="I813" t="n">
        <v>0</v>
      </c>
      <c r="J813" t="n">
        <v>0</v>
      </c>
      <c r="K813" t="n">
        <v>0</v>
      </c>
      <c r="L813" t="n">
        <v>0</v>
      </c>
      <c r="M813" t="n">
        <v>0</v>
      </c>
      <c r="N813" t="n">
        <v>0</v>
      </c>
      <c r="O813" t="n">
        <v>0</v>
      </c>
      <c r="P813" t="n">
        <v>0</v>
      </c>
      <c r="Q813" t="n">
        <v>0</v>
      </c>
      <c r="R813" s="2" t="inlineStr"/>
    </row>
    <row r="814" ht="15" customHeight="1">
      <c r="A814" t="inlineStr">
        <is>
          <t>A 18546-2022</t>
        </is>
      </c>
      <c r="B814" s="1" t="n">
        <v>44686</v>
      </c>
      <c r="C814" s="1" t="n">
        <v>45750</v>
      </c>
      <c r="D814" t="inlineStr">
        <is>
          <t>STOCKHOLMS LÄN</t>
        </is>
      </c>
      <c r="E814" t="inlineStr">
        <is>
          <t>NORRTÄLJE</t>
        </is>
      </c>
      <c r="G814" t="n">
        <v>15.2</v>
      </c>
      <c r="H814" t="n">
        <v>0</v>
      </c>
      <c r="I814" t="n">
        <v>0</v>
      </c>
      <c r="J814" t="n">
        <v>0</v>
      </c>
      <c r="K814" t="n">
        <v>0</v>
      </c>
      <c r="L814" t="n">
        <v>0</v>
      </c>
      <c r="M814" t="n">
        <v>0</v>
      </c>
      <c r="N814" t="n">
        <v>0</v>
      </c>
      <c r="O814" t="n">
        <v>0</v>
      </c>
      <c r="P814" t="n">
        <v>0</v>
      </c>
      <c r="Q814" t="n">
        <v>0</v>
      </c>
      <c r="R814" s="2" t="inlineStr"/>
    </row>
    <row r="815" ht="15" customHeight="1">
      <c r="A815" t="inlineStr">
        <is>
          <t>A 18665-2022</t>
        </is>
      </c>
      <c r="B815" s="1" t="n">
        <v>44687</v>
      </c>
      <c r="C815" s="1" t="n">
        <v>45750</v>
      </c>
      <c r="D815" t="inlineStr">
        <is>
          <t>STOCKHOLMS LÄN</t>
        </is>
      </c>
      <c r="E815" t="inlineStr">
        <is>
          <t>NORRTÄLJE</t>
        </is>
      </c>
      <c r="F815" t="inlineStr">
        <is>
          <t>Kyrkan</t>
        </is>
      </c>
      <c r="G815" t="n">
        <v>1.1</v>
      </c>
      <c r="H815" t="n">
        <v>0</v>
      </c>
      <c r="I815" t="n">
        <v>0</v>
      </c>
      <c r="J815" t="n">
        <v>0</v>
      </c>
      <c r="K815" t="n">
        <v>0</v>
      </c>
      <c r="L815" t="n">
        <v>0</v>
      </c>
      <c r="M815" t="n">
        <v>0</v>
      </c>
      <c r="N815" t="n">
        <v>0</v>
      </c>
      <c r="O815" t="n">
        <v>0</v>
      </c>
      <c r="P815" t="n">
        <v>0</v>
      </c>
      <c r="Q815" t="n">
        <v>0</v>
      </c>
      <c r="R815" s="2" t="inlineStr"/>
    </row>
    <row r="816" ht="15" customHeight="1">
      <c r="A816" t="inlineStr">
        <is>
          <t>A 18787-2022</t>
        </is>
      </c>
      <c r="B816" s="1" t="n">
        <v>44687</v>
      </c>
      <c r="C816" s="1" t="n">
        <v>45750</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18846-2022</t>
        </is>
      </c>
      <c r="B817" s="1" t="n">
        <v>44690</v>
      </c>
      <c r="C817" s="1" t="n">
        <v>45750</v>
      </c>
      <c r="D817" t="inlineStr">
        <is>
          <t>STOCKHOLMS LÄN</t>
        </is>
      </c>
      <c r="E817" t="inlineStr">
        <is>
          <t>NORRTÄLJE</t>
        </is>
      </c>
      <c r="G817" t="n">
        <v>7</v>
      </c>
      <c r="H817" t="n">
        <v>0</v>
      </c>
      <c r="I817" t="n">
        <v>0</v>
      </c>
      <c r="J817" t="n">
        <v>0</v>
      </c>
      <c r="K817" t="n">
        <v>0</v>
      </c>
      <c r="L817" t="n">
        <v>0</v>
      </c>
      <c r="M817" t="n">
        <v>0</v>
      </c>
      <c r="N817" t="n">
        <v>0</v>
      </c>
      <c r="O817" t="n">
        <v>0</v>
      </c>
      <c r="P817" t="n">
        <v>0</v>
      </c>
      <c r="Q817" t="n">
        <v>0</v>
      </c>
      <c r="R817" s="2" t="inlineStr"/>
    </row>
    <row r="818" ht="15" customHeight="1">
      <c r="A818" t="inlineStr">
        <is>
          <t>A 18905-2022</t>
        </is>
      </c>
      <c r="B818" s="1" t="n">
        <v>44690</v>
      </c>
      <c r="C818" s="1" t="n">
        <v>45750</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18894-2022</t>
        </is>
      </c>
      <c r="B819" s="1" t="n">
        <v>44690</v>
      </c>
      <c r="C819" s="1" t="n">
        <v>45750</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19116-2022</t>
        </is>
      </c>
      <c r="B820" s="1" t="n">
        <v>44691</v>
      </c>
      <c r="C820" s="1" t="n">
        <v>45750</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19118-2022</t>
        </is>
      </c>
      <c r="B821" s="1" t="n">
        <v>44691</v>
      </c>
      <c r="C821" s="1" t="n">
        <v>45750</v>
      </c>
      <c r="D821" t="inlineStr">
        <is>
          <t>STOCKHOLMS LÄN</t>
        </is>
      </c>
      <c r="E821" t="inlineStr">
        <is>
          <t>NORRTÄLJE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19580-2022</t>
        </is>
      </c>
      <c r="B822" s="1" t="n">
        <v>44693</v>
      </c>
      <c r="C822" s="1" t="n">
        <v>45750</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19729-2022</t>
        </is>
      </c>
      <c r="B823" s="1" t="n">
        <v>44694</v>
      </c>
      <c r="C823" s="1" t="n">
        <v>45750</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19728-2022</t>
        </is>
      </c>
      <c r="B824" s="1" t="n">
        <v>44694</v>
      </c>
      <c r="C824" s="1" t="n">
        <v>45750</v>
      </c>
      <c r="D824" t="inlineStr">
        <is>
          <t>STOCKHOLMS LÄN</t>
        </is>
      </c>
      <c r="E824" t="inlineStr">
        <is>
          <t>NORRTÄLJE</t>
        </is>
      </c>
      <c r="G824" t="n">
        <v>3.3</v>
      </c>
      <c r="H824" t="n">
        <v>0</v>
      </c>
      <c r="I824" t="n">
        <v>0</v>
      </c>
      <c r="J824" t="n">
        <v>0</v>
      </c>
      <c r="K824" t="n">
        <v>0</v>
      </c>
      <c r="L824" t="n">
        <v>0</v>
      </c>
      <c r="M824" t="n">
        <v>0</v>
      </c>
      <c r="N824" t="n">
        <v>0</v>
      </c>
      <c r="O824" t="n">
        <v>0</v>
      </c>
      <c r="P824" t="n">
        <v>0</v>
      </c>
      <c r="Q824" t="n">
        <v>0</v>
      </c>
      <c r="R824" s="2" t="inlineStr"/>
    </row>
    <row r="825" ht="15" customHeight="1">
      <c r="A825" t="inlineStr">
        <is>
          <t>A 19982-2022</t>
        </is>
      </c>
      <c r="B825" s="1" t="n">
        <v>44697</v>
      </c>
      <c r="C825" s="1" t="n">
        <v>45750</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19983-2022</t>
        </is>
      </c>
      <c r="B826" s="1" t="n">
        <v>44697</v>
      </c>
      <c r="C826" s="1" t="n">
        <v>45750</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20121-2022</t>
        </is>
      </c>
      <c r="B827" s="1" t="n">
        <v>44698</v>
      </c>
      <c r="C827" s="1" t="n">
        <v>45750</v>
      </c>
      <c r="D827" t="inlineStr">
        <is>
          <t>STOCKHOLMS LÄN</t>
        </is>
      </c>
      <c r="E827" t="inlineStr">
        <is>
          <t>NORRTÄLJE</t>
        </is>
      </c>
      <c r="G827" t="n">
        <v>4.2</v>
      </c>
      <c r="H827" t="n">
        <v>0</v>
      </c>
      <c r="I827" t="n">
        <v>0</v>
      </c>
      <c r="J827" t="n">
        <v>0</v>
      </c>
      <c r="K827" t="n">
        <v>0</v>
      </c>
      <c r="L827" t="n">
        <v>0</v>
      </c>
      <c r="M827" t="n">
        <v>0</v>
      </c>
      <c r="N827" t="n">
        <v>0</v>
      </c>
      <c r="O827" t="n">
        <v>0</v>
      </c>
      <c r="P827" t="n">
        <v>0</v>
      </c>
      <c r="Q827" t="n">
        <v>0</v>
      </c>
      <c r="R827" s="2" t="inlineStr"/>
    </row>
    <row r="828" ht="15" customHeight="1">
      <c r="A828" t="inlineStr">
        <is>
          <t>A 20129-2022</t>
        </is>
      </c>
      <c r="B828" s="1" t="n">
        <v>44698</v>
      </c>
      <c r="C828" s="1" t="n">
        <v>45750</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20291-2022</t>
        </is>
      </c>
      <c r="B829" s="1" t="n">
        <v>44698</v>
      </c>
      <c r="C829" s="1" t="n">
        <v>45750</v>
      </c>
      <c r="D829" t="inlineStr">
        <is>
          <t>STOCKHOLMS LÄN</t>
        </is>
      </c>
      <c r="E829" t="inlineStr">
        <is>
          <t>NORRTÄLJE</t>
        </is>
      </c>
      <c r="F829" t="inlineStr">
        <is>
          <t>Naturvårdsverket</t>
        </is>
      </c>
      <c r="G829" t="n">
        <v>2</v>
      </c>
      <c r="H829" t="n">
        <v>0</v>
      </c>
      <c r="I829" t="n">
        <v>0</v>
      </c>
      <c r="J829" t="n">
        <v>0</v>
      </c>
      <c r="K829" t="n">
        <v>0</v>
      </c>
      <c r="L829" t="n">
        <v>0</v>
      </c>
      <c r="M829" t="n">
        <v>0</v>
      </c>
      <c r="N829" t="n">
        <v>0</v>
      </c>
      <c r="O829" t="n">
        <v>0</v>
      </c>
      <c r="P829" t="n">
        <v>0</v>
      </c>
      <c r="Q829" t="n">
        <v>0</v>
      </c>
      <c r="R829" s="2" t="inlineStr"/>
    </row>
    <row r="830" ht="15" customHeight="1">
      <c r="A830" t="inlineStr">
        <is>
          <t>A 20294-2022</t>
        </is>
      </c>
      <c r="B830" s="1" t="n">
        <v>44698</v>
      </c>
      <c r="C830" s="1" t="n">
        <v>45750</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20295-2022</t>
        </is>
      </c>
      <c r="B831" s="1" t="n">
        <v>44698</v>
      </c>
      <c r="C831" s="1" t="n">
        <v>45750</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20618-2022</t>
        </is>
      </c>
      <c r="B832" s="1" t="n">
        <v>44700</v>
      </c>
      <c r="C832" s="1" t="n">
        <v>45750</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21102-2022</t>
        </is>
      </c>
      <c r="B833" s="1" t="n">
        <v>44704</v>
      </c>
      <c r="C833" s="1" t="n">
        <v>45750</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21158-2022</t>
        </is>
      </c>
      <c r="B834" s="1" t="n">
        <v>44704</v>
      </c>
      <c r="C834" s="1" t="n">
        <v>45750</v>
      </c>
      <c r="D834" t="inlineStr">
        <is>
          <t>STOCKHOLMS LÄN</t>
        </is>
      </c>
      <c r="E834" t="inlineStr">
        <is>
          <t>NORRTÄLJE</t>
        </is>
      </c>
      <c r="G834" t="n">
        <v>17.8</v>
      </c>
      <c r="H834" t="n">
        <v>0</v>
      </c>
      <c r="I834" t="n">
        <v>0</v>
      </c>
      <c r="J834" t="n">
        <v>0</v>
      </c>
      <c r="K834" t="n">
        <v>0</v>
      </c>
      <c r="L834" t="n">
        <v>0</v>
      </c>
      <c r="M834" t="n">
        <v>0</v>
      </c>
      <c r="N834" t="n">
        <v>0</v>
      </c>
      <c r="O834" t="n">
        <v>0</v>
      </c>
      <c r="P834" t="n">
        <v>0</v>
      </c>
      <c r="Q834" t="n">
        <v>0</v>
      </c>
      <c r="R834" s="2" t="inlineStr"/>
    </row>
    <row r="835" ht="15" customHeight="1">
      <c r="A835" t="inlineStr">
        <is>
          <t>A 21174-2022</t>
        </is>
      </c>
      <c r="B835" s="1" t="n">
        <v>44704</v>
      </c>
      <c r="C835" s="1" t="n">
        <v>45750</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21480-2022</t>
        </is>
      </c>
      <c r="B836" s="1" t="n">
        <v>44704</v>
      </c>
      <c r="C836" s="1" t="n">
        <v>45750</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21178-2022</t>
        </is>
      </c>
      <c r="B837" s="1" t="n">
        <v>44704</v>
      </c>
      <c r="C837" s="1" t="n">
        <v>45750</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21329-2022</t>
        </is>
      </c>
      <c r="B838" s="1" t="n">
        <v>44705</v>
      </c>
      <c r="C838" s="1" t="n">
        <v>45750</v>
      </c>
      <c r="D838" t="inlineStr">
        <is>
          <t>STOCKHOLMS LÄN</t>
        </is>
      </c>
      <c r="E838" t="inlineStr">
        <is>
          <t>NORRTÄLJE</t>
        </is>
      </c>
      <c r="G838" t="n">
        <v>4.1</v>
      </c>
      <c r="H838" t="n">
        <v>0</v>
      </c>
      <c r="I838" t="n">
        <v>0</v>
      </c>
      <c r="J838" t="n">
        <v>0</v>
      </c>
      <c r="K838" t="n">
        <v>0</v>
      </c>
      <c r="L838" t="n">
        <v>0</v>
      </c>
      <c r="M838" t="n">
        <v>0</v>
      </c>
      <c r="N838" t="n">
        <v>0</v>
      </c>
      <c r="O838" t="n">
        <v>0</v>
      </c>
      <c r="P838" t="n">
        <v>0</v>
      </c>
      <c r="Q838" t="n">
        <v>0</v>
      </c>
      <c r="R838" s="2" t="inlineStr"/>
    </row>
    <row r="839" ht="15" customHeight="1">
      <c r="A839" t="inlineStr">
        <is>
          <t>A 21739-2022</t>
        </is>
      </c>
      <c r="B839" s="1" t="n">
        <v>44708</v>
      </c>
      <c r="C839" s="1" t="n">
        <v>45750</v>
      </c>
      <c r="D839" t="inlineStr">
        <is>
          <t>STOCKHOLMS LÄN</t>
        </is>
      </c>
      <c r="E839" t="inlineStr">
        <is>
          <t>NORRTÄLJE</t>
        </is>
      </c>
      <c r="F839" t="inlineStr">
        <is>
          <t>Holmen skog AB</t>
        </is>
      </c>
      <c r="G839" t="n">
        <v>1.1</v>
      </c>
      <c r="H839" t="n">
        <v>0</v>
      </c>
      <c r="I839" t="n">
        <v>0</v>
      </c>
      <c r="J839" t="n">
        <v>0</v>
      </c>
      <c r="K839" t="n">
        <v>0</v>
      </c>
      <c r="L839" t="n">
        <v>0</v>
      </c>
      <c r="M839" t="n">
        <v>0</v>
      </c>
      <c r="N839" t="n">
        <v>0</v>
      </c>
      <c r="O839" t="n">
        <v>0</v>
      </c>
      <c r="P839" t="n">
        <v>0</v>
      </c>
      <c r="Q839" t="n">
        <v>0</v>
      </c>
      <c r="R839" s="2" t="inlineStr"/>
    </row>
    <row r="840" ht="15" customHeight="1">
      <c r="A840" t="inlineStr">
        <is>
          <t>A 21723-2022</t>
        </is>
      </c>
      <c r="B840" s="1" t="n">
        <v>44708</v>
      </c>
      <c r="C840" s="1" t="n">
        <v>45750</v>
      </c>
      <c r="D840" t="inlineStr">
        <is>
          <t>STOCKHOLMS LÄN</t>
        </is>
      </c>
      <c r="E840" t="inlineStr">
        <is>
          <t>NORRTÄLJE</t>
        </is>
      </c>
      <c r="G840" t="n">
        <v>0.3</v>
      </c>
      <c r="H840" t="n">
        <v>0</v>
      </c>
      <c r="I840" t="n">
        <v>0</v>
      </c>
      <c r="J840" t="n">
        <v>0</v>
      </c>
      <c r="K840" t="n">
        <v>0</v>
      </c>
      <c r="L840" t="n">
        <v>0</v>
      </c>
      <c r="M840" t="n">
        <v>0</v>
      </c>
      <c r="N840" t="n">
        <v>0</v>
      </c>
      <c r="O840" t="n">
        <v>0</v>
      </c>
      <c r="P840" t="n">
        <v>0</v>
      </c>
      <c r="Q840" t="n">
        <v>0</v>
      </c>
      <c r="R840" s="2" t="inlineStr"/>
    </row>
    <row r="841" ht="15" customHeight="1">
      <c r="A841" t="inlineStr">
        <is>
          <t>A 21726-2022</t>
        </is>
      </c>
      <c r="B841" s="1" t="n">
        <v>44708</v>
      </c>
      <c r="C841" s="1" t="n">
        <v>45750</v>
      </c>
      <c r="D841" t="inlineStr">
        <is>
          <t>STOCKHOLMS LÄN</t>
        </is>
      </c>
      <c r="E841" t="inlineStr">
        <is>
          <t>NORRTÄLJE</t>
        </is>
      </c>
      <c r="G841" t="n">
        <v>0.2</v>
      </c>
      <c r="H841" t="n">
        <v>0</v>
      </c>
      <c r="I841" t="n">
        <v>0</v>
      </c>
      <c r="J841" t="n">
        <v>0</v>
      </c>
      <c r="K841" t="n">
        <v>0</v>
      </c>
      <c r="L841" t="n">
        <v>0</v>
      </c>
      <c r="M841" t="n">
        <v>0</v>
      </c>
      <c r="N841" t="n">
        <v>0</v>
      </c>
      <c r="O841" t="n">
        <v>0</v>
      </c>
      <c r="P841" t="n">
        <v>0</v>
      </c>
      <c r="Q841" t="n">
        <v>0</v>
      </c>
      <c r="R841" s="2" t="inlineStr"/>
    </row>
    <row r="842" ht="15" customHeight="1">
      <c r="A842" t="inlineStr">
        <is>
          <t>A 21803-2022</t>
        </is>
      </c>
      <c r="B842" s="1" t="n">
        <v>44708</v>
      </c>
      <c r="C842" s="1" t="n">
        <v>45750</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21970-2022</t>
        </is>
      </c>
      <c r="B843" s="1" t="n">
        <v>44711</v>
      </c>
      <c r="C843" s="1" t="n">
        <v>45750</v>
      </c>
      <c r="D843" t="inlineStr">
        <is>
          <t>STOCKHOLMS LÄN</t>
        </is>
      </c>
      <c r="E843" t="inlineStr">
        <is>
          <t>NORRTÄLJE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22072-2022</t>
        </is>
      </c>
      <c r="B844" s="1" t="n">
        <v>44711</v>
      </c>
      <c r="C844" s="1" t="n">
        <v>45750</v>
      </c>
      <c r="D844" t="inlineStr">
        <is>
          <t>STOCKHOLMS LÄN</t>
        </is>
      </c>
      <c r="E844" t="inlineStr">
        <is>
          <t>NORRTÄLJE</t>
        </is>
      </c>
      <c r="G844" t="n">
        <v>9.6</v>
      </c>
      <c r="H844" t="n">
        <v>0</v>
      </c>
      <c r="I844" t="n">
        <v>0</v>
      </c>
      <c r="J844" t="n">
        <v>0</v>
      </c>
      <c r="K844" t="n">
        <v>0</v>
      </c>
      <c r="L844" t="n">
        <v>0</v>
      </c>
      <c r="M844" t="n">
        <v>0</v>
      </c>
      <c r="N844" t="n">
        <v>0</v>
      </c>
      <c r="O844" t="n">
        <v>0</v>
      </c>
      <c r="P844" t="n">
        <v>0</v>
      </c>
      <c r="Q844" t="n">
        <v>0</v>
      </c>
      <c r="R844" s="2" t="inlineStr"/>
    </row>
    <row r="845" ht="15" customHeight="1">
      <c r="A845" t="inlineStr">
        <is>
          <t>A 22071-2022</t>
        </is>
      </c>
      <c r="B845" s="1" t="n">
        <v>44711</v>
      </c>
      <c r="C845" s="1" t="n">
        <v>45750</v>
      </c>
      <c r="D845" t="inlineStr">
        <is>
          <t>STOCKHOLMS LÄN</t>
        </is>
      </c>
      <c r="E845" t="inlineStr">
        <is>
          <t>NORRTÄLJE</t>
        </is>
      </c>
      <c r="G845" t="n">
        <v>7</v>
      </c>
      <c r="H845" t="n">
        <v>0</v>
      </c>
      <c r="I845" t="n">
        <v>0</v>
      </c>
      <c r="J845" t="n">
        <v>0</v>
      </c>
      <c r="K845" t="n">
        <v>0</v>
      </c>
      <c r="L845" t="n">
        <v>0</v>
      </c>
      <c r="M845" t="n">
        <v>0</v>
      </c>
      <c r="N845" t="n">
        <v>0</v>
      </c>
      <c r="O845" t="n">
        <v>0</v>
      </c>
      <c r="P845" t="n">
        <v>0</v>
      </c>
      <c r="Q845" t="n">
        <v>0</v>
      </c>
      <c r="R845" s="2" t="inlineStr"/>
    </row>
    <row r="846" ht="15" customHeight="1">
      <c r="A846" t="inlineStr">
        <is>
          <t>A 22269-2022</t>
        </is>
      </c>
      <c r="B846" s="1" t="n">
        <v>44712</v>
      </c>
      <c r="C846" s="1" t="n">
        <v>45750</v>
      </c>
      <c r="D846" t="inlineStr">
        <is>
          <t>STOCKHOLMS LÄN</t>
        </is>
      </c>
      <c r="E846" t="inlineStr">
        <is>
          <t>NORRTÄLJE</t>
        </is>
      </c>
      <c r="G846" t="n">
        <v>4.5</v>
      </c>
      <c r="H846" t="n">
        <v>0</v>
      </c>
      <c r="I846" t="n">
        <v>0</v>
      </c>
      <c r="J846" t="n">
        <v>0</v>
      </c>
      <c r="K846" t="n">
        <v>0</v>
      </c>
      <c r="L846" t="n">
        <v>0</v>
      </c>
      <c r="M846" t="n">
        <v>0</v>
      </c>
      <c r="N846" t="n">
        <v>0</v>
      </c>
      <c r="O846" t="n">
        <v>0</v>
      </c>
      <c r="P846" t="n">
        <v>0</v>
      </c>
      <c r="Q846" t="n">
        <v>0</v>
      </c>
      <c r="R846" s="2" t="inlineStr"/>
    </row>
    <row r="847" ht="15" customHeight="1">
      <c r="A847" t="inlineStr">
        <is>
          <t>A 22316-2022</t>
        </is>
      </c>
      <c r="B847" s="1" t="n">
        <v>44712</v>
      </c>
      <c r="C847" s="1" t="n">
        <v>45750</v>
      </c>
      <c r="D847" t="inlineStr">
        <is>
          <t>STOCKHOLMS LÄN</t>
        </is>
      </c>
      <c r="E847" t="inlineStr">
        <is>
          <t>NORRTÄLJE</t>
        </is>
      </c>
      <c r="G847" t="n">
        <v>6.3</v>
      </c>
      <c r="H847" t="n">
        <v>0</v>
      </c>
      <c r="I847" t="n">
        <v>0</v>
      </c>
      <c r="J847" t="n">
        <v>0</v>
      </c>
      <c r="K847" t="n">
        <v>0</v>
      </c>
      <c r="L847" t="n">
        <v>0</v>
      </c>
      <c r="M847" t="n">
        <v>0</v>
      </c>
      <c r="N847" t="n">
        <v>0</v>
      </c>
      <c r="O847" t="n">
        <v>0</v>
      </c>
      <c r="P847" t="n">
        <v>0</v>
      </c>
      <c r="Q847" t="n">
        <v>0</v>
      </c>
      <c r="R847" s="2" t="inlineStr"/>
    </row>
    <row r="848" ht="15" customHeight="1">
      <c r="A848" t="inlineStr">
        <is>
          <t>A 22503-2022</t>
        </is>
      </c>
      <c r="B848" s="1" t="n">
        <v>44713</v>
      </c>
      <c r="C848" s="1" t="n">
        <v>45750</v>
      </c>
      <c r="D848" t="inlineStr">
        <is>
          <t>STOCKHOLMS LÄN</t>
        </is>
      </c>
      <c r="E848" t="inlineStr">
        <is>
          <t>NORRTÄLJE</t>
        </is>
      </c>
      <c r="G848" t="n">
        <v>5.1</v>
      </c>
      <c r="H848" t="n">
        <v>0</v>
      </c>
      <c r="I848" t="n">
        <v>0</v>
      </c>
      <c r="J848" t="n">
        <v>0</v>
      </c>
      <c r="K848" t="n">
        <v>0</v>
      </c>
      <c r="L848" t="n">
        <v>0</v>
      </c>
      <c r="M848" t="n">
        <v>0</v>
      </c>
      <c r="N848" t="n">
        <v>0</v>
      </c>
      <c r="O848" t="n">
        <v>0</v>
      </c>
      <c r="P848" t="n">
        <v>0</v>
      </c>
      <c r="Q848" t="n">
        <v>0</v>
      </c>
      <c r="R848" s="2" t="inlineStr"/>
    </row>
    <row r="849" ht="15" customHeight="1">
      <c r="A849" t="inlineStr">
        <is>
          <t>A 22697-2022</t>
        </is>
      </c>
      <c r="B849" s="1" t="n">
        <v>44714</v>
      </c>
      <c r="C849" s="1" t="n">
        <v>45750</v>
      </c>
      <c r="D849" t="inlineStr">
        <is>
          <t>STOCKHOLMS LÄN</t>
        </is>
      </c>
      <c r="E849" t="inlineStr">
        <is>
          <t>NORRTÄLJE</t>
        </is>
      </c>
      <c r="G849" t="n">
        <v>5.6</v>
      </c>
      <c r="H849" t="n">
        <v>0</v>
      </c>
      <c r="I849" t="n">
        <v>0</v>
      </c>
      <c r="J849" t="n">
        <v>0</v>
      </c>
      <c r="K849" t="n">
        <v>0</v>
      </c>
      <c r="L849" t="n">
        <v>0</v>
      </c>
      <c r="M849" t="n">
        <v>0</v>
      </c>
      <c r="N849" t="n">
        <v>0</v>
      </c>
      <c r="O849" t="n">
        <v>0</v>
      </c>
      <c r="P849" t="n">
        <v>0</v>
      </c>
      <c r="Q849" t="n">
        <v>0</v>
      </c>
      <c r="R849" s="2" t="inlineStr"/>
    </row>
    <row r="850" ht="15" customHeight="1">
      <c r="A850" t="inlineStr">
        <is>
          <t>A 22628-2022</t>
        </is>
      </c>
      <c r="B850" s="1" t="n">
        <v>44714</v>
      </c>
      <c r="C850" s="1" t="n">
        <v>45750</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22636-2022</t>
        </is>
      </c>
      <c r="B851" s="1" t="n">
        <v>44714</v>
      </c>
      <c r="C851" s="1" t="n">
        <v>45750</v>
      </c>
      <c r="D851" t="inlineStr">
        <is>
          <t>STOCKHOLMS LÄN</t>
        </is>
      </c>
      <c r="E851" t="inlineStr">
        <is>
          <t>NORRTÄLJE</t>
        </is>
      </c>
      <c r="G851" t="n">
        <v>16.6</v>
      </c>
      <c r="H851" t="n">
        <v>0</v>
      </c>
      <c r="I851" t="n">
        <v>0</v>
      </c>
      <c r="J851" t="n">
        <v>0</v>
      </c>
      <c r="K851" t="n">
        <v>0</v>
      </c>
      <c r="L851" t="n">
        <v>0</v>
      </c>
      <c r="M851" t="n">
        <v>0</v>
      </c>
      <c r="N851" t="n">
        <v>0</v>
      </c>
      <c r="O851" t="n">
        <v>0</v>
      </c>
      <c r="P851" t="n">
        <v>0</v>
      </c>
      <c r="Q851" t="n">
        <v>0</v>
      </c>
      <c r="R851" s="2" t="inlineStr"/>
    </row>
    <row r="852" ht="15" customHeight="1">
      <c r="A852" t="inlineStr">
        <is>
          <t>A 22716-2022</t>
        </is>
      </c>
      <c r="B852" s="1" t="n">
        <v>44714</v>
      </c>
      <c r="C852" s="1" t="n">
        <v>45750</v>
      </c>
      <c r="D852" t="inlineStr">
        <is>
          <t>STOCKHOLMS LÄN</t>
        </is>
      </c>
      <c r="E852" t="inlineStr">
        <is>
          <t>NORRTÄLJE</t>
        </is>
      </c>
      <c r="G852" t="n">
        <v>13.5</v>
      </c>
      <c r="H852" t="n">
        <v>0</v>
      </c>
      <c r="I852" t="n">
        <v>0</v>
      </c>
      <c r="J852" t="n">
        <v>0</v>
      </c>
      <c r="K852" t="n">
        <v>0</v>
      </c>
      <c r="L852" t="n">
        <v>0</v>
      </c>
      <c r="M852" t="n">
        <v>0</v>
      </c>
      <c r="N852" t="n">
        <v>0</v>
      </c>
      <c r="O852" t="n">
        <v>0</v>
      </c>
      <c r="P852" t="n">
        <v>0</v>
      </c>
      <c r="Q852" t="n">
        <v>0</v>
      </c>
      <c r="R852" s="2" t="inlineStr"/>
    </row>
    <row r="853" ht="15" customHeight="1">
      <c r="A853" t="inlineStr">
        <is>
          <t>A 22756-2022</t>
        </is>
      </c>
      <c r="B853" s="1" t="n">
        <v>44715</v>
      </c>
      <c r="C853" s="1" t="n">
        <v>45750</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23125-2022</t>
        </is>
      </c>
      <c r="B854" s="1" t="n">
        <v>44719</v>
      </c>
      <c r="C854" s="1" t="n">
        <v>45750</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23770-2022</t>
        </is>
      </c>
      <c r="B855" s="1" t="n">
        <v>44722</v>
      </c>
      <c r="C855" s="1" t="n">
        <v>45750</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23801-2022</t>
        </is>
      </c>
      <c r="B856" s="1" t="n">
        <v>44722</v>
      </c>
      <c r="C856" s="1" t="n">
        <v>45750</v>
      </c>
      <c r="D856" t="inlineStr">
        <is>
          <t>STOCKHOLMS LÄN</t>
        </is>
      </c>
      <c r="E856" t="inlineStr">
        <is>
          <t>NORRTÄLJE</t>
        </is>
      </c>
      <c r="G856" t="n">
        <v>6.8</v>
      </c>
      <c r="H856" t="n">
        <v>0</v>
      </c>
      <c r="I856" t="n">
        <v>0</v>
      </c>
      <c r="J856" t="n">
        <v>0</v>
      </c>
      <c r="K856" t="n">
        <v>0</v>
      </c>
      <c r="L856" t="n">
        <v>0</v>
      </c>
      <c r="M856" t="n">
        <v>0</v>
      </c>
      <c r="N856" t="n">
        <v>0</v>
      </c>
      <c r="O856" t="n">
        <v>0</v>
      </c>
      <c r="P856" t="n">
        <v>0</v>
      </c>
      <c r="Q856" t="n">
        <v>0</v>
      </c>
      <c r="R856" s="2" t="inlineStr"/>
    </row>
    <row r="857" ht="15" customHeight="1">
      <c r="A857" t="inlineStr">
        <is>
          <t>A 24101-2022</t>
        </is>
      </c>
      <c r="B857" s="1" t="n">
        <v>44725</v>
      </c>
      <c r="C857" s="1" t="n">
        <v>45750</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24162-2022</t>
        </is>
      </c>
      <c r="B858" s="1" t="n">
        <v>44725</v>
      </c>
      <c r="C858" s="1" t="n">
        <v>45750</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24167-2022</t>
        </is>
      </c>
      <c r="B859" s="1" t="n">
        <v>44725</v>
      </c>
      <c r="C859" s="1" t="n">
        <v>45750</v>
      </c>
      <c r="D859" t="inlineStr">
        <is>
          <t>STOCKHOLMS LÄN</t>
        </is>
      </c>
      <c r="E859" t="inlineStr">
        <is>
          <t>NORRTÄLJE</t>
        </is>
      </c>
      <c r="G859" t="n">
        <v>3.4</v>
      </c>
      <c r="H859" t="n">
        <v>0</v>
      </c>
      <c r="I859" t="n">
        <v>0</v>
      </c>
      <c r="J859" t="n">
        <v>0</v>
      </c>
      <c r="K859" t="n">
        <v>0</v>
      </c>
      <c r="L859" t="n">
        <v>0</v>
      </c>
      <c r="M859" t="n">
        <v>0</v>
      </c>
      <c r="N859" t="n">
        <v>0</v>
      </c>
      <c r="O859" t="n">
        <v>0</v>
      </c>
      <c r="P859" t="n">
        <v>0</v>
      </c>
      <c r="Q859" t="n">
        <v>0</v>
      </c>
      <c r="R859" s="2" t="inlineStr"/>
    </row>
    <row r="860" ht="15" customHeight="1">
      <c r="A860" t="inlineStr">
        <is>
          <t>A 24152-2022</t>
        </is>
      </c>
      <c r="B860" s="1" t="n">
        <v>44725</v>
      </c>
      <c r="C860" s="1" t="n">
        <v>45750</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24534-2022</t>
        </is>
      </c>
      <c r="B861" s="1" t="n">
        <v>44727</v>
      </c>
      <c r="C861" s="1" t="n">
        <v>45750</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24977-2022</t>
        </is>
      </c>
      <c r="B862" s="1" t="n">
        <v>44728</v>
      </c>
      <c r="C862" s="1" t="n">
        <v>45750</v>
      </c>
      <c r="D862" t="inlineStr">
        <is>
          <t>STOCKHOLMS LÄN</t>
        </is>
      </c>
      <c r="E862" t="inlineStr">
        <is>
          <t>NORRTÄLJE</t>
        </is>
      </c>
      <c r="F862" t="inlineStr">
        <is>
          <t>Kyrkan</t>
        </is>
      </c>
      <c r="G862" t="n">
        <v>1</v>
      </c>
      <c r="H862" t="n">
        <v>0</v>
      </c>
      <c r="I862" t="n">
        <v>0</v>
      </c>
      <c r="J862" t="n">
        <v>0</v>
      </c>
      <c r="K862" t="n">
        <v>0</v>
      </c>
      <c r="L862" t="n">
        <v>0</v>
      </c>
      <c r="M862" t="n">
        <v>0</v>
      </c>
      <c r="N862" t="n">
        <v>0</v>
      </c>
      <c r="O862" t="n">
        <v>0</v>
      </c>
      <c r="P862" t="n">
        <v>0</v>
      </c>
      <c r="Q862" t="n">
        <v>0</v>
      </c>
      <c r="R862" s="2" t="inlineStr"/>
    </row>
    <row r="863" ht="15" customHeight="1">
      <c r="A863" t="inlineStr">
        <is>
          <t>A 25525-2022</t>
        </is>
      </c>
      <c r="B863" s="1" t="n">
        <v>44732</v>
      </c>
      <c r="C863" s="1" t="n">
        <v>45750</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25621-2022</t>
        </is>
      </c>
      <c r="B864" s="1" t="n">
        <v>44732</v>
      </c>
      <c r="C864" s="1" t="n">
        <v>45750</v>
      </c>
      <c r="D864" t="inlineStr">
        <is>
          <t>STOCKHOLMS LÄN</t>
        </is>
      </c>
      <c r="E864" t="inlineStr">
        <is>
          <t>NORRTÄLJE</t>
        </is>
      </c>
      <c r="G864" t="n">
        <v>3.1</v>
      </c>
      <c r="H864" t="n">
        <v>0</v>
      </c>
      <c r="I864" t="n">
        <v>0</v>
      </c>
      <c r="J864" t="n">
        <v>0</v>
      </c>
      <c r="K864" t="n">
        <v>0</v>
      </c>
      <c r="L864" t="n">
        <v>0</v>
      </c>
      <c r="M864" t="n">
        <v>0</v>
      </c>
      <c r="N864" t="n">
        <v>0</v>
      </c>
      <c r="O864" t="n">
        <v>0</v>
      </c>
      <c r="P864" t="n">
        <v>0</v>
      </c>
      <c r="Q864" t="n">
        <v>0</v>
      </c>
      <c r="R864" s="2" t="inlineStr"/>
    </row>
    <row r="865" ht="15" customHeight="1">
      <c r="A865" t="inlineStr">
        <is>
          <t>A 25619-2022</t>
        </is>
      </c>
      <c r="B865" s="1" t="n">
        <v>44732</v>
      </c>
      <c r="C865" s="1" t="n">
        <v>45750</v>
      </c>
      <c r="D865" t="inlineStr">
        <is>
          <t>STOCKHOLMS LÄN</t>
        </is>
      </c>
      <c r="E865" t="inlineStr">
        <is>
          <t>NORRTÄLJE</t>
        </is>
      </c>
      <c r="G865" t="n">
        <v>3.9</v>
      </c>
      <c r="H865" t="n">
        <v>0</v>
      </c>
      <c r="I865" t="n">
        <v>0</v>
      </c>
      <c r="J865" t="n">
        <v>0</v>
      </c>
      <c r="K865" t="n">
        <v>0</v>
      </c>
      <c r="L865" t="n">
        <v>0</v>
      </c>
      <c r="M865" t="n">
        <v>0</v>
      </c>
      <c r="N865" t="n">
        <v>0</v>
      </c>
      <c r="O865" t="n">
        <v>0</v>
      </c>
      <c r="P865" t="n">
        <v>0</v>
      </c>
      <c r="Q865" t="n">
        <v>0</v>
      </c>
      <c r="R865" s="2" t="inlineStr"/>
    </row>
    <row r="866" ht="15" customHeight="1">
      <c r="A866" t="inlineStr">
        <is>
          <t>A 26328-2022</t>
        </is>
      </c>
      <c r="B866" s="1" t="n">
        <v>44735</v>
      </c>
      <c r="C866" s="1" t="n">
        <v>45750</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26335-2022</t>
        </is>
      </c>
      <c r="B867" s="1" t="n">
        <v>44735</v>
      </c>
      <c r="C867" s="1" t="n">
        <v>45750</v>
      </c>
      <c r="D867" t="inlineStr">
        <is>
          <t>STOCKHOLMS LÄN</t>
        </is>
      </c>
      <c r="E867" t="inlineStr">
        <is>
          <t>NORRTÄLJE</t>
        </is>
      </c>
      <c r="G867" t="n">
        <v>3.3</v>
      </c>
      <c r="H867" t="n">
        <v>0</v>
      </c>
      <c r="I867" t="n">
        <v>0</v>
      </c>
      <c r="J867" t="n">
        <v>0</v>
      </c>
      <c r="K867" t="n">
        <v>0</v>
      </c>
      <c r="L867" t="n">
        <v>0</v>
      </c>
      <c r="M867" t="n">
        <v>0</v>
      </c>
      <c r="N867" t="n">
        <v>0</v>
      </c>
      <c r="O867" t="n">
        <v>0</v>
      </c>
      <c r="P867" t="n">
        <v>0</v>
      </c>
      <c r="Q867" t="n">
        <v>0</v>
      </c>
      <c r="R867" s="2" t="inlineStr"/>
    </row>
    <row r="868" ht="15" customHeight="1">
      <c r="A868" t="inlineStr">
        <is>
          <t>A 27538-2022</t>
        </is>
      </c>
      <c r="B868" s="1" t="n">
        <v>44742</v>
      </c>
      <c r="C868" s="1" t="n">
        <v>45750</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27715-2022</t>
        </is>
      </c>
      <c r="B869" s="1" t="n">
        <v>44743</v>
      </c>
      <c r="C869" s="1" t="n">
        <v>45750</v>
      </c>
      <c r="D869" t="inlineStr">
        <is>
          <t>STOCKHOLMS LÄN</t>
        </is>
      </c>
      <c r="E869" t="inlineStr">
        <is>
          <t>NORRTÄLJE</t>
        </is>
      </c>
      <c r="G869" t="n">
        <v>2.2</v>
      </c>
      <c r="H869" t="n">
        <v>0</v>
      </c>
      <c r="I869" t="n">
        <v>0</v>
      </c>
      <c r="J869" t="n">
        <v>0</v>
      </c>
      <c r="K869" t="n">
        <v>0</v>
      </c>
      <c r="L869" t="n">
        <v>0</v>
      </c>
      <c r="M869" t="n">
        <v>0</v>
      </c>
      <c r="N869" t="n">
        <v>0</v>
      </c>
      <c r="O869" t="n">
        <v>0</v>
      </c>
      <c r="P869" t="n">
        <v>0</v>
      </c>
      <c r="Q869" t="n">
        <v>0</v>
      </c>
      <c r="R869" s="2" t="inlineStr"/>
    </row>
    <row r="870" ht="15" customHeight="1">
      <c r="A870" t="inlineStr">
        <is>
          <t>A 27827-2022</t>
        </is>
      </c>
      <c r="B870" s="1" t="n">
        <v>44743</v>
      </c>
      <c r="C870" s="1" t="n">
        <v>45750</v>
      </c>
      <c r="D870" t="inlineStr">
        <is>
          <t>STOCKHOLMS LÄN</t>
        </is>
      </c>
      <c r="E870" t="inlineStr">
        <is>
          <t>NORRTÄLJE</t>
        </is>
      </c>
      <c r="F870" t="inlineStr">
        <is>
          <t>Holmen skog AB</t>
        </is>
      </c>
      <c r="G870" t="n">
        <v>4.7</v>
      </c>
      <c r="H870" t="n">
        <v>0</v>
      </c>
      <c r="I870" t="n">
        <v>0</v>
      </c>
      <c r="J870" t="n">
        <v>0</v>
      </c>
      <c r="K870" t="n">
        <v>0</v>
      </c>
      <c r="L870" t="n">
        <v>0</v>
      </c>
      <c r="M870" t="n">
        <v>0</v>
      </c>
      <c r="N870" t="n">
        <v>0</v>
      </c>
      <c r="O870" t="n">
        <v>0</v>
      </c>
      <c r="P870" t="n">
        <v>0</v>
      </c>
      <c r="Q870" t="n">
        <v>0</v>
      </c>
      <c r="R870" s="2" t="inlineStr"/>
    </row>
    <row r="871" ht="15" customHeight="1">
      <c r="A871" t="inlineStr">
        <is>
          <t>A 27870-2022</t>
        </is>
      </c>
      <c r="B871" s="1" t="n">
        <v>44743</v>
      </c>
      <c r="C871" s="1" t="n">
        <v>45750</v>
      </c>
      <c r="D871" t="inlineStr">
        <is>
          <t>STOCKHOLMS LÄN</t>
        </is>
      </c>
      <c r="E871" t="inlineStr">
        <is>
          <t>NORRTÄLJE</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27828-2022</t>
        </is>
      </c>
      <c r="B872" s="1" t="n">
        <v>44743</v>
      </c>
      <c r="C872" s="1" t="n">
        <v>45750</v>
      </c>
      <c r="D872" t="inlineStr">
        <is>
          <t>STOCKHOLMS LÄN</t>
        </is>
      </c>
      <c r="E872" t="inlineStr">
        <is>
          <t>NORRTÄLJE</t>
        </is>
      </c>
      <c r="F872" t="inlineStr">
        <is>
          <t>Kommuner</t>
        </is>
      </c>
      <c r="G872" t="n">
        <v>1.6</v>
      </c>
      <c r="H872" t="n">
        <v>0</v>
      </c>
      <c r="I872" t="n">
        <v>0</v>
      </c>
      <c r="J872" t="n">
        <v>0</v>
      </c>
      <c r="K872" t="n">
        <v>0</v>
      </c>
      <c r="L872" t="n">
        <v>0</v>
      </c>
      <c r="M872" t="n">
        <v>0</v>
      </c>
      <c r="N872" t="n">
        <v>0</v>
      </c>
      <c r="O872" t="n">
        <v>0</v>
      </c>
      <c r="P872" t="n">
        <v>0</v>
      </c>
      <c r="Q872" t="n">
        <v>0</v>
      </c>
      <c r="R872" s="2" t="inlineStr"/>
    </row>
    <row r="873" ht="15" customHeight="1">
      <c r="A873" t="inlineStr">
        <is>
          <t>A 27824-2022</t>
        </is>
      </c>
      <c r="B873" s="1" t="n">
        <v>44743</v>
      </c>
      <c r="C873" s="1" t="n">
        <v>45750</v>
      </c>
      <c r="D873" t="inlineStr">
        <is>
          <t>STOCKHOLMS LÄN</t>
        </is>
      </c>
      <c r="E873" t="inlineStr">
        <is>
          <t>NORRTÄLJE</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27831-2022</t>
        </is>
      </c>
      <c r="B874" s="1" t="n">
        <v>44743</v>
      </c>
      <c r="C874" s="1" t="n">
        <v>45750</v>
      </c>
      <c r="D874" t="inlineStr">
        <is>
          <t>STOCKHOLMS LÄN</t>
        </is>
      </c>
      <c r="E874" t="inlineStr">
        <is>
          <t>NORRTÄLJE</t>
        </is>
      </c>
      <c r="F874" t="inlineStr">
        <is>
          <t>Kommuner</t>
        </is>
      </c>
      <c r="G874" t="n">
        <v>4</v>
      </c>
      <c r="H874" t="n">
        <v>0</v>
      </c>
      <c r="I874" t="n">
        <v>0</v>
      </c>
      <c r="J874" t="n">
        <v>0</v>
      </c>
      <c r="K874" t="n">
        <v>0</v>
      </c>
      <c r="L874" t="n">
        <v>0</v>
      </c>
      <c r="M874" t="n">
        <v>0</v>
      </c>
      <c r="N874" t="n">
        <v>0</v>
      </c>
      <c r="O874" t="n">
        <v>0</v>
      </c>
      <c r="P874" t="n">
        <v>0</v>
      </c>
      <c r="Q874" t="n">
        <v>0</v>
      </c>
      <c r="R874" s="2" t="inlineStr"/>
    </row>
    <row r="875" ht="15" customHeight="1">
      <c r="A875" t="inlineStr">
        <is>
          <t>A 27885-2022</t>
        </is>
      </c>
      <c r="B875" s="1" t="n">
        <v>44743</v>
      </c>
      <c r="C875" s="1" t="n">
        <v>45750</v>
      </c>
      <c r="D875" t="inlineStr">
        <is>
          <t>STOCKHOLMS LÄN</t>
        </is>
      </c>
      <c r="E875" t="inlineStr">
        <is>
          <t>NORRTÄLJE</t>
        </is>
      </c>
      <c r="F875" t="inlineStr">
        <is>
          <t>Holmen skog AB</t>
        </is>
      </c>
      <c r="G875" t="n">
        <v>0.8</v>
      </c>
      <c r="H875" t="n">
        <v>0</v>
      </c>
      <c r="I875" t="n">
        <v>0</v>
      </c>
      <c r="J875" t="n">
        <v>0</v>
      </c>
      <c r="K875" t="n">
        <v>0</v>
      </c>
      <c r="L875" t="n">
        <v>0</v>
      </c>
      <c r="M875" t="n">
        <v>0</v>
      </c>
      <c r="N875" t="n">
        <v>0</v>
      </c>
      <c r="O875" t="n">
        <v>0</v>
      </c>
      <c r="P875" t="n">
        <v>0</v>
      </c>
      <c r="Q875" t="n">
        <v>0</v>
      </c>
      <c r="R875" s="2" t="inlineStr"/>
    </row>
    <row r="876" ht="15" customHeight="1">
      <c r="A876" t="inlineStr">
        <is>
          <t>A 27867-2022</t>
        </is>
      </c>
      <c r="B876" s="1" t="n">
        <v>44743</v>
      </c>
      <c r="C876" s="1" t="n">
        <v>45750</v>
      </c>
      <c r="D876" t="inlineStr">
        <is>
          <t>STOCKHOLMS LÄN</t>
        </is>
      </c>
      <c r="E876" t="inlineStr">
        <is>
          <t>NORRTÄLJE</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28042-2022</t>
        </is>
      </c>
      <c r="B877" s="1" t="n">
        <v>44744</v>
      </c>
      <c r="C877" s="1" t="n">
        <v>45750</v>
      </c>
      <c r="D877" t="inlineStr">
        <is>
          <t>STOCKHOLMS LÄN</t>
        </is>
      </c>
      <c r="E877" t="inlineStr">
        <is>
          <t>NORRTÄLJE</t>
        </is>
      </c>
      <c r="G877" t="n">
        <v>0.2</v>
      </c>
      <c r="H877" t="n">
        <v>0</v>
      </c>
      <c r="I877" t="n">
        <v>0</v>
      </c>
      <c r="J877" t="n">
        <v>0</v>
      </c>
      <c r="K877" t="n">
        <v>0</v>
      </c>
      <c r="L877" t="n">
        <v>0</v>
      </c>
      <c r="M877" t="n">
        <v>0</v>
      </c>
      <c r="N877" t="n">
        <v>0</v>
      </c>
      <c r="O877" t="n">
        <v>0</v>
      </c>
      <c r="P877" t="n">
        <v>0</v>
      </c>
      <c r="Q877" t="n">
        <v>0</v>
      </c>
      <c r="R877" s="2" t="inlineStr"/>
    </row>
    <row r="878" ht="15" customHeight="1">
      <c r="A878" t="inlineStr">
        <is>
          <t>A 28100-2022</t>
        </is>
      </c>
      <c r="B878" s="1" t="n">
        <v>44746</v>
      </c>
      <c r="C878" s="1" t="n">
        <v>45750</v>
      </c>
      <c r="D878" t="inlineStr">
        <is>
          <t>STOCKHOLMS LÄN</t>
        </is>
      </c>
      <c r="E878" t="inlineStr">
        <is>
          <t>NORRTÄLJE</t>
        </is>
      </c>
      <c r="F878" t="inlineStr">
        <is>
          <t>Holmen skog AB</t>
        </is>
      </c>
      <c r="G878" t="n">
        <v>5.8</v>
      </c>
      <c r="H878" t="n">
        <v>0</v>
      </c>
      <c r="I878" t="n">
        <v>0</v>
      </c>
      <c r="J878" t="n">
        <v>0</v>
      </c>
      <c r="K878" t="n">
        <v>0</v>
      </c>
      <c r="L878" t="n">
        <v>0</v>
      </c>
      <c r="M878" t="n">
        <v>0</v>
      </c>
      <c r="N878" t="n">
        <v>0</v>
      </c>
      <c r="O878" t="n">
        <v>0</v>
      </c>
      <c r="P878" t="n">
        <v>0</v>
      </c>
      <c r="Q878" t="n">
        <v>0</v>
      </c>
      <c r="R878" s="2" t="inlineStr"/>
    </row>
    <row r="879" ht="15" customHeight="1">
      <c r="A879" t="inlineStr">
        <is>
          <t>A 28182-2022</t>
        </is>
      </c>
      <c r="B879" s="1" t="n">
        <v>44746</v>
      </c>
      <c r="C879" s="1" t="n">
        <v>45750</v>
      </c>
      <c r="D879" t="inlineStr">
        <is>
          <t>STOCKHOLMS LÄN</t>
        </is>
      </c>
      <c r="E879" t="inlineStr">
        <is>
          <t>NORRTÄLJE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28209-2022</t>
        </is>
      </c>
      <c r="B880" s="1" t="n">
        <v>44746</v>
      </c>
      <c r="C880" s="1" t="n">
        <v>45750</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28365-2022</t>
        </is>
      </c>
      <c r="B881" s="1" t="n">
        <v>44747</v>
      </c>
      <c r="C881" s="1" t="n">
        <v>45750</v>
      </c>
      <c r="D881" t="inlineStr">
        <is>
          <t>STOCKHOLMS LÄN</t>
        </is>
      </c>
      <c r="E881" t="inlineStr">
        <is>
          <t>NORRTÄLJE</t>
        </is>
      </c>
      <c r="G881" t="n">
        <v>5.1</v>
      </c>
      <c r="H881" t="n">
        <v>0</v>
      </c>
      <c r="I881" t="n">
        <v>0</v>
      </c>
      <c r="J881" t="n">
        <v>0</v>
      </c>
      <c r="K881" t="n">
        <v>0</v>
      </c>
      <c r="L881" t="n">
        <v>0</v>
      </c>
      <c r="M881" t="n">
        <v>0</v>
      </c>
      <c r="N881" t="n">
        <v>0</v>
      </c>
      <c r="O881" t="n">
        <v>0</v>
      </c>
      <c r="P881" t="n">
        <v>0</v>
      </c>
      <c r="Q881" t="n">
        <v>0</v>
      </c>
      <c r="R881" s="2" t="inlineStr"/>
    </row>
    <row r="882" ht="15" customHeight="1">
      <c r="A882" t="inlineStr">
        <is>
          <t>A 28900-2022</t>
        </is>
      </c>
      <c r="B882" s="1" t="n">
        <v>44749</v>
      </c>
      <c r="C882" s="1" t="n">
        <v>45750</v>
      </c>
      <c r="D882" t="inlineStr">
        <is>
          <t>STOCKHOLMS LÄN</t>
        </is>
      </c>
      <c r="E882" t="inlineStr">
        <is>
          <t>NORRTÄLJE</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28959-2022</t>
        </is>
      </c>
      <c r="B883" s="1" t="n">
        <v>44749</v>
      </c>
      <c r="C883" s="1" t="n">
        <v>45750</v>
      </c>
      <c r="D883" t="inlineStr">
        <is>
          <t>STOCKHOLMS LÄN</t>
        </is>
      </c>
      <c r="E883" t="inlineStr">
        <is>
          <t>NORRTÄLJE</t>
        </is>
      </c>
      <c r="G883" t="n">
        <v>5.2</v>
      </c>
      <c r="H883" t="n">
        <v>0</v>
      </c>
      <c r="I883" t="n">
        <v>0</v>
      </c>
      <c r="J883" t="n">
        <v>0</v>
      </c>
      <c r="K883" t="n">
        <v>0</v>
      </c>
      <c r="L883" t="n">
        <v>0</v>
      </c>
      <c r="M883" t="n">
        <v>0</v>
      </c>
      <c r="N883" t="n">
        <v>0</v>
      </c>
      <c r="O883" t="n">
        <v>0</v>
      </c>
      <c r="P883" t="n">
        <v>0</v>
      </c>
      <c r="Q883" t="n">
        <v>0</v>
      </c>
      <c r="R883" s="2" t="inlineStr"/>
    </row>
    <row r="884" ht="15" customHeight="1">
      <c r="A884" t="inlineStr">
        <is>
          <t>A 29070-2022</t>
        </is>
      </c>
      <c r="B884" s="1" t="n">
        <v>44750</v>
      </c>
      <c r="C884" s="1" t="n">
        <v>45750</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29266-2022</t>
        </is>
      </c>
      <c r="B885" s="1" t="n">
        <v>44750</v>
      </c>
      <c r="C885" s="1" t="n">
        <v>45750</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29278-2022</t>
        </is>
      </c>
      <c r="B886" s="1" t="n">
        <v>44750</v>
      </c>
      <c r="C886" s="1" t="n">
        <v>45750</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29362-2022</t>
        </is>
      </c>
      <c r="B887" s="1" t="n">
        <v>44753</v>
      </c>
      <c r="C887" s="1" t="n">
        <v>45750</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29395-2022</t>
        </is>
      </c>
      <c r="B888" s="1" t="n">
        <v>44753</v>
      </c>
      <c r="C888" s="1" t="n">
        <v>45750</v>
      </c>
      <c r="D888" t="inlineStr">
        <is>
          <t>STOCKHOLMS LÄN</t>
        </is>
      </c>
      <c r="E888" t="inlineStr">
        <is>
          <t>NORRTÄLJE</t>
        </is>
      </c>
      <c r="F888" t="inlineStr">
        <is>
          <t>Holmen skog AB</t>
        </is>
      </c>
      <c r="G888" t="n">
        <v>4.1</v>
      </c>
      <c r="H888" t="n">
        <v>0</v>
      </c>
      <c r="I888" t="n">
        <v>0</v>
      </c>
      <c r="J888" t="n">
        <v>0</v>
      </c>
      <c r="K888" t="n">
        <v>0</v>
      </c>
      <c r="L888" t="n">
        <v>0</v>
      </c>
      <c r="M888" t="n">
        <v>0</v>
      </c>
      <c r="N888" t="n">
        <v>0</v>
      </c>
      <c r="O888" t="n">
        <v>0</v>
      </c>
      <c r="P888" t="n">
        <v>0</v>
      </c>
      <c r="Q888" t="n">
        <v>0</v>
      </c>
      <c r="R888" s="2" t="inlineStr"/>
    </row>
    <row r="889" ht="15" customHeight="1">
      <c r="A889" t="inlineStr">
        <is>
          <t>A 29868-2022</t>
        </is>
      </c>
      <c r="B889" s="1" t="n">
        <v>44756</v>
      </c>
      <c r="C889" s="1" t="n">
        <v>45750</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30151-2022</t>
        </is>
      </c>
      <c r="B890" s="1" t="n">
        <v>44757</v>
      </c>
      <c r="C890" s="1" t="n">
        <v>45750</v>
      </c>
      <c r="D890" t="inlineStr">
        <is>
          <t>STOCKHOLMS LÄN</t>
        </is>
      </c>
      <c r="E890" t="inlineStr">
        <is>
          <t>NORRTÄLJE</t>
        </is>
      </c>
      <c r="G890" t="n">
        <v>12.6</v>
      </c>
      <c r="H890" t="n">
        <v>0</v>
      </c>
      <c r="I890" t="n">
        <v>0</v>
      </c>
      <c r="J890" t="n">
        <v>0</v>
      </c>
      <c r="K890" t="n">
        <v>0</v>
      </c>
      <c r="L890" t="n">
        <v>0</v>
      </c>
      <c r="M890" t="n">
        <v>0</v>
      </c>
      <c r="N890" t="n">
        <v>0</v>
      </c>
      <c r="O890" t="n">
        <v>0</v>
      </c>
      <c r="P890" t="n">
        <v>0</v>
      </c>
      <c r="Q890" t="n">
        <v>0</v>
      </c>
      <c r="R890" s="2" t="inlineStr"/>
    </row>
    <row r="891" ht="15" customHeight="1">
      <c r="A891" t="inlineStr">
        <is>
          <t>A 30164-2022</t>
        </is>
      </c>
      <c r="B891" s="1" t="n">
        <v>44757</v>
      </c>
      <c r="C891" s="1" t="n">
        <v>45750</v>
      </c>
      <c r="D891" t="inlineStr">
        <is>
          <t>STOCKHOLMS LÄN</t>
        </is>
      </c>
      <c r="E891" t="inlineStr">
        <is>
          <t>NORRTÄLJE</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30171-2022</t>
        </is>
      </c>
      <c r="B892" s="1" t="n">
        <v>44757</v>
      </c>
      <c r="C892" s="1" t="n">
        <v>45750</v>
      </c>
      <c r="D892" t="inlineStr">
        <is>
          <t>STOCKHOLMS LÄN</t>
        </is>
      </c>
      <c r="E892" t="inlineStr">
        <is>
          <t>NORRTÄLJE</t>
        </is>
      </c>
      <c r="F892" t="inlineStr">
        <is>
          <t>Holmen skog AB</t>
        </is>
      </c>
      <c r="G892" t="n">
        <v>6.3</v>
      </c>
      <c r="H892" t="n">
        <v>0</v>
      </c>
      <c r="I892" t="n">
        <v>0</v>
      </c>
      <c r="J892" t="n">
        <v>0</v>
      </c>
      <c r="K892" t="n">
        <v>0</v>
      </c>
      <c r="L892" t="n">
        <v>0</v>
      </c>
      <c r="M892" t="n">
        <v>0</v>
      </c>
      <c r="N892" t="n">
        <v>0</v>
      </c>
      <c r="O892" t="n">
        <v>0</v>
      </c>
      <c r="P892" t="n">
        <v>0</v>
      </c>
      <c r="Q892" t="n">
        <v>0</v>
      </c>
      <c r="R892" s="2" t="inlineStr"/>
    </row>
    <row r="893" ht="15" customHeight="1">
      <c r="A893" t="inlineStr">
        <is>
          <t>A 30283-2022</t>
        </is>
      </c>
      <c r="B893" s="1" t="n">
        <v>44760</v>
      </c>
      <c r="C893" s="1" t="n">
        <v>45750</v>
      </c>
      <c r="D893" t="inlineStr">
        <is>
          <t>STOCKHOLMS LÄN</t>
        </is>
      </c>
      <c r="E893" t="inlineStr">
        <is>
          <t>NORRTÄLJE</t>
        </is>
      </c>
      <c r="G893" t="n">
        <v>6.2</v>
      </c>
      <c r="H893" t="n">
        <v>0</v>
      </c>
      <c r="I893" t="n">
        <v>0</v>
      </c>
      <c r="J893" t="n">
        <v>0</v>
      </c>
      <c r="K893" t="n">
        <v>0</v>
      </c>
      <c r="L893" t="n">
        <v>0</v>
      </c>
      <c r="M893" t="n">
        <v>0</v>
      </c>
      <c r="N893" t="n">
        <v>0</v>
      </c>
      <c r="O893" t="n">
        <v>0</v>
      </c>
      <c r="P893" t="n">
        <v>0</v>
      </c>
      <c r="Q893" t="n">
        <v>0</v>
      </c>
      <c r="R893" s="2" t="inlineStr"/>
    </row>
    <row r="894" ht="15" customHeight="1">
      <c r="A894" t="inlineStr">
        <is>
          <t>A 30338-2022</t>
        </is>
      </c>
      <c r="B894" s="1" t="n">
        <v>44760</v>
      </c>
      <c r="C894" s="1" t="n">
        <v>45750</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30286-2022</t>
        </is>
      </c>
      <c r="B895" s="1" t="n">
        <v>44760</v>
      </c>
      <c r="C895" s="1" t="n">
        <v>45750</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30290-2022</t>
        </is>
      </c>
      <c r="B896" s="1" t="n">
        <v>44760</v>
      </c>
      <c r="C896" s="1" t="n">
        <v>45750</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30620-2022</t>
        </is>
      </c>
      <c r="B897" s="1" t="n">
        <v>44763</v>
      </c>
      <c r="C897" s="1" t="n">
        <v>45750</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30624-2022</t>
        </is>
      </c>
      <c r="B898" s="1" t="n">
        <v>44763</v>
      </c>
      <c r="C898" s="1" t="n">
        <v>45750</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30758-2022</t>
        </is>
      </c>
      <c r="B899" s="1" t="n">
        <v>44764</v>
      </c>
      <c r="C899" s="1" t="n">
        <v>45750</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30740-2022</t>
        </is>
      </c>
      <c r="B900" s="1" t="n">
        <v>44764</v>
      </c>
      <c r="C900" s="1" t="n">
        <v>45750</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30750-2022</t>
        </is>
      </c>
      <c r="B901" s="1" t="n">
        <v>44764</v>
      </c>
      <c r="C901" s="1" t="n">
        <v>45750</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30802-2022</t>
        </is>
      </c>
      <c r="B902" s="1" t="n">
        <v>44764</v>
      </c>
      <c r="C902" s="1" t="n">
        <v>45750</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30886-2022</t>
        </is>
      </c>
      <c r="B903" s="1" t="n">
        <v>44767</v>
      </c>
      <c r="C903" s="1" t="n">
        <v>45750</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31102-2022</t>
        </is>
      </c>
      <c r="B904" s="1" t="n">
        <v>44769</v>
      </c>
      <c r="C904" s="1" t="n">
        <v>45750</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31092-2022</t>
        </is>
      </c>
      <c r="B905" s="1" t="n">
        <v>44769</v>
      </c>
      <c r="C905" s="1" t="n">
        <v>45750</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31052-2022</t>
        </is>
      </c>
      <c r="B906" s="1" t="n">
        <v>44769</v>
      </c>
      <c r="C906" s="1" t="n">
        <v>45750</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31105-2022</t>
        </is>
      </c>
      <c r="B907" s="1" t="n">
        <v>44769</v>
      </c>
      <c r="C907" s="1" t="n">
        <v>45750</v>
      </c>
      <c r="D907" t="inlineStr">
        <is>
          <t>STOCKHOLMS LÄN</t>
        </is>
      </c>
      <c r="E907" t="inlineStr">
        <is>
          <t>NORRTÄLJE</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31107-2022</t>
        </is>
      </c>
      <c r="B908" s="1" t="n">
        <v>44769</v>
      </c>
      <c r="C908" s="1" t="n">
        <v>45750</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31057-2022</t>
        </is>
      </c>
      <c r="B909" s="1" t="n">
        <v>44769</v>
      </c>
      <c r="C909" s="1" t="n">
        <v>45750</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31236-2022</t>
        </is>
      </c>
      <c r="B910" s="1" t="n">
        <v>44771</v>
      </c>
      <c r="C910" s="1" t="n">
        <v>45750</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31281-2022</t>
        </is>
      </c>
      <c r="B911" s="1" t="n">
        <v>44771</v>
      </c>
      <c r="C911" s="1" t="n">
        <v>45750</v>
      </c>
      <c r="D911" t="inlineStr">
        <is>
          <t>STOCKHOLMS LÄN</t>
        </is>
      </c>
      <c r="E911" t="inlineStr">
        <is>
          <t>NORRTÄLJE</t>
        </is>
      </c>
      <c r="F911" t="inlineStr">
        <is>
          <t>Holmen skog AB</t>
        </is>
      </c>
      <c r="G911" t="n">
        <v>5.2</v>
      </c>
      <c r="H911" t="n">
        <v>0</v>
      </c>
      <c r="I911" t="n">
        <v>0</v>
      </c>
      <c r="J911" t="n">
        <v>0</v>
      </c>
      <c r="K911" t="n">
        <v>0</v>
      </c>
      <c r="L911" t="n">
        <v>0</v>
      </c>
      <c r="M911" t="n">
        <v>0</v>
      </c>
      <c r="N911" t="n">
        <v>0</v>
      </c>
      <c r="O911" t="n">
        <v>0</v>
      </c>
      <c r="P911" t="n">
        <v>0</v>
      </c>
      <c r="Q911" t="n">
        <v>0</v>
      </c>
      <c r="R911" s="2" t="inlineStr"/>
    </row>
    <row r="912" ht="15" customHeight="1">
      <c r="A912" t="inlineStr">
        <is>
          <t>A 31283-2022</t>
        </is>
      </c>
      <c r="B912" s="1" t="n">
        <v>44771</v>
      </c>
      <c r="C912" s="1" t="n">
        <v>45750</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31559-2022</t>
        </is>
      </c>
      <c r="B913" s="1" t="n">
        <v>44775</v>
      </c>
      <c r="C913" s="1" t="n">
        <v>45750</v>
      </c>
      <c r="D913" t="inlineStr">
        <is>
          <t>STOCKHOLMS LÄN</t>
        </is>
      </c>
      <c r="E913" t="inlineStr">
        <is>
          <t>NORRTÄLJE</t>
        </is>
      </c>
      <c r="G913" t="n">
        <v>5.6</v>
      </c>
      <c r="H913" t="n">
        <v>0</v>
      </c>
      <c r="I913" t="n">
        <v>0</v>
      </c>
      <c r="J913" t="n">
        <v>0</v>
      </c>
      <c r="K913" t="n">
        <v>0</v>
      </c>
      <c r="L913" t="n">
        <v>0</v>
      </c>
      <c r="M913" t="n">
        <v>0</v>
      </c>
      <c r="N913" t="n">
        <v>0</v>
      </c>
      <c r="O913" t="n">
        <v>0</v>
      </c>
      <c r="P913" t="n">
        <v>0</v>
      </c>
      <c r="Q913" t="n">
        <v>0</v>
      </c>
      <c r="R913" s="2" t="inlineStr"/>
    </row>
    <row r="914" ht="15" customHeight="1">
      <c r="A914" t="inlineStr">
        <is>
          <t>A 31807-2022</t>
        </is>
      </c>
      <c r="B914" s="1" t="n">
        <v>44776</v>
      </c>
      <c r="C914" s="1" t="n">
        <v>45750</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31938-2022</t>
        </is>
      </c>
      <c r="B915" s="1" t="n">
        <v>44777</v>
      </c>
      <c r="C915" s="1" t="n">
        <v>45750</v>
      </c>
      <c r="D915" t="inlineStr">
        <is>
          <t>STOCKHOLMS LÄN</t>
        </is>
      </c>
      <c r="E915" t="inlineStr">
        <is>
          <t>NORRTÄLJE</t>
        </is>
      </c>
      <c r="G915" t="n">
        <v>7.8</v>
      </c>
      <c r="H915" t="n">
        <v>0</v>
      </c>
      <c r="I915" t="n">
        <v>0</v>
      </c>
      <c r="J915" t="n">
        <v>0</v>
      </c>
      <c r="K915" t="n">
        <v>0</v>
      </c>
      <c r="L915" t="n">
        <v>0</v>
      </c>
      <c r="M915" t="n">
        <v>0</v>
      </c>
      <c r="N915" t="n">
        <v>0</v>
      </c>
      <c r="O915" t="n">
        <v>0</v>
      </c>
      <c r="P915" t="n">
        <v>0</v>
      </c>
      <c r="Q915" t="n">
        <v>0</v>
      </c>
      <c r="R915" s="2" t="inlineStr"/>
    </row>
    <row r="916" ht="15" customHeight="1">
      <c r="A916" t="inlineStr">
        <is>
          <t>A 31936-2022</t>
        </is>
      </c>
      <c r="B916" s="1" t="n">
        <v>44777</v>
      </c>
      <c r="C916" s="1" t="n">
        <v>45750</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31924-2022</t>
        </is>
      </c>
      <c r="B917" s="1" t="n">
        <v>44777</v>
      </c>
      <c r="C917" s="1" t="n">
        <v>45750</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31939-2022</t>
        </is>
      </c>
      <c r="B918" s="1" t="n">
        <v>44777</v>
      </c>
      <c r="C918" s="1" t="n">
        <v>45750</v>
      </c>
      <c r="D918" t="inlineStr">
        <is>
          <t>STOCKHOLMS LÄN</t>
        </is>
      </c>
      <c r="E918" t="inlineStr">
        <is>
          <t>NORRTÄLJE</t>
        </is>
      </c>
      <c r="G918" t="n">
        <v>13.5</v>
      </c>
      <c r="H918" t="n">
        <v>0</v>
      </c>
      <c r="I918" t="n">
        <v>0</v>
      </c>
      <c r="J918" t="n">
        <v>0</v>
      </c>
      <c r="K918" t="n">
        <v>0</v>
      </c>
      <c r="L918" t="n">
        <v>0</v>
      </c>
      <c r="M918" t="n">
        <v>0</v>
      </c>
      <c r="N918" t="n">
        <v>0</v>
      </c>
      <c r="O918" t="n">
        <v>0</v>
      </c>
      <c r="P918" t="n">
        <v>0</v>
      </c>
      <c r="Q918" t="n">
        <v>0</v>
      </c>
      <c r="R918" s="2" t="inlineStr"/>
    </row>
    <row r="919" ht="15" customHeight="1">
      <c r="A919" t="inlineStr">
        <is>
          <t>A 31926-2022</t>
        </is>
      </c>
      <c r="B919" s="1" t="n">
        <v>44777</v>
      </c>
      <c r="C919" s="1" t="n">
        <v>45750</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31934-2022</t>
        </is>
      </c>
      <c r="B920" s="1" t="n">
        <v>44777</v>
      </c>
      <c r="C920" s="1" t="n">
        <v>45750</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32103-2022</t>
        </is>
      </c>
      <c r="B921" s="1" t="n">
        <v>44778</v>
      </c>
      <c r="C921" s="1" t="n">
        <v>45750</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32111-2022</t>
        </is>
      </c>
      <c r="B922" s="1" t="n">
        <v>44779</v>
      </c>
      <c r="C922" s="1" t="n">
        <v>45750</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32101-2022</t>
        </is>
      </c>
      <c r="B923" s="1" t="n">
        <v>44778</v>
      </c>
      <c r="C923" s="1" t="n">
        <v>45750</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32100-2022</t>
        </is>
      </c>
      <c r="B924" s="1" t="n">
        <v>44778</v>
      </c>
      <c r="C924" s="1" t="n">
        <v>45750</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32102-2022</t>
        </is>
      </c>
      <c r="B925" s="1" t="n">
        <v>44778</v>
      </c>
      <c r="C925" s="1" t="n">
        <v>45750</v>
      </c>
      <c r="D925" t="inlineStr">
        <is>
          <t>STOCKHOLMS LÄN</t>
        </is>
      </c>
      <c r="E925" t="inlineStr">
        <is>
          <t>NORRTÄLJE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32514-2022</t>
        </is>
      </c>
      <c r="B926" s="1" t="n">
        <v>44782</v>
      </c>
      <c r="C926" s="1" t="n">
        <v>45750</v>
      </c>
      <c r="D926" t="inlineStr">
        <is>
          <t>STOCKHOLMS LÄN</t>
        </is>
      </c>
      <c r="E926" t="inlineStr">
        <is>
          <t>NORRTÄLJE</t>
        </is>
      </c>
      <c r="G926" t="n">
        <v>5.1</v>
      </c>
      <c r="H926" t="n">
        <v>0</v>
      </c>
      <c r="I926" t="n">
        <v>0</v>
      </c>
      <c r="J926" t="n">
        <v>0</v>
      </c>
      <c r="K926" t="n">
        <v>0</v>
      </c>
      <c r="L926" t="n">
        <v>0</v>
      </c>
      <c r="M926" t="n">
        <v>0</v>
      </c>
      <c r="N926" t="n">
        <v>0</v>
      </c>
      <c r="O926" t="n">
        <v>0</v>
      </c>
      <c r="P926" t="n">
        <v>0</v>
      </c>
      <c r="Q926" t="n">
        <v>0</v>
      </c>
      <c r="R926" s="2" t="inlineStr"/>
    </row>
    <row r="927" ht="15" customHeight="1">
      <c r="A927" t="inlineStr">
        <is>
          <t>A 32705-2022</t>
        </is>
      </c>
      <c r="B927" s="1" t="n">
        <v>44783</v>
      </c>
      <c r="C927" s="1" t="n">
        <v>45750</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33055-2022</t>
        </is>
      </c>
      <c r="B928" s="1" t="n">
        <v>44785</v>
      </c>
      <c r="C928" s="1" t="n">
        <v>45750</v>
      </c>
      <c r="D928" t="inlineStr">
        <is>
          <t>STOCKHOLMS LÄN</t>
        </is>
      </c>
      <c r="E928" t="inlineStr">
        <is>
          <t>NORRTÄLJE</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33149-2022</t>
        </is>
      </c>
      <c r="B929" s="1" t="n">
        <v>44785</v>
      </c>
      <c r="C929" s="1" t="n">
        <v>45750</v>
      </c>
      <c r="D929" t="inlineStr">
        <is>
          <t>STOCKHOLMS LÄN</t>
        </is>
      </c>
      <c r="E929" t="inlineStr">
        <is>
          <t>NORRTÄLJE</t>
        </is>
      </c>
      <c r="F929" t="inlineStr">
        <is>
          <t>Holmen skog AB</t>
        </is>
      </c>
      <c r="G929" t="n">
        <v>4.4</v>
      </c>
      <c r="H929" t="n">
        <v>0</v>
      </c>
      <c r="I929" t="n">
        <v>0</v>
      </c>
      <c r="J929" t="n">
        <v>0</v>
      </c>
      <c r="K929" t="n">
        <v>0</v>
      </c>
      <c r="L929" t="n">
        <v>0</v>
      </c>
      <c r="M929" t="n">
        <v>0</v>
      </c>
      <c r="N929" t="n">
        <v>0</v>
      </c>
      <c r="O929" t="n">
        <v>0</v>
      </c>
      <c r="P929" t="n">
        <v>0</v>
      </c>
      <c r="Q929" t="n">
        <v>0</v>
      </c>
      <c r="R929" s="2" t="inlineStr"/>
    </row>
    <row r="930" ht="15" customHeight="1">
      <c r="A930" t="inlineStr">
        <is>
          <t>A 33445-2022</t>
        </is>
      </c>
      <c r="B930" s="1" t="n">
        <v>44788</v>
      </c>
      <c r="C930" s="1" t="n">
        <v>45750</v>
      </c>
      <c r="D930" t="inlineStr">
        <is>
          <t>STOCKHOLMS LÄN</t>
        </is>
      </c>
      <c r="E930" t="inlineStr">
        <is>
          <t>NORRTÄLJE</t>
        </is>
      </c>
      <c r="G930" t="n">
        <v>2.9</v>
      </c>
      <c r="H930" t="n">
        <v>0</v>
      </c>
      <c r="I930" t="n">
        <v>0</v>
      </c>
      <c r="J930" t="n">
        <v>0</v>
      </c>
      <c r="K930" t="n">
        <v>0</v>
      </c>
      <c r="L930" t="n">
        <v>0</v>
      </c>
      <c r="M930" t="n">
        <v>0</v>
      </c>
      <c r="N930" t="n">
        <v>0</v>
      </c>
      <c r="O930" t="n">
        <v>0</v>
      </c>
      <c r="P930" t="n">
        <v>0</v>
      </c>
      <c r="Q930" t="n">
        <v>0</v>
      </c>
      <c r="R930" s="2" t="inlineStr"/>
    </row>
    <row r="931" ht="15" customHeight="1">
      <c r="A931" t="inlineStr">
        <is>
          <t>A 33793-2022</t>
        </is>
      </c>
      <c r="B931" s="1" t="n">
        <v>44790</v>
      </c>
      <c r="C931" s="1" t="n">
        <v>45750</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33895-2022</t>
        </is>
      </c>
      <c r="B932" s="1" t="n">
        <v>44790</v>
      </c>
      <c r="C932" s="1" t="n">
        <v>45750</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34773-2022</t>
        </is>
      </c>
      <c r="B933" s="1" t="n">
        <v>44795</v>
      </c>
      <c r="C933" s="1" t="n">
        <v>45750</v>
      </c>
      <c r="D933" t="inlineStr">
        <is>
          <t>STOCKHOLMS LÄN</t>
        </is>
      </c>
      <c r="E933" t="inlineStr">
        <is>
          <t>NORRTÄLJE</t>
        </is>
      </c>
      <c r="G933" t="n">
        <v>3.9</v>
      </c>
      <c r="H933" t="n">
        <v>0</v>
      </c>
      <c r="I933" t="n">
        <v>0</v>
      </c>
      <c r="J933" t="n">
        <v>0</v>
      </c>
      <c r="K933" t="n">
        <v>0</v>
      </c>
      <c r="L933" t="n">
        <v>0</v>
      </c>
      <c r="M933" t="n">
        <v>0</v>
      </c>
      <c r="N933" t="n">
        <v>0</v>
      </c>
      <c r="O933" t="n">
        <v>0</v>
      </c>
      <c r="P933" t="n">
        <v>0</v>
      </c>
      <c r="Q933" t="n">
        <v>0</v>
      </c>
      <c r="R933" s="2" t="inlineStr"/>
    </row>
    <row r="934" ht="15" customHeight="1">
      <c r="A934" t="inlineStr">
        <is>
          <t>A 35121-2022</t>
        </is>
      </c>
      <c r="B934" s="1" t="n">
        <v>44797</v>
      </c>
      <c r="C934" s="1" t="n">
        <v>45750</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35161-2022</t>
        </is>
      </c>
      <c r="B935" s="1" t="n">
        <v>44797</v>
      </c>
      <c r="C935" s="1" t="n">
        <v>45750</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35156-2022</t>
        </is>
      </c>
      <c r="B936" s="1" t="n">
        <v>44797</v>
      </c>
      <c r="C936" s="1" t="n">
        <v>45750</v>
      </c>
      <c r="D936" t="inlineStr">
        <is>
          <t>STOCKHOLMS LÄN</t>
        </is>
      </c>
      <c r="E936" t="inlineStr">
        <is>
          <t>NORRTÄLJE</t>
        </is>
      </c>
      <c r="G936" t="n">
        <v>3.6</v>
      </c>
      <c r="H936" t="n">
        <v>0</v>
      </c>
      <c r="I936" t="n">
        <v>0</v>
      </c>
      <c r="J936" t="n">
        <v>0</v>
      </c>
      <c r="K936" t="n">
        <v>0</v>
      </c>
      <c r="L936" t="n">
        <v>0</v>
      </c>
      <c r="M936" t="n">
        <v>0</v>
      </c>
      <c r="N936" t="n">
        <v>0</v>
      </c>
      <c r="O936" t="n">
        <v>0</v>
      </c>
      <c r="P936" t="n">
        <v>0</v>
      </c>
      <c r="Q936" t="n">
        <v>0</v>
      </c>
      <c r="R936" s="2" t="inlineStr"/>
    </row>
    <row r="937" ht="15" customHeight="1">
      <c r="A937" t="inlineStr">
        <is>
          <t>A 35708-2022</t>
        </is>
      </c>
      <c r="B937" s="1" t="n">
        <v>44799</v>
      </c>
      <c r="C937" s="1" t="n">
        <v>45750</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36269-2022</t>
        </is>
      </c>
      <c r="B938" s="1" t="n">
        <v>44803</v>
      </c>
      <c r="C938" s="1" t="n">
        <v>45750</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36308-2022</t>
        </is>
      </c>
      <c r="B939" s="1" t="n">
        <v>44803</v>
      </c>
      <c r="C939" s="1" t="n">
        <v>45750</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36975-2022</t>
        </is>
      </c>
      <c r="B940" s="1" t="n">
        <v>44806</v>
      </c>
      <c r="C940" s="1" t="n">
        <v>45750</v>
      </c>
      <c r="D940" t="inlineStr">
        <is>
          <t>STOCKHOLMS LÄN</t>
        </is>
      </c>
      <c r="E940" t="inlineStr">
        <is>
          <t>NORRTÄLJE</t>
        </is>
      </c>
      <c r="G940" t="n">
        <v>4.7</v>
      </c>
      <c r="H940" t="n">
        <v>0</v>
      </c>
      <c r="I940" t="n">
        <v>0</v>
      </c>
      <c r="J940" t="n">
        <v>0</v>
      </c>
      <c r="K940" t="n">
        <v>0</v>
      </c>
      <c r="L940" t="n">
        <v>0</v>
      </c>
      <c r="M940" t="n">
        <v>0</v>
      </c>
      <c r="N940" t="n">
        <v>0</v>
      </c>
      <c r="O940" t="n">
        <v>0</v>
      </c>
      <c r="P940" t="n">
        <v>0</v>
      </c>
      <c r="Q940" t="n">
        <v>0</v>
      </c>
      <c r="R940" s="2" t="inlineStr"/>
    </row>
    <row r="941" ht="15" customHeight="1">
      <c r="A941" t="inlineStr">
        <is>
          <t>A 37550-2022</t>
        </is>
      </c>
      <c r="B941" s="1" t="n">
        <v>44809</v>
      </c>
      <c r="C941" s="1" t="n">
        <v>45750</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37679-2022</t>
        </is>
      </c>
      <c r="B942" s="1" t="n">
        <v>44810</v>
      </c>
      <c r="C942" s="1" t="n">
        <v>45750</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37815-2022</t>
        </is>
      </c>
      <c r="B943" s="1" t="n">
        <v>44810</v>
      </c>
      <c r="C943" s="1" t="n">
        <v>45750</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38449-2022</t>
        </is>
      </c>
      <c r="B944" s="1" t="n">
        <v>44813</v>
      </c>
      <c r="C944" s="1" t="n">
        <v>45750</v>
      </c>
      <c r="D944" t="inlineStr">
        <is>
          <t>STOCKHOLMS LÄN</t>
        </is>
      </c>
      <c r="E944" t="inlineStr">
        <is>
          <t>NORRTÄLJE</t>
        </is>
      </c>
      <c r="G944" t="n">
        <v>4.2</v>
      </c>
      <c r="H944" t="n">
        <v>0</v>
      </c>
      <c r="I944" t="n">
        <v>0</v>
      </c>
      <c r="J944" t="n">
        <v>0</v>
      </c>
      <c r="K944" t="n">
        <v>0</v>
      </c>
      <c r="L944" t="n">
        <v>0</v>
      </c>
      <c r="M944" t="n">
        <v>0</v>
      </c>
      <c r="N944" t="n">
        <v>0</v>
      </c>
      <c r="O944" t="n">
        <v>0</v>
      </c>
      <c r="P944" t="n">
        <v>0</v>
      </c>
      <c r="Q944" t="n">
        <v>0</v>
      </c>
      <c r="R944" s="2" t="inlineStr"/>
    </row>
    <row r="945" ht="15" customHeight="1">
      <c r="A945" t="inlineStr">
        <is>
          <t>A 38612-2022</t>
        </is>
      </c>
      <c r="B945" s="1" t="n">
        <v>44813</v>
      </c>
      <c r="C945" s="1" t="n">
        <v>45750</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38590-2022</t>
        </is>
      </c>
      <c r="B946" s="1" t="n">
        <v>44813</v>
      </c>
      <c r="C946" s="1" t="n">
        <v>45750</v>
      </c>
      <c r="D946" t="inlineStr">
        <is>
          <t>STOCKHOLMS LÄN</t>
        </is>
      </c>
      <c r="E946" t="inlineStr">
        <is>
          <t>NORRTÄLJE</t>
        </is>
      </c>
      <c r="G946" t="n">
        <v>5.9</v>
      </c>
      <c r="H946" t="n">
        <v>0</v>
      </c>
      <c r="I946" t="n">
        <v>0</v>
      </c>
      <c r="J946" t="n">
        <v>0</v>
      </c>
      <c r="K946" t="n">
        <v>0</v>
      </c>
      <c r="L946" t="n">
        <v>0</v>
      </c>
      <c r="M946" t="n">
        <v>0</v>
      </c>
      <c r="N946" t="n">
        <v>0</v>
      </c>
      <c r="O946" t="n">
        <v>0</v>
      </c>
      <c r="P946" t="n">
        <v>0</v>
      </c>
      <c r="Q946" t="n">
        <v>0</v>
      </c>
      <c r="R946" s="2" t="inlineStr"/>
    </row>
    <row r="947" ht="15" customHeight="1">
      <c r="A947" t="inlineStr">
        <is>
          <t>A 38610-2022</t>
        </is>
      </c>
      <c r="B947" s="1" t="n">
        <v>44813</v>
      </c>
      <c r="C947" s="1" t="n">
        <v>45750</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38720-2022</t>
        </is>
      </c>
      <c r="B948" s="1" t="n">
        <v>44815</v>
      </c>
      <c r="C948" s="1" t="n">
        <v>45750</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38721-2022</t>
        </is>
      </c>
      <c r="B949" s="1" t="n">
        <v>44815</v>
      </c>
      <c r="C949" s="1" t="n">
        <v>45750</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38927-2022</t>
        </is>
      </c>
      <c r="B950" s="1" t="n">
        <v>44816</v>
      </c>
      <c r="C950" s="1" t="n">
        <v>45750</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38759-2022</t>
        </is>
      </c>
      <c r="B951" s="1" t="n">
        <v>44816</v>
      </c>
      <c r="C951" s="1" t="n">
        <v>45750</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38990-2022</t>
        </is>
      </c>
      <c r="B952" s="1" t="n">
        <v>44816</v>
      </c>
      <c r="C952" s="1" t="n">
        <v>45750</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38991-2022</t>
        </is>
      </c>
      <c r="B953" s="1" t="n">
        <v>44816</v>
      </c>
      <c r="C953" s="1" t="n">
        <v>45750</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38985-2022</t>
        </is>
      </c>
      <c r="B954" s="1" t="n">
        <v>44816</v>
      </c>
      <c r="C954" s="1" t="n">
        <v>45750</v>
      </c>
      <c r="D954" t="inlineStr">
        <is>
          <t>STOCKHOLMS LÄN</t>
        </is>
      </c>
      <c r="E954" t="inlineStr">
        <is>
          <t>NORRTÄLJE</t>
        </is>
      </c>
      <c r="G954" t="n">
        <v>10.1</v>
      </c>
      <c r="H954" t="n">
        <v>0</v>
      </c>
      <c r="I954" t="n">
        <v>0</v>
      </c>
      <c r="J954" t="n">
        <v>0</v>
      </c>
      <c r="K954" t="n">
        <v>0</v>
      </c>
      <c r="L954" t="n">
        <v>0</v>
      </c>
      <c r="M954" t="n">
        <v>0</v>
      </c>
      <c r="N954" t="n">
        <v>0</v>
      </c>
      <c r="O954" t="n">
        <v>0</v>
      </c>
      <c r="P954" t="n">
        <v>0</v>
      </c>
      <c r="Q954" t="n">
        <v>0</v>
      </c>
      <c r="R954" s="2" t="inlineStr"/>
    </row>
    <row r="955" ht="15" customHeight="1">
      <c r="A955" t="inlineStr">
        <is>
          <t>A 38992-2022</t>
        </is>
      </c>
      <c r="B955" s="1" t="n">
        <v>44817</v>
      </c>
      <c r="C955" s="1" t="n">
        <v>45750</v>
      </c>
      <c r="D955" t="inlineStr">
        <is>
          <t>STOCKHOLMS LÄN</t>
        </is>
      </c>
      <c r="E955" t="inlineStr">
        <is>
          <t>NORRTÄLJE</t>
        </is>
      </c>
      <c r="G955" t="n">
        <v>1.7</v>
      </c>
      <c r="H955" t="n">
        <v>0</v>
      </c>
      <c r="I955" t="n">
        <v>0</v>
      </c>
      <c r="J955" t="n">
        <v>0</v>
      </c>
      <c r="K955" t="n">
        <v>0</v>
      </c>
      <c r="L955" t="n">
        <v>0</v>
      </c>
      <c r="M955" t="n">
        <v>0</v>
      </c>
      <c r="N955" t="n">
        <v>0</v>
      </c>
      <c r="O955" t="n">
        <v>0</v>
      </c>
      <c r="P955" t="n">
        <v>0</v>
      </c>
      <c r="Q955" t="n">
        <v>0</v>
      </c>
      <c r="R955" s="2" t="inlineStr"/>
    </row>
    <row r="956" ht="15" customHeight="1">
      <c r="A956" t="inlineStr">
        <is>
          <t>A 39213-2022</t>
        </is>
      </c>
      <c r="B956" s="1" t="n">
        <v>44817</v>
      </c>
      <c r="C956" s="1" t="n">
        <v>45750</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39319-2022</t>
        </is>
      </c>
      <c r="B957" s="1" t="n">
        <v>44817</v>
      </c>
      <c r="C957" s="1" t="n">
        <v>45750</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39854-2022</t>
        </is>
      </c>
      <c r="B958" s="1" t="n">
        <v>44819</v>
      </c>
      <c r="C958" s="1" t="n">
        <v>45750</v>
      </c>
      <c r="D958" t="inlineStr">
        <is>
          <t>STOCKHOLMS LÄN</t>
        </is>
      </c>
      <c r="E958" t="inlineStr">
        <is>
          <t>NORRTÄLJE</t>
        </is>
      </c>
      <c r="G958" t="n">
        <v>4.4</v>
      </c>
      <c r="H958" t="n">
        <v>0</v>
      </c>
      <c r="I958" t="n">
        <v>0</v>
      </c>
      <c r="J958" t="n">
        <v>0</v>
      </c>
      <c r="K958" t="n">
        <v>0</v>
      </c>
      <c r="L958" t="n">
        <v>0</v>
      </c>
      <c r="M958" t="n">
        <v>0</v>
      </c>
      <c r="N958" t="n">
        <v>0</v>
      </c>
      <c r="O958" t="n">
        <v>0</v>
      </c>
      <c r="P958" t="n">
        <v>0</v>
      </c>
      <c r="Q958" t="n">
        <v>0</v>
      </c>
      <c r="R958" s="2" t="inlineStr"/>
    </row>
    <row r="959" ht="15" customHeight="1">
      <c r="A959" t="inlineStr">
        <is>
          <t>A 39869-2022</t>
        </is>
      </c>
      <c r="B959" s="1" t="n">
        <v>44819</v>
      </c>
      <c r="C959" s="1" t="n">
        <v>45750</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39867-2022</t>
        </is>
      </c>
      <c r="B960" s="1" t="n">
        <v>44819</v>
      </c>
      <c r="C960" s="1" t="n">
        <v>45750</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40504-2022</t>
        </is>
      </c>
      <c r="B961" s="1" t="n">
        <v>44823</v>
      </c>
      <c r="C961" s="1" t="n">
        <v>45750</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40503-2022</t>
        </is>
      </c>
      <c r="B962" s="1" t="n">
        <v>44823</v>
      </c>
      <c r="C962" s="1" t="n">
        <v>45750</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40656-2022</t>
        </is>
      </c>
      <c r="B963" s="1" t="n">
        <v>44824</v>
      </c>
      <c r="C963" s="1" t="n">
        <v>45750</v>
      </c>
      <c r="D963" t="inlineStr">
        <is>
          <t>STOCKHOLMS LÄN</t>
        </is>
      </c>
      <c r="E963" t="inlineStr">
        <is>
          <t>NORRTÄLJE</t>
        </is>
      </c>
      <c r="G963" t="n">
        <v>2.7</v>
      </c>
      <c r="H963" t="n">
        <v>0</v>
      </c>
      <c r="I963" t="n">
        <v>0</v>
      </c>
      <c r="J963" t="n">
        <v>0</v>
      </c>
      <c r="K963" t="n">
        <v>0</v>
      </c>
      <c r="L963" t="n">
        <v>0</v>
      </c>
      <c r="M963" t="n">
        <v>0</v>
      </c>
      <c r="N963" t="n">
        <v>0</v>
      </c>
      <c r="O963" t="n">
        <v>0</v>
      </c>
      <c r="P963" t="n">
        <v>0</v>
      </c>
      <c r="Q963" t="n">
        <v>0</v>
      </c>
      <c r="R963" s="2" t="inlineStr"/>
    </row>
    <row r="964" ht="15" customHeight="1">
      <c r="A964" t="inlineStr">
        <is>
          <t>A 40751-2022</t>
        </is>
      </c>
      <c r="B964" s="1" t="n">
        <v>44824</v>
      </c>
      <c r="C964" s="1" t="n">
        <v>45750</v>
      </c>
      <c r="D964" t="inlineStr">
        <is>
          <t>STOCKHOLMS LÄN</t>
        </is>
      </c>
      <c r="E964" t="inlineStr">
        <is>
          <t>NORRTÄLJE</t>
        </is>
      </c>
      <c r="G964" t="n">
        <v>6.1</v>
      </c>
      <c r="H964" t="n">
        <v>0</v>
      </c>
      <c r="I964" t="n">
        <v>0</v>
      </c>
      <c r="J964" t="n">
        <v>0</v>
      </c>
      <c r="K964" t="n">
        <v>0</v>
      </c>
      <c r="L964" t="n">
        <v>0</v>
      </c>
      <c r="M964" t="n">
        <v>0</v>
      </c>
      <c r="N964" t="n">
        <v>0</v>
      </c>
      <c r="O964" t="n">
        <v>0</v>
      </c>
      <c r="P964" t="n">
        <v>0</v>
      </c>
      <c r="Q964" t="n">
        <v>0</v>
      </c>
      <c r="R964" s="2" t="inlineStr"/>
    </row>
    <row r="965" ht="15" customHeight="1">
      <c r="A965" t="inlineStr">
        <is>
          <t>A 41398-2022</t>
        </is>
      </c>
      <c r="B965" s="1" t="n">
        <v>44826</v>
      </c>
      <c r="C965" s="1" t="n">
        <v>45750</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41320-2022</t>
        </is>
      </c>
      <c r="B966" s="1" t="n">
        <v>44826</v>
      </c>
      <c r="C966" s="1" t="n">
        <v>45750</v>
      </c>
      <c r="D966" t="inlineStr">
        <is>
          <t>STOCKHOLMS LÄN</t>
        </is>
      </c>
      <c r="E966" t="inlineStr">
        <is>
          <t>NORRTÄLJE</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42087-2022</t>
        </is>
      </c>
      <c r="B967" s="1" t="n">
        <v>44830</v>
      </c>
      <c r="C967" s="1" t="n">
        <v>45750</v>
      </c>
      <c r="D967" t="inlineStr">
        <is>
          <t>STOCKHOLMS LÄN</t>
        </is>
      </c>
      <c r="E967" t="inlineStr">
        <is>
          <t>NORRTÄLJE</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42112-2022</t>
        </is>
      </c>
      <c r="B968" s="1" t="n">
        <v>44830</v>
      </c>
      <c r="C968" s="1" t="n">
        <v>45750</v>
      </c>
      <c r="D968" t="inlineStr">
        <is>
          <t>STOCKHOLMS LÄN</t>
        </is>
      </c>
      <c r="E968" t="inlineStr">
        <is>
          <t>NORRTÄLJE</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42126-2022</t>
        </is>
      </c>
      <c r="B969" s="1" t="n">
        <v>44830</v>
      </c>
      <c r="C969" s="1" t="n">
        <v>45750</v>
      </c>
      <c r="D969" t="inlineStr">
        <is>
          <t>STOCKHOLMS LÄN</t>
        </is>
      </c>
      <c r="E969" t="inlineStr">
        <is>
          <t>NORRTÄLJE</t>
        </is>
      </c>
      <c r="F969" t="inlineStr">
        <is>
          <t>Holmen skog AB</t>
        </is>
      </c>
      <c r="G969" t="n">
        <v>2</v>
      </c>
      <c r="H969" t="n">
        <v>0</v>
      </c>
      <c r="I969" t="n">
        <v>0</v>
      </c>
      <c r="J969" t="n">
        <v>0</v>
      </c>
      <c r="K969" t="n">
        <v>0</v>
      </c>
      <c r="L969" t="n">
        <v>0</v>
      </c>
      <c r="M969" t="n">
        <v>0</v>
      </c>
      <c r="N969" t="n">
        <v>0</v>
      </c>
      <c r="O969" t="n">
        <v>0</v>
      </c>
      <c r="P969" t="n">
        <v>0</v>
      </c>
      <c r="Q969" t="n">
        <v>0</v>
      </c>
      <c r="R969" s="2" t="inlineStr"/>
    </row>
    <row r="970" ht="15" customHeight="1">
      <c r="A970" t="inlineStr">
        <is>
          <t>A 42867-2022</t>
        </is>
      </c>
      <c r="B970" s="1" t="n">
        <v>44832</v>
      </c>
      <c r="C970" s="1" t="n">
        <v>45750</v>
      </c>
      <c r="D970" t="inlineStr">
        <is>
          <t>STOCKHOLMS LÄN</t>
        </is>
      </c>
      <c r="E970" t="inlineStr">
        <is>
          <t>NORRTÄLJE</t>
        </is>
      </c>
      <c r="G970" t="n">
        <v>6.4</v>
      </c>
      <c r="H970" t="n">
        <v>0</v>
      </c>
      <c r="I970" t="n">
        <v>0</v>
      </c>
      <c r="J970" t="n">
        <v>0</v>
      </c>
      <c r="K970" t="n">
        <v>0</v>
      </c>
      <c r="L970" t="n">
        <v>0</v>
      </c>
      <c r="M970" t="n">
        <v>0</v>
      </c>
      <c r="N970" t="n">
        <v>0</v>
      </c>
      <c r="O970" t="n">
        <v>0</v>
      </c>
      <c r="P970" t="n">
        <v>0</v>
      </c>
      <c r="Q970" t="n">
        <v>0</v>
      </c>
      <c r="R970" s="2" t="inlineStr"/>
    </row>
    <row r="971" ht="15" customHeight="1">
      <c r="A971" t="inlineStr">
        <is>
          <t>A 42955-2022</t>
        </is>
      </c>
      <c r="B971" s="1" t="n">
        <v>44833</v>
      </c>
      <c r="C971" s="1" t="n">
        <v>45750</v>
      </c>
      <c r="D971" t="inlineStr">
        <is>
          <t>STOCKHOLMS LÄN</t>
        </is>
      </c>
      <c r="E971" t="inlineStr">
        <is>
          <t>NORRTÄLJE</t>
        </is>
      </c>
      <c r="G971" t="n">
        <v>13.1</v>
      </c>
      <c r="H971" t="n">
        <v>0</v>
      </c>
      <c r="I971" t="n">
        <v>0</v>
      </c>
      <c r="J971" t="n">
        <v>0</v>
      </c>
      <c r="K971" t="n">
        <v>0</v>
      </c>
      <c r="L971" t="n">
        <v>0</v>
      </c>
      <c r="M971" t="n">
        <v>0</v>
      </c>
      <c r="N971" t="n">
        <v>0</v>
      </c>
      <c r="O971" t="n">
        <v>0</v>
      </c>
      <c r="P971" t="n">
        <v>0</v>
      </c>
      <c r="Q971" t="n">
        <v>0</v>
      </c>
      <c r="R971" s="2" t="inlineStr"/>
    </row>
    <row r="972" ht="15" customHeight="1">
      <c r="A972" t="inlineStr">
        <is>
          <t>A 43036-2022</t>
        </is>
      </c>
      <c r="B972" s="1" t="n">
        <v>44833</v>
      </c>
      <c r="C972" s="1" t="n">
        <v>45750</v>
      </c>
      <c r="D972" t="inlineStr">
        <is>
          <t>STOCKHOLMS LÄN</t>
        </is>
      </c>
      <c r="E972" t="inlineStr">
        <is>
          <t>NORRTÄLJE</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43212-2022</t>
        </is>
      </c>
      <c r="B973" s="1" t="n">
        <v>44834</v>
      </c>
      <c r="C973" s="1" t="n">
        <v>45750</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43374-2022</t>
        </is>
      </c>
      <c r="B974" s="1" t="n">
        <v>44834</v>
      </c>
      <c r="C974" s="1" t="n">
        <v>45750</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43972-2022</t>
        </is>
      </c>
      <c r="B975" s="1" t="n">
        <v>44838</v>
      </c>
      <c r="C975" s="1" t="n">
        <v>45750</v>
      </c>
      <c r="D975" t="inlineStr">
        <is>
          <t>STOCKHOLMS LÄN</t>
        </is>
      </c>
      <c r="E975" t="inlineStr">
        <is>
          <t>NORRTÄLJE</t>
        </is>
      </c>
      <c r="F975" t="inlineStr">
        <is>
          <t>Holmen skog AB</t>
        </is>
      </c>
      <c r="G975" t="n">
        <v>8.6</v>
      </c>
      <c r="H975" t="n">
        <v>0</v>
      </c>
      <c r="I975" t="n">
        <v>0</v>
      </c>
      <c r="J975" t="n">
        <v>0</v>
      </c>
      <c r="K975" t="n">
        <v>0</v>
      </c>
      <c r="L975" t="n">
        <v>0</v>
      </c>
      <c r="M975" t="n">
        <v>0</v>
      </c>
      <c r="N975" t="n">
        <v>0</v>
      </c>
      <c r="O975" t="n">
        <v>0</v>
      </c>
      <c r="P975" t="n">
        <v>0</v>
      </c>
      <c r="Q975" t="n">
        <v>0</v>
      </c>
      <c r="R975" s="2" t="inlineStr"/>
    </row>
    <row r="976" ht="15" customHeight="1">
      <c r="A976" t="inlineStr">
        <is>
          <t>A 44349-2022</t>
        </is>
      </c>
      <c r="B976" s="1" t="n">
        <v>44839</v>
      </c>
      <c r="C976" s="1" t="n">
        <v>45750</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45255-2022</t>
        </is>
      </c>
      <c r="B977" s="1" t="n">
        <v>44840</v>
      </c>
      <c r="C977" s="1" t="n">
        <v>45750</v>
      </c>
      <c r="D977" t="inlineStr">
        <is>
          <t>STOCKHOLMS LÄN</t>
        </is>
      </c>
      <c r="E977" t="inlineStr">
        <is>
          <t>NORRTÄLJE</t>
        </is>
      </c>
      <c r="G977" t="n">
        <v>4.1</v>
      </c>
      <c r="H977" t="n">
        <v>0</v>
      </c>
      <c r="I977" t="n">
        <v>0</v>
      </c>
      <c r="J977" t="n">
        <v>0</v>
      </c>
      <c r="K977" t="n">
        <v>0</v>
      </c>
      <c r="L977" t="n">
        <v>0</v>
      </c>
      <c r="M977" t="n">
        <v>0</v>
      </c>
      <c r="N977" t="n">
        <v>0</v>
      </c>
      <c r="O977" t="n">
        <v>0</v>
      </c>
      <c r="P977" t="n">
        <v>0</v>
      </c>
      <c r="Q977" t="n">
        <v>0</v>
      </c>
      <c r="R977" s="2" t="inlineStr"/>
    </row>
    <row r="978" ht="15" customHeight="1">
      <c r="A978" t="inlineStr">
        <is>
          <t>A 44917-2022</t>
        </is>
      </c>
      <c r="B978" s="1" t="n">
        <v>44841</v>
      </c>
      <c r="C978" s="1" t="n">
        <v>45750</v>
      </c>
      <c r="D978" t="inlineStr">
        <is>
          <t>STOCKHOLMS LÄN</t>
        </is>
      </c>
      <c r="E978" t="inlineStr">
        <is>
          <t>NORRTÄLJE</t>
        </is>
      </c>
      <c r="F978" t="inlineStr">
        <is>
          <t>Holmen skog AB</t>
        </is>
      </c>
      <c r="G978" t="n">
        <v>3.3</v>
      </c>
      <c r="H978" t="n">
        <v>0</v>
      </c>
      <c r="I978" t="n">
        <v>0</v>
      </c>
      <c r="J978" t="n">
        <v>0</v>
      </c>
      <c r="K978" t="n">
        <v>0</v>
      </c>
      <c r="L978" t="n">
        <v>0</v>
      </c>
      <c r="M978" t="n">
        <v>0</v>
      </c>
      <c r="N978" t="n">
        <v>0</v>
      </c>
      <c r="O978" t="n">
        <v>0</v>
      </c>
      <c r="P978" t="n">
        <v>0</v>
      </c>
      <c r="Q978" t="n">
        <v>0</v>
      </c>
      <c r="R978" s="2" t="inlineStr"/>
    </row>
    <row r="979" ht="15" customHeight="1">
      <c r="A979" t="inlineStr">
        <is>
          <t>A 45541-2022</t>
        </is>
      </c>
      <c r="B979" s="1" t="n">
        <v>44845</v>
      </c>
      <c r="C979" s="1" t="n">
        <v>45750</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45539-2022</t>
        </is>
      </c>
      <c r="B980" s="1" t="n">
        <v>44845</v>
      </c>
      <c r="C980" s="1" t="n">
        <v>45750</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45549-2022</t>
        </is>
      </c>
      <c r="B981" s="1" t="n">
        <v>44845</v>
      </c>
      <c r="C981" s="1" t="n">
        <v>45750</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46914-2022</t>
        </is>
      </c>
      <c r="B982" s="1" t="n">
        <v>44851</v>
      </c>
      <c r="C982" s="1" t="n">
        <v>45750</v>
      </c>
      <c r="D982" t="inlineStr">
        <is>
          <t>STOCKHOLMS LÄN</t>
        </is>
      </c>
      <c r="E982" t="inlineStr">
        <is>
          <t>NORRTÄLJE</t>
        </is>
      </c>
      <c r="G982" t="n">
        <v>2.4</v>
      </c>
      <c r="H982" t="n">
        <v>0</v>
      </c>
      <c r="I982" t="n">
        <v>0</v>
      </c>
      <c r="J982" t="n">
        <v>0</v>
      </c>
      <c r="K982" t="n">
        <v>0</v>
      </c>
      <c r="L982" t="n">
        <v>0</v>
      </c>
      <c r="M982" t="n">
        <v>0</v>
      </c>
      <c r="N982" t="n">
        <v>0</v>
      </c>
      <c r="O982" t="n">
        <v>0</v>
      </c>
      <c r="P982" t="n">
        <v>0</v>
      </c>
      <c r="Q982" t="n">
        <v>0</v>
      </c>
      <c r="R982" s="2" t="inlineStr"/>
    </row>
    <row r="983" ht="15" customHeight="1">
      <c r="A983" t="inlineStr">
        <is>
          <t>A 47076-2022</t>
        </is>
      </c>
      <c r="B983" s="1" t="n">
        <v>44852</v>
      </c>
      <c r="C983" s="1" t="n">
        <v>45750</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47079-2022</t>
        </is>
      </c>
      <c r="B984" s="1" t="n">
        <v>44852</v>
      </c>
      <c r="C984" s="1" t="n">
        <v>45750</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47626-2022</t>
        </is>
      </c>
      <c r="B985" s="1" t="n">
        <v>44854</v>
      </c>
      <c r="C985" s="1" t="n">
        <v>45750</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48316-2022</t>
        </is>
      </c>
      <c r="B986" s="1" t="n">
        <v>44854</v>
      </c>
      <c r="C986" s="1" t="n">
        <v>45750</v>
      </c>
      <c r="D986" t="inlineStr">
        <is>
          <t>STOCKHOLMS LÄN</t>
        </is>
      </c>
      <c r="E986" t="inlineStr">
        <is>
          <t>NORRTÄLJE</t>
        </is>
      </c>
      <c r="G986" t="n">
        <v>4.5</v>
      </c>
      <c r="H986" t="n">
        <v>0</v>
      </c>
      <c r="I986" t="n">
        <v>0</v>
      </c>
      <c r="J986" t="n">
        <v>0</v>
      </c>
      <c r="K986" t="n">
        <v>0</v>
      </c>
      <c r="L986" t="n">
        <v>0</v>
      </c>
      <c r="M986" t="n">
        <v>0</v>
      </c>
      <c r="N986" t="n">
        <v>0</v>
      </c>
      <c r="O986" t="n">
        <v>0</v>
      </c>
      <c r="P986" t="n">
        <v>0</v>
      </c>
      <c r="Q986" t="n">
        <v>0</v>
      </c>
      <c r="R986" s="2" t="inlineStr"/>
    </row>
    <row r="987" ht="15" customHeight="1">
      <c r="A987" t="inlineStr">
        <is>
          <t>A 47929-2022</t>
        </is>
      </c>
      <c r="B987" s="1" t="n">
        <v>44855</v>
      </c>
      <c r="C987" s="1" t="n">
        <v>45750</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48161-2022</t>
        </is>
      </c>
      <c r="B988" s="1" t="n">
        <v>44858</v>
      </c>
      <c r="C988" s="1" t="n">
        <v>45750</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48453-2022</t>
        </is>
      </c>
      <c r="B989" s="1" t="n">
        <v>44858</v>
      </c>
      <c r="C989" s="1" t="n">
        <v>45750</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48492-2022</t>
        </is>
      </c>
      <c r="B990" s="1" t="n">
        <v>44858</v>
      </c>
      <c r="C990" s="1" t="n">
        <v>45750</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50065-2022</t>
        </is>
      </c>
      <c r="B991" s="1" t="n">
        <v>44865</v>
      </c>
      <c r="C991" s="1" t="n">
        <v>45750</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50469-2022</t>
        </is>
      </c>
      <c r="B992" s="1" t="n">
        <v>44866</v>
      </c>
      <c r="C992" s="1" t="n">
        <v>45750</v>
      </c>
      <c r="D992" t="inlineStr">
        <is>
          <t>STOCKHOLMS LÄN</t>
        </is>
      </c>
      <c r="E992" t="inlineStr">
        <is>
          <t>NORRTÄLJE</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50481-2022</t>
        </is>
      </c>
      <c r="B993" s="1" t="n">
        <v>44866</v>
      </c>
      <c r="C993" s="1" t="n">
        <v>45750</v>
      </c>
      <c r="D993" t="inlineStr">
        <is>
          <t>STOCKHOLMS LÄN</t>
        </is>
      </c>
      <c r="E993" t="inlineStr">
        <is>
          <t>NORRTÄLJE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50465-2022</t>
        </is>
      </c>
      <c r="B994" s="1" t="n">
        <v>44866</v>
      </c>
      <c r="C994" s="1" t="n">
        <v>45750</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50488-2022</t>
        </is>
      </c>
      <c r="B995" s="1" t="n">
        <v>44866</v>
      </c>
      <c r="C995" s="1" t="n">
        <v>45750</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50563-2022</t>
        </is>
      </c>
      <c r="B996" s="1" t="n">
        <v>44866</v>
      </c>
      <c r="C996" s="1" t="n">
        <v>45750</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50569-2022</t>
        </is>
      </c>
      <c r="B997" s="1" t="n">
        <v>44866</v>
      </c>
      <c r="C997" s="1" t="n">
        <v>45750</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50484-2022</t>
        </is>
      </c>
      <c r="B998" s="1" t="n">
        <v>44866</v>
      </c>
      <c r="C998" s="1" t="n">
        <v>45750</v>
      </c>
      <c r="D998" t="inlineStr">
        <is>
          <t>STOCKHOLMS LÄN</t>
        </is>
      </c>
      <c r="E998" t="inlineStr">
        <is>
          <t>NORRTÄLJE</t>
        </is>
      </c>
      <c r="G998" t="n">
        <v>6.7</v>
      </c>
      <c r="H998" t="n">
        <v>0</v>
      </c>
      <c r="I998" t="n">
        <v>0</v>
      </c>
      <c r="J998" t="n">
        <v>0</v>
      </c>
      <c r="K998" t="n">
        <v>0</v>
      </c>
      <c r="L998" t="n">
        <v>0</v>
      </c>
      <c r="M998" t="n">
        <v>0</v>
      </c>
      <c r="N998" t="n">
        <v>0</v>
      </c>
      <c r="O998" t="n">
        <v>0</v>
      </c>
      <c r="P998" t="n">
        <v>0</v>
      </c>
      <c r="Q998" t="n">
        <v>0</v>
      </c>
      <c r="R998" s="2" t="inlineStr"/>
    </row>
    <row r="999" ht="15" customHeight="1">
      <c r="A999" t="inlineStr">
        <is>
          <t>A 50970-2022</t>
        </is>
      </c>
      <c r="B999" s="1" t="n">
        <v>44867</v>
      </c>
      <c r="C999" s="1" t="n">
        <v>45750</v>
      </c>
      <c r="D999" t="inlineStr">
        <is>
          <t>STOCKHOLMS LÄN</t>
        </is>
      </c>
      <c r="E999" t="inlineStr">
        <is>
          <t>NORRTÄLJE</t>
        </is>
      </c>
      <c r="G999" t="n">
        <v>9</v>
      </c>
      <c r="H999" t="n">
        <v>0</v>
      </c>
      <c r="I999" t="n">
        <v>0</v>
      </c>
      <c r="J999" t="n">
        <v>0</v>
      </c>
      <c r="K999" t="n">
        <v>0</v>
      </c>
      <c r="L999" t="n">
        <v>0</v>
      </c>
      <c r="M999" t="n">
        <v>0</v>
      </c>
      <c r="N999" t="n">
        <v>0</v>
      </c>
      <c r="O999" t="n">
        <v>0</v>
      </c>
      <c r="P999" t="n">
        <v>0</v>
      </c>
      <c r="Q999" t="n">
        <v>0</v>
      </c>
      <c r="R999" s="2" t="inlineStr"/>
    </row>
    <row r="1000" ht="15" customHeight="1">
      <c r="A1000" t="inlineStr">
        <is>
          <t>A 50983-2022</t>
        </is>
      </c>
      <c r="B1000" s="1" t="n">
        <v>44867</v>
      </c>
      <c r="C1000" s="1" t="n">
        <v>45750</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50907-2022</t>
        </is>
      </c>
      <c r="B1001" s="1" t="n">
        <v>44867</v>
      </c>
      <c r="C1001" s="1" t="n">
        <v>45750</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51653-2022</t>
        </is>
      </c>
      <c r="B1002" s="1" t="n">
        <v>44867</v>
      </c>
      <c r="C1002" s="1" t="n">
        <v>45750</v>
      </c>
      <c r="D1002" t="inlineStr">
        <is>
          <t>STOCKHOLMS LÄN</t>
        </is>
      </c>
      <c r="E1002" t="inlineStr">
        <is>
          <t>NORRTÄLJE</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51116-2022</t>
        </is>
      </c>
      <c r="B1003" s="1" t="n">
        <v>44868</v>
      </c>
      <c r="C1003" s="1" t="n">
        <v>45750</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51265-2022</t>
        </is>
      </c>
      <c r="B1004" s="1" t="n">
        <v>44868</v>
      </c>
      <c r="C1004" s="1" t="n">
        <v>45750</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52139-2022</t>
        </is>
      </c>
      <c r="B1005" s="1" t="n">
        <v>44868</v>
      </c>
      <c r="C1005" s="1" t="n">
        <v>45750</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52133-2022</t>
        </is>
      </c>
      <c r="B1006" s="1" t="n">
        <v>44868</v>
      </c>
      <c r="C1006" s="1" t="n">
        <v>45750</v>
      </c>
      <c r="D1006" t="inlineStr">
        <is>
          <t>STOCKHOLMS LÄN</t>
        </is>
      </c>
      <c r="E1006" t="inlineStr">
        <is>
          <t>NORRTÄLJE</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52260-2022</t>
        </is>
      </c>
      <c r="B1007" s="1" t="n">
        <v>44869</v>
      </c>
      <c r="C1007" s="1" t="n">
        <v>45750</v>
      </c>
      <c r="D1007" t="inlineStr">
        <is>
          <t>STOCKHOLMS LÄN</t>
        </is>
      </c>
      <c r="E1007" t="inlineStr">
        <is>
          <t>NORRTÄLJE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51984-2022</t>
        </is>
      </c>
      <c r="B1008" s="1" t="n">
        <v>44872</v>
      </c>
      <c r="C1008" s="1" t="n">
        <v>45750</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52322-2022</t>
        </is>
      </c>
      <c r="B1009" s="1" t="n">
        <v>44873</v>
      </c>
      <c r="C1009" s="1" t="n">
        <v>45750</v>
      </c>
      <c r="D1009" t="inlineStr">
        <is>
          <t>STOCKHOLMS LÄN</t>
        </is>
      </c>
      <c r="E1009" t="inlineStr">
        <is>
          <t>NORRTÄLJE</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53461-2022</t>
        </is>
      </c>
      <c r="B1010" s="1" t="n">
        <v>44879</v>
      </c>
      <c r="C1010" s="1" t="n">
        <v>45750</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53600-2022</t>
        </is>
      </c>
      <c r="B1011" s="1" t="n">
        <v>44879</v>
      </c>
      <c r="C1011" s="1" t="n">
        <v>45750</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53459-2022</t>
        </is>
      </c>
      <c r="B1012" s="1" t="n">
        <v>44879</v>
      </c>
      <c r="C1012" s="1" t="n">
        <v>45750</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53884-2022</t>
        </is>
      </c>
      <c r="B1013" s="1" t="n">
        <v>44880</v>
      </c>
      <c r="C1013" s="1" t="n">
        <v>45750</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54169-2022</t>
        </is>
      </c>
      <c r="B1014" s="1" t="n">
        <v>44881</v>
      </c>
      <c r="C1014" s="1" t="n">
        <v>45750</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54175-2022</t>
        </is>
      </c>
      <c r="B1015" s="1" t="n">
        <v>44881</v>
      </c>
      <c r="C1015" s="1" t="n">
        <v>45750</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54355-2022</t>
        </is>
      </c>
      <c r="B1016" s="1" t="n">
        <v>44882</v>
      </c>
      <c r="C1016" s="1" t="n">
        <v>45750</v>
      </c>
      <c r="D1016" t="inlineStr">
        <is>
          <t>STOCKHOLMS LÄN</t>
        </is>
      </c>
      <c r="E1016" t="inlineStr">
        <is>
          <t>NORRTÄLJE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54427-2022</t>
        </is>
      </c>
      <c r="B1017" s="1" t="n">
        <v>44882</v>
      </c>
      <c r="C1017" s="1" t="n">
        <v>45750</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54340-2022</t>
        </is>
      </c>
      <c r="B1018" s="1" t="n">
        <v>44882</v>
      </c>
      <c r="C1018" s="1" t="n">
        <v>45750</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54358-2022</t>
        </is>
      </c>
      <c r="B1019" s="1" t="n">
        <v>44882</v>
      </c>
      <c r="C1019" s="1" t="n">
        <v>45750</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54354-2022</t>
        </is>
      </c>
      <c r="B1020" s="1" t="n">
        <v>44882</v>
      </c>
      <c r="C1020" s="1" t="n">
        <v>45750</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55047-2022</t>
        </is>
      </c>
      <c r="B1021" s="1" t="n">
        <v>44886</v>
      </c>
      <c r="C1021" s="1" t="n">
        <v>45750</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55696-2022</t>
        </is>
      </c>
      <c r="B1022" s="1" t="n">
        <v>44888</v>
      </c>
      <c r="C1022" s="1" t="n">
        <v>45750</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57037-2022</t>
        </is>
      </c>
      <c r="B1023" s="1" t="n">
        <v>44895</v>
      </c>
      <c r="C1023" s="1" t="n">
        <v>45750</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59767-2022</t>
        </is>
      </c>
      <c r="B1024" s="1" t="n">
        <v>44900</v>
      </c>
      <c r="C1024" s="1" t="n">
        <v>45750</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58302-2022</t>
        </is>
      </c>
      <c r="B1025" s="1" t="n">
        <v>44901</v>
      </c>
      <c r="C1025" s="1" t="n">
        <v>45750</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58492-2022</t>
        </is>
      </c>
      <c r="B1026" s="1" t="n">
        <v>44902</v>
      </c>
      <c r="C1026" s="1" t="n">
        <v>45750</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58543-2022</t>
        </is>
      </c>
      <c r="B1027" s="1" t="n">
        <v>44902</v>
      </c>
      <c r="C1027" s="1" t="n">
        <v>45750</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58993-2022</t>
        </is>
      </c>
      <c r="B1028" s="1" t="n">
        <v>44903</v>
      </c>
      <c r="C1028" s="1" t="n">
        <v>45750</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60525-2022</t>
        </is>
      </c>
      <c r="B1029" s="1" t="n">
        <v>44904</v>
      </c>
      <c r="C1029" s="1" t="n">
        <v>45750</v>
      </c>
      <c r="D1029" t="inlineStr">
        <is>
          <t>STOCKHOLMS LÄN</t>
        </is>
      </c>
      <c r="E1029" t="inlineStr">
        <is>
          <t>NORRTÄLJE</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59717-2022</t>
        </is>
      </c>
      <c r="B1030" s="1" t="n">
        <v>44908</v>
      </c>
      <c r="C1030" s="1" t="n">
        <v>45750</v>
      </c>
      <c r="D1030" t="inlineStr">
        <is>
          <t>STOCKHOLMS LÄN</t>
        </is>
      </c>
      <c r="E1030" t="inlineStr">
        <is>
          <t>NORRTÄLJE</t>
        </is>
      </c>
      <c r="F1030" t="inlineStr">
        <is>
          <t>Holmen skog AB</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59893-2022</t>
        </is>
      </c>
      <c r="B1031" s="1" t="n">
        <v>44908</v>
      </c>
      <c r="C1031" s="1" t="n">
        <v>45750</v>
      </c>
      <c r="D1031" t="inlineStr">
        <is>
          <t>STOCKHOLMS LÄN</t>
        </is>
      </c>
      <c r="E1031" t="inlineStr">
        <is>
          <t>NORRTÄLJE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59892-2022</t>
        </is>
      </c>
      <c r="B1032" s="1" t="n">
        <v>44908</v>
      </c>
      <c r="C1032" s="1" t="n">
        <v>45750</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60840-2022</t>
        </is>
      </c>
      <c r="B1033" s="1" t="n">
        <v>44914</v>
      </c>
      <c r="C1033" s="1" t="n">
        <v>45750</v>
      </c>
      <c r="D1033" t="inlineStr">
        <is>
          <t>STOCKHOLMS LÄN</t>
        </is>
      </c>
      <c r="E1033" t="inlineStr">
        <is>
          <t>NORRTÄLJE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61016-2022</t>
        </is>
      </c>
      <c r="B1034" s="1" t="n">
        <v>44914</v>
      </c>
      <c r="C1034" s="1" t="n">
        <v>45750</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45750</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62398-2022</t>
        </is>
      </c>
      <c r="B1036" s="1" t="n">
        <v>44923</v>
      </c>
      <c r="C1036" s="1" t="n">
        <v>45750</v>
      </c>
      <c r="D1036" t="inlineStr">
        <is>
          <t>STOCKHOLMS LÄN</t>
        </is>
      </c>
      <c r="E1036" t="inlineStr">
        <is>
          <t>NORRTÄLJE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62593-2022</t>
        </is>
      </c>
      <c r="B1037" s="1" t="n">
        <v>44925</v>
      </c>
      <c r="C1037" s="1" t="n">
        <v>45750</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576-2023</t>
        </is>
      </c>
      <c r="B1038" s="1" t="n">
        <v>44925</v>
      </c>
      <c r="C1038" s="1" t="n">
        <v>45750</v>
      </c>
      <c r="D1038" t="inlineStr">
        <is>
          <t>STOCKHOLMS LÄN</t>
        </is>
      </c>
      <c r="E1038" t="inlineStr">
        <is>
          <t>NORRTÄLJE</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574-2023</t>
        </is>
      </c>
      <c r="B1039" s="1" t="n">
        <v>44925</v>
      </c>
      <c r="C1039" s="1" t="n">
        <v>45750</v>
      </c>
      <c r="D1039" t="inlineStr">
        <is>
          <t>STOCKHOLMS LÄN</t>
        </is>
      </c>
      <c r="E1039" t="inlineStr">
        <is>
          <t>NORRTÄLJE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755-2023</t>
        </is>
      </c>
      <c r="B1040" s="1" t="n">
        <v>44931</v>
      </c>
      <c r="C1040" s="1" t="n">
        <v>45750</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875-2023</t>
        </is>
      </c>
      <c r="B1041" s="1" t="n">
        <v>44931</v>
      </c>
      <c r="C1041" s="1" t="n">
        <v>45750</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951-2023</t>
        </is>
      </c>
      <c r="B1042" s="1" t="n">
        <v>44934</v>
      </c>
      <c r="C1042" s="1" t="n">
        <v>45750</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1183-2023</t>
        </is>
      </c>
      <c r="B1043" s="1" t="n">
        <v>44935</v>
      </c>
      <c r="C1043" s="1" t="n">
        <v>45750</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1335-2023</t>
        </is>
      </c>
      <c r="B1044" s="1" t="n">
        <v>44936</v>
      </c>
      <c r="C1044" s="1" t="n">
        <v>45750</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1373-2023</t>
        </is>
      </c>
      <c r="B1045" s="1" t="n">
        <v>44936</v>
      </c>
      <c r="C1045" s="1" t="n">
        <v>45750</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1448-2023</t>
        </is>
      </c>
      <c r="B1046" s="1" t="n">
        <v>44937</v>
      </c>
      <c r="C1046" s="1" t="n">
        <v>45750</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1740-2023</t>
        </is>
      </c>
      <c r="B1047" s="1" t="n">
        <v>44938</v>
      </c>
      <c r="C1047" s="1" t="n">
        <v>45750</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1847-2023</t>
        </is>
      </c>
      <c r="B1048" s="1" t="n">
        <v>44938</v>
      </c>
      <c r="C1048" s="1" t="n">
        <v>45750</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2103-2023</t>
        </is>
      </c>
      <c r="B1049" s="1" t="n">
        <v>44939</v>
      </c>
      <c r="C1049" s="1" t="n">
        <v>45750</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2976-2023</t>
        </is>
      </c>
      <c r="B1050" s="1" t="n">
        <v>44945</v>
      </c>
      <c r="C1050" s="1" t="n">
        <v>45750</v>
      </c>
      <c r="D1050" t="inlineStr">
        <is>
          <t>STOCKHOLMS LÄN</t>
        </is>
      </c>
      <c r="E1050" t="inlineStr">
        <is>
          <t>NORRTÄLJE</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2890-2023</t>
        </is>
      </c>
      <c r="B1051" s="1" t="n">
        <v>44945</v>
      </c>
      <c r="C1051" s="1" t="n">
        <v>45750</v>
      </c>
      <c r="D1051" t="inlineStr">
        <is>
          <t>STOCKHOLMS LÄN</t>
        </is>
      </c>
      <c r="E1051" t="inlineStr">
        <is>
          <t>NORRTÄLJE</t>
        </is>
      </c>
      <c r="F1051" t="inlineStr">
        <is>
          <t>Holmen skog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2982-2023</t>
        </is>
      </c>
      <c r="B1052" s="1" t="n">
        <v>44945</v>
      </c>
      <c r="C1052" s="1" t="n">
        <v>45750</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3383-2023</t>
        </is>
      </c>
      <c r="B1053" s="1" t="n">
        <v>44949</v>
      </c>
      <c r="C1053" s="1" t="n">
        <v>45750</v>
      </c>
      <c r="D1053" t="inlineStr">
        <is>
          <t>STOCKHOLMS LÄN</t>
        </is>
      </c>
      <c r="E1053" t="inlineStr">
        <is>
          <t>NORRTÄLJE</t>
        </is>
      </c>
      <c r="G1053" t="n">
        <v>14.6</v>
      </c>
      <c r="H1053" t="n">
        <v>0</v>
      </c>
      <c r="I1053" t="n">
        <v>0</v>
      </c>
      <c r="J1053" t="n">
        <v>0</v>
      </c>
      <c r="K1053" t="n">
        <v>0</v>
      </c>
      <c r="L1053" t="n">
        <v>0</v>
      </c>
      <c r="M1053" t="n">
        <v>0</v>
      </c>
      <c r="N1053" t="n">
        <v>0</v>
      </c>
      <c r="O1053" t="n">
        <v>0</v>
      </c>
      <c r="P1053" t="n">
        <v>0</v>
      </c>
      <c r="Q1053" t="n">
        <v>0</v>
      </c>
      <c r="R1053" s="2" t="inlineStr"/>
    </row>
    <row r="1054" ht="15" customHeight="1">
      <c r="A1054" t="inlineStr">
        <is>
          <t>A 3444-2023</t>
        </is>
      </c>
      <c r="B1054" s="1" t="n">
        <v>44949</v>
      </c>
      <c r="C1054" s="1" t="n">
        <v>45750</v>
      </c>
      <c r="D1054" t="inlineStr">
        <is>
          <t>STOCKHOLMS LÄN</t>
        </is>
      </c>
      <c r="E1054" t="inlineStr">
        <is>
          <t>NORRTÄLJE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4035-2023</t>
        </is>
      </c>
      <c r="B1055" s="1" t="n">
        <v>44952</v>
      </c>
      <c r="C1055" s="1" t="n">
        <v>45750</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4058-2023</t>
        </is>
      </c>
      <c r="B1056" s="1" t="n">
        <v>44952</v>
      </c>
      <c r="C1056" s="1" t="n">
        <v>45750</v>
      </c>
      <c r="D1056" t="inlineStr">
        <is>
          <t>STOCKHOLMS LÄN</t>
        </is>
      </c>
      <c r="E1056" t="inlineStr">
        <is>
          <t>NORRTÄLJE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4194-2023</t>
        </is>
      </c>
      <c r="B1057" s="1" t="n">
        <v>44953</v>
      </c>
      <c r="C1057" s="1" t="n">
        <v>45750</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4168-2023</t>
        </is>
      </c>
      <c r="B1058" s="1" t="n">
        <v>44953</v>
      </c>
      <c r="C1058" s="1" t="n">
        <v>45750</v>
      </c>
      <c r="D1058" t="inlineStr">
        <is>
          <t>STOCKHOLMS LÄN</t>
        </is>
      </c>
      <c r="E1058" t="inlineStr">
        <is>
          <t>NORRTÄLJE</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4316-2023</t>
        </is>
      </c>
      <c r="B1059" s="1" t="n">
        <v>44953</v>
      </c>
      <c r="C1059" s="1" t="n">
        <v>45750</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4326-2023</t>
        </is>
      </c>
      <c r="B1060" s="1" t="n">
        <v>44953</v>
      </c>
      <c r="C1060" s="1" t="n">
        <v>45750</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4322-2023</t>
        </is>
      </c>
      <c r="B1061" s="1" t="n">
        <v>44953</v>
      </c>
      <c r="C1061" s="1" t="n">
        <v>45750</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4364-2023</t>
        </is>
      </c>
      <c r="B1062" s="1" t="n">
        <v>44954</v>
      </c>
      <c r="C1062" s="1" t="n">
        <v>45750</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4395-2023</t>
        </is>
      </c>
      <c r="B1063" s="1" t="n">
        <v>44956</v>
      </c>
      <c r="C1063" s="1" t="n">
        <v>45750</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4438-2023</t>
        </is>
      </c>
      <c r="B1064" s="1" t="n">
        <v>44956</v>
      </c>
      <c r="C1064" s="1" t="n">
        <v>45750</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4593-2023</t>
        </is>
      </c>
      <c r="B1065" s="1" t="n">
        <v>44956</v>
      </c>
      <c r="C1065" s="1" t="n">
        <v>45750</v>
      </c>
      <c r="D1065" t="inlineStr">
        <is>
          <t>STOCKHOLMS LÄN</t>
        </is>
      </c>
      <c r="E1065" t="inlineStr">
        <is>
          <t>NORRTÄLJE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4596-2023</t>
        </is>
      </c>
      <c r="B1066" s="1" t="n">
        <v>44956</v>
      </c>
      <c r="C1066" s="1" t="n">
        <v>45750</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4553-2023</t>
        </is>
      </c>
      <c r="B1067" s="1" t="n">
        <v>44956</v>
      </c>
      <c r="C1067" s="1" t="n">
        <v>45750</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5137-2023</t>
        </is>
      </c>
      <c r="B1068" s="1" t="n">
        <v>44958</v>
      </c>
      <c r="C1068" s="1" t="n">
        <v>45750</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5207-2023</t>
        </is>
      </c>
      <c r="B1069" s="1" t="n">
        <v>44959</v>
      </c>
      <c r="C1069" s="1" t="n">
        <v>45750</v>
      </c>
      <c r="D1069" t="inlineStr">
        <is>
          <t>STOCKHOLMS LÄN</t>
        </is>
      </c>
      <c r="E1069" t="inlineStr">
        <is>
          <t>NORRTÄLJE</t>
        </is>
      </c>
      <c r="F1069" t="inlineStr">
        <is>
          <t>Holmen skog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5422-2023</t>
        </is>
      </c>
      <c r="B1070" s="1" t="n">
        <v>44959</v>
      </c>
      <c r="C1070" s="1" t="n">
        <v>45750</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5244-2023</t>
        </is>
      </c>
      <c r="B1071" s="1" t="n">
        <v>44959</v>
      </c>
      <c r="C1071" s="1" t="n">
        <v>45750</v>
      </c>
      <c r="D1071" t="inlineStr">
        <is>
          <t>STOCKHOLMS LÄN</t>
        </is>
      </c>
      <c r="E1071" t="inlineStr">
        <is>
          <t>NORRTÄLJE</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5423-2023</t>
        </is>
      </c>
      <c r="B1072" s="1" t="n">
        <v>44959</v>
      </c>
      <c r="C1072" s="1" t="n">
        <v>45750</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6312-2023</t>
        </is>
      </c>
      <c r="B1073" s="1" t="n">
        <v>44959</v>
      </c>
      <c r="C1073" s="1" t="n">
        <v>45750</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5645-2023</t>
        </is>
      </c>
      <c r="B1074" s="1" t="n">
        <v>44960</v>
      </c>
      <c r="C1074" s="1" t="n">
        <v>45750</v>
      </c>
      <c r="D1074" t="inlineStr">
        <is>
          <t>STOCKHOLMS LÄN</t>
        </is>
      </c>
      <c r="E1074" t="inlineStr">
        <is>
          <t>NORRTÄLJE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5501-2023</t>
        </is>
      </c>
      <c r="B1075" s="1" t="n">
        <v>44960</v>
      </c>
      <c r="C1075" s="1" t="n">
        <v>45750</v>
      </c>
      <c r="D1075" t="inlineStr">
        <is>
          <t>STOCKHOLMS LÄN</t>
        </is>
      </c>
      <c r="E1075" t="inlineStr">
        <is>
          <t>NORRTÄLJE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6496-2023</t>
        </is>
      </c>
      <c r="B1076" s="1" t="n">
        <v>44960</v>
      </c>
      <c r="C1076" s="1" t="n">
        <v>45750</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5732-2023</t>
        </is>
      </c>
      <c r="B1077" s="1" t="n">
        <v>44962</v>
      </c>
      <c r="C1077" s="1" t="n">
        <v>45750</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5823-2023</t>
        </is>
      </c>
      <c r="B1078" s="1" t="n">
        <v>44963</v>
      </c>
      <c r="C1078" s="1" t="n">
        <v>45750</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5839-2023</t>
        </is>
      </c>
      <c r="B1079" s="1" t="n">
        <v>44963</v>
      </c>
      <c r="C1079" s="1" t="n">
        <v>45750</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6433-2023</t>
        </is>
      </c>
      <c r="B1080" s="1" t="n">
        <v>44965</v>
      </c>
      <c r="C1080" s="1" t="n">
        <v>45750</v>
      </c>
      <c r="D1080" t="inlineStr">
        <is>
          <t>STOCKHOLMS LÄN</t>
        </is>
      </c>
      <c r="E1080" t="inlineStr">
        <is>
          <t>NORRTÄLJE</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7230-2023</t>
        </is>
      </c>
      <c r="B1081" s="1" t="n">
        <v>44965</v>
      </c>
      <c r="C1081" s="1" t="n">
        <v>45750</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6437-2023</t>
        </is>
      </c>
      <c r="B1082" s="1" t="n">
        <v>44965</v>
      </c>
      <c r="C1082" s="1" t="n">
        <v>45750</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7093-2023</t>
        </is>
      </c>
      <c r="B1083" s="1" t="n">
        <v>44970</v>
      </c>
      <c r="C1083" s="1" t="n">
        <v>45750</v>
      </c>
      <c r="D1083" t="inlineStr">
        <is>
          <t>STOCKHOLMS LÄN</t>
        </is>
      </c>
      <c r="E1083" t="inlineStr">
        <is>
          <t>NORRTÄLJE</t>
        </is>
      </c>
      <c r="F1083" t="inlineStr">
        <is>
          <t>Sveaskog</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7190-2023</t>
        </is>
      </c>
      <c r="B1084" s="1" t="n">
        <v>44970</v>
      </c>
      <c r="C1084" s="1" t="n">
        <v>45750</v>
      </c>
      <c r="D1084" t="inlineStr">
        <is>
          <t>STOCKHOLMS LÄN</t>
        </is>
      </c>
      <c r="E1084" t="inlineStr">
        <is>
          <t>NORRTÄLJE</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7120-2023</t>
        </is>
      </c>
      <c r="B1085" s="1" t="n">
        <v>44970</v>
      </c>
      <c r="C1085" s="1" t="n">
        <v>45750</v>
      </c>
      <c r="D1085" t="inlineStr">
        <is>
          <t>STOCKHOLMS LÄN</t>
        </is>
      </c>
      <c r="E1085" t="inlineStr">
        <is>
          <t>NORRTÄLJE</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7638-2023</t>
        </is>
      </c>
      <c r="B1086" s="1" t="n">
        <v>44972</v>
      </c>
      <c r="C1086" s="1" t="n">
        <v>45750</v>
      </c>
      <c r="D1086" t="inlineStr">
        <is>
          <t>STOCKHOLMS LÄN</t>
        </is>
      </c>
      <c r="E1086" t="inlineStr">
        <is>
          <t>NORRTÄLJE</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7966-2023</t>
        </is>
      </c>
      <c r="B1087" s="1" t="n">
        <v>44973</v>
      </c>
      <c r="C1087" s="1" t="n">
        <v>45750</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7974-2023</t>
        </is>
      </c>
      <c r="B1088" s="1" t="n">
        <v>44973</v>
      </c>
      <c r="C1088" s="1" t="n">
        <v>45750</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8296-2023</t>
        </is>
      </c>
      <c r="B1089" s="1" t="n">
        <v>44974</v>
      </c>
      <c r="C1089" s="1" t="n">
        <v>45750</v>
      </c>
      <c r="D1089" t="inlineStr">
        <is>
          <t>STOCKHOLMS LÄN</t>
        </is>
      </c>
      <c r="E1089" t="inlineStr">
        <is>
          <t>NORRTÄLJE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8586-2023</t>
        </is>
      </c>
      <c r="B1090" s="1" t="n">
        <v>44977</v>
      </c>
      <c r="C1090" s="1" t="n">
        <v>45750</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9401-2023</t>
        </is>
      </c>
      <c r="B1091" s="1" t="n">
        <v>44977</v>
      </c>
      <c r="C1091" s="1" t="n">
        <v>45750</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8730-2023</t>
        </is>
      </c>
      <c r="B1092" s="1" t="n">
        <v>44978</v>
      </c>
      <c r="C1092" s="1" t="n">
        <v>45750</v>
      </c>
      <c r="D1092" t="inlineStr">
        <is>
          <t>STOCKHOLMS LÄN</t>
        </is>
      </c>
      <c r="E1092" t="inlineStr">
        <is>
          <t>NORRTÄLJE</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8762-2023</t>
        </is>
      </c>
      <c r="B1093" s="1" t="n">
        <v>44978</v>
      </c>
      <c r="C1093" s="1" t="n">
        <v>45750</v>
      </c>
      <c r="D1093" t="inlineStr">
        <is>
          <t>STOCKHOLMS LÄN</t>
        </is>
      </c>
      <c r="E1093" t="inlineStr">
        <is>
          <t>NORRTÄLJE</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8899-2023</t>
        </is>
      </c>
      <c r="B1094" s="1" t="n">
        <v>44979</v>
      </c>
      <c r="C1094" s="1" t="n">
        <v>45750</v>
      </c>
      <c r="D1094" t="inlineStr">
        <is>
          <t>STOCKHOLMS LÄN</t>
        </is>
      </c>
      <c r="E1094" t="inlineStr">
        <is>
          <t>NORRTÄLJE</t>
        </is>
      </c>
      <c r="F1094" t="inlineStr">
        <is>
          <t>Naturvårdsverket</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9189-2023</t>
        </is>
      </c>
      <c r="B1095" s="1" t="n">
        <v>44980</v>
      </c>
      <c r="C1095" s="1" t="n">
        <v>45750</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9184-2023</t>
        </is>
      </c>
      <c r="B1096" s="1" t="n">
        <v>44980</v>
      </c>
      <c r="C1096" s="1" t="n">
        <v>45750</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9255-2023</t>
        </is>
      </c>
      <c r="B1097" s="1" t="n">
        <v>44980</v>
      </c>
      <c r="C1097" s="1" t="n">
        <v>45750</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9329-2023</t>
        </is>
      </c>
      <c r="B1098" s="1" t="n">
        <v>44980</v>
      </c>
      <c r="C1098" s="1" t="n">
        <v>45750</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9793-2023</t>
        </is>
      </c>
      <c r="B1099" s="1" t="n">
        <v>44984</v>
      </c>
      <c r="C1099" s="1" t="n">
        <v>45750</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9914-2023</t>
        </is>
      </c>
      <c r="B1100" s="1" t="n">
        <v>44985</v>
      </c>
      <c r="C1100" s="1" t="n">
        <v>45750</v>
      </c>
      <c r="D1100" t="inlineStr">
        <is>
          <t>STOCKHOLMS LÄN</t>
        </is>
      </c>
      <c r="E1100" t="inlineStr">
        <is>
          <t>NORRTÄLJE</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9965-2023</t>
        </is>
      </c>
      <c r="B1101" s="1" t="n">
        <v>44985</v>
      </c>
      <c r="C1101" s="1" t="n">
        <v>45750</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9995-2023</t>
        </is>
      </c>
      <c r="B1102" s="1" t="n">
        <v>44985</v>
      </c>
      <c r="C1102" s="1" t="n">
        <v>45750</v>
      </c>
      <c r="D1102" t="inlineStr">
        <is>
          <t>STOCKHOLMS LÄN</t>
        </is>
      </c>
      <c r="E1102" t="inlineStr">
        <is>
          <t>NORRTÄLJE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10036-2023</t>
        </is>
      </c>
      <c r="B1103" s="1" t="n">
        <v>44985</v>
      </c>
      <c r="C1103" s="1" t="n">
        <v>45750</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10039-2023</t>
        </is>
      </c>
      <c r="B1104" s="1" t="n">
        <v>44985</v>
      </c>
      <c r="C1104" s="1" t="n">
        <v>45750</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9945-2023</t>
        </is>
      </c>
      <c r="B1105" s="1" t="n">
        <v>44985</v>
      </c>
      <c r="C1105" s="1" t="n">
        <v>45750</v>
      </c>
      <c r="D1105" t="inlineStr">
        <is>
          <t>STOCKHOLMS LÄN</t>
        </is>
      </c>
      <c r="E1105" t="inlineStr">
        <is>
          <t>NORRTÄLJE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10105-2023</t>
        </is>
      </c>
      <c r="B1106" s="1" t="n">
        <v>44986</v>
      </c>
      <c r="C1106" s="1" t="n">
        <v>45750</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10215-2023</t>
        </is>
      </c>
      <c r="B1107" s="1" t="n">
        <v>44986</v>
      </c>
      <c r="C1107" s="1" t="n">
        <v>45750</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11280-2023</t>
        </is>
      </c>
      <c r="B1108" s="1" t="n">
        <v>44992</v>
      </c>
      <c r="C1108" s="1" t="n">
        <v>45750</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11499-2023</t>
        </is>
      </c>
      <c r="B1109" s="1" t="n">
        <v>44993</v>
      </c>
      <c r="C1109" s="1" t="n">
        <v>45750</v>
      </c>
      <c r="D1109" t="inlineStr">
        <is>
          <t>STOCKHOLMS LÄN</t>
        </is>
      </c>
      <c r="E1109" t="inlineStr">
        <is>
          <t>NORRTÄLJE</t>
        </is>
      </c>
      <c r="F1109" t="inlineStr">
        <is>
          <t>Holmen skog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11844-2023</t>
        </is>
      </c>
      <c r="B1110" s="1" t="n">
        <v>44995</v>
      </c>
      <c r="C1110" s="1" t="n">
        <v>45750</v>
      </c>
      <c r="D1110" t="inlineStr">
        <is>
          <t>STOCKHOLMS LÄN</t>
        </is>
      </c>
      <c r="E1110" t="inlineStr">
        <is>
          <t>NORRTÄLJE</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11940-2023</t>
        </is>
      </c>
      <c r="B1111" s="1" t="n">
        <v>44995</v>
      </c>
      <c r="C1111" s="1" t="n">
        <v>45750</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11852-2023</t>
        </is>
      </c>
      <c r="B1112" s="1" t="n">
        <v>44995</v>
      </c>
      <c r="C1112" s="1" t="n">
        <v>45750</v>
      </c>
      <c r="D1112" t="inlineStr">
        <is>
          <t>STOCKHOLMS LÄN</t>
        </is>
      </c>
      <c r="E1112" t="inlineStr">
        <is>
          <t>NORRTÄLJE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12609-2023</t>
        </is>
      </c>
      <c r="B1113" s="1" t="n">
        <v>45000</v>
      </c>
      <c r="C1113" s="1" t="n">
        <v>45750</v>
      </c>
      <c r="D1113" t="inlineStr">
        <is>
          <t>STOCKHOLMS LÄN</t>
        </is>
      </c>
      <c r="E1113" t="inlineStr">
        <is>
          <t>NORRTÄLJE</t>
        </is>
      </c>
      <c r="F1113" t="inlineStr">
        <is>
          <t>Holmen skog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12756-2023</t>
        </is>
      </c>
      <c r="B1114" s="1" t="n">
        <v>45000</v>
      </c>
      <c r="C1114" s="1" t="n">
        <v>45750</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13072-2023</t>
        </is>
      </c>
      <c r="B1115" s="1" t="n">
        <v>45002</v>
      </c>
      <c r="C1115" s="1" t="n">
        <v>45750</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13354-2023</t>
        </is>
      </c>
      <c r="B1116" s="1" t="n">
        <v>45005</v>
      </c>
      <c r="C1116" s="1" t="n">
        <v>45750</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13360-2023</t>
        </is>
      </c>
      <c r="B1117" s="1" t="n">
        <v>45005</v>
      </c>
      <c r="C1117" s="1" t="n">
        <v>45750</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13860-2023</t>
        </is>
      </c>
      <c r="B1118" s="1" t="n">
        <v>45007</v>
      </c>
      <c r="C1118" s="1" t="n">
        <v>45750</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13957-2023</t>
        </is>
      </c>
      <c r="B1119" s="1" t="n">
        <v>45008</v>
      </c>
      <c r="C1119" s="1" t="n">
        <v>45750</v>
      </c>
      <c r="D1119" t="inlineStr">
        <is>
          <t>STOCKHOLMS LÄN</t>
        </is>
      </c>
      <c r="E1119" t="inlineStr">
        <is>
          <t>NORRTÄLJE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13947-2023</t>
        </is>
      </c>
      <c r="B1120" s="1" t="n">
        <v>45008</v>
      </c>
      <c r="C1120" s="1" t="n">
        <v>45750</v>
      </c>
      <c r="D1120" t="inlineStr">
        <is>
          <t>STOCKHOLMS LÄN</t>
        </is>
      </c>
      <c r="E1120" t="inlineStr">
        <is>
          <t>NORRTÄLJE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13977-2023</t>
        </is>
      </c>
      <c r="B1121" s="1" t="n">
        <v>45008</v>
      </c>
      <c r="C1121" s="1" t="n">
        <v>45750</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14135-2023</t>
        </is>
      </c>
      <c r="B1122" s="1" t="n">
        <v>45009</v>
      </c>
      <c r="C1122" s="1" t="n">
        <v>45750</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15217-2023</t>
        </is>
      </c>
      <c r="B1123" s="1" t="n">
        <v>45019</v>
      </c>
      <c r="C1123" s="1" t="n">
        <v>45750</v>
      </c>
      <c r="D1123" t="inlineStr">
        <is>
          <t>STOCKHOLMS LÄN</t>
        </is>
      </c>
      <c r="E1123" t="inlineStr">
        <is>
          <t>NORRTÄLJE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15256-2023</t>
        </is>
      </c>
      <c r="B1124" s="1" t="n">
        <v>45019</v>
      </c>
      <c r="C1124" s="1" t="n">
        <v>45750</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15447-2023</t>
        </is>
      </c>
      <c r="B1125" s="1" t="n">
        <v>45020</v>
      </c>
      <c r="C1125" s="1" t="n">
        <v>45750</v>
      </c>
      <c r="D1125" t="inlineStr">
        <is>
          <t>STOCKHOLMS LÄN</t>
        </is>
      </c>
      <c r="E1125" t="inlineStr">
        <is>
          <t>NORRTÄLJE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15459-2023</t>
        </is>
      </c>
      <c r="B1126" s="1" t="n">
        <v>45020</v>
      </c>
      <c r="C1126" s="1" t="n">
        <v>45750</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15655-2023</t>
        </is>
      </c>
      <c r="B1127" s="1" t="n">
        <v>45021</v>
      </c>
      <c r="C1127" s="1" t="n">
        <v>45750</v>
      </c>
      <c r="D1127" t="inlineStr">
        <is>
          <t>STOCKHOLMS LÄN</t>
        </is>
      </c>
      <c r="E1127" t="inlineStr">
        <is>
          <t>NORRTÄLJE</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15905-2023</t>
        </is>
      </c>
      <c r="B1128" s="1" t="n">
        <v>45022</v>
      </c>
      <c r="C1128" s="1" t="n">
        <v>45750</v>
      </c>
      <c r="D1128" t="inlineStr">
        <is>
          <t>STOCKHOLMS LÄN</t>
        </is>
      </c>
      <c r="E1128" t="inlineStr">
        <is>
          <t>NORRTÄLJE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15915-2023</t>
        </is>
      </c>
      <c r="B1129" s="1" t="n">
        <v>45022</v>
      </c>
      <c r="C1129" s="1" t="n">
        <v>45750</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15956-2023</t>
        </is>
      </c>
      <c r="B1130" s="1" t="n">
        <v>45022</v>
      </c>
      <c r="C1130" s="1" t="n">
        <v>45750</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15954-2023</t>
        </is>
      </c>
      <c r="B1131" s="1" t="n">
        <v>45022</v>
      </c>
      <c r="C1131" s="1" t="n">
        <v>45750</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16006-2023</t>
        </is>
      </c>
      <c r="B1132" s="1" t="n">
        <v>45025</v>
      </c>
      <c r="C1132" s="1" t="n">
        <v>45750</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16980-2023</t>
        </is>
      </c>
      <c r="B1133" s="1" t="n">
        <v>45033</v>
      </c>
      <c r="C1133" s="1" t="n">
        <v>45750</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16977-2023</t>
        </is>
      </c>
      <c r="B1134" s="1" t="n">
        <v>45033</v>
      </c>
      <c r="C1134" s="1" t="n">
        <v>45750</v>
      </c>
      <c r="D1134" t="inlineStr">
        <is>
          <t>STOCKHOLMS LÄN</t>
        </is>
      </c>
      <c r="E1134" t="inlineStr">
        <is>
          <t>NORRTÄLJE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17140-2023</t>
        </is>
      </c>
      <c r="B1135" s="1" t="n">
        <v>45034</v>
      </c>
      <c r="C1135" s="1" t="n">
        <v>45750</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17133-2023</t>
        </is>
      </c>
      <c r="B1136" s="1" t="n">
        <v>45034</v>
      </c>
      <c r="C1136" s="1" t="n">
        <v>45750</v>
      </c>
      <c r="D1136" t="inlineStr">
        <is>
          <t>STOCKHOLMS LÄN</t>
        </is>
      </c>
      <c r="E1136" t="inlineStr">
        <is>
          <t>NORRTÄLJE</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17919-2023</t>
        </is>
      </c>
      <c r="B1137" s="1" t="n">
        <v>45040</v>
      </c>
      <c r="C1137" s="1" t="n">
        <v>45750</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17939-2023</t>
        </is>
      </c>
      <c r="B1138" s="1" t="n">
        <v>45040</v>
      </c>
      <c r="C1138" s="1" t="n">
        <v>45750</v>
      </c>
      <c r="D1138" t="inlineStr">
        <is>
          <t>STOCKHOLMS LÄN</t>
        </is>
      </c>
      <c r="E1138" t="inlineStr">
        <is>
          <t>NORRTÄLJE</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17930-2023</t>
        </is>
      </c>
      <c r="B1139" s="1" t="n">
        <v>45040</v>
      </c>
      <c r="C1139" s="1" t="n">
        <v>45750</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17984-2023</t>
        </is>
      </c>
      <c r="B1140" s="1" t="n">
        <v>45040</v>
      </c>
      <c r="C1140" s="1" t="n">
        <v>45750</v>
      </c>
      <c r="D1140" t="inlineStr">
        <is>
          <t>STOCKHOLMS LÄN</t>
        </is>
      </c>
      <c r="E1140" t="inlineStr">
        <is>
          <t>NORRTÄLJE</t>
        </is>
      </c>
      <c r="F1140" t="inlineStr">
        <is>
          <t>Holmen skog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18023-2023</t>
        </is>
      </c>
      <c r="B1141" s="1" t="n">
        <v>45040</v>
      </c>
      <c r="C1141" s="1" t="n">
        <v>45750</v>
      </c>
      <c r="D1141" t="inlineStr">
        <is>
          <t>STOCKHOLMS LÄN</t>
        </is>
      </c>
      <c r="E1141" t="inlineStr">
        <is>
          <t>NORRTÄLJE</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18541-2023</t>
        </is>
      </c>
      <c r="B1142" s="1" t="n">
        <v>45042</v>
      </c>
      <c r="C1142" s="1" t="n">
        <v>45750</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18540-2023</t>
        </is>
      </c>
      <c r="B1143" s="1" t="n">
        <v>45042</v>
      </c>
      <c r="C1143" s="1" t="n">
        <v>45750</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18895-2023</t>
        </is>
      </c>
      <c r="B1144" s="1" t="n">
        <v>45044</v>
      </c>
      <c r="C1144" s="1" t="n">
        <v>45750</v>
      </c>
      <c r="D1144" t="inlineStr">
        <is>
          <t>STOCKHOLMS LÄN</t>
        </is>
      </c>
      <c r="E1144" t="inlineStr">
        <is>
          <t>NORRTÄLJE</t>
        </is>
      </c>
      <c r="F1144" t="inlineStr">
        <is>
          <t>Kommuner</t>
        </is>
      </c>
      <c r="G1144" t="n">
        <v>12.7</v>
      </c>
      <c r="H1144" t="n">
        <v>0</v>
      </c>
      <c r="I1144" t="n">
        <v>0</v>
      </c>
      <c r="J1144" t="n">
        <v>0</v>
      </c>
      <c r="K1144" t="n">
        <v>0</v>
      </c>
      <c r="L1144" t="n">
        <v>0</v>
      </c>
      <c r="M1144" t="n">
        <v>0</v>
      </c>
      <c r="N1144" t="n">
        <v>0</v>
      </c>
      <c r="O1144" t="n">
        <v>0</v>
      </c>
      <c r="P1144" t="n">
        <v>0</v>
      </c>
      <c r="Q1144" t="n">
        <v>0</v>
      </c>
      <c r="R1144" s="2" t="inlineStr"/>
    </row>
    <row r="1145" ht="15" customHeight="1">
      <c r="A1145" t="inlineStr">
        <is>
          <t>A 19074-2023</t>
        </is>
      </c>
      <c r="B1145" s="1" t="n">
        <v>45048</v>
      </c>
      <c r="C1145" s="1" t="n">
        <v>45750</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19058-2023</t>
        </is>
      </c>
      <c r="B1146" s="1" t="n">
        <v>45048</v>
      </c>
      <c r="C1146" s="1" t="n">
        <v>45750</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19702-2023</t>
        </is>
      </c>
      <c r="B1147" s="1" t="n">
        <v>45051</v>
      </c>
      <c r="C1147" s="1" t="n">
        <v>45750</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19706-2023</t>
        </is>
      </c>
      <c r="B1148" s="1" t="n">
        <v>45051</v>
      </c>
      <c r="C1148" s="1" t="n">
        <v>45750</v>
      </c>
      <c r="D1148" t="inlineStr">
        <is>
          <t>STOCKHOLMS LÄN</t>
        </is>
      </c>
      <c r="E1148" t="inlineStr">
        <is>
          <t>NORRTÄLJE</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19719-2023</t>
        </is>
      </c>
      <c r="B1149" s="1" t="n">
        <v>45051</v>
      </c>
      <c r="C1149" s="1" t="n">
        <v>45750</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19951-2023</t>
        </is>
      </c>
      <c r="B1150" s="1" t="n">
        <v>45054</v>
      </c>
      <c r="C1150" s="1" t="n">
        <v>45750</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19971-2023</t>
        </is>
      </c>
      <c r="B1151" s="1" t="n">
        <v>45054</v>
      </c>
      <c r="C1151" s="1" t="n">
        <v>45750</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19994-2023</t>
        </is>
      </c>
      <c r="B1152" s="1" t="n">
        <v>45054</v>
      </c>
      <c r="C1152" s="1" t="n">
        <v>45750</v>
      </c>
      <c r="D1152" t="inlineStr">
        <is>
          <t>STOCKHOLMS LÄN</t>
        </is>
      </c>
      <c r="E1152" t="inlineStr">
        <is>
          <t>NORRTÄLJE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19952-2023</t>
        </is>
      </c>
      <c r="B1153" s="1" t="n">
        <v>45054</v>
      </c>
      <c r="C1153" s="1" t="n">
        <v>45750</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20004-2023</t>
        </is>
      </c>
      <c r="B1154" s="1" t="n">
        <v>45054</v>
      </c>
      <c r="C1154" s="1" t="n">
        <v>45750</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20015-2023</t>
        </is>
      </c>
      <c r="B1155" s="1" t="n">
        <v>45054</v>
      </c>
      <c r="C1155" s="1" t="n">
        <v>45750</v>
      </c>
      <c r="D1155" t="inlineStr">
        <is>
          <t>STOCKHOLMS LÄN</t>
        </is>
      </c>
      <c r="E1155" t="inlineStr">
        <is>
          <t>NORRTÄLJE</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20144-2023</t>
        </is>
      </c>
      <c r="B1156" s="1" t="n">
        <v>45055</v>
      </c>
      <c r="C1156" s="1" t="n">
        <v>45750</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20304-2023</t>
        </is>
      </c>
      <c r="B1157" s="1" t="n">
        <v>45056</v>
      </c>
      <c r="C1157" s="1" t="n">
        <v>45750</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20535-2023</t>
        </is>
      </c>
      <c r="B1158" s="1" t="n">
        <v>45057</v>
      </c>
      <c r="C1158" s="1" t="n">
        <v>45750</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20852-2023</t>
        </is>
      </c>
      <c r="B1159" s="1" t="n">
        <v>45058</v>
      </c>
      <c r="C1159" s="1" t="n">
        <v>45750</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21237-2023</t>
        </is>
      </c>
      <c r="B1160" s="1" t="n">
        <v>45062</v>
      </c>
      <c r="C1160" s="1" t="n">
        <v>45750</v>
      </c>
      <c r="D1160" t="inlineStr">
        <is>
          <t>STOCKHOLMS LÄN</t>
        </is>
      </c>
      <c r="E1160" t="inlineStr">
        <is>
          <t>NORRTÄLJE</t>
        </is>
      </c>
      <c r="F1160" t="inlineStr">
        <is>
          <t>Övriga Aktiebolag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21386-2023</t>
        </is>
      </c>
      <c r="B1161" s="1" t="n">
        <v>45063</v>
      </c>
      <c r="C1161" s="1" t="n">
        <v>45750</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21435-2023</t>
        </is>
      </c>
      <c r="B1162" s="1" t="n">
        <v>45063</v>
      </c>
      <c r="C1162" s="1" t="n">
        <v>45750</v>
      </c>
      <c r="D1162" t="inlineStr">
        <is>
          <t>STOCKHOLMS LÄN</t>
        </is>
      </c>
      <c r="E1162" t="inlineStr">
        <is>
          <t>NORRTÄLJE</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21732-2023</t>
        </is>
      </c>
      <c r="B1163" s="1" t="n">
        <v>45063</v>
      </c>
      <c r="C1163" s="1" t="n">
        <v>45750</v>
      </c>
      <c r="D1163" t="inlineStr">
        <is>
          <t>STOCKHOLMS LÄN</t>
        </is>
      </c>
      <c r="E1163" t="inlineStr">
        <is>
          <t>NORRTÄLJE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21733-2023</t>
        </is>
      </c>
      <c r="B1164" s="1" t="n">
        <v>45063</v>
      </c>
      <c r="C1164" s="1" t="n">
        <v>45750</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21731-2023</t>
        </is>
      </c>
      <c r="B1165" s="1" t="n">
        <v>45063</v>
      </c>
      <c r="C1165" s="1" t="n">
        <v>45750</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21718-2023</t>
        </is>
      </c>
      <c r="B1166" s="1" t="n">
        <v>45065</v>
      </c>
      <c r="C1166" s="1" t="n">
        <v>45750</v>
      </c>
      <c r="D1166" t="inlineStr">
        <is>
          <t>STOCKHOLMS LÄN</t>
        </is>
      </c>
      <c r="E1166" t="inlineStr">
        <is>
          <t>NORRTÄLJE</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21719-2023</t>
        </is>
      </c>
      <c r="B1167" s="1" t="n">
        <v>45065</v>
      </c>
      <c r="C1167" s="1" t="n">
        <v>45750</v>
      </c>
      <c r="D1167" t="inlineStr">
        <is>
          <t>STOCKHOLMS LÄN</t>
        </is>
      </c>
      <c r="E1167" t="inlineStr">
        <is>
          <t>NORRTÄLJE</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21745-2023</t>
        </is>
      </c>
      <c r="B1168" s="1" t="n">
        <v>45065</v>
      </c>
      <c r="C1168" s="1" t="n">
        <v>45750</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21720-2023</t>
        </is>
      </c>
      <c r="B1169" s="1" t="n">
        <v>45065</v>
      </c>
      <c r="C1169" s="1" t="n">
        <v>45750</v>
      </c>
      <c r="D1169" t="inlineStr">
        <is>
          <t>STOCKHOLMS LÄN</t>
        </is>
      </c>
      <c r="E1169" t="inlineStr">
        <is>
          <t>NORRTÄLJE</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21716-2023</t>
        </is>
      </c>
      <c r="B1170" s="1" t="n">
        <v>45065</v>
      </c>
      <c r="C1170" s="1" t="n">
        <v>45750</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21894-2023</t>
        </is>
      </c>
      <c r="B1171" s="1" t="n">
        <v>45068</v>
      </c>
      <c r="C1171" s="1" t="n">
        <v>45750</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21832-2023</t>
        </is>
      </c>
      <c r="B1172" s="1" t="n">
        <v>45068</v>
      </c>
      <c r="C1172" s="1" t="n">
        <v>45750</v>
      </c>
      <c r="D1172" t="inlineStr">
        <is>
          <t>STOCKHOLMS LÄN</t>
        </is>
      </c>
      <c r="E1172" t="inlineStr">
        <is>
          <t>NORRTÄLJE</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21825-2023</t>
        </is>
      </c>
      <c r="B1173" s="1" t="n">
        <v>45068</v>
      </c>
      <c r="C1173" s="1" t="n">
        <v>45750</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21897-2023</t>
        </is>
      </c>
      <c r="B1174" s="1" t="n">
        <v>45068</v>
      </c>
      <c r="C1174" s="1" t="n">
        <v>45750</v>
      </c>
      <c r="D1174" t="inlineStr">
        <is>
          <t>STOCKHOLMS LÄN</t>
        </is>
      </c>
      <c r="E1174" t="inlineStr">
        <is>
          <t>NORRTÄLJE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21993-2023</t>
        </is>
      </c>
      <c r="B1175" s="1" t="n">
        <v>45068</v>
      </c>
      <c r="C1175" s="1" t="n">
        <v>45750</v>
      </c>
      <c r="D1175" t="inlineStr">
        <is>
          <t>STOCKHOLMS LÄN</t>
        </is>
      </c>
      <c r="E1175" t="inlineStr">
        <is>
          <t>NORRTÄLJE</t>
        </is>
      </c>
      <c r="G1175" t="n">
        <v>17.2</v>
      </c>
      <c r="H1175" t="n">
        <v>0</v>
      </c>
      <c r="I1175" t="n">
        <v>0</v>
      </c>
      <c r="J1175" t="n">
        <v>0</v>
      </c>
      <c r="K1175" t="n">
        <v>0</v>
      </c>
      <c r="L1175" t="n">
        <v>0</v>
      </c>
      <c r="M1175" t="n">
        <v>0</v>
      </c>
      <c r="N1175" t="n">
        <v>0</v>
      </c>
      <c r="O1175" t="n">
        <v>0</v>
      </c>
      <c r="P1175" t="n">
        <v>0</v>
      </c>
      <c r="Q1175" t="n">
        <v>0</v>
      </c>
      <c r="R1175" s="2" t="inlineStr"/>
    </row>
    <row r="1176" ht="15" customHeight="1">
      <c r="A1176" t="inlineStr">
        <is>
          <t>A 21961-2023</t>
        </is>
      </c>
      <c r="B1176" s="1" t="n">
        <v>45068</v>
      </c>
      <c r="C1176" s="1" t="n">
        <v>45750</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22157-2023</t>
        </is>
      </c>
      <c r="B1177" s="1" t="n">
        <v>45069</v>
      </c>
      <c r="C1177" s="1" t="n">
        <v>45750</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c r="U1177">
        <f>HYPERLINK("https://klasma.github.io/Logging_0188/knärot/A 22157-2023 karta knärot.png", "A 22157-2023")</f>
        <v/>
      </c>
      <c r="V1177">
        <f>HYPERLINK("https://klasma.github.io/Logging_0188/klagomål/A 22157-2023 FSC-klagomål.docx", "A 22157-2023")</f>
        <v/>
      </c>
      <c r="W1177">
        <f>HYPERLINK("https://klasma.github.io/Logging_0188/klagomålsmail/A 22157-2023 FSC-klagomål mail.docx", "A 22157-2023")</f>
        <v/>
      </c>
      <c r="X1177">
        <f>HYPERLINK("https://klasma.github.io/Logging_0188/tillsyn/A 22157-2023 tillsynsbegäran.docx", "A 22157-2023")</f>
        <v/>
      </c>
      <c r="Y1177">
        <f>HYPERLINK("https://klasma.github.io/Logging_0188/tillsynsmail/A 22157-2023 tillsynsbegäran mail.docx", "A 22157-2023")</f>
        <v/>
      </c>
    </row>
    <row r="1178" ht="15" customHeight="1">
      <c r="A1178" t="inlineStr">
        <is>
          <t>A 22175-2023</t>
        </is>
      </c>
      <c r="B1178" s="1" t="n">
        <v>45069</v>
      </c>
      <c r="C1178" s="1" t="n">
        <v>45750</v>
      </c>
      <c r="D1178" t="inlineStr">
        <is>
          <t>STOCKHOLMS LÄN</t>
        </is>
      </c>
      <c r="E1178" t="inlineStr">
        <is>
          <t>NORRTÄLJE</t>
        </is>
      </c>
      <c r="G1178" t="n">
        <v>32.7</v>
      </c>
      <c r="H1178" t="n">
        <v>0</v>
      </c>
      <c r="I1178" t="n">
        <v>0</v>
      </c>
      <c r="J1178" t="n">
        <v>0</v>
      </c>
      <c r="K1178" t="n">
        <v>0</v>
      </c>
      <c r="L1178" t="n">
        <v>0</v>
      </c>
      <c r="M1178" t="n">
        <v>0</v>
      </c>
      <c r="N1178" t="n">
        <v>0</v>
      </c>
      <c r="O1178" t="n">
        <v>0</v>
      </c>
      <c r="P1178" t="n">
        <v>0</v>
      </c>
      <c r="Q1178" t="n">
        <v>0</v>
      </c>
      <c r="R1178" s="2" t="inlineStr"/>
    </row>
    <row r="1179" ht="15" customHeight="1">
      <c r="A1179" t="inlineStr">
        <is>
          <t>A 22249-2023</t>
        </is>
      </c>
      <c r="B1179" s="1" t="n">
        <v>45070</v>
      </c>
      <c r="C1179" s="1" t="n">
        <v>45750</v>
      </c>
      <c r="D1179" t="inlineStr">
        <is>
          <t>STOCKHOLMS LÄN</t>
        </is>
      </c>
      <c r="E1179" t="inlineStr">
        <is>
          <t>NORRTÄLJE</t>
        </is>
      </c>
      <c r="F1179" t="inlineStr">
        <is>
          <t>Övriga Aktiebolag</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22398-2023</t>
        </is>
      </c>
      <c r="B1180" s="1" t="n">
        <v>45070</v>
      </c>
      <c r="C1180" s="1" t="n">
        <v>45750</v>
      </c>
      <c r="D1180" t="inlineStr">
        <is>
          <t>STOCKHOLMS LÄN</t>
        </is>
      </c>
      <c r="E1180" t="inlineStr">
        <is>
          <t>NORRTÄLJE</t>
        </is>
      </c>
      <c r="F1180" t="inlineStr">
        <is>
          <t>Övriga Aktiebolag</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22376-2023</t>
        </is>
      </c>
      <c r="B1181" s="1" t="n">
        <v>45070</v>
      </c>
      <c r="C1181" s="1" t="n">
        <v>45750</v>
      </c>
      <c r="D1181" t="inlineStr">
        <is>
          <t>STOCKHOLMS LÄN</t>
        </is>
      </c>
      <c r="E1181" t="inlineStr">
        <is>
          <t>NORRTÄLJE</t>
        </is>
      </c>
      <c r="F1181" t="inlineStr">
        <is>
          <t>Kommuner</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22456-2023</t>
        </is>
      </c>
      <c r="B1182" s="1" t="n">
        <v>45070</v>
      </c>
      <c r="C1182" s="1" t="n">
        <v>45750</v>
      </c>
      <c r="D1182" t="inlineStr">
        <is>
          <t>STOCKHOLMS LÄN</t>
        </is>
      </c>
      <c r="E1182" t="inlineStr">
        <is>
          <t>NORRTÄLJE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22378-2023</t>
        </is>
      </c>
      <c r="B1183" s="1" t="n">
        <v>45070</v>
      </c>
      <c r="C1183" s="1" t="n">
        <v>45750</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22406-2023</t>
        </is>
      </c>
      <c r="B1184" s="1" t="n">
        <v>45070</v>
      </c>
      <c r="C1184" s="1" t="n">
        <v>45750</v>
      </c>
      <c r="D1184" t="inlineStr">
        <is>
          <t>STOCKHOLMS LÄN</t>
        </is>
      </c>
      <c r="E1184" t="inlineStr">
        <is>
          <t>NORRTÄLJE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22553-2023</t>
        </is>
      </c>
      <c r="B1185" s="1" t="n">
        <v>45071</v>
      </c>
      <c r="C1185" s="1" t="n">
        <v>45750</v>
      </c>
      <c r="D1185" t="inlineStr">
        <is>
          <t>STOCKHOLMS LÄN</t>
        </is>
      </c>
      <c r="E1185" t="inlineStr">
        <is>
          <t>NORRTÄLJE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22962-2023</t>
        </is>
      </c>
      <c r="B1186" s="1" t="n">
        <v>45072</v>
      </c>
      <c r="C1186" s="1" t="n">
        <v>45750</v>
      </c>
      <c r="D1186" t="inlineStr">
        <is>
          <t>STOCKHOLMS LÄN</t>
        </is>
      </c>
      <c r="E1186" t="inlineStr">
        <is>
          <t>NORRTÄLJE</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23056-2023</t>
        </is>
      </c>
      <c r="B1187" s="1" t="n">
        <v>45075</v>
      </c>
      <c r="C1187" s="1" t="n">
        <v>45750</v>
      </c>
      <c r="D1187" t="inlineStr">
        <is>
          <t>STOCKHOLMS LÄN</t>
        </is>
      </c>
      <c r="E1187" t="inlineStr">
        <is>
          <t>NORRTÄLJE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23060-2023</t>
        </is>
      </c>
      <c r="B1188" s="1" t="n">
        <v>45075</v>
      </c>
      <c r="C1188" s="1" t="n">
        <v>45750</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23070-2023</t>
        </is>
      </c>
      <c r="B1189" s="1" t="n">
        <v>45075</v>
      </c>
      <c r="C1189" s="1" t="n">
        <v>45750</v>
      </c>
      <c r="D1189" t="inlineStr">
        <is>
          <t>STOCKHOLMS LÄN</t>
        </is>
      </c>
      <c r="E1189" t="inlineStr">
        <is>
          <t>NORRTÄLJE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23130-2023</t>
        </is>
      </c>
      <c r="B1190" s="1" t="n">
        <v>45075</v>
      </c>
      <c r="C1190" s="1" t="n">
        <v>45750</v>
      </c>
      <c r="D1190" t="inlineStr">
        <is>
          <t>STOCKHOLMS LÄN</t>
        </is>
      </c>
      <c r="E1190" t="inlineStr">
        <is>
          <t>NORRTÄLJE</t>
        </is>
      </c>
      <c r="F1190" t="inlineStr">
        <is>
          <t>Kommuner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23265-2023</t>
        </is>
      </c>
      <c r="B1191" s="1" t="n">
        <v>45075</v>
      </c>
      <c r="C1191" s="1" t="n">
        <v>45750</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23269-2023</t>
        </is>
      </c>
      <c r="B1192" s="1" t="n">
        <v>45075</v>
      </c>
      <c r="C1192" s="1" t="n">
        <v>45750</v>
      </c>
      <c r="D1192" t="inlineStr">
        <is>
          <t>STOCKHOLMS LÄN</t>
        </is>
      </c>
      <c r="E1192" t="inlineStr">
        <is>
          <t>NORRTÄLJE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23273-2023</t>
        </is>
      </c>
      <c r="B1193" s="1" t="n">
        <v>45076</v>
      </c>
      <c r="C1193" s="1" t="n">
        <v>45750</v>
      </c>
      <c r="D1193" t="inlineStr">
        <is>
          <t>STOCKHOLMS LÄN</t>
        </is>
      </c>
      <c r="E1193" t="inlineStr">
        <is>
          <t>NORRTÄLJE</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23134-2023</t>
        </is>
      </c>
      <c r="B1194" s="1" t="n">
        <v>45075</v>
      </c>
      <c r="C1194" s="1" t="n">
        <v>45750</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23263-2023</t>
        </is>
      </c>
      <c r="B1195" s="1" t="n">
        <v>45075</v>
      </c>
      <c r="C1195" s="1" t="n">
        <v>45750</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23267-2023</t>
        </is>
      </c>
      <c r="B1196" s="1" t="n">
        <v>45075</v>
      </c>
      <c r="C1196" s="1" t="n">
        <v>45750</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23271-2023</t>
        </is>
      </c>
      <c r="B1197" s="1" t="n">
        <v>45075</v>
      </c>
      <c r="C1197" s="1" t="n">
        <v>45750</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23264-2023</t>
        </is>
      </c>
      <c r="B1198" s="1" t="n">
        <v>45075</v>
      </c>
      <c r="C1198" s="1" t="n">
        <v>45750</v>
      </c>
      <c r="D1198" t="inlineStr">
        <is>
          <t>STOCKHOLMS LÄN</t>
        </is>
      </c>
      <c r="E1198" t="inlineStr">
        <is>
          <t>NORRTÄLJE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23268-2023</t>
        </is>
      </c>
      <c r="B1199" s="1" t="n">
        <v>45075</v>
      </c>
      <c r="C1199" s="1" t="n">
        <v>45750</v>
      </c>
      <c r="D1199" t="inlineStr">
        <is>
          <t>STOCKHOLMS LÄN</t>
        </is>
      </c>
      <c r="E1199" t="inlineStr">
        <is>
          <t>NORRTÄLJE</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23272-2023</t>
        </is>
      </c>
      <c r="B1200" s="1" t="n">
        <v>45075</v>
      </c>
      <c r="C1200" s="1" t="n">
        <v>45750</v>
      </c>
      <c r="D1200" t="inlineStr">
        <is>
          <t>STOCKHOLMS LÄN</t>
        </is>
      </c>
      <c r="E1200" t="inlineStr">
        <is>
          <t>NORRTÄLJE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23262-2023</t>
        </is>
      </c>
      <c r="B1201" s="1" t="n">
        <v>45075</v>
      </c>
      <c r="C1201" s="1" t="n">
        <v>45750</v>
      </c>
      <c r="D1201" t="inlineStr">
        <is>
          <t>STOCKHOLMS LÄN</t>
        </is>
      </c>
      <c r="E1201" t="inlineStr">
        <is>
          <t>NORRTÄLJE</t>
        </is>
      </c>
      <c r="F1201" t="inlineStr">
        <is>
          <t>Kommuner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23266-2023</t>
        </is>
      </c>
      <c r="B1202" s="1" t="n">
        <v>45075</v>
      </c>
      <c r="C1202" s="1" t="n">
        <v>45750</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23270-2023</t>
        </is>
      </c>
      <c r="B1203" s="1" t="n">
        <v>45075</v>
      </c>
      <c r="C1203" s="1" t="n">
        <v>45750</v>
      </c>
      <c r="D1203" t="inlineStr">
        <is>
          <t>STOCKHOLMS LÄN</t>
        </is>
      </c>
      <c r="E1203" t="inlineStr">
        <is>
          <t>NORRTÄLJE</t>
        </is>
      </c>
      <c r="G1203" t="n">
        <v>12.3</v>
      </c>
      <c r="H1203" t="n">
        <v>0</v>
      </c>
      <c r="I1203" t="n">
        <v>0</v>
      </c>
      <c r="J1203" t="n">
        <v>0</v>
      </c>
      <c r="K1203" t="n">
        <v>0</v>
      </c>
      <c r="L1203" t="n">
        <v>0</v>
      </c>
      <c r="M1203" t="n">
        <v>0</v>
      </c>
      <c r="N1203" t="n">
        <v>0</v>
      </c>
      <c r="O1203" t="n">
        <v>0</v>
      </c>
      <c r="P1203" t="n">
        <v>0</v>
      </c>
      <c r="Q1203" t="n">
        <v>0</v>
      </c>
      <c r="R1203" s="2" t="inlineStr"/>
    </row>
    <row r="1204" ht="15" customHeight="1">
      <c r="A1204" t="inlineStr">
        <is>
          <t>A 23274-2023</t>
        </is>
      </c>
      <c r="B1204" s="1" t="n">
        <v>45076</v>
      </c>
      <c r="C1204" s="1" t="n">
        <v>45750</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23699-2023</t>
        </is>
      </c>
      <c r="B1205" s="1" t="n">
        <v>45077</v>
      </c>
      <c r="C1205" s="1" t="n">
        <v>45750</v>
      </c>
      <c r="D1205" t="inlineStr">
        <is>
          <t>STOCKHOLMS LÄN</t>
        </is>
      </c>
      <c r="E1205" t="inlineStr">
        <is>
          <t>NORRTÄLJE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24129-2023</t>
        </is>
      </c>
      <c r="B1206" s="1" t="n">
        <v>45079</v>
      </c>
      <c r="C1206" s="1" t="n">
        <v>45750</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24330-2023</t>
        </is>
      </c>
      <c r="B1207" s="1" t="n">
        <v>45081</v>
      </c>
      <c r="C1207" s="1" t="n">
        <v>45750</v>
      </c>
      <c r="D1207" t="inlineStr">
        <is>
          <t>STOCKHOLMS LÄN</t>
        </is>
      </c>
      <c r="E1207" t="inlineStr">
        <is>
          <t>NORRTÄLJE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24520-2023</t>
        </is>
      </c>
      <c r="B1208" s="1" t="n">
        <v>45082</v>
      </c>
      <c r="C1208" s="1" t="n">
        <v>45750</v>
      </c>
      <c r="D1208" t="inlineStr">
        <is>
          <t>STOCKHOLMS LÄN</t>
        </is>
      </c>
      <c r="E1208" t="inlineStr">
        <is>
          <t>NORRTÄLJE</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24501-2023</t>
        </is>
      </c>
      <c r="B1209" s="1" t="n">
        <v>45082</v>
      </c>
      <c r="C1209" s="1" t="n">
        <v>45750</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24522-2023</t>
        </is>
      </c>
      <c r="B1210" s="1" t="n">
        <v>45082</v>
      </c>
      <c r="C1210" s="1" t="n">
        <v>45750</v>
      </c>
      <c r="D1210" t="inlineStr">
        <is>
          <t>STOCKHOLMS LÄN</t>
        </is>
      </c>
      <c r="E1210" t="inlineStr">
        <is>
          <t>NORRTÄLJE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24705-2023</t>
        </is>
      </c>
      <c r="B1211" s="1" t="n">
        <v>45084</v>
      </c>
      <c r="C1211" s="1" t="n">
        <v>45750</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24727-2023</t>
        </is>
      </c>
      <c r="B1212" s="1" t="n">
        <v>45084</v>
      </c>
      <c r="C1212" s="1" t="n">
        <v>45750</v>
      </c>
      <c r="D1212" t="inlineStr">
        <is>
          <t>STOCKHOLMS LÄN</t>
        </is>
      </c>
      <c r="E1212" t="inlineStr">
        <is>
          <t>NORRTÄLJE</t>
        </is>
      </c>
      <c r="F1212" t="inlineStr">
        <is>
          <t>Holmen skog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24788-2023</t>
        </is>
      </c>
      <c r="B1213" s="1" t="n">
        <v>45084</v>
      </c>
      <c r="C1213" s="1" t="n">
        <v>45750</v>
      </c>
      <c r="D1213" t="inlineStr">
        <is>
          <t>STOCKHOLMS LÄN</t>
        </is>
      </c>
      <c r="E1213" t="inlineStr">
        <is>
          <t>NORRTÄLJE</t>
        </is>
      </c>
      <c r="F1213" t="inlineStr">
        <is>
          <t>Sveaskog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24789-2023</t>
        </is>
      </c>
      <c r="B1214" s="1" t="n">
        <v>45084</v>
      </c>
      <c r="C1214" s="1" t="n">
        <v>45750</v>
      </c>
      <c r="D1214" t="inlineStr">
        <is>
          <t>STOCKHOLMS LÄN</t>
        </is>
      </c>
      <c r="E1214" t="inlineStr">
        <is>
          <t>NORRTÄLJE</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24887-2023</t>
        </is>
      </c>
      <c r="B1215" s="1" t="n">
        <v>45085</v>
      </c>
      <c r="C1215" s="1" t="n">
        <v>45750</v>
      </c>
      <c r="D1215" t="inlineStr">
        <is>
          <t>STOCKHOLMS LÄN</t>
        </is>
      </c>
      <c r="E1215" t="inlineStr">
        <is>
          <t>NORRTÄLJE</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24933-2023</t>
        </is>
      </c>
      <c r="B1216" s="1" t="n">
        <v>45085</v>
      </c>
      <c r="C1216" s="1" t="n">
        <v>45750</v>
      </c>
      <c r="D1216" t="inlineStr">
        <is>
          <t>STOCKHOLMS LÄN</t>
        </is>
      </c>
      <c r="E1216" t="inlineStr">
        <is>
          <t>NORRTÄLJE</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25174-2023</t>
        </is>
      </c>
      <c r="B1217" s="1" t="n">
        <v>45086</v>
      </c>
      <c r="C1217" s="1" t="n">
        <v>45750</v>
      </c>
      <c r="D1217" t="inlineStr">
        <is>
          <t>STOCKHOLMS LÄN</t>
        </is>
      </c>
      <c r="E1217" t="inlineStr">
        <is>
          <t>NORRTÄLJE</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25094-2023</t>
        </is>
      </c>
      <c r="B1218" s="1" t="n">
        <v>45086</v>
      </c>
      <c r="C1218" s="1" t="n">
        <v>45750</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25257-2023</t>
        </is>
      </c>
      <c r="B1219" s="1" t="n">
        <v>45086</v>
      </c>
      <c r="C1219" s="1" t="n">
        <v>45750</v>
      </c>
      <c r="D1219" t="inlineStr">
        <is>
          <t>STOCKHOLMS LÄN</t>
        </is>
      </c>
      <c r="E1219" t="inlineStr">
        <is>
          <t>NORRTÄLJE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25614-2023</t>
        </is>
      </c>
      <c r="B1220" s="1" t="n">
        <v>45089</v>
      </c>
      <c r="C1220" s="1" t="n">
        <v>45750</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25625-2023</t>
        </is>
      </c>
      <c r="B1221" s="1" t="n">
        <v>45089</v>
      </c>
      <c r="C1221" s="1" t="n">
        <v>45750</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25557-2023</t>
        </is>
      </c>
      <c r="B1222" s="1" t="n">
        <v>45089</v>
      </c>
      <c r="C1222" s="1" t="n">
        <v>45750</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25609-2023</t>
        </is>
      </c>
      <c r="B1223" s="1" t="n">
        <v>45089</v>
      </c>
      <c r="C1223" s="1" t="n">
        <v>45750</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25618-2023</t>
        </is>
      </c>
      <c r="B1224" s="1" t="n">
        <v>45089</v>
      </c>
      <c r="C1224" s="1" t="n">
        <v>45750</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25656-2023</t>
        </is>
      </c>
      <c r="B1225" s="1" t="n">
        <v>45089</v>
      </c>
      <c r="C1225" s="1" t="n">
        <v>45750</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25654-2023</t>
        </is>
      </c>
      <c r="B1226" s="1" t="n">
        <v>45089</v>
      </c>
      <c r="C1226" s="1" t="n">
        <v>45750</v>
      </c>
      <c r="D1226" t="inlineStr">
        <is>
          <t>STOCKHOLMS LÄN</t>
        </is>
      </c>
      <c r="E1226" t="inlineStr">
        <is>
          <t>NORRTÄLJE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25831-2023</t>
        </is>
      </c>
      <c r="B1227" s="1" t="n">
        <v>45090</v>
      </c>
      <c r="C1227" s="1" t="n">
        <v>45750</v>
      </c>
      <c r="D1227" t="inlineStr">
        <is>
          <t>STOCKHOLMS LÄN</t>
        </is>
      </c>
      <c r="E1227" t="inlineStr">
        <is>
          <t>NORRTÄLJE</t>
        </is>
      </c>
      <c r="F1227" t="inlineStr">
        <is>
          <t>Övriga Aktiebolag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25915-2023</t>
        </is>
      </c>
      <c r="B1228" s="1" t="n">
        <v>45090</v>
      </c>
      <c r="C1228" s="1" t="n">
        <v>45750</v>
      </c>
      <c r="D1228" t="inlineStr">
        <is>
          <t>STOCKHOLMS LÄN</t>
        </is>
      </c>
      <c r="E1228" t="inlineStr">
        <is>
          <t>NORRTÄLJE</t>
        </is>
      </c>
      <c r="F1228" t="inlineStr">
        <is>
          <t>Naturvårdsverket</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26065-2023</t>
        </is>
      </c>
      <c r="B1229" s="1" t="n">
        <v>45091</v>
      </c>
      <c r="C1229" s="1" t="n">
        <v>45750</v>
      </c>
      <c r="D1229" t="inlineStr">
        <is>
          <t>STOCKHOLMS LÄN</t>
        </is>
      </c>
      <c r="E1229" t="inlineStr">
        <is>
          <t>NORRTÄLJE</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26315-2023</t>
        </is>
      </c>
      <c r="B1230" s="1" t="n">
        <v>45091</v>
      </c>
      <c r="C1230" s="1" t="n">
        <v>45750</v>
      </c>
      <c r="D1230" t="inlineStr">
        <is>
          <t>STOCKHOLMS LÄN</t>
        </is>
      </c>
      <c r="E1230" t="inlineStr">
        <is>
          <t>NORRTÄLJE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26570-2023</t>
        </is>
      </c>
      <c r="B1231" s="1" t="n">
        <v>45092</v>
      </c>
      <c r="C1231" s="1" t="n">
        <v>45750</v>
      </c>
      <c r="D1231" t="inlineStr">
        <is>
          <t>STOCKHOLMS LÄN</t>
        </is>
      </c>
      <c r="E1231" t="inlineStr">
        <is>
          <t>NORRTÄLJE</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26636-2023</t>
        </is>
      </c>
      <c r="B1232" s="1" t="n">
        <v>45092</v>
      </c>
      <c r="C1232" s="1" t="n">
        <v>45750</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26640-2023</t>
        </is>
      </c>
      <c r="B1233" s="1" t="n">
        <v>45092</v>
      </c>
      <c r="C1233" s="1" t="n">
        <v>45750</v>
      </c>
      <c r="D1233" t="inlineStr">
        <is>
          <t>STOCKHOLMS LÄN</t>
        </is>
      </c>
      <c r="E1233" t="inlineStr">
        <is>
          <t>NORRTÄLJE</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26637-2023</t>
        </is>
      </c>
      <c r="B1234" s="1" t="n">
        <v>45092</v>
      </c>
      <c r="C1234" s="1" t="n">
        <v>45750</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26639-2023</t>
        </is>
      </c>
      <c r="B1235" s="1" t="n">
        <v>45092</v>
      </c>
      <c r="C1235" s="1" t="n">
        <v>45750</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27651-2023</t>
        </is>
      </c>
      <c r="B1236" s="1" t="n">
        <v>45097</v>
      </c>
      <c r="C1236" s="1" t="n">
        <v>45750</v>
      </c>
      <c r="D1236" t="inlineStr">
        <is>
          <t>STOCKHOLMS LÄN</t>
        </is>
      </c>
      <c r="E1236" t="inlineStr">
        <is>
          <t>NORRTÄLJE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28281-2023</t>
        </is>
      </c>
      <c r="B1237" s="1" t="n">
        <v>45099</v>
      </c>
      <c r="C1237" s="1" t="n">
        <v>45750</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28820-2023</t>
        </is>
      </c>
      <c r="B1238" s="1" t="n">
        <v>45104</v>
      </c>
      <c r="C1238" s="1" t="n">
        <v>45750</v>
      </c>
      <c r="D1238" t="inlineStr">
        <is>
          <t>STOCKHOLMS LÄN</t>
        </is>
      </c>
      <c r="E1238" t="inlineStr">
        <is>
          <t>NORRTÄLJE</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28813-2023</t>
        </is>
      </c>
      <c r="B1239" s="1" t="n">
        <v>45104</v>
      </c>
      <c r="C1239" s="1" t="n">
        <v>45750</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29003-2023</t>
        </is>
      </c>
      <c r="B1240" s="1" t="n">
        <v>45104</v>
      </c>
      <c r="C1240" s="1" t="n">
        <v>45750</v>
      </c>
      <c r="D1240" t="inlineStr">
        <is>
          <t>STOCKHOLMS LÄN</t>
        </is>
      </c>
      <c r="E1240" t="inlineStr">
        <is>
          <t>NORRTÄLJE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28816-2023</t>
        </is>
      </c>
      <c r="B1241" s="1" t="n">
        <v>45104</v>
      </c>
      <c r="C1241" s="1" t="n">
        <v>45750</v>
      </c>
      <c r="D1241" t="inlineStr">
        <is>
          <t>STOCKHOLMS LÄN</t>
        </is>
      </c>
      <c r="E1241" t="inlineStr">
        <is>
          <t>NORRTÄLJE</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28809-2023</t>
        </is>
      </c>
      <c r="B1242" s="1" t="n">
        <v>45104</v>
      </c>
      <c r="C1242" s="1" t="n">
        <v>45750</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29254-2023</t>
        </is>
      </c>
      <c r="B1243" s="1" t="n">
        <v>45105</v>
      </c>
      <c r="C1243" s="1" t="n">
        <v>45750</v>
      </c>
      <c r="D1243" t="inlineStr">
        <is>
          <t>STOCKHOLMS LÄN</t>
        </is>
      </c>
      <c r="E1243" t="inlineStr">
        <is>
          <t>NORRTÄLJE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29433-2023</t>
        </is>
      </c>
      <c r="B1244" s="1" t="n">
        <v>45106</v>
      </c>
      <c r="C1244" s="1" t="n">
        <v>45750</v>
      </c>
      <c r="D1244" t="inlineStr">
        <is>
          <t>STOCKHOLMS LÄN</t>
        </is>
      </c>
      <c r="E1244" t="inlineStr">
        <is>
          <t>NORRTÄLJE</t>
        </is>
      </c>
      <c r="F1244" t="inlineStr">
        <is>
          <t>Övriga Aktiebolag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29681-2023</t>
        </is>
      </c>
      <c r="B1245" s="1" t="n">
        <v>45107</v>
      </c>
      <c r="C1245" s="1" t="n">
        <v>45750</v>
      </c>
      <c r="D1245" t="inlineStr">
        <is>
          <t>STOCKHOLMS LÄN</t>
        </is>
      </c>
      <c r="E1245" t="inlineStr">
        <is>
          <t>NORRTÄLJE</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29710-2023</t>
        </is>
      </c>
      <c r="B1246" s="1" t="n">
        <v>45107</v>
      </c>
      <c r="C1246" s="1" t="n">
        <v>45750</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29714-2023</t>
        </is>
      </c>
      <c r="B1247" s="1" t="n">
        <v>45107</v>
      </c>
      <c r="C1247" s="1" t="n">
        <v>45750</v>
      </c>
      <c r="D1247" t="inlineStr">
        <is>
          <t>STOCKHOLMS LÄN</t>
        </is>
      </c>
      <c r="E1247" t="inlineStr">
        <is>
          <t>NORRTÄLJE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30116-2023</t>
        </is>
      </c>
      <c r="B1248" s="1" t="n">
        <v>45110</v>
      </c>
      <c r="C1248" s="1" t="n">
        <v>45750</v>
      </c>
      <c r="D1248" t="inlineStr">
        <is>
          <t>STOCKHOLMS LÄN</t>
        </is>
      </c>
      <c r="E1248" t="inlineStr">
        <is>
          <t>NORRTÄLJE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30281-2023</t>
        </is>
      </c>
      <c r="B1249" s="1" t="n">
        <v>45110</v>
      </c>
      <c r="C1249" s="1" t="n">
        <v>45750</v>
      </c>
      <c r="D1249" t="inlineStr">
        <is>
          <t>STOCKHOLMS LÄN</t>
        </is>
      </c>
      <c r="E1249" t="inlineStr">
        <is>
          <t>NORRTÄLJE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30508-2023</t>
        </is>
      </c>
      <c r="B1250" s="1" t="n">
        <v>45111</v>
      </c>
      <c r="C1250" s="1" t="n">
        <v>45750</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30496-2023</t>
        </is>
      </c>
      <c r="B1251" s="1" t="n">
        <v>45111</v>
      </c>
      <c r="C1251" s="1" t="n">
        <v>45750</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30516-2023</t>
        </is>
      </c>
      <c r="B1252" s="1" t="n">
        <v>45111</v>
      </c>
      <c r="C1252" s="1" t="n">
        <v>45750</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30525-2023</t>
        </is>
      </c>
      <c r="B1253" s="1" t="n">
        <v>45111</v>
      </c>
      <c r="C1253" s="1" t="n">
        <v>45750</v>
      </c>
      <c r="D1253" t="inlineStr">
        <is>
          <t>STOCKHOLMS LÄN</t>
        </is>
      </c>
      <c r="E1253" t="inlineStr">
        <is>
          <t>NORRTÄLJE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30424-2023</t>
        </is>
      </c>
      <c r="B1254" s="1" t="n">
        <v>45111</v>
      </c>
      <c r="C1254" s="1" t="n">
        <v>45750</v>
      </c>
      <c r="D1254" t="inlineStr">
        <is>
          <t>STOCKHOLMS LÄN</t>
        </is>
      </c>
      <c r="E1254" t="inlineStr">
        <is>
          <t>NORRTÄLJE</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30425-2023</t>
        </is>
      </c>
      <c r="B1255" s="1" t="n">
        <v>45111</v>
      </c>
      <c r="C1255" s="1" t="n">
        <v>45750</v>
      </c>
      <c r="D1255" t="inlineStr">
        <is>
          <t>STOCKHOLMS LÄN</t>
        </is>
      </c>
      <c r="E1255" t="inlineStr">
        <is>
          <t>NORRTÄLJE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30731-2023</t>
        </is>
      </c>
      <c r="B1256" s="1" t="n">
        <v>45112</v>
      </c>
      <c r="C1256" s="1" t="n">
        <v>45750</v>
      </c>
      <c r="D1256" t="inlineStr">
        <is>
          <t>STOCKHOLMS LÄN</t>
        </is>
      </c>
      <c r="E1256" t="inlineStr">
        <is>
          <t>NORRTÄLJE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30663-2023</t>
        </is>
      </c>
      <c r="B1257" s="1" t="n">
        <v>45112</v>
      </c>
      <c r="C1257" s="1" t="n">
        <v>45750</v>
      </c>
      <c r="D1257" t="inlineStr">
        <is>
          <t>STOCKHOLMS LÄN</t>
        </is>
      </c>
      <c r="E1257" t="inlineStr">
        <is>
          <t>NORRTÄLJE</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30780-2023</t>
        </is>
      </c>
      <c r="B1258" s="1" t="n">
        <v>45112</v>
      </c>
      <c r="C1258" s="1" t="n">
        <v>45750</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30773-2023</t>
        </is>
      </c>
      <c r="B1259" s="1" t="n">
        <v>45112</v>
      </c>
      <c r="C1259" s="1" t="n">
        <v>45750</v>
      </c>
      <c r="D1259" t="inlineStr">
        <is>
          <t>STOCKHOLMS LÄN</t>
        </is>
      </c>
      <c r="E1259" t="inlineStr">
        <is>
          <t>NORRTÄLJE</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30924-2023</t>
        </is>
      </c>
      <c r="B1260" s="1" t="n">
        <v>45113</v>
      </c>
      <c r="C1260" s="1" t="n">
        <v>45750</v>
      </c>
      <c r="D1260" t="inlineStr">
        <is>
          <t>STOCKHOLMS LÄN</t>
        </is>
      </c>
      <c r="E1260" t="inlineStr">
        <is>
          <t>NORRTÄLJE</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30923-2023</t>
        </is>
      </c>
      <c r="B1261" s="1" t="n">
        <v>45113</v>
      </c>
      <c r="C1261" s="1" t="n">
        <v>45750</v>
      </c>
      <c r="D1261" t="inlineStr">
        <is>
          <t>STOCKHOLMS LÄN</t>
        </is>
      </c>
      <c r="E1261" t="inlineStr">
        <is>
          <t>NORRTÄLJE</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31140-2023</t>
        </is>
      </c>
      <c r="B1262" s="1" t="n">
        <v>45113</v>
      </c>
      <c r="C1262" s="1" t="n">
        <v>45750</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30921-2023</t>
        </is>
      </c>
      <c r="B1263" s="1" t="n">
        <v>45113</v>
      </c>
      <c r="C1263" s="1" t="n">
        <v>45750</v>
      </c>
      <c r="D1263" t="inlineStr">
        <is>
          <t>STOCKHOLMS LÄN</t>
        </is>
      </c>
      <c r="E1263" t="inlineStr">
        <is>
          <t>NORRTÄLJE</t>
        </is>
      </c>
      <c r="F1263" t="inlineStr">
        <is>
          <t>Sveaskog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31149-2023</t>
        </is>
      </c>
      <c r="B1264" s="1" t="n">
        <v>45113</v>
      </c>
      <c r="C1264" s="1" t="n">
        <v>45750</v>
      </c>
      <c r="D1264" t="inlineStr">
        <is>
          <t>STOCKHOLMS LÄN</t>
        </is>
      </c>
      <c r="E1264" t="inlineStr">
        <is>
          <t>NORRTÄLJE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31153-2023</t>
        </is>
      </c>
      <c r="B1265" s="1" t="n">
        <v>45113</v>
      </c>
      <c r="C1265" s="1" t="n">
        <v>45750</v>
      </c>
      <c r="D1265" t="inlineStr">
        <is>
          <t>STOCKHOLMS LÄN</t>
        </is>
      </c>
      <c r="E1265" t="inlineStr">
        <is>
          <t>NORRTÄLJE</t>
        </is>
      </c>
      <c r="G1265" t="n">
        <v>17.5</v>
      </c>
      <c r="H1265" t="n">
        <v>0</v>
      </c>
      <c r="I1265" t="n">
        <v>0</v>
      </c>
      <c r="J1265" t="n">
        <v>0</v>
      </c>
      <c r="K1265" t="n">
        <v>0</v>
      </c>
      <c r="L1265" t="n">
        <v>0</v>
      </c>
      <c r="M1265" t="n">
        <v>0</v>
      </c>
      <c r="N1265" t="n">
        <v>0</v>
      </c>
      <c r="O1265" t="n">
        <v>0</v>
      </c>
      <c r="P1265" t="n">
        <v>0</v>
      </c>
      <c r="Q1265" t="n">
        <v>0</v>
      </c>
      <c r="R1265" s="2" t="inlineStr"/>
    </row>
    <row r="1266" ht="15" customHeight="1">
      <c r="A1266" t="inlineStr">
        <is>
          <t>A 31827-2023</t>
        </is>
      </c>
      <c r="B1266" s="1" t="n">
        <v>45118</v>
      </c>
      <c r="C1266" s="1" t="n">
        <v>45750</v>
      </c>
      <c r="D1266" t="inlineStr">
        <is>
          <t>STOCKHOLMS LÄN</t>
        </is>
      </c>
      <c r="E1266" t="inlineStr">
        <is>
          <t>NORRTÄLJE</t>
        </is>
      </c>
      <c r="F1266" t="inlineStr">
        <is>
          <t>Kyrkan</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31832-2023</t>
        </is>
      </c>
      <c r="B1267" s="1" t="n">
        <v>45118</v>
      </c>
      <c r="C1267" s="1" t="n">
        <v>45750</v>
      </c>
      <c r="D1267" t="inlineStr">
        <is>
          <t>STOCKHOLMS LÄN</t>
        </is>
      </c>
      <c r="E1267" t="inlineStr">
        <is>
          <t>NORRTÄLJE</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32071-2023</t>
        </is>
      </c>
      <c r="B1268" s="1" t="n">
        <v>45119</v>
      </c>
      <c r="C1268" s="1" t="n">
        <v>45750</v>
      </c>
      <c r="D1268" t="inlineStr">
        <is>
          <t>STOCKHOLMS LÄN</t>
        </is>
      </c>
      <c r="E1268" t="inlineStr">
        <is>
          <t>NORRTÄLJE</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32621-2023</t>
        </is>
      </c>
      <c r="B1269" s="1" t="n">
        <v>45121</v>
      </c>
      <c r="C1269" s="1" t="n">
        <v>45750</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32595-2023</t>
        </is>
      </c>
      <c r="B1270" s="1" t="n">
        <v>45121</v>
      </c>
      <c r="C1270" s="1" t="n">
        <v>45750</v>
      </c>
      <c r="D1270" t="inlineStr">
        <is>
          <t>STOCKHOLMS LÄN</t>
        </is>
      </c>
      <c r="E1270" t="inlineStr">
        <is>
          <t>NORRTÄLJE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32948-2023</t>
        </is>
      </c>
      <c r="B1271" s="1" t="n">
        <v>45125</v>
      </c>
      <c r="C1271" s="1" t="n">
        <v>45750</v>
      </c>
      <c r="D1271" t="inlineStr">
        <is>
          <t>STOCKHOLMS LÄN</t>
        </is>
      </c>
      <c r="E1271" t="inlineStr">
        <is>
          <t>NORRTÄLJE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33025-2023</t>
        </is>
      </c>
      <c r="B1272" s="1" t="n">
        <v>45125</v>
      </c>
      <c r="C1272" s="1" t="n">
        <v>45750</v>
      </c>
      <c r="D1272" t="inlineStr">
        <is>
          <t>STOCKHOLMS LÄN</t>
        </is>
      </c>
      <c r="E1272" t="inlineStr">
        <is>
          <t>NORRTÄLJE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33130-2023</t>
        </is>
      </c>
      <c r="B1273" s="1" t="n">
        <v>45126</v>
      </c>
      <c r="C1273" s="1" t="n">
        <v>45750</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33295-2023</t>
        </is>
      </c>
      <c r="B1274" s="1" t="n">
        <v>45127</v>
      </c>
      <c r="C1274" s="1" t="n">
        <v>45750</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33270-2023</t>
        </is>
      </c>
      <c r="B1275" s="1" t="n">
        <v>45127</v>
      </c>
      <c r="C1275" s="1" t="n">
        <v>45750</v>
      </c>
      <c r="D1275" t="inlineStr">
        <is>
          <t>STOCKHOLMS LÄN</t>
        </is>
      </c>
      <c r="E1275" t="inlineStr">
        <is>
          <t>NORRTÄLJE</t>
        </is>
      </c>
      <c r="F1275" t="inlineStr">
        <is>
          <t>Holmen skog AB</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33226-2023</t>
        </is>
      </c>
      <c r="B1276" s="1" t="n">
        <v>45127</v>
      </c>
      <c r="C1276" s="1" t="n">
        <v>45750</v>
      </c>
      <c r="D1276" t="inlineStr">
        <is>
          <t>STOCKHOLMS LÄN</t>
        </is>
      </c>
      <c r="E1276" t="inlineStr">
        <is>
          <t>NORRTÄLJE</t>
        </is>
      </c>
      <c r="F1276" t="inlineStr">
        <is>
          <t>Holmen skog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33243-2023</t>
        </is>
      </c>
      <c r="B1277" s="1" t="n">
        <v>45127</v>
      </c>
      <c r="C1277" s="1" t="n">
        <v>45750</v>
      </c>
      <c r="D1277" t="inlineStr">
        <is>
          <t>STOCKHOLMS LÄN</t>
        </is>
      </c>
      <c r="E1277" t="inlineStr">
        <is>
          <t>NORRTÄLJE</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33291-2023</t>
        </is>
      </c>
      <c r="B1278" s="1" t="n">
        <v>45127</v>
      </c>
      <c r="C1278" s="1" t="n">
        <v>45750</v>
      </c>
      <c r="D1278" t="inlineStr">
        <is>
          <t>STOCKHOLMS LÄN</t>
        </is>
      </c>
      <c r="E1278" t="inlineStr">
        <is>
          <t>NORRTÄLJE</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33353-2023</t>
        </is>
      </c>
      <c r="B1279" s="1" t="n">
        <v>45128</v>
      </c>
      <c r="C1279" s="1" t="n">
        <v>45750</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33569-2023</t>
        </is>
      </c>
      <c r="B1280" s="1" t="n">
        <v>45131</v>
      </c>
      <c r="C1280" s="1" t="n">
        <v>45750</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33646-2023</t>
        </is>
      </c>
      <c r="B1281" s="1" t="n">
        <v>45132</v>
      </c>
      <c r="C1281" s="1" t="n">
        <v>45750</v>
      </c>
      <c r="D1281" t="inlineStr">
        <is>
          <t>STOCKHOLMS LÄN</t>
        </is>
      </c>
      <c r="E1281" t="inlineStr">
        <is>
          <t>NORRTÄLJE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33641-2023</t>
        </is>
      </c>
      <c r="B1282" s="1" t="n">
        <v>45132</v>
      </c>
      <c r="C1282" s="1" t="n">
        <v>45750</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34085-2023</t>
        </is>
      </c>
      <c r="B1283" s="1" t="n">
        <v>45135</v>
      </c>
      <c r="C1283" s="1" t="n">
        <v>45750</v>
      </c>
      <c r="D1283" t="inlineStr">
        <is>
          <t>STOCKHOLMS LÄN</t>
        </is>
      </c>
      <c r="E1283" t="inlineStr">
        <is>
          <t>NORRTÄLJE</t>
        </is>
      </c>
      <c r="G1283" t="n">
        <v>10.6</v>
      </c>
      <c r="H1283" t="n">
        <v>0</v>
      </c>
      <c r="I1283" t="n">
        <v>0</v>
      </c>
      <c r="J1283" t="n">
        <v>0</v>
      </c>
      <c r="K1283" t="n">
        <v>0</v>
      </c>
      <c r="L1283" t="n">
        <v>0</v>
      </c>
      <c r="M1283" t="n">
        <v>0</v>
      </c>
      <c r="N1283" t="n">
        <v>0</v>
      </c>
      <c r="O1283" t="n">
        <v>0</v>
      </c>
      <c r="P1283" t="n">
        <v>0</v>
      </c>
      <c r="Q1283" t="n">
        <v>0</v>
      </c>
      <c r="R1283" s="2" t="inlineStr"/>
    </row>
    <row r="1284" ht="15" customHeight="1">
      <c r="A1284" t="inlineStr">
        <is>
          <t>A 34084-2023</t>
        </is>
      </c>
      <c r="B1284" s="1" t="n">
        <v>45135</v>
      </c>
      <c r="C1284" s="1" t="n">
        <v>45750</v>
      </c>
      <c r="D1284" t="inlineStr">
        <is>
          <t>STOCKHOLMS LÄN</t>
        </is>
      </c>
      <c r="E1284" t="inlineStr">
        <is>
          <t>NORRTÄLJE</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34132-2023</t>
        </is>
      </c>
      <c r="B1285" s="1" t="n">
        <v>45135</v>
      </c>
      <c r="C1285" s="1" t="n">
        <v>45750</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34391-2023</t>
        </is>
      </c>
      <c r="B1286" s="1" t="n">
        <v>45139</v>
      </c>
      <c r="C1286" s="1" t="n">
        <v>45750</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34461-2023</t>
        </is>
      </c>
      <c r="B1287" s="1" t="n">
        <v>45139</v>
      </c>
      <c r="C1287" s="1" t="n">
        <v>45750</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34462-2023</t>
        </is>
      </c>
      <c r="B1288" s="1" t="n">
        <v>45139</v>
      </c>
      <c r="C1288" s="1" t="n">
        <v>45750</v>
      </c>
      <c r="D1288" t="inlineStr">
        <is>
          <t>STOCKHOLMS LÄN</t>
        </is>
      </c>
      <c r="E1288" t="inlineStr">
        <is>
          <t>NORRTÄLJE</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34825-2023</t>
        </is>
      </c>
      <c r="B1289" s="1" t="n">
        <v>45141</v>
      </c>
      <c r="C1289" s="1" t="n">
        <v>45750</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35215-2023</t>
        </is>
      </c>
      <c r="B1290" s="1" t="n">
        <v>45145</v>
      </c>
      <c r="C1290" s="1" t="n">
        <v>45750</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35219-2023</t>
        </is>
      </c>
      <c r="B1291" s="1" t="n">
        <v>45145</v>
      </c>
      <c r="C1291" s="1" t="n">
        <v>45750</v>
      </c>
      <c r="D1291" t="inlineStr">
        <is>
          <t>STOCKHOLMS LÄN</t>
        </is>
      </c>
      <c r="E1291" t="inlineStr">
        <is>
          <t>NORRTÄLJE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35127-2023</t>
        </is>
      </c>
      <c r="B1292" s="1" t="n">
        <v>45145</v>
      </c>
      <c r="C1292" s="1" t="n">
        <v>45750</v>
      </c>
      <c r="D1292" t="inlineStr">
        <is>
          <t>STOCKHOLMS LÄN</t>
        </is>
      </c>
      <c r="E1292" t="inlineStr">
        <is>
          <t>NORRTÄLJE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35131-2023</t>
        </is>
      </c>
      <c r="B1293" s="1" t="n">
        <v>45145</v>
      </c>
      <c r="C1293" s="1" t="n">
        <v>45750</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35128-2023</t>
        </is>
      </c>
      <c r="B1294" s="1" t="n">
        <v>45145</v>
      </c>
      <c r="C1294" s="1" t="n">
        <v>45750</v>
      </c>
      <c r="D1294" t="inlineStr">
        <is>
          <t>STOCKHOLMS LÄN</t>
        </is>
      </c>
      <c r="E1294" t="inlineStr">
        <is>
          <t>NORRTÄLJE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35210-2023</t>
        </is>
      </c>
      <c r="B1295" s="1" t="n">
        <v>45145</v>
      </c>
      <c r="C1295" s="1" t="n">
        <v>45750</v>
      </c>
      <c r="D1295" t="inlineStr">
        <is>
          <t>STOCKHOLMS LÄN</t>
        </is>
      </c>
      <c r="E1295" t="inlineStr">
        <is>
          <t>NORRTÄLJE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35438-2023</t>
        </is>
      </c>
      <c r="B1296" s="1" t="n">
        <v>45146</v>
      </c>
      <c r="C1296" s="1" t="n">
        <v>45750</v>
      </c>
      <c r="D1296" t="inlineStr">
        <is>
          <t>STOCKHOLMS LÄN</t>
        </is>
      </c>
      <c r="E1296" t="inlineStr">
        <is>
          <t>NORRTÄLJE</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35698-2023</t>
        </is>
      </c>
      <c r="B1297" s="1" t="n">
        <v>45147</v>
      </c>
      <c r="C1297" s="1" t="n">
        <v>45750</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35702-2023</t>
        </is>
      </c>
      <c r="B1298" s="1" t="n">
        <v>45147</v>
      </c>
      <c r="C1298" s="1" t="n">
        <v>45750</v>
      </c>
      <c r="D1298" t="inlineStr">
        <is>
          <t>STOCKHOLMS LÄN</t>
        </is>
      </c>
      <c r="E1298" t="inlineStr">
        <is>
          <t>NORRTÄLJE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35691-2023</t>
        </is>
      </c>
      <c r="B1299" s="1" t="n">
        <v>45147</v>
      </c>
      <c r="C1299" s="1" t="n">
        <v>45750</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35695-2023</t>
        </is>
      </c>
      <c r="B1300" s="1" t="n">
        <v>45147</v>
      </c>
      <c r="C1300" s="1" t="n">
        <v>45750</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35696-2023</t>
        </is>
      </c>
      <c r="B1301" s="1" t="n">
        <v>45147</v>
      </c>
      <c r="C1301" s="1" t="n">
        <v>45750</v>
      </c>
      <c r="D1301" t="inlineStr">
        <is>
          <t>STOCKHOLMS LÄN</t>
        </is>
      </c>
      <c r="E1301" t="inlineStr">
        <is>
          <t>NORRTÄLJE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35700-2023</t>
        </is>
      </c>
      <c r="B1302" s="1" t="n">
        <v>45147</v>
      </c>
      <c r="C1302" s="1" t="n">
        <v>45750</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35704-2023</t>
        </is>
      </c>
      <c r="B1303" s="1" t="n">
        <v>45147</v>
      </c>
      <c r="C1303" s="1" t="n">
        <v>45750</v>
      </c>
      <c r="D1303" t="inlineStr">
        <is>
          <t>STOCKHOLMS LÄN</t>
        </is>
      </c>
      <c r="E1303" t="inlineStr">
        <is>
          <t>NORRTÄLJE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35693-2023</t>
        </is>
      </c>
      <c r="B1304" s="1" t="n">
        <v>45147</v>
      </c>
      <c r="C1304" s="1" t="n">
        <v>45750</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35701-2023</t>
        </is>
      </c>
      <c r="B1305" s="1" t="n">
        <v>45147</v>
      </c>
      <c r="C1305" s="1" t="n">
        <v>45750</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35823-2023</t>
        </is>
      </c>
      <c r="B1306" s="1" t="n">
        <v>45148</v>
      </c>
      <c r="C1306" s="1" t="n">
        <v>45750</v>
      </c>
      <c r="D1306" t="inlineStr">
        <is>
          <t>STOCKHOLMS LÄN</t>
        </is>
      </c>
      <c r="E1306" t="inlineStr">
        <is>
          <t>NORRTÄLJE</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36253-2023</t>
        </is>
      </c>
      <c r="B1307" s="1" t="n">
        <v>45151</v>
      </c>
      <c r="C1307" s="1" t="n">
        <v>45750</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36257-2023</t>
        </is>
      </c>
      <c r="B1308" s="1" t="n">
        <v>45151</v>
      </c>
      <c r="C1308" s="1" t="n">
        <v>45750</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36259-2023</t>
        </is>
      </c>
      <c r="B1309" s="1" t="n">
        <v>45151</v>
      </c>
      <c r="C1309" s="1" t="n">
        <v>45750</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36254-2023</t>
        </is>
      </c>
      <c r="B1310" s="1" t="n">
        <v>45151</v>
      </c>
      <c r="C1310" s="1" t="n">
        <v>45750</v>
      </c>
      <c r="D1310" t="inlineStr">
        <is>
          <t>STOCKHOLMS LÄN</t>
        </is>
      </c>
      <c r="E1310" t="inlineStr">
        <is>
          <t>NORRTÄLJE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36258-2023</t>
        </is>
      </c>
      <c r="B1311" s="1" t="n">
        <v>45151</v>
      </c>
      <c r="C1311" s="1" t="n">
        <v>45750</v>
      </c>
      <c r="D1311" t="inlineStr">
        <is>
          <t>STOCKHOLMS LÄN</t>
        </is>
      </c>
      <c r="E1311" t="inlineStr">
        <is>
          <t>NORRTÄLJE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36689-2023</t>
        </is>
      </c>
      <c r="B1312" s="1" t="n">
        <v>45152</v>
      </c>
      <c r="C1312" s="1" t="n">
        <v>45750</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36865-2023</t>
        </is>
      </c>
      <c r="B1313" s="1" t="n">
        <v>45154</v>
      </c>
      <c r="C1313" s="1" t="n">
        <v>45750</v>
      </c>
      <c r="D1313" t="inlineStr">
        <is>
          <t>STOCKHOLMS LÄN</t>
        </is>
      </c>
      <c r="E1313" t="inlineStr">
        <is>
          <t>NORRTÄLJE</t>
        </is>
      </c>
      <c r="F1313" t="inlineStr">
        <is>
          <t>Kyrkan</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37139-2023</t>
        </is>
      </c>
      <c r="B1314" s="1" t="n">
        <v>45155</v>
      </c>
      <c r="C1314" s="1" t="n">
        <v>45750</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37136-2023</t>
        </is>
      </c>
      <c r="B1315" s="1" t="n">
        <v>45155</v>
      </c>
      <c r="C1315" s="1" t="n">
        <v>45750</v>
      </c>
      <c r="D1315" t="inlineStr">
        <is>
          <t>STOCKHOLMS LÄN</t>
        </is>
      </c>
      <c r="E1315" t="inlineStr">
        <is>
          <t>NORRTÄLJE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37147-2023</t>
        </is>
      </c>
      <c r="B1316" s="1" t="n">
        <v>45155</v>
      </c>
      <c r="C1316" s="1" t="n">
        <v>45750</v>
      </c>
      <c r="D1316" t="inlineStr">
        <is>
          <t>STOCKHOLMS LÄN</t>
        </is>
      </c>
      <c r="E1316" t="inlineStr">
        <is>
          <t>NORRTÄLJE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37670-2023</t>
        </is>
      </c>
      <c r="B1317" s="1" t="n">
        <v>45159</v>
      </c>
      <c r="C1317" s="1" t="n">
        <v>45750</v>
      </c>
      <c r="D1317" t="inlineStr">
        <is>
          <t>STOCKHOLMS LÄN</t>
        </is>
      </c>
      <c r="E1317" t="inlineStr">
        <is>
          <t>NORRTÄLJE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38049-2023</t>
        </is>
      </c>
      <c r="B1318" s="1" t="n">
        <v>45159</v>
      </c>
      <c r="C1318" s="1" t="n">
        <v>45750</v>
      </c>
      <c r="D1318" t="inlineStr">
        <is>
          <t>STOCKHOLMS LÄN</t>
        </is>
      </c>
      <c r="E1318" t="inlineStr">
        <is>
          <t>NORRTÄLJE</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38022-2023</t>
        </is>
      </c>
      <c r="B1319" s="1" t="n">
        <v>45160</v>
      </c>
      <c r="C1319" s="1" t="n">
        <v>45750</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38482-2023</t>
        </is>
      </c>
      <c r="B1320" s="1" t="n">
        <v>45162</v>
      </c>
      <c r="C1320" s="1" t="n">
        <v>45750</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38487-2023</t>
        </is>
      </c>
      <c r="B1321" s="1" t="n">
        <v>45162</v>
      </c>
      <c r="C1321" s="1" t="n">
        <v>45750</v>
      </c>
      <c r="D1321" t="inlineStr">
        <is>
          <t>STOCKHOLMS LÄN</t>
        </is>
      </c>
      <c r="E1321" t="inlineStr">
        <is>
          <t>NORRTÄLJE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38591-2023</t>
        </is>
      </c>
      <c r="B1322" s="1" t="n">
        <v>45162</v>
      </c>
      <c r="C1322" s="1" t="n">
        <v>45750</v>
      </c>
      <c r="D1322" t="inlineStr">
        <is>
          <t>STOCKHOLMS LÄN</t>
        </is>
      </c>
      <c r="E1322" t="inlineStr">
        <is>
          <t>NORRTÄLJE</t>
        </is>
      </c>
      <c r="F1322" t="inlineStr">
        <is>
          <t>Övriga Aktiebolag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39229-2023</t>
        </is>
      </c>
      <c r="B1323" s="1" t="n">
        <v>45166</v>
      </c>
      <c r="C1323" s="1" t="n">
        <v>45750</v>
      </c>
      <c r="D1323" t="inlineStr">
        <is>
          <t>STOCKHOLMS LÄN</t>
        </is>
      </c>
      <c r="E1323" t="inlineStr">
        <is>
          <t>NORRTÄLJE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39255-2023</t>
        </is>
      </c>
      <c r="B1324" s="1" t="n">
        <v>45166</v>
      </c>
      <c r="C1324" s="1" t="n">
        <v>45750</v>
      </c>
      <c r="D1324" t="inlineStr">
        <is>
          <t>STOCKHOLMS LÄN</t>
        </is>
      </c>
      <c r="E1324" t="inlineStr">
        <is>
          <t>NORRTÄLJE</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39879-2023</t>
        </is>
      </c>
      <c r="B1325" s="1" t="n">
        <v>45168</v>
      </c>
      <c r="C1325" s="1" t="n">
        <v>45750</v>
      </c>
      <c r="D1325" t="inlineStr">
        <is>
          <t>STOCKHOLMS LÄN</t>
        </is>
      </c>
      <c r="E1325" t="inlineStr">
        <is>
          <t>NORRTÄLJE</t>
        </is>
      </c>
      <c r="F1325" t="inlineStr">
        <is>
          <t>Holmen skog AB</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39905-2023</t>
        </is>
      </c>
      <c r="B1326" s="1" t="n">
        <v>45168</v>
      </c>
      <c r="C1326" s="1" t="n">
        <v>45750</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40139-2023</t>
        </is>
      </c>
      <c r="B1327" s="1" t="n">
        <v>45169</v>
      </c>
      <c r="C1327" s="1" t="n">
        <v>45750</v>
      </c>
      <c r="D1327" t="inlineStr">
        <is>
          <t>STOCKHOLMS LÄN</t>
        </is>
      </c>
      <c r="E1327" t="inlineStr">
        <is>
          <t>NORRTÄLJE</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40192-2023</t>
        </is>
      </c>
      <c r="B1328" s="1" t="n">
        <v>45169</v>
      </c>
      <c r="C1328" s="1" t="n">
        <v>45750</v>
      </c>
      <c r="D1328" t="inlineStr">
        <is>
          <t>STOCKHOLMS LÄN</t>
        </is>
      </c>
      <c r="E1328" t="inlineStr">
        <is>
          <t>NORRTÄLJE</t>
        </is>
      </c>
      <c r="F1328" t="inlineStr">
        <is>
          <t>Kyrkan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40161-2023</t>
        </is>
      </c>
      <c r="B1329" s="1" t="n">
        <v>45169</v>
      </c>
      <c r="C1329" s="1" t="n">
        <v>45750</v>
      </c>
      <c r="D1329" t="inlineStr">
        <is>
          <t>STOCKHOLMS LÄN</t>
        </is>
      </c>
      <c r="E1329" t="inlineStr">
        <is>
          <t>NORRTÄLJE</t>
        </is>
      </c>
      <c r="F1329" t="inlineStr">
        <is>
          <t>Kyrkan</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40190-2023</t>
        </is>
      </c>
      <c r="B1330" s="1" t="n">
        <v>45169</v>
      </c>
      <c r="C1330" s="1" t="n">
        <v>45750</v>
      </c>
      <c r="D1330" t="inlineStr">
        <is>
          <t>STOCKHOLMS LÄN</t>
        </is>
      </c>
      <c r="E1330" t="inlineStr">
        <is>
          <t>NORRTÄLJE</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40379-2023</t>
        </is>
      </c>
      <c r="B1331" s="1" t="n">
        <v>45169</v>
      </c>
      <c r="C1331" s="1" t="n">
        <v>45750</v>
      </c>
      <c r="D1331" t="inlineStr">
        <is>
          <t>STOCKHOLMS LÄN</t>
        </is>
      </c>
      <c r="E1331" t="inlineStr">
        <is>
          <t>NORRTÄLJE</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41172-2023</t>
        </is>
      </c>
      <c r="B1332" s="1" t="n">
        <v>45170</v>
      </c>
      <c r="C1332" s="1" t="n">
        <v>45750</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40995-2023</t>
        </is>
      </c>
      <c r="B1333" s="1" t="n">
        <v>45173</v>
      </c>
      <c r="C1333" s="1" t="n">
        <v>45750</v>
      </c>
      <c r="D1333" t="inlineStr">
        <is>
          <t>STOCKHOLMS LÄN</t>
        </is>
      </c>
      <c r="E1333" t="inlineStr">
        <is>
          <t>NORRTÄLJE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41335-2023</t>
        </is>
      </c>
      <c r="B1334" s="1" t="n">
        <v>45174</v>
      </c>
      <c r="C1334" s="1" t="n">
        <v>45750</v>
      </c>
      <c r="D1334" t="inlineStr">
        <is>
          <t>STOCKHOLMS LÄN</t>
        </is>
      </c>
      <c r="E1334" t="inlineStr">
        <is>
          <t>NORRTÄLJE</t>
        </is>
      </c>
      <c r="F1334" t="inlineStr">
        <is>
          <t>Holmen skog AB</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41587-2023</t>
        </is>
      </c>
      <c r="B1335" s="1" t="n">
        <v>45175</v>
      </c>
      <c r="C1335" s="1" t="n">
        <v>45750</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41716-2023</t>
        </is>
      </c>
      <c r="B1336" s="1" t="n">
        <v>45176</v>
      </c>
      <c r="C1336" s="1" t="n">
        <v>45750</v>
      </c>
      <c r="D1336" t="inlineStr">
        <is>
          <t>STOCKHOLMS LÄN</t>
        </is>
      </c>
      <c r="E1336" t="inlineStr">
        <is>
          <t>NORRTÄLJE</t>
        </is>
      </c>
      <c r="F1336" t="inlineStr">
        <is>
          <t>Kyrkan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41715-2023</t>
        </is>
      </c>
      <c r="B1337" s="1" t="n">
        <v>45176</v>
      </c>
      <c r="C1337" s="1" t="n">
        <v>45750</v>
      </c>
      <c r="D1337" t="inlineStr">
        <is>
          <t>STOCKHOLMS LÄN</t>
        </is>
      </c>
      <c r="E1337" t="inlineStr">
        <is>
          <t>NORRTÄLJE</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41880-2023</t>
        </is>
      </c>
      <c r="B1338" s="1" t="n">
        <v>45176</v>
      </c>
      <c r="C1338" s="1" t="n">
        <v>45750</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42094-2023</t>
        </is>
      </c>
      <c r="B1339" s="1" t="n">
        <v>45177</v>
      </c>
      <c r="C1339" s="1" t="n">
        <v>45750</v>
      </c>
      <c r="D1339" t="inlineStr">
        <is>
          <t>STOCKHOLMS LÄN</t>
        </is>
      </c>
      <c r="E1339" t="inlineStr">
        <is>
          <t>NORRTÄLJE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42075-2023</t>
        </is>
      </c>
      <c r="B1340" s="1" t="n">
        <v>45177</v>
      </c>
      <c r="C1340" s="1" t="n">
        <v>45750</v>
      </c>
      <c r="D1340" t="inlineStr">
        <is>
          <t>STOCKHOLMS LÄN</t>
        </is>
      </c>
      <c r="E1340" t="inlineStr">
        <is>
          <t>NORRTÄLJE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42199-2023</t>
        </is>
      </c>
      <c r="B1341" s="1" t="n">
        <v>45179</v>
      </c>
      <c r="C1341" s="1" t="n">
        <v>45750</v>
      </c>
      <c r="D1341" t="inlineStr">
        <is>
          <t>STOCKHOLMS LÄN</t>
        </is>
      </c>
      <c r="E1341" t="inlineStr">
        <is>
          <t>NORRTÄLJE</t>
        </is>
      </c>
      <c r="F1341" t="inlineStr">
        <is>
          <t>Sveaskog</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42200-2023</t>
        </is>
      </c>
      <c r="B1342" s="1" t="n">
        <v>45179</v>
      </c>
      <c r="C1342" s="1" t="n">
        <v>45750</v>
      </c>
      <c r="D1342" t="inlineStr">
        <is>
          <t>STOCKHOLMS LÄN</t>
        </is>
      </c>
      <c r="E1342" t="inlineStr">
        <is>
          <t>NORRTÄLJE</t>
        </is>
      </c>
      <c r="F1342" t="inlineStr">
        <is>
          <t>Sveaskog</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42765-2023</t>
        </is>
      </c>
      <c r="B1343" s="1" t="n">
        <v>45181</v>
      </c>
      <c r="C1343" s="1" t="n">
        <v>45750</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42775-2023</t>
        </is>
      </c>
      <c r="B1344" s="1" t="n">
        <v>45181</v>
      </c>
      <c r="C1344" s="1" t="n">
        <v>45750</v>
      </c>
      <c r="D1344" t="inlineStr">
        <is>
          <t>STOCKHOLMS LÄN</t>
        </is>
      </c>
      <c r="E1344" t="inlineStr">
        <is>
          <t>NORRTÄLJE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42948-2023</t>
        </is>
      </c>
      <c r="B1345" s="1" t="n">
        <v>45182</v>
      </c>
      <c r="C1345" s="1" t="n">
        <v>45750</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42977-2023</t>
        </is>
      </c>
      <c r="B1346" s="1" t="n">
        <v>45182</v>
      </c>
      <c r="C1346" s="1" t="n">
        <v>45750</v>
      </c>
      <c r="D1346" t="inlineStr">
        <is>
          <t>STOCKHOLMS LÄN</t>
        </is>
      </c>
      <c r="E1346" t="inlineStr">
        <is>
          <t>NORRTÄLJE</t>
        </is>
      </c>
      <c r="F1346" t="inlineStr">
        <is>
          <t>Sveaskog</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43140-2023</t>
        </is>
      </c>
      <c r="B1347" s="1" t="n">
        <v>45183</v>
      </c>
      <c r="C1347" s="1" t="n">
        <v>45750</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43207-2023</t>
        </is>
      </c>
      <c r="B1348" s="1" t="n">
        <v>45183</v>
      </c>
      <c r="C1348" s="1" t="n">
        <v>45750</v>
      </c>
      <c r="D1348" t="inlineStr">
        <is>
          <t>STOCKHOLMS LÄN</t>
        </is>
      </c>
      <c r="E1348" t="inlineStr">
        <is>
          <t>NORRTÄLJE</t>
        </is>
      </c>
      <c r="F1348" t="inlineStr">
        <is>
          <t>Kyrkan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43150-2023</t>
        </is>
      </c>
      <c r="B1349" s="1" t="n">
        <v>45183</v>
      </c>
      <c r="C1349" s="1" t="n">
        <v>45750</v>
      </c>
      <c r="D1349" t="inlineStr">
        <is>
          <t>STOCKHOLMS LÄN</t>
        </is>
      </c>
      <c r="E1349" t="inlineStr">
        <is>
          <t>NORRTÄLJE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43170-2023</t>
        </is>
      </c>
      <c r="B1350" s="1" t="n">
        <v>45183</v>
      </c>
      <c r="C1350" s="1" t="n">
        <v>45750</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43289-2023</t>
        </is>
      </c>
      <c r="B1351" s="1" t="n">
        <v>45183</v>
      </c>
      <c r="C1351" s="1" t="n">
        <v>45750</v>
      </c>
      <c r="D1351" t="inlineStr">
        <is>
          <t>STOCKHOLMS LÄN</t>
        </is>
      </c>
      <c r="E1351" t="inlineStr">
        <is>
          <t>NORRTÄLJE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43300-2023</t>
        </is>
      </c>
      <c r="B1352" s="1" t="n">
        <v>45183</v>
      </c>
      <c r="C1352" s="1" t="n">
        <v>45750</v>
      </c>
      <c r="D1352" t="inlineStr">
        <is>
          <t>STOCKHOLMS LÄN</t>
        </is>
      </c>
      <c r="E1352" t="inlineStr">
        <is>
          <t>NORRTÄLJE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43638-2023</t>
        </is>
      </c>
      <c r="B1353" s="1" t="n">
        <v>45186</v>
      </c>
      <c r="C1353" s="1" t="n">
        <v>45750</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43684-2023</t>
        </is>
      </c>
      <c r="B1354" s="1" t="n">
        <v>45187</v>
      </c>
      <c r="C1354" s="1" t="n">
        <v>45750</v>
      </c>
      <c r="D1354" t="inlineStr">
        <is>
          <t>STOCKHOLMS LÄN</t>
        </is>
      </c>
      <c r="E1354" t="inlineStr">
        <is>
          <t>NORRTÄLJE</t>
        </is>
      </c>
      <c r="F1354" t="inlineStr">
        <is>
          <t>Holmen skog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43836-2023</t>
        </is>
      </c>
      <c r="B1355" s="1" t="n">
        <v>45187</v>
      </c>
      <c r="C1355" s="1" t="n">
        <v>45750</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43710-2023</t>
        </is>
      </c>
      <c r="B1356" s="1" t="n">
        <v>45187</v>
      </c>
      <c r="C1356" s="1" t="n">
        <v>45750</v>
      </c>
      <c r="D1356" t="inlineStr">
        <is>
          <t>STOCKHOLMS LÄN</t>
        </is>
      </c>
      <c r="E1356" t="inlineStr">
        <is>
          <t>NORRTÄLJE</t>
        </is>
      </c>
      <c r="F1356" t="inlineStr">
        <is>
          <t>Holmen skog AB</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44891-2023</t>
        </is>
      </c>
      <c r="B1357" s="1" t="n">
        <v>45187</v>
      </c>
      <c r="C1357" s="1" t="n">
        <v>45750</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44885-2023</t>
        </is>
      </c>
      <c r="B1358" s="1" t="n">
        <v>45187</v>
      </c>
      <c r="C1358" s="1" t="n">
        <v>45750</v>
      </c>
      <c r="D1358" t="inlineStr">
        <is>
          <t>STOCKHOLMS LÄN</t>
        </is>
      </c>
      <c r="E1358" t="inlineStr">
        <is>
          <t>NORRTÄLJE</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44075-2023</t>
        </is>
      </c>
      <c r="B1359" s="1" t="n">
        <v>45188</v>
      </c>
      <c r="C1359" s="1" t="n">
        <v>45750</v>
      </c>
      <c r="D1359" t="inlineStr">
        <is>
          <t>STOCKHOLMS LÄN</t>
        </is>
      </c>
      <c r="E1359" t="inlineStr">
        <is>
          <t>NORRTÄLJE</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44154-2023</t>
        </is>
      </c>
      <c r="B1360" s="1" t="n">
        <v>45188</v>
      </c>
      <c r="C1360" s="1" t="n">
        <v>45750</v>
      </c>
      <c r="D1360" t="inlineStr">
        <is>
          <t>STOCKHOLMS LÄN</t>
        </is>
      </c>
      <c r="E1360" t="inlineStr">
        <is>
          <t>NORRTÄLJE</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44571-2023</t>
        </is>
      </c>
      <c r="B1361" s="1" t="n">
        <v>45189</v>
      </c>
      <c r="C1361" s="1" t="n">
        <v>45750</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44836-2023</t>
        </is>
      </c>
      <c r="B1362" s="1" t="n">
        <v>45190</v>
      </c>
      <c r="C1362" s="1" t="n">
        <v>45750</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45173-2023</t>
        </is>
      </c>
      <c r="B1363" s="1" t="n">
        <v>45191</v>
      </c>
      <c r="C1363" s="1" t="n">
        <v>45750</v>
      </c>
      <c r="D1363" t="inlineStr">
        <is>
          <t>STOCKHOLMS LÄN</t>
        </is>
      </c>
      <c r="E1363" t="inlineStr">
        <is>
          <t>NORRTÄLJE</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45174-2023</t>
        </is>
      </c>
      <c r="B1364" s="1" t="n">
        <v>45191</v>
      </c>
      <c r="C1364" s="1" t="n">
        <v>45750</v>
      </c>
      <c r="D1364" t="inlineStr">
        <is>
          <t>STOCKHOLMS LÄN</t>
        </is>
      </c>
      <c r="E1364" t="inlineStr">
        <is>
          <t>NORRTÄLJE</t>
        </is>
      </c>
      <c r="F1364" t="inlineStr">
        <is>
          <t>Sveaskog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46161-2023</t>
        </is>
      </c>
      <c r="B1365" s="1" t="n">
        <v>45196</v>
      </c>
      <c r="C1365" s="1" t="n">
        <v>45750</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46155-2023</t>
        </is>
      </c>
      <c r="B1366" s="1" t="n">
        <v>45196</v>
      </c>
      <c r="C1366" s="1" t="n">
        <v>45750</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46621-2023</t>
        </is>
      </c>
      <c r="B1367" s="1" t="n">
        <v>45198</v>
      </c>
      <c r="C1367" s="1" t="n">
        <v>45750</v>
      </c>
      <c r="D1367" t="inlineStr">
        <is>
          <t>STOCKHOLMS LÄN</t>
        </is>
      </c>
      <c r="E1367" t="inlineStr">
        <is>
          <t>NORRTÄLJE</t>
        </is>
      </c>
      <c r="F1367" t="inlineStr">
        <is>
          <t>Holmen skog AB</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47419-2023</t>
        </is>
      </c>
      <c r="B1368" s="1" t="n">
        <v>45202</v>
      </c>
      <c r="C1368" s="1" t="n">
        <v>45750</v>
      </c>
      <c r="D1368" t="inlineStr">
        <is>
          <t>STOCKHOLMS LÄN</t>
        </is>
      </c>
      <c r="E1368" t="inlineStr">
        <is>
          <t>NORRTÄLJE</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47431-2023</t>
        </is>
      </c>
      <c r="B1369" s="1" t="n">
        <v>45202</v>
      </c>
      <c r="C1369" s="1" t="n">
        <v>45750</v>
      </c>
      <c r="D1369" t="inlineStr">
        <is>
          <t>STOCKHOLMS LÄN</t>
        </is>
      </c>
      <c r="E1369" t="inlineStr">
        <is>
          <t>NORRTÄLJE</t>
        </is>
      </c>
      <c r="F1369" t="inlineStr">
        <is>
          <t>Naturvårdsverket</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47325-2023</t>
        </is>
      </c>
      <c r="B1370" s="1" t="n">
        <v>45202</v>
      </c>
      <c r="C1370" s="1" t="n">
        <v>45750</v>
      </c>
      <c r="D1370" t="inlineStr">
        <is>
          <t>STOCKHOLMS LÄN</t>
        </is>
      </c>
      <c r="E1370" t="inlineStr">
        <is>
          <t>NORRTÄLJE</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47433-2023</t>
        </is>
      </c>
      <c r="B1371" s="1" t="n">
        <v>45202</v>
      </c>
      <c r="C1371" s="1" t="n">
        <v>45750</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47388-2023</t>
        </is>
      </c>
      <c r="B1372" s="1" t="n">
        <v>45202</v>
      </c>
      <c r="C1372" s="1" t="n">
        <v>45750</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47430-2023</t>
        </is>
      </c>
      <c r="B1373" s="1" t="n">
        <v>45202</v>
      </c>
      <c r="C1373" s="1" t="n">
        <v>45750</v>
      </c>
      <c r="D1373" t="inlineStr">
        <is>
          <t>STOCKHOLMS LÄN</t>
        </is>
      </c>
      <c r="E1373" t="inlineStr">
        <is>
          <t>NORRTÄLJE</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49775-2023</t>
        </is>
      </c>
      <c r="B1374" s="1" t="n">
        <v>45202</v>
      </c>
      <c r="C1374" s="1" t="n">
        <v>45750</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48578-2023</t>
        </is>
      </c>
      <c r="B1375" s="1" t="n">
        <v>45202</v>
      </c>
      <c r="C1375" s="1" t="n">
        <v>45750</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49774-2023</t>
        </is>
      </c>
      <c r="B1376" s="1" t="n">
        <v>45202</v>
      </c>
      <c r="C1376" s="1" t="n">
        <v>45750</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47672-2023</t>
        </is>
      </c>
      <c r="B1377" s="1" t="n">
        <v>45203</v>
      </c>
      <c r="C1377" s="1" t="n">
        <v>45750</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47694-2023</t>
        </is>
      </c>
      <c r="B1378" s="1" t="n">
        <v>45203</v>
      </c>
      <c r="C1378" s="1" t="n">
        <v>45750</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47708-2023</t>
        </is>
      </c>
      <c r="B1379" s="1" t="n">
        <v>45203</v>
      </c>
      <c r="C1379" s="1" t="n">
        <v>45750</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47758-2023</t>
        </is>
      </c>
      <c r="B1380" s="1" t="n">
        <v>45203</v>
      </c>
      <c r="C1380" s="1" t="n">
        <v>45750</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47699-2023</t>
        </is>
      </c>
      <c r="B1381" s="1" t="n">
        <v>45203</v>
      </c>
      <c r="C1381" s="1" t="n">
        <v>45750</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47735-2023</t>
        </is>
      </c>
      <c r="B1382" s="1" t="n">
        <v>45203</v>
      </c>
      <c r="C1382" s="1" t="n">
        <v>45750</v>
      </c>
      <c r="D1382" t="inlineStr">
        <is>
          <t>STOCKHOLMS LÄN</t>
        </is>
      </c>
      <c r="E1382" t="inlineStr">
        <is>
          <t>NORRTÄLJE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48167-2023</t>
        </is>
      </c>
      <c r="B1383" s="1" t="n">
        <v>45205</v>
      </c>
      <c r="C1383" s="1" t="n">
        <v>45750</v>
      </c>
      <c r="D1383" t="inlineStr">
        <is>
          <t>STOCKHOLMS LÄN</t>
        </is>
      </c>
      <c r="E1383" t="inlineStr">
        <is>
          <t>NORRTÄLJE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48180-2023</t>
        </is>
      </c>
      <c r="B1384" s="1" t="n">
        <v>45205</v>
      </c>
      <c r="C1384" s="1" t="n">
        <v>45750</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48185-2023</t>
        </is>
      </c>
      <c r="B1385" s="1" t="n">
        <v>45205</v>
      </c>
      <c r="C1385" s="1" t="n">
        <v>45750</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48302-2023</t>
        </is>
      </c>
      <c r="B1386" s="1" t="n">
        <v>45205</v>
      </c>
      <c r="C1386" s="1" t="n">
        <v>45750</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48333-2023</t>
        </is>
      </c>
      <c r="B1387" s="1" t="n">
        <v>45205</v>
      </c>
      <c r="C1387" s="1" t="n">
        <v>45750</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48541-2023</t>
        </is>
      </c>
      <c r="B1388" s="1" t="n">
        <v>45208</v>
      </c>
      <c r="C1388" s="1" t="n">
        <v>45750</v>
      </c>
      <c r="D1388" t="inlineStr">
        <is>
          <t>STOCKHOLMS LÄN</t>
        </is>
      </c>
      <c r="E1388" t="inlineStr">
        <is>
          <t>NORRTÄLJE</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48552-2023</t>
        </is>
      </c>
      <c r="B1389" s="1" t="n">
        <v>45208</v>
      </c>
      <c r="C1389" s="1" t="n">
        <v>45750</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48587-2023</t>
        </is>
      </c>
      <c r="B1390" s="1" t="n">
        <v>45208</v>
      </c>
      <c r="C1390" s="1" t="n">
        <v>45750</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48633-2023</t>
        </is>
      </c>
      <c r="B1391" s="1" t="n">
        <v>45208</v>
      </c>
      <c r="C1391" s="1" t="n">
        <v>45750</v>
      </c>
      <c r="D1391" t="inlineStr">
        <is>
          <t>STOCKHOLMS LÄN</t>
        </is>
      </c>
      <c r="E1391" t="inlineStr">
        <is>
          <t>NORRTÄLJE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48641-2023</t>
        </is>
      </c>
      <c r="B1392" s="1" t="n">
        <v>45208</v>
      </c>
      <c r="C1392" s="1" t="n">
        <v>45750</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48686-2023</t>
        </is>
      </c>
      <c r="B1393" s="1" t="n">
        <v>45208</v>
      </c>
      <c r="C1393" s="1" t="n">
        <v>45750</v>
      </c>
      <c r="D1393" t="inlineStr">
        <is>
          <t>STOCKHOLMS LÄN</t>
        </is>
      </c>
      <c r="E1393" t="inlineStr">
        <is>
          <t>NORRTÄLJE</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48629-2023</t>
        </is>
      </c>
      <c r="B1394" s="1" t="n">
        <v>45208</v>
      </c>
      <c r="C1394" s="1" t="n">
        <v>45750</v>
      </c>
      <c r="D1394" t="inlineStr">
        <is>
          <t>STOCKHOLMS LÄN</t>
        </is>
      </c>
      <c r="E1394" t="inlineStr">
        <is>
          <t>NORRTÄLJE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48668-2023</t>
        </is>
      </c>
      <c r="B1395" s="1" t="n">
        <v>45208</v>
      </c>
      <c r="C1395" s="1" t="n">
        <v>45750</v>
      </c>
      <c r="D1395" t="inlineStr">
        <is>
          <t>STOCKHOLMS LÄN</t>
        </is>
      </c>
      <c r="E1395" t="inlineStr">
        <is>
          <t>NORRTÄLJE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48685-2023</t>
        </is>
      </c>
      <c r="B1396" s="1" t="n">
        <v>45208</v>
      </c>
      <c r="C1396" s="1" t="n">
        <v>45750</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48691-2023</t>
        </is>
      </c>
      <c r="B1397" s="1" t="n">
        <v>45208</v>
      </c>
      <c r="C1397" s="1" t="n">
        <v>45750</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48701-2023</t>
        </is>
      </c>
      <c r="B1398" s="1" t="n">
        <v>45208</v>
      </c>
      <c r="C1398" s="1" t="n">
        <v>45750</v>
      </c>
      <c r="D1398" t="inlineStr">
        <is>
          <t>STOCKHOLMS LÄN</t>
        </is>
      </c>
      <c r="E1398" t="inlineStr">
        <is>
          <t>NORRTÄLJE</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48716-2023</t>
        </is>
      </c>
      <c r="B1399" s="1" t="n">
        <v>45208</v>
      </c>
      <c r="C1399" s="1" t="n">
        <v>45750</v>
      </c>
      <c r="D1399" t="inlineStr">
        <is>
          <t>STOCKHOLMS LÄN</t>
        </is>
      </c>
      <c r="E1399" t="inlineStr">
        <is>
          <t>NORRTÄLJE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48709-2023</t>
        </is>
      </c>
      <c r="B1400" s="1" t="n">
        <v>45208</v>
      </c>
      <c r="C1400" s="1" t="n">
        <v>45750</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48722-2023</t>
        </is>
      </c>
      <c r="B1401" s="1" t="n">
        <v>45208</v>
      </c>
      <c r="C1401" s="1" t="n">
        <v>45750</v>
      </c>
      <c r="D1401" t="inlineStr">
        <is>
          <t>STOCKHOLMS LÄN</t>
        </is>
      </c>
      <c r="E1401" t="inlineStr">
        <is>
          <t>NORRTÄLJE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48726-2023</t>
        </is>
      </c>
      <c r="B1402" s="1" t="n">
        <v>45208</v>
      </c>
      <c r="C1402" s="1" t="n">
        <v>45750</v>
      </c>
      <c r="D1402" t="inlineStr">
        <is>
          <t>STOCKHOLMS LÄN</t>
        </is>
      </c>
      <c r="E1402" t="inlineStr">
        <is>
          <t>NORRTÄLJE</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49169-2023</t>
        </is>
      </c>
      <c r="B1403" s="1" t="n">
        <v>45210</v>
      </c>
      <c r="C1403" s="1" t="n">
        <v>45750</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49176-2023</t>
        </is>
      </c>
      <c r="B1404" s="1" t="n">
        <v>45210</v>
      </c>
      <c r="C1404" s="1" t="n">
        <v>45750</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49224-2023</t>
        </is>
      </c>
      <c r="B1405" s="1" t="n">
        <v>45210</v>
      </c>
      <c r="C1405" s="1" t="n">
        <v>45750</v>
      </c>
      <c r="D1405" t="inlineStr">
        <is>
          <t>STOCKHOLMS LÄN</t>
        </is>
      </c>
      <c r="E1405" t="inlineStr">
        <is>
          <t>NORRTÄLJE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49696-2023</t>
        </is>
      </c>
      <c r="B1406" s="1" t="n">
        <v>45212</v>
      </c>
      <c r="C1406" s="1" t="n">
        <v>45750</v>
      </c>
      <c r="D1406" t="inlineStr">
        <is>
          <t>STOCKHOLMS LÄN</t>
        </is>
      </c>
      <c r="E1406" t="inlineStr">
        <is>
          <t>NORRTÄLJE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49700-2023</t>
        </is>
      </c>
      <c r="B1407" s="1" t="n">
        <v>45212</v>
      </c>
      <c r="C1407" s="1" t="n">
        <v>45750</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49694-2023</t>
        </is>
      </c>
      <c r="B1408" s="1" t="n">
        <v>45212</v>
      </c>
      <c r="C1408" s="1" t="n">
        <v>45750</v>
      </c>
      <c r="D1408" t="inlineStr">
        <is>
          <t>STOCKHOLMS LÄN</t>
        </is>
      </c>
      <c r="E1408" t="inlineStr">
        <is>
          <t>NORRTÄLJE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50143-2023</t>
        </is>
      </c>
      <c r="B1409" s="1" t="n">
        <v>45215</v>
      </c>
      <c r="C1409" s="1" t="n">
        <v>45750</v>
      </c>
      <c r="D1409" t="inlineStr">
        <is>
          <t>STOCKHOLMS LÄN</t>
        </is>
      </c>
      <c r="E1409" t="inlineStr">
        <is>
          <t>NORRTÄLJE</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50107-2023</t>
        </is>
      </c>
      <c r="B1410" s="1" t="n">
        <v>45215</v>
      </c>
      <c r="C1410" s="1" t="n">
        <v>45750</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50033-2023</t>
        </is>
      </c>
      <c r="B1411" s="1" t="n">
        <v>45215</v>
      </c>
      <c r="C1411" s="1" t="n">
        <v>45750</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50136-2023</t>
        </is>
      </c>
      <c r="B1412" s="1" t="n">
        <v>45215</v>
      </c>
      <c r="C1412" s="1" t="n">
        <v>45750</v>
      </c>
      <c r="D1412" t="inlineStr">
        <is>
          <t>STOCKHOLMS LÄN</t>
        </is>
      </c>
      <c r="E1412" t="inlineStr">
        <is>
          <t>NORRTÄLJE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50150-2023</t>
        </is>
      </c>
      <c r="B1413" s="1" t="n">
        <v>45215</v>
      </c>
      <c r="C1413" s="1" t="n">
        <v>45750</v>
      </c>
      <c r="D1413" t="inlineStr">
        <is>
          <t>STOCKHOLMS LÄN</t>
        </is>
      </c>
      <c r="E1413" t="inlineStr">
        <is>
          <t>NORRTÄLJE</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50289-2023</t>
        </is>
      </c>
      <c r="B1414" s="1" t="n">
        <v>45216</v>
      </c>
      <c r="C1414" s="1" t="n">
        <v>45750</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50436-2023</t>
        </is>
      </c>
      <c r="B1415" s="1" t="n">
        <v>45216</v>
      </c>
      <c r="C1415" s="1" t="n">
        <v>45750</v>
      </c>
      <c r="D1415" t="inlineStr">
        <is>
          <t>STOCKHOLMS LÄN</t>
        </is>
      </c>
      <c r="E1415" t="inlineStr">
        <is>
          <t>NORRTÄLJE</t>
        </is>
      </c>
      <c r="G1415" t="n">
        <v>12.1</v>
      </c>
      <c r="H1415" t="n">
        <v>0</v>
      </c>
      <c r="I1415" t="n">
        <v>0</v>
      </c>
      <c r="J1415" t="n">
        <v>0</v>
      </c>
      <c r="K1415" t="n">
        <v>0</v>
      </c>
      <c r="L1415" t="n">
        <v>0</v>
      </c>
      <c r="M1415" t="n">
        <v>0</v>
      </c>
      <c r="N1415" t="n">
        <v>0</v>
      </c>
      <c r="O1415" t="n">
        <v>0</v>
      </c>
      <c r="P1415" t="n">
        <v>0</v>
      </c>
      <c r="Q1415" t="n">
        <v>0</v>
      </c>
      <c r="R1415" s="2" t="inlineStr"/>
    </row>
    <row r="1416" ht="15" customHeight="1">
      <c r="A1416" t="inlineStr">
        <is>
          <t>A 50690-2023</t>
        </is>
      </c>
      <c r="B1416" s="1" t="n">
        <v>45217</v>
      </c>
      <c r="C1416" s="1" t="n">
        <v>45750</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51049-2023</t>
        </is>
      </c>
      <c r="B1417" s="1" t="n">
        <v>45218</v>
      </c>
      <c r="C1417" s="1" t="n">
        <v>45750</v>
      </c>
      <c r="D1417" t="inlineStr">
        <is>
          <t>STOCKHOLMS LÄN</t>
        </is>
      </c>
      <c r="E1417" t="inlineStr">
        <is>
          <t>NORRTÄLJE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51063-2023</t>
        </is>
      </c>
      <c r="B1418" s="1" t="n">
        <v>45218</v>
      </c>
      <c r="C1418" s="1" t="n">
        <v>45750</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50880-2023</t>
        </is>
      </c>
      <c r="B1419" s="1" t="n">
        <v>45218</v>
      </c>
      <c r="C1419" s="1" t="n">
        <v>45750</v>
      </c>
      <c r="D1419" t="inlineStr">
        <is>
          <t>STOCKHOLMS LÄN</t>
        </is>
      </c>
      <c r="E1419" t="inlineStr">
        <is>
          <t>NORRTÄLJE</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51046-2023</t>
        </is>
      </c>
      <c r="B1420" s="1" t="n">
        <v>45218</v>
      </c>
      <c r="C1420" s="1" t="n">
        <v>45750</v>
      </c>
      <c r="D1420" t="inlineStr">
        <is>
          <t>STOCKHOLMS LÄN</t>
        </is>
      </c>
      <c r="E1420" t="inlineStr">
        <is>
          <t>NORRTÄLJE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51043-2023</t>
        </is>
      </c>
      <c r="B1421" s="1" t="n">
        <v>45218</v>
      </c>
      <c r="C1421" s="1" t="n">
        <v>45750</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51061-2023</t>
        </is>
      </c>
      <c r="B1422" s="1" t="n">
        <v>45218</v>
      </c>
      <c r="C1422" s="1" t="n">
        <v>45750</v>
      </c>
      <c r="D1422" t="inlineStr">
        <is>
          <t>STOCKHOLMS LÄN</t>
        </is>
      </c>
      <c r="E1422" t="inlineStr">
        <is>
          <t>NORRTÄLJE</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51325-2023</t>
        </is>
      </c>
      <c r="B1423" s="1" t="n">
        <v>45219</v>
      </c>
      <c r="C1423" s="1" t="n">
        <v>45750</v>
      </c>
      <c r="D1423" t="inlineStr">
        <is>
          <t>STOCKHOLMS LÄN</t>
        </is>
      </c>
      <c r="E1423" t="inlineStr">
        <is>
          <t>NORRTÄLJE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51312-2023</t>
        </is>
      </c>
      <c r="B1424" s="1" t="n">
        <v>45219</v>
      </c>
      <c r="C1424" s="1" t="n">
        <v>45750</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51597-2023</t>
        </is>
      </c>
      <c r="B1425" s="1" t="n">
        <v>45222</v>
      </c>
      <c r="C1425" s="1" t="n">
        <v>45750</v>
      </c>
      <c r="D1425" t="inlineStr">
        <is>
          <t>STOCKHOLMS LÄN</t>
        </is>
      </c>
      <c r="E1425" t="inlineStr">
        <is>
          <t>NORRTÄLJE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51657-2023</t>
        </is>
      </c>
      <c r="B1426" s="1" t="n">
        <v>45222</v>
      </c>
      <c r="C1426" s="1" t="n">
        <v>45750</v>
      </c>
      <c r="D1426" t="inlineStr">
        <is>
          <t>STOCKHOLMS LÄN</t>
        </is>
      </c>
      <c r="E1426" t="inlineStr">
        <is>
          <t>NORRTÄLJE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51903-2023</t>
        </is>
      </c>
      <c r="B1427" s="1" t="n">
        <v>45223</v>
      </c>
      <c r="C1427" s="1" t="n">
        <v>45750</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52095-2023</t>
        </is>
      </c>
      <c r="B1428" s="1" t="n">
        <v>45223</v>
      </c>
      <c r="C1428" s="1" t="n">
        <v>45750</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51978-2023</t>
        </is>
      </c>
      <c r="B1429" s="1" t="n">
        <v>45223</v>
      </c>
      <c r="C1429" s="1" t="n">
        <v>45750</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51997-2023</t>
        </is>
      </c>
      <c r="B1430" s="1" t="n">
        <v>45223</v>
      </c>
      <c r="C1430" s="1" t="n">
        <v>45750</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52001-2023</t>
        </is>
      </c>
      <c r="B1431" s="1" t="n">
        <v>45223</v>
      </c>
      <c r="C1431" s="1" t="n">
        <v>45750</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52096-2023</t>
        </is>
      </c>
      <c r="B1432" s="1" t="n">
        <v>45223</v>
      </c>
      <c r="C1432" s="1" t="n">
        <v>45750</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53362-2023</t>
        </is>
      </c>
      <c r="B1433" s="1" t="n">
        <v>45223</v>
      </c>
      <c r="C1433" s="1" t="n">
        <v>45750</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53372-2023</t>
        </is>
      </c>
      <c r="B1434" s="1" t="n">
        <v>45223</v>
      </c>
      <c r="C1434" s="1" t="n">
        <v>45750</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52221-2023</t>
        </is>
      </c>
      <c r="B1435" s="1" t="n">
        <v>45224</v>
      </c>
      <c r="C1435" s="1" t="n">
        <v>45750</v>
      </c>
      <c r="D1435" t="inlineStr">
        <is>
          <t>STOCKHOLMS LÄN</t>
        </is>
      </c>
      <c r="E1435" t="inlineStr">
        <is>
          <t>NORRTÄLJE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53561-2023</t>
        </is>
      </c>
      <c r="B1436" s="1" t="n">
        <v>45224</v>
      </c>
      <c r="C1436" s="1" t="n">
        <v>45750</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53556-2023</t>
        </is>
      </c>
      <c r="B1437" s="1" t="n">
        <v>45224</v>
      </c>
      <c r="C1437" s="1" t="n">
        <v>45750</v>
      </c>
      <c r="D1437" t="inlineStr">
        <is>
          <t>STOCKHOLMS LÄN</t>
        </is>
      </c>
      <c r="E1437" t="inlineStr">
        <is>
          <t>NORRTÄLJE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52570-2023</t>
        </is>
      </c>
      <c r="B1438" s="1" t="n">
        <v>45225</v>
      </c>
      <c r="C1438" s="1" t="n">
        <v>45750</v>
      </c>
      <c r="D1438" t="inlineStr">
        <is>
          <t>STOCKHOLMS LÄN</t>
        </is>
      </c>
      <c r="E1438" t="inlineStr">
        <is>
          <t>NORRTÄLJE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52619-2023</t>
        </is>
      </c>
      <c r="B1439" s="1" t="n">
        <v>45225</v>
      </c>
      <c r="C1439" s="1" t="n">
        <v>45750</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52875-2023</t>
        </is>
      </c>
      <c r="B1440" s="1" t="n">
        <v>45226</v>
      </c>
      <c r="C1440" s="1" t="n">
        <v>45750</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52899-2023</t>
        </is>
      </c>
      <c r="B1441" s="1" t="n">
        <v>45226</v>
      </c>
      <c r="C1441" s="1" t="n">
        <v>45750</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53563-2023</t>
        </is>
      </c>
      <c r="B1442" s="1" t="n">
        <v>45230</v>
      </c>
      <c r="C1442" s="1" t="n">
        <v>45750</v>
      </c>
      <c r="D1442" t="inlineStr">
        <is>
          <t>STOCKHOLMS LÄN</t>
        </is>
      </c>
      <c r="E1442" t="inlineStr">
        <is>
          <t>NORRTÄLJE</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53718-2023</t>
        </is>
      </c>
      <c r="B1443" s="1" t="n">
        <v>45230</v>
      </c>
      <c r="C1443" s="1" t="n">
        <v>45750</v>
      </c>
      <c r="D1443" t="inlineStr">
        <is>
          <t>STOCKHOLMS LÄN</t>
        </is>
      </c>
      <c r="E1443" t="inlineStr">
        <is>
          <t>NORRTÄLJE</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53787-2023</t>
        </is>
      </c>
      <c r="B1444" s="1" t="n">
        <v>45231</v>
      </c>
      <c r="C1444" s="1" t="n">
        <v>45750</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53792-2023</t>
        </is>
      </c>
      <c r="B1445" s="1" t="n">
        <v>45231</v>
      </c>
      <c r="C1445" s="1" t="n">
        <v>45750</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55518-2023</t>
        </is>
      </c>
      <c r="B1446" s="1" t="n">
        <v>45231</v>
      </c>
      <c r="C1446" s="1" t="n">
        <v>45750</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55533-2023</t>
        </is>
      </c>
      <c r="B1447" s="1" t="n">
        <v>45231</v>
      </c>
      <c r="C1447" s="1" t="n">
        <v>45750</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54259-2023</t>
        </is>
      </c>
      <c r="B1448" s="1" t="n">
        <v>45232</v>
      </c>
      <c r="C1448" s="1" t="n">
        <v>45750</v>
      </c>
      <c r="D1448" t="inlineStr">
        <is>
          <t>STOCKHOLMS LÄN</t>
        </is>
      </c>
      <c r="E1448" t="inlineStr">
        <is>
          <t>NORRTÄLJE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54546-2023</t>
        </is>
      </c>
      <c r="B1449" s="1" t="n">
        <v>45233</v>
      </c>
      <c r="C1449" s="1" t="n">
        <v>45750</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54776-2023</t>
        </is>
      </c>
      <c r="B1450" s="1" t="n">
        <v>45236</v>
      </c>
      <c r="C1450" s="1" t="n">
        <v>45750</v>
      </c>
      <c r="D1450" t="inlineStr">
        <is>
          <t>STOCKHOLMS LÄN</t>
        </is>
      </c>
      <c r="E1450" t="inlineStr">
        <is>
          <t>NORRTÄLJE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55038-2023</t>
        </is>
      </c>
      <c r="B1451" s="1" t="n">
        <v>45237</v>
      </c>
      <c r="C1451" s="1" t="n">
        <v>45750</v>
      </c>
      <c r="D1451" t="inlineStr">
        <is>
          <t>STOCKHOLMS LÄN</t>
        </is>
      </c>
      <c r="E1451" t="inlineStr">
        <is>
          <t>NORRTÄLJE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55243-2023</t>
        </is>
      </c>
      <c r="B1452" s="1" t="n">
        <v>45237</v>
      </c>
      <c r="C1452" s="1" t="n">
        <v>45750</v>
      </c>
      <c r="D1452" t="inlineStr">
        <is>
          <t>STOCKHOLMS LÄN</t>
        </is>
      </c>
      <c r="E1452" t="inlineStr">
        <is>
          <t>NORRTÄLJE</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55369-2023</t>
        </is>
      </c>
      <c r="B1453" s="1" t="n">
        <v>45238</v>
      </c>
      <c r="C1453" s="1" t="n">
        <v>45750</v>
      </c>
      <c r="D1453" t="inlineStr">
        <is>
          <t>STOCKHOLMS LÄN</t>
        </is>
      </c>
      <c r="E1453" t="inlineStr">
        <is>
          <t>NORRTÄLJE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55755-2023</t>
        </is>
      </c>
      <c r="B1454" s="1" t="n">
        <v>45239</v>
      </c>
      <c r="C1454" s="1" t="n">
        <v>45750</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56428-2023</t>
        </is>
      </c>
      <c r="B1455" s="1" t="n">
        <v>45243</v>
      </c>
      <c r="C1455" s="1" t="n">
        <v>45750</v>
      </c>
      <c r="D1455" t="inlineStr">
        <is>
          <t>STOCKHOLMS LÄN</t>
        </is>
      </c>
      <c r="E1455" t="inlineStr">
        <is>
          <t>NORRTÄLJE</t>
        </is>
      </c>
      <c r="F1455" t="inlineStr">
        <is>
          <t>Kyrkan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56439-2023</t>
        </is>
      </c>
      <c r="B1456" s="1" t="n">
        <v>45243</v>
      </c>
      <c r="C1456" s="1" t="n">
        <v>45750</v>
      </c>
      <c r="D1456" t="inlineStr">
        <is>
          <t>STOCKHOLMS LÄN</t>
        </is>
      </c>
      <c r="E1456" t="inlineStr">
        <is>
          <t>NORRTÄLJE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56445-2023</t>
        </is>
      </c>
      <c r="B1457" s="1" t="n">
        <v>45243</v>
      </c>
      <c r="C1457" s="1" t="n">
        <v>45750</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56577-2023</t>
        </is>
      </c>
      <c r="B1458" s="1" t="n">
        <v>45243</v>
      </c>
      <c r="C1458" s="1" t="n">
        <v>45750</v>
      </c>
      <c r="D1458" t="inlineStr">
        <is>
          <t>STOCKHOLMS LÄN</t>
        </is>
      </c>
      <c r="E1458" t="inlineStr">
        <is>
          <t>NORRTÄLJE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56593-2023</t>
        </is>
      </c>
      <c r="B1459" s="1" t="n">
        <v>45243</v>
      </c>
      <c r="C1459" s="1" t="n">
        <v>45750</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56819-2023</t>
        </is>
      </c>
      <c r="B1460" s="1" t="n">
        <v>45244</v>
      </c>
      <c r="C1460" s="1" t="n">
        <v>45750</v>
      </c>
      <c r="D1460" t="inlineStr">
        <is>
          <t>STOCKHOLMS LÄN</t>
        </is>
      </c>
      <c r="E1460" t="inlineStr">
        <is>
          <t>NORRTÄLJE</t>
        </is>
      </c>
      <c r="G1460" t="n">
        <v>13.6</v>
      </c>
      <c r="H1460" t="n">
        <v>0</v>
      </c>
      <c r="I1460" t="n">
        <v>0</v>
      </c>
      <c r="J1460" t="n">
        <v>0</v>
      </c>
      <c r="K1460" t="n">
        <v>0</v>
      </c>
      <c r="L1460" t="n">
        <v>0</v>
      </c>
      <c r="M1460" t="n">
        <v>0</v>
      </c>
      <c r="N1460" t="n">
        <v>0</v>
      </c>
      <c r="O1460" t="n">
        <v>0</v>
      </c>
      <c r="P1460" t="n">
        <v>0</v>
      </c>
      <c r="Q1460" t="n">
        <v>0</v>
      </c>
      <c r="R1460" s="2" t="inlineStr"/>
    </row>
    <row r="1461" ht="15" customHeight="1">
      <c r="A1461" t="inlineStr">
        <is>
          <t>A 58261-2023</t>
        </is>
      </c>
      <c r="B1461" s="1" t="n">
        <v>45245</v>
      </c>
      <c r="C1461" s="1" t="n">
        <v>45750</v>
      </c>
      <c r="D1461" t="inlineStr">
        <is>
          <t>STOCKHOLMS LÄN</t>
        </is>
      </c>
      <c r="E1461" t="inlineStr">
        <is>
          <t>NORRTÄLJE</t>
        </is>
      </c>
      <c r="G1461" t="n">
        <v>53.5</v>
      </c>
      <c r="H1461" t="n">
        <v>0</v>
      </c>
      <c r="I1461" t="n">
        <v>0</v>
      </c>
      <c r="J1461" t="n">
        <v>0</v>
      </c>
      <c r="K1461" t="n">
        <v>0</v>
      </c>
      <c r="L1461" t="n">
        <v>0</v>
      </c>
      <c r="M1461" t="n">
        <v>0</v>
      </c>
      <c r="N1461" t="n">
        <v>0</v>
      </c>
      <c r="O1461" t="n">
        <v>0</v>
      </c>
      <c r="P1461" t="n">
        <v>0</v>
      </c>
      <c r="Q1461" t="n">
        <v>0</v>
      </c>
      <c r="R1461" s="2" t="inlineStr"/>
    </row>
    <row r="1462" ht="15" customHeight="1">
      <c r="A1462" t="inlineStr">
        <is>
          <t>A 58209-2023</t>
        </is>
      </c>
      <c r="B1462" s="1" t="n">
        <v>45245</v>
      </c>
      <c r="C1462" s="1" t="n">
        <v>45750</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58227-2023</t>
        </is>
      </c>
      <c r="B1463" s="1" t="n">
        <v>45245</v>
      </c>
      <c r="C1463" s="1" t="n">
        <v>45750</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58291-2023</t>
        </is>
      </c>
      <c r="B1464" s="1" t="n">
        <v>45245</v>
      </c>
      <c r="C1464" s="1" t="n">
        <v>45750</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58277-2023</t>
        </is>
      </c>
      <c r="B1465" s="1" t="n">
        <v>45245</v>
      </c>
      <c r="C1465" s="1" t="n">
        <v>45750</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58213-2023</t>
        </is>
      </c>
      <c r="B1466" s="1" t="n">
        <v>45245</v>
      </c>
      <c r="C1466" s="1" t="n">
        <v>45750</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58311-2023</t>
        </is>
      </c>
      <c r="B1467" s="1" t="n">
        <v>45245</v>
      </c>
      <c r="C1467" s="1" t="n">
        <v>45750</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58300-2023</t>
        </is>
      </c>
      <c r="B1468" s="1" t="n">
        <v>45245</v>
      </c>
      <c r="C1468" s="1" t="n">
        <v>45750</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58260-2023</t>
        </is>
      </c>
      <c r="B1469" s="1" t="n">
        <v>45245</v>
      </c>
      <c r="C1469" s="1" t="n">
        <v>45750</v>
      </c>
      <c r="D1469" t="inlineStr">
        <is>
          <t>STOCKHOLMS LÄN</t>
        </is>
      </c>
      <c r="E1469" t="inlineStr">
        <is>
          <t>NORRTÄLJE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58297-2023</t>
        </is>
      </c>
      <c r="B1470" s="1" t="n">
        <v>45245</v>
      </c>
      <c r="C1470" s="1" t="n">
        <v>45750</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58306-2023</t>
        </is>
      </c>
      <c r="B1471" s="1" t="n">
        <v>45245</v>
      </c>
      <c r="C1471" s="1" t="n">
        <v>45750</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58404-2023</t>
        </is>
      </c>
      <c r="B1472" s="1" t="n">
        <v>45245</v>
      </c>
      <c r="C1472" s="1" t="n">
        <v>45750</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58191-2023</t>
        </is>
      </c>
      <c r="B1473" s="1" t="n">
        <v>45250</v>
      </c>
      <c r="C1473" s="1" t="n">
        <v>45750</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58186-2023</t>
        </is>
      </c>
      <c r="B1474" s="1" t="n">
        <v>45250</v>
      </c>
      <c r="C1474" s="1" t="n">
        <v>45750</v>
      </c>
      <c r="D1474" t="inlineStr">
        <is>
          <t>STOCKHOLMS LÄN</t>
        </is>
      </c>
      <c r="E1474" t="inlineStr">
        <is>
          <t>NORRTÄLJE</t>
        </is>
      </c>
      <c r="F1474" t="inlineStr">
        <is>
          <t>Kyrkan</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58981-2023</t>
        </is>
      </c>
      <c r="B1475" s="1" t="n">
        <v>45250</v>
      </c>
      <c r="C1475" s="1" t="n">
        <v>45750</v>
      </c>
      <c r="D1475" t="inlineStr">
        <is>
          <t>STOCKHOLMS LÄN</t>
        </is>
      </c>
      <c r="E1475" t="inlineStr">
        <is>
          <t>NORRTÄLJE</t>
        </is>
      </c>
      <c r="F1475" t="inlineStr">
        <is>
          <t>Övriga statliga verk och myndigheter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58601-2023</t>
        </is>
      </c>
      <c r="B1476" s="1" t="n">
        <v>45251</v>
      </c>
      <c r="C1476" s="1" t="n">
        <v>45750</v>
      </c>
      <c r="D1476" t="inlineStr">
        <is>
          <t>STOCKHOLMS LÄN</t>
        </is>
      </c>
      <c r="E1476" t="inlineStr">
        <is>
          <t>NORRTÄLJE</t>
        </is>
      </c>
      <c r="F1476" t="inlineStr">
        <is>
          <t>Holmen skog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59310-2023</t>
        </is>
      </c>
      <c r="B1477" s="1" t="n">
        <v>45253</v>
      </c>
      <c r="C1477" s="1" t="n">
        <v>45750</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59326-2023</t>
        </is>
      </c>
      <c r="B1478" s="1" t="n">
        <v>45253</v>
      </c>
      <c r="C1478" s="1" t="n">
        <v>45750</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59212-2023</t>
        </is>
      </c>
      <c r="B1479" s="1" t="n">
        <v>45253</v>
      </c>
      <c r="C1479" s="1" t="n">
        <v>45750</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59276-2023</t>
        </is>
      </c>
      <c r="B1480" s="1" t="n">
        <v>45253</v>
      </c>
      <c r="C1480" s="1" t="n">
        <v>45750</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59468-2023</t>
        </is>
      </c>
      <c r="B1481" s="1" t="n">
        <v>45254</v>
      </c>
      <c r="C1481" s="1" t="n">
        <v>45750</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59499-2023</t>
        </is>
      </c>
      <c r="B1482" s="1" t="n">
        <v>45254</v>
      </c>
      <c r="C1482" s="1" t="n">
        <v>45750</v>
      </c>
      <c r="D1482" t="inlineStr">
        <is>
          <t>STOCKHOLMS LÄN</t>
        </is>
      </c>
      <c r="E1482" t="inlineStr">
        <is>
          <t>NORRTÄLJE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59504-2023</t>
        </is>
      </c>
      <c r="B1483" s="1" t="n">
        <v>45254</v>
      </c>
      <c r="C1483" s="1" t="n">
        <v>45750</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59676-2023</t>
        </is>
      </c>
      <c r="B1484" s="1" t="n">
        <v>45255</v>
      </c>
      <c r="C1484" s="1" t="n">
        <v>45750</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59904-2023</t>
        </is>
      </c>
      <c r="B1485" s="1" t="n">
        <v>45257</v>
      </c>
      <c r="C1485" s="1" t="n">
        <v>45750</v>
      </c>
      <c r="D1485" t="inlineStr">
        <is>
          <t>STOCKHOLMS LÄN</t>
        </is>
      </c>
      <c r="E1485" t="inlineStr">
        <is>
          <t>NORRTÄLJE</t>
        </is>
      </c>
      <c r="G1485" t="n">
        <v>17.4</v>
      </c>
      <c r="H1485" t="n">
        <v>0</v>
      </c>
      <c r="I1485" t="n">
        <v>0</v>
      </c>
      <c r="J1485" t="n">
        <v>0</v>
      </c>
      <c r="K1485" t="n">
        <v>0</v>
      </c>
      <c r="L1485" t="n">
        <v>0</v>
      </c>
      <c r="M1485" t="n">
        <v>0</v>
      </c>
      <c r="N1485" t="n">
        <v>0</v>
      </c>
      <c r="O1485" t="n">
        <v>0</v>
      </c>
      <c r="P1485" t="n">
        <v>0</v>
      </c>
      <c r="Q1485" t="n">
        <v>0</v>
      </c>
      <c r="R1485" s="2" t="inlineStr"/>
    </row>
    <row r="1486" ht="15" customHeight="1">
      <c r="A1486" t="inlineStr">
        <is>
          <t>A 59906-2023</t>
        </is>
      </c>
      <c r="B1486" s="1" t="n">
        <v>45257</v>
      </c>
      <c r="C1486" s="1" t="n">
        <v>45750</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59992-2023</t>
        </is>
      </c>
      <c r="B1487" s="1" t="n">
        <v>45257</v>
      </c>
      <c r="C1487" s="1" t="n">
        <v>45750</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60224-2023</t>
        </is>
      </c>
      <c r="B1488" s="1" t="n">
        <v>45257</v>
      </c>
      <c r="C1488" s="1" t="n">
        <v>45750</v>
      </c>
      <c r="D1488" t="inlineStr">
        <is>
          <t>STOCKHOLMS LÄN</t>
        </is>
      </c>
      <c r="E1488" t="inlineStr">
        <is>
          <t>NORRTÄLJE</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60073-2023</t>
        </is>
      </c>
      <c r="B1489" s="1" t="n">
        <v>45258</v>
      </c>
      <c r="C1489" s="1" t="n">
        <v>45750</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60492-2023</t>
        </is>
      </c>
      <c r="B1490" s="1" t="n">
        <v>45259</v>
      </c>
      <c r="C1490" s="1" t="n">
        <v>45750</v>
      </c>
      <c r="D1490" t="inlineStr">
        <is>
          <t>STOCKHOLMS LÄN</t>
        </is>
      </c>
      <c r="E1490" t="inlineStr">
        <is>
          <t>NORRTÄLJE</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60529-2023</t>
        </is>
      </c>
      <c r="B1491" s="1" t="n">
        <v>45259</v>
      </c>
      <c r="C1491" s="1" t="n">
        <v>45750</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60822-2023</t>
        </is>
      </c>
      <c r="B1492" s="1" t="n">
        <v>45259</v>
      </c>
      <c r="C1492" s="1" t="n">
        <v>45750</v>
      </c>
      <c r="D1492" t="inlineStr">
        <is>
          <t>STOCKHOLMS LÄN</t>
        </is>
      </c>
      <c r="E1492" t="inlineStr">
        <is>
          <t>NORRTÄLJE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60654-2023</t>
        </is>
      </c>
      <c r="B1493" s="1" t="n">
        <v>45260</v>
      </c>
      <c r="C1493" s="1" t="n">
        <v>45750</v>
      </c>
      <c r="D1493" t="inlineStr">
        <is>
          <t>STOCKHOLMS LÄN</t>
        </is>
      </c>
      <c r="E1493" t="inlineStr">
        <is>
          <t>NORRTÄLJE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60640-2023</t>
        </is>
      </c>
      <c r="B1494" s="1" t="n">
        <v>45260</v>
      </c>
      <c r="C1494" s="1" t="n">
        <v>45750</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60672-2023</t>
        </is>
      </c>
      <c r="B1495" s="1" t="n">
        <v>45260</v>
      </c>
      <c r="C1495" s="1" t="n">
        <v>45750</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60823-2023</t>
        </is>
      </c>
      <c r="B1496" s="1" t="n">
        <v>45260</v>
      </c>
      <c r="C1496" s="1" t="n">
        <v>45750</v>
      </c>
      <c r="D1496" t="inlineStr">
        <is>
          <t>STOCKHOLMS LÄN</t>
        </is>
      </c>
      <c r="E1496" t="inlineStr">
        <is>
          <t>NORRTÄLJE</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60656-2023</t>
        </is>
      </c>
      <c r="B1497" s="1" t="n">
        <v>45260</v>
      </c>
      <c r="C1497" s="1" t="n">
        <v>45750</v>
      </c>
      <c r="D1497" t="inlineStr">
        <is>
          <t>STOCKHOLMS LÄN</t>
        </is>
      </c>
      <c r="E1497" t="inlineStr">
        <is>
          <t>NORRTÄLJE</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60765-2023</t>
        </is>
      </c>
      <c r="B1498" s="1" t="n">
        <v>45260</v>
      </c>
      <c r="C1498" s="1" t="n">
        <v>45750</v>
      </c>
      <c r="D1498" t="inlineStr">
        <is>
          <t>STOCKHOLMS LÄN</t>
        </is>
      </c>
      <c r="E1498" t="inlineStr">
        <is>
          <t>NORRTÄLJE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61113-2023</t>
        </is>
      </c>
      <c r="B1499" s="1" t="n">
        <v>45261</v>
      </c>
      <c r="C1499" s="1" t="n">
        <v>45750</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62644-2023</t>
        </is>
      </c>
      <c r="B1500" s="1" t="n">
        <v>45271</v>
      </c>
      <c r="C1500" s="1" t="n">
        <v>45750</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62998-2023</t>
        </is>
      </c>
      <c r="B1501" s="1" t="n">
        <v>45272</v>
      </c>
      <c r="C1501" s="1" t="n">
        <v>45750</v>
      </c>
      <c r="D1501" t="inlineStr">
        <is>
          <t>STOCKHOLMS LÄN</t>
        </is>
      </c>
      <c r="E1501" t="inlineStr">
        <is>
          <t>NORRTÄLJE</t>
        </is>
      </c>
      <c r="G1501" t="n">
        <v>16.3</v>
      </c>
      <c r="H1501" t="n">
        <v>0</v>
      </c>
      <c r="I1501" t="n">
        <v>0</v>
      </c>
      <c r="J1501" t="n">
        <v>0</v>
      </c>
      <c r="K1501" t="n">
        <v>0</v>
      </c>
      <c r="L1501" t="n">
        <v>0</v>
      </c>
      <c r="M1501" t="n">
        <v>0</v>
      </c>
      <c r="N1501" t="n">
        <v>0</v>
      </c>
      <c r="O1501" t="n">
        <v>0</v>
      </c>
      <c r="P1501" t="n">
        <v>0</v>
      </c>
      <c r="Q1501" t="n">
        <v>0</v>
      </c>
      <c r="R1501" s="2" t="inlineStr"/>
    </row>
    <row r="1502" ht="15" customHeight="1">
      <c r="A1502" t="inlineStr">
        <is>
          <t>A 63015-2023</t>
        </is>
      </c>
      <c r="B1502" s="1" t="n">
        <v>45272</v>
      </c>
      <c r="C1502" s="1" t="n">
        <v>45750</v>
      </c>
      <c r="D1502" t="inlineStr">
        <is>
          <t>STOCKHOLMS LÄN</t>
        </is>
      </c>
      <c r="E1502" t="inlineStr">
        <is>
          <t>NORRTÄLJE</t>
        </is>
      </c>
      <c r="G1502" t="n">
        <v>13.1</v>
      </c>
      <c r="H1502" t="n">
        <v>0</v>
      </c>
      <c r="I1502" t="n">
        <v>0</v>
      </c>
      <c r="J1502" t="n">
        <v>0</v>
      </c>
      <c r="K1502" t="n">
        <v>0</v>
      </c>
      <c r="L1502" t="n">
        <v>0</v>
      </c>
      <c r="M1502" t="n">
        <v>0</v>
      </c>
      <c r="N1502" t="n">
        <v>0</v>
      </c>
      <c r="O1502" t="n">
        <v>0</v>
      </c>
      <c r="P1502" t="n">
        <v>0</v>
      </c>
      <c r="Q1502" t="n">
        <v>0</v>
      </c>
      <c r="R1502" s="2" t="inlineStr"/>
    </row>
    <row r="1503" ht="15" customHeight="1">
      <c r="A1503" t="inlineStr">
        <is>
          <t>A 62971-2023</t>
        </is>
      </c>
      <c r="B1503" s="1" t="n">
        <v>45272</v>
      </c>
      <c r="C1503" s="1" t="n">
        <v>45750</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63013-2023</t>
        </is>
      </c>
      <c r="B1504" s="1" t="n">
        <v>45272</v>
      </c>
      <c r="C1504" s="1" t="n">
        <v>45750</v>
      </c>
      <c r="D1504" t="inlineStr">
        <is>
          <t>STOCKHOLMS LÄN</t>
        </is>
      </c>
      <c r="E1504" t="inlineStr">
        <is>
          <t>NORRTÄLJE</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63161-2023</t>
        </is>
      </c>
      <c r="B1505" s="1" t="n">
        <v>45273</v>
      </c>
      <c r="C1505" s="1" t="n">
        <v>45750</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63655-2023</t>
        </is>
      </c>
      <c r="B1506" s="1" t="n">
        <v>45275</v>
      </c>
      <c r="C1506" s="1" t="n">
        <v>45750</v>
      </c>
      <c r="D1506" t="inlineStr">
        <is>
          <t>STOCKHOLMS LÄN</t>
        </is>
      </c>
      <c r="E1506" t="inlineStr">
        <is>
          <t>NORRTÄLJE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64902-2023</t>
        </is>
      </c>
      <c r="B1507" s="1" t="n">
        <v>45282</v>
      </c>
      <c r="C1507" s="1" t="n">
        <v>45750</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64899-2023</t>
        </is>
      </c>
      <c r="B1508" s="1" t="n">
        <v>45282</v>
      </c>
      <c r="C1508" s="1" t="n">
        <v>45750</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9-2024</t>
        </is>
      </c>
      <c r="B1509" s="1" t="n">
        <v>45293</v>
      </c>
      <c r="C1509" s="1" t="n">
        <v>45750</v>
      </c>
      <c r="D1509" t="inlineStr">
        <is>
          <t>STOCKHOLMS LÄN</t>
        </is>
      </c>
      <c r="E1509" t="inlineStr">
        <is>
          <t>NORRTÄLJE</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13-2024</t>
        </is>
      </c>
      <c r="B1510" s="1" t="n">
        <v>45293</v>
      </c>
      <c r="C1510" s="1" t="n">
        <v>45750</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11-2024</t>
        </is>
      </c>
      <c r="B1511" s="1" t="n">
        <v>45293</v>
      </c>
      <c r="C1511" s="1" t="n">
        <v>45750</v>
      </c>
      <c r="D1511" t="inlineStr">
        <is>
          <t>STOCKHOLMS LÄN</t>
        </is>
      </c>
      <c r="E1511" t="inlineStr">
        <is>
          <t>NORRTÄLJE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19-2024</t>
        </is>
      </c>
      <c r="B1512" s="1" t="n">
        <v>45293</v>
      </c>
      <c r="C1512" s="1" t="n">
        <v>45750</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329-2024</t>
        </is>
      </c>
      <c r="B1513" s="1" t="n">
        <v>45295</v>
      </c>
      <c r="C1513" s="1" t="n">
        <v>45750</v>
      </c>
      <c r="D1513" t="inlineStr">
        <is>
          <t>STOCKHOLMS LÄN</t>
        </is>
      </c>
      <c r="E1513" t="inlineStr">
        <is>
          <t>NORRTÄLJE</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498-2024</t>
        </is>
      </c>
      <c r="B1514" s="1" t="n">
        <v>45299</v>
      </c>
      <c r="C1514" s="1" t="n">
        <v>45750</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577-2024</t>
        </is>
      </c>
      <c r="B1515" s="1" t="n">
        <v>45299</v>
      </c>
      <c r="C1515" s="1" t="n">
        <v>45750</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1372-2024</t>
        </is>
      </c>
      <c r="B1516" s="1" t="n">
        <v>45303</v>
      </c>
      <c r="C1516" s="1" t="n">
        <v>45750</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1996-2024</t>
        </is>
      </c>
      <c r="B1517" s="1" t="n">
        <v>45308</v>
      </c>
      <c r="C1517" s="1" t="n">
        <v>45750</v>
      </c>
      <c r="D1517" t="inlineStr">
        <is>
          <t>STOCKHOLMS LÄN</t>
        </is>
      </c>
      <c r="E1517" t="inlineStr">
        <is>
          <t>NORRTÄLJE</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2287-2024</t>
        </is>
      </c>
      <c r="B1518" s="1" t="n">
        <v>45310</v>
      </c>
      <c r="C1518" s="1" t="n">
        <v>45750</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2281-2024</t>
        </is>
      </c>
      <c r="B1519" s="1" t="n">
        <v>45310</v>
      </c>
      <c r="C1519" s="1" t="n">
        <v>45750</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2613-2024</t>
        </is>
      </c>
      <c r="B1520" s="1" t="n">
        <v>45313</v>
      </c>
      <c r="C1520" s="1" t="n">
        <v>45750</v>
      </c>
      <c r="D1520" t="inlineStr">
        <is>
          <t>STOCKHOLMS LÄN</t>
        </is>
      </c>
      <c r="E1520" t="inlineStr">
        <is>
          <t>NORRTÄLJE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2611-2024</t>
        </is>
      </c>
      <c r="B1521" s="1" t="n">
        <v>45313</v>
      </c>
      <c r="C1521" s="1" t="n">
        <v>45750</v>
      </c>
      <c r="D1521" t="inlineStr">
        <is>
          <t>STOCKHOLMS LÄN</t>
        </is>
      </c>
      <c r="E1521" t="inlineStr">
        <is>
          <t>NORRTÄLJE</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3084-2024</t>
        </is>
      </c>
      <c r="B1522" s="1" t="n">
        <v>45316</v>
      </c>
      <c r="C1522" s="1" t="n">
        <v>45750</v>
      </c>
      <c r="D1522" t="inlineStr">
        <is>
          <t>STOCKHOLMS LÄN</t>
        </is>
      </c>
      <c r="E1522" t="inlineStr">
        <is>
          <t>NORRTÄLJE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3152-2024</t>
        </is>
      </c>
      <c r="B1523" s="1" t="n">
        <v>45316</v>
      </c>
      <c r="C1523" s="1" t="n">
        <v>45750</v>
      </c>
      <c r="D1523" t="inlineStr">
        <is>
          <t>STOCKHOLMS LÄN</t>
        </is>
      </c>
      <c r="E1523" t="inlineStr">
        <is>
          <t>NORRTÄLJE</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3381-2024</t>
        </is>
      </c>
      <c r="B1524" s="1" t="n">
        <v>45317</v>
      </c>
      <c r="C1524" s="1" t="n">
        <v>45750</v>
      </c>
      <c r="D1524" t="inlineStr">
        <is>
          <t>STOCKHOLMS LÄN</t>
        </is>
      </c>
      <c r="E1524" t="inlineStr">
        <is>
          <t>NORRTÄLJE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3942-2024</t>
        </is>
      </c>
      <c r="B1525" s="1" t="n">
        <v>45322</v>
      </c>
      <c r="C1525" s="1" t="n">
        <v>45750</v>
      </c>
      <c r="D1525" t="inlineStr">
        <is>
          <t>STOCKHOLMS LÄN</t>
        </is>
      </c>
      <c r="E1525" t="inlineStr">
        <is>
          <t>NORRTÄLJE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3966-2024</t>
        </is>
      </c>
      <c r="B1526" s="1" t="n">
        <v>45322</v>
      </c>
      <c r="C1526" s="1" t="n">
        <v>45750</v>
      </c>
      <c r="D1526" t="inlineStr">
        <is>
          <t>STOCKHOLMS LÄN</t>
        </is>
      </c>
      <c r="E1526" t="inlineStr">
        <is>
          <t>NORRTÄLJE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4051-2024</t>
        </is>
      </c>
      <c r="B1527" s="1" t="n">
        <v>45323</v>
      </c>
      <c r="C1527" s="1" t="n">
        <v>45750</v>
      </c>
      <c r="D1527" t="inlineStr">
        <is>
          <t>STOCKHOLMS LÄN</t>
        </is>
      </c>
      <c r="E1527" t="inlineStr">
        <is>
          <t>NORRTÄLJE</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4542-2024</t>
        </is>
      </c>
      <c r="B1528" s="1" t="n">
        <v>45327</v>
      </c>
      <c r="C1528" s="1" t="n">
        <v>45750</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4658-2024</t>
        </is>
      </c>
      <c r="B1529" s="1" t="n">
        <v>45328</v>
      </c>
      <c r="C1529" s="1" t="n">
        <v>45750</v>
      </c>
      <c r="D1529" t="inlineStr">
        <is>
          <t>STOCKHOLMS LÄN</t>
        </is>
      </c>
      <c r="E1529" t="inlineStr">
        <is>
          <t>NORRTÄLJE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5158-2024</t>
        </is>
      </c>
      <c r="B1530" s="1" t="n">
        <v>45330</v>
      </c>
      <c r="C1530" s="1" t="n">
        <v>45750</v>
      </c>
      <c r="D1530" t="inlineStr">
        <is>
          <t>STOCKHOLMS LÄN</t>
        </is>
      </c>
      <c r="E1530" t="inlineStr">
        <is>
          <t>NORRTÄLJE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5670-2024</t>
        </is>
      </c>
      <c r="B1531" s="1" t="n">
        <v>45334</v>
      </c>
      <c r="C1531" s="1" t="n">
        <v>45750</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5664-2024</t>
        </is>
      </c>
      <c r="B1532" s="1" t="n">
        <v>45334</v>
      </c>
      <c r="C1532" s="1" t="n">
        <v>45750</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5683-2024</t>
        </is>
      </c>
      <c r="B1533" s="1" t="n">
        <v>45334</v>
      </c>
      <c r="C1533" s="1" t="n">
        <v>45750</v>
      </c>
      <c r="D1533" t="inlineStr">
        <is>
          <t>STOCKHOLMS LÄN</t>
        </is>
      </c>
      <c r="E1533" t="inlineStr">
        <is>
          <t>NORRTÄLJE</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5625-2024</t>
        </is>
      </c>
      <c r="B1534" s="1" t="n">
        <v>45334</v>
      </c>
      <c r="C1534" s="1" t="n">
        <v>45750</v>
      </c>
      <c r="D1534" t="inlineStr">
        <is>
          <t>STOCKHOLMS LÄN</t>
        </is>
      </c>
      <c r="E1534" t="inlineStr">
        <is>
          <t>NORRTÄLJE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5862-2024</t>
        </is>
      </c>
      <c r="B1535" s="1" t="n">
        <v>45335</v>
      </c>
      <c r="C1535" s="1" t="n">
        <v>45750</v>
      </c>
      <c r="D1535" t="inlineStr">
        <is>
          <t>STOCKHOLMS LÄN</t>
        </is>
      </c>
      <c r="E1535" t="inlineStr">
        <is>
          <t>NORRTÄLJE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5831-2024</t>
        </is>
      </c>
      <c r="B1536" s="1" t="n">
        <v>45335</v>
      </c>
      <c r="C1536" s="1" t="n">
        <v>45750</v>
      </c>
      <c r="D1536" t="inlineStr">
        <is>
          <t>STOCKHOLMS LÄN</t>
        </is>
      </c>
      <c r="E1536" t="inlineStr">
        <is>
          <t>NORRTÄLJE</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5894-2024</t>
        </is>
      </c>
      <c r="B1537" s="1" t="n">
        <v>45335</v>
      </c>
      <c r="C1537" s="1" t="n">
        <v>45750</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6401-2024</t>
        </is>
      </c>
      <c r="B1538" s="1" t="n">
        <v>45338</v>
      </c>
      <c r="C1538" s="1" t="n">
        <v>45750</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6537-2024</t>
        </is>
      </c>
      <c r="B1539" s="1" t="n">
        <v>45341</v>
      </c>
      <c r="C1539" s="1" t="n">
        <v>45750</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7009-2024</t>
        </is>
      </c>
      <c r="B1540" s="1" t="n">
        <v>45343</v>
      </c>
      <c r="C1540" s="1" t="n">
        <v>45750</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7186-2024</t>
        </is>
      </c>
      <c r="B1541" s="1" t="n">
        <v>45344</v>
      </c>
      <c r="C1541" s="1" t="n">
        <v>45750</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7408-2024</t>
        </is>
      </c>
      <c r="B1542" s="1" t="n">
        <v>45345</v>
      </c>
      <c r="C1542" s="1" t="n">
        <v>45750</v>
      </c>
      <c r="D1542" t="inlineStr">
        <is>
          <t>STOCKHOLMS LÄN</t>
        </is>
      </c>
      <c r="E1542" t="inlineStr">
        <is>
          <t>NORRTÄLJE</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7573-2024</t>
        </is>
      </c>
      <c r="B1543" s="1" t="n">
        <v>45345</v>
      </c>
      <c r="C1543" s="1" t="n">
        <v>45750</v>
      </c>
      <c r="D1543" t="inlineStr">
        <is>
          <t>STOCKHOLMS LÄN</t>
        </is>
      </c>
      <c r="E1543" t="inlineStr">
        <is>
          <t>NORRTÄLJE</t>
        </is>
      </c>
      <c r="F1543" t="inlineStr">
        <is>
          <t>Övriga Aktiebolag</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7425-2024</t>
        </is>
      </c>
      <c r="B1544" s="1" t="n">
        <v>45345</v>
      </c>
      <c r="C1544" s="1" t="n">
        <v>45750</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7413-2024</t>
        </is>
      </c>
      <c r="B1545" s="1" t="n">
        <v>45345</v>
      </c>
      <c r="C1545" s="1" t="n">
        <v>45750</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7385-2024</t>
        </is>
      </c>
      <c r="B1546" s="1" t="n">
        <v>45345</v>
      </c>
      <c r="C1546" s="1" t="n">
        <v>45750</v>
      </c>
      <c r="D1546" t="inlineStr">
        <is>
          <t>STOCKHOLMS LÄN</t>
        </is>
      </c>
      <c r="E1546" t="inlineStr">
        <is>
          <t>NORRTÄLJE</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7329-2024</t>
        </is>
      </c>
      <c r="B1547" s="1" t="n">
        <v>45345</v>
      </c>
      <c r="C1547" s="1" t="n">
        <v>45750</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7483-2024</t>
        </is>
      </c>
      <c r="B1548" s="1" t="n">
        <v>45346</v>
      </c>
      <c r="C1548" s="1" t="n">
        <v>45750</v>
      </c>
      <c r="D1548" t="inlineStr">
        <is>
          <t>STOCKHOLMS LÄN</t>
        </is>
      </c>
      <c r="E1548" t="inlineStr">
        <is>
          <t>NORRTÄLJE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7571-2024</t>
        </is>
      </c>
      <c r="B1549" s="1" t="n">
        <v>45348</v>
      </c>
      <c r="C1549" s="1" t="n">
        <v>45750</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8270-2024</t>
        </is>
      </c>
      <c r="B1550" s="1" t="n">
        <v>45352</v>
      </c>
      <c r="C1550" s="1" t="n">
        <v>45750</v>
      </c>
      <c r="D1550" t="inlineStr">
        <is>
          <t>STOCKHOLMS LÄN</t>
        </is>
      </c>
      <c r="E1550" t="inlineStr">
        <is>
          <t>NORRTÄLJE</t>
        </is>
      </c>
      <c r="F1550" t="inlineStr">
        <is>
          <t>Kyrkan</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8399-2024</t>
        </is>
      </c>
      <c r="B1551" s="1" t="n">
        <v>45352</v>
      </c>
      <c r="C1551" s="1" t="n">
        <v>45750</v>
      </c>
      <c r="D1551" t="inlineStr">
        <is>
          <t>STOCKHOLMS LÄN</t>
        </is>
      </c>
      <c r="E1551" t="inlineStr">
        <is>
          <t>NORRTÄLJE</t>
        </is>
      </c>
      <c r="G1551" t="n">
        <v>11.4</v>
      </c>
      <c r="H1551" t="n">
        <v>0</v>
      </c>
      <c r="I1551" t="n">
        <v>0</v>
      </c>
      <c r="J1551" t="n">
        <v>0</v>
      </c>
      <c r="K1551" t="n">
        <v>0</v>
      </c>
      <c r="L1551" t="n">
        <v>0</v>
      </c>
      <c r="M1551" t="n">
        <v>0</v>
      </c>
      <c r="N1551" t="n">
        <v>0</v>
      </c>
      <c r="O1551" t="n">
        <v>0</v>
      </c>
      <c r="P1551" t="n">
        <v>0</v>
      </c>
      <c r="Q1551" t="n">
        <v>0</v>
      </c>
      <c r="R1551" s="2" t="inlineStr"/>
    </row>
    <row r="1552" ht="15" customHeight="1">
      <c r="A1552" t="inlineStr">
        <is>
          <t>A 8365-2024</t>
        </is>
      </c>
      <c r="B1552" s="1" t="n">
        <v>45352</v>
      </c>
      <c r="C1552" s="1" t="n">
        <v>45750</v>
      </c>
      <c r="D1552" t="inlineStr">
        <is>
          <t>STOCKHOLMS LÄN</t>
        </is>
      </c>
      <c r="E1552" t="inlineStr">
        <is>
          <t>NORRTÄLJE</t>
        </is>
      </c>
      <c r="F1552" t="inlineStr">
        <is>
          <t>Naturvårdsverket</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8400-2024</t>
        </is>
      </c>
      <c r="B1553" s="1" t="n">
        <v>45352</v>
      </c>
      <c r="C1553" s="1" t="n">
        <v>45750</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8401-2024</t>
        </is>
      </c>
      <c r="B1554" s="1" t="n">
        <v>45352</v>
      </c>
      <c r="C1554" s="1" t="n">
        <v>45750</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8739-2024</t>
        </is>
      </c>
      <c r="B1555" s="1" t="n">
        <v>45356</v>
      </c>
      <c r="C1555" s="1" t="n">
        <v>45750</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8736-2024</t>
        </is>
      </c>
      <c r="B1556" s="1" t="n">
        <v>45356</v>
      </c>
      <c r="C1556" s="1" t="n">
        <v>45750</v>
      </c>
      <c r="D1556" t="inlineStr">
        <is>
          <t>STOCKHOLMS LÄN</t>
        </is>
      </c>
      <c r="E1556" t="inlineStr">
        <is>
          <t>NORRTÄLJE</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9246-2024</t>
        </is>
      </c>
      <c r="B1557" s="1" t="n">
        <v>45357</v>
      </c>
      <c r="C1557" s="1" t="n">
        <v>45750</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9300-2024</t>
        </is>
      </c>
      <c r="B1558" s="1" t="n">
        <v>45358</v>
      </c>
      <c r="C1558" s="1" t="n">
        <v>45750</v>
      </c>
      <c r="D1558" t="inlineStr">
        <is>
          <t>STOCKHOLMS LÄN</t>
        </is>
      </c>
      <c r="E1558" t="inlineStr">
        <is>
          <t>NORRTÄLJE</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9297-2024</t>
        </is>
      </c>
      <c r="B1559" s="1" t="n">
        <v>45358</v>
      </c>
      <c r="C1559" s="1" t="n">
        <v>45750</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9301-2024</t>
        </is>
      </c>
      <c r="B1560" s="1" t="n">
        <v>45358</v>
      </c>
      <c r="C1560" s="1" t="n">
        <v>45750</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9305-2024</t>
        </is>
      </c>
      <c r="B1561" s="1" t="n">
        <v>45358</v>
      </c>
      <c r="C1561" s="1" t="n">
        <v>45750</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9765-2024</t>
        </is>
      </c>
      <c r="B1562" s="1" t="n">
        <v>45362</v>
      </c>
      <c r="C1562" s="1" t="n">
        <v>45750</v>
      </c>
      <c r="D1562" t="inlineStr">
        <is>
          <t>STOCKHOLMS LÄN</t>
        </is>
      </c>
      <c r="E1562" t="inlineStr">
        <is>
          <t>NORRTÄLJE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9959-2024</t>
        </is>
      </c>
      <c r="B1563" s="1" t="n">
        <v>45363</v>
      </c>
      <c r="C1563" s="1" t="n">
        <v>45750</v>
      </c>
      <c r="D1563" t="inlineStr">
        <is>
          <t>STOCKHOLMS LÄN</t>
        </is>
      </c>
      <c r="E1563" t="inlineStr">
        <is>
          <t>NORRTÄLJE</t>
        </is>
      </c>
      <c r="F1563" t="inlineStr">
        <is>
          <t>Naturvårdsverket</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10258-2024</t>
        </is>
      </c>
      <c r="B1564" s="1" t="n">
        <v>45365</v>
      </c>
      <c r="C1564" s="1" t="n">
        <v>45750</v>
      </c>
      <c r="D1564" t="inlineStr">
        <is>
          <t>STOCKHOLMS LÄN</t>
        </is>
      </c>
      <c r="E1564" t="inlineStr">
        <is>
          <t>NORRTÄLJE</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10279-2024</t>
        </is>
      </c>
      <c r="B1565" s="1" t="n">
        <v>45365</v>
      </c>
      <c r="C1565" s="1" t="n">
        <v>45750</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10643-2024</t>
        </is>
      </c>
      <c r="B1566" s="1" t="n">
        <v>45367</v>
      </c>
      <c r="C1566" s="1" t="n">
        <v>45750</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10840-2024</t>
        </is>
      </c>
      <c r="B1567" s="1" t="n">
        <v>45369</v>
      </c>
      <c r="C1567" s="1" t="n">
        <v>45750</v>
      </c>
      <c r="D1567" t="inlineStr">
        <is>
          <t>STOCKHOLMS LÄN</t>
        </is>
      </c>
      <c r="E1567" t="inlineStr">
        <is>
          <t>NORRTÄLJE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10810-2024</t>
        </is>
      </c>
      <c r="B1568" s="1" t="n">
        <v>45369</v>
      </c>
      <c r="C1568" s="1" t="n">
        <v>45750</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10930-2024</t>
        </is>
      </c>
      <c r="B1569" s="1" t="n">
        <v>45370</v>
      </c>
      <c r="C1569" s="1" t="n">
        <v>45750</v>
      </c>
      <c r="D1569" t="inlineStr">
        <is>
          <t>STOCKHOLMS LÄN</t>
        </is>
      </c>
      <c r="E1569" t="inlineStr">
        <is>
          <t>NORRTÄLJE</t>
        </is>
      </c>
      <c r="G1569" t="n">
        <v>8.699999999999999</v>
      </c>
      <c r="H1569" t="n">
        <v>0</v>
      </c>
      <c r="I1569" t="n">
        <v>0</v>
      </c>
      <c r="J1569" t="n">
        <v>0</v>
      </c>
      <c r="K1569" t="n">
        <v>0</v>
      </c>
      <c r="L1569" t="n">
        <v>0</v>
      </c>
      <c r="M1569" t="n">
        <v>0</v>
      </c>
      <c r="N1569" t="n">
        <v>0</v>
      </c>
      <c r="O1569" t="n">
        <v>0</v>
      </c>
      <c r="P1569" t="n">
        <v>0</v>
      </c>
      <c r="Q1569" t="n">
        <v>0</v>
      </c>
      <c r="R1569" s="2" t="inlineStr"/>
      <c r="U1569">
        <f>HYPERLINK("https://klasma.github.io/Logging_0188/knärot/A 10930-2024 karta knärot.png", "A 10930-2024")</f>
        <v/>
      </c>
      <c r="V1569">
        <f>HYPERLINK("https://klasma.github.io/Logging_0188/klagomål/A 10930-2024 FSC-klagomål.docx", "A 10930-2024")</f>
        <v/>
      </c>
      <c r="W1569">
        <f>HYPERLINK("https://klasma.github.io/Logging_0188/klagomålsmail/A 10930-2024 FSC-klagomål mail.docx", "A 10930-2024")</f>
        <v/>
      </c>
      <c r="X1569">
        <f>HYPERLINK("https://klasma.github.io/Logging_0188/tillsyn/A 10930-2024 tillsynsbegäran.docx", "A 10930-2024")</f>
        <v/>
      </c>
      <c r="Y1569">
        <f>HYPERLINK("https://klasma.github.io/Logging_0188/tillsynsmail/A 10930-2024 tillsynsbegäran mail.docx", "A 10930-2024")</f>
        <v/>
      </c>
    </row>
    <row r="1570" ht="15" customHeight="1">
      <c r="A1570" t="inlineStr">
        <is>
          <t>A 11062-2024</t>
        </is>
      </c>
      <c r="B1570" s="1" t="n">
        <v>45370</v>
      </c>
      <c r="C1570" s="1" t="n">
        <v>45750</v>
      </c>
      <c r="D1570" t="inlineStr">
        <is>
          <t>STOCKHOLMS LÄN</t>
        </is>
      </c>
      <c r="E1570" t="inlineStr">
        <is>
          <t>NORRTÄLJE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10968-2024</t>
        </is>
      </c>
      <c r="B1571" s="1" t="n">
        <v>45370</v>
      </c>
      <c r="C1571" s="1" t="n">
        <v>45750</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11902-2024</t>
        </is>
      </c>
      <c r="B1572" s="1" t="n">
        <v>45376</v>
      </c>
      <c r="C1572" s="1" t="n">
        <v>45750</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11926-2024</t>
        </is>
      </c>
      <c r="B1573" s="1" t="n">
        <v>45376</v>
      </c>
      <c r="C1573" s="1" t="n">
        <v>45750</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11896-2024</t>
        </is>
      </c>
      <c r="B1574" s="1" t="n">
        <v>45376</v>
      </c>
      <c r="C1574" s="1" t="n">
        <v>45750</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11900-2024</t>
        </is>
      </c>
      <c r="B1575" s="1" t="n">
        <v>45376</v>
      </c>
      <c r="C1575" s="1" t="n">
        <v>45750</v>
      </c>
      <c r="D1575" t="inlineStr">
        <is>
          <t>STOCKHOLMS LÄN</t>
        </is>
      </c>
      <c r="E1575" t="inlineStr">
        <is>
          <t>NORRTÄLJE</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11924-2024</t>
        </is>
      </c>
      <c r="B1576" s="1" t="n">
        <v>45376</v>
      </c>
      <c r="C1576" s="1" t="n">
        <v>45750</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11893-2024</t>
        </is>
      </c>
      <c r="B1577" s="1" t="n">
        <v>45376</v>
      </c>
      <c r="C1577" s="1" t="n">
        <v>45750</v>
      </c>
      <c r="D1577" t="inlineStr">
        <is>
          <t>STOCKHOLMS LÄN</t>
        </is>
      </c>
      <c r="E1577" t="inlineStr">
        <is>
          <t>NORRTÄLJE</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11901-2024</t>
        </is>
      </c>
      <c r="B1578" s="1" t="n">
        <v>45376</v>
      </c>
      <c r="C1578" s="1" t="n">
        <v>45750</v>
      </c>
      <c r="D1578" t="inlineStr">
        <is>
          <t>STOCKHOLMS LÄN</t>
        </is>
      </c>
      <c r="E1578" t="inlineStr">
        <is>
          <t>NORRTÄLJE</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11929-2024</t>
        </is>
      </c>
      <c r="B1579" s="1" t="n">
        <v>45376</v>
      </c>
      <c r="C1579" s="1" t="n">
        <v>45750</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11996-2024</t>
        </is>
      </c>
      <c r="B1580" s="1" t="n">
        <v>45376</v>
      </c>
      <c r="C1580" s="1" t="n">
        <v>45750</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11997-2024</t>
        </is>
      </c>
      <c r="B1581" s="1" t="n">
        <v>45377</v>
      </c>
      <c r="C1581" s="1" t="n">
        <v>45750</v>
      </c>
      <c r="D1581" t="inlineStr">
        <is>
          <t>STOCKHOLMS LÄN</t>
        </is>
      </c>
      <c r="E1581" t="inlineStr">
        <is>
          <t>NORRTÄLJE</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12135-2024</t>
        </is>
      </c>
      <c r="B1582" s="1" t="n">
        <v>45377</v>
      </c>
      <c r="C1582" s="1" t="n">
        <v>45750</v>
      </c>
      <c r="D1582" t="inlineStr">
        <is>
          <t>STOCKHOLMS LÄN</t>
        </is>
      </c>
      <c r="E1582" t="inlineStr">
        <is>
          <t>NORRTÄLJE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12022-2024</t>
        </is>
      </c>
      <c r="B1583" s="1" t="n">
        <v>45377</v>
      </c>
      <c r="C1583" s="1" t="n">
        <v>45750</v>
      </c>
      <c r="D1583" t="inlineStr">
        <is>
          <t>STOCKHOLMS LÄN</t>
        </is>
      </c>
      <c r="E1583" t="inlineStr">
        <is>
          <t>NORRTÄLJE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12323-2024</t>
        </is>
      </c>
      <c r="B1584" s="1" t="n">
        <v>45378</v>
      </c>
      <c r="C1584" s="1" t="n">
        <v>45750</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12470-2024</t>
        </is>
      </c>
      <c r="B1585" s="1" t="n">
        <v>45379</v>
      </c>
      <c r="C1585" s="1" t="n">
        <v>45750</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12560-2024</t>
        </is>
      </c>
      <c r="B1586" s="1" t="n">
        <v>45379</v>
      </c>
      <c r="C1586" s="1" t="n">
        <v>45750</v>
      </c>
      <c r="D1586" t="inlineStr">
        <is>
          <t>STOCKHOLMS LÄN</t>
        </is>
      </c>
      <c r="E1586" t="inlineStr">
        <is>
          <t>NORRTÄLJE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12629-2024</t>
        </is>
      </c>
      <c r="B1587" s="1" t="n">
        <v>45383</v>
      </c>
      <c r="C1587" s="1" t="n">
        <v>45750</v>
      </c>
      <c r="D1587" t="inlineStr">
        <is>
          <t>STOCKHOLMS LÄN</t>
        </is>
      </c>
      <c r="E1587" t="inlineStr">
        <is>
          <t>NORRTÄLJE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12896-2024</t>
        </is>
      </c>
      <c r="B1588" s="1" t="n">
        <v>45385</v>
      </c>
      <c r="C1588" s="1" t="n">
        <v>45750</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12904-2024</t>
        </is>
      </c>
      <c r="B1589" s="1" t="n">
        <v>45385</v>
      </c>
      <c r="C1589" s="1" t="n">
        <v>45750</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12901-2024</t>
        </is>
      </c>
      <c r="B1590" s="1" t="n">
        <v>45385</v>
      </c>
      <c r="C1590" s="1" t="n">
        <v>45750</v>
      </c>
      <c r="D1590" t="inlineStr">
        <is>
          <t>STOCKHOLMS LÄN</t>
        </is>
      </c>
      <c r="E1590" t="inlineStr">
        <is>
          <t>NORRTÄLJE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12890-2024</t>
        </is>
      </c>
      <c r="B1591" s="1" t="n">
        <v>45385</v>
      </c>
      <c r="C1591" s="1" t="n">
        <v>45750</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12902-2024</t>
        </is>
      </c>
      <c r="B1592" s="1" t="n">
        <v>45385</v>
      </c>
      <c r="C1592" s="1" t="n">
        <v>45750</v>
      </c>
      <c r="D1592" t="inlineStr">
        <is>
          <t>STOCKHOLMS LÄN</t>
        </is>
      </c>
      <c r="E1592" t="inlineStr">
        <is>
          <t>NORRTÄLJE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13115-2024</t>
        </is>
      </c>
      <c r="B1593" s="1" t="n">
        <v>45385</v>
      </c>
      <c r="C1593" s="1" t="n">
        <v>45750</v>
      </c>
      <c r="D1593" t="inlineStr">
        <is>
          <t>STOCKHOLMS LÄN</t>
        </is>
      </c>
      <c r="E1593" t="inlineStr">
        <is>
          <t>NORRTÄLJE</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13137-2024</t>
        </is>
      </c>
      <c r="B1594" s="1" t="n">
        <v>45386</v>
      </c>
      <c r="C1594" s="1" t="n">
        <v>45750</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13241-2024</t>
        </is>
      </c>
      <c r="B1595" s="1" t="n">
        <v>45386</v>
      </c>
      <c r="C1595" s="1" t="n">
        <v>45750</v>
      </c>
      <c r="D1595" t="inlineStr">
        <is>
          <t>STOCKHOLMS LÄN</t>
        </is>
      </c>
      <c r="E1595" t="inlineStr">
        <is>
          <t>NORRTÄLJE</t>
        </is>
      </c>
      <c r="G1595" t="n">
        <v>10.1</v>
      </c>
      <c r="H1595" t="n">
        <v>0</v>
      </c>
      <c r="I1595" t="n">
        <v>0</v>
      </c>
      <c r="J1595" t="n">
        <v>0</v>
      </c>
      <c r="K1595" t="n">
        <v>0</v>
      </c>
      <c r="L1595" t="n">
        <v>0</v>
      </c>
      <c r="M1595" t="n">
        <v>0</v>
      </c>
      <c r="N1595" t="n">
        <v>0</v>
      </c>
      <c r="O1595" t="n">
        <v>0</v>
      </c>
      <c r="P1595" t="n">
        <v>0</v>
      </c>
      <c r="Q1595" t="n">
        <v>0</v>
      </c>
      <c r="R1595" s="2" t="inlineStr"/>
    </row>
    <row r="1596" ht="15" customHeight="1">
      <c r="A1596" t="inlineStr">
        <is>
          <t>A 13391-2024</t>
        </is>
      </c>
      <c r="B1596" s="1" t="n">
        <v>45387</v>
      </c>
      <c r="C1596" s="1" t="n">
        <v>45750</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13785-2024</t>
        </is>
      </c>
      <c r="B1597" s="1" t="n">
        <v>45391</v>
      </c>
      <c r="C1597" s="1" t="n">
        <v>45750</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14530-2024</t>
        </is>
      </c>
      <c r="B1598" s="1" t="n">
        <v>45394</v>
      </c>
      <c r="C1598" s="1" t="n">
        <v>45750</v>
      </c>
      <c r="D1598" t="inlineStr">
        <is>
          <t>STOCKHOLMS LÄN</t>
        </is>
      </c>
      <c r="E1598" t="inlineStr">
        <is>
          <t>NORRTÄLJE</t>
        </is>
      </c>
      <c r="F1598" t="inlineStr">
        <is>
          <t>Kyrkan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14498-2024</t>
        </is>
      </c>
      <c r="B1599" s="1" t="n">
        <v>45394</v>
      </c>
      <c r="C1599" s="1" t="n">
        <v>45750</v>
      </c>
      <c r="D1599" t="inlineStr">
        <is>
          <t>STOCKHOLMS LÄN</t>
        </is>
      </c>
      <c r="E1599" t="inlineStr">
        <is>
          <t>NORRTÄLJE</t>
        </is>
      </c>
      <c r="F1599" t="inlineStr">
        <is>
          <t>Kyrkan</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14559-2024</t>
        </is>
      </c>
      <c r="B1600" s="1" t="n">
        <v>45394</v>
      </c>
      <c r="C1600" s="1" t="n">
        <v>45750</v>
      </c>
      <c r="D1600" t="inlineStr">
        <is>
          <t>STOCKHOLMS LÄN</t>
        </is>
      </c>
      <c r="E1600" t="inlineStr">
        <is>
          <t>NORRTÄLJE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14751-2024</t>
        </is>
      </c>
      <c r="B1601" s="1" t="n">
        <v>45397</v>
      </c>
      <c r="C1601" s="1" t="n">
        <v>45750</v>
      </c>
      <c r="D1601" t="inlineStr">
        <is>
          <t>STOCKHOLMS LÄN</t>
        </is>
      </c>
      <c r="E1601" t="inlineStr">
        <is>
          <t>NORRTÄLJE</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14762-2024</t>
        </is>
      </c>
      <c r="B1602" s="1" t="n">
        <v>45397</v>
      </c>
      <c r="C1602" s="1" t="n">
        <v>45750</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15347-2024</t>
        </is>
      </c>
      <c r="B1603" s="1" t="n">
        <v>45400</v>
      </c>
      <c r="C1603" s="1" t="n">
        <v>45750</v>
      </c>
      <c r="D1603" t="inlineStr">
        <is>
          <t>STOCKHOLMS LÄN</t>
        </is>
      </c>
      <c r="E1603" t="inlineStr">
        <is>
          <t>NORRTÄLJE</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15317-2024</t>
        </is>
      </c>
      <c r="B1604" s="1" t="n">
        <v>45400</v>
      </c>
      <c r="C1604" s="1" t="n">
        <v>45750</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15429-2024</t>
        </is>
      </c>
      <c r="B1605" s="1" t="n">
        <v>45401</v>
      </c>
      <c r="C1605" s="1" t="n">
        <v>45750</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15422-2024</t>
        </is>
      </c>
      <c r="B1606" s="1" t="n">
        <v>45401</v>
      </c>
      <c r="C1606" s="1" t="n">
        <v>45750</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15470-2024</t>
        </is>
      </c>
      <c r="B1607" s="1" t="n">
        <v>45401</v>
      </c>
      <c r="C1607" s="1" t="n">
        <v>45750</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15428-2024</t>
        </is>
      </c>
      <c r="B1608" s="1" t="n">
        <v>45401</v>
      </c>
      <c r="C1608" s="1" t="n">
        <v>45750</v>
      </c>
      <c r="D1608" t="inlineStr">
        <is>
          <t>STOCKHOLMS LÄN</t>
        </is>
      </c>
      <c r="E1608" t="inlineStr">
        <is>
          <t>NORRTÄLJE</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15415-2024</t>
        </is>
      </c>
      <c r="B1609" s="1" t="n">
        <v>45401</v>
      </c>
      <c r="C1609" s="1" t="n">
        <v>45750</v>
      </c>
      <c r="D1609" t="inlineStr">
        <is>
          <t>STOCKHOLMS LÄN</t>
        </is>
      </c>
      <c r="E1609" t="inlineStr">
        <is>
          <t>NORRTÄLJE</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15956-2024</t>
        </is>
      </c>
      <c r="B1610" s="1" t="n">
        <v>45405</v>
      </c>
      <c r="C1610" s="1" t="n">
        <v>45750</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15978-2024</t>
        </is>
      </c>
      <c r="B1611" s="1" t="n">
        <v>45405</v>
      </c>
      <c r="C1611" s="1" t="n">
        <v>45750</v>
      </c>
      <c r="D1611" t="inlineStr">
        <is>
          <t>STOCKHOLMS LÄN</t>
        </is>
      </c>
      <c r="E1611" t="inlineStr">
        <is>
          <t>NORRTÄLJE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16072-2024</t>
        </is>
      </c>
      <c r="B1612" s="1" t="n">
        <v>45406</v>
      </c>
      <c r="C1612" s="1" t="n">
        <v>45750</v>
      </c>
      <c r="D1612" t="inlineStr">
        <is>
          <t>STOCKHOLMS LÄN</t>
        </is>
      </c>
      <c r="E1612" t="inlineStr">
        <is>
          <t>NORRTÄLJE</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16071-2024</t>
        </is>
      </c>
      <c r="B1613" s="1" t="n">
        <v>45406</v>
      </c>
      <c r="C1613" s="1" t="n">
        <v>45750</v>
      </c>
      <c r="D1613" t="inlineStr">
        <is>
          <t>STOCKHOLMS LÄN</t>
        </is>
      </c>
      <c r="E1613" t="inlineStr">
        <is>
          <t>NORRTÄLJE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16075-2024</t>
        </is>
      </c>
      <c r="B1614" s="1" t="n">
        <v>45406</v>
      </c>
      <c r="C1614" s="1" t="n">
        <v>45750</v>
      </c>
      <c r="D1614" t="inlineStr">
        <is>
          <t>STOCKHOLMS LÄN</t>
        </is>
      </c>
      <c r="E1614" t="inlineStr">
        <is>
          <t>NORRTÄLJE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16620-2024</t>
        </is>
      </c>
      <c r="B1615" s="1" t="n">
        <v>45408</v>
      </c>
      <c r="C1615" s="1" t="n">
        <v>45750</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16852-2024</t>
        </is>
      </c>
      <c r="B1616" s="1" t="n">
        <v>45411</v>
      </c>
      <c r="C1616" s="1" t="n">
        <v>45750</v>
      </c>
      <c r="D1616" t="inlineStr">
        <is>
          <t>STOCKHOLMS LÄN</t>
        </is>
      </c>
      <c r="E1616" t="inlineStr">
        <is>
          <t>NORRTÄLJE</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17013-2024</t>
        </is>
      </c>
      <c r="B1617" s="1" t="n">
        <v>45412</v>
      </c>
      <c r="C1617" s="1" t="n">
        <v>45750</v>
      </c>
      <c r="D1617" t="inlineStr">
        <is>
          <t>STOCKHOLMS LÄN</t>
        </is>
      </c>
      <c r="E1617" t="inlineStr">
        <is>
          <t>NORRTÄLJE</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17039-2024</t>
        </is>
      </c>
      <c r="B1618" s="1" t="n">
        <v>45412</v>
      </c>
      <c r="C1618" s="1" t="n">
        <v>45750</v>
      </c>
      <c r="D1618" t="inlineStr">
        <is>
          <t>STOCKHOLMS LÄN</t>
        </is>
      </c>
      <c r="E1618" t="inlineStr">
        <is>
          <t>NORRTÄLJE</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17348-2024</t>
        </is>
      </c>
      <c r="B1619" s="1" t="n">
        <v>45414</v>
      </c>
      <c r="C1619" s="1" t="n">
        <v>45750</v>
      </c>
      <c r="D1619" t="inlineStr">
        <is>
          <t>STOCKHOLMS LÄN</t>
        </is>
      </c>
      <c r="E1619" t="inlineStr">
        <is>
          <t>NORRTÄLJE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17304-2024</t>
        </is>
      </c>
      <c r="B1620" s="1" t="n">
        <v>45414</v>
      </c>
      <c r="C1620" s="1" t="n">
        <v>45750</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17354-2024</t>
        </is>
      </c>
      <c r="B1621" s="1" t="n">
        <v>45414</v>
      </c>
      <c r="C1621" s="1" t="n">
        <v>45750</v>
      </c>
      <c r="D1621" t="inlineStr">
        <is>
          <t>STOCKHOLMS LÄN</t>
        </is>
      </c>
      <c r="E1621" t="inlineStr">
        <is>
          <t>NORRTÄLJE</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17385-2024</t>
        </is>
      </c>
      <c r="B1622" s="1" t="n">
        <v>45414</v>
      </c>
      <c r="C1622" s="1" t="n">
        <v>45750</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17382-2024</t>
        </is>
      </c>
      <c r="B1623" s="1" t="n">
        <v>45414</v>
      </c>
      <c r="C1623" s="1" t="n">
        <v>45750</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17397-2024</t>
        </is>
      </c>
      <c r="B1624" s="1" t="n">
        <v>45414</v>
      </c>
      <c r="C1624" s="1" t="n">
        <v>45750</v>
      </c>
      <c r="D1624" t="inlineStr">
        <is>
          <t>STOCKHOLMS LÄN</t>
        </is>
      </c>
      <c r="E1624" t="inlineStr">
        <is>
          <t>NORRTÄLJE</t>
        </is>
      </c>
      <c r="F1624" t="inlineStr">
        <is>
          <t>Holmen skog AB</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17554-2024</t>
        </is>
      </c>
      <c r="B1625" s="1" t="n">
        <v>45415</v>
      </c>
      <c r="C1625" s="1" t="n">
        <v>45750</v>
      </c>
      <c r="D1625" t="inlineStr">
        <is>
          <t>STOCKHOLMS LÄN</t>
        </is>
      </c>
      <c r="E1625" t="inlineStr">
        <is>
          <t>NORRTÄLJE</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17775-2024</t>
        </is>
      </c>
      <c r="B1626" s="1" t="n">
        <v>45418</v>
      </c>
      <c r="C1626" s="1" t="n">
        <v>45750</v>
      </c>
      <c r="D1626" t="inlineStr">
        <is>
          <t>STOCKHOLMS LÄN</t>
        </is>
      </c>
      <c r="E1626" t="inlineStr">
        <is>
          <t>NORRTÄLJE</t>
        </is>
      </c>
      <c r="F1626" t="inlineStr">
        <is>
          <t>Holmen skog AB</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17785-2024</t>
        </is>
      </c>
      <c r="B1627" s="1" t="n">
        <v>45418</v>
      </c>
      <c r="C1627" s="1" t="n">
        <v>45750</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17843-2024</t>
        </is>
      </c>
      <c r="B1628" s="1" t="n">
        <v>45418</v>
      </c>
      <c r="C1628" s="1" t="n">
        <v>45750</v>
      </c>
      <c r="D1628" t="inlineStr">
        <is>
          <t>STOCKHOLMS LÄN</t>
        </is>
      </c>
      <c r="E1628" t="inlineStr">
        <is>
          <t>NORRTÄLJE</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18331-2024</t>
        </is>
      </c>
      <c r="B1629" s="1" t="n">
        <v>45422</v>
      </c>
      <c r="C1629" s="1" t="n">
        <v>45750</v>
      </c>
      <c r="D1629" t="inlineStr">
        <is>
          <t>STOCKHOLMS LÄN</t>
        </is>
      </c>
      <c r="E1629" t="inlineStr">
        <is>
          <t>NORRTÄLJE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18285-2024</t>
        </is>
      </c>
      <c r="B1630" s="1" t="n">
        <v>45422</v>
      </c>
      <c r="C1630" s="1" t="n">
        <v>45750</v>
      </c>
      <c r="D1630" t="inlineStr">
        <is>
          <t>STOCKHOLMS LÄN</t>
        </is>
      </c>
      <c r="E1630" t="inlineStr">
        <is>
          <t>NORRTÄLJE</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18287-2024</t>
        </is>
      </c>
      <c r="B1631" s="1" t="n">
        <v>45422</v>
      </c>
      <c r="C1631" s="1" t="n">
        <v>45750</v>
      </c>
      <c r="D1631" t="inlineStr">
        <is>
          <t>STOCKHOLMS LÄN</t>
        </is>
      </c>
      <c r="E1631" t="inlineStr">
        <is>
          <t>NORRTÄLJE</t>
        </is>
      </c>
      <c r="F1631" t="inlineStr">
        <is>
          <t>Sveaskog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19058-2024</t>
        </is>
      </c>
      <c r="B1632" s="1" t="n">
        <v>45427</v>
      </c>
      <c r="C1632" s="1" t="n">
        <v>45750</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19057-2024</t>
        </is>
      </c>
      <c r="B1633" s="1" t="n">
        <v>45427</v>
      </c>
      <c r="C1633" s="1" t="n">
        <v>45750</v>
      </c>
      <c r="D1633" t="inlineStr">
        <is>
          <t>STOCKHOLMS LÄN</t>
        </is>
      </c>
      <c r="E1633" t="inlineStr">
        <is>
          <t>NORRTÄLJE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19150-2024</t>
        </is>
      </c>
      <c r="B1634" s="1" t="n">
        <v>45428</v>
      </c>
      <c r="C1634" s="1" t="n">
        <v>45750</v>
      </c>
      <c r="D1634" t="inlineStr">
        <is>
          <t>STOCKHOLMS LÄN</t>
        </is>
      </c>
      <c r="E1634" t="inlineStr">
        <is>
          <t>NORRTÄLJE</t>
        </is>
      </c>
      <c r="F1634" t="inlineStr">
        <is>
          <t>Holmen skog AB</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19915-2024</t>
        </is>
      </c>
      <c r="B1635" s="1" t="n">
        <v>45433</v>
      </c>
      <c r="C1635" s="1" t="n">
        <v>45750</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19919-2024</t>
        </is>
      </c>
      <c r="B1636" s="1" t="n">
        <v>45433</v>
      </c>
      <c r="C1636" s="1" t="n">
        <v>45750</v>
      </c>
      <c r="D1636" t="inlineStr">
        <is>
          <t>STOCKHOLMS LÄN</t>
        </is>
      </c>
      <c r="E1636" t="inlineStr">
        <is>
          <t>NORRTÄLJE</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20336-2024</t>
        </is>
      </c>
      <c r="B1637" s="1" t="n">
        <v>45435</v>
      </c>
      <c r="C1637" s="1" t="n">
        <v>45750</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20345-2024</t>
        </is>
      </c>
      <c r="B1638" s="1" t="n">
        <v>45435</v>
      </c>
      <c r="C1638" s="1" t="n">
        <v>45750</v>
      </c>
      <c r="D1638" t="inlineStr">
        <is>
          <t>STOCKHOLMS LÄN</t>
        </is>
      </c>
      <c r="E1638" t="inlineStr">
        <is>
          <t>NORRTÄLJE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20343-2024</t>
        </is>
      </c>
      <c r="B1639" s="1" t="n">
        <v>45435</v>
      </c>
      <c r="C1639" s="1" t="n">
        <v>45750</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20393-2024</t>
        </is>
      </c>
      <c r="B1640" s="1" t="n">
        <v>45435</v>
      </c>
      <c r="C1640" s="1" t="n">
        <v>45750</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20445-2024</t>
        </is>
      </c>
      <c r="B1641" s="1" t="n">
        <v>45435</v>
      </c>
      <c r="C1641" s="1" t="n">
        <v>45750</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20428-2024</t>
        </is>
      </c>
      <c r="B1642" s="1" t="n">
        <v>45435</v>
      </c>
      <c r="C1642" s="1" t="n">
        <v>45750</v>
      </c>
      <c r="D1642" t="inlineStr">
        <is>
          <t>STOCKHOLMS LÄN</t>
        </is>
      </c>
      <c r="E1642" t="inlineStr">
        <is>
          <t>NORRTÄLJE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20460-2024</t>
        </is>
      </c>
      <c r="B1643" s="1" t="n">
        <v>45435</v>
      </c>
      <c r="C1643" s="1" t="n">
        <v>45750</v>
      </c>
      <c r="D1643" t="inlineStr">
        <is>
          <t>STOCKHOLMS LÄN</t>
        </is>
      </c>
      <c r="E1643" t="inlineStr">
        <is>
          <t>NORRTÄLJE</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20464-2024</t>
        </is>
      </c>
      <c r="B1644" s="1" t="n">
        <v>45435</v>
      </c>
      <c r="C1644" s="1" t="n">
        <v>45750</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20431-2024</t>
        </is>
      </c>
      <c r="B1645" s="1" t="n">
        <v>45435</v>
      </c>
      <c r="C1645" s="1" t="n">
        <v>45750</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20680-2024</t>
        </is>
      </c>
      <c r="B1646" s="1" t="n">
        <v>45436</v>
      </c>
      <c r="C1646" s="1" t="n">
        <v>45750</v>
      </c>
      <c r="D1646" t="inlineStr">
        <is>
          <t>STOCKHOLMS LÄN</t>
        </is>
      </c>
      <c r="E1646" t="inlineStr">
        <is>
          <t>NORRTÄLJE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20698-2024</t>
        </is>
      </c>
      <c r="B1647" s="1" t="n">
        <v>45436</v>
      </c>
      <c r="C1647" s="1" t="n">
        <v>45750</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20730-2024</t>
        </is>
      </c>
      <c r="B1648" s="1" t="n">
        <v>45436</v>
      </c>
      <c r="C1648" s="1" t="n">
        <v>45750</v>
      </c>
      <c r="D1648" t="inlineStr">
        <is>
          <t>STOCKHOLMS LÄN</t>
        </is>
      </c>
      <c r="E1648" t="inlineStr">
        <is>
          <t>NORRTÄLJE</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20825-2024</t>
        </is>
      </c>
      <c r="B1649" s="1" t="n">
        <v>45439</v>
      </c>
      <c r="C1649" s="1" t="n">
        <v>45750</v>
      </c>
      <c r="D1649" t="inlineStr">
        <is>
          <t>STOCKHOLMS LÄN</t>
        </is>
      </c>
      <c r="E1649" t="inlineStr">
        <is>
          <t>NORRTÄLJE</t>
        </is>
      </c>
      <c r="F1649" t="inlineStr">
        <is>
          <t>Holmen skog AB</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20836-2024</t>
        </is>
      </c>
      <c r="B1650" s="1" t="n">
        <v>45439</v>
      </c>
      <c r="C1650" s="1" t="n">
        <v>45750</v>
      </c>
      <c r="D1650" t="inlineStr">
        <is>
          <t>STOCKHOLMS LÄN</t>
        </is>
      </c>
      <c r="E1650" t="inlineStr">
        <is>
          <t>NORRTÄLJE</t>
        </is>
      </c>
      <c r="F1650" t="inlineStr">
        <is>
          <t>Holmen skog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21066-2024</t>
        </is>
      </c>
      <c r="B1651" s="1" t="n">
        <v>45439</v>
      </c>
      <c r="C1651" s="1" t="n">
        <v>45750</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21729-2024</t>
        </is>
      </c>
      <c r="B1652" s="1" t="n">
        <v>45442</v>
      </c>
      <c r="C1652" s="1" t="n">
        <v>45750</v>
      </c>
      <c r="D1652" t="inlineStr">
        <is>
          <t>STOCKHOLMS LÄN</t>
        </is>
      </c>
      <c r="E1652" t="inlineStr">
        <is>
          <t>NORRTÄLJE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21696-2024</t>
        </is>
      </c>
      <c r="B1653" s="1" t="n">
        <v>45442</v>
      </c>
      <c r="C1653" s="1" t="n">
        <v>45750</v>
      </c>
      <c r="D1653" t="inlineStr">
        <is>
          <t>STOCKHOLMS LÄN</t>
        </is>
      </c>
      <c r="E1653" t="inlineStr">
        <is>
          <t>NORRTÄLJE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22008-2024</t>
        </is>
      </c>
      <c r="B1654" s="1" t="n">
        <v>45443</v>
      </c>
      <c r="C1654" s="1" t="n">
        <v>45750</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22232-2024</t>
        </is>
      </c>
      <c r="B1655" s="1" t="n">
        <v>45446</v>
      </c>
      <c r="C1655" s="1" t="n">
        <v>45750</v>
      </c>
      <c r="D1655" t="inlineStr">
        <is>
          <t>STOCKHOLMS LÄN</t>
        </is>
      </c>
      <c r="E1655" t="inlineStr">
        <is>
          <t>NORRTÄLJE</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22231-2024</t>
        </is>
      </c>
      <c r="B1656" s="1" t="n">
        <v>45446</v>
      </c>
      <c r="C1656" s="1" t="n">
        <v>45750</v>
      </c>
      <c r="D1656" t="inlineStr">
        <is>
          <t>STOCKHOLMS LÄN</t>
        </is>
      </c>
      <c r="E1656" t="inlineStr">
        <is>
          <t>NORRTÄLJE</t>
        </is>
      </c>
      <c r="F1656" t="inlineStr">
        <is>
          <t>Holmen skog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22833-2024</t>
        </is>
      </c>
      <c r="B1657" s="1" t="n">
        <v>45448</v>
      </c>
      <c r="C1657" s="1" t="n">
        <v>45750</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23018-2024</t>
        </is>
      </c>
      <c r="B1658" s="1" t="n">
        <v>45450</v>
      </c>
      <c r="C1658" s="1" t="n">
        <v>45750</v>
      </c>
      <c r="D1658" t="inlineStr">
        <is>
          <t>STOCKHOLMS LÄN</t>
        </is>
      </c>
      <c r="E1658" t="inlineStr">
        <is>
          <t>NORRTÄLJE</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23149-2024</t>
        </is>
      </c>
      <c r="B1659" s="1" t="n">
        <v>45450</v>
      </c>
      <c r="C1659" s="1" t="n">
        <v>45750</v>
      </c>
      <c r="D1659" t="inlineStr">
        <is>
          <t>STOCKHOLMS LÄN</t>
        </is>
      </c>
      <c r="E1659" t="inlineStr">
        <is>
          <t>NORRTÄLJE</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23150-2024</t>
        </is>
      </c>
      <c r="B1660" s="1" t="n">
        <v>45450</v>
      </c>
      <c r="C1660" s="1" t="n">
        <v>45750</v>
      </c>
      <c r="D1660" t="inlineStr">
        <is>
          <t>STOCKHOLMS LÄN</t>
        </is>
      </c>
      <c r="E1660" t="inlineStr">
        <is>
          <t>NORRTÄLJE</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23151-2024</t>
        </is>
      </c>
      <c r="B1661" s="1" t="n">
        <v>45450</v>
      </c>
      <c r="C1661" s="1" t="n">
        <v>45750</v>
      </c>
      <c r="D1661" t="inlineStr">
        <is>
          <t>STOCKHOLMS LÄN</t>
        </is>
      </c>
      <c r="E1661" t="inlineStr">
        <is>
          <t>NORRTÄLJE</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23307-2024</t>
        </is>
      </c>
      <c r="B1662" s="1" t="n">
        <v>45453</v>
      </c>
      <c r="C1662" s="1" t="n">
        <v>45750</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23683-2024</t>
        </is>
      </c>
      <c r="B1663" s="1" t="n">
        <v>45454</v>
      </c>
      <c r="C1663" s="1" t="n">
        <v>45750</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23692-2024</t>
        </is>
      </c>
      <c r="B1664" s="1" t="n">
        <v>45454</v>
      </c>
      <c r="C1664" s="1" t="n">
        <v>45750</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23572-2024</t>
        </is>
      </c>
      <c r="B1665" s="1" t="n">
        <v>45454</v>
      </c>
      <c r="C1665" s="1" t="n">
        <v>45750</v>
      </c>
      <c r="D1665" t="inlineStr">
        <is>
          <t>STOCKHOLMS LÄN</t>
        </is>
      </c>
      <c r="E1665" t="inlineStr">
        <is>
          <t>NORRTÄLJE</t>
        </is>
      </c>
      <c r="F1665" t="inlineStr">
        <is>
          <t>Kyrkan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23749-2024</t>
        </is>
      </c>
      <c r="B1666" s="1" t="n">
        <v>45455</v>
      </c>
      <c r="C1666" s="1" t="n">
        <v>45750</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23755-2024</t>
        </is>
      </c>
      <c r="B1667" s="1" t="n">
        <v>45455</v>
      </c>
      <c r="C1667" s="1" t="n">
        <v>45750</v>
      </c>
      <c r="D1667" t="inlineStr">
        <is>
          <t>STOCKHOLMS LÄN</t>
        </is>
      </c>
      <c r="E1667" t="inlineStr">
        <is>
          <t>NORRTÄLJE</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23998-2024</t>
        </is>
      </c>
      <c r="B1668" s="1" t="n">
        <v>45456</v>
      </c>
      <c r="C1668" s="1" t="n">
        <v>45750</v>
      </c>
      <c r="D1668" t="inlineStr">
        <is>
          <t>STOCKHOLMS LÄN</t>
        </is>
      </c>
      <c r="E1668" t="inlineStr">
        <is>
          <t>NORRTÄLJE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24027-2024</t>
        </is>
      </c>
      <c r="B1669" s="1" t="n">
        <v>45456</v>
      </c>
      <c r="C1669" s="1" t="n">
        <v>45750</v>
      </c>
      <c r="D1669" t="inlineStr">
        <is>
          <t>STOCKHOLMS LÄN</t>
        </is>
      </c>
      <c r="E1669" t="inlineStr">
        <is>
          <t>NORRTÄLJE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24024-2024</t>
        </is>
      </c>
      <c r="B1670" s="1" t="n">
        <v>45456</v>
      </c>
      <c r="C1670" s="1" t="n">
        <v>45750</v>
      </c>
      <c r="D1670" t="inlineStr">
        <is>
          <t>STOCKHOLMS LÄN</t>
        </is>
      </c>
      <c r="E1670" t="inlineStr">
        <is>
          <t>NORRTÄLJE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23991-2024</t>
        </is>
      </c>
      <c r="B1671" s="1" t="n">
        <v>45456</v>
      </c>
      <c r="C1671" s="1" t="n">
        <v>45750</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24021-2024</t>
        </is>
      </c>
      <c r="B1672" s="1" t="n">
        <v>45456</v>
      </c>
      <c r="C1672" s="1" t="n">
        <v>45750</v>
      </c>
      <c r="D1672" t="inlineStr">
        <is>
          <t>STOCKHOLMS LÄN</t>
        </is>
      </c>
      <c r="E1672" t="inlineStr">
        <is>
          <t>NORRTÄLJE</t>
        </is>
      </c>
      <c r="G1672" t="n">
        <v>17.5</v>
      </c>
      <c r="H1672" t="n">
        <v>0</v>
      </c>
      <c r="I1672" t="n">
        <v>0</v>
      </c>
      <c r="J1672" t="n">
        <v>0</v>
      </c>
      <c r="K1672" t="n">
        <v>0</v>
      </c>
      <c r="L1672" t="n">
        <v>0</v>
      </c>
      <c r="M1672" t="n">
        <v>0</v>
      </c>
      <c r="N1672" t="n">
        <v>0</v>
      </c>
      <c r="O1672" t="n">
        <v>0</v>
      </c>
      <c r="P1672" t="n">
        <v>0</v>
      </c>
      <c r="Q1672" t="n">
        <v>0</v>
      </c>
      <c r="R1672" s="2" t="inlineStr"/>
    </row>
    <row r="1673" ht="15" customHeight="1">
      <c r="A1673" t="inlineStr">
        <is>
          <t>A 24022-2024</t>
        </is>
      </c>
      <c r="B1673" s="1" t="n">
        <v>45456</v>
      </c>
      <c r="C1673" s="1" t="n">
        <v>45750</v>
      </c>
      <c r="D1673" t="inlineStr">
        <is>
          <t>STOCKHOLMS LÄN</t>
        </is>
      </c>
      <c r="E1673" t="inlineStr">
        <is>
          <t>NORRTÄLJE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24245-2024</t>
        </is>
      </c>
      <c r="B1674" s="1" t="n">
        <v>45457</v>
      </c>
      <c r="C1674" s="1" t="n">
        <v>45750</v>
      </c>
      <c r="D1674" t="inlineStr">
        <is>
          <t>STOCKHOLMS LÄN</t>
        </is>
      </c>
      <c r="E1674" t="inlineStr">
        <is>
          <t>NORRTÄLJE</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24357-2024</t>
        </is>
      </c>
      <c r="B1675" s="1" t="n">
        <v>45457</v>
      </c>
      <c r="C1675" s="1" t="n">
        <v>45750</v>
      </c>
      <c r="D1675" t="inlineStr">
        <is>
          <t>STOCKHOLMS LÄN</t>
        </is>
      </c>
      <c r="E1675" t="inlineStr">
        <is>
          <t>NORRTÄLJE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24731-2024</t>
        </is>
      </c>
      <c r="B1676" s="1" t="n">
        <v>45460</v>
      </c>
      <c r="C1676" s="1" t="n">
        <v>45750</v>
      </c>
      <c r="D1676" t="inlineStr">
        <is>
          <t>STOCKHOLMS LÄN</t>
        </is>
      </c>
      <c r="E1676" t="inlineStr">
        <is>
          <t>NORRTÄLJE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24575-2024</t>
        </is>
      </c>
      <c r="B1677" s="1" t="n">
        <v>45460</v>
      </c>
      <c r="C1677" s="1" t="n">
        <v>45750</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24563-2024</t>
        </is>
      </c>
      <c r="B1678" s="1" t="n">
        <v>45460</v>
      </c>
      <c r="C1678" s="1" t="n">
        <v>45750</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24610-2024</t>
        </is>
      </c>
      <c r="B1679" s="1" t="n">
        <v>45460</v>
      </c>
      <c r="C1679" s="1" t="n">
        <v>45750</v>
      </c>
      <c r="D1679" t="inlineStr">
        <is>
          <t>STOCKHOLMS LÄN</t>
        </is>
      </c>
      <c r="E1679" t="inlineStr">
        <is>
          <t>NORRTÄLJE</t>
        </is>
      </c>
      <c r="G1679" t="n">
        <v>18.4</v>
      </c>
      <c r="H1679" t="n">
        <v>0</v>
      </c>
      <c r="I1679" t="n">
        <v>0</v>
      </c>
      <c r="J1679" t="n">
        <v>0</v>
      </c>
      <c r="K1679" t="n">
        <v>0</v>
      </c>
      <c r="L1679" t="n">
        <v>0</v>
      </c>
      <c r="M1679" t="n">
        <v>0</v>
      </c>
      <c r="N1679" t="n">
        <v>0</v>
      </c>
      <c r="O1679" t="n">
        <v>0</v>
      </c>
      <c r="P1679" t="n">
        <v>0</v>
      </c>
      <c r="Q1679" t="n">
        <v>0</v>
      </c>
      <c r="R1679" s="2" t="inlineStr"/>
    </row>
    <row r="1680" ht="15" customHeight="1">
      <c r="A1680" t="inlineStr">
        <is>
          <t>A 24730-2024</t>
        </is>
      </c>
      <c r="B1680" s="1" t="n">
        <v>45460</v>
      </c>
      <c r="C1680" s="1" t="n">
        <v>45750</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25301-2024</t>
        </is>
      </c>
      <c r="B1681" s="1" t="n">
        <v>45462</v>
      </c>
      <c r="C1681" s="1" t="n">
        <v>45750</v>
      </c>
      <c r="D1681" t="inlineStr">
        <is>
          <t>STOCKHOLMS LÄN</t>
        </is>
      </c>
      <c r="E1681" t="inlineStr">
        <is>
          <t>NORRTÄLJE</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25055-2024</t>
        </is>
      </c>
      <c r="B1682" s="1" t="n">
        <v>45462</v>
      </c>
      <c r="C1682" s="1" t="n">
        <v>45750</v>
      </c>
      <c r="D1682" t="inlineStr">
        <is>
          <t>STOCKHOLMS LÄN</t>
        </is>
      </c>
      <c r="E1682" t="inlineStr">
        <is>
          <t>NORRTÄLJE</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25565-2024</t>
        </is>
      </c>
      <c r="B1683" s="1" t="n">
        <v>45463</v>
      </c>
      <c r="C1683" s="1" t="n">
        <v>45750</v>
      </c>
      <c r="D1683" t="inlineStr">
        <is>
          <t>STOCKHOLMS LÄN</t>
        </is>
      </c>
      <c r="E1683" t="inlineStr">
        <is>
          <t>NORRTÄLJE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25681-2024</t>
        </is>
      </c>
      <c r="B1684" s="1" t="n">
        <v>45463</v>
      </c>
      <c r="C1684" s="1" t="n">
        <v>45750</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25817-2024</t>
        </is>
      </c>
      <c r="B1685" s="1" t="n">
        <v>45467</v>
      </c>
      <c r="C1685" s="1" t="n">
        <v>45750</v>
      </c>
      <c r="D1685" t="inlineStr">
        <is>
          <t>STOCKHOLMS LÄN</t>
        </is>
      </c>
      <c r="E1685" t="inlineStr">
        <is>
          <t>NORRTÄLJE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26116-2024</t>
        </is>
      </c>
      <c r="B1686" s="1" t="n">
        <v>45468</v>
      </c>
      <c r="C1686" s="1" t="n">
        <v>45750</v>
      </c>
      <c r="D1686" t="inlineStr">
        <is>
          <t>STOCKHOLMS LÄN</t>
        </is>
      </c>
      <c r="E1686" t="inlineStr">
        <is>
          <t>NORRTÄLJE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26115-2024</t>
        </is>
      </c>
      <c r="B1687" s="1" t="n">
        <v>45468</v>
      </c>
      <c r="C1687" s="1" t="n">
        <v>45750</v>
      </c>
      <c r="D1687" t="inlineStr">
        <is>
          <t>STOCKHOLMS LÄN</t>
        </is>
      </c>
      <c r="E1687" t="inlineStr">
        <is>
          <t>NORRTÄLJE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26067-2024</t>
        </is>
      </c>
      <c r="B1688" s="1" t="n">
        <v>45468</v>
      </c>
      <c r="C1688" s="1" t="n">
        <v>45750</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26117-2024</t>
        </is>
      </c>
      <c r="B1689" s="1" t="n">
        <v>45468</v>
      </c>
      <c r="C1689" s="1" t="n">
        <v>45750</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26113-2024</t>
        </is>
      </c>
      <c r="B1690" s="1" t="n">
        <v>45468</v>
      </c>
      <c r="C1690" s="1" t="n">
        <v>45750</v>
      </c>
      <c r="D1690" t="inlineStr">
        <is>
          <t>STOCKHOLMS LÄN</t>
        </is>
      </c>
      <c r="E1690" t="inlineStr">
        <is>
          <t>NORRTÄLJE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26090-2024</t>
        </is>
      </c>
      <c r="B1691" s="1" t="n">
        <v>45468</v>
      </c>
      <c r="C1691" s="1" t="n">
        <v>45750</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26355-2024</t>
        </is>
      </c>
      <c r="B1692" s="1" t="n">
        <v>45469</v>
      </c>
      <c r="C1692" s="1" t="n">
        <v>45750</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26359-2024</t>
        </is>
      </c>
      <c r="B1693" s="1" t="n">
        <v>45469</v>
      </c>
      <c r="C1693" s="1" t="n">
        <v>45750</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26365-2024</t>
        </is>
      </c>
      <c r="B1694" s="1" t="n">
        <v>45469</v>
      </c>
      <c r="C1694" s="1" t="n">
        <v>45750</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26526-2024</t>
        </is>
      </c>
      <c r="B1695" s="1" t="n">
        <v>45469</v>
      </c>
      <c r="C1695" s="1" t="n">
        <v>45750</v>
      </c>
      <c r="D1695" t="inlineStr">
        <is>
          <t>STOCKHOLMS LÄN</t>
        </is>
      </c>
      <c r="E1695" t="inlineStr">
        <is>
          <t>NORRTÄLJE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26407-2024</t>
        </is>
      </c>
      <c r="B1696" s="1" t="n">
        <v>45469</v>
      </c>
      <c r="C1696" s="1" t="n">
        <v>45750</v>
      </c>
      <c r="D1696" t="inlineStr">
        <is>
          <t>STOCKHOLMS LÄN</t>
        </is>
      </c>
      <c r="E1696" t="inlineStr">
        <is>
          <t>NORRTÄLJE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26600-2024</t>
        </is>
      </c>
      <c r="B1697" s="1" t="n">
        <v>45469</v>
      </c>
      <c r="C1697" s="1" t="n">
        <v>45750</v>
      </c>
      <c r="D1697" t="inlineStr">
        <is>
          <t>STOCKHOLMS LÄN</t>
        </is>
      </c>
      <c r="E1697" t="inlineStr">
        <is>
          <t>NORRTÄLJE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26612-2024</t>
        </is>
      </c>
      <c r="B1698" s="1" t="n">
        <v>45469</v>
      </c>
      <c r="C1698" s="1" t="n">
        <v>45750</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26644-2024</t>
        </is>
      </c>
      <c r="B1699" s="1" t="n">
        <v>45469</v>
      </c>
      <c r="C1699" s="1" t="n">
        <v>45750</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26668-2024</t>
        </is>
      </c>
      <c r="B1700" s="1" t="n">
        <v>45469</v>
      </c>
      <c r="C1700" s="1" t="n">
        <v>45750</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26698-2024</t>
        </is>
      </c>
      <c r="B1701" s="1" t="n">
        <v>45470</v>
      </c>
      <c r="C1701" s="1" t="n">
        <v>45750</v>
      </c>
      <c r="D1701" t="inlineStr">
        <is>
          <t>STOCKHOLMS LÄN</t>
        </is>
      </c>
      <c r="E1701" t="inlineStr">
        <is>
          <t>NORRTÄLJE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27059-2024</t>
        </is>
      </c>
      <c r="B1702" s="1" t="n">
        <v>45471</v>
      </c>
      <c r="C1702" s="1" t="n">
        <v>45750</v>
      </c>
      <c r="D1702" t="inlineStr">
        <is>
          <t>STOCKHOLMS LÄN</t>
        </is>
      </c>
      <c r="E1702" t="inlineStr">
        <is>
          <t>NORRTÄLJE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27248-2024</t>
        </is>
      </c>
      <c r="B1703" s="1" t="n">
        <v>45471</v>
      </c>
      <c r="C1703" s="1" t="n">
        <v>45750</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27381-2024</t>
        </is>
      </c>
      <c r="B1704" s="1" t="n">
        <v>45474</v>
      </c>
      <c r="C1704" s="1" t="n">
        <v>45750</v>
      </c>
      <c r="D1704" t="inlineStr">
        <is>
          <t>STOCKHOLMS LÄN</t>
        </is>
      </c>
      <c r="E1704" t="inlineStr">
        <is>
          <t>NORRTÄLJE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27831-2024</t>
        </is>
      </c>
      <c r="B1705" s="1" t="n">
        <v>45475</v>
      </c>
      <c r="C1705" s="1" t="n">
        <v>45750</v>
      </c>
      <c r="D1705" t="inlineStr">
        <is>
          <t>STOCKHOLMS LÄN</t>
        </is>
      </c>
      <c r="E1705" t="inlineStr">
        <is>
          <t>NORRTÄLJE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28190-2024</t>
        </is>
      </c>
      <c r="B1706" s="1" t="n">
        <v>45477</v>
      </c>
      <c r="C1706" s="1" t="n">
        <v>45750</v>
      </c>
      <c r="D1706" t="inlineStr">
        <is>
          <t>STOCKHOLMS LÄN</t>
        </is>
      </c>
      <c r="E1706" t="inlineStr">
        <is>
          <t>NORRTÄLJE</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28245-2024</t>
        </is>
      </c>
      <c r="B1707" s="1" t="n">
        <v>45477</v>
      </c>
      <c r="C1707" s="1" t="n">
        <v>45750</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28200-2024</t>
        </is>
      </c>
      <c r="B1708" s="1" t="n">
        <v>45477</v>
      </c>
      <c r="C1708" s="1" t="n">
        <v>45750</v>
      </c>
      <c r="D1708" t="inlineStr">
        <is>
          <t>STOCKHOLMS LÄN</t>
        </is>
      </c>
      <c r="E1708" t="inlineStr">
        <is>
          <t>NORRTÄLJE</t>
        </is>
      </c>
      <c r="F1708" t="inlineStr">
        <is>
          <t>Kyrkan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28603-2024</t>
        </is>
      </c>
      <c r="B1709" s="1" t="n">
        <v>45478</v>
      </c>
      <c r="C1709" s="1" t="n">
        <v>45750</v>
      </c>
      <c r="D1709" t="inlineStr">
        <is>
          <t>STOCKHOLMS LÄN</t>
        </is>
      </c>
      <c r="E1709" t="inlineStr">
        <is>
          <t>NORRTÄLJE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28764-2024</t>
        </is>
      </c>
      <c r="B1710" s="1" t="n">
        <v>45478</v>
      </c>
      <c r="C1710" s="1" t="n">
        <v>45750</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29210-2024</t>
        </is>
      </c>
      <c r="B1711" s="1" t="n">
        <v>45482</v>
      </c>
      <c r="C1711" s="1" t="n">
        <v>45750</v>
      </c>
      <c r="D1711" t="inlineStr">
        <is>
          <t>STOCKHOLMS LÄN</t>
        </is>
      </c>
      <c r="E1711" t="inlineStr">
        <is>
          <t>NORRTÄLJE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29176-2024</t>
        </is>
      </c>
      <c r="B1712" s="1" t="n">
        <v>45482</v>
      </c>
      <c r="C1712" s="1" t="n">
        <v>45750</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29369-2024</t>
        </is>
      </c>
      <c r="B1713" s="1" t="n">
        <v>45483</v>
      </c>
      <c r="C1713" s="1" t="n">
        <v>45750</v>
      </c>
      <c r="D1713" t="inlineStr">
        <is>
          <t>STOCKHOLMS LÄN</t>
        </is>
      </c>
      <c r="E1713" t="inlineStr">
        <is>
          <t>NORRTÄLJE</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29419-2024</t>
        </is>
      </c>
      <c r="B1714" s="1" t="n">
        <v>45483</v>
      </c>
      <c r="C1714" s="1" t="n">
        <v>45750</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29504-2024</t>
        </is>
      </c>
      <c r="B1715" s="1" t="n">
        <v>45484</v>
      </c>
      <c r="C1715" s="1" t="n">
        <v>45750</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29589-2024</t>
        </is>
      </c>
      <c r="B1716" s="1" t="n">
        <v>45484</v>
      </c>
      <c r="C1716" s="1" t="n">
        <v>45750</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29583-2024</t>
        </is>
      </c>
      <c r="B1717" s="1" t="n">
        <v>45484</v>
      </c>
      <c r="C1717" s="1" t="n">
        <v>45750</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29578-2024</t>
        </is>
      </c>
      <c r="B1718" s="1" t="n">
        <v>45484</v>
      </c>
      <c r="C1718" s="1" t="n">
        <v>45750</v>
      </c>
      <c r="D1718" t="inlineStr">
        <is>
          <t>STOCKHOLMS LÄN</t>
        </is>
      </c>
      <c r="E1718" t="inlineStr">
        <is>
          <t>NORRTÄLJE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29505-2024</t>
        </is>
      </c>
      <c r="B1719" s="1" t="n">
        <v>45484</v>
      </c>
      <c r="C1719" s="1" t="n">
        <v>45750</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29972-2024</t>
        </is>
      </c>
      <c r="B1720" s="1" t="n">
        <v>45485</v>
      </c>
      <c r="C1720" s="1" t="n">
        <v>45750</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29841-2024</t>
        </is>
      </c>
      <c r="B1721" s="1" t="n">
        <v>45485</v>
      </c>
      <c r="C1721" s="1" t="n">
        <v>45750</v>
      </c>
      <c r="D1721" t="inlineStr">
        <is>
          <t>STOCKHOLMS LÄN</t>
        </is>
      </c>
      <c r="E1721" t="inlineStr">
        <is>
          <t>NORRTÄLJE</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30108-2024</t>
        </is>
      </c>
      <c r="B1722" s="1" t="n">
        <v>45487</v>
      </c>
      <c r="C1722" s="1" t="n">
        <v>45750</v>
      </c>
      <c r="D1722" t="inlineStr">
        <is>
          <t>STOCKHOLMS LÄN</t>
        </is>
      </c>
      <c r="E1722" t="inlineStr">
        <is>
          <t>NORRTÄLJE</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30033-2024</t>
        </is>
      </c>
      <c r="B1723" s="1" t="n">
        <v>45488</v>
      </c>
      <c r="C1723" s="1" t="n">
        <v>45750</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29994-2024</t>
        </is>
      </c>
      <c r="B1724" s="1" t="n">
        <v>45488</v>
      </c>
      <c r="C1724" s="1" t="n">
        <v>45750</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30096-2024</t>
        </is>
      </c>
      <c r="B1725" s="1" t="n">
        <v>45489</v>
      </c>
      <c r="C1725" s="1" t="n">
        <v>45750</v>
      </c>
      <c r="D1725" t="inlineStr">
        <is>
          <t>STOCKHOLMS LÄN</t>
        </is>
      </c>
      <c r="E1725" t="inlineStr">
        <is>
          <t>NORRTÄLJE</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30221-2024</t>
        </is>
      </c>
      <c r="B1726" s="1" t="n">
        <v>45490</v>
      </c>
      <c r="C1726" s="1" t="n">
        <v>45750</v>
      </c>
      <c r="D1726" t="inlineStr">
        <is>
          <t>STOCKHOLMS LÄN</t>
        </is>
      </c>
      <c r="E1726" t="inlineStr">
        <is>
          <t>NORRTÄLJE</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30268-2024</t>
        </is>
      </c>
      <c r="B1727" s="1" t="n">
        <v>45490</v>
      </c>
      <c r="C1727" s="1" t="n">
        <v>45750</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30323-2024</t>
        </is>
      </c>
      <c r="B1728" s="1" t="n">
        <v>45490</v>
      </c>
      <c r="C1728" s="1" t="n">
        <v>45750</v>
      </c>
      <c r="D1728" t="inlineStr">
        <is>
          <t>STOCKHOLMS LÄN</t>
        </is>
      </c>
      <c r="E1728" t="inlineStr">
        <is>
          <t>NORRTÄLJE</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30396-2024</t>
        </is>
      </c>
      <c r="B1729" s="1" t="n">
        <v>45491</v>
      </c>
      <c r="C1729" s="1" t="n">
        <v>45750</v>
      </c>
      <c r="D1729" t="inlineStr">
        <is>
          <t>STOCKHOLMS LÄN</t>
        </is>
      </c>
      <c r="E1729" t="inlineStr">
        <is>
          <t>NORRTÄLJE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30553-2024</t>
        </is>
      </c>
      <c r="B1730" s="1" t="n">
        <v>45492</v>
      </c>
      <c r="C1730" s="1" t="n">
        <v>45750</v>
      </c>
      <c r="D1730" t="inlineStr">
        <is>
          <t>STOCKHOLMS LÄN</t>
        </is>
      </c>
      <c r="E1730" t="inlineStr">
        <is>
          <t>NORRTÄLJE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30666-2024</t>
        </is>
      </c>
      <c r="B1731" s="1" t="n">
        <v>45495</v>
      </c>
      <c r="C1731" s="1" t="n">
        <v>45750</v>
      </c>
      <c r="D1731" t="inlineStr">
        <is>
          <t>STOCKHOLMS LÄN</t>
        </is>
      </c>
      <c r="E1731" t="inlineStr">
        <is>
          <t>NORRTÄLJE</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30963-2024</t>
        </is>
      </c>
      <c r="B1732" s="1" t="n">
        <v>45499</v>
      </c>
      <c r="C1732" s="1" t="n">
        <v>45750</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30995-2024</t>
        </is>
      </c>
      <c r="B1733" s="1" t="n">
        <v>45499</v>
      </c>
      <c r="C1733" s="1" t="n">
        <v>45750</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31027-2024</t>
        </is>
      </c>
      <c r="B1734" s="1" t="n">
        <v>45501</v>
      </c>
      <c r="C1734" s="1" t="n">
        <v>45750</v>
      </c>
      <c r="D1734" t="inlineStr">
        <is>
          <t>STOCKHOLMS LÄN</t>
        </is>
      </c>
      <c r="E1734" t="inlineStr">
        <is>
          <t>NORRTÄLJE</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31228-2024</t>
        </is>
      </c>
      <c r="B1735" s="1" t="n">
        <v>45503</v>
      </c>
      <c r="C1735" s="1" t="n">
        <v>45750</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31232-2024</t>
        </is>
      </c>
      <c r="B1736" s="1" t="n">
        <v>45503</v>
      </c>
      <c r="C1736" s="1" t="n">
        <v>45750</v>
      </c>
      <c r="D1736" t="inlineStr">
        <is>
          <t>STOCKHOLMS LÄN</t>
        </is>
      </c>
      <c r="E1736" t="inlineStr">
        <is>
          <t>NORRTÄLJE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31343-2024</t>
        </is>
      </c>
      <c r="B1737" s="1" t="n">
        <v>45504</v>
      </c>
      <c r="C1737" s="1" t="n">
        <v>45750</v>
      </c>
      <c r="D1737" t="inlineStr">
        <is>
          <t>STOCKHOLMS LÄN</t>
        </is>
      </c>
      <c r="E1737" t="inlineStr">
        <is>
          <t>NORRTÄLJE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31311-2024</t>
        </is>
      </c>
      <c r="B1738" s="1" t="n">
        <v>45504</v>
      </c>
      <c r="C1738" s="1" t="n">
        <v>45750</v>
      </c>
      <c r="D1738" t="inlineStr">
        <is>
          <t>STOCKHOLMS LÄN</t>
        </is>
      </c>
      <c r="E1738" t="inlineStr">
        <is>
          <t>NORRTÄLJE</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31279-2024</t>
        </is>
      </c>
      <c r="B1739" s="1" t="n">
        <v>45504</v>
      </c>
      <c r="C1739" s="1" t="n">
        <v>45750</v>
      </c>
      <c r="D1739" t="inlineStr">
        <is>
          <t>STOCKHOLMS LÄN</t>
        </is>
      </c>
      <c r="E1739" t="inlineStr">
        <is>
          <t>NORRTÄLJE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32874-2024</t>
        </is>
      </c>
      <c r="B1740" s="1" t="n">
        <v>45516</v>
      </c>
      <c r="C1740" s="1" t="n">
        <v>45750</v>
      </c>
      <c r="D1740" t="inlineStr">
        <is>
          <t>STOCKHOLMS LÄN</t>
        </is>
      </c>
      <c r="E1740" t="inlineStr">
        <is>
          <t>NORRTÄLJE</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32706-2024</t>
        </is>
      </c>
      <c r="B1741" s="1" t="n">
        <v>45516</v>
      </c>
      <c r="C1741" s="1" t="n">
        <v>45750</v>
      </c>
      <c r="D1741" t="inlineStr">
        <is>
          <t>STOCKHOLMS LÄN</t>
        </is>
      </c>
      <c r="E1741" t="inlineStr">
        <is>
          <t>NORRTÄLJE</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33173-2024</t>
        </is>
      </c>
      <c r="B1742" s="1" t="n">
        <v>45518</v>
      </c>
      <c r="C1742" s="1" t="n">
        <v>45750</v>
      </c>
      <c r="D1742" t="inlineStr">
        <is>
          <t>STOCKHOLMS LÄN</t>
        </is>
      </c>
      <c r="E1742" t="inlineStr">
        <is>
          <t>NORRTÄLJE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33226-2024</t>
        </is>
      </c>
      <c r="B1743" s="1" t="n">
        <v>45518</v>
      </c>
      <c r="C1743" s="1" t="n">
        <v>45750</v>
      </c>
      <c r="D1743" t="inlineStr">
        <is>
          <t>STOCKHOLMS LÄN</t>
        </is>
      </c>
      <c r="E1743" t="inlineStr">
        <is>
          <t>NORRTÄLJE</t>
        </is>
      </c>
      <c r="G1743" t="n">
        <v>13.8</v>
      </c>
      <c r="H1743" t="n">
        <v>0</v>
      </c>
      <c r="I1743" t="n">
        <v>0</v>
      </c>
      <c r="J1743" t="n">
        <v>0</v>
      </c>
      <c r="K1743" t="n">
        <v>0</v>
      </c>
      <c r="L1743" t="n">
        <v>0</v>
      </c>
      <c r="M1743" t="n">
        <v>0</v>
      </c>
      <c r="N1743" t="n">
        <v>0</v>
      </c>
      <c r="O1743" t="n">
        <v>0</v>
      </c>
      <c r="P1743" t="n">
        <v>0</v>
      </c>
      <c r="Q1743" t="n">
        <v>0</v>
      </c>
      <c r="R1743" s="2" t="inlineStr"/>
    </row>
    <row r="1744" ht="15" customHeight="1">
      <c r="A1744" t="inlineStr">
        <is>
          <t>A 33175-2024</t>
        </is>
      </c>
      <c r="B1744" s="1" t="n">
        <v>45518</v>
      </c>
      <c r="C1744" s="1" t="n">
        <v>45750</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33385-2024</t>
        </is>
      </c>
      <c r="B1745" s="1" t="n">
        <v>45519</v>
      </c>
      <c r="C1745" s="1" t="n">
        <v>45750</v>
      </c>
      <c r="D1745" t="inlineStr">
        <is>
          <t>STOCKHOLMS LÄN</t>
        </is>
      </c>
      <c r="E1745" t="inlineStr">
        <is>
          <t>NORRTÄLJE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33592-2024</t>
        </is>
      </c>
      <c r="B1746" s="1" t="n">
        <v>45520</v>
      </c>
      <c r="C1746" s="1" t="n">
        <v>45750</v>
      </c>
      <c r="D1746" t="inlineStr">
        <is>
          <t>STOCKHOLMS LÄN</t>
        </is>
      </c>
      <c r="E1746" t="inlineStr">
        <is>
          <t>NORRTÄLJE</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33878-2024</t>
        </is>
      </c>
      <c r="B1747" s="1" t="n">
        <v>45522</v>
      </c>
      <c r="C1747" s="1" t="n">
        <v>45750</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34295-2024</t>
        </is>
      </c>
      <c r="B1748" s="1" t="n">
        <v>45524</v>
      </c>
      <c r="C1748" s="1" t="n">
        <v>45750</v>
      </c>
      <c r="D1748" t="inlineStr">
        <is>
          <t>STOCKHOLMS LÄN</t>
        </is>
      </c>
      <c r="E1748" t="inlineStr">
        <is>
          <t>NORRTÄLJE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34444-2024</t>
        </is>
      </c>
      <c r="B1749" s="1" t="n">
        <v>45525</v>
      </c>
      <c r="C1749" s="1" t="n">
        <v>45750</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34547-2024</t>
        </is>
      </c>
      <c r="B1750" s="1" t="n">
        <v>45525</v>
      </c>
      <c r="C1750" s="1" t="n">
        <v>45750</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34583-2024</t>
        </is>
      </c>
      <c r="B1751" s="1" t="n">
        <v>45526</v>
      </c>
      <c r="C1751" s="1" t="n">
        <v>45750</v>
      </c>
      <c r="D1751" t="inlineStr">
        <is>
          <t>STOCKHOLMS LÄN</t>
        </is>
      </c>
      <c r="E1751" t="inlineStr">
        <is>
          <t>NORRTÄLJE</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35239-2024</t>
        </is>
      </c>
      <c r="B1752" s="1" t="n">
        <v>45530</v>
      </c>
      <c r="C1752" s="1" t="n">
        <v>45750</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35235-2024</t>
        </is>
      </c>
      <c r="B1753" s="1" t="n">
        <v>45530</v>
      </c>
      <c r="C1753" s="1" t="n">
        <v>45750</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35532-2024</t>
        </is>
      </c>
      <c r="B1754" s="1" t="n">
        <v>45531</v>
      </c>
      <c r="C1754" s="1" t="n">
        <v>45750</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35467-2024</t>
        </is>
      </c>
      <c r="B1755" s="1" t="n">
        <v>45531</v>
      </c>
      <c r="C1755" s="1" t="n">
        <v>45750</v>
      </c>
      <c r="D1755" t="inlineStr">
        <is>
          <t>STOCKHOLMS LÄN</t>
        </is>
      </c>
      <c r="E1755" t="inlineStr">
        <is>
          <t>NORRTÄLJE</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35640-2024</t>
        </is>
      </c>
      <c r="B1756" s="1" t="n">
        <v>45531</v>
      </c>
      <c r="C1756" s="1" t="n">
        <v>45750</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35719-2024</t>
        </is>
      </c>
      <c r="B1757" s="1" t="n">
        <v>45532</v>
      </c>
      <c r="C1757" s="1" t="n">
        <v>45750</v>
      </c>
      <c r="D1757" t="inlineStr">
        <is>
          <t>STOCKHOLMS LÄN</t>
        </is>
      </c>
      <c r="E1757" t="inlineStr">
        <is>
          <t>NORRTÄLJE</t>
        </is>
      </c>
      <c r="F1757" t="inlineStr">
        <is>
          <t>Holmen skog AB</t>
        </is>
      </c>
      <c r="G1757" t="n">
        <v>15.2</v>
      </c>
      <c r="H1757" t="n">
        <v>0</v>
      </c>
      <c r="I1757" t="n">
        <v>0</v>
      </c>
      <c r="J1757" t="n">
        <v>0</v>
      </c>
      <c r="K1757" t="n">
        <v>0</v>
      </c>
      <c r="L1757" t="n">
        <v>0</v>
      </c>
      <c r="M1757" t="n">
        <v>0</v>
      </c>
      <c r="N1757" t="n">
        <v>0</v>
      </c>
      <c r="O1757" t="n">
        <v>0</v>
      </c>
      <c r="P1757" t="n">
        <v>0</v>
      </c>
      <c r="Q1757" t="n">
        <v>0</v>
      </c>
      <c r="R1757" s="2" t="inlineStr"/>
    </row>
    <row r="1758" ht="15" customHeight="1">
      <c r="A1758" t="inlineStr">
        <is>
          <t>A 35782-2024</t>
        </is>
      </c>
      <c r="B1758" s="1" t="n">
        <v>45532</v>
      </c>
      <c r="C1758" s="1" t="n">
        <v>45750</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35647-2024</t>
        </is>
      </c>
      <c r="B1759" s="1" t="n">
        <v>45532</v>
      </c>
      <c r="C1759" s="1" t="n">
        <v>45750</v>
      </c>
      <c r="D1759" t="inlineStr">
        <is>
          <t>STOCKHOLMS LÄN</t>
        </is>
      </c>
      <c r="E1759" t="inlineStr">
        <is>
          <t>NORRTÄLJE</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35916-2024</t>
        </is>
      </c>
      <c r="B1760" s="1" t="n">
        <v>45533</v>
      </c>
      <c r="C1760" s="1" t="n">
        <v>45750</v>
      </c>
      <c r="D1760" t="inlineStr">
        <is>
          <t>STOCKHOLMS LÄN</t>
        </is>
      </c>
      <c r="E1760" t="inlineStr">
        <is>
          <t>NORRTÄLJE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36157-2024</t>
        </is>
      </c>
      <c r="B1761" s="1" t="n">
        <v>45534</v>
      </c>
      <c r="C1761" s="1" t="n">
        <v>45750</v>
      </c>
      <c r="D1761" t="inlineStr">
        <is>
          <t>STOCKHOLMS LÄN</t>
        </is>
      </c>
      <c r="E1761" t="inlineStr">
        <is>
          <t>NORRTÄLJE</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36430-2024</t>
        </is>
      </c>
      <c r="B1762" s="1" t="n">
        <v>45536</v>
      </c>
      <c r="C1762" s="1" t="n">
        <v>45750</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36556-2024</t>
        </is>
      </c>
      <c r="B1763" s="1" t="n">
        <v>45537</v>
      </c>
      <c r="C1763" s="1" t="n">
        <v>45750</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36625-2024</t>
        </is>
      </c>
      <c r="B1764" s="1" t="n">
        <v>45537</v>
      </c>
      <c r="C1764" s="1" t="n">
        <v>45750</v>
      </c>
      <c r="D1764" t="inlineStr">
        <is>
          <t>STOCKHOLMS LÄN</t>
        </is>
      </c>
      <c r="E1764" t="inlineStr">
        <is>
          <t>NORRTÄLJE</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37273-2024</t>
        </is>
      </c>
      <c r="B1765" s="1" t="n">
        <v>45540</v>
      </c>
      <c r="C1765" s="1" t="n">
        <v>45750</v>
      </c>
      <c r="D1765" t="inlineStr">
        <is>
          <t>STOCKHOLMS LÄN</t>
        </is>
      </c>
      <c r="E1765" t="inlineStr">
        <is>
          <t>NORRTÄLJE</t>
        </is>
      </c>
      <c r="F1765" t="inlineStr">
        <is>
          <t>Sveaskog</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37663-2024</t>
        </is>
      </c>
      <c r="B1766" s="1" t="n">
        <v>45541</v>
      </c>
      <c r="C1766" s="1" t="n">
        <v>45750</v>
      </c>
      <c r="D1766" t="inlineStr">
        <is>
          <t>STOCKHOLMS LÄN</t>
        </is>
      </c>
      <c r="E1766" t="inlineStr">
        <is>
          <t>NORRTÄLJE</t>
        </is>
      </c>
      <c r="F1766" t="inlineStr">
        <is>
          <t>Holmen skog AB</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37684-2024</t>
        </is>
      </c>
      <c r="B1767" s="1" t="n">
        <v>45541</v>
      </c>
      <c r="C1767" s="1" t="n">
        <v>45750</v>
      </c>
      <c r="D1767" t="inlineStr">
        <is>
          <t>STOCKHOLMS LÄN</t>
        </is>
      </c>
      <c r="E1767" t="inlineStr">
        <is>
          <t>NORRTÄLJE</t>
        </is>
      </c>
      <c r="F1767" t="inlineStr">
        <is>
          <t>Holmen skog AB</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37980-2024</t>
        </is>
      </c>
      <c r="B1768" s="1" t="n">
        <v>45544</v>
      </c>
      <c r="C1768" s="1" t="n">
        <v>45750</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38073-2024</t>
        </is>
      </c>
      <c r="B1769" s="1" t="n">
        <v>45544</v>
      </c>
      <c r="C1769" s="1" t="n">
        <v>45750</v>
      </c>
      <c r="D1769" t="inlineStr">
        <is>
          <t>STOCKHOLMS LÄN</t>
        </is>
      </c>
      <c r="E1769" t="inlineStr">
        <is>
          <t>NORRTÄLJE</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38878-2024</t>
        </is>
      </c>
      <c r="B1770" s="1" t="n">
        <v>45547</v>
      </c>
      <c r="C1770" s="1" t="n">
        <v>45750</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38889-2024</t>
        </is>
      </c>
      <c r="B1771" s="1" t="n">
        <v>45547</v>
      </c>
      <c r="C1771" s="1" t="n">
        <v>45750</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39203-2024</t>
        </is>
      </c>
      <c r="B1772" s="1" t="n">
        <v>45548</v>
      </c>
      <c r="C1772" s="1" t="n">
        <v>45750</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39202-2024</t>
        </is>
      </c>
      <c r="B1773" s="1" t="n">
        <v>45548</v>
      </c>
      <c r="C1773" s="1" t="n">
        <v>45750</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39238-2024</t>
        </is>
      </c>
      <c r="B1774" s="1" t="n">
        <v>45549</v>
      </c>
      <c r="C1774" s="1" t="n">
        <v>45750</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39237-2024</t>
        </is>
      </c>
      <c r="B1775" s="1" t="n">
        <v>45549</v>
      </c>
      <c r="C1775" s="1" t="n">
        <v>45750</v>
      </c>
      <c r="D1775" t="inlineStr">
        <is>
          <t>STOCKHOLMS LÄN</t>
        </is>
      </c>
      <c r="E1775" t="inlineStr">
        <is>
          <t>NORRTÄLJE</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39669-2024</t>
        </is>
      </c>
      <c r="B1776" s="1" t="n">
        <v>45552</v>
      </c>
      <c r="C1776" s="1" t="n">
        <v>45750</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39667-2024</t>
        </is>
      </c>
      <c r="B1777" s="1" t="n">
        <v>45552</v>
      </c>
      <c r="C1777" s="1" t="n">
        <v>45750</v>
      </c>
      <c r="D1777" t="inlineStr">
        <is>
          <t>STOCKHOLMS LÄN</t>
        </is>
      </c>
      <c r="E1777" t="inlineStr">
        <is>
          <t>NORRTÄLJE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39913-2024</t>
        </is>
      </c>
      <c r="B1778" s="1" t="n">
        <v>45553</v>
      </c>
      <c r="C1778" s="1" t="n">
        <v>45750</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40175-2024</t>
        </is>
      </c>
      <c r="B1779" s="1" t="n">
        <v>45554</v>
      </c>
      <c r="C1779" s="1" t="n">
        <v>45750</v>
      </c>
      <c r="D1779" t="inlineStr">
        <is>
          <t>STOCKHOLMS LÄN</t>
        </is>
      </c>
      <c r="E1779" t="inlineStr">
        <is>
          <t>NORRTÄLJE</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40761-2024</t>
        </is>
      </c>
      <c r="B1780" s="1" t="n">
        <v>45558</v>
      </c>
      <c r="C1780" s="1" t="n">
        <v>45750</v>
      </c>
      <c r="D1780" t="inlineStr">
        <is>
          <t>STOCKHOLMS LÄN</t>
        </is>
      </c>
      <c r="E1780" t="inlineStr">
        <is>
          <t>NORRTÄLJE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41219-2024</t>
        </is>
      </c>
      <c r="B1781" s="1" t="n">
        <v>45559</v>
      </c>
      <c r="C1781" s="1" t="n">
        <v>45750</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41218-2024</t>
        </is>
      </c>
      <c r="B1782" s="1" t="n">
        <v>45559</v>
      </c>
      <c r="C1782" s="1" t="n">
        <v>45750</v>
      </c>
      <c r="D1782" t="inlineStr">
        <is>
          <t>STOCKHOLMS LÄN</t>
        </is>
      </c>
      <c r="E1782" t="inlineStr">
        <is>
          <t>NORRTÄLJE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41243-2024</t>
        </is>
      </c>
      <c r="B1783" s="1" t="n">
        <v>45559</v>
      </c>
      <c r="C1783" s="1" t="n">
        <v>45750</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41253-2024</t>
        </is>
      </c>
      <c r="B1784" s="1" t="n">
        <v>45559</v>
      </c>
      <c r="C1784" s="1" t="n">
        <v>45750</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41310-2024</t>
        </is>
      </c>
      <c r="B1785" s="1" t="n">
        <v>45559</v>
      </c>
      <c r="C1785" s="1" t="n">
        <v>45750</v>
      </c>
      <c r="D1785" t="inlineStr">
        <is>
          <t>STOCKHOLMS LÄN</t>
        </is>
      </c>
      <c r="E1785" t="inlineStr">
        <is>
          <t>NORRTÄLJE</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41342-2024</t>
        </is>
      </c>
      <c r="B1786" s="1" t="n">
        <v>45559</v>
      </c>
      <c r="C1786" s="1" t="n">
        <v>45750</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41976-2024</t>
        </is>
      </c>
      <c r="B1787" s="1" t="n">
        <v>45561</v>
      </c>
      <c r="C1787" s="1" t="n">
        <v>45750</v>
      </c>
      <c r="D1787" t="inlineStr">
        <is>
          <t>STOCKHOLMS LÄN</t>
        </is>
      </c>
      <c r="E1787" t="inlineStr">
        <is>
          <t>NORRTÄLJE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44032-2024</t>
        </is>
      </c>
      <c r="B1788" s="1" t="n">
        <v>45572</v>
      </c>
      <c r="C1788" s="1" t="n">
        <v>45750</v>
      </c>
      <c r="D1788" t="inlineStr">
        <is>
          <t>STOCKHOLMS LÄN</t>
        </is>
      </c>
      <c r="E1788" t="inlineStr">
        <is>
          <t>NORRTÄLJE</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44776-2024</t>
        </is>
      </c>
      <c r="B1789" s="1" t="n">
        <v>45574</v>
      </c>
      <c r="C1789" s="1" t="n">
        <v>45750</v>
      </c>
      <c r="D1789" t="inlineStr">
        <is>
          <t>STOCKHOLMS LÄN</t>
        </is>
      </c>
      <c r="E1789" t="inlineStr">
        <is>
          <t>NORRTÄLJE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44821-2024</t>
        </is>
      </c>
      <c r="B1790" s="1" t="n">
        <v>45574</v>
      </c>
      <c r="C1790" s="1" t="n">
        <v>45750</v>
      </c>
      <c r="D1790" t="inlineStr">
        <is>
          <t>STOCKHOLMS LÄN</t>
        </is>
      </c>
      <c r="E1790" t="inlineStr">
        <is>
          <t>NORRTÄLJE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45220-2024</t>
        </is>
      </c>
      <c r="B1791" s="1" t="n">
        <v>45575</v>
      </c>
      <c r="C1791" s="1" t="n">
        <v>45750</v>
      </c>
      <c r="D1791" t="inlineStr">
        <is>
          <t>STOCKHOLMS LÄN</t>
        </is>
      </c>
      <c r="E1791" t="inlineStr">
        <is>
          <t>NORRTÄLJE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45254-2024</t>
        </is>
      </c>
      <c r="B1792" s="1" t="n">
        <v>45576</v>
      </c>
      <c r="C1792" s="1" t="n">
        <v>45750</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45451-2024</t>
        </is>
      </c>
      <c r="B1793" s="1" t="n">
        <v>45576</v>
      </c>
      <c r="C1793" s="1" t="n">
        <v>45750</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45247-2024</t>
        </is>
      </c>
      <c r="B1794" s="1" t="n">
        <v>45576</v>
      </c>
      <c r="C1794" s="1" t="n">
        <v>45750</v>
      </c>
      <c r="D1794" t="inlineStr">
        <is>
          <t>STOCKHOLMS LÄN</t>
        </is>
      </c>
      <c r="E1794" t="inlineStr">
        <is>
          <t>NORRTÄLJE</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45739-2024</t>
        </is>
      </c>
      <c r="B1795" s="1" t="n">
        <v>45579</v>
      </c>
      <c r="C1795" s="1" t="n">
        <v>45750</v>
      </c>
      <c r="D1795" t="inlineStr">
        <is>
          <t>STOCKHOLMS LÄN</t>
        </is>
      </c>
      <c r="E1795" t="inlineStr">
        <is>
          <t>NORRTÄLJE</t>
        </is>
      </c>
      <c r="G1795" t="n">
        <v>21.9</v>
      </c>
      <c r="H1795" t="n">
        <v>0</v>
      </c>
      <c r="I1795" t="n">
        <v>0</v>
      </c>
      <c r="J1795" t="n">
        <v>0</v>
      </c>
      <c r="K1795" t="n">
        <v>0</v>
      </c>
      <c r="L1795" t="n">
        <v>0</v>
      </c>
      <c r="M1795" t="n">
        <v>0</v>
      </c>
      <c r="N1795" t="n">
        <v>0</v>
      </c>
      <c r="O1795" t="n">
        <v>0</v>
      </c>
      <c r="P1795" t="n">
        <v>0</v>
      </c>
      <c r="Q1795" t="n">
        <v>0</v>
      </c>
      <c r="R1795" s="2" t="inlineStr"/>
    </row>
    <row r="1796" ht="15" customHeight="1">
      <c r="A1796" t="inlineStr">
        <is>
          <t>A 45746-2024</t>
        </is>
      </c>
      <c r="B1796" s="1" t="n">
        <v>45579</v>
      </c>
      <c r="C1796" s="1" t="n">
        <v>45750</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46073-2024</t>
        </is>
      </c>
      <c r="B1797" s="1" t="n">
        <v>45581</v>
      </c>
      <c r="C1797" s="1" t="n">
        <v>45750</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46326-2024</t>
        </is>
      </c>
      <c r="B1798" s="1" t="n">
        <v>45581</v>
      </c>
      <c r="C1798" s="1" t="n">
        <v>45750</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46071-2024</t>
        </is>
      </c>
      <c r="B1799" s="1" t="n">
        <v>45581</v>
      </c>
      <c r="C1799" s="1" t="n">
        <v>45750</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46333-2024</t>
        </is>
      </c>
      <c r="B1800" s="1" t="n">
        <v>45581</v>
      </c>
      <c r="C1800" s="1" t="n">
        <v>45750</v>
      </c>
      <c r="D1800" t="inlineStr">
        <is>
          <t>STOCKHOLMS LÄN</t>
        </is>
      </c>
      <c r="E1800" t="inlineStr">
        <is>
          <t>NORRTÄLJE</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46448-2024</t>
        </is>
      </c>
      <c r="B1801" s="1" t="n">
        <v>45582</v>
      </c>
      <c r="C1801" s="1" t="n">
        <v>45750</v>
      </c>
      <c r="D1801" t="inlineStr">
        <is>
          <t>STOCKHOLMS LÄN</t>
        </is>
      </c>
      <c r="E1801" t="inlineStr">
        <is>
          <t>NORRTÄLJE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46988-2024</t>
        </is>
      </c>
      <c r="B1802" s="1" t="n">
        <v>45586</v>
      </c>
      <c r="C1802" s="1" t="n">
        <v>45750</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47257-2024</t>
        </is>
      </c>
      <c r="B1803" s="1" t="n">
        <v>45586</v>
      </c>
      <c r="C1803" s="1" t="n">
        <v>45750</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47259-2024</t>
        </is>
      </c>
      <c r="B1804" s="1" t="n">
        <v>45586</v>
      </c>
      <c r="C1804" s="1" t="n">
        <v>45750</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47521-2024</t>
        </is>
      </c>
      <c r="B1805" s="1" t="n">
        <v>45587</v>
      </c>
      <c r="C1805" s="1" t="n">
        <v>45750</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47481-2024</t>
        </is>
      </c>
      <c r="B1806" s="1" t="n">
        <v>45587</v>
      </c>
      <c r="C1806" s="1" t="n">
        <v>45750</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48145-2024</t>
        </is>
      </c>
      <c r="B1807" s="1" t="n">
        <v>45589</v>
      </c>
      <c r="C1807" s="1" t="n">
        <v>45750</v>
      </c>
      <c r="D1807" t="inlineStr">
        <is>
          <t>STOCKHOLMS LÄN</t>
        </is>
      </c>
      <c r="E1807" t="inlineStr">
        <is>
          <t>NORRTÄLJE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48151-2024</t>
        </is>
      </c>
      <c r="B1808" s="1" t="n">
        <v>45589</v>
      </c>
      <c r="C1808" s="1" t="n">
        <v>45750</v>
      </c>
      <c r="D1808" t="inlineStr">
        <is>
          <t>STOCKHOLMS LÄN</t>
        </is>
      </c>
      <c r="E1808" t="inlineStr">
        <is>
          <t>NORRTÄLJE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48564-2024</t>
        </is>
      </c>
      <c r="B1809" s="1" t="n">
        <v>45593</v>
      </c>
      <c r="C1809" s="1" t="n">
        <v>45750</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48548-2024</t>
        </is>
      </c>
      <c r="B1810" s="1" t="n">
        <v>45593</v>
      </c>
      <c r="C1810" s="1" t="n">
        <v>45750</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48852-2024</t>
        </is>
      </c>
      <c r="B1811" s="1" t="n">
        <v>45593</v>
      </c>
      <c r="C1811" s="1" t="n">
        <v>45750</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48850-2024</t>
        </is>
      </c>
      <c r="B1812" s="1" t="n">
        <v>45593</v>
      </c>
      <c r="C1812" s="1" t="n">
        <v>45750</v>
      </c>
      <c r="D1812" t="inlineStr">
        <is>
          <t>STOCKHOLMS LÄN</t>
        </is>
      </c>
      <c r="E1812" t="inlineStr">
        <is>
          <t>NORRTÄLJE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48851-2024</t>
        </is>
      </c>
      <c r="B1813" s="1" t="n">
        <v>45593</v>
      </c>
      <c r="C1813" s="1" t="n">
        <v>45750</v>
      </c>
      <c r="D1813" t="inlineStr">
        <is>
          <t>STOCKHOLMS LÄN</t>
        </is>
      </c>
      <c r="E1813" t="inlineStr">
        <is>
          <t>NORRTÄLJE</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49949-2024</t>
        </is>
      </c>
      <c r="B1814" s="1" t="n">
        <v>45597</v>
      </c>
      <c r="C1814" s="1" t="n">
        <v>45750</v>
      </c>
      <c r="D1814" t="inlineStr">
        <is>
          <t>STOCKHOLMS LÄN</t>
        </is>
      </c>
      <c r="E1814" t="inlineStr">
        <is>
          <t>NORRTÄLJE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50113-2024</t>
        </is>
      </c>
      <c r="B1815" s="1" t="n">
        <v>45600</v>
      </c>
      <c r="C1815" s="1" t="n">
        <v>45750</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50355-2024</t>
        </is>
      </c>
      <c r="B1816" s="1" t="n">
        <v>45600</v>
      </c>
      <c r="C1816" s="1" t="n">
        <v>45750</v>
      </c>
      <c r="D1816" t="inlineStr">
        <is>
          <t>STOCKHOLMS LÄN</t>
        </is>
      </c>
      <c r="E1816" t="inlineStr">
        <is>
          <t>NORRTÄLJE</t>
        </is>
      </c>
      <c r="F1816" t="inlineStr">
        <is>
          <t>Kommuner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50154-2024</t>
        </is>
      </c>
      <c r="B1817" s="1" t="n">
        <v>45600</v>
      </c>
      <c r="C1817" s="1" t="n">
        <v>45750</v>
      </c>
      <c r="D1817" t="inlineStr">
        <is>
          <t>STOCKHOLMS LÄN</t>
        </is>
      </c>
      <c r="E1817" t="inlineStr">
        <is>
          <t>NORRTÄLJE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50182-2024</t>
        </is>
      </c>
      <c r="B1818" s="1" t="n">
        <v>45600</v>
      </c>
      <c r="C1818" s="1" t="n">
        <v>45750</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50534-2024</t>
        </is>
      </c>
      <c r="B1819" s="1" t="n">
        <v>45601</v>
      </c>
      <c r="C1819" s="1" t="n">
        <v>45750</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52287-2024</t>
        </is>
      </c>
      <c r="B1820" s="1" t="n">
        <v>45608</v>
      </c>
      <c r="C1820" s="1" t="n">
        <v>45750</v>
      </c>
      <c r="D1820" t="inlineStr">
        <is>
          <t>STOCKHOLMS LÄN</t>
        </is>
      </c>
      <c r="E1820" t="inlineStr">
        <is>
          <t>NORRTÄLJE</t>
        </is>
      </c>
      <c r="F1820" t="inlineStr">
        <is>
          <t>Holmen skog AB</t>
        </is>
      </c>
      <c r="G1820" t="n">
        <v>16.1</v>
      </c>
      <c r="H1820" t="n">
        <v>0</v>
      </c>
      <c r="I1820" t="n">
        <v>0</v>
      </c>
      <c r="J1820" t="n">
        <v>0</v>
      </c>
      <c r="K1820" t="n">
        <v>0</v>
      </c>
      <c r="L1820" t="n">
        <v>0</v>
      </c>
      <c r="M1820" t="n">
        <v>0</v>
      </c>
      <c r="N1820" t="n">
        <v>0</v>
      </c>
      <c r="O1820" t="n">
        <v>0</v>
      </c>
      <c r="P1820" t="n">
        <v>0</v>
      </c>
      <c r="Q1820" t="n">
        <v>0</v>
      </c>
      <c r="R1820" s="2" t="inlineStr"/>
    </row>
    <row r="1821" ht="15" customHeight="1">
      <c r="A1821" t="inlineStr">
        <is>
          <t>A 52321-2024</t>
        </is>
      </c>
      <c r="B1821" s="1" t="n">
        <v>45608</v>
      </c>
      <c r="C1821" s="1" t="n">
        <v>45750</v>
      </c>
      <c r="D1821" t="inlineStr">
        <is>
          <t>STOCKHOLMS LÄN</t>
        </is>
      </c>
      <c r="E1821" t="inlineStr">
        <is>
          <t>NORRTÄLJE</t>
        </is>
      </c>
      <c r="G1821" t="n">
        <v>18.1</v>
      </c>
      <c r="H1821" t="n">
        <v>0</v>
      </c>
      <c r="I1821" t="n">
        <v>0</v>
      </c>
      <c r="J1821" t="n">
        <v>0</v>
      </c>
      <c r="K1821" t="n">
        <v>0</v>
      </c>
      <c r="L1821" t="n">
        <v>0</v>
      </c>
      <c r="M1821" t="n">
        <v>0</v>
      </c>
      <c r="N1821" t="n">
        <v>0</v>
      </c>
      <c r="O1821" t="n">
        <v>0</v>
      </c>
      <c r="P1821" t="n">
        <v>0</v>
      </c>
      <c r="Q1821" t="n">
        <v>0</v>
      </c>
      <c r="R1821" s="2" t="inlineStr"/>
    </row>
    <row r="1822" ht="15" customHeight="1">
      <c r="A1822" t="inlineStr">
        <is>
          <t>A 52407-2024</t>
        </is>
      </c>
      <c r="B1822" s="1" t="n">
        <v>45609</v>
      </c>
      <c r="C1822" s="1" t="n">
        <v>45750</v>
      </c>
      <c r="D1822" t="inlineStr">
        <is>
          <t>STOCKHOLMS LÄN</t>
        </is>
      </c>
      <c r="E1822" t="inlineStr">
        <is>
          <t>NORRTÄLJE</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52615-2024</t>
        </is>
      </c>
      <c r="B1823" s="1" t="n">
        <v>45609</v>
      </c>
      <c r="C1823" s="1" t="n">
        <v>45750</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52614-2024</t>
        </is>
      </c>
      <c r="B1824" s="1" t="n">
        <v>45609</v>
      </c>
      <c r="C1824" s="1" t="n">
        <v>45750</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52618-2024</t>
        </is>
      </c>
      <c r="B1825" s="1" t="n">
        <v>45609</v>
      </c>
      <c r="C1825" s="1" t="n">
        <v>45750</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52593-2024</t>
        </is>
      </c>
      <c r="B1826" s="1" t="n">
        <v>45609</v>
      </c>
      <c r="C1826" s="1" t="n">
        <v>45750</v>
      </c>
      <c r="D1826" t="inlineStr">
        <is>
          <t>STOCKHOLMS LÄN</t>
        </is>
      </c>
      <c r="E1826" t="inlineStr">
        <is>
          <t>NORRTÄLJE</t>
        </is>
      </c>
      <c r="F1826" t="inlineStr">
        <is>
          <t>Holmen skog AB</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52617-2024</t>
        </is>
      </c>
      <c r="B1827" s="1" t="n">
        <v>45609</v>
      </c>
      <c r="C1827" s="1" t="n">
        <v>45750</v>
      </c>
      <c r="D1827" t="inlineStr">
        <is>
          <t>STOCKHOLMS LÄN</t>
        </is>
      </c>
      <c r="E1827" t="inlineStr">
        <is>
          <t>NORRTÄLJE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52715-2024</t>
        </is>
      </c>
      <c r="B1828" s="1" t="n">
        <v>45610</v>
      </c>
      <c r="C1828" s="1" t="n">
        <v>45750</v>
      </c>
      <c r="D1828" t="inlineStr">
        <is>
          <t>STOCKHOLMS LÄN</t>
        </is>
      </c>
      <c r="E1828" t="inlineStr">
        <is>
          <t>NORRTÄLJE</t>
        </is>
      </c>
      <c r="G1828" t="n">
        <v>11.1</v>
      </c>
      <c r="H1828" t="n">
        <v>0</v>
      </c>
      <c r="I1828" t="n">
        <v>0</v>
      </c>
      <c r="J1828" t="n">
        <v>0</v>
      </c>
      <c r="K1828" t="n">
        <v>0</v>
      </c>
      <c r="L1828" t="n">
        <v>0</v>
      </c>
      <c r="M1828" t="n">
        <v>0</v>
      </c>
      <c r="N1828" t="n">
        <v>0</v>
      </c>
      <c r="O1828" t="n">
        <v>0</v>
      </c>
      <c r="P1828" t="n">
        <v>0</v>
      </c>
      <c r="Q1828" t="n">
        <v>0</v>
      </c>
      <c r="R1828" s="2" t="inlineStr"/>
      <c r="U1828">
        <f>HYPERLINK("https://klasma.github.io/Logging_0188/knärot/A 52715-2024 karta knärot.png", "A 52715-2024")</f>
        <v/>
      </c>
      <c r="V1828">
        <f>HYPERLINK("https://klasma.github.io/Logging_0188/klagomål/A 52715-2024 FSC-klagomål.docx", "A 52715-2024")</f>
        <v/>
      </c>
      <c r="W1828">
        <f>HYPERLINK("https://klasma.github.io/Logging_0188/klagomålsmail/A 52715-2024 FSC-klagomål mail.docx", "A 52715-2024")</f>
        <v/>
      </c>
      <c r="X1828">
        <f>HYPERLINK("https://klasma.github.io/Logging_0188/tillsyn/A 52715-2024 tillsynsbegäran.docx", "A 52715-2024")</f>
        <v/>
      </c>
      <c r="Y1828">
        <f>HYPERLINK("https://klasma.github.io/Logging_0188/tillsynsmail/A 52715-2024 tillsynsbegäran mail.docx", "A 52715-2024")</f>
        <v/>
      </c>
    </row>
    <row r="1829" ht="15" customHeight="1">
      <c r="A1829" t="inlineStr">
        <is>
          <t>A 52743-2024</t>
        </is>
      </c>
      <c r="B1829" s="1" t="n">
        <v>45610</v>
      </c>
      <c r="C1829" s="1" t="n">
        <v>45750</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52686-2024</t>
        </is>
      </c>
      <c r="B1830" s="1" t="n">
        <v>45610</v>
      </c>
      <c r="C1830" s="1" t="n">
        <v>45750</v>
      </c>
      <c r="D1830" t="inlineStr">
        <is>
          <t>STOCKHOLMS LÄN</t>
        </is>
      </c>
      <c r="E1830" t="inlineStr">
        <is>
          <t>NORRTÄLJE</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53312-2024</t>
        </is>
      </c>
      <c r="B1831" s="1" t="n">
        <v>45614</v>
      </c>
      <c r="C1831" s="1" t="n">
        <v>45750</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53305-2024</t>
        </is>
      </c>
      <c r="B1832" s="1" t="n">
        <v>45614</v>
      </c>
      <c r="C1832" s="1" t="n">
        <v>45750</v>
      </c>
      <c r="D1832" t="inlineStr">
        <is>
          <t>STOCKHOLMS LÄN</t>
        </is>
      </c>
      <c r="E1832" t="inlineStr">
        <is>
          <t>NORRTÄLJE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54113-2024</t>
        </is>
      </c>
      <c r="B1833" s="1" t="n">
        <v>45616</v>
      </c>
      <c r="C1833" s="1" t="n">
        <v>45750</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54315-2024</t>
        </is>
      </c>
      <c r="B1834" s="1" t="n">
        <v>45617</v>
      </c>
      <c r="C1834" s="1" t="n">
        <v>45750</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54558-2024</t>
        </is>
      </c>
      <c r="B1835" s="1" t="n">
        <v>45617</v>
      </c>
      <c r="C1835" s="1" t="n">
        <v>45750</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54496-2024</t>
        </is>
      </c>
      <c r="B1836" s="1" t="n">
        <v>45617</v>
      </c>
      <c r="C1836" s="1" t="n">
        <v>45750</v>
      </c>
      <c r="D1836" t="inlineStr">
        <is>
          <t>STOCKHOLMS LÄN</t>
        </is>
      </c>
      <c r="E1836" t="inlineStr">
        <is>
          <t>NORRTÄLJE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54504-2024</t>
        </is>
      </c>
      <c r="B1837" s="1" t="n">
        <v>45617</v>
      </c>
      <c r="C1837" s="1" t="n">
        <v>45750</v>
      </c>
      <c r="D1837" t="inlineStr">
        <is>
          <t>STOCKHOLMS LÄN</t>
        </is>
      </c>
      <c r="E1837" t="inlineStr">
        <is>
          <t>NORRTÄLJE</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55018-2024</t>
        </is>
      </c>
      <c r="B1838" s="1" t="n">
        <v>45621</v>
      </c>
      <c r="C1838" s="1" t="n">
        <v>45750</v>
      </c>
      <c r="D1838" t="inlineStr">
        <is>
          <t>STOCKHOLMS LÄN</t>
        </is>
      </c>
      <c r="E1838" t="inlineStr">
        <is>
          <t>NORRTÄLJE</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55010-2024</t>
        </is>
      </c>
      <c r="B1839" s="1" t="n">
        <v>45621</v>
      </c>
      <c r="C1839" s="1" t="n">
        <v>45750</v>
      </c>
      <c r="D1839" t="inlineStr">
        <is>
          <t>STOCKHOLMS LÄN</t>
        </is>
      </c>
      <c r="E1839" t="inlineStr">
        <is>
          <t>NORRTÄLJE</t>
        </is>
      </c>
      <c r="F1839" t="inlineStr">
        <is>
          <t>Sveaskog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55287-2024</t>
        </is>
      </c>
      <c r="B1840" s="1" t="n">
        <v>45621</v>
      </c>
      <c r="C1840" s="1" t="n">
        <v>45750</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55012-2024</t>
        </is>
      </c>
      <c r="B1841" s="1" t="n">
        <v>45621</v>
      </c>
      <c r="C1841" s="1" t="n">
        <v>45750</v>
      </c>
      <c r="D1841" t="inlineStr">
        <is>
          <t>STOCKHOLMS LÄN</t>
        </is>
      </c>
      <c r="E1841" t="inlineStr">
        <is>
          <t>NORRTÄLJE</t>
        </is>
      </c>
      <c r="F1841" t="inlineStr">
        <is>
          <t>Sveaskog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55952-2024</t>
        </is>
      </c>
      <c r="B1842" s="1" t="n">
        <v>45623</v>
      </c>
      <c r="C1842" s="1" t="n">
        <v>45750</v>
      </c>
      <c r="D1842" t="inlineStr">
        <is>
          <t>STOCKHOLMS LÄN</t>
        </is>
      </c>
      <c r="E1842" t="inlineStr">
        <is>
          <t>NORRTÄLJE</t>
        </is>
      </c>
      <c r="F1842" t="inlineStr">
        <is>
          <t>Holmen skog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56631-2024</t>
        </is>
      </c>
      <c r="B1843" s="1" t="n">
        <v>45625</v>
      </c>
      <c r="C1843" s="1" t="n">
        <v>45750</v>
      </c>
      <c r="D1843" t="inlineStr">
        <is>
          <t>STOCKHOLMS LÄN</t>
        </is>
      </c>
      <c r="E1843" t="inlineStr">
        <is>
          <t>NORRTÄLJE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57155-2024</t>
        </is>
      </c>
      <c r="B1844" s="1" t="n">
        <v>45629</v>
      </c>
      <c r="C1844" s="1" t="n">
        <v>45750</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57353-2024</t>
        </is>
      </c>
      <c r="B1845" s="1" t="n">
        <v>45629</v>
      </c>
      <c r="C1845" s="1" t="n">
        <v>45750</v>
      </c>
      <c r="D1845" t="inlineStr">
        <is>
          <t>STOCKHOLMS LÄN</t>
        </is>
      </c>
      <c r="E1845" t="inlineStr">
        <is>
          <t>NORRTÄLJE</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57602-2024</t>
        </is>
      </c>
      <c r="B1846" s="1" t="n">
        <v>45630</v>
      </c>
      <c r="C1846" s="1" t="n">
        <v>45750</v>
      </c>
      <c r="D1846" t="inlineStr">
        <is>
          <t>STOCKHOLMS LÄN</t>
        </is>
      </c>
      <c r="E1846" t="inlineStr">
        <is>
          <t>NORRTÄLJE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58040-2024</t>
        </is>
      </c>
      <c r="B1847" s="1" t="n">
        <v>45631</v>
      </c>
      <c r="C1847" s="1" t="n">
        <v>45750</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58041-2024</t>
        </is>
      </c>
      <c r="B1848" s="1" t="n">
        <v>45631</v>
      </c>
      <c r="C1848" s="1" t="n">
        <v>45750</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58530-2024</t>
        </is>
      </c>
      <c r="B1849" s="1" t="n">
        <v>45635</v>
      </c>
      <c r="C1849" s="1" t="n">
        <v>45750</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58785-2024</t>
        </is>
      </c>
      <c r="B1850" s="1" t="n">
        <v>45635</v>
      </c>
      <c r="C1850" s="1" t="n">
        <v>45750</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58863-2024</t>
        </is>
      </c>
      <c r="B1851" s="1" t="n">
        <v>45636</v>
      </c>
      <c r="C1851" s="1" t="n">
        <v>45750</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58853-2024</t>
        </is>
      </c>
      <c r="B1852" s="1" t="n">
        <v>45636</v>
      </c>
      <c r="C1852" s="1" t="n">
        <v>45750</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59091-2024</t>
        </is>
      </c>
      <c r="B1853" s="1" t="n">
        <v>45637</v>
      </c>
      <c r="C1853" s="1" t="n">
        <v>45750</v>
      </c>
      <c r="D1853" t="inlineStr">
        <is>
          <t>STOCKHOLMS LÄN</t>
        </is>
      </c>
      <c r="E1853" t="inlineStr">
        <is>
          <t>NORRTÄLJE</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59274-2024</t>
        </is>
      </c>
      <c r="B1854" s="1" t="n">
        <v>45637</v>
      </c>
      <c r="C1854" s="1" t="n">
        <v>45750</v>
      </c>
      <c r="D1854" t="inlineStr">
        <is>
          <t>STOCKHOLMS LÄN</t>
        </is>
      </c>
      <c r="E1854" t="inlineStr">
        <is>
          <t>NORRTÄLJE</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59534-2024</t>
        </is>
      </c>
      <c r="B1855" s="1" t="n">
        <v>45638</v>
      </c>
      <c r="C1855" s="1" t="n">
        <v>45750</v>
      </c>
      <c r="D1855" t="inlineStr">
        <is>
          <t>STOCKHOLMS LÄN</t>
        </is>
      </c>
      <c r="E1855" t="inlineStr">
        <is>
          <t>NORRTÄLJE</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59535-2024</t>
        </is>
      </c>
      <c r="B1856" s="1" t="n">
        <v>45638</v>
      </c>
      <c r="C1856" s="1" t="n">
        <v>45750</v>
      </c>
      <c r="D1856" t="inlineStr">
        <is>
          <t>STOCKHOLMS LÄN</t>
        </is>
      </c>
      <c r="E1856" t="inlineStr">
        <is>
          <t>NORRTÄLJE</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59721-2024</t>
        </is>
      </c>
      <c r="B1857" s="1" t="n">
        <v>45639</v>
      </c>
      <c r="C1857" s="1" t="n">
        <v>45750</v>
      </c>
      <c r="D1857" t="inlineStr">
        <is>
          <t>STOCKHOLMS LÄN</t>
        </is>
      </c>
      <c r="E1857" t="inlineStr">
        <is>
          <t>NORRTÄLJE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59712-2024</t>
        </is>
      </c>
      <c r="B1858" s="1" t="n">
        <v>45639</v>
      </c>
      <c r="C1858" s="1" t="n">
        <v>45750</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59876-2024</t>
        </is>
      </c>
      <c r="B1859" s="1" t="n">
        <v>45640</v>
      </c>
      <c r="C1859" s="1" t="n">
        <v>45750</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59875-2024</t>
        </is>
      </c>
      <c r="B1860" s="1" t="n">
        <v>45640</v>
      </c>
      <c r="C1860" s="1" t="n">
        <v>45750</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59873-2024</t>
        </is>
      </c>
      <c r="B1861" s="1" t="n">
        <v>45640</v>
      </c>
      <c r="C1861" s="1" t="n">
        <v>45750</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59877-2024</t>
        </is>
      </c>
      <c r="B1862" s="1" t="n">
        <v>45640</v>
      </c>
      <c r="C1862" s="1" t="n">
        <v>45750</v>
      </c>
      <c r="D1862" t="inlineStr">
        <is>
          <t>STOCKHOLMS LÄN</t>
        </is>
      </c>
      <c r="E1862" t="inlineStr">
        <is>
          <t>NORRTÄLJE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59874-2024</t>
        </is>
      </c>
      <c r="B1863" s="1" t="n">
        <v>45640</v>
      </c>
      <c r="C1863" s="1" t="n">
        <v>45750</v>
      </c>
      <c r="D1863" t="inlineStr">
        <is>
          <t>STOCKHOLMS LÄN</t>
        </is>
      </c>
      <c r="E1863" t="inlineStr">
        <is>
          <t>NORRTÄLJE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59878-2024</t>
        </is>
      </c>
      <c r="B1864" s="1" t="n">
        <v>45640</v>
      </c>
      <c r="C1864" s="1" t="n">
        <v>45750</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60185-2024</t>
        </is>
      </c>
      <c r="B1865" s="1" t="n">
        <v>45642</v>
      </c>
      <c r="C1865" s="1" t="n">
        <v>45750</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60166-2024</t>
        </is>
      </c>
      <c r="B1866" s="1" t="n">
        <v>45642</v>
      </c>
      <c r="C1866" s="1" t="n">
        <v>45750</v>
      </c>
      <c r="D1866" t="inlineStr">
        <is>
          <t>STOCKHOLMS LÄN</t>
        </is>
      </c>
      <c r="E1866" t="inlineStr">
        <is>
          <t>NORRTÄLJE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60160-2024</t>
        </is>
      </c>
      <c r="B1867" s="1" t="n">
        <v>45642</v>
      </c>
      <c r="C1867" s="1" t="n">
        <v>45750</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60317-2024</t>
        </is>
      </c>
      <c r="B1868" s="1" t="n">
        <v>45643</v>
      </c>
      <c r="C1868" s="1" t="n">
        <v>45750</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60694-2024</t>
        </is>
      </c>
      <c r="B1869" s="1" t="n">
        <v>45644</v>
      </c>
      <c r="C1869" s="1" t="n">
        <v>45750</v>
      </c>
      <c r="D1869" t="inlineStr">
        <is>
          <t>STOCKHOLMS LÄN</t>
        </is>
      </c>
      <c r="E1869" t="inlineStr">
        <is>
          <t>NORRTÄLJE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60884-2024</t>
        </is>
      </c>
      <c r="B1870" s="1" t="n">
        <v>45644</v>
      </c>
      <c r="C1870" s="1" t="n">
        <v>45750</v>
      </c>
      <c r="D1870" t="inlineStr">
        <is>
          <t>STOCKHOLMS LÄN</t>
        </is>
      </c>
      <c r="E1870" t="inlineStr">
        <is>
          <t>NORRTÄLJE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61516-2024</t>
        </is>
      </c>
      <c r="B1871" s="1" t="n">
        <v>45646</v>
      </c>
      <c r="C1871" s="1" t="n">
        <v>45750</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62168-2024</t>
        </is>
      </c>
      <c r="B1872" s="1" t="n">
        <v>45657</v>
      </c>
      <c r="C1872" s="1" t="n">
        <v>45750</v>
      </c>
      <c r="D1872" t="inlineStr">
        <is>
          <t>STOCKHOLMS LÄN</t>
        </is>
      </c>
      <c r="E1872" t="inlineStr">
        <is>
          <t>NORRTÄLJE</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19-2025</t>
        </is>
      </c>
      <c r="B1873" s="1" t="n">
        <v>45658</v>
      </c>
      <c r="C1873" s="1" t="n">
        <v>45750</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22-2025</t>
        </is>
      </c>
      <c r="B1874" s="1" t="n">
        <v>45658</v>
      </c>
      <c r="C1874" s="1" t="n">
        <v>45750</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520-2025</t>
        </is>
      </c>
      <c r="B1875" s="1" t="n">
        <v>45664</v>
      </c>
      <c r="C1875" s="1" t="n">
        <v>45750</v>
      </c>
      <c r="D1875" t="inlineStr">
        <is>
          <t>STOCKHOLMS LÄN</t>
        </is>
      </c>
      <c r="E1875" t="inlineStr">
        <is>
          <t>NORRTÄLJE</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652-2025</t>
        </is>
      </c>
      <c r="B1876" s="1" t="n">
        <v>45664</v>
      </c>
      <c r="C1876" s="1" t="n">
        <v>45750</v>
      </c>
      <c r="D1876" t="inlineStr">
        <is>
          <t>STOCKHOLMS LÄN</t>
        </is>
      </c>
      <c r="E1876" t="inlineStr">
        <is>
          <t>NORRTÄLJE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827-2025</t>
        </is>
      </c>
      <c r="B1877" s="1" t="n">
        <v>45665</v>
      </c>
      <c r="C1877" s="1" t="n">
        <v>45750</v>
      </c>
      <c r="D1877" t="inlineStr">
        <is>
          <t>STOCKHOLMS LÄN</t>
        </is>
      </c>
      <c r="E1877" t="inlineStr">
        <is>
          <t>NORRTÄLJE</t>
        </is>
      </c>
      <c r="F1877" t="inlineStr">
        <is>
          <t>Övriga Aktiebolag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1283-2025</t>
        </is>
      </c>
      <c r="B1878" s="1" t="n">
        <v>45667</v>
      </c>
      <c r="C1878" s="1" t="n">
        <v>45750</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1360-2025</t>
        </is>
      </c>
      <c r="B1879" s="1" t="n">
        <v>45667</v>
      </c>
      <c r="C1879" s="1" t="n">
        <v>45750</v>
      </c>
      <c r="D1879" t="inlineStr">
        <is>
          <t>STOCKHOLMS LÄN</t>
        </is>
      </c>
      <c r="E1879" t="inlineStr">
        <is>
          <t>NORRTÄLJE</t>
        </is>
      </c>
      <c r="F1879" t="inlineStr">
        <is>
          <t>Kyrkan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1425-2025</t>
        </is>
      </c>
      <c r="B1880" s="1" t="n">
        <v>45668</v>
      </c>
      <c r="C1880" s="1" t="n">
        <v>45750</v>
      </c>
      <c r="D1880" t="inlineStr">
        <is>
          <t>STOCKHOLMS LÄN</t>
        </is>
      </c>
      <c r="E1880" t="inlineStr">
        <is>
          <t>NORRTÄLJE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v>
      </c>
      <c r="C1881" s="1" t="n">
        <v>45750</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1453-2025</t>
        </is>
      </c>
      <c r="B1882" s="1" t="n">
        <v>45670</v>
      </c>
      <c r="C1882" s="1" t="n">
        <v>45750</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1890-2025</t>
        </is>
      </c>
      <c r="B1883" s="1" t="n">
        <v>45671</v>
      </c>
      <c r="C1883" s="1" t="n">
        <v>45750</v>
      </c>
      <c r="D1883" t="inlineStr">
        <is>
          <t>STOCKHOLMS LÄN</t>
        </is>
      </c>
      <c r="E1883" t="inlineStr">
        <is>
          <t>NORRTÄLJE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2153-2025</t>
        </is>
      </c>
      <c r="B1884" s="1" t="n">
        <v>45672</v>
      </c>
      <c r="C1884" s="1" t="n">
        <v>45750</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2127-2025</t>
        </is>
      </c>
      <c r="B1885" s="1" t="n">
        <v>45672</v>
      </c>
      <c r="C1885" s="1" t="n">
        <v>45750</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2627-2025</t>
        </is>
      </c>
      <c r="B1886" s="1" t="n">
        <v>45675</v>
      </c>
      <c r="C1886" s="1" t="n">
        <v>45750</v>
      </c>
      <c r="D1886" t="inlineStr">
        <is>
          <t>STOCKHOLMS LÄN</t>
        </is>
      </c>
      <c r="E1886" t="inlineStr">
        <is>
          <t>NORRTÄLJE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3117-2025</t>
        </is>
      </c>
      <c r="B1887" s="1" t="n">
        <v>45678</v>
      </c>
      <c r="C1887" s="1" t="n">
        <v>45750</v>
      </c>
      <c r="D1887" t="inlineStr">
        <is>
          <t>STOCKHOLMS LÄN</t>
        </is>
      </c>
      <c r="E1887" t="inlineStr">
        <is>
          <t>NORRTÄLJE</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3273-2025</t>
        </is>
      </c>
      <c r="B1888" s="1" t="n">
        <v>45679</v>
      </c>
      <c r="C1888" s="1" t="n">
        <v>45750</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3283-2025</t>
        </is>
      </c>
      <c r="B1889" s="1" t="n">
        <v>45679</v>
      </c>
      <c r="C1889" s="1" t="n">
        <v>45750</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3512-2025</t>
        </is>
      </c>
      <c r="B1890" s="1" t="n">
        <v>45680</v>
      </c>
      <c r="C1890" s="1" t="n">
        <v>45750</v>
      </c>
      <c r="D1890" t="inlineStr">
        <is>
          <t>STOCKHOLMS LÄN</t>
        </is>
      </c>
      <c r="E1890" t="inlineStr">
        <is>
          <t>NORRTÄLJE</t>
        </is>
      </c>
      <c r="F1890" t="inlineStr">
        <is>
          <t>Naturvårdsverket</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3426-2025</t>
        </is>
      </c>
      <c r="B1891" s="1" t="n">
        <v>45680</v>
      </c>
      <c r="C1891" s="1" t="n">
        <v>45750</v>
      </c>
      <c r="D1891" t="inlineStr">
        <is>
          <t>STOCKHOLMS LÄN</t>
        </is>
      </c>
      <c r="E1891" t="inlineStr">
        <is>
          <t>NORRTÄLJE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4183-2025</t>
        </is>
      </c>
      <c r="B1892" s="1" t="n">
        <v>45685</v>
      </c>
      <c r="C1892" s="1" t="n">
        <v>45750</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4195-2025</t>
        </is>
      </c>
      <c r="B1893" s="1" t="n">
        <v>45685</v>
      </c>
      <c r="C1893" s="1" t="n">
        <v>45750</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4148-2025</t>
        </is>
      </c>
      <c r="B1894" s="1" t="n">
        <v>45685</v>
      </c>
      <c r="C1894" s="1" t="n">
        <v>45750</v>
      </c>
      <c r="D1894" t="inlineStr">
        <is>
          <t>STOCKHOLMS LÄN</t>
        </is>
      </c>
      <c r="E1894" t="inlineStr">
        <is>
          <t>NORRTÄLJE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4164-2025</t>
        </is>
      </c>
      <c r="B1895" s="1" t="n">
        <v>45685</v>
      </c>
      <c r="C1895" s="1" t="n">
        <v>45750</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4415-2025</t>
        </is>
      </c>
      <c r="B1896" s="1" t="n">
        <v>45686</v>
      </c>
      <c r="C1896" s="1" t="n">
        <v>45750</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4498-2025</t>
        </is>
      </c>
      <c r="B1897" s="1" t="n">
        <v>45686</v>
      </c>
      <c r="C1897" s="1" t="n">
        <v>45750</v>
      </c>
      <c r="D1897" t="inlineStr">
        <is>
          <t>STOCKHOLMS LÄN</t>
        </is>
      </c>
      <c r="E1897" t="inlineStr">
        <is>
          <t>NORRTÄLJE</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4484-2025</t>
        </is>
      </c>
      <c r="B1898" s="1" t="n">
        <v>45686</v>
      </c>
      <c r="C1898" s="1" t="n">
        <v>45750</v>
      </c>
      <c r="D1898" t="inlineStr">
        <is>
          <t>STOCKHOLMS LÄN</t>
        </is>
      </c>
      <c r="E1898" t="inlineStr">
        <is>
          <t>NORRTÄLJE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4350-2025</t>
        </is>
      </c>
      <c r="B1899" s="1" t="n">
        <v>45686</v>
      </c>
      <c r="C1899" s="1" t="n">
        <v>45750</v>
      </c>
      <c r="D1899" t="inlineStr">
        <is>
          <t>STOCKHOLMS LÄN</t>
        </is>
      </c>
      <c r="E1899" t="inlineStr">
        <is>
          <t>NORRTÄLJE</t>
        </is>
      </c>
      <c r="F1899" t="inlineStr">
        <is>
          <t>Övriga Aktiebolag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4580-2025</t>
        </is>
      </c>
      <c r="B1900" s="1" t="n">
        <v>45687</v>
      </c>
      <c r="C1900" s="1" t="n">
        <v>45750</v>
      </c>
      <c r="D1900" t="inlineStr">
        <is>
          <t>STOCKHOLMS LÄN</t>
        </is>
      </c>
      <c r="E1900" t="inlineStr">
        <is>
          <t>NORRTÄLJE</t>
        </is>
      </c>
      <c r="F1900" t="inlineStr">
        <is>
          <t>Holmen skog AB</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4581-2025</t>
        </is>
      </c>
      <c r="B1901" s="1" t="n">
        <v>45687</v>
      </c>
      <c r="C1901" s="1" t="n">
        <v>45750</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4715-2025</t>
        </is>
      </c>
      <c r="B1902" s="1" t="n">
        <v>45688</v>
      </c>
      <c r="C1902" s="1" t="n">
        <v>45750</v>
      </c>
      <c r="D1902" t="inlineStr">
        <is>
          <t>STOCKHOLMS LÄN</t>
        </is>
      </c>
      <c r="E1902" t="inlineStr">
        <is>
          <t>NORRTÄLJE</t>
        </is>
      </c>
      <c r="G1902" t="n">
        <v>1.4</v>
      </c>
      <c r="H1902" t="n">
        <v>0</v>
      </c>
      <c r="I1902" t="n">
        <v>0</v>
      </c>
      <c r="J1902" t="n">
        <v>0</v>
      </c>
      <c r="K1902" t="n">
        <v>0</v>
      </c>
      <c r="L1902" t="n">
        <v>0</v>
      </c>
      <c r="M1902" t="n">
        <v>0</v>
      </c>
      <c r="N1902" t="n">
        <v>0</v>
      </c>
      <c r="O1902" t="n">
        <v>0</v>
      </c>
      <c r="P1902" t="n">
        <v>0</v>
      </c>
      <c r="Q1902" t="n">
        <v>0</v>
      </c>
      <c r="R1902" s="2" t="inlineStr"/>
      <c r="U1902">
        <f>HYPERLINK("https://klasma.github.io/Logging_0188/knärot/A 4715-2025 karta knärot.png", "A 4715-2025")</f>
        <v/>
      </c>
      <c r="V1902">
        <f>HYPERLINK("https://klasma.github.io/Logging_0188/klagomål/A 4715-2025 FSC-klagomål.docx", "A 4715-2025")</f>
        <v/>
      </c>
      <c r="W1902">
        <f>HYPERLINK("https://klasma.github.io/Logging_0188/klagomålsmail/A 4715-2025 FSC-klagomål mail.docx", "A 4715-2025")</f>
        <v/>
      </c>
      <c r="X1902">
        <f>HYPERLINK("https://klasma.github.io/Logging_0188/tillsyn/A 4715-2025 tillsynsbegäran.docx", "A 4715-2025")</f>
        <v/>
      </c>
      <c r="Y1902">
        <f>HYPERLINK("https://klasma.github.io/Logging_0188/tillsynsmail/A 4715-2025 tillsynsbegäran mail.docx", "A 4715-2025")</f>
        <v/>
      </c>
    </row>
    <row r="1903" ht="15" customHeight="1">
      <c r="A1903" t="inlineStr">
        <is>
          <t>A 5027-2025</t>
        </is>
      </c>
      <c r="B1903" s="1" t="n">
        <v>45691</v>
      </c>
      <c r="C1903" s="1" t="n">
        <v>45750</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5389-2025</t>
        </is>
      </c>
      <c r="B1904" s="1" t="n">
        <v>45692</v>
      </c>
      <c r="C1904" s="1" t="n">
        <v>45750</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5665-2025</t>
        </is>
      </c>
      <c r="B1905" s="1" t="n">
        <v>45693</v>
      </c>
      <c r="C1905" s="1" t="n">
        <v>45750</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5804-2025</t>
        </is>
      </c>
      <c r="B1906" s="1" t="n">
        <v>45694</v>
      </c>
      <c r="C1906" s="1" t="n">
        <v>45750</v>
      </c>
      <c r="D1906" t="inlineStr">
        <is>
          <t>STOCKHOLMS LÄN</t>
        </is>
      </c>
      <c r="E1906" t="inlineStr">
        <is>
          <t>NORRTÄLJE</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6003-2025</t>
        </is>
      </c>
      <c r="B1907" s="1" t="n">
        <v>45695</v>
      </c>
      <c r="C1907" s="1" t="n">
        <v>45750</v>
      </c>
      <c r="D1907" t="inlineStr">
        <is>
          <t>STOCKHOLMS LÄN</t>
        </is>
      </c>
      <c r="E1907" t="inlineStr">
        <is>
          <t>NORRTÄLJE</t>
        </is>
      </c>
      <c r="F1907" t="inlineStr">
        <is>
          <t>Holmen skog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6413-2025</t>
        </is>
      </c>
      <c r="B1908" s="1" t="n">
        <v>45699</v>
      </c>
      <c r="C1908" s="1" t="n">
        <v>45750</v>
      </c>
      <c r="D1908" t="inlineStr">
        <is>
          <t>STOCKHOLMS LÄN</t>
        </is>
      </c>
      <c r="E1908" t="inlineStr">
        <is>
          <t>NORRTÄLJE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6855-2025</t>
        </is>
      </c>
      <c r="B1909" s="1" t="n">
        <v>45700</v>
      </c>
      <c r="C1909" s="1" t="n">
        <v>45750</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6678-2025</t>
        </is>
      </c>
      <c r="B1910" s="1" t="n">
        <v>45700</v>
      </c>
      <c r="C1910" s="1" t="n">
        <v>45750</v>
      </c>
      <c r="D1910" t="inlineStr">
        <is>
          <t>STOCKHOLMS LÄN</t>
        </is>
      </c>
      <c r="E1910" t="inlineStr">
        <is>
          <t>NORRTÄLJE</t>
        </is>
      </c>
      <c r="F1910" t="inlineStr">
        <is>
          <t>Övriga Aktiebolag</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6919-2025</t>
        </is>
      </c>
      <c r="B1911" s="1" t="n">
        <v>45701</v>
      </c>
      <c r="C1911" s="1" t="n">
        <v>45750</v>
      </c>
      <c r="D1911" t="inlineStr">
        <is>
          <t>STOCKHOLMS LÄN</t>
        </is>
      </c>
      <c r="E1911" t="inlineStr">
        <is>
          <t>NORRTÄLJE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6996-2025</t>
        </is>
      </c>
      <c r="B1912" s="1" t="n">
        <v>45701</v>
      </c>
      <c r="C1912" s="1" t="n">
        <v>45750</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7603-2025</t>
        </is>
      </c>
      <c r="B1913" s="1" t="n">
        <v>45705</v>
      </c>
      <c r="C1913" s="1" t="n">
        <v>45750</v>
      </c>
      <c r="D1913" t="inlineStr">
        <is>
          <t>STOCKHOLMS LÄN</t>
        </is>
      </c>
      <c r="E1913" t="inlineStr">
        <is>
          <t>NORRTÄLJE</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7781-2025</t>
        </is>
      </c>
      <c r="B1914" s="1" t="n">
        <v>45706</v>
      </c>
      <c r="C1914" s="1" t="n">
        <v>45750</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7806-2025</t>
        </is>
      </c>
      <c r="B1915" s="1" t="n">
        <v>45706</v>
      </c>
      <c r="C1915" s="1" t="n">
        <v>45750</v>
      </c>
      <c r="D1915" t="inlineStr">
        <is>
          <t>STOCKHOLMS LÄN</t>
        </is>
      </c>
      <c r="E1915" t="inlineStr">
        <is>
          <t>NORRTÄLJE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7697-2025</t>
        </is>
      </c>
      <c r="B1916" s="1" t="n">
        <v>45706</v>
      </c>
      <c r="C1916" s="1" t="n">
        <v>45750</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7784-2025</t>
        </is>
      </c>
      <c r="B1917" s="1" t="n">
        <v>45706</v>
      </c>
      <c r="C1917" s="1" t="n">
        <v>45750</v>
      </c>
      <c r="D1917" t="inlineStr">
        <is>
          <t>STOCKHOLMS LÄN</t>
        </is>
      </c>
      <c r="E1917" t="inlineStr">
        <is>
          <t>NORRTÄLJE</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7796-2025</t>
        </is>
      </c>
      <c r="B1918" s="1" t="n">
        <v>45706</v>
      </c>
      <c r="C1918" s="1" t="n">
        <v>45750</v>
      </c>
      <c r="D1918" t="inlineStr">
        <is>
          <t>STOCKHOLMS LÄN</t>
        </is>
      </c>
      <c r="E1918" t="inlineStr">
        <is>
          <t>NORRTÄLJE</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45750</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45750</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45750</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8132-2025</t>
        </is>
      </c>
      <c r="B1922" s="1" t="n">
        <v>45707</v>
      </c>
      <c r="C1922" s="1" t="n">
        <v>45750</v>
      </c>
      <c r="D1922" t="inlineStr">
        <is>
          <t>STOCKHOLMS LÄN</t>
        </is>
      </c>
      <c r="E1922" t="inlineStr">
        <is>
          <t>NORRTÄLJE</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8135-2025</t>
        </is>
      </c>
      <c r="B1923" s="1" t="n">
        <v>45707</v>
      </c>
      <c r="C1923" s="1" t="n">
        <v>45750</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8231-2025</t>
        </is>
      </c>
      <c r="B1924" s="1" t="n">
        <v>45708</v>
      </c>
      <c r="C1924" s="1" t="n">
        <v>45750</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8370-2025</t>
        </is>
      </c>
      <c r="B1925" s="1" t="n">
        <v>45708</v>
      </c>
      <c r="C1925" s="1" t="n">
        <v>45750</v>
      </c>
      <c r="D1925" t="inlineStr">
        <is>
          <t>STOCKHOLMS LÄN</t>
        </is>
      </c>
      <c r="E1925" t="inlineStr">
        <is>
          <t>NORRTÄLJE</t>
        </is>
      </c>
      <c r="F1925" t="inlineStr">
        <is>
          <t>Övriga Aktiebolag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8315-2025</t>
        </is>
      </c>
      <c r="B1926" s="1" t="n">
        <v>45708</v>
      </c>
      <c r="C1926" s="1" t="n">
        <v>45750</v>
      </c>
      <c r="D1926" t="inlineStr">
        <is>
          <t>STOCKHOLMS LÄN</t>
        </is>
      </c>
      <c r="E1926" t="inlineStr">
        <is>
          <t>NORRTÄLJE</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8419-2025</t>
        </is>
      </c>
      <c r="B1927" s="1" t="n">
        <v>45709</v>
      </c>
      <c r="C1927" s="1" t="n">
        <v>45750</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45750</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8414-2025</t>
        </is>
      </c>
      <c r="B1929" s="1" t="n">
        <v>45709</v>
      </c>
      <c r="C1929" s="1" t="n">
        <v>45750</v>
      </c>
      <c r="D1929" t="inlineStr">
        <is>
          <t>STOCKHOLMS LÄN</t>
        </is>
      </c>
      <c r="E1929" t="inlineStr">
        <is>
          <t>NORRTÄLJE</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8587-2025</t>
        </is>
      </c>
      <c r="B1930" s="1" t="n">
        <v>45709</v>
      </c>
      <c r="C1930" s="1" t="n">
        <v>45750</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8792-2025</t>
        </is>
      </c>
      <c r="B1931" s="1" t="n">
        <v>45712</v>
      </c>
      <c r="C1931" s="1" t="n">
        <v>45750</v>
      </c>
      <c r="D1931" t="inlineStr">
        <is>
          <t>STOCKHOLMS LÄN</t>
        </is>
      </c>
      <c r="E1931" t="inlineStr">
        <is>
          <t>NORRTÄLJE</t>
        </is>
      </c>
      <c r="F1931" t="inlineStr">
        <is>
          <t>Övriga Aktiebolag</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8950-2025</t>
        </is>
      </c>
      <c r="B1932" s="1" t="n">
        <v>45713</v>
      </c>
      <c r="C1932" s="1" t="n">
        <v>45750</v>
      </c>
      <c r="D1932" t="inlineStr">
        <is>
          <t>STOCKHOLMS LÄN</t>
        </is>
      </c>
      <c r="E1932" t="inlineStr">
        <is>
          <t>NORRTÄLJE</t>
        </is>
      </c>
      <c r="F1932" t="inlineStr">
        <is>
          <t>Övriga Aktiebolag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8963-2025</t>
        </is>
      </c>
      <c r="B1933" s="1" t="n">
        <v>45713</v>
      </c>
      <c r="C1933" s="1" t="n">
        <v>45750</v>
      </c>
      <c r="D1933" t="inlineStr">
        <is>
          <t>STOCKHOLMS LÄN</t>
        </is>
      </c>
      <c r="E1933" t="inlineStr">
        <is>
          <t>NORRTÄLJE</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9130-2025</t>
        </is>
      </c>
      <c r="B1934" s="1" t="n">
        <v>45713</v>
      </c>
      <c r="C1934" s="1" t="n">
        <v>45750</v>
      </c>
      <c r="D1934" t="inlineStr">
        <is>
          <t>STOCKHOLMS LÄN</t>
        </is>
      </c>
      <c r="E1934" t="inlineStr">
        <is>
          <t>NORRTÄLJE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45750</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9480-2025</t>
        </is>
      </c>
      <c r="B1936" s="1" t="n">
        <v>45715</v>
      </c>
      <c r="C1936" s="1" t="n">
        <v>45750</v>
      </c>
      <c r="D1936" t="inlineStr">
        <is>
          <t>STOCKHOLMS LÄN</t>
        </is>
      </c>
      <c r="E1936" t="inlineStr">
        <is>
          <t>NORRTÄLJE</t>
        </is>
      </c>
      <c r="F1936" t="inlineStr">
        <is>
          <t>Övriga Aktiebolag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10642-2025</t>
        </is>
      </c>
      <c r="B1937" s="1" t="n">
        <v>45721</v>
      </c>
      <c r="C1937" s="1" t="n">
        <v>45750</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10557-2025</t>
        </is>
      </c>
      <c r="B1938" s="1" t="n">
        <v>45721</v>
      </c>
      <c r="C1938" s="1" t="n">
        <v>45750</v>
      </c>
      <c r="D1938" t="inlineStr">
        <is>
          <t>STOCKHOLMS LÄN</t>
        </is>
      </c>
      <c r="E1938" t="inlineStr">
        <is>
          <t>NORRTÄLJE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45750</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10511-2025</t>
        </is>
      </c>
      <c r="B1940" s="1" t="n">
        <v>45721</v>
      </c>
      <c r="C1940" s="1" t="n">
        <v>45750</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45750</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10653-2025</t>
        </is>
      </c>
      <c r="B1942" s="1" t="n">
        <v>45721</v>
      </c>
      <c r="C1942" s="1" t="n">
        <v>45750</v>
      </c>
      <c r="D1942" t="inlineStr">
        <is>
          <t>STOCKHOLMS LÄN</t>
        </is>
      </c>
      <c r="E1942" t="inlineStr">
        <is>
          <t>NORRTÄLJE</t>
        </is>
      </c>
      <c r="F1942" t="inlineStr">
        <is>
          <t>Sveaskog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10973-2025</t>
        </is>
      </c>
      <c r="B1943" s="1" t="n">
        <v>45723</v>
      </c>
      <c r="C1943" s="1" t="n">
        <v>45750</v>
      </c>
      <c r="D1943" t="inlineStr">
        <is>
          <t>STOCKHOLMS LÄN</t>
        </is>
      </c>
      <c r="E1943" t="inlineStr">
        <is>
          <t>NORRTÄLJE</t>
        </is>
      </c>
      <c r="F1943" t="inlineStr">
        <is>
          <t>Övriga Aktiebolag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11041-2025</t>
        </is>
      </c>
      <c r="B1944" s="1" t="n">
        <v>45723</v>
      </c>
      <c r="C1944" s="1" t="n">
        <v>45750</v>
      </c>
      <c r="D1944" t="inlineStr">
        <is>
          <t>STOCKHOLMS LÄN</t>
        </is>
      </c>
      <c r="E1944" t="inlineStr">
        <is>
          <t>NORRTÄLJE</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45750</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11332-2025</t>
        </is>
      </c>
      <c r="B1946" s="1" t="n">
        <v>45726</v>
      </c>
      <c r="C1946" s="1" t="n">
        <v>45750</v>
      </c>
      <c r="D1946" t="inlineStr">
        <is>
          <t>STOCKHOLMS LÄN</t>
        </is>
      </c>
      <c r="E1946" t="inlineStr">
        <is>
          <t>NORRTÄLJE</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45750</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11849-2025</t>
        </is>
      </c>
      <c r="B1948" s="1" t="n">
        <v>45728</v>
      </c>
      <c r="C1948" s="1" t="n">
        <v>45750</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12302-2025</t>
        </is>
      </c>
      <c r="B1949" s="1" t="n">
        <v>45729</v>
      </c>
      <c r="C1949" s="1" t="n">
        <v>45750</v>
      </c>
      <c r="D1949" t="inlineStr">
        <is>
          <t>STOCKHOLMS LÄN</t>
        </is>
      </c>
      <c r="E1949" t="inlineStr">
        <is>
          <t>NORRTÄLJE</t>
        </is>
      </c>
      <c r="F1949" t="inlineStr">
        <is>
          <t>Holmen skog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12208-2025</t>
        </is>
      </c>
      <c r="B1950" s="1" t="n">
        <v>45729</v>
      </c>
      <c r="C1950" s="1" t="n">
        <v>45750</v>
      </c>
      <c r="D1950" t="inlineStr">
        <is>
          <t>STOCKHOLMS LÄN</t>
        </is>
      </c>
      <c r="E1950" t="inlineStr">
        <is>
          <t>NORRTÄLJE</t>
        </is>
      </c>
      <c r="F1950" t="inlineStr">
        <is>
          <t>Övriga Aktiebolag</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12301-2025</t>
        </is>
      </c>
      <c r="B1951" s="1" t="n">
        <v>45729</v>
      </c>
      <c r="C1951" s="1" t="n">
        <v>45750</v>
      </c>
      <c r="D1951" t="inlineStr">
        <is>
          <t>STOCKHOLMS LÄN</t>
        </is>
      </c>
      <c r="E1951" t="inlineStr">
        <is>
          <t>NORRTÄLJE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12303-2025</t>
        </is>
      </c>
      <c r="B1952" s="1" t="n">
        <v>45729</v>
      </c>
      <c r="C1952" s="1" t="n">
        <v>45750</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12299-2025</t>
        </is>
      </c>
      <c r="B1953" s="1" t="n">
        <v>45729</v>
      </c>
      <c r="C1953" s="1" t="n">
        <v>45750</v>
      </c>
      <c r="D1953" t="inlineStr">
        <is>
          <t>STOCKHOLMS LÄN</t>
        </is>
      </c>
      <c r="E1953" t="inlineStr">
        <is>
          <t>NORRTÄLJE</t>
        </is>
      </c>
      <c r="F1953" t="inlineStr">
        <is>
          <t>Holmen skog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12247-2025</t>
        </is>
      </c>
      <c r="B1954" s="1" t="n">
        <v>45729</v>
      </c>
      <c r="C1954" s="1" t="n">
        <v>45750</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12251-2025</t>
        </is>
      </c>
      <c r="B1955" s="1" t="n">
        <v>45729</v>
      </c>
      <c r="C1955" s="1" t="n">
        <v>45750</v>
      </c>
      <c r="D1955" t="inlineStr">
        <is>
          <t>STOCKHOLMS LÄN</t>
        </is>
      </c>
      <c r="E1955" t="inlineStr">
        <is>
          <t>NORRTÄLJE</t>
        </is>
      </c>
      <c r="F1955" t="inlineStr">
        <is>
          <t>Holmen skog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12535-2025</t>
        </is>
      </c>
      <c r="B1956" s="1" t="n">
        <v>45730</v>
      </c>
      <c r="C1956" s="1" t="n">
        <v>45750</v>
      </c>
      <c r="D1956" t="inlineStr">
        <is>
          <t>STOCKHOLMS LÄN</t>
        </is>
      </c>
      <c r="E1956" t="inlineStr">
        <is>
          <t>NORRTÄLJE</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12436-2025</t>
        </is>
      </c>
      <c r="B1957" s="1" t="n">
        <v>45730</v>
      </c>
      <c r="C1957" s="1" t="n">
        <v>45750</v>
      </c>
      <c r="D1957" t="inlineStr">
        <is>
          <t>STOCKHOLMS LÄN</t>
        </is>
      </c>
      <c r="E1957" t="inlineStr">
        <is>
          <t>NORRTÄLJE</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12527-2025</t>
        </is>
      </c>
      <c r="B1958" s="1" t="n">
        <v>45730</v>
      </c>
      <c r="C1958" s="1" t="n">
        <v>45750</v>
      </c>
      <c r="D1958" t="inlineStr">
        <is>
          <t>STOCKHOLMS LÄN</t>
        </is>
      </c>
      <c r="E1958" t="inlineStr">
        <is>
          <t>NORRTÄLJE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12529-2025</t>
        </is>
      </c>
      <c r="B1959" s="1" t="n">
        <v>45730</v>
      </c>
      <c r="C1959" s="1" t="n">
        <v>45750</v>
      </c>
      <c r="D1959" t="inlineStr">
        <is>
          <t>STOCKHOLMS LÄN</t>
        </is>
      </c>
      <c r="E1959" t="inlineStr">
        <is>
          <t>NORRTÄLJE</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12348-2025</t>
        </is>
      </c>
      <c r="B1960" s="1" t="n">
        <v>45730</v>
      </c>
      <c r="C1960" s="1" t="n">
        <v>45750</v>
      </c>
      <c r="D1960" t="inlineStr">
        <is>
          <t>STOCKHOLMS LÄN</t>
        </is>
      </c>
      <c r="E1960" t="inlineStr">
        <is>
          <t>NORRTÄLJE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12530-2025</t>
        </is>
      </c>
      <c r="B1961" s="1" t="n">
        <v>45730</v>
      </c>
      <c r="C1961" s="1" t="n">
        <v>45750</v>
      </c>
      <c r="D1961" t="inlineStr">
        <is>
          <t>STOCKHOLMS LÄN</t>
        </is>
      </c>
      <c r="E1961" t="inlineStr">
        <is>
          <t>NORRTÄLJE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12532-2025</t>
        </is>
      </c>
      <c r="B1962" s="1" t="n">
        <v>45730</v>
      </c>
      <c r="C1962" s="1" t="n">
        <v>45750</v>
      </c>
      <c r="D1962" t="inlineStr">
        <is>
          <t>STOCKHOLMS LÄN</t>
        </is>
      </c>
      <c r="E1962" t="inlineStr">
        <is>
          <t>NORRTÄLJE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12534-2025</t>
        </is>
      </c>
      <c r="B1963" s="1" t="n">
        <v>45730</v>
      </c>
      <c r="C1963" s="1" t="n">
        <v>45750</v>
      </c>
      <c r="D1963" t="inlineStr">
        <is>
          <t>STOCKHOLMS LÄN</t>
        </is>
      </c>
      <c r="E1963" t="inlineStr">
        <is>
          <t>NORRTÄLJE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12407-2025</t>
        </is>
      </c>
      <c r="B1964" s="1" t="n">
        <v>45730</v>
      </c>
      <c r="C1964" s="1" t="n">
        <v>45750</v>
      </c>
      <c r="D1964" t="inlineStr">
        <is>
          <t>STOCKHOLMS LÄN</t>
        </is>
      </c>
      <c r="E1964" t="inlineStr">
        <is>
          <t>NORRTÄLJE</t>
        </is>
      </c>
      <c r="F1964" t="inlineStr">
        <is>
          <t>Holmen skog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12876-2025</t>
        </is>
      </c>
      <c r="B1965" s="1" t="n">
        <v>45733</v>
      </c>
      <c r="C1965" s="1" t="n">
        <v>45750</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12908-2025</t>
        </is>
      </c>
      <c r="B1966" s="1" t="n">
        <v>45733</v>
      </c>
      <c r="C1966" s="1" t="n">
        <v>45750</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13172-2025</t>
        </is>
      </c>
      <c r="B1967" s="1" t="n">
        <v>45735</v>
      </c>
      <c r="C1967" s="1" t="n">
        <v>45750</v>
      </c>
      <c r="D1967" t="inlineStr">
        <is>
          <t>STOCKHOLMS LÄN</t>
        </is>
      </c>
      <c r="E1967" t="inlineStr">
        <is>
          <t>NORRTÄLJE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13260-2025</t>
        </is>
      </c>
      <c r="B1968" s="1" t="n">
        <v>45735</v>
      </c>
      <c r="C1968" s="1" t="n">
        <v>45750</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13288-2025</t>
        </is>
      </c>
      <c r="B1969" s="1" t="n">
        <v>45735</v>
      </c>
      <c r="C1969" s="1" t="n">
        <v>45750</v>
      </c>
      <c r="D1969" t="inlineStr">
        <is>
          <t>STOCKHOLMS LÄN</t>
        </is>
      </c>
      <c r="E1969" t="inlineStr">
        <is>
          <t>NORRTÄLJE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13171-2025</t>
        </is>
      </c>
      <c r="B1970" s="1" t="n">
        <v>45735</v>
      </c>
      <c r="C1970" s="1" t="n">
        <v>45750</v>
      </c>
      <c r="D1970" t="inlineStr">
        <is>
          <t>STOCKHOLMS LÄN</t>
        </is>
      </c>
      <c r="E1970" t="inlineStr">
        <is>
          <t>NORRTÄLJE</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45750</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13283-2025</t>
        </is>
      </c>
      <c r="B1972" s="1" t="n">
        <v>45735</v>
      </c>
      <c r="C1972" s="1" t="n">
        <v>45750</v>
      </c>
      <c r="D1972" t="inlineStr">
        <is>
          <t>STOCKHOLMS LÄN</t>
        </is>
      </c>
      <c r="E1972" t="inlineStr">
        <is>
          <t>NORRTÄLJE</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13268-2025</t>
        </is>
      </c>
      <c r="B1973" s="1" t="n">
        <v>45735</v>
      </c>
      <c r="C1973" s="1" t="n">
        <v>45750</v>
      </c>
      <c r="D1973" t="inlineStr">
        <is>
          <t>STOCKHOLMS LÄN</t>
        </is>
      </c>
      <c r="E1973" t="inlineStr">
        <is>
          <t>NORRTÄLJE</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13247-2025</t>
        </is>
      </c>
      <c r="B1974" s="1" t="n">
        <v>45735</v>
      </c>
      <c r="C1974" s="1" t="n">
        <v>45750</v>
      </c>
      <c r="D1974" t="inlineStr">
        <is>
          <t>STOCKHOLMS LÄN</t>
        </is>
      </c>
      <c r="E1974" t="inlineStr">
        <is>
          <t>NORRTÄLJE</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13314-2025</t>
        </is>
      </c>
      <c r="B1975" s="1" t="n">
        <v>45735</v>
      </c>
      <c r="C1975" s="1" t="n">
        <v>45750</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13265-2025</t>
        </is>
      </c>
      <c r="B1976" s="1" t="n">
        <v>45735</v>
      </c>
      <c r="C1976" s="1" t="n">
        <v>45750</v>
      </c>
      <c r="D1976" t="inlineStr">
        <is>
          <t>STOCKHOLMS LÄN</t>
        </is>
      </c>
      <c r="E1976" t="inlineStr">
        <is>
          <t>NORRTÄLJE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13270-2025</t>
        </is>
      </c>
      <c r="B1977" s="1" t="n">
        <v>45735</v>
      </c>
      <c r="C1977" s="1" t="n">
        <v>45750</v>
      </c>
      <c r="D1977" t="inlineStr">
        <is>
          <t>STOCKHOLMS LÄN</t>
        </is>
      </c>
      <c r="E1977" t="inlineStr">
        <is>
          <t>NORRTÄLJE</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13279-2025</t>
        </is>
      </c>
      <c r="B1978" s="1" t="n">
        <v>45735</v>
      </c>
      <c r="C1978" s="1" t="n">
        <v>45750</v>
      </c>
      <c r="D1978" t="inlineStr">
        <is>
          <t>STOCKHOLMS LÄN</t>
        </is>
      </c>
      <c r="E1978" t="inlineStr">
        <is>
          <t>NORRTÄLJE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13291-2025</t>
        </is>
      </c>
      <c r="B1979" s="1" t="n">
        <v>45735</v>
      </c>
      <c r="C1979" s="1" t="n">
        <v>45750</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13179-2025</t>
        </is>
      </c>
      <c r="B1980" s="1" t="n">
        <v>45735</v>
      </c>
      <c r="C1980" s="1" t="n">
        <v>45750</v>
      </c>
      <c r="D1980" t="inlineStr">
        <is>
          <t>STOCKHOLMS LÄN</t>
        </is>
      </c>
      <c r="E1980" t="inlineStr">
        <is>
          <t>NORRTÄLJE</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13578-2025</t>
        </is>
      </c>
      <c r="B1981" s="1" t="n">
        <v>45736</v>
      </c>
      <c r="C1981" s="1" t="n">
        <v>45750</v>
      </c>
      <c r="D1981" t="inlineStr">
        <is>
          <t>STOCKHOLMS LÄN</t>
        </is>
      </c>
      <c r="E1981" t="inlineStr">
        <is>
          <t>NORRTÄLJE</t>
        </is>
      </c>
      <c r="F1981" t="inlineStr">
        <is>
          <t>Övriga Aktiebolag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13767-2025</t>
        </is>
      </c>
      <c r="B1982" s="1" t="n">
        <v>45737</v>
      </c>
      <c r="C1982" s="1" t="n">
        <v>45750</v>
      </c>
      <c r="D1982" t="inlineStr">
        <is>
          <t>STOCKHOLMS LÄN</t>
        </is>
      </c>
      <c r="E1982" t="inlineStr">
        <is>
          <t>NORRTÄLJE</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14130-2025</t>
        </is>
      </c>
      <c r="B1983" s="1" t="n">
        <v>45740</v>
      </c>
      <c r="C1983" s="1" t="n">
        <v>45750</v>
      </c>
      <c r="D1983" t="inlineStr">
        <is>
          <t>STOCKHOLMS LÄN</t>
        </is>
      </c>
      <c r="E1983" t="inlineStr">
        <is>
          <t>NORRTÄLJE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14132-2025</t>
        </is>
      </c>
      <c r="B1984" s="1" t="n">
        <v>45740</v>
      </c>
      <c r="C1984" s="1" t="n">
        <v>45750</v>
      </c>
      <c r="D1984" t="inlineStr">
        <is>
          <t>STOCKHOLMS LÄN</t>
        </is>
      </c>
      <c r="E1984" t="inlineStr">
        <is>
          <t>NORRTÄLJE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14127-2025</t>
        </is>
      </c>
      <c r="B1985" s="1" t="n">
        <v>45740</v>
      </c>
      <c r="C1985" s="1" t="n">
        <v>45750</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14133-2025</t>
        </is>
      </c>
      <c r="B1986" s="1" t="n">
        <v>45740</v>
      </c>
      <c r="C1986" s="1" t="n">
        <v>45750</v>
      </c>
      <c r="D1986" t="inlineStr">
        <is>
          <t>STOCKHOLMS LÄN</t>
        </is>
      </c>
      <c r="E1986" t="inlineStr">
        <is>
          <t>NORRTÄLJE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14365-2025</t>
        </is>
      </c>
      <c r="B1987" s="1" t="n">
        <v>45741</v>
      </c>
      <c r="C1987" s="1" t="n">
        <v>45750</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14621-2025</t>
        </is>
      </c>
      <c r="B1988" s="1" t="n">
        <v>45742</v>
      </c>
      <c r="C1988" s="1" t="n">
        <v>45750</v>
      </c>
      <c r="D1988" t="inlineStr">
        <is>
          <t>STOCKHOLMS LÄN</t>
        </is>
      </c>
      <c r="E1988" t="inlineStr">
        <is>
          <t>NORRTÄLJE</t>
        </is>
      </c>
      <c r="F1988" t="inlineStr">
        <is>
          <t>Kyrkan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14733-2025</t>
        </is>
      </c>
      <c r="B1989" s="1" t="n">
        <v>45742</v>
      </c>
      <c r="C1989" s="1" t="n">
        <v>45750</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14873-2025</t>
        </is>
      </c>
      <c r="B1990" s="1" t="n">
        <v>45743</v>
      </c>
      <c r="C1990" s="1" t="n">
        <v>45750</v>
      </c>
      <c r="D1990" t="inlineStr">
        <is>
          <t>STOCKHOLMS LÄN</t>
        </is>
      </c>
      <c r="E1990" t="inlineStr">
        <is>
          <t>NORRTÄLJE</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15328-2025</t>
        </is>
      </c>
      <c r="B1991" s="1" t="n">
        <v>45746</v>
      </c>
      <c r="C1991" s="1" t="n">
        <v>45750</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15559-2025</t>
        </is>
      </c>
      <c r="B1992" s="1" t="n">
        <v>45747</v>
      </c>
      <c r="C1992" s="1" t="n">
        <v>45750</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15528-2025</t>
        </is>
      </c>
      <c r="B1993" s="1" t="n">
        <v>45747</v>
      </c>
      <c r="C1993" s="1" t="n">
        <v>45750</v>
      </c>
      <c r="D1993" t="inlineStr">
        <is>
          <t>STOCKHOLMS LÄN</t>
        </is>
      </c>
      <c r="E1993" t="inlineStr">
        <is>
          <t>NORRTÄLJE</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15534-2025</t>
        </is>
      </c>
      <c r="B1994" s="1" t="n">
        <v>45747</v>
      </c>
      <c r="C1994" s="1" t="n">
        <v>45750</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15733-2025</t>
        </is>
      </c>
      <c r="B1995" s="1" t="n">
        <v>45748</v>
      </c>
      <c r="C1995" s="1" t="n">
        <v>45750</v>
      </c>
      <c r="D1995" t="inlineStr">
        <is>
          <t>STOCKHOLMS LÄN</t>
        </is>
      </c>
      <c r="E1995" t="inlineStr">
        <is>
          <t>NORRTÄLJE</t>
        </is>
      </c>
      <c r="G1995" t="n">
        <v>13.3</v>
      </c>
      <c r="H1995" t="n">
        <v>0</v>
      </c>
      <c r="I1995" t="n">
        <v>0</v>
      </c>
      <c r="J1995" t="n">
        <v>0</v>
      </c>
      <c r="K1995" t="n">
        <v>0</v>
      </c>
      <c r="L1995" t="n">
        <v>0</v>
      </c>
      <c r="M1995" t="n">
        <v>0</v>
      </c>
      <c r="N1995" t="n">
        <v>0</v>
      </c>
      <c r="O1995" t="n">
        <v>0</v>
      </c>
      <c r="P1995" t="n">
        <v>0</v>
      </c>
      <c r="Q1995" t="n">
        <v>0</v>
      </c>
      <c r="R1995" s="2" t="inlineStr"/>
    </row>
    <row r="1996">
      <c r="A1996" t="inlineStr">
        <is>
          <t>A 15642-2025</t>
        </is>
      </c>
      <c r="B1996" s="1" t="n">
        <v>45748</v>
      </c>
      <c r="C1996" s="1" t="n">
        <v>45750</v>
      </c>
      <c r="D1996" t="inlineStr">
        <is>
          <t>STOCKHOLMS LÄN</t>
        </is>
      </c>
      <c r="E1996" t="inlineStr">
        <is>
          <t>NORRTÄLJE</t>
        </is>
      </c>
      <c r="G1996" t="n">
        <v>6.7</v>
      </c>
      <c r="H1996" t="n">
        <v>0</v>
      </c>
      <c r="I1996" t="n">
        <v>0</v>
      </c>
      <c r="J1996" t="n">
        <v>0</v>
      </c>
      <c r="K1996" t="n">
        <v>0</v>
      </c>
      <c r="L1996" t="n">
        <v>0</v>
      </c>
      <c r="M1996" t="n">
        <v>0</v>
      </c>
      <c r="N1996" t="n">
        <v>0</v>
      </c>
      <c r="O1996" t="n">
        <v>0</v>
      </c>
      <c r="P1996" t="n">
        <v>0</v>
      </c>
      <c r="Q1996" t="n">
        <v>0</v>
      </c>
      <c r="R1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2025-04-03T20:43:00Z</dcterms:created>
  <dcterms:modified xmlns:dcterms="http://purl.org/dc/terms/" xmlns:xsi="http://www.w3.org/2001/XMLSchema-instance" xsi:type="dcterms:W3CDTF">2025-04-03T20:43:02Z</dcterms:modified>
</cp:coreProperties>
</file>