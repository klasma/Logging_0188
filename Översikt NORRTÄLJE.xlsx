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45985</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45985</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45985</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52797-2023</t>
        </is>
      </c>
      <c r="B11" s="1" t="n">
        <v>45226</v>
      </c>
      <c r="C11" s="1" t="n">
        <v>45985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45985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25731-2025</t>
        </is>
      </c>
      <c r="B13" s="1" t="n">
        <v>45800</v>
      </c>
      <c r="C13" s="1" t="n">
        <v>45985</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21837-2025</t>
        </is>
      </c>
      <c r="B14" s="1" t="n">
        <v>45784.32179398148</v>
      </c>
      <c r="C14" s="1" t="n">
        <v>45985</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10646-2024</t>
        </is>
      </c>
      <c r="B15" s="1" t="n">
        <v>45367</v>
      </c>
      <c r="C15" s="1" t="n">
        <v>45985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45985</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45985</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45985</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45985</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45985</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45985</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45985</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50326-2024</t>
        </is>
      </c>
      <c r="B24" s="1" t="n">
        <v>45600</v>
      </c>
      <c r="C24" s="1" t="n">
        <v>45985</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45985</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45985</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47951-2025</t>
        </is>
      </c>
      <c r="B27" s="1" t="n">
        <v>45932.58491898148</v>
      </c>
      <c r="C27" s="1" t="n">
        <v>45985</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45985</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45985</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45811-2022</t>
        </is>
      </c>
      <c r="B30" s="1" t="n">
        <v>44846</v>
      </c>
      <c r="C30" s="1" t="n">
        <v>45985</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45985</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45985</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45985</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13933-2022</t>
        </is>
      </c>
      <c r="B34" s="1" t="n">
        <v>44650</v>
      </c>
      <c r="C34" s="1" t="n">
        <v>45985</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34528-2025</t>
        </is>
      </c>
      <c r="B35" s="1" t="n">
        <v>45847.48436342592</v>
      </c>
      <c r="C35" s="1" t="n">
        <v>45985</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45985</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45985</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15804-2025</t>
        </is>
      </c>
      <c r="B38" s="1" t="n">
        <v>45748.6521875</v>
      </c>
      <c r="C38" s="1" t="n">
        <v>45985</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56791-2025</t>
        </is>
      </c>
      <c r="B39" s="1" t="n">
        <v>45978</v>
      </c>
      <c r="C39" s="1" t="n">
        <v>45985</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21922-2023</t>
        </is>
      </c>
      <c r="B40" s="1" t="n">
        <v>45068</v>
      </c>
      <c r="C40" s="1" t="n">
        <v>45985</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45985</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45985</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22071-2022</t>
        </is>
      </c>
      <c r="B43" s="1" t="n">
        <v>44711</v>
      </c>
      <c r="C43" s="1" t="n">
        <v>45985</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41276-2025</t>
        </is>
      </c>
      <c r="B44" s="1" t="n">
        <v>45898.62723379629</v>
      </c>
      <c r="C44" s="1" t="n">
        <v>45985</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25687-2025</t>
        </is>
      </c>
      <c r="B45" s="1" t="n">
        <v>45800</v>
      </c>
      <c r="C45" s="1" t="n">
        <v>45985</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10876-2025</t>
        </is>
      </c>
      <c r="B46" s="1" t="n">
        <v>45722</v>
      </c>
      <c r="C46" s="1" t="n">
        <v>45985</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45985</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47212-2025</t>
        </is>
      </c>
      <c r="B48" s="1" t="n">
        <v>45930</v>
      </c>
      <c r="C48" s="1" t="n">
        <v>45985</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45985</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45985</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45985</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45985</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45985</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45985</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45985</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45985</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54110-2024</t>
        </is>
      </c>
      <c r="B57" s="1" t="n">
        <v>45616.54866898148</v>
      </c>
      <c r="C57" s="1" t="n">
        <v>45985</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25270-2025</t>
        </is>
      </c>
      <c r="B58" s="1" t="n">
        <v>45800</v>
      </c>
      <c r="C58" s="1" t="n">
        <v>45985</v>
      </c>
      <c r="D58" t="inlineStr">
        <is>
          <t>STOCKHOLMS LÄN</t>
        </is>
      </c>
      <c r="E58" t="inlineStr">
        <is>
          <t>NORRTÄLJE</t>
        </is>
      </c>
      <c r="F58" t="inlineStr">
        <is>
          <t>Övriga Aktiebolag</t>
        </is>
      </c>
      <c r="G58" t="n">
        <v>30</v>
      </c>
      <c r="H58" t="n">
        <v>0</v>
      </c>
      <c r="I58" t="n">
        <v>2</v>
      </c>
      <c r="J58" t="n">
        <v>1</v>
      </c>
      <c r="K58" t="n">
        <v>0</v>
      </c>
      <c r="L58" t="n">
        <v>0</v>
      </c>
      <c r="M58" t="n">
        <v>0</v>
      </c>
      <c r="N58" t="n">
        <v>0</v>
      </c>
      <c r="O58" t="n">
        <v>1</v>
      </c>
      <c r="P58" t="n">
        <v>0</v>
      </c>
      <c r="Q58" t="n">
        <v>3</v>
      </c>
      <c r="R58" s="2" t="inlineStr">
        <is>
          <t>Kandelabersvamp
Fjällig taggsvamp s.str.
Skarp dropptaggsvamp</t>
        </is>
      </c>
      <c r="S58">
        <f>HYPERLINK("https://klasma.github.io/Logging_0188/artfynd/A 25270-2025 artfynd.xlsx", "A 25270-2025")</f>
        <v/>
      </c>
      <c r="T58">
        <f>HYPERLINK("https://klasma.github.io/Logging_0188/kartor/A 25270-2025 karta.png", "A 25270-2025")</f>
        <v/>
      </c>
      <c r="V58">
        <f>HYPERLINK("https://klasma.github.io/Logging_0188/klagomål/A 25270-2025 FSC-klagomål.docx", "A 25270-2025")</f>
        <v/>
      </c>
      <c r="W58">
        <f>HYPERLINK("https://klasma.github.io/Logging_0188/klagomålsmail/A 25270-2025 FSC-klagomål mail.docx", "A 25270-2025")</f>
        <v/>
      </c>
      <c r="X58">
        <f>HYPERLINK("https://klasma.github.io/Logging_0188/tillsyn/A 25270-2025 tillsynsbegäran.docx", "A 25270-2025")</f>
        <v/>
      </c>
      <c r="Y58">
        <f>HYPERLINK("https://klasma.github.io/Logging_0188/tillsynsmail/A 25270-2025 tillsynsbegäran mail.docx", "A 25270-2025")</f>
        <v/>
      </c>
    </row>
    <row r="59" ht="15" customHeight="1">
      <c r="A59" t="inlineStr">
        <is>
          <t>A 29185-2025</t>
        </is>
      </c>
      <c r="B59" s="1" t="n">
        <v>45821</v>
      </c>
      <c r="C59" s="1" t="n">
        <v>45985</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52726-2025</t>
        </is>
      </c>
      <c r="B60" s="1" t="n">
        <v>45957.34722222222</v>
      </c>
      <c r="C60" s="1" t="n">
        <v>45985</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2851-2023</t>
        </is>
      </c>
      <c r="B61" s="1" t="n">
        <v>44945</v>
      </c>
      <c r="C61" s="1" t="n">
        <v>45985</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45985</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45985</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53065-2024</t>
        </is>
      </c>
      <c r="B64" s="1" t="n">
        <v>45611.47233796296</v>
      </c>
      <c r="C64" s="1" t="n">
        <v>45985</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45985</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45985</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31803-2021</t>
        </is>
      </c>
      <c r="B67" s="1" t="n">
        <v>44370</v>
      </c>
      <c r="C67" s="1" t="n">
        <v>45985</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45985</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45985</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45985</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11031-2025</t>
        </is>
      </c>
      <c r="B71" s="1" t="n">
        <v>45723</v>
      </c>
      <c r="C71" s="1" t="n">
        <v>45985</v>
      </c>
      <c r="D71" t="inlineStr">
        <is>
          <t>STOCKHOLMS LÄN</t>
        </is>
      </c>
      <c r="E71" t="inlineStr">
        <is>
          <t>NORRTÄLJE</t>
        </is>
      </c>
      <c r="F71" t="inlineStr">
        <is>
          <t>Övriga Aktiebolag</t>
        </is>
      </c>
      <c r="G71" t="n">
        <v>13.2</v>
      </c>
      <c r="H71" t="n">
        <v>1</v>
      </c>
      <c r="I71" t="n">
        <v>0</v>
      </c>
      <c r="J71" t="n">
        <v>2</v>
      </c>
      <c r="K71" t="n">
        <v>0</v>
      </c>
      <c r="L71" t="n">
        <v>0</v>
      </c>
      <c r="M71" t="n">
        <v>0</v>
      </c>
      <c r="N71" t="n">
        <v>0</v>
      </c>
      <c r="O71" t="n">
        <v>2</v>
      </c>
      <c r="P71" t="n">
        <v>0</v>
      </c>
      <c r="Q71" t="n">
        <v>2</v>
      </c>
      <c r="R71" s="2" t="inlineStr">
        <is>
          <t>Järpe
Ullticka</t>
        </is>
      </c>
      <c r="S71">
        <f>HYPERLINK("https://klasma.github.io/Logging_0188/artfynd/A 11031-2025 artfynd.xlsx", "A 11031-2025")</f>
        <v/>
      </c>
      <c r="T71">
        <f>HYPERLINK("https://klasma.github.io/Logging_0188/kartor/A 11031-2025 karta.png", "A 11031-2025")</f>
        <v/>
      </c>
      <c r="V71">
        <f>HYPERLINK("https://klasma.github.io/Logging_0188/klagomål/A 11031-2025 FSC-klagomål.docx", "A 11031-2025")</f>
        <v/>
      </c>
      <c r="W71">
        <f>HYPERLINK("https://klasma.github.io/Logging_0188/klagomålsmail/A 11031-2025 FSC-klagomål mail.docx", "A 11031-2025")</f>
        <v/>
      </c>
      <c r="X71">
        <f>HYPERLINK("https://klasma.github.io/Logging_0188/tillsyn/A 11031-2025 tillsynsbegäran.docx", "A 11031-2025")</f>
        <v/>
      </c>
      <c r="Y71">
        <f>HYPERLINK("https://klasma.github.io/Logging_0188/tillsynsmail/A 11031-2025 tillsynsbegäran mail.docx", "A 11031-2025")</f>
        <v/>
      </c>
      <c r="Z71">
        <f>HYPERLINK("https://klasma.github.io/Logging_0188/fåglar/A 11031-2025 prioriterade fågelarter.docx", "A 11031-2025")</f>
        <v/>
      </c>
    </row>
    <row r="72" ht="15" customHeight="1">
      <c r="A72" t="inlineStr">
        <is>
          <t>A 51220-2023</t>
        </is>
      </c>
      <c r="B72" s="1" t="n">
        <v>45219</v>
      </c>
      <c r="C72" s="1" t="n">
        <v>45985</v>
      </c>
      <c r="D72" t="inlineStr">
        <is>
          <t>STOCKHOLMS LÄN</t>
        </is>
      </c>
      <c r="E72" t="inlineStr">
        <is>
          <t>NORRTÄLJE</t>
        </is>
      </c>
      <c r="G72" t="n">
        <v>7.7</v>
      </c>
      <c r="H72" t="n">
        <v>1</v>
      </c>
      <c r="I72" t="n">
        <v>0</v>
      </c>
      <c r="J72" t="n">
        <v>1</v>
      </c>
      <c r="K72" t="n">
        <v>0</v>
      </c>
      <c r="L72" t="n">
        <v>0</v>
      </c>
      <c r="M72" t="n">
        <v>0</v>
      </c>
      <c r="N72" t="n">
        <v>0</v>
      </c>
      <c r="O72" t="n">
        <v>1</v>
      </c>
      <c r="P72" t="n">
        <v>0</v>
      </c>
      <c r="Q72" t="n">
        <v>2</v>
      </c>
      <c r="R72" s="2" t="inlineStr">
        <is>
          <t>Ullticka
Blåsippa</t>
        </is>
      </c>
      <c r="S72">
        <f>HYPERLINK("https://klasma.github.io/Logging_0188/artfynd/A 51220-2023 artfynd.xlsx", "A 51220-2023")</f>
        <v/>
      </c>
      <c r="T72">
        <f>HYPERLINK("https://klasma.github.io/Logging_0188/kartor/A 51220-2023 karta.png", "A 51220-2023")</f>
        <v/>
      </c>
      <c r="V72">
        <f>HYPERLINK("https://klasma.github.io/Logging_0188/klagomål/A 51220-2023 FSC-klagomål.docx", "A 51220-2023")</f>
        <v/>
      </c>
      <c r="W72">
        <f>HYPERLINK("https://klasma.github.io/Logging_0188/klagomålsmail/A 51220-2023 FSC-klagomål mail.docx", "A 51220-2023")</f>
        <v/>
      </c>
      <c r="X72">
        <f>HYPERLINK("https://klasma.github.io/Logging_0188/tillsyn/A 51220-2023 tillsynsbegäran.docx", "A 51220-2023")</f>
        <v/>
      </c>
      <c r="Y72">
        <f>HYPERLINK("https://klasma.github.io/Logging_0188/tillsynsmail/A 51220-2023 tillsynsbegäran mail.docx", "A 51220-2023")</f>
        <v/>
      </c>
    </row>
    <row r="73" ht="15" customHeight="1">
      <c r="A73" t="inlineStr">
        <is>
          <t>A 30693-2022</t>
        </is>
      </c>
      <c r="B73" s="1" t="n">
        <v>44763</v>
      </c>
      <c r="C73" s="1" t="n">
        <v>45985</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50697-2025</t>
        </is>
      </c>
      <c r="B74" s="1" t="n">
        <v>45945.90854166666</v>
      </c>
      <c r="C74" s="1" t="n">
        <v>45985</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16260-2022</t>
        </is>
      </c>
      <c r="B75" s="1" t="n">
        <v>44670</v>
      </c>
      <c r="C75" s="1" t="n">
        <v>45985</v>
      </c>
      <c r="D75" t="inlineStr">
        <is>
          <t>STOCKHOLMS LÄN</t>
        </is>
      </c>
      <c r="E75" t="inlineStr">
        <is>
          <t>NORRTÄLJE</t>
        </is>
      </c>
      <c r="G75" t="n">
        <v>6.6</v>
      </c>
      <c r="H75" t="n">
        <v>1</v>
      </c>
      <c r="I75" t="n">
        <v>2</v>
      </c>
      <c r="J75" t="n">
        <v>0</v>
      </c>
      <c r="K75" t="n">
        <v>0</v>
      </c>
      <c r="L75" t="n">
        <v>0</v>
      </c>
      <c r="M75" t="n">
        <v>0</v>
      </c>
      <c r="N75" t="n">
        <v>0</v>
      </c>
      <c r="O75" t="n">
        <v>0</v>
      </c>
      <c r="P75" t="n">
        <v>0</v>
      </c>
      <c r="Q75" t="n">
        <v>2</v>
      </c>
      <c r="R75" s="2" t="inlineStr">
        <is>
          <t>Nästrot
Vårärt</t>
        </is>
      </c>
      <c r="S75">
        <f>HYPERLINK("https://klasma.github.io/Logging_0188/artfynd/A 16260-2022 artfynd.xlsx", "A 16260-2022")</f>
        <v/>
      </c>
      <c r="T75">
        <f>HYPERLINK("https://klasma.github.io/Logging_0188/kartor/A 16260-2022 karta.png", "A 16260-2022")</f>
        <v/>
      </c>
      <c r="V75">
        <f>HYPERLINK("https://klasma.github.io/Logging_0188/klagomål/A 16260-2022 FSC-klagomål.docx", "A 16260-2022")</f>
        <v/>
      </c>
      <c r="W75">
        <f>HYPERLINK("https://klasma.github.io/Logging_0188/klagomålsmail/A 16260-2022 FSC-klagomål mail.docx", "A 16260-2022")</f>
        <v/>
      </c>
      <c r="X75">
        <f>HYPERLINK("https://klasma.github.io/Logging_0188/tillsyn/A 16260-2022 tillsynsbegäran.docx", "A 16260-2022")</f>
        <v/>
      </c>
      <c r="Y75">
        <f>HYPERLINK("https://klasma.github.io/Logging_0188/tillsynsmail/A 16260-2022 tillsynsbegäran mail.docx", "A 16260-2022")</f>
        <v/>
      </c>
    </row>
    <row r="76" ht="15" customHeight="1">
      <c r="A76" t="inlineStr">
        <is>
          <t>A 53608-2025</t>
        </is>
      </c>
      <c r="B76" s="1" t="n">
        <v>45960</v>
      </c>
      <c r="C76" s="1" t="n">
        <v>45985</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22190-2024</t>
        </is>
      </c>
      <c r="B77" s="1" t="n">
        <v>45446.35888888889</v>
      </c>
      <c r="C77" s="1" t="n">
        <v>45985</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52360-2024</t>
        </is>
      </c>
      <c r="B78" s="1" t="n">
        <v>45609.37094907407</v>
      </c>
      <c r="C78" s="1" t="n">
        <v>45985</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52825-2023</t>
        </is>
      </c>
      <c r="B79" s="1" t="n">
        <v>45226</v>
      </c>
      <c r="C79" s="1" t="n">
        <v>45985</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52124-2022</t>
        </is>
      </c>
      <c r="B80" s="1" t="n">
        <v>44868</v>
      </c>
      <c r="C80" s="1" t="n">
        <v>45985</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45985</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45985</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45985</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45985</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45985</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45985</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45985</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45985</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45985</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23905-2025</t>
        </is>
      </c>
      <c r="B90" s="1" t="n">
        <v>45794.63298611111</v>
      </c>
      <c r="C90" s="1" t="n">
        <v>45985</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4595-2023</t>
        </is>
      </c>
      <c r="B91" s="1" t="n">
        <v>44956</v>
      </c>
      <c r="C91" s="1" t="n">
        <v>45985</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40861-2025</t>
        </is>
      </c>
      <c r="B92" s="1" t="n">
        <v>45897.56356481482</v>
      </c>
      <c r="C92" s="1" t="n">
        <v>45985</v>
      </c>
      <c r="D92" t="inlineStr">
        <is>
          <t>STOCKHOLMS LÄN</t>
        </is>
      </c>
      <c r="E92" t="inlineStr">
        <is>
          <t>NORRTÄLJE</t>
        </is>
      </c>
      <c r="G92" t="n">
        <v>4</v>
      </c>
      <c r="H92" t="n">
        <v>0</v>
      </c>
      <c r="I92" t="n">
        <v>0</v>
      </c>
      <c r="J92" t="n">
        <v>1</v>
      </c>
      <c r="K92" t="n">
        <v>0</v>
      </c>
      <c r="L92" t="n">
        <v>0</v>
      </c>
      <c r="M92" t="n">
        <v>0</v>
      </c>
      <c r="N92" t="n">
        <v>0</v>
      </c>
      <c r="O92" t="n">
        <v>1</v>
      </c>
      <c r="P92" t="n">
        <v>0</v>
      </c>
      <c r="Q92" t="n">
        <v>1</v>
      </c>
      <c r="R92" s="2" t="inlineStr">
        <is>
          <t>Skogsklocka</t>
        </is>
      </c>
      <c r="S92">
        <f>HYPERLINK("https://klasma.github.io/Logging_0188/artfynd/A 40861-2025 artfynd.xlsx", "A 40861-2025")</f>
        <v/>
      </c>
      <c r="T92">
        <f>HYPERLINK("https://klasma.github.io/Logging_0188/kartor/A 40861-2025 karta.png", "A 40861-2025")</f>
        <v/>
      </c>
      <c r="V92">
        <f>HYPERLINK("https://klasma.github.io/Logging_0188/klagomål/A 40861-2025 FSC-klagomål.docx", "A 40861-2025")</f>
        <v/>
      </c>
      <c r="W92">
        <f>HYPERLINK("https://klasma.github.io/Logging_0188/klagomålsmail/A 40861-2025 FSC-klagomål mail.docx", "A 40861-2025")</f>
        <v/>
      </c>
      <c r="X92">
        <f>HYPERLINK("https://klasma.github.io/Logging_0188/tillsyn/A 40861-2025 tillsynsbegäran.docx", "A 40861-2025")</f>
        <v/>
      </c>
      <c r="Y92">
        <f>HYPERLINK("https://klasma.github.io/Logging_0188/tillsynsmail/A 40861-2025 tillsynsbegäran mail.docx", "A 40861-2025")</f>
        <v/>
      </c>
    </row>
    <row r="93" ht="15" customHeight="1">
      <c r="A93" t="inlineStr">
        <is>
          <t>A 35649-2023</t>
        </is>
      </c>
      <c r="B93" s="1" t="n">
        <v>45146</v>
      </c>
      <c r="C93" s="1" t="n">
        <v>45985</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13271-2025</t>
        </is>
      </c>
      <c r="B94" s="1" t="n">
        <v>45735.54510416667</v>
      </c>
      <c r="C94" s="1" t="n">
        <v>45985</v>
      </c>
      <c r="D94" t="inlineStr">
        <is>
          <t>STOCKHOLMS LÄN</t>
        </is>
      </c>
      <c r="E94" t="inlineStr">
        <is>
          <t>NORRTÄLJE</t>
        </is>
      </c>
      <c r="G94" t="n">
        <v>7.2</v>
      </c>
      <c r="H94" t="n">
        <v>1</v>
      </c>
      <c r="I94" t="n">
        <v>0</v>
      </c>
      <c r="J94" t="n">
        <v>0</v>
      </c>
      <c r="K94" t="n">
        <v>0</v>
      </c>
      <c r="L94" t="n">
        <v>1</v>
      </c>
      <c r="M94" t="n">
        <v>0</v>
      </c>
      <c r="N94" t="n">
        <v>0</v>
      </c>
      <c r="O94" t="n">
        <v>1</v>
      </c>
      <c r="P94" t="n">
        <v>1</v>
      </c>
      <c r="Q94" t="n">
        <v>1</v>
      </c>
      <c r="R94" s="2" t="inlineStr">
        <is>
          <t>Asknätfjäril</t>
        </is>
      </c>
      <c r="S94">
        <f>HYPERLINK("https://klasma.github.io/Logging_0188/artfynd/A 13271-2025 artfynd.xlsx", "A 13271-2025")</f>
        <v/>
      </c>
      <c r="T94">
        <f>HYPERLINK("https://klasma.github.io/Logging_0188/kartor/A 13271-2025 karta.png", "A 13271-2025")</f>
        <v/>
      </c>
      <c r="V94">
        <f>HYPERLINK("https://klasma.github.io/Logging_0188/klagomål/A 13271-2025 FSC-klagomål.docx", "A 13271-2025")</f>
        <v/>
      </c>
      <c r="W94">
        <f>HYPERLINK("https://klasma.github.io/Logging_0188/klagomålsmail/A 13271-2025 FSC-klagomål mail.docx", "A 13271-2025")</f>
        <v/>
      </c>
      <c r="X94">
        <f>HYPERLINK("https://klasma.github.io/Logging_0188/tillsyn/A 13271-2025 tillsynsbegäran.docx", "A 13271-2025")</f>
        <v/>
      </c>
      <c r="Y94">
        <f>HYPERLINK("https://klasma.github.io/Logging_0188/tillsynsmail/A 13271-2025 tillsynsbegäran mail.docx", "A 13271-2025")</f>
        <v/>
      </c>
    </row>
    <row r="95" ht="15" customHeight="1">
      <c r="A95" t="inlineStr">
        <is>
          <t>A 35764-2024</t>
        </is>
      </c>
      <c r="B95" s="1" t="n">
        <v>45532</v>
      </c>
      <c r="C95" s="1" t="n">
        <v>45985</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25669-2025</t>
        </is>
      </c>
      <c r="B96" s="1" t="n">
        <v>45803.62766203703</v>
      </c>
      <c r="C96" s="1" t="n">
        <v>45985</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4860-2022</t>
        </is>
      </c>
      <c r="B97" s="1" t="n">
        <v>44592</v>
      </c>
      <c r="C97" s="1" t="n">
        <v>45985</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42313-2025</t>
        </is>
      </c>
      <c r="B98" s="1" t="n">
        <v>45904.6575</v>
      </c>
      <c r="C98" s="1" t="n">
        <v>45985</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6381-2023</t>
        </is>
      </c>
      <c r="B99" s="1" t="n">
        <v>44965</v>
      </c>
      <c r="C99" s="1" t="n">
        <v>45985</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29946-2025</t>
        </is>
      </c>
      <c r="B100" s="1" t="n">
        <v>45826.46392361111</v>
      </c>
      <c r="C100" s="1" t="n">
        <v>45985</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52775-2025</t>
        </is>
      </c>
      <c r="B101" s="1" t="n">
        <v>45957.41608796296</v>
      </c>
      <c r="C101" s="1" t="n">
        <v>45985</v>
      </c>
      <c r="D101" t="inlineStr">
        <is>
          <t>STOCKHOLMS LÄN</t>
        </is>
      </c>
      <c r="E101" t="inlineStr">
        <is>
          <t>NORRTÄLJE</t>
        </is>
      </c>
      <c r="F101" t="inlineStr">
        <is>
          <t>Sveaskog</t>
        </is>
      </c>
      <c r="G101" t="n">
        <v>5.6</v>
      </c>
      <c r="H101" t="n">
        <v>0</v>
      </c>
      <c r="I101" t="n">
        <v>0</v>
      </c>
      <c r="J101" t="n">
        <v>1</v>
      </c>
      <c r="K101" t="n">
        <v>0</v>
      </c>
      <c r="L101" t="n">
        <v>0</v>
      </c>
      <c r="M101" t="n">
        <v>0</v>
      </c>
      <c r="N101" t="n">
        <v>0</v>
      </c>
      <c r="O101" t="n">
        <v>1</v>
      </c>
      <c r="P101" t="n">
        <v>0</v>
      </c>
      <c r="Q101" t="n">
        <v>1</v>
      </c>
      <c r="R101" s="2" t="inlineStr">
        <is>
          <t>Vedtrappmossa</t>
        </is>
      </c>
      <c r="S101">
        <f>HYPERLINK("https://klasma.github.io/Logging_0188/artfynd/A 52775-2025 artfynd.xlsx", "A 52775-2025")</f>
        <v/>
      </c>
      <c r="T101">
        <f>HYPERLINK("https://klasma.github.io/Logging_0188/kartor/A 52775-2025 karta.png", "A 52775-2025")</f>
        <v/>
      </c>
      <c r="V101">
        <f>HYPERLINK("https://klasma.github.io/Logging_0188/klagomål/A 52775-2025 FSC-klagomål.docx", "A 52775-2025")</f>
        <v/>
      </c>
      <c r="W101">
        <f>HYPERLINK("https://klasma.github.io/Logging_0188/klagomålsmail/A 52775-2025 FSC-klagomål mail.docx", "A 52775-2025")</f>
        <v/>
      </c>
      <c r="X101">
        <f>HYPERLINK("https://klasma.github.io/Logging_0188/tillsyn/A 52775-2025 tillsynsbegäran.docx", "A 52775-2025")</f>
        <v/>
      </c>
      <c r="Y101">
        <f>HYPERLINK("https://klasma.github.io/Logging_0188/tillsynsmail/A 52775-2025 tillsynsbegäran mail.docx", "A 52775-2025")</f>
        <v/>
      </c>
    </row>
    <row r="102" ht="15" customHeight="1">
      <c r="A102" t="inlineStr">
        <is>
          <t>A 53716-2025</t>
        </is>
      </c>
      <c r="B102" s="1" t="n">
        <v>45960.61782407408</v>
      </c>
      <c r="C102" s="1" t="n">
        <v>45985</v>
      </c>
      <c r="D102" t="inlineStr">
        <is>
          <t>STOCKHOLMS LÄN</t>
        </is>
      </c>
      <c r="E102" t="inlineStr">
        <is>
          <t>NORRTÄLJE</t>
        </is>
      </c>
      <c r="G102" t="n">
        <v>3.4</v>
      </c>
      <c r="H102" t="n">
        <v>0</v>
      </c>
      <c r="I102" t="n">
        <v>0</v>
      </c>
      <c r="J102" t="n">
        <v>0</v>
      </c>
      <c r="K102" t="n">
        <v>0</v>
      </c>
      <c r="L102" t="n">
        <v>1</v>
      </c>
      <c r="M102" t="n">
        <v>0</v>
      </c>
      <c r="N102" t="n">
        <v>0</v>
      </c>
      <c r="O102" t="n">
        <v>1</v>
      </c>
      <c r="P102" t="n">
        <v>1</v>
      </c>
      <c r="Q102" t="n">
        <v>1</v>
      </c>
      <c r="R102" s="2" t="inlineStr">
        <is>
          <t>Fältgentiana</t>
        </is>
      </c>
      <c r="S102">
        <f>HYPERLINK("https://klasma.github.io/Logging_0188/artfynd/A 53716-2025 artfynd.xlsx", "A 53716-2025")</f>
        <v/>
      </c>
      <c r="T102">
        <f>HYPERLINK("https://klasma.github.io/Logging_0188/kartor/A 53716-2025 karta.png", "A 53716-2025")</f>
        <v/>
      </c>
      <c r="V102">
        <f>HYPERLINK("https://klasma.github.io/Logging_0188/klagomål/A 53716-2025 FSC-klagomål.docx", "A 53716-2025")</f>
        <v/>
      </c>
      <c r="W102">
        <f>HYPERLINK("https://klasma.github.io/Logging_0188/klagomålsmail/A 53716-2025 FSC-klagomål mail.docx", "A 53716-2025")</f>
        <v/>
      </c>
      <c r="X102">
        <f>HYPERLINK("https://klasma.github.io/Logging_0188/tillsyn/A 53716-2025 tillsynsbegäran.docx", "A 53716-2025")</f>
        <v/>
      </c>
      <c r="Y102">
        <f>HYPERLINK("https://klasma.github.io/Logging_0188/tillsynsmail/A 53716-2025 tillsynsbegäran mail.docx", "A 53716-2025")</f>
        <v/>
      </c>
    </row>
    <row r="103" ht="15" customHeight="1">
      <c r="A103" t="inlineStr">
        <is>
          <t>A 33548-2025</t>
        </is>
      </c>
      <c r="B103" s="1" t="n">
        <v>45841.5721875</v>
      </c>
      <c r="C103" s="1" t="n">
        <v>45985</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33546-2025</t>
        </is>
      </c>
      <c r="B104" s="1" t="n">
        <v>45841.56996527778</v>
      </c>
      <c r="C104" s="1" t="n">
        <v>45985</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58888-2021</t>
        </is>
      </c>
      <c r="B105" s="1" t="n">
        <v>44489</v>
      </c>
      <c r="C105" s="1" t="n">
        <v>45985</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39158-2025</t>
        </is>
      </c>
      <c r="B106" s="1" t="n">
        <v>45888</v>
      </c>
      <c r="C106" s="1" t="n">
        <v>45985</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21744-2023</t>
        </is>
      </c>
      <c r="B107" s="1" t="n">
        <v>45065</v>
      </c>
      <c r="C107" s="1" t="n">
        <v>45985</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8371-2025</t>
        </is>
      </c>
      <c r="B108" s="1" t="n">
        <v>45708</v>
      </c>
      <c r="C108" s="1" t="n">
        <v>45985</v>
      </c>
      <c r="D108" t="inlineStr">
        <is>
          <t>STOCKHOLMS LÄN</t>
        </is>
      </c>
      <c r="E108" t="inlineStr">
        <is>
          <t>NORRTÄLJE</t>
        </is>
      </c>
      <c r="F108" t="inlineStr">
        <is>
          <t>Övriga Aktiebolag</t>
        </is>
      </c>
      <c r="G108" t="n">
        <v>2.9</v>
      </c>
      <c r="H108" t="n">
        <v>1</v>
      </c>
      <c r="I108" t="n">
        <v>0</v>
      </c>
      <c r="J108" t="n">
        <v>1</v>
      </c>
      <c r="K108" t="n">
        <v>0</v>
      </c>
      <c r="L108" t="n">
        <v>0</v>
      </c>
      <c r="M108" t="n">
        <v>0</v>
      </c>
      <c r="N108" t="n">
        <v>0</v>
      </c>
      <c r="O108" t="n">
        <v>1</v>
      </c>
      <c r="P108" t="n">
        <v>0</v>
      </c>
      <c r="Q108" t="n">
        <v>1</v>
      </c>
      <c r="R108" s="2" t="inlineStr">
        <is>
          <t>Spillkråka</t>
        </is>
      </c>
      <c r="S108">
        <f>HYPERLINK("https://klasma.github.io/Logging_0188/artfynd/A 8371-2025 artfynd.xlsx", "A 8371-2025")</f>
        <v/>
      </c>
      <c r="T108">
        <f>HYPERLINK("https://klasma.github.io/Logging_0188/kartor/A 8371-2025 karta.png", "A 8371-2025")</f>
        <v/>
      </c>
      <c r="V108">
        <f>HYPERLINK("https://klasma.github.io/Logging_0188/klagomål/A 8371-2025 FSC-klagomål.docx", "A 8371-2025")</f>
        <v/>
      </c>
      <c r="W108">
        <f>HYPERLINK("https://klasma.github.io/Logging_0188/klagomålsmail/A 8371-2025 FSC-klagomål mail.docx", "A 8371-2025")</f>
        <v/>
      </c>
      <c r="X108">
        <f>HYPERLINK("https://klasma.github.io/Logging_0188/tillsyn/A 8371-2025 tillsynsbegäran.docx", "A 8371-2025")</f>
        <v/>
      </c>
      <c r="Y108">
        <f>HYPERLINK("https://klasma.github.io/Logging_0188/tillsynsmail/A 8371-2025 tillsynsbegäran mail.docx", "A 8371-2025")</f>
        <v/>
      </c>
      <c r="Z108">
        <f>HYPERLINK("https://klasma.github.io/Logging_0188/fåglar/A 8371-2025 prioriterade fågelarter.docx", "A 8371-2025")</f>
        <v/>
      </c>
    </row>
    <row r="109" ht="15" customHeight="1">
      <c r="A109" t="inlineStr">
        <is>
          <t>A 17952-2022</t>
        </is>
      </c>
      <c r="B109" s="1" t="n">
        <v>44683</v>
      </c>
      <c r="C109" s="1" t="n">
        <v>45985</v>
      </c>
      <c r="D109" t="inlineStr">
        <is>
          <t>STOCKHOLMS LÄN</t>
        </is>
      </c>
      <c r="E109" t="inlineStr">
        <is>
          <t>NORRTÄLJE</t>
        </is>
      </c>
      <c r="G109" t="n">
        <v>51.1</v>
      </c>
      <c r="H109" t="n">
        <v>0</v>
      </c>
      <c r="I109" t="n">
        <v>0</v>
      </c>
      <c r="J109" t="n">
        <v>0</v>
      </c>
      <c r="K109" t="n">
        <v>1</v>
      </c>
      <c r="L109" t="n">
        <v>0</v>
      </c>
      <c r="M109" t="n">
        <v>0</v>
      </c>
      <c r="N109" t="n">
        <v>0</v>
      </c>
      <c r="O109" t="n">
        <v>1</v>
      </c>
      <c r="P109" t="n">
        <v>1</v>
      </c>
      <c r="Q109" t="n">
        <v>1</v>
      </c>
      <c r="R109" s="2" t="inlineStr">
        <is>
          <t>Kattunvisslare</t>
        </is>
      </c>
      <c r="S109">
        <f>HYPERLINK("https://klasma.github.io/Logging_0188/artfynd/A 17952-2022 artfynd.xlsx", "A 17952-2022")</f>
        <v/>
      </c>
      <c r="T109">
        <f>HYPERLINK("https://klasma.github.io/Logging_0188/kartor/A 17952-2022 karta.png", "A 17952-2022")</f>
        <v/>
      </c>
      <c r="V109">
        <f>HYPERLINK("https://klasma.github.io/Logging_0188/klagomål/A 17952-2022 FSC-klagomål.docx", "A 17952-2022")</f>
        <v/>
      </c>
      <c r="W109">
        <f>HYPERLINK("https://klasma.github.io/Logging_0188/klagomålsmail/A 17952-2022 FSC-klagomål mail.docx", "A 17952-2022")</f>
        <v/>
      </c>
      <c r="X109">
        <f>HYPERLINK("https://klasma.github.io/Logging_0188/tillsyn/A 17952-2022 tillsynsbegäran.docx", "A 17952-2022")</f>
        <v/>
      </c>
      <c r="Y109">
        <f>HYPERLINK("https://klasma.github.io/Logging_0188/tillsynsmail/A 17952-2022 tillsynsbegäran mail.docx", "A 17952-2022")</f>
        <v/>
      </c>
    </row>
    <row r="110" ht="15" customHeight="1">
      <c r="A110" t="inlineStr">
        <is>
          <t>A 23146-2024</t>
        </is>
      </c>
      <c r="B110" s="1" t="n">
        <v>45450.63958333333</v>
      </c>
      <c r="C110" s="1" t="n">
        <v>45985</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45985</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45985</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45985</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45985</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26635-2023</t>
        </is>
      </c>
      <c r="B115" s="1" t="n">
        <v>45092</v>
      </c>
      <c r="C115" s="1" t="n">
        <v>45985</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19829-2022</t>
        </is>
      </c>
      <c r="B116" s="1" t="n">
        <v>44695.43527777777</v>
      </c>
      <c r="C116" s="1" t="n">
        <v>45985</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35691-2023</t>
        </is>
      </c>
      <c r="B117" s="1" t="n">
        <v>45147.65222222222</v>
      </c>
      <c r="C117" s="1" t="n">
        <v>45985</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45985</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4532-2025</t>
        </is>
      </c>
      <c r="B119" s="1" t="n">
        <v>45687.34177083334</v>
      </c>
      <c r="C119" s="1" t="n">
        <v>45985</v>
      </c>
      <c r="D119" t="inlineStr">
        <is>
          <t>STOCKHOLMS LÄN</t>
        </is>
      </c>
      <c r="E119" t="inlineStr">
        <is>
          <t>NORRTÄLJE</t>
        </is>
      </c>
      <c r="F119" t="inlineStr">
        <is>
          <t>Holmen skog AB</t>
        </is>
      </c>
      <c r="G119" t="n">
        <v>6.4</v>
      </c>
      <c r="H119" t="n">
        <v>1</v>
      </c>
      <c r="I119" t="n">
        <v>0</v>
      </c>
      <c r="J119" t="n">
        <v>0</v>
      </c>
      <c r="K119" t="n">
        <v>0</v>
      </c>
      <c r="L119" t="n">
        <v>1</v>
      </c>
      <c r="M119" t="n">
        <v>0</v>
      </c>
      <c r="N119" t="n">
        <v>0</v>
      </c>
      <c r="O119" t="n">
        <v>1</v>
      </c>
      <c r="P119" t="n">
        <v>1</v>
      </c>
      <c r="Q119" t="n">
        <v>1</v>
      </c>
      <c r="R119" s="2" t="inlineStr">
        <is>
          <t>Asknätfjäril</t>
        </is>
      </c>
      <c r="S119">
        <f>HYPERLINK("https://klasma.github.io/Logging_0188/artfynd/A 4532-2025 artfynd.xlsx", "A 4532-2025")</f>
        <v/>
      </c>
      <c r="T119">
        <f>HYPERLINK("https://klasma.github.io/Logging_0188/kartor/A 4532-2025 karta.png", "A 4532-2025")</f>
        <v/>
      </c>
      <c r="V119">
        <f>HYPERLINK("https://klasma.github.io/Logging_0188/klagomål/A 4532-2025 FSC-klagomål.docx", "A 4532-2025")</f>
        <v/>
      </c>
      <c r="W119">
        <f>HYPERLINK("https://klasma.github.io/Logging_0188/klagomålsmail/A 4532-2025 FSC-klagomål mail.docx", "A 4532-2025")</f>
        <v/>
      </c>
      <c r="X119">
        <f>HYPERLINK("https://klasma.github.io/Logging_0188/tillsyn/A 4532-2025 tillsynsbegäran.docx", "A 4532-2025")</f>
        <v/>
      </c>
      <c r="Y119">
        <f>HYPERLINK("https://klasma.github.io/Logging_0188/tillsynsmail/A 4532-2025 tillsynsbegäran mail.docx", "A 4532-2025")</f>
        <v/>
      </c>
    </row>
    <row r="120" ht="15" customHeight="1">
      <c r="A120" t="inlineStr">
        <is>
          <t>A 16870-2025</t>
        </is>
      </c>
      <c r="B120" s="1" t="n">
        <v>45754</v>
      </c>
      <c r="C120" s="1" t="n">
        <v>45985</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14365-2025</t>
        </is>
      </c>
      <c r="B121" s="1" t="n">
        <v>45741.38688657407</v>
      </c>
      <c r="C121" s="1" t="n">
        <v>45985</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21150-2022</t>
        </is>
      </c>
      <c r="B122" s="1" t="n">
        <v>44704</v>
      </c>
      <c r="C122" s="1" t="n">
        <v>45985</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1162-2021</t>
        </is>
      </c>
      <c r="B123" s="1" t="n">
        <v>44207</v>
      </c>
      <c r="C123" s="1" t="n">
        <v>45985</v>
      </c>
      <c r="D123" t="inlineStr">
        <is>
          <t>STOCKHOLMS LÄN</t>
        </is>
      </c>
      <c r="E123" t="inlineStr">
        <is>
          <t>NORRTÄLJE</t>
        </is>
      </c>
      <c r="G123" t="n">
        <v>2.2</v>
      </c>
      <c r="H123" t="n">
        <v>1</v>
      </c>
      <c r="I123" t="n">
        <v>0</v>
      </c>
      <c r="J123" t="n">
        <v>0</v>
      </c>
      <c r="K123" t="n">
        <v>1</v>
      </c>
      <c r="L123" t="n">
        <v>0</v>
      </c>
      <c r="M123" t="n">
        <v>0</v>
      </c>
      <c r="N123" t="n">
        <v>0</v>
      </c>
      <c r="O123" t="n">
        <v>1</v>
      </c>
      <c r="P123" t="n">
        <v>1</v>
      </c>
      <c r="Q123" t="n">
        <v>1</v>
      </c>
      <c r="R123" s="2" t="inlineStr">
        <is>
          <t>Hällebräcka</t>
        </is>
      </c>
      <c r="S123">
        <f>HYPERLINK("https://klasma.github.io/Logging_0188/artfynd/A 1162-2021 artfynd.xlsx", "A 1162-2021")</f>
        <v/>
      </c>
      <c r="T123">
        <f>HYPERLINK("https://klasma.github.io/Logging_0188/kartor/A 1162-2021 karta.png", "A 1162-2021")</f>
        <v/>
      </c>
      <c r="V123">
        <f>HYPERLINK("https://klasma.github.io/Logging_0188/klagomål/A 1162-2021 FSC-klagomål.docx", "A 1162-2021")</f>
        <v/>
      </c>
      <c r="W123">
        <f>HYPERLINK("https://klasma.github.io/Logging_0188/klagomålsmail/A 1162-2021 FSC-klagomål mail.docx", "A 1162-2021")</f>
        <v/>
      </c>
      <c r="X123">
        <f>HYPERLINK("https://klasma.github.io/Logging_0188/tillsyn/A 1162-2021 tillsynsbegäran.docx", "A 1162-2021")</f>
        <v/>
      </c>
      <c r="Y123">
        <f>HYPERLINK("https://klasma.github.io/Logging_0188/tillsynsmail/A 1162-2021 tillsynsbegäran mail.docx", "A 1162-2021")</f>
        <v/>
      </c>
    </row>
    <row r="124" ht="15" customHeight="1">
      <c r="A124" t="inlineStr">
        <is>
          <t>A 26120-2024</t>
        </is>
      </c>
      <c r="B124" s="1" t="n">
        <v>45468.45995370371</v>
      </c>
      <c r="C124" s="1" t="n">
        <v>45985</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11429-2023</t>
        </is>
      </c>
      <c r="B125" s="1" t="n">
        <v>44993</v>
      </c>
      <c r="C125" s="1" t="n">
        <v>45985</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45985</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64456-2023</t>
        </is>
      </c>
      <c r="B127" s="1" t="n">
        <v>45280</v>
      </c>
      <c r="C127" s="1" t="n">
        <v>45985</v>
      </c>
      <c r="D127" t="inlineStr">
        <is>
          <t>STOCKHOLMS LÄN</t>
        </is>
      </c>
      <c r="E127" t="inlineStr">
        <is>
          <t>NORRTÄLJE</t>
        </is>
      </c>
      <c r="G127" t="n">
        <v>2.5</v>
      </c>
      <c r="H127" t="n">
        <v>0</v>
      </c>
      <c r="I127" t="n">
        <v>1</v>
      </c>
      <c r="J127" t="n">
        <v>0</v>
      </c>
      <c r="K127" t="n">
        <v>0</v>
      </c>
      <c r="L127" t="n">
        <v>0</v>
      </c>
      <c r="M127" t="n">
        <v>0</v>
      </c>
      <c r="N127" t="n">
        <v>0</v>
      </c>
      <c r="O127" t="n">
        <v>0</v>
      </c>
      <c r="P127" t="n">
        <v>0</v>
      </c>
      <c r="Q127" t="n">
        <v>1</v>
      </c>
      <c r="R127" s="2" t="inlineStr">
        <is>
          <t>Rödgul trumpetsvamp</t>
        </is>
      </c>
      <c r="S127">
        <f>HYPERLINK("https://klasma.github.io/Logging_0188/artfynd/A 64456-2023 artfynd.xlsx", "A 64456-2023")</f>
        <v/>
      </c>
      <c r="T127">
        <f>HYPERLINK("https://klasma.github.io/Logging_0188/kartor/A 64456-2023 karta.png", "A 64456-2023")</f>
        <v/>
      </c>
      <c r="V127">
        <f>HYPERLINK("https://klasma.github.io/Logging_0188/klagomål/A 64456-2023 FSC-klagomål.docx", "A 64456-2023")</f>
        <v/>
      </c>
      <c r="W127">
        <f>HYPERLINK("https://klasma.github.io/Logging_0188/klagomålsmail/A 64456-2023 FSC-klagomål mail.docx", "A 64456-2023")</f>
        <v/>
      </c>
      <c r="X127">
        <f>HYPERLINK("https://klasma.github.io/Logging_0188/tillsyn/A 64456-2023 tillsynsbegäran.docx", "A 64456-2023")</f>
        <v/>
      </c>
      <c r="Y127">
        <f>HYPERLINK("https://klasma.github.io/Logging_0188/tillsynsmail/A 64456-2023 tillsynsbegäran mail.docx", "A 64456-2023")</f>
        <v/>
      </c>
    </row>
    <row r="128" ht="15" customHeight="1">
      <c r="A128" t="inlineStr">
        <is>
          <t>A 52611-2024</t>
        </is>
      </c>
      <c r="B128" s="1" t="n">
        <v>45609.83747685186</v>
      </c>
      <c r="C128" s="1" t="n">
        <v>45985</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45985</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48131-2023</t>
        </is>
      </c>
      <c r="B130" s="1" t="n">
        <v>45205</v>
      </c>
      <c r="C130" s="1" t="n">
        <v>45985</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27827-2022</t>
        </is>
      </c>
      <c r="B131" s="1" t="n">
        <v>44743.59504629629</v>
      </c>
      <c r="C131" s="1" t="n">
        <v>45985</v>
      </c>
      <c r="D131" t="inlineStr">
        <is>
          <t>STOCKHOLMS LÄN</t>
        </is>
      </c>
      <c r="E131" t="inlineStr">
        <is>
          <t>NORRTÄLJE</t>
        </is>
      </c>
      <c r="F131" t="inlineStr">
        <is>
          <t>Holmen skog AB</t>
        </is>
      </c>
      <c r="G131" t="n">
        <v>4.7</v>
      </c>
      <c r="H131" t="n">
        <v>1</v>
      </c>
      <c r="I131" t="n">
        <v>0</v>
      </c>
      <c r="J131" t="n">
        <v>1</v>
      </c>
      <c r="K131" t="n">
        <v>0</v>
      </c>
      <c r="L131" t="n">
        <v>0</v>
      </c>
      <c r="M131" t="n">
        <v>0</v>
      </c>
      <c r="N131" t="n">
        <v>0</v>
      </c>
      <c r="O131" t="n">
        <v>1</v>
      </c>
      <c r="P131" t="n">
        <v>0</v>
      </c>
      <c r="Q131" t="n">
        <v>1</v>
      </c>
      <c r="R131" s="2" t="inlineStr">
        <is>
          <t>Nordfladdermus</t>
        </is>
      </c>
      <c r="S131">
        <f>HYPERLINK("https://klasma.github.io/Logging_0188/artfynd/A 27827-2022 artfynd.xlsx", "A 27827-2022")</f>
        <v/>
      </c>
      <c r="T131">
        <f>HYPERLINK("https://klasma.github.io/Logging_0188/kartor/A 27827-2022 karta.png", "A 27827-2022")</f>
        <v/>
      </c>
      <c r="V131">
        <f>HYPERLINK("https://klasma.github.io/Logging_0188/klagomål/A 27827-2022 FSC-klagomål.docx", "A 27827-2022")</f>
        <v/>
      </c>
      <c r="W131">
        <f>HYPERLINK("https://klasma.github.io/Logging_0188/klagomålsmail/A 27827-2022 FSC-klagomål mail.docx", "A 27827-2022")</f>
        <v/>
      </c>
      <c r="X131">
        <f>HYPERLINK("https://klasma.github.io/Logging_0188/tillsyn/A 27827-2022 tillsynsbegäran.docx", "A 27827-2022")</f>
        <v/>
      </c>
      <c r="Y131">
        <f>HYPERLINK("https://klasma.github.io/Logging_0188/tillsynsmail/A 27827-2022 tillsynsbegäran mail.docx", "A 27827-2022")</f>
        <v/>
      </c>
    </row>
    <row r="132" ht="15" customHeight="1">
      <c r="A132" t="inlineStr">
        <is>
          <t>A 9955-2022</t>
        </is>
      </c>
      <c r="B132" s="1" t="n">
        <v>44620</v>
      </c>
      <c r="C132" s="1" t="n">
        <v>45985</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1970-2021</t>
        </is>
      </c>
      <c r="B133" s="1" t="n">
        <v>44210</v>
      </c>
      <c r="C133" s="1" t="n">
        <v>45985</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45985</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45985</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45985</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45985</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45985</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45985</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45985</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45985</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45985</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45985</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45985</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45985</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45985</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45985</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45985</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45985</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45985</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45985</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45985</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45985</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45985</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45985</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45985</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45985</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45985</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45985</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45985</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62854-2020</t>
        </is>
      </c>
      <c r="B161" s="1" t="n">
        <v>44161</v>
      </c>
      <c r="C161" s="1" t="n">
        <v>45985</v>
      </c>
      <c r="D161" t="inlineStr">
        <is>
          <t>STOCKHOLMS LÄN</t>
        </is>
      </c>
      <c r="E161" t="inlineStr">
        <is>
          <t>NORRTÄLJE</t>
        </is>
      </c>
      <c r="G161" t="n">
        <v>4.7</v>
      </c>
      <c r="H161" t="n">
        <v>0</v>
      </c>
      <c r="I161" t="n">
        <v>0</v>
      </c>
      <c r="J161" t="n">
        <v>0</v>
      </c>
      <c r="K161" t="n">
        <v>0</v>
      </c>
      <c r="L161" t="n">
        <v>0</v>
      </c>
      <c r="M161" t="n">
        <v>0</v>
      </c>
      <c r="N161" t="n">
        <v>0</v>
      </c>
      <c r="O161" t="n">
        <v>0</v>
      </c>
      <c r="P161" t="n">
        <v>0</v>
      </c>
      <c r="Q161" t="n">
        <v>0</v>
      </c>
      <c r="R161" s="2" t="inlineStr"/>
    </row>
    <row r="162" ht="15" customHeight="1">
      <c r="A162" t="inlineStr">
        <is>
          <t>A 37712-2021</t>
        </is>
      </c>
      <c r="B162" s="1" t="n">
        <v>44400</v>
      </c>
      <c r="C162" s="1" t="n">
        <v>45985</v>
      </c>
      <c r="D162" t="inlineStr">
        <is>
          <t>STOCKHOLMS LÄN</t>
        </is>
      </c>
      <c r="E162" t="inlineStr">
        <is>
          <t>NORRTÄLJE</t>
        </is>
      </c>
      <c r="G162" t="n">
        <v>22.9</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45985</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45985</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45985</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45985</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45985</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45985</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18905-2022</t>
        </is>
      </c>
      <c r="B169" s="1" t="n">
        <v>44690</v>
      </c>
      <c r="C169" s="1" t="n">
        <v>45985</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45985</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21723-2022</t>
        </is>
      </c>
      <c r="B171" s="1" t="n">
        <v>44708</v>
      </c>
      <c r="C171" s="1" t="n">
        <v>45985</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12816-2022</t>
        </is>
      </c>
      <c r="B172" s="1" t="n">
        <v>44642</v>
      </c>
      <c r="C172" s="1" t="n">
        <v>45985</v>
      </c>
      <c r="D172" t="inlineStr">
        <is>
          <t>STOCKHOLMS LÄN</t>
        </is>
      </c>
      <c r="E172" t="inlineStr">
        <is>
          <t>NORRTÄLJE</t>
        </is>
      </c>
      <c r="G172" t="n">
        <v>4.4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45985</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45985</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45985</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45985</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45985</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45985</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45985</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45985</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45985</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45985</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45985</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45985</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45985</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45985</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45985</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45985</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45985</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45985</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45985</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45985</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45985</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45985</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45985</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45985</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45985</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45985</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45985</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45985</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45985</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45985</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45985</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45985</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45985</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45985</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45985</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45985</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45985</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45985</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45985</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45985</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45985</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45985</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45985</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45985</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45985</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45985</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45985</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45985</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45985</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45985</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45985</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45985</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45985</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45985</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45985</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45985</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45985</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45985</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45985</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67598-2021</t>
        </is>
      </c>
      <c r="B236" s="1" t="n">
        <v>44524</v>
      </c>
      <c r="C236" s="1" t="n">
        <v>45985</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45985</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15441-2021</t>
        </is>
      </c>
      <c r="B238" s="1" t="n">
        <v>44284</v>
      </c>
      <c r="C238" s="1" t="n">
        <v>45985</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45985</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45985</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45985</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45985</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45985</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45985</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45985</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45985</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45985</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16119-2022</t>
        </is>
      </c>
      <c r="B248" s="1" t="n">
        <v>44665.66407407408</v>
      </c>
      <c r="C248" s="1" t="n">
        <v>45985</v>
      </c>
      <c r="D248" t="inlineStr">
        <is>
          <t>STOCKHOLMS LÄN</t>
        </is>
      </c>
      <c r="E248" t="inlineStr">
        <is>
          <t>NORRTÄLJE</t>
        </is>
      </c>
      <c r="G248" t="n">
        <v>3.9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45985</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45985</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45985</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45985</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45985</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45985</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45985</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45985</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45985</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45985</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45985</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9446-2021</t>
        </is>
      </c>
      <c r="B260" s="1" t="n">
        <v>44251</v>
      </c>
      <c r="C260" s="1" t="n">
        <v>45985</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45985</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45985</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45985</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45985</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45985</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45985</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45985</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45985</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45985</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7565-2022</t>
        </is>
      </c>
      <c r="B270" s="1" t="n">
        <v>44607</v>
      </c>
      <c r="C270" s="1" t="n">
        <v>45985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45985</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45985</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45985</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45985</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45985</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45985</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45985</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45985</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45985</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45985</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45985</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45985</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45985</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45985</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45985</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45985</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45985</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45985</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45985</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45985</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45985</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45985</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45985</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45985</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45985</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45985</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55012-2024</t>
        </is>
      </c>
      <c r="B297" s="1" t="n">
        <v>45621.34813657407</v>
      </c>
      <c r="C297" s="1" t="n">
        <v>45985</v>
      </c>
      <c r="D297" t="inlineStr">
        <is>
          <t>STOCKHOLMS LÄN</t>
        </is>
      </c>
      <c r="E297" t="inlineStr">
        <is>
          <t>NORRTÄLJE</t>
        </is>
      </c>
      <c r="F297" t="inlineStr">
        <is>
          <t>Sveaskog</t>
        </is>
      </c>
      <c r="G297" t="n">
        <v>5.2</v>
      </c>
      <c r="H297" t="n">
        <v>0</v>
      </c>
      <c r="I297" t="n">
        <v>0</v>
      </c>
      <c r="J297" t="n">
        <v>0</v>
      </c>
      <c r="K297" t="n">
        <v>0</v>
      </c>
      <c r="L297" t="n">
        <v>0</v>
      </c>
      <c r="M297" t="n">
        <v>0</v>
      </c>
      <c r="N297" t="n">
        <v>0</v>
      </c>
      <c r="O297" t="n">
        <v>0</v>
      </c>
      <c r="P297" t="n">
        <v>0</v>
      </c>
      <c r="Q297" t="n">
        <v>0</v>
      </c>
      <c r="R297" s="2" t="inlineStr"/>
    </row>
    <row r="298" ht="15" customHeight="1">
      <c r="A298" t="inlineStr">
        <is>
          <t>A 23271-2023</t>
        </is>
      </c>
      <c r="B298" s="1" t="n">
        <v>45075.91362268518</v>
      </c>
      <c r="C298" s="1" t="n">
        <v>45985</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23273-2023</t>
        </is>
      </c>
      <c r="B299" s="1" t="n">
        <v>45075.91971064815</v>
      </c>
      <c r="C299" s="1" t="n">
        <v>45985</v>
      </c>
      <c r="D299" t="inlineStr">
        <is>
          <t>STOCKHOLMS LÄN</t>
        </is>
      </c>
      <c r="E299" t="inlineStr">
        <is>
          <t>NORRTÄLJE</t>
        </is>
      </c>
      <c r="G299" t="n">
        <v>7.5</v>
      </c>
      <c r="H299" t="n">
        <v>0</v>
      </c>
      <c r="I299" t="n">
        <v>0</v>
      </c>
      <c r="J299" t="n">
        <v>0</v>
      </c>
      <c r="K299" t="n">
        <v>0</v>
      </c>
      <c r="L299" t="n">
        <v>0</v>
      </c>
      <c r="M299" t="n">
        <v>0</v>
      </c>
      <c r="N299" t="n">
        <v>0</v>
      </c>
      <c r="O299" t="n">
        <v>0</v>
      </c>
      <c r="P299" t="n">
        <v>0</v>
      </c>
      <c r="Q299" t="n">
        <v>0</v>
      </c>
      <c r="R299" s="2" t="inlineStr"/>
    </row>
    <row r="300" ht="15" customHeight="1">
      <c r="A300" t="inlineStr">
        <is>
          <t>A 30802-2022</t>
        </is>
      </c>
      <c r="B300" s="1" t="n">
        <v>44764</v>
      </c>
      <c r="C300" s="1" t="n">
        <v>45985</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19706-2023</t>
        </is>
      </c>
      <c r="B301" s="1" t="n">
        <v>45051.455</v>
      </c>
      <c r="C301" s="1" t="n">
        <v>45985</v>
      </c>
      <c r="D301" t="inlineStr">
        <is>
          <t>STOCKHOLMS LÄN</t>
        </is>
      </c>
      <c r="E301" t="inlineStr">
        <is>
          <t>NORRTÄLJE</t>
        </is>
      </c>
      <c r="G301" t="n">
        <v>0.2</v>
      </c>
      <c r="H301" t="n">
        <v>0</v>
      </c>
      <c r="I301" t="n">
        <v>0</v>
      </c>
      <c r="J301" t="n">
        <v>0</v>
      </c>
      <c r="K301" t="n">
        <v>0</v>
      </c>
      <c r="L301" t="n">
        <v>0</v>
      </c>
      <c r="M301" t="n">
        <v>0</v>
      </c>
      <c r="N301" t="n">
        <v>0</v>
      </c>
      <c r="O301" t="n">
        <v>0</v>
      </c>
      <c r="P301" t="n">
        <v>0</v>
      </c>
      <c r="Q301" t="n">
        <v>0</v>
      </c>
      <c r="R301" s="2" t="inlineStr"/>
    </row>
    <row r="302" ht="15" customHeight="1">
      <c r="A302" t="inlineStr">
        <is>
          <t>A 12111-2021</t>
        </is>
      </c>
      <c r="B302" s="1" t="n">
        <v>44266</v>
      </c>
      <c r="C302" s="1" t="n">
        <v>45985</v>
      </c>
      <c r="D302" t="inlineStr">
        <is>
          <t>STOCKHOLMS LÄN</t>
        </is>
      </c>
      <c r="E302" t="inlineStr">
        <is>
          <t>NORRTÄLJE</t>
        </is>
      </c>
      <c r="G302" t="n">
        <v>5.5</v>
      </c>
      <c r="H302" t="n">
        <v>0</v>
      </c>
      <c r="I302" t="n">
        <v>0</v>
      </c>
      <c r="J302" t="n">
        <v>0</v>
      </c>
      <c r="K302" t="n">
        <v>0</v>
      </c>
      <c r="L302" t="n">
        <v>0</v>
      </c>
      <c r="M302" t="n">
        <v>0</v>
      </c>
      <c r="N302" t="n">
        <v>0</v>
      </c>
      <c r="O302" t="n">
        <v>0</v>
      </c>
      <c r="P302" t="n">
        <v>0</v>
      </c>
      <c r="Q302" t="n">
        <v>0</v>
      </c>
      <c r="R302" s="2" t="inlineStr"/>
    </row>
    <row r="303" ht="15" customHeight="1">
      <c r="A303" t="inlineStr">
        <is>
          <t>A 33053-2021</t>
        </is>
      </c>
      <c r="B303" s="1" t="n">
        <v>44376</v>
      </c>
      <c r="C303" s="1" t="n">
        <v>45985</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16008-2025</t>
        </is>
      </c>
      <c r="B304" s="1" t="n">
        <v>45749</v>
      </c>
      <c r="C304" s="1" t="n">
        <v>45985</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45985</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9765-2024</t>
        </is>
      </c>
      <c r="B306" s="1" t="n">
        <v>45362.62811342593</v>
      </c>
      <c r="C306" s="1" t="n">
        <v>45985</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45985</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45985</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45985</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45985</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45985</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45985</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56631-2024</t>
        </is>
      </c>
      <c r="B313" s="1" t="n">
        <v>45625</v>
      </c>
      <c r="C313" s="1" t="n">
        <v>45985</v>
      </c>
      <c r="D313" t="inlineStr">
        <is>
          <t>STOCKHOLMS LÄN</t>
        </is>
      </c>
      <c r="E313" t="inlineStr">
        <is>
          <t>NORRTÄLJE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45985</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45985</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45985</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13148-2021</t>
        </is>
      </c>
      <c r="B317" s="1" t="n">
        <v>44272</v>
      </c>
      <c r="C317" s="1" t="n">
        <v>45985</v>
      </c>
      <c r="D317" t="inlineStr">
        <is>
          <t>STOCKHOLMS LÄN</t>
        </is>
      </c>
      <c r="E317" t="inlineStr">
        <is>
          <t>NORRTÄLJE</t>
        </is>
      </c>
      <c r="G317" t="n">
        <v>12.4</v>
      </c>
      <c r="H317" t="n">
        <v>0</v>
      </c>
      <c r="I317" t="n">
        <v>0</v>
      </c>
      <c r="J317" t="n">
        <v>0</v>
      </c>
      <c r="K317" t="n">
        <v>0</v>
      </c>
      <c r="L317" t="n">
        <v>0</v>
      </c>
      <c r="M317" t="n">
        <v>0</v>
      </c>
      <c r="N317" t="n">
        <v>0</v>
      </c>
      <c r="O317" t="n">
        <v>0</v>
      </c>
      <c r="P317" t="n">
        <v>0</v>
      </c>
      <c r="Q317" t="n">
        <v>0</v>
      </c>
      <c r="R317" s="2" t="inlineStr"/>
    </row>
    <row r="318" ht="15" customHeight="1">
      <c r="A318" t="inlineStr">
        <is>
          <t>A 27715-2022</t>
        </is>
      </c>
      <c r="B318" s="1" t="n">
        <v>44743.47407407407</v>
      </c>
      <c r="C318" s="1" t="n">
        <v>45985</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20136-2025</t>
        </is>
      </c>
      <c r="B319" s="1" t="n">
        <v>45772.51127314815</v>
      </c>
      <c r="C319" s="1" t="n">
        <v>45985</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20473-2021</t>
        </is>
      </c>
      <c r="B320" s="1" t="n">
        <v>44315</v>
      </c>
      <c r="C320" s="1" t="n">
        <v>45985</v>
      </c>
      <c r="D320" t="inlineStr">
        <is>
          <t>STOCKHOLMS LÄN</t>
        </is>
      </c>
      <c r="E320" t="inlineStr">
        <is>
          <t>NORRTÄLJE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15978-2024</t>
        </is>
      </c>
      <c r="B321" s="1" t="n">
        <v>45405.57927083333</v>
      </c>
      <c r="C321" s="1" t="n">
        <v>45985</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7603-2025</t>
        </is>
      </c>
      <c r="B322" s="1" t="n">
        <v>45705.66126157407</v>
      </c>
      <c r="C322" s="1" t="n">
        <v>45985</v>
      </c>
      <c r="D322" t="inlineStr">
        <is>
          <t>STOCKHOLMS LÄN</t>
        </is>
      </c>
      <c r="E322" t="inlineStr">
        <is>
          <t>NORRTÄLJE</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8736-2024</t>
        </is>
      </c>
      <c r="B323" s="1" t="n">
        <v>45356.4722800926</v>
      </c>
      <c r="C323" s="1" t="n">
        <v>45985</v>
      </c>
      <c r="D323" t="inlineStr">
        <is>
          <t>STOCKHOLMS LÄN</t>
        </is>
      </c>
      <c r="E323" t="inlineStr">
        <is>
          <t>NORRTÄLJE</t>
        </is>
      </c>
      <c r="G323" t="n">
        <v>8.9</v>
      </c>
      <c r="H323" t="n">
        <v>0</v>
      </c>
      <c r="I323" t="n">
        <v>0</v>
      </c>
      <c r="J323" t="n">
        <v>0</v>
      </c>
      <c r="K323" t="n">
        <v>0</v>
      </c>
      <c r="L323" t="n">
        <v>0</v>
      </c>
      <c r="M323" t="n">
        <v>0</v>
      </c>
      <c r="N323" t="n">
        <v>0</v>
      </c>
      <c r="O323" t="n">
        <v>0</v>
      </c>
      <c r="P323" t="n">
        <v>0</v>
      </c>
      <c r="Q323" t="n">
        <v>0</v>
      </c>
      <c r="R323" s="2" t="inlineStr"/>
    </row>
    <row r="324" ht="15" customHeight="1">
      <c r="A324" t="inlineStr">
        <is>
          <t>A 51046-2023</t>
        </is>
      </c>
      <c r="B324" s="1" t="n">
        <v>45218</v>
      </c>
      <c r="C324" s="1" t="n">
        <v>45985</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5158-2024</t>
        </is>
      </c>
      <c r="B325" s="1" t="n">
        <v>45330.50098379629</v>
      </c>
      <c r="C325" s="1" t="n">
        <v>45985</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15552-2021</t>
        </is>
      </c>
      <c r="B326" s="1" t="n">
        <v>44285</v>
      </c>
      <c r="C326" s="1" t="n">
        <v>45985</v>
      </c>
      <c r="D326" t="inlineStr">
        <is>
          <t>STOCKHOLMS LÄN</t>
        </is>
      </c>
      <c r="E326" t="inlineStr">
        <is>
          <t>NORRTÄLJE</t>
        </is>
      </c>
      <c r="G326" t="n">
        <v>10</v>
      </c>
      <c r="H326" t="n">
        <v>0</v>
      </c>
      <c r="I326" t="n">
        <v>0</v>
      </c>
      <c r="J326" t="n">
        <v>0</v>
      </c>
      <c r="K326" t="n">
        <v>0</v>
      </c>
      <c r="L326" t="n">
        <v>0</v>
      </c>
      <c r="M326" t="n">
        <v>0</v>
      </c>
      <c r="N326" t="n">
        <v>0</v>
      </c>
      <c r="O326" t="n">
        <v>0</v>
      </c>
      <c r="P326" t="n">
        <v>0</v>
      </c>
      <c r="Q326" t="n">
        <v>0</v>
      </c>
      <c r="R326" s="2" t="inlineStr"/>
    </row>
    <row r="327" ht="15" customHeight="1">
      <c r="A327" t="inlineStr">
        <is>
          <t>A 44891-2023</t>
        </is>
      </c>
      <c r="B327" s="1" t="n">
        <v>45187</v>
      </c>
      <c r="C327" s="1" t="n">
        <v>45985</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13268-2025</t>
        </is>
      </c>
      <c r="B328" s="1" t="n">
        <v>45735</v>
      </c>
      <c r="C328" s="1" t="n">
        <v>45985</v>
      </c>
      <c r="D328" t="inlineStr">
        <is>
          <t>STOCKHOLMS LÄN</t>
        </is>
      </c>
      <c r="E328" t="inlineStr">
        <is>
          <t>NORRTÄLJE</t>
        </is>
      </c>
      <c r="G328" t="n">
        <v>11.4</v>
      </c>
      <c r="H328" t="n">
        <v>0</v>
      </c>
      <c r="I328" t="n">
        <v>0</v>
      </c>
      <c r="J328" t="n">
        <v>0</v>
      </c>
      <c r="K328" t="n">
        <v>0</v>
      </c>
      <c r="L328" t="n">
        <v>0</v>
      </c>
      <c r="M328" t="n">
        <v>0</v>
      </c>
      <c r="N328" t="n">
        <v>0</v>
      </c>
      <c r="O328" t="n">
        <v>0</v>
      </c>
      <c r="P328" t="n">
        <v>0</v>
      </c>
      <c r="Q328" t="n">
        <v>0</v>
      </c>
      <c r="R328" s="2" t="inlineStr"/>
    </row>
    <row r="329" ht="15" customHeight="1">
      <c r="A329" t="inlineStr">
        <is>
          <t>A 45255-2022</t>
        </is>
      </c>
      <c r="B329" s="1" t="n">
        <v>44840</v>
      </c>
      <c r="C329" s="1" t="n">
        <v>45985</v>
      </c>
      <c r="D329" t="inlineStr">
        <is>
          <t>STOCKHOLMS LÄN</t>
        </is>
      </c>
      <c r="E329" t="inlineStr">
        <is>
          <t>NORRTÄLJE</t>
        </is>
      </c>
      <c r="G329" t="n">
        <v>4.1</v>
      </c>
      <c r="H329" t="n">
        <v>0</v>
      </c>
      <c r="I329" t="n">
        <v>0</v>
      </c>
      <c r="J329" t="n">
        <v>0</v>
      </c>
      <c r="K329" t="n">
        <v>0</v>
      </c>
      <c r="L329" t="n">
        <v>0</v>
      </c>
      <c r="M329" t="n">
        <v>0</v>
      </c>
      <c r="N329" t="n">
        <v>0</v>
      </c>
      <c r="O329" t="n">
        <v>0</v>
      </c>
      <c r="P329" t="n">
        <v>0</v>
      </c>
      <c r="Q329" t="n">
        <v>0</v>
      </c>
      <c r="R329" s="2" t="inlineStr"/>
    </row>
    <row r="330" ht="15" customHeight="1">
      <c r="A330" t="inlineStr">
        <is>
          <t>A 19915-2024</t>
        </is>
      </c>
      <c r="B330" s="1" t="n">
        <v>45433.58431712963</v>
      </c>
      <c r="C330" s="1" t="n">
        <v>45985</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8414-2025</t>
        </is>
      </c>
      <c r="B331" s="1" t="n">
        <v>45709.39361111111</v>
      </c>
      <c r="C331" s="1" t="n">
        <v>45985</v>
      </c>
      <c r="D331" t="inlineStr">
        <is>
          <t>STOCKHOLMS LÄN</t>
        </is>
      </c>
      <c r="E331" t="inlineStr">
        <is>
          <t>NORRTÄLJE</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12629-2024</t>
        </is>
      </c>
      <c r="B332" s="1" t="n">
        <v>45383</v>
      </c>
      <c r="C332" s="1" t="n">
        <v>45985</v>
      </c>
      <c r="D332" t="inlineStr">
        <is>
          <t>STOCKHOLMS LÄN</t>
        </is>
      </c>
      <c r="E332" t="inlineStr">
        <is>
          <t>NORRTÄLJE</t>
        </is>
      </c>
      <c r="G332" t="n">
        <v>2.6</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45985</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57037-2022</t>
        </is>
      </c>
      <c r="B334" s="1" t="n">
        <v>44895</v>
      </c>
      <c r="C334" s="1" t="n">
        <v>45985</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14762-2024</t>
        </is>
      </c>
      <c r="B335" s="1" t="n">
        <v>45397</v>
      </c>
      <c r="C335" s="1" t="n">
        <v>45985</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44032-2024</t>
        </is>
      </c>
      <c r="B336" s="1" t="n">
        <v>45572.57828703704</v>
      </c>
      <c r="C336" s="1" t="n">
        <v>45985</v>
      </c>
      <c r="D336" t="inlineStr">
        <is>
          <t>STOCKHOLMS LÄN</t>
        </is>
      </c>
      <c r="E336" t="inlineStr">
        <is>
          <t>NORRTÄLJE</t>
        </is>
      </c>
      <c r="G336" t="n">
        <v>8.6</v>
      </c>
      <c r="H336" t="n">
        <v>0</v>
      </c>
      <c r="I336" t="n">
        <v>0</v>
      </c>
      <c r="J336" t="n">
        <v>0</v>
      </c>
      <c r="K336" t="n">
        <v>0</v>
      </c>
      <c r="L336" t="n">
        <v>0</v>
      </c>
      <c r="M336" t="n">
        <v>0</v>
      </c>
      <c r="N336" t="n">
        <v>0</v>
      </c>
      <c r="O336" t="n">
        <v>0</v>
      </c>
      <c r="P336" t="n">
        <v>0</v>
      </c>
      <c r="Q336" t="n">
        <v>0</v>
      </c>
      <c r="R336" s="2" t="inlineStr"/>
    </row>
    <row r="337" ht="15" customHeight="1">
      <c r="A337" t="inlineStr">
        <is>
          <t>A 24563-2024</t>
        </is>
      </c>
      <c r="B337" s="1" t="n">
        <v>45460.44347222222</v>
      </c>
      <c r="C337" s="1" t="n">
        <v>45985</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22202-2025</t>
        </is>
      </c>
      <c r="B338" s="1" t="n">
        <v>45785.65300925926</v>
      </c>
      <c r="C338" s="1" t="n">
        <v>45985</v>
      </c>
      <c r="D338" t="inlineStr">
        <is>
          <t>STOCKHOLMS LÄN</t>
        </is>
      </c>
      <c r="E338" t="inlineStr">
        <is>
          <t>NORRTÄLJE</t>
        </is>
      </c>
      <c r="G338" t="n">
        <v>10.2</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45985</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45985</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45985</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45746-2024</t>
        </is>
      </c>
      <c r="B342" s="1" t="n">
        <v>45579</v>
      </c>
      <c r="C342" s="1" t="n">
        <v>45985</v>
      </c>
      <c r="D342" t="inlineStr">
        <is>
          <t>STOCKHOLMS LÄN</t>
        </is>
      </c>
      <c r="E342" t="inlineStr">
        <is>
          <t>NORRTÄLJE</t>
        </is>
      </c>
      <c r="G342" t="n">
        <v>3.3</v>
      </c>
      <c r="H342" t="n">
        <v>0</v>
      </c>
      <c r="I342" t="n">
        <v>0</v>
      </c>
      <c r="J342" t="n">
        <v>0</v>
      </c>
      <c r="K342" t="n">
        <v>0</v>
      </c>
      <c r="L342" t="n">
        <v>0</v>
      </c>
      <c r="M342" t="n">
        <v>0</v>
      </c>
      <c r="N342" t="n">
        <v>0</v>
      </c>
      <c r="O342" t="n">
        <v>0</v>
      </c>
      <c r="P342" t="n">
        <v>0</v>
      </c>
      <c r="Q342" t="n">
        <v>0</v>
      </c>
      <c r="R342" s="2" t="inlineStr"/>
    </row>
    <row r="343" ht="15" customHeight="1">
      <c r="A343" t="inlineStr">
        <is>
          <t>A 22816-2021</t>
        </is>
      </c>
      <c r="B343" s="1" t="n">
        <v>44325</v>
      </c>
      <c r="C343" s="1" t="n">
        <v>45985</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45985</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8400-2024</t>
        </is>
      </c>
      <c r="B345" s="1" t="n">
        <v>45352.74090277778</v>
      </c>
      <c r="C345" s="1" t="n">
        <v>45985</v>
      </c>
      <c r="D345" t="inlineStr">
        <is>
          <t>STOCKHOLMS LÄN</t>
        </is>
      </c>
      <c r="E345" t="inlineStr">
        <is>
          <t>NORRTÄLJE</t>
        </is>
      </c>
      <c r="G345" t="n">
        <v>4.7</v>
      </c>
      <c r="H345" t="n">
        <v>0</v>
      </c>
      <c r="I345" t="n">
        <v>0</v>
      </c>
      <c r="J345" t="n">
        <v>0</v>
      </c>
      <c r="K345" t="n">
        <v>0</v>
      </c>
      <c r="L345" t="n">
        <v>0</v>
      </c>
      <c r="M345" t="n">
        <v>0</v>
      </c>
      <c r="N345" t="n">
        <v>0</v>
      </c>
      <c r="O345" t="n">
        <v>0</v>
      </c>
      <c r="P345" t="n">
        <v>0</v>
      </c>
      <c r="Q345" t="n">
        <v>0</v>
      </c>
      <c r="R345" s="2" t="inlineStr"/>
    </row>
    <row r="346" ht="15" customHeight="1">
      <c r="A346" t="inlineStr">
        <is>
          <t>A 2182-2022</t>
        </is>
      </c>
      <c r="B346" s="1" t="n">
        <v>44578</v>
      </c>
      <c r="C346" s="1" t="n">
        <v>45985</v>
      </c>
      <c r="D346" t="inlineStr">
        <is>
          <t>STOCKHOLMS LÄN</t>
        </is>
      </c>
      <c r="E346" t="inlineStr">
        <is>
          <t>NORRTÄLJE</t>
        </is>
      </c>
      <c r="G346" t="n">
        <v>7.2</v>
      </c>
      <c r="H346" t="n">
        <v>0</v>
      </c>
      <c r="I346" t="n">
        <v>0</v>
      </c>
      <c r="J346" t="n">
        <v>0</v>
      </c>
      <c r="K346" t="n">
        <v>0</v>
      </c>
      <c r="L346" t="n">
        <v>0</v>
      </c>
      <c r="M346" t="n">
        <v>0</v>
      </c>
      <c r="N346" t="n">
        <v>0</v>
      </c>
      <c r="O346" t="n">
        <v>0</v>
      </c>
      <c r="P346" t="n">
        <v>0</v>
      </c>
      <c r="Q346" t="n">
        <v>0</v>
      </c>
      <c r="R346" s="2" t="inlineStr"/>
    </row>
    <row r="347" ht="15" customHeight="1">
      <c r="A347" t="inlineStr">
        <is>
          <t>A 51978-2023</t>
        </is>
      </c>
      <c r="B347" s="1" t="n">
        <v>45223</v>
      </c>
      <c r="C347" s="1" t="n">
        <v>45985</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13051-2021</t>
        </is>
      </c>
      <c r="B348" s="1" t="n">
        <v>44272</v>
      </c>
      <c r="C348" s="1" t="n">
        <v>45985</v>
      </c>
      <c r="D348" t="inlineStr">
        <is>
          <t>STOCKHOLMS LÄN</t>
        </is>
      </c>
      <c r="E348" t="inlineStr">
        <is>
          <t>NORRTÄLJE</t>
        </is>
      </c>
      <c r="G348" t="n">
        <v>9.1</v>
      </c>
      <c r="H348" t="n">
        <v>0</v>
      </c>
      <c r="I348" t="n">
        <v>0</v>
      </c>
      <c r="J348" t="n">
        <v>0</v>
      </c>
      <c r="K348" t="n">
        <v>0</v>
      </c>
      <c r="L348" t="n">
        <v>0</v>
      </c>
      <c r="M348" t="n">
        <v>0</v>
      </c>
      <c r="N348" t="n">
        <v>0</v>
      </c>
      <c r="O348" t="n">
        <v>0</v>
      </c>
      <c r="P348" t="n">
        <v>0</v>
      </c>
      <c r="Q348" t="n">
        <v>0</v>
      </c>
      <c r="R348" s="2" t="inlineStr"/>
    </row>
    <row r="349" ht="15" customHeight="1">
      <c r="A349" t="inlineStr">
        <is>
          <t>A 55755-2023</t>
        </is>
      </c>
      <c r="B349" s="1" t="n">
        <v>45239</v>
      </c>
      <c r="C349" s="1" t="n">
        <v>45985</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65499-2021</t>
        </is>
      </c>
      <c r="B350" s="1" t="n">
        <v>44516</v>
      </c>
      <c r="C350" s="1" t="n">
        <v>45985</v>
      </c>
      <c r="D350" t="inlineStr">
        <is>
          <t>STOCKHOLMS LÄN</t>
        </is>
      </c>
      <c r="E350" t="inlineStr">
        <is>
          <t>NORRTÄLJE</t>
        </is>
      </c>
      <c r="F350" t="inlineStr">
        <is>
          <t>Kommuner</t>
        </is>
      </c>
      <c r="G350" t="n">
        <v>5.2</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45985</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16620-2024</t>
        </is>
      </c>
      <c r="B352" s="1" t="n">
        <v>45408.57707175926</v>
      </c>
      <c r="C352" s="1" t="n">
        <v>45985</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45985</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45985</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22416-2025</t>
        </is>
      </c>
      <c r="B355" s="1" t="n">
        <v>45786.55645833333</v>
      </c>
      <c r="C355" s="1" t="n">
        <v>45985</v>
      </c>
      <c r="D355" t="inlineStr">
        <is>
          <t>STOCKHOLMS LÄN</t>
        </is>
      </c>
      <c r="E355" t="inlineStr">
        <is>
          <t>NORRTÄLJE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58785-2024</t>
        </is>
      </c>
      <c r="B356" s="1" t="n">
        <v>45635.88849537037</v>
      </c>
      <c r="C356" s="1" t="n">
        <v>45985</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45985</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45985</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45985</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45985</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45985</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45985</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45985</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45985</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39149-2025</t>
        </is>
      </c>
      <c r="B365" s="1" t="n">
        <v>45888.60714120371</v>
      </c>
      <c r="C365" s="1" t="n">
        <v>45985</v>
      </c>
      <c r="D365" t="inlineStr">
        <is>
          <t>STOCKHOLMS LÄN</t>
        </is>
      </c>
      <c r="E365" t="inlineStr">
        <is>
          <t>NORRTÄLJE</t>
        </is>
      </c>
      <c r="G365" t="n">
        <v>3.5</v>
      </c>
      <c r="H365" t="n">
        <v>0</v>
      </c>
      <c r="I365" t="n">
        <v>0</v>
      </c>
      <c r="J365" t="n">
        <v>0</v>
      </c>
      <c r="K365" t="n">
        <v>0</v>
      </c>
      <c r="L365" t="n">
        <v>0</v>
      </c>
      <c r="M365" t="n">
        <v>0</v>
      </c>
      <c r="N365" t="n">
        <v>0</v>
      </c>
      <c r="O365" t="n">
        <v>0</v>
      </c>
      <c r="P365" t="n">
        <v>0</v>
      </c>
      <c r="Q365" t="n">
        <v>0</v>
      </c>
      <c r="R365" s="2" t="inlineStr"/>
    </row>
    <row r="366" ht="15" customHeight="1">
      <c r="A366" t="inlineStr">
        <is>
          <t>A 38720-2025</t>
        </is>
      </c>
      <c r="B366" s="1" t="n">
        <v>45886</v>
      </c>
      <c r="C366" s="1" t="n">
        <v>45985</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33569-2023</t>
        </is>
      </c>
      <c r="B367" s="1" t="n">
        <v>45131.666875</v>
      </c>
      <c r="C367" s="1" t="n">
        <v>45985</v>
      </c>
      <c r="D367" t="inlineStr">
        <is>
          <t>STOCKHOLMS LÄN</t>
        </is>
      </c>
      <c r="E367" t="inlineStr">
        <is>
          <t>NORRTÄLJE</t>
        </is>
      </c>
      <c r="G367" t="n">
        <v>2.3</v>
      </c>
      <c r="H367" t="n">
        <v>0</v>
      </c>
      <c r="I367" t="n">
        <v>0</v>
      </c>
      <c r="J367" t="n">
        <v>0</v>
      </c>
      <c r="K367" t="n">
        <v>0</v>
      </c>
      <c r="L367" t="n">
        <v>0</v>
      </c>
      <c r="M367" t="n">
        <v>0</v>
      </c>
      <c r="N367" t="n">
        <v>0</v>
      </c>
      <c r="O367" t="n">
        <v>0</v>
      </c>
      <c r="P367" t="n">
        <v>0</v>
      </c>
      <c r="Q367" t="n">
        <v>0</v>
      </c>
      <c r="R367" s="2" t="inlineStr"/>
    </row>
    <row r="368" ht="15" customHeight="1">
      <c r="A368" t="inlineStr">
        <is>
          <t>A 50569-2022</t>
        </is>
      </c>
      <c r="B368" s="1" t="n">
        <v>44866.63775462963</v>
      </c>
      <c r="C368" s="1" t="n">
        <v>45985</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22833-2024</t>
        </is>
      </c>
      <c r="B369" s="1" t="n">
        <v>45448.56746527777</v>
      </c>
      <c r="C369" s="1" t="n">
        <v>45985</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45985</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45985</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17785-2024</t>
        </is>
      </c>
      <c r="B372" s="1" t="n">
        <v>45418.6968287037</v>
      </c>
      <c r="C372" s="1" t="n">
        <v>45985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62998-2023</t>
        </is>
      </c>
      <c r="B373" s="1" t="n">
        <v>45272.64479166667</v>
      </c>
      <c r="C373" s="1" t="n">
        <v>45985</v>
      </c>
      <c r="D373" t="inlineStr">
        <is>
          <t>STOCKHOLMS LÄN</t>
        </is>
      </c>
      <c r="E373" t="inlineStr">
        <is>
          <t>NORRTÄLJE</t>
        </is>
      </c>
      <c r="G373" t="n">
        <v>16.3</v>
      </c>
      <c r="H373" t="n">
        <v>0</v>
      </c>
      <c r="I373" t="n">
        <v>0</v>
      </c>
      <c r="J373" t="n">
        <v>0</v>
      </c>
      <c r="K373" t="n">
        <v>0</v>
      </c>
      <c r="L373" t="n">
        <v>0</v>
      </c>
      <c r="M373" t="n">
        <v>0</v>
      </c>
      <c r="N373" t="n">
        <v>0</v>
      </c>
      <c r="O373" t="n">
        <v>0</v>
      </c>
      <c r="P373" t="n">
        <v>0</v>
      </c>
      <c r="Q373" t="n">
        <v>0</v>
      </c>
      <c r="R373" s="2" t="inlineStr"/>
    </row>
    <row r="374" ht="15" customHeight="1">
      <c r="A374" t="inlineStr">
        <is>
          <t>A 63015-2023</t>
        </is>
      </c>
      <c r="B374" s="1" t="n">
        <v>45272</v>
      </c>
      <c r="C374" s="1" t="n">
        <v>45985</v>
      </c>
      <c r="D374" t="inlineStr">
        <is>
          <t>STOCKHOLMS LÄN</t>
        </is>
      </c>
      <c r="E374" t="inlineStr">
        <is>
          <t>NORRTÄLJE</t>
        </is>
      </c>
      <c r="G374" t="n">
        <v>13.1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45985</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45985</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45985</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45985</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12901-2024</t>
        </is>
      </c>
      <c r="B379" s="1" t="n">
        <v>45385.37922453704</v>
      </c>
      <c r="C379" s="1" t="n">
        <v>45985</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12301-2025</t>
        </is>
      </c>
      <c r="B380" s="1" t="n">
        <v>45729.7271875</v>
      </c>
      <c r="C380" s="1" t="n">
        <v>45985</v>
      </c>
      <c r="D380" t="inlineStr">
        <is>
          <t>STOCKHOLMS LÄN</t>
        </is>
      </c>
      <c r="E380" t="inlineStr">
        <is>
          <t>NORRTÄLJE</t>
        </is>
      </c>
      <c r="G380" t="n">
        <v>3.2</v>
      </c>
      <c r="H380" t="n">
        <v>0</v>
      </c>
      <c r="I380" t="n">
        <v>0</v>
      </c>
      <c r="J380" t="n">
        <v>0</v>
      </c>
      <c r="K380" t="n">
        <v>0</v>
      </c>
      <c r="L380" t="n">
        <v>0</v>
      </c>
      <c r="M380" t="n">
        <v>0</v>
      </c>
      <c r="N380" t="n">
        <v>0</v>
      </c>
      <c r="O380" t="n">
        <v>0</v>
      </c>
      <c r="P380" t="n">
        <v>0</v>
      </c>
      <c r="Q380" t="n">
        <v>0</v>
      </c>
      <c r="R380" s="2" t="inlineStr"/>
    </row>
    <row r="381" ht="15" customHeight="1">
      <c r="A381" t="inlineStr">
        <is>
          <t>A 8950-2025</t>
        </is>
      </c>
      <c r="B381" s="1" t="n">
        <v>45713</v>
      </c>
      <c r="C381" s="1" t="n">
        <v>45985</v>
      </c>
      <c r="D381" t="inlineStr">
        <is>
          <t>STOCKHOLMS LÄN</t>
        </is>
      </c>
      <c r="E381" t="inlineStr">
        <is>
          <t>NORRTÄLJE</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32071-2023</t>
        </is>
      </c>
      <c r="B382" s="1" t="n">
        <v>45119.57728009259</v>
      </c>
      <c r="C382" s="1" t="n">
        <v>45985</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20730-2024</t>
        </is>
      </c>
      <c r="B383" s="1" t="n">
        <v>45436</v>
      </c>
      <c r="C383" s="1" t="n">
        <v>45985</v>
      </c>
      <c r="D383" t="inlineStr">
        <is>
          <t>STOCKHOLMS LÄN</t>
        </is>
      </c>
      <c r="E383" t="inlineStr">
        <is>
          <t>NORRTÄLJE</t>
        </is>
      </c>
      <c r="G383" t="n">
        <v>7.3</v>
      </c>
      <c r="H383" t="n">
        <v>0</v>
      </c>
      <c r="I383" t="n">
        <v>0</v>
      </c>
      <c r="J383" t="n">
        <v>0</v>
      </c>
      <c r="K383" t="n">
        <v>0</v>
      </c>
      <c r="L383" t="n">
        <v>0</v>
      </c>
      <c r="M383" t="n">
        <v>0</v>
      </c>
      <c r="N383" t="n">
        <v>0</v>
      </c>
      <c r="O383" t="n">
        <v>0</v>
      </c>
      <c r="P383" t="n">
        <v>0</v>
      </c>
      <c r="Q383" t="n">
        <v>0</v>
      </c>
      <c r="R383" s="2" t="inlineStr"/>
    </row>
    <row r="384" ht="15" customHeight="1">
      <c r="A384" t="inlineStr">
        <is>
          <t>A 33175-2024</t>
        </is>
      </c>
      <c r="B384" s="1" t="n">
        <v>45518</v>
      </c>
      <c r="C384" s="1" t="n">
        <v>45985</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25681-2024</t>
        </is>
      </c>
      <c r="B385" s="1" t="n">
        <v>45463.80486111111</v>
      </c>
      <c r="C385" s="1" t="n">
        <v>45985</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13283-2025</t>
        </is>
      </c>
      <c r="B386" s="1" t="n">
        <v>45735</v>
      </c>
      <c r="C386" s="1" t="n">
        <v>45985</v>
      </c>
      <c r="D386" t="inlineStr">
        <is>
          <t>STOCKHOLMS LÄN</t>
        </is>
      </c>
      <c r="E386" t="inlineStr">
        <is>
          <t>NORRTÄLJE</t>
        </is>
      </c>
      <c r="G386" t="n">
        <v>4.9</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45985</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27831-2024</t>
        </is>
      </c>
      <c r="B388" s="1" t="n">
        <v>45475.61896990741</v>
      </c>
      <c r="C388" s="1" t="n">
        <v>45985</v>
      </c>
      <c r="D388" t="inlineStr">
        <is>
          <t>STOCKHOLMS LÄN</t>
        </is>
      </c>
      <c r="E388" t="inlineStr">
        <is>
          <t>NORRTÄLJE</t>
        </is>
      </c>
      <c r="G388" t="n">
        <v>3.8</v>
      </c>
      <c r="H388" t="n">
        <v>0</v>
      </c>
      <c r="I388" t="n">
        <v>0</v>
      </c>
      <c r="J388" t="n">
        <v>0</v>
      </c>
      <c r="K388" t="n">
        <v>0</v>
      </c>
      <c r="L388" t="n">
        <v>0</v>
      </c>
      <c r="M388" t="n">
        <v>0</v>
      </c>
      <c r="N388" t="n">
        <v>0</v>
      </c>
      <c r="O388" t="n">
        <v>0</v>
      </c>
      <c r="P388" t="n">
        <v>0</v>
      </c>
      <c r="Q388" t="n">
        <v>0</v>
      </c>
      <c r="R388" s="2" t="inlineStr"/>
    </row>
    <row r="389" ht="15" customHeight="1">
      <c r="A389" t="inlineStr">
        <is>
          <t>A 27677-2025</t>
        </is>
      </c>
      <c r="B389" s="1" t="n">
        <v>45813.63650462963</v>
      </c>
      <c r="C389" s="1" t="n">
        <v>45985</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24245-2024</t>
        </is>
      </c>
      <c r="B390" s="1" t="n">
        <v>45457</v>
      </c>
      <c r="C390" s="1" t="n">
        <v>45985</v>
      </c>
      <c r="D390" t="inlineStr">
        <is>
          <t>STOCKHOLMS LÄN</t>
        </is>
      </c>
      <c r="E390" t="inlineStr">
        <is>
          <t>NORRTÄLJE</t>
        </is>
      </c>
      <c r="F390" t="inlineStr">
        <is>
          <t>Holmen skog AB</t>
        </is>
      </c>
      <c r="G390" t="n">
        <v>3.4</v>
      </c>
      <c r="H390" t="n">
        <v>0</v>
      </c>
      <c r="I390" t="n">
        <v>0</v>
      </c>
      <c r="J390" t="n">
        <v>0</v>
      </c>
      <c r="K390" t="n">
        <v>0</v>
      </c>
      <c r="L390" t="n">
        <v>0</v>
      </c>
      <c r="M390" t="n">
        <v>0</v>
      </c>
      <c r="N390" t="n">
        <v>0</v>
      </c>
      <c r="O390" t="n">
        <v>0</v>
      </c>
      <c r="P390" t="n">
        <v>0</v>
      </c>
      <c r="Q390" t="n">
        <v>0</v>
      </c>
      <c r="R390" s="2" t="inlineStr"/>
    </row>
    <row r="391" ht="15" customHeight="1">
      <c r="A391" t="inlineStr">
        <is>
          <t>A 26115-2024</t>
        </is>
      </c>
      <c r="B391" s="1" t="n">
        <v>45468.45628472222</v>
      </c>
      <c r="C391" s="1" t="n">
        <v>45985</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40230-2025</t>
        </is>
      </c>
      <c r="B392" s="1" t="n">
        <v>45894.71101851852</v>
      </c>
      <c r="C392" s="1" t="n">
        <v>45985</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21803-2022</t>
        </is>
      </c>
      <c r="B393" s="1" t="n">
        <v>44708.67822916667</v>
      </c>
      <c r="C393" s="1" t="n">
        <v>45985</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40228-2025</t>
        </is>
      </c>
      <c r="B394" s="1" t="n">
        <v>45894.70854166667</v>
      </c>
      <c r="C394" s="1" t="n">
        <v>45985</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24687-2025</t>
        </is>
      </c>
      <c r="B395" s="1" t="n">
        <v>45798.66767361111</v>
      </c>
      <c r="C395" s="1" t="n">
        <v>45985</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35636-2025</t>
        </is>
      </c>
      <c r="B396" s="1" t="n">
        <v>45859</v>
      </c>
      <c r="C396" s="1" t="n">
        <v>45985</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54273-2021</t>
        </is>
      </c>
      <c r="B397" s="1" t="n">
        <v>44470.72987268519</v>
      </c>
      <c r="C397" s="1" t="n">
        <v>45985</v>
      </c>
      <c r="D397" t="inlineStr">
        <is>
          <t>STOCKHOLMS LÄN</t>
        </is>
      </c>
      <c r="E397" t="inlineStr">
        <is>
          <t>NORRTÄLJE</t>
        </is>
      </c>
      <c r="G397" t="n">
        <v>2.7</v>
      </c>
      <c r="H397" t="n">
        <v>0</v>
      </c>
      <c r="I397" t="n">
        <v>0</v>
      </c>
      <c r="J397" t="n">
        <v>0</v>
      </c>
      <c r="K397" t="n">
        <v>0</v>
      </c>
      <c r="L397" t="n">
        <v>0</v>
      </c>
      <c r="M397" t="n">
        <v>0</v>
      </c>
      <c r="N397" t="n">
        <v>0</v>
      </c>
      <c r="O397" t="n">
        <v>0</v>
      </c>
      <c r="P397" t="n">
        <v>0</v>
      </c>
      <c r="Q397" t="n">
        <v>0</v>
      </c>
      <c r="R397" s="2" t="inlineStr"/>
    </row>
    <row r="398" ht="15" customHeight="1">
      <c r="A398" t="inlineStr">
        <is>
          <t>A 43212-2022</t>
        </is>
      </c>
      <c r="B398" s="1" t="n">
        <v>44834.38636574074</v>
      </c>
      <c r="C398" s="1" t="n">
        <v>45985</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40172-2025</t>
        </is>
      </c>
      <c r="B399" s="1" t="n">
        <v>45894.6353125</v>
      </c>
      <c r="C399" s="1" t="n">
        <v>45985</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40033-2025</t>
        </is>
      </c>
      <c r="B400" s="1" t="n">
        <v>45893</v>
      </c>
      <c r="C400" s="1" t="n">
        <v>45985</v>
      </c>
      <c r="D400" t="inlineStr">
        <is>
          <t>STOCKHOLMS LÄN</t>
        </is>
      </c>
      <c r="E400" t="inlineStr">
        <is>
          <t>NORRTÄLJE</t>
        </is>
      </c>
      <c r="G400" t="n">
        <v>1.7</v>
      </c>
      <c r="H400" t="n">
        <v>0</v>
      </c>
      <c r="I400" t="n">
        <v>0</v>
      </c>
      <c r="J400" t="n">
        <v>0</v>
      </c>
      <c r="K400" t="n">
        <v>0</v>
      </c>
      <c r="L400" t="n">
        <v>0</v>
      </c>
      <c r="M400" t="n">
        <v>0</v>
      </c>
      <c r="N400" t="n">
        <v>0</v>
      </c>
      <c r="O400" t="n">
        <v>0</v>
      </c>
      <c r="P400" t="n">
        <v>0</v>
      </c>
      <c r="Q400" t="n">
        <v>0</v>
      </c>
      <c r="R400" s="2" t="inlineStr"/>
    </row>
    <row r="401" ht="15" customHeight="1">
      <c r="A401" t="inlineStr">
        <is>
          <t>A 40217-2025</t>
        </is>
      </c>
      <c r="B401" s="1" t="n">
        <v>45894.68864583333</v>
      </c>
      <c r="C401" s="1" t="n">
        <v>45985</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35639-2025</t>
        </is>
      </c>
      <c r="B402" s="1" t="n">
        <v>45859</v>
      </c>
      <c r="C402" s="1" t="n">
        <v>45985</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40032-2025</t>
        </is>
      </c>
      <c r="B403" s="1" t="n">
        <v>45893</v>
      </c>
      <c r="C403" s="1" t="n">
        <v>45985</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40097-2025</t>
        </is>
      </c>
      <c r="B404" s="1" t="n">
        <v>45894.48322916667</v>
      </c>
      <c r="C404" s="1" t="n">
        <v>45985</v>
      </c>
      <c r="D404" t="inlineStr">
        <is>
          <t>STOCKHOLMS LÄN</t>
        </is>
      </c>
      <c r="E404" t="inlineStr">
        <is>
          <t>NORRTÄLJE</t>
        </is>
      </c>
      <c r="G404" t="n">
        <v>3</v>
      </c>
      <c r="H404" t="n">
        <v>0</v>
      </c>
      <c r="I404" t="n">
        <v>0</v>
      </c>
      <c r="J404" t="n">
        <v>0</v>
      </c>
      <c r="K404" t="n">
        <v>0</v>
      </c>
      <c r="L404" t="n">
        <v>0</v>
      </c>
      <c r="M404" t="n">
        <v>0</v>
      </c>
      <c r="N404" t="n">
        <v>0</v>
      </c>
      <c r="O404" t="n">
        <v>0</v>
      </c>
      <c r="P404" t="n">
        <v>0</v>
      </c>
      <c r="Q404" t="n">
        <v>0</v>
      </c>
      <c r="R404" s="2" t="inlineStr"/>
    </row>
    <row r="405" ht="15" customHeight="1">
      <c r="A405" t="inlineStr">
        <is>
          <t>A 24690-2025</t>
        </is>
      </c>
      <c r="B405" s="1" t="n">
        <v>45798.67082175926</v>
      </c>
      <c r="C405" s="1" t="n">
        <v>45985</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24638-2025</t>
        </is>
      </c>
      <c r="B406" s="1" t="n">
        <v>45798</v>
      </c>
      <c r="C406" s="1" t="n">
        <v>45985</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24351-2025</t>
        </is>
      </c>
      <c r="B407" s="1" t="n">
        <v>45797.58399305555</v>
      </c>
      <c r="C407" s="1" t="n">
        <v>45985</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45985</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34295-2024</t>
        </is>
      </c>
      <c r="B409" s="1" t="n">
        <v>45524</v>
      </c>
      <c r="C409" s="1" t="n">
        <v>45985</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40292-2025</t>
        </is>
      </c>
      <c r="B410" s="1" t="n">
        <v>45895.3867824074</v>
      </c>
      <c r="C410" s="1" t="n">
        <v>45985</v>
      </c>
      <c r="D410" t="inlineStr">
        <is>
          <t>STOCKHOLMS LÄN</t>
        </is>
      </c>
      <c r="E410" t="inlineStr">
        <is>
          <t>NORRTÄLJE</t>
        </is>
      </c>
      <c r="G410" t="n">
        <v>3.5</v>
      </c>
      <c r="H410" t="n">
        <v>0</v>
      </c>
      <c r="I410" t="n">
        <v>0</v>
      </c>
      <c r="J410" t="n">
        <v>0</v>
      </c>
      <c r="K410" t="n">
        <v>0</v>
      </c>
      <c r="L410" t="n">
        <v>0</v>
      </c>
      <c r="M410" t="n">
        <v>0</v>
      </c>
      <c r="N410" t="n">
        <v>0</v>
      </c>
      <c r="O410" t="n">
        <v>0</v>
      </c>
      <c r="P410" t="n">
        <v>0</v>
      </c>
      <c r="Q410" t="n">
        <v>0</v>
      </c>
      <c r="R410" s="2" t="inlineStr"/>
    </row>
    <row r="411" ht="15" customHeight="1">
      <c r="A411" t="inlineStr">
        <is>
          <t>A 40294-2025</t>
        </is>
      </c>
      <c r="B411" s="1" t="n">
        <v>45895.38778935185</v>
      </c>
      <c r="C411" s="1" t="n">
        <v>45985</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6537-2024</t>
        </is>
      </c>
      <c r="B412" s="1" t="n">
        <v>45341.39853009259</v>
      </c>
      <c r="C412" s="1" t="n">
        <v>45985</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45985</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52260-2022</t>
        </is>
      </c>
      <c r="B414" s="1" t="n">
        <v>44869</v>
      </c>
      <c r="C414" s="1" t="n">
        <v>45985</v>
      </c>
      <c r="D414" t="inlineStr">
        <is>
          <t>STOCKHOLMS LÄN</t>
        </is>
      </c>
      <c r="E414" t="inlineStr">
        <is>
          <t>NORRTÄLJE</t>
        </is>
      </c>
      <c r="G414" t="n">
        <v>3.1</v>
      </c>
      <c r="H414" t="n">
        <v>0</v>
      </c>
      <c r="I414" t="n">
        <v>0</v>
      </c>
      <c r="J414" t="n">
        <v>0</v>
      </c>
      <c r="K414" t="n">
        <v>0</v>
      </c>
      <c r="L414" t="n">
        <v>0</v>
      </c>
      <c r="M414" t="n">
        <v>0</v>
      </c>
      <c r="N414" t="n">
        <v>0</v>
      </c>
      <c r="O414" t="n">
        <v>0</v>
      </c>
      <c r="P414" t="n">
        <v>0</v>
      </c>
      <c r="Q414" t="n">
        <v>0</v>
      </c>
      <c r="R414" s="2" t="inlineStr"/>
    </row>
    <row r="415" ht="15" customHeight="1">
      <c r="A415" t="inlineStr">
        <is>
          <t>A 41275-2025</t>
        </is>
      </c>
      <c r="B415" s="1" t="n">
        <v>45898.62625</v>
      </c>
      <c r="C415" s="1" t="n">
        <v>45985</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40837-2025</t>
        </is>
      </c>
      <c r="B416" s="1" t="n">
        <v>45897.51328703704</v>
      </c>
      <c r="C416" s="1" t="n">
        <v>45985</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41030-2025</t>
        </is>
      </c>
      <c r="B417" s="1" t="n">
        <v>45898.37636574074</v>
      </c>
      <c r="C417" s="1" t="n">
        <v>45985</v>
      </c>
      <c r="D417" t="inlineStr">
        <is>
          <t>STOCKHOLMS LÄN</t>
        </is>
      </c>
      <c r="E417" t="inlineStr">
        <is>
          <t>NORRTÄLJE</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25702-2025</t>
        </is>
      </c>
      <c r="B418" s="1" t="n">
        <v>45800</v>
      </c>
      <c r="C418" s="1" t="n">
        <v>45985</v>
      </c>
      <c r="D418" t="inlineStr">
        <is>
          <t>STOCKHOLMS LÄN</t>
        </is>
      </c>
      <c r="E418" t="inlineStr">
        <is>
          <t>NORRTÄLJE</t>
        </is>
      </c>
      <c r="G418" t="n">
        <v>5.3</v>
      </c>
      <c r="H418" t="n">
        <v>0</v>
      </c>
      <c r="I418" t="n">
        <v>0</v>
      </c>
      <c r="J418" t="n">
        <v>0</v>
      </c>
      <c r="K418" t="n">
        <v>0</v>
      </c>
      <c r="L418" t="n">
        <v>0</v>
      </c>
      <c r="M418" t="n">
        <v>0</v>
      </c>
      <c r="N418" t="n">
        <v>0</v>
      </c>
      <c r="O418" t="n">
        <v>0</v>
      </c>
      <c r="P418" t="n">
        <v>0</v>
      </c>
      <c r="Q418" t="n">
        <v>0</v>
      </c>
      <c r="R418" s="2" t="inlineStr"/>
    </row>
    <row r="419" ht="15" customHeight="1">
      <c r="A419" t="inlineStr">
        <is>
          <t>A 41158-2025</t>
        </is>
      </c>
      <c r="B419" s="1" t="n">
        <v>45898.5315625</v>
      </c>
      <c r="C419" s="1" t="n">
        <v>45985</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25709-2025</t>
        </is>
      </c>
      <c r="B420" s="1" t="n">
        <v>45800</v>
      </c>
      <c r="C420" s="1" t="n">
        <v>45985</v>
      </c>
      <c r="D420" t="inlineStr">
        <is>
          <t>STOCKHOLMS LÄN</t>
        </is>
      </c>
      <c r="E420" t="inlineStr">
        <is>
          <t>NORRTÄLJE</t>
        </is>
      </c>
      <c r="G420" t="n">
        <v>4.6</v>
      </c>
      <c r="H420" t="n">
        <v>0</v>
      </c>
      <c r="I420" t="n">
        <v>0</v>
      </c>
      <c r="J420" t="n">
        <v>0</v>
      </c>
      <c r="K420" t="n">
        <v>0</v>
      </c>
      <c r="L420" t="n">
        <v>0</v>
      </c>
      <c r="M420" t="n">
        <v>0</v>
      </c>
      <c r="N420" t="n">
        <v>0</v>
      </c>
      <c r="O420" t="n">
        <v>0</v>
      </c>
      <c r="P420" t="n">
        <v>0</v>
      </c>
      <c r="Q420" t="n">
        <v>0</v>
      </c>
      <c r="R420" s="2" t="inlineStr"/>
    </row>
    <row r="421" ht="15" customHeight="1">
      <c r="A421" t="inlineStr">
        <is>
          <t>A 25721-2025</t>
        </is>
      </c>
      <c r="B421" s="1" t="n">
        <v>45800</v>
      </c>
      <c r="C421" s="1" t="n">
        <v>45985</v>
      </c>
      <c r="D421" t="inlineStr">
        <is>
          <t>STOCKHOLMS LÄN</t>
        </is>
      </c>
      <c r="E421" t="inlineStr">
        <is>
          <t>NORRTÄLJE</t>
        </is>
      </c>
      <c r="G421" t="n">
        <v>6</v>
      </c>
      <c r="H421" t="n">
        <v>0</v>
      </c>
      <c r="I421" t="n">
        <v>0</v>
      </c>
      <c r="J421" t="n">
        <v>0</v>
      </c>
      <c r="K421" t="n">
        <v>0</v>
      </c>
      <c r="L421" t="n">
        <v>0</v>
      </c>
      <c r="M421" t="n">
        <v>0</v>
      </c>
      <c r="N421" t="n">
        <v>0</v>
      </c>
      <c r="O421" t="n">
        <v>0</v>
      </c>
      <c r="P421" t="n">
        <v>0</v>
      </c>
      <c r="Q421" t="n">
        <v>0</v>
      </c>
      <c r="R421" s="2" t="inlineStr"/>
    </row>
    <row r="422" ht="15" customHeight="1">
      <c r="A422" t="inlineStr">
        <is>
          <t>A 41301-2025</t>
        </is>
      </c>
      <c r="B422" s="1" t="n">
        <v>45898.68826388889</v>
      </c>
      <c r="C422" s="1" t="n">
        <v>45985</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41106-2025</t>
        </is>
      </c>
      <c r="B423" s="1" t="n">
        <v>45898.45636574074</v>
      </c>
      <c r="C423" s="1" t="n">
        <v>45985</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55058-2021</t>
        </is>
      </c>
      <c r="B424" s="1" t="n">
        <v>44474.62141203704</v>
      </c>
      <c r="C424" s="1" t="n">
        <v>45985</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40192-2023</t>
        </is>
      </c>
      <c r="B425" s="1" t="n">
        <v>45169</v>
      </c>
      <c r="C425" s="1" t="n">
        <v>45985</v>
      </c>
      <c r="D425" t="inlineStr">
        <is>
          <t>STOCKHOLMS LÄN</t>
        </is>
      </c>
      <c r="E425" t="inlineStr">
        <is>
          <t>NORRTÄLJE</t>
        </is>
      </c>
      <c r="F425" t="inlineStr">
        <is>
          <t>Kyrkan</t>
        </is>
      </c>
      <c r="G425" t="n">
        <v>0.7</v>
      </c>
      <c r="H425" t="n">
        <v>0</v>
      </c>
      <c r="I425" t="n">
        <v>0</v>
      </c>
      <c r="J425" t="n">
        <v>0</v>
      </c>
      <c r="K425" t="n">
        <v>0</v>
      </c>
      <c r="L425" t="n">
        <v>0</v>
      </c>
      <c r="M425" t="n">
        <v>0</v>
      </c>
      <c r="N425" t="n">
        <v>0</v>
      </c>
      <c r="O425" t="n">
        <v>0</v>
      </c>
      <c r="P425" t="n">
        <v>0</v>
      </c>
      <c r="Q425" t="n">
        <v>0</v>
      </c>
      <c r="R425" s="2" t="inlineStr"/>
    </row>
    <row r="426" ht="15" customHeight="1">
      <c r="A426" t="inlineStr">
        <is>
          <t>A 41174-2025</t>
        </is>
      </c>
      <c r="B426" s="1" t="n">
        <v>45898.54921296296</v>
      </c>
      <c r="C426" s="1" t="n">
        <v>45985</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41110-2025</t>
        </is>
      </c>
      <c r="B427" s="1" t="n">
        <v>45898.45976851852</v>
      </c>
      <c r="C427" s="1" t="n">
        <v>45985</v>
      </c>
      <c r="D427" t="inlineStr">
        <is>
          <t>STOCKHOLMS LÄN</t>
        </is>
      </c>
      <c r="E427" t="inlineStr">
        <is>
          <t>NORRTÄLJE</t>
        </is>
      </c>
      <c r="F427" t="inlineStr">
        <is>
          <t>Holmen skog AB</t>
        </is>
      </c>
      <c r="G427" t="n">
        <v>6.7</v>
      </c>
      <c r="H427" t="n">
        <v>0</v>
      </c>
      <c r="I427" t="n">
        <v>0</v>
      </c>
      <c r="J427" t="n">
        <v>0</v>
      </c>
      <c r="K427" t="n">
        <v>0</v>
      </c>
      <c r="L427" t="n">
        <v>0</v>
      </c>
      <c r="M427" t="n">
        <v>0</v>
      </c>
      <c r="N427" t="n">
        <v>0</v>
      </c>
      <c r="O427" t="n">
        <v>0</v>
      </c>
      <c r="P427" t="n">
        <v>0</v>
      </c>
      <c r="Q427" t="n">
        <v>0</v>
      </c>
      <c r="R427" s="2" t="inlineStr"/>
    </row>
    <row r="428" ht="15" customHeight="1">
      <c r="A428" t="inlineStr">
        <is>
          <t>A 41259-2025</t>
        </is>
      </c>
      <c r="B428" s="1" t="n">
        <v>45898.61054398148</v>
      </c>
      <c r="C428" s="1" t="n">
        <v>45985</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41053-2025</t>
        </is>
      </c>
      <c r="B429" s="1" t="n">
        <v>45898.40480324074</v>
      </c>
      <c r="C429" s="1" t="n">
        <v>45985</v>
      </c>
      <c r="D429" t="inlineStr">
        <is>
          <t>STOCKHOLMS LÄN</t>
        </is>
      </c>
      <c r="E429" t="inlineStr">
        <is>
          <t>NORRTÄLJE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4035-2023</t>
        </is>
      </c>
      <c r="B430" s="1" t="n">
        <v>44952.57989583333</v>
      </c>
      <c r="C430" s="1" t="n">
        <v>45985</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40829-2025</t>
        </is>
      </c>
      <c r="B431" s="1" t="n">
        <v>45897.50802083333</v>
      </c>
      <c r="C431" s="1" t="n">
        <v>45985</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40831-2025</t>
        </is>
      </c>
      <c r="B432" s="1" t="n">
        <v>45897.51077546296</v>
      </c>
      <c r="C432" s="1" t="n">
        <v>45985</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26644-2024</t>
        </is>
      </c>
      <c r="B433" s="1" t="n">
        <v>45469</v>
      </c>
      <c r="C433" s="1" t="n">
        <v>45985</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26668-2024</t>
        </is>
      </c>
      <c r="B434" s="1" t="n">
        <v>45469</v>
      </c>
      <c r="C434" s="1" t="n">
        <v>45985</v>
      </c>
      <c r="D434" t="inlineStr">
        <is>
          <t>STOCKHOLMS LÄN</t>
        </is>
      </c>
      <c r="E434" t="inlineStr">
        <is>
          <t>NORRTÄLJE</t>
        </is>
      </c>
      <c r="G434" t="n">
        <v>4.8</v>
      </c>
      <c r="H434" t="n">
        <v>0</v>
      </c>
      <c r="I434" t="n">
        <v>0</v>
      </c>
      <c r="J434" t="n">
        <v>0</v>
      </c>
      <c r="K434" t="n">
        <v>0</v>
      </c>
      <c r="L434" t="n">
        <v>0</v>
      </c>
      <c r="M434" t="n">
        <v>0</v>
      </c>
      <c r="N434" t="n">
        <v>0</v>
      </c>
      <c r="O434" t="n">
        <v>0</v>
      </c>
      <c r="P434" t="n">
        <v>0</v>
      </c>
      <c r="Q434" t="n">
        <v>0</v>
      </c>
      <c r="R434" s="2" t="inlineStr"/>
    </row>
    <row r="435" ht="15" customHeight="1">
      <c r="A435" t="inlineStr">
        <is>
          <t>A 25733-2025</t>
        </is>
      </c>
      <c r="B435" s="1" t="n">
        <v>45800</v>
      </c>
      <c r="C435" s="1" t="n">
        <v>45985</v>
      </c>
      <c r="D435" t="inlineStr">
        <is>
          <t>STOCKHOLMS LÄN</t>
        </is>
      </c>
      <c r="E435" t="inlineStr">
        <is>
          <t>NORRTÄLJE</t>
        </is>
      </c>
      <c r="G435" t="n">
        <v>2.2</v>
      </c>
      <c r="H435" t="n">
        <v>0</v>
      </c>
      <c r="I435" t="n">
        <v>0</v>
      </c>
      <c r="J435" t="n">
        <v>0</v>
      </c>
      <c r="K435" t="n">
        <v>0</v>
      </c>
      <c r="L435" t="n">
        <v>0</v>
      </c>
      <c r="M435" t="n">
        <v>0</v>
      </c>
      <c r="N435" t="n">
        <v>0</v>
      </c>
      <c r="O435" t="n">
        <v>0</v>
      </c>
      <c r="P435" t="n">
        <v>0</v>
      </c>
      <c r="Q435" t="n">
        <v>0</v>
      </c>
      <c r="R435" s="2" t="inlineStr"/>
    </row>
    <row r="436" ht="15" customHeight="1">
      <c r="A436" t="inlineStr">
        <is>
          <t>A 41272-2025</t>
        </is>
      </c>
      <c r="B436" s="1" t="n">
        <v>45898.62373842593</v>
      </c>
      <c r="C436" s="1" t="n">
        <v>45985</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25725-2025</t>
        </is>
      </c>
      <c r="B437" s="1" t="n">
        <v>45800</v>
      </c>
      <c r="C437" s="1" t="n">
        <v>45985</v>
      </c>
      <c r="D437" t="inlineStr">
        <is>
          <t>STOCKHOLMS LÄN</t>
        </is>
      </c>
      <c r="E437" t="inlineStr">
        <is>
          <t>NORRTÄLJE</t>
        </is>
      </c>
      <c r="G437" t="n">
        <v>5.2</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45985</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41036-2025</t>
        </is>
      </c>
      <c r="B439" s="1" t="n">
        <v>45898.38552083333</v>
      </c>
      <c r="C439" s="1" t="n">
        <v>45985</v>
      </c>
      <c r="D439" t="inlineStr">
        <is>
          <t>STOCKHOLMS LÄN</t>
        </is>
      </c>
      <c r="E439" t="inlineStr">
        <is>
          <t>NORRTÄLJE</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53561-2023</t>
        </is>
      </c>
      <c r="B440" s="1" t="n">
        <v>45224</v>
      </c>
      <c r="C440" s="1" t="n">
        <v>45985</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19058-2024</t>
        </is>
      </c>
      <c r="B441" s="1" t="n">
        <v>45427.89121527778</v>
      </c>
      <c r="C441" s="1" t="n">
        <v>45985</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25712-2025</t>
        </is>
      </c>
      <c r="B442" s="1" t="n">
        <v>45803.69228009259</v>
      </c>
      <c r="C442" s="1" t="n">
        <v>45985</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41218-2024</t>
        </is>
      </c>
      <c r="B443" s="1" t="n">
        <v>45559.54706018518</v>
      </c>
      <c r="C443" s="1" t="n">
        <v>45985</v>
      </c>
      <c r="D443" t="inlineStr">
        <is>
          <t>STOCKHOLMS LÄN</t>
        </is>
      </c>
      <c r="E443" t="inlineStr">
        <is>
          <t>NORRTÄLJE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26051-2025</t>
        </is>
      </c>
      <c r="B444" s="1" t="n">
        <v>45804.74479166666</v>
      </c>
      <c r="C444" s="1" t="n">
        <v>45985</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39238-2024</t>
        </is>
      </c>
      <c r="B445" s="1" t="n">
        <v>45549</v>
      </c>
      <c r="C445" s="1" t="n">
        <v>45985</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45985</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25697-2025</t>
        </is>
      </c>
      <c r="B447" s="1" t="n">
        <v>45803.66587962963</v>
      </c>
      <c r="C447" s="1" t="n">
        <v>45985</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37085-2021</t>
        </is>
      </c>
      <c r="B448" s="1" t="n">
        <v>44395</v>
      </c>
      <c r="C448" s="1" t="n">
        <v>45985</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19057-2024</t>
        </is>
      </c>
      <c r="B449" s="1" t="n">
        <v>45427.88731481481</v>
      </c>
      <c r="C449" s="1" t="n">
        <v>45985</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47259-2024</t>
        </is>
      </c>
      <c r="B450" s="1" t="n">
        <v>45586</v>
      </c>
      <c r="C450" s="1" t="n">
        <v>45985</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50327-2025</t>
        </is>
      </c>
      <c r="B451" s="1" t="n">
        <v>45944.46387731482</v>
      </c>
      <c r="C451" s="1" t="n">
        <v>45985</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50333-2025</t>
        </is>
      </c>
      <c r="B452" s="1" t="n">
        <v>45944.47178240741</v>
      </c>
      <c r="C452" s="1" t="n">
        <v>45985</v>
      </c>
      <c r="D452" t="inlineStr">
        <is>
          <t>STOCKHOLMS LÄN</t>
        </is>
      </c>
      <c r="E452" t="inlineStr">
        <is>
          <t>NORRTÄLJE</t>
        </is>
      </c>
      <c r="G452" t="n">
        <v>4.2</v>
      </c>
      <c r="H452" t="n">
        <v>0</v>
      </c>
      <c r="I452" t="n">
        <v>0</v>
      </c>
      <c r="J452" t="n">
        <v>0</v>
      </c>
      <c r="K452" t="n">
        <v>0</v>
      </c>
      <c r="L452" t="n">
        <v>0</v>
      </c>
      <c r="M452" t="n">
        <v>0</v>
      </c>
      <c r="N452" t="n">
        <v>0</v>
      </c>
      <c r="O452" t="n">
        <v>0</v>
      </c>
      <c r="P452" t="n">
        <v>0</v>
      </c>
      <c r="Q452" t="n">
        <v>0</v>
      </c>
      <c r="R452" s="2" t="inlineStr"/>
    </row>
    <row r="453" ht="15" customHeight="1">
      <c r="A453" t="inlineStr">
        <is>
          <t>A 15733-2025</t>
        </is>
      </c>
      <c r="B453" s="1" t="n">
        <v>45748</v>
      </c>
      <c r="C453" s="1" t="n">
        <v>45985</v>
      </c>
      <c r="D453" t="inlineStr">
        <is>
          <t>STOCKHOLMS LÄN</t>
        </is>
      </c>
      <c r="E453" t="inlineStr">
        <is>
          <t>NORRTÄLJE</t>
        </is>
      </c>
      <c r="G453" t="n">
        <v>13.3</v>
      </c>
      <c r="H453" t="n">
        <v>0</v>
      </c>
      <c r="I453" t="n">
        <v>0</v>
      </c>
      <c r="J453" t="n">
        <v>0</v>
      </c>
      <c r="K453" t="n">
        <v>0</v>
      </c>
      <c r="L453" t="n">
        <v>0</v>
      </c>
      <c r="M453" t="n">
        <v>0</v>
      </c>
      <c r="N453" t="n">
        <v>0</v>
      </c>
      <c r="O453" t="n">
        <v>0</v>
      </c>
      <c r="P453" t="n">
        <v>0</v>
      </c>
      <c r="Q453" t="n">
        <v>0</v>
      </c>
      <c r="R453" s="2" t="inlineStr"/>
    </row>
    <row r="454" ht="15" customHeight="1">
      <c r="A454" t="inlineStr">
        <is>
          <t>A 34478-2025</t>
        </is>
      </c>
      <c r="B454" s="1" t="n">
        <v>45847.37414351852</v>
      </c>
      <c r="C454" s="1" t="n">
        <v>45985</v>
      </c>
      <c r="D454" t="inlineStr">
        <is>
          <t>STOCKHOLMS LÄN</t>
        </is>
      </c>
      <c r="E454" t="inlineStr">
        <is>
          <t>NORRTÄLJE</t>
        </is>
      </c>
      <c r="F454" t="inlineStr">
        <is>
          <t>Övriga Aktiebolag</t>
        </is>
      </c>
      <c r="G454" t="n">
        <v>10.8</v>
      </c>
      <c r="H454" t="n">
        <v>0</v>
      </c>
      <c r="I454" t="n">
        <v>0</v>
      </c>
      <c r="J454" t="n">
        <v>0</v>
      </c>
      <c r="K454" t="n">
        <v>0</v>
      </c>
      <c r="L454" t="n">
        <v>0</v>
      </c>
      <c r="M454" t="n">
        <v>0</v>
      </c>
      <c r="N454" t="n">
        <v>0</v>
      </c>
      <c r="O454" t="n">
        <v>0</v>
      </c>
      <c r="P454" t="n">
        <v>0</v>
      </c>
      <c r="Q454" t="n">
        <v>0</v>
      </c>
      <c r="R454" s="2" t="inlineStr"/>
    </row>
    <row r="455" ht="15" customHeight="1">
      <c r="A455" t="inlineStr">
        <is>
          <t>A 46988-2024</t>
        </is>
      </c>
      <c r="B455" s="1" t="n">
        <v>45586</v>
      </c>
      <c r="C455" s="1" t="n">
        <v>45985</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10511-2025</t>
        </is>
      </c>
      <c r="B456" s="1" t="n">
        <v>45721.40780092592</v>
      </c>
      <c r="C456" s="1" t="n">
        <v>45985</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71552-2021</t>
        </is>
      </c>
      <c r="B457" s="1" t="n">
        <v>44540</v>
      </c>
      <c r="C457" s="1" t="n">
        <v>45985</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50097-2025</t>
        </is>
      </c>
      <c r="B458" s="1" t="n">
        <v>45943.50207175926</v>
      </c>
      <c r="C458" s="1" t="n">
        <v>45985</v>
      </c>
      <c r="D458" t="inlineStr">
        <is>
          <t>STOCKHOLMS LÄN</t>
        </is>
      </c>
      <c r="E458" t="inlineStr">
        <is>
          <t>NORRTÄLJE</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17382-2024</t>
        </is>
      </c>
      <c r="B459" s="1" t="n">
        <v>45414.65855324074</v>
      </c>
      <c r="C459" s="1" t="n">
        <v>45985</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25557-2023</t>
        </is>
      </c>
      <c r="B460" s="1" t="n">
        <v>45089</v>
      </c>
      <c r="C460" s="1" t="n">
        <v>45985</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26675-2025</t>
        </is>
      </c>
      <c r="B461" s="1" t="n">
        <v>45810.42393518519</v>
      </c>
      <c r="C461" s="1" t="n">
        <v>45985</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42038-2025</t>
        </is>
      </c>
      <c r="B462" s="1" t="n">
        <v>45903.61431712963</v>
      </c>
      <c r="C462" s="1" t="n">
        <v>45985</v>
      </c>
      <c r="D462" t="inlineStr">
        <is>
          <t>STOCKHOLMS LÄN</t>
        </is>
      </c>
      <c r="E462" t="inlineStr">
        <is>
          <t>NORRTÄLJE</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9914-2023</t>
        </is>
      </c>
      <c r="B463" s="1" t="n">
        <v>44985</v>
      </c>
      <c r="C463" s="1" t="n">
        <v>45985</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45985</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50563-2025</t>
        </is>
      </c>
      <c r="B465" s="1" t="n">
        <v>45944</v>
      </c>
      <c r="C465" s="1" t="n">
        <v>45985</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23061-2025</t>
        </is>
      </c>
      <c r="B466" s="1" t="n">
        <v>45790.81410879629</v>
      </c>
      <c r="C466" s="1" t="n">
        <v>45985</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58302-2022</t>
        </is>
      </c>
      <c r="B467" s="1" t="n">
        <v>44901</v>
      </c>
      <c r="C467" s="1" t="n">
        <v>45985</v>
      </c>
      <c r="D467" t="inlineStr">
        <is>
          <t>STOCKHOLMS LÄN</t>
        </is>
      </c>
      <c r="E467" t="inlineStr">
        <is>
          <t>NORRTÄLJE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41964-2025</t>
        </is>
      </c>
      <c r="B468" s="1" t="n">
        <v>45903.47270833333</v>
      </c>
      <c r="C468" s="1" t="n">
        <v>45985</v>
      </c>
      <c r="D468" t="inlineStr">
        <is>
          <t>STOCKHOLMS LÄN</t>
        </is>
      </c>
      <c r="E468" t="inlineStr">
        <is>
          <t>NORRTÄLJE</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26747-2025</t>
        </is>
      </c>
      <c r="B469" s="1" t="n">
        <v>45810.5333912037</v>
      </c>
      <c r="C469" s="1" t="n">
        <v>45985</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41966-2025</t>
        </is>
      </c>
      <c r="B470" s="1" t="n">
        <v>45903.47456018518</v>
      </c>
      <c r="C470" s="1" t="n">
        <v>45985</v>
      </c>
      <c r="D470" t="inlineStr">
        <is>
          <t>STOCKHOLMS LÄN</t>
        </is>
      </c>
      <c r="E470" t="inlineStr">
        <is>
          <t>NORRTÄLJE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23269-2023</t>
        </is>
      </c>
      <c r="B471" s="1" t="n">
        <v>45075.91148148148</v>
      </c>
      <c r="C471" s="1" t="n">
        <v>45985</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26702-2025</t>
        </is>
      </c>
      <c r="B472" s="1" t="n">
        <v>45810.45236111111</v>
      </c>
      <c r="C472" s="1" t="n">
        <v>45985</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23060-2023</t>
        </is>
      </c>
      <c r="B473" s="1" t="n">
        <v>45075</v>
      </c>
      <c r="C473" s="1" t="n">
        <v>45985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26708-2025</t>
        </is>
      </c>
      <c r="B474" s="1" t="n">
        <v>45810.45633101852</v>
      </c>
      <c r="C474" s="1" t="n">
        <v>45985</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27040-2025</t>
        </is>
      </c>
      <c r="B475" s="1" t="n">
        <v>45811.60451388889</v>
      </c>
      <c r="C475" s="1" t="n">
        <v>45985</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52743-2024</t>
        </is>
      </c>
      <c r="B476" s="1" t="n">
        <v>45610.47414351852</v>
      </c>
      <c r="C476" s="1" t="n">
        <v>45985</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30699-2025</t>
        </is>
      </c>
      <c r="B477" s="1" t="n">
        <v>45831.54618055555</v>
      </c>
      <c r="C477" s="1" t="n">
        <v>45985</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51121-2025</t>
        </is>
      </c>
      <c r="B478" s="1" t="n">
        <v>45947.53293981482</v>
      </c>
      <c r="C478" s="1" t="n">
        <v>45985</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51241-2025</t>
        </is>
      </c>
      <c r="B479" s="1" t="n">
        <v>45947.71726851852</v>
      </c>
      <c r="C479" s="1" t="n">
        <v>45985</v>
      </c>
      <c r="D479" t="inlineStr">
        <is>
          <t>STOCKHOLMS LÄN</t>
        </is>
      </c>
      <c r="E479" t="inlineStr">
        <is>
          <t>NORRTÄLJE</t>
        </is>
      </c>
      <c r="F479" t="inlineStr">
        <is>
          <t>Naturvårdsverket</t>
        </is>
      </c>
      <c r="G479" t="n">
        <v>6.4</v>
      </c>
      <c r="H479" t="n">
        <v>0</v>
      </c>
      <c r="I479" t="n">
        <v>0</v>
      </c>
      <c r="J479" t="n">
        <v>0</v>
      </c>
      <c r="K479" t="n">
        <v>0</v>
      </c>
      <c r="L479" t="n">
        <v>0</v>
      </c>
      <c r="M479" t="n">
        <v>0</v>
      </c>
      <c r="N479" t="n">
        <v>0</v>
      </c>
      <c r="O479" t="n">
        <v>0</v>
      </c>
      <c r="P479" t="n">
        <v>0</v>
      </c>
      <c r="Q479" t="n">
        <v>0</v>
      </c>
      <c r="R479" s="2" t="inlineStr"/>
    </row>
    <row r="480" ht="15" customHeight="1">
      <c r="A480" t="inlineStr">
        <is>
          <t>A 11499-2023</t>
        </is>
      </c>
      <c r="B480" s="1" t="n">
        <v>44993.66707175926</v>
      </c>
      <c r="C480" s="1" t="n">
        <v>45985</v>
      </c>
      <c r="D480" t="inlineStr">
        <is>
          <t>STOCKHOLMS LÄN</t>
        </is>
      </c>
      <c r="E480" t="inlineStr">
        <is>
          <t>NORRTÄLJE</t>
        </is>
      </c>
      <c r="F480" t="inlineStr">
        <is>
          <t>Holmen skog AB</t>
        </is>
      </c>
      <c r="G480" t="n">
        <v>2.8</v>
      </c>
      <c r="H480" t="n">
        <v>0</v>
      </c>
      <c r="I480" t="n">
        <v>0</v>
      </c>
      <c r="J480" t="n">
        <v>0</v>
      </c>
      <c r="K480" t="n">
        <v>0</v>
      </c>
      <c r="L480" t="n">
        <v>0</v>
      </c>
      <c r="M480" t="n">
        <v>0</v>
      </c>
      <c r="N480" t="n">
        <v>0</v>
      </c>
      <c r="O480" t="n">
        <v>0</v>
      </c>
      <c r="P480" t="n">
        <v>0</v>
      </c>
      <c r="Q480" t="n">
        <v>0</v>
      </c>
      <c r="R480" s="2" t="inlineStr"/>
    </row>
    <row r="481" ht="15" customHeight="1">
      <c r="A481" t="inlineStr">
        <is>
          <t>A 64600-2021</t>
        </is>
      </c>
      <c r="B481" s="1" t="n">
        <v>44511.70518518519</v>
      </c>
      <c r="C481" s="1" t="n">
        <v>45985</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35640-2024</t>
        </is>
      </c>
      <c r="B482" s="1" t="n">
        <v>45531</v>
      </c>
      <c r="C482" s="1" t="n">
        <v>45985</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51532-2025</t>
        </is>
      </c>
      <c r="B483" s="1" t="n">
        <v>45950.68297453703</v>
      </c>
      <c r="C483" s="1" t="n">
        <v>45985</v>
      </c>
      <c r="D483" t="inlineStr">
        <is>
          <t>STOCKHOLMS LÄN</t>
        </is>
      </c>
      <c r="E483" t="inlineStr">
        <is>
          <t>NORRTÄLJE</t>
        </is>
      </c>
      <c r="F483" t="inlineStr">
        <is>
          <t>Naturvårdsverket</t>
        </is>
      </c>
      <c r="G483" t="n">
        <v>17.3</v>
      </c>
      <c r="H483" t="n">
        <v>0</v>
      </c>
      <c r="I483" t="n">
        <v>0</v>
      </c>
      <c r="J483" t="n">
        <v>0</v>
      </c>
      <c r="K483" t="n">
        <v>0</v>
      </c>
      <c r="L483" t="n">
        <v>0</v>
      </c>
      <c r="M483" t="n">
        <v>0</v>
      </c>
      <c r="N483" t="n">
        <v>0</v>
      </c>
      <c r="O483" t="n">
        <v>0</v>
      </c>
      <c r="P483" t="n">
        <v>0</v>
      </c>
      <c r="Q483" t="n">
        <v>0</v>
      </c>
      <c r="R483" s="2" t="inlineStr"/>
    </row>
    <row r="484" ht="15" customHeight="1">
      <c r="A484" t="inlineStr">
        <is>
          <t>A 8586-2023</t>
        </is>
      </c>
      <c r="B484" s="1" t="n">
        <v>44977</v>
      </c>
      <c r="C484" s="1" t="n">
        <v>45985</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51122-2025</t>
        </is>
      </c>
      <c r="B485" s="1" t="n">
        <v>45947.53693287037</v>
      </c>
      <c r="C485" s="1" t="n">
        <v>45985</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67990-2021</t>
        </is>
      </c>
      <c r="B486" s="1" t="n">
        <v>44525</v>
      </c>
      <c r="C486" s="1" t="n">
        <v>45985</v>
      </c>
      <c r="D486" t="inlineStr">
        <is>
          <t>STOCKHOLMS LÄN</t>
        </is>
      </c>
      <c r="E486" t="inlineStr">
        <is>
          <t>NORRTÄLJE</t>
        </is>
      </c>
      <c r="F486" t="inlineStr">
        <is>
          <t>Sveaskog</t>
        </is>
      </c>
      <c r="G486" t="n">
        <v>7.8</v>
      </c>
      <c r="H486" t="n">
        <v>0</v>
      </c>
      <c r="I486" t="n">
        <v>0</v>
      </c>
      <c r="J486" t="n">
        <v>0</v>
      </c>
      <c r="K486" t="n">
        <v>0</v>
      </c>
      <c r="L486" t="n">
        <v>0</v>
      </c>
      <c r="M486" t="n">
        <v>0</v>
      </c>
      <c r="N486" t="n">
        <v>0</v>
      </c>
      <c r="O486" t="n">
        <v>0</v>
      </c>
      <c r="P486" t="n">
        <v>0</v>
      </c>
      <c r="Q486" t="n">
        <v>0</v>
      </c>
      <c r="R486" s="2" t="inlineStr"/>
    </row>
    <row r="487" ht="15" customHeight="1">
      <c r="A487" t="inlineStr">
        <is>
          <t>A 27697-2025</t>
        </is>
      </c>
      <c r="B487" s="1" t="n">
        <v>45813.66961805556</v>
      </c>
      <c r="C487" s="1" t="n">
        <v>45985</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27700-2025</t>
        </is>
      </c>
      <c r="B488" s="1" t="n">
        <v>45813.6799537037</v>
      </c>
      <c r="C488" s="1" t="n">
        <v>45985</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27554-2025</t>
        </is>
      </c>
      <c r="B489" s="1" t="n">
        <v>45813.4709375</v>
      </c>
      <c r="C489" s="1" t="n">
        <v>45985</v>
      </c>
      <c r="D489" t="inlineStr">
        <is>
          <t>STOCKHOLMS LÄN</t>
        </is>
      </c>
      <c r="E489" t="inlineStr">
        <is>
          <t>NORRTÄLJE</t>
        </is>
      </c>
      <c r="F489" t="inlineStr">
        <is>
          <t>Övriga Aktiebolag</t>
        </is>
      </c>
      <c r="G489" t="n">
        <v>2.5</v>
      </c>
      <c r="H489" t="n">
        <v>0</v>
      </c>
      <c r="I489" t="n">
        <v>0</v>
      </c>
      <c r="J489" t="n">
        <v>0</v>
      </c>
      <c r="K489" t="n">
        <v>0</v>
      </c>
      <c r="L489" t="n">
        <v>0</v>
      </c>
      <c r="M489" t="n">
        <v>0</v>
      </c>
      <c r="N489" t="n">
        <v>0</v>
      </c>
      <c r="O489" t="n">
        <v>0</v>
      </c>
      <c r="P489" t="n">
        <v>0</v>
      </c>
      <c r="Q489" t="n">
        <v>0</v>
      </c>
      <c r="R489" s="2" t="inlineStr"/>
    </row>
    <row r="490" ht="15" customHeight="1">
      <c r="A490" t="inlineStr">
        <is>
          <t>A 42856-2025</t>
        </is>
      </c>
      <c r="B490" s="1" t="n">
        <v>45908</v>
      </c>
      <c r="C490" s="1" t="n">
        <v>45985</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20011-2025</t>
        </is>
      </c>
      <c r="B491" s="1" t="n">
        <v>45772.29622685185</v>
      </c>
      <c r="C491" s="1" t="n">
        <v>45985</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11901-2024</t>
        </is>
      </c>
      <c r="B492" s="1" t="n">
        <v>45376.55638888889</v>
      </c>
      <c r="C492" s="1" t="n">
        <v>45985</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51233-2025</t>
        </is>
      </c>
      <c r="B493" s="1" t="n">
        <v>45947.68232638889</v>
      </c>
      <c r="C493" s="1" t="n">
        <v>45985</v>
      </c>
      <c r="D493" t="inlineStr">
        <is>
          <t>STOCKHOLMS LÄN</t>
        </is>
      </c>
      <c r="E493" t="inlineStr">
        <is>
          <t>NORRTÄLJE</t>
        </is>
      </c>
      <c r="F493" t="inlineStr">
        <is>
          <t>Naturvårdsverket</t>
        </is>
      </c>
      <c r="G493" t="n">
        <v>8.1</v>
      </c>
      <c r="H493" t="n">
        <v>0</v>
      </c>
      <c r="I493" t="n">
        <v>0</v>
      </c>
      <c r="J493" t="n">
        <v>0</v>
      </c>
      <c r="K493" t="n">
        <v>0</v>
      </c>
      <c r="L493" t="n">
        <v>0</v>
      </c>
      <c r="M493" t="n">
        <v>0</v>
      </c>
      <c r="N493" t="n">
        <v>0</v>
      </c>
      <c r="O493" t="n">
        <v>0</v>
      </c>
      <c r="P493" t="n">
        <v>0</v>
      </c>
      <c r="Q493" t="n">
        <v>0</v>
      </c>
      <c r="R493" s="2" t="inlineStr"/>
    </row>
    <row r="494" ht="15" customHeight="1">
      <c r="A494" t="inlineStr">
        <is>
          <t>A 51236-2025</t>
        </is>
      </c>
      <c r="B494" s="1" t="n">
        <v>45947.69078703703</v>
      </c>
      <c r="C494" s="1" t="n">
        <v>45985</v>
      </c>
      <c r="D494" t="inlineStr">
        <is>
          <t>STOCKHOLMS LÄN</t>
        </is>
      </c>
      <c r="E494" t="inlineStr">
        <is>
          <t>NORRTÄLJE</t>
        </is>
      </c>
      <c r="F494" t="inlineStr">
        <is>
          <t>Naturvårdsverket</t>
        </is>
      </c>
      <c r="G494" t="n">
        <v>6.3</v>
      </c>
      <c r="H494" t="n">
        <v>0</v>
      </c>
      <c r="I494" t="n">
        <v>0</v>
      </c>
      <c r="J494" t="n">
        <v>0</v>
      </c>
      <c r="K494" t="n">
        <v>0</v>
      </c>
      <c r="L494" t="n">
        <v>0</v>
      </c>
      <c r="M494" t="n">
        <v>0</v>
      </c>
      <c r="N494" t="n">
        <v>0</v>
      </c>
      <c r="O494" t="n">
        <v>0</v>
      </c>
      <c r="P494" t="n">
        <v>0</v>
      </c>
      <c r="Q494" t="n">
        <v>0</v>
      </c>
      <c r="R494" s="2" t="inlineStr"/>
    </row>
    <row r="495" ht="15" customHeight="1">
      <c r="A495" t="inlineStr">
        <is>
          <t>A 51240-2025</t>
        </is>
      </c>
      <c r="B495" s="1" t="n">
        <v>45947.70420138889</v>
      </c>
      <c r="C495" s="1" t="n">
        <v>45985</v>
      </c>
      <c r="D495" t="inlineStr">
        <is>
          <t>STOCKHOLMS LÄN</t>
        </is>
      </c>
      <c r="E495" t="inlineStr">
        <is>
          <t>NORRTÄLJE</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45985</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37136-2023</t>
        </is>
      </c>
      <c r="B497" s="1" t="n">
        <v>45155</v>
      </c>
      <c r="C497" s="1" t="n">
        <v>45985</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27802-2025</t>
        </is>
      </c>
      <c r="B498" s="1" t="n">
        <v>45817.2565625</v>
      </c>
      <c r="C498" s="1" t="n">
        <v>45985</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27806-2025</t>
        </is>
      </c>
      <c r="B499" s="1" t="n">
        <v>45817.30329861111</v>
      </c>
      <c r="C499" s="1" t="n">
        <v>45985</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27808-2025</t>
        </is>
      </c>
      <c r="B500" s="1" t="n">
        <v>45817.31085648148</v>
      </c>
      <c r="C500" s="1" t="n">
        <v>45985</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27810-2025</t>
        </is>
      </c>
      <c r="B501" s="1" t="n">
        <v>45817.31708333334</v>
      </c>
      <c r="C501" s="1" t="n">
        <v>45985</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27811-2025</t>
        </is>
      </c>
      <c r="B502" s="1" t="n">
        <v>45817.31986111111</v>
      </c>
      <c r="C502" s="1" t="n">
        <v>45985</v>
      </c>
      <c r="D502" t="inlineStr">
        <is>
          <t>STOCKHOLMS LÄN</t>
        </is>
      </c>
      <c r="E502" t="inlineStr">
        <is>
          <t>NORRTÄLJE</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27818-2025</t>
        </is>
      </c>
      <c r="B503" s="1" t="n">
        <v>45817.33503472222</v>
      </c>
      <c r="C503" s="1" t="n">
        <v>45985</v>
      </c>
      <c r="D503" t="inlineStr">
        <is>
          <t>STOCKHOLMS LÄN</t>
        </is>
      </c>
      <c r="E503" t="inlineStr">
        <is>
          <t>NORRTÄLJE</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1740-2023</t>
        </is>
      </c>
      <c r="B504" s="1" t="n">
        <v>44938</v>
      </c>
      <c r="C504" s="1" t="n">
        <v>45985</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15528-2025</t>
        </is>
      </c>
      <c r="B505" s="1" t="n">
        <v>45747.63471064815</v>
      </c>
      <c r="C505" s="1" t="n">
        <v>45985</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27803-2025</t>
        </is>
      </c>
      <c r="B506" s="1" t="n">
        <v>45817.291875</v>
      </c>
      <c r="C506" s="1" t="n">
        <v>45985</v>
      </c>
      <c r="D506" t="inlineStr">
        <is>
          <t>STOCKHOLMS LÄN</t>
        </is>
      </c>
      <c r="E506" t="inlineStr">
        <is>
          <t>NORRTÄLJE</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27813-2025</t>
        </is>
      </c>
      <c r="B507" s="1" t="n">
        <v>45817.32538194444</v>
      </c>
      <c r="C507" s="1" t="n">
        <v>45985</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27801-2025</t>
        </is>
      </c>
      <c r="B508" s="1" t="n">
        <v>45817.25471064815</v>
      </c>
      <c r="C508" s="1" t="n">
        <v>45985</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51941-2025</t>
        </is>
      </c>
      <c r="B509" s="1" t="n">
        <v>45952.52261574074</v>
      </c>
      <c r="C509" s="1" t="n">
        <v>45985</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51945-2025</t>
        </is>
      </c>
      <c r="B510" s="1" t="n">
        <v>45952.52679398148</v>
      </c>
      <c r="C510" s="1" t="n">
        <v>45985</v>
      </c>
      <c r="D510" t="inlineStr">
        <is>
          <t>STOCKHOLMS LÄN</t>
        </is>
      </c>
      <c r="E510" t="inlineStr">
        <is>
          <t>NORRTÄLJE</t>
        </is>
      </c>
      <c r="G510" t="n">
        <v>7</v>
      </c>
      <c r="H510" t="n">
        <v>0</v>
      </c>
      <c r="I510" t="n">
        <v>0</v>
      </c>
      <c r="J510" t="n">
        <v>0</v>
      </c>
      <c r="K510" t="n">
        <v>0</v>
      </c>
      <c r="L510" t="n">
        <v>0</v>
      </c>
      <c r="M510" t="n">
        <v>0</v>
      </c>
      <c r="N510" t="n">
        <v>0</v>
      </c>
      <c r="O510" t="n">
        <v>0</v>
      </c>
      <c r="P510" t="n">
        <v>0</v>
      </c>
      <c r="Q510" t="n">
        <v>0</v>
      </c>
      <c r="R510" s="2" t="inlineStr"/>
    </row>
    <row r="511" ht="15" customHeight="1">
      <c r="A511" t="inlineStr">
        <is>
          <t>A 27821-2025</t>
        </is>
      </c>
      <c r="B511" s="1" t="n">
        <v>45817.34083333334</v>
      </c>
      <c r="C511" s="1" t="n">
        <v>45985</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51960-2025</t>
        </is>
      </c>
      <c r="B512" s="1" t="n">
        <v>45952.54755787037</v>
      </c>
      <c r="C512" s="1" t="n">
        <v>45985</v>
      </c>
      <c r="D512" t="inlineStr">
        <is>
          <t>STOCKHOLMS LÄN</t>
        </is>
      </c>
      <c r="E512" t="inlineStr">
        <is>
          <t>NORRTÄLJE</t>
        </is>
      </c>
      <c r="G512" t="n">
        <v>2</v>
      </c>
      <c r="H512" t="n">
        <v>0</v>
      </c>
      <c r="I512" t="n">
        <v>0</v>
      </c>
      <c r="J512" t="n">
        <v>0</v>
      </c>
      <c r="K512" t="n">
        <v>0</v>
      </c>
      <c r="L512" t="n">
        <v>0</v>
      </c>
      <c r="M512" t="n">
        <v>0</v>
      </c>
      <c r="N512" t="n">
        <v>0</v>
      </c>
      <c r="O512" t="n">
        <v>0</v>
      </c>
      <c r="P512" t="n">
        <v>0</v>
      </c>
      <c r="Q512" t="n">
        <v>0</v>
      </c>
      <c r="R512" s="2" t="inlineStr"/>
    </row>
    <row r="513" ht="15" customHeight="1">
      <c r="A513" t="inlineStr">
        <is>
          <t>A 66662-2020</t>
        </is>
      </c>
      <c r="B513" s="1" t="n">
        <v>44179</v>
      </c>
      <c r="C513" s="1" t="n">
        <v>45985</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45985</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51789-2025</t>
        </is>
      </c>
      <c r="B515" s="1" t="n">
        <v>45951.68046296296</v>
      </c>
      <c r="C515" s="1" t="n">
        <v>45985</v>
      </c>
      <c r="D515" t="inlineStr">
        <is>
          <t>STOCKHOLMS LÄN</t>
        </is>
      </c>
      <c r="E515" t="inlineStr">
        <is>
          <t>NORRTÄLJE</t>
        </is>
      </c>
      <c r="F515" t="inlineStr">
        <is>
          <t>Naturvårdsverket</t>
        </is>
      </c>
      <c r="G515" t="n">
        <v>8.9</v>
      </c>
      <c r="H515" t="n">
        <v>0</v>
      </c>
      <c r="I515" t="n">
        <v>0</v>
      </c>
      <c r="J515" t="n">
        <v>0</v>
      </c>
      <c r="K515" t="n">
        <v>0</v>
      </c>
      <c r="L515" t="n">
        <v>0</v>
      </c>
      <c r="M515" t="n">
        <v>0</v>
      </c>
      <c r="N515" t="n">
        <v>0</v>
      </c>
      <c r="O515" t="n">
        <v>0</v>
      </c>
      <c r="P515" t="n">
        <v>0</v>
      </c>
      <c r="Q515" t="n">
        <v>0</v>
      </c>
      <c r="R515" s="2" t="inlineStr"/>
    </row>
    <row r="516" ht="15" customHeight="1">
      <c r="A516" t="inlineStr">
        <is>
          <t>A 52061-2025</t>
        </is>
      </c>
      <c r="B516" s="1" t="n">
        <v>45952.63679398148</v>
      </c>
      <c r="C516" s="1" t="n">
        <v>45985</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5423-2023</t>
        </is>
      </c>
      <c r="B517" s="1" t="n">
        <v>44959.74533564815</v>
      </c>
      <c r="C517" s="1" t="n">
        <v>45985</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58492-2022</t>
        </is>
      </c>
      <c r="B518" s="1" t="n">
        <v>44902</v>
      </c>
      <c r="C518" s="1" t="n">
        <v>45985</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45985</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13291-2025</t>
        </is>
      </c>
      <c r="B520" s="1" t="n">
        <v>45735</v>
      </c>
      <c r="C520" s="1" t="n">
        <v>45985</v>
      </c>
      <c r="D520" t="inlineStr">
        <is>
          <t>STOCKHOLMS LÄN</t>
        </is>
      </c>
      <c r="E520" t="inlineStr">
        <is>
          <t>NORRTÄLJE</t>
        </is>
      </c>
      <c r="G520" t="n">
        <v>3.8</v>
      </c>
      <c r="H520" t="n">
        <v>0</v>
      </c>
      <c r="I520" t="n">
        <v>0</v>
      </c>
      <c r="J520" t="n">
        <v>0</v>
      </c>
      <c r="K520" t="n">
        <v>0</v>
      </c>
      <c r="L520" t="n">
        <v>0</v>
      </c>
      <c r="M520" t="n">
        <v>0</v>
      </c>
      <c r="N520" t="n">
        <v>0</v>
      </c>
      <c r="O520" t="n">
        <v>0</v>
      </c>
      <c r="P520" t="n">
        <v>0</v>
      </c>
      <c r="Q520" t="n">
        <v>0</v>
      </c>
      <c r="R520" s="2" t="inlineStr"/>
    </row>
    <row r="521" ht="15" customHeight="1">
      <c r="A521" t="inlineStr">
        <is>
          <t>A 24835-2025</t>
        </is>
      </c>
      <c r="B521" s="1" t="n">
        <v>45799</v>
      </c>
      <c r="C521" s="1" t="n">
        <v>45985</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29250-2025</t>
        </is>
      </c>
      <c r="B522" s="1" t="n">
        <v>45824.37275462963</v>
      </c>
      <c r="C522" s="1" t="n">
        <v>45985</v>
      </c>
      <c r="D522" t="inlineStr">
        <is>
          <t>STOCKHOLMS LÄN</t>
        </is>
      </c>
      <c r="E522" t="inlineStr">
        <is>
          <t>NORRTÄLJE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4581-2025</t>
        </is>
      </c>
      <c r="B523" s="1" t="n">
        <v>45687</v>
      </c>
      <c r="C523" s="1" t="n">
        <v>45985</v>
      </c>
      <c r="D523" t="inlineStr">
        <is>
          <t>STOCKHOLMS LÄN</t>
        </is>
      </c>
      <c r="E523" t="inlineStr">
        <is>
          <t>NORRTÄLJE</t>
        </is>
      </c>
      <c r="F523" t="inlineStr">
        <is>
          <t>Holmen skog AB</t>
        </is>
      </c>
      <c r="G523" t="n">
        <v>2.8</v>
      </c>
      <c r="H523" t="n">
        <v>0</v>
      </c>
      <c r="I523" t="n">
        <v>0</v>
      </c>
      <c r="J523" t="n">
        <v>0</v>
      </c>
      <c r="K523" t="n">
        <v>0</v>
      </c>
      <c r="L523" t="n">
        <v>0</v>
      </c>
      <c r="M523" t="n">
        <v>0</v>
      </c>
      <c r="N523" t="n">
        <v>0</v>
      </c>
      <c r="O523" t="n">
        <v>0</v>
      </c>
      <c r="P523" t="n">
        <v>0</v>
      </c>
      <c r="Q523" t="n">
        <v>0</v>
      </c>
      <c r="R523" s="2" t="inlineStr"/>
    </row>
    <row r="524" ht="15" customHeight="1">
      <c r="A524" t="inlineStr">
        <is>
          <t>A 43169-2025</t>
        </is>
      </c>
      <c r="B524" s="1" t="n">
        <v>45910</v>
      </c>
      <c r="C524" s="1" t="n">
        <v>45985</v>
      </c>
      <c r="D524" t="inlineStr">
        <is>
          <t>STOCKHOLMS LÄN</t>
        </is>
      </c>
      <c r="E524" t="inlineStr">
        <is>
          <t>NORRTÄLJE</t>
        </is>
      </c>
      <c r="G524" t="n">
        <v>6.9</v>
      </c>
      <c r="H524" t="n">
        <v>0</v>
      </c>
      <c r="I524" t="n">
        <v>0</v>
      </c>
      <c r="J524" t="n">
        <v>0</v>
      </c>
      <c r="K524" t="n">
        <v>0</v>
      </c>
      <c r="L524" t="n">
        <v>0</v>
      </c>
      <c r="M524" t="n">
        <v>0</v>
      </c>
      <c r="N524" t="n">
        <v>0</v>
      </c>
      <c r="O524" t="n">
        <v>0</v>
      </c>
      <c r="P524" t="n">
        <v>0</v>
      </c>
      <c r="Q524" t="n">
        <v>0</v>
      </c>
      <c r="R524" s="2" t="inlineStr"/>
    </row>
    <row r="525" ht="15" customHeight="1">
      <c r="A525" t="inlineStr">
        <is>
          <t>A 43269-2025</t>
        </is>
      </c>
      <c r="B525" s="1" t="n">
        <v>45910.5819212963</v>
      </c>
      <c r="C525" s="1" t="n">
        <v>45985</v>
      </c>
      <c r="D525" t="inlineStr">
        <is>
          <t>STOCKHOLMS LÄN</t>
        </is>
      </c>
      <c r="E525" t="inlineStr">
        <is>
          <t>NORRTÄLJE</t>
        </is>
      </c>
      <c r="G525" t="n">
        <v>3.7</v>
      </c>
      <c r="H525" t="n">
        <v>0</v>
      </c>
      <c r="I525" t="n">
        <v>0</v>
      </c>
      <c r="J525" t="n">
        <v>0</v>
      </c>
      <c r="K525" t="n">
        <v>0</v>
      </c>
      <c r="L525" t="n">
        <v>0</v>
      </c>
      <c r="M525" t="n">
        <v>0</v>
      </c>
      <c r="N525" t="n">
        <v>0</v>
      </c>
      <c r="O525" t="n">
        <v>0</v>
      </c>
      <c r="P525" t="n">
        <v>0</v>
      </c>
      <c r="Q525" t="n">
        <v>0</v>
      </c>
      <c r="R525" s="2" t="inlineStr"/>
    </row>
    <row r="526" ht="15" customHeight="1">
      <c r="A526" t="inlineStr">
        <is>
          <t>A 52526-2025</t>
        </is>
      </c>
      <c r="B526" s="1" t="n">
        <v>45954.53061342592</v>
      </c>
      <c r="C526" s="1" t="n">
        <v>45985</v>
      </c>
      <c r="D526" t="inlineStr">
        <is>
          <t>STOCKHOLMS LÄN</t>
        </is>
      </c>
      <c r="E526" t="inlineStr">
        <is>
          <t>NORRTÄLJE</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36157-2024</t>
        </is>
      </c>
      <c r="B527" s="1" t="n">
        <v>45534.38240740741</v>
      </c>
      <c r="C527" s="1" t="n">
        <v>45985</v>
      </c>
      <c r="D527" t="inlineStr">
        <is>
          <t>STOCKHOLMS LÄN</t>
        </is>
      </c>
      <c r="E527" t="inlineStr">
        <is>
          <t>NORRTÄLJE</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62398-2022</t>
        </is>
      </c>
      <c r="B528" s="1" t="n">
        <v>44923.90159722222</v>
      </c>
      <c r="C528" s="1" t="n">
        <v>45985</v>
      </c>
      <c r="D528" t="inlineStr">
        <is>
          <t>STOCKHOLMS LÄN</t>
        </is>
      </c>
      <c r="E528" t="inlineStr">
        <is>
          <t>NORRTÄLJE</t>
        </is>
      </c>
      <c r="G528" t="n">
        <v>4</v>
      </c>
      <c r="H528" t="n">
        <v>0</v>
      </c>
      <c r="I528" t="n">
        <v>0</v>
      </c>
      <c r="J528" t="n">
        <v>0</v>
      </c>
      <c r="K528" t="n">
        <v>0</v>
      </c>
      <c r="L528" t="n">
        <v>0</v>
      </c>
      <c r="M528" t="n">
        <v>0</v>
      </c>
      <c r="N528" t="n">
        <v>0</v>
      </c>
      <c r="O528" t="n">
        <v>0</v>
      </c>
      <c r="P528" t="n">
        <v>0</v>
      </c>
      <c r="Q528" t="n">
        <v>0</v>
      </c>
      <c r="R528" s="2" t="inlineStr"/>
    </row>
    <row r="529" ht="15" customHeight="1">
      <c r="A529" t="inlineStr">
        <is>
          <t>A 68081-2020</t>
        </is>
      </c>
      <c r="B529" s="1" t="n">
        <v>44183</v>
      </c>
      <c r="C529" s="1" t="n">
        <v>45985</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17039-2024</t>
        </is>
      </c>
      <c r="B530" s="1" t="n">
        <v>45412.4104050926</v>
      </c>
      <c r="C530" s="1" t="n">
        <v>45985</v>
      </c>
      <c r="D530" t="inlineStr">
        <is>
          <t>STOCKHOLMS LÄN</t>
        </is>
      </c>
      <c r="E530" t="inlineStr">
        <is>
          <t>NORRTÄLJE</t>
        </is>
      </c>
      <c r="G530" t="n">
        <v>5.9</v>
      </c>
      <c r="H530" t="n">
        <v>0</v>
      </c>
      <c r="I530" t="n">
        <v>0</v>
      </c>
      <c r="J530" t="n">
        <v>0</v>
      </c>
      <c r="K530" t="n">
        <v>0</v>
      </c>
      <c r="L530" t="n">
        <v>0</v>
      </c>
      <c r="M530" t="n">
        <v>0</v>
      </c>
      <c r="N530" t="n">
        <v>0</v>
      </c>
      <c r="O530" t="n">
        <v>0</v>
      </c>
      <c r="P530" t="n">
        <v>0</v>
      </c>
      <c r="Q530" t="n">
        <v>0</v>
      </c>
      <c r="R530" s="2" t="inlineStr"/>
    </row>
    <row r="531" ht="15" customHeight="1">
      <c r="A531" t="inlineStr">
        <is>
          <t>A 3509-2022</t>
        </is>
      </c>
      <c r="B531" s="1" t="n">
        <v>44585</v>
      </c>
      <c r="C531" s="1" t="n">
        <v>45985</v>
      </c>
      <c r="D531" t="inlineStr">
        <is>
          <t>STOCKHOLMS LÄN</t>
        </is>
      </c>
      <c r="E531" t="inlineStr">
        <is>
          <t>NORRTÄLJE</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7697-2025</t>
        </is>
      </c>
      <c r="B532" s="1" t="n">
        <v>45706.40086805556</v>
      </c>
      <c r="C532" s="1" t="n">
        <v>45985</v>
      </c>
      <c r="D532" t="inlineStr">
        <is>
          <t>STOCKHOLMS LÄN</t>
        </is>
      </c>
      <c r="E532" t="inlineStr">
        <is>
          <t>NORRTÄLJE</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52529-2025</t>
        </is>
      </c>
      <c r="B533" s="1" t="n">
        <v>45954.53229166667</v>
      </c>
      <c r="C533" s="1" t="n">
        <v>45985</v>
      </c>
      <c r="D533" t="inlineStr">
        <is>
          <t>STOCKHOLMS LÄN</t>
        </is>
      </c>
      <c r="E533" t="inlineStr">
        <is>
          <t>NORRTÄLJE</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52553-2025</t>
        </is>
      </c>
      <c r="B534" s="1" t="n">
        <v>45954.5624537037</v>
      </c>
      <c r="C534" s="1" t="n">
        <v>45985</v>
      </c>
      <c r="D534" t="inlineStr">
        <is>
          <t>STOCKHOLMS LÄN</t>
        </is>
      </c>
      <c r="E534" t="inlineStr">
        <is>
          <t>NORRTÄLJE</t>
        </is>
      </c>
      <c r="G534" t="n">
        <v>4.4</v>
      </c>
      <c r="H534" t="n">
        <v>0</v>
      </c>
      <c r="I534" t="n">
        <v>0</v>
      </c>
      <c r="J534" t="n">
        <v>0</v>
      </c>
      <c r="K534" t="n">
        <v>0</v>
      </c>
      <c r="L534" t="n">
        <v>0</v>
      </c>
      <c r="M534" t="n">
        <v>0</v>
      </c>
      <c r="N534" t="n">
        <v>0</v>
      </c>
      <c r="O534" t="n">
        <v>0</v>
      </c>
      <c r="P534" t="n">
        <v>0</v>
      </c>
      <c r="Q534" t="n">
        <v>0</v>
      </c>
      <c r="R534" s="2" t="inlineStr"/>
    </row>
    <row r="535" ht="15" customHeight="1">
      <c r="A535" t="inlineStr">
        <is>
          <t>A 39669-2024</t>
        </is>
      </c>
      <c r="B535" s="1" t="n">
        <v>45552.52827546297</v>
      </c>
      <c r="C535" s="1" t="n">
        <v>45985</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52254-2025</t>
        </is>
      </c>
      <c r="B536" s="1" t="n">
        <v>45953.49519675926</v>
      </c>
      <c r="C536" s="1" t="n">
        <v>45985</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2982-2023</t>
        </is>
      </c>
      <c r="B537" s="1" t="n">
        <v>44945.67409722223</v>
      </c>
      <c r="C537" s="1" t="n">
        <v>45985</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1448-2023</t>
        </is>
      </c>
      <c r="B538" s="1" t="n">
        <v>44937</v>
      </c>
      <c r="C538" s="1" t="n">
        <v>45985</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30719-2025</t>
        </is>
      </c>
      <c r="B539" s="1" t="n">
        <v>45831</v>
      </c>
      <c r="C539" s="1" t="n">
        <v>45985</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45985</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52251-2025</t>
        </is>
      </c>
      <c r="B541" s="1" t="n">
        <v>45953.49185185185</v>
      </c>
      <c r="C541" s="1" t="n">
        <v>45985</v>
      </c>
      <c r="D541" t="inlineStr">
        <is>
          <t>STOCKHOLMS LÄN</t>
        </is>
      </c>
      <c r="E541" t="inlineStr">
        <is>
          <t>NORRTÄLJE</t>
        </is>
      </c>
      <c r="G541" t="n">
        <v>6.2</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45985</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45985</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45985</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5389-2025</t>
        </is>
      </c>
      <c r="B545" s="1" t="n">
        <v>45692</v>
      </c>
      <c r="C545" s="1" t="n">
        <v>45985</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30668-2025</t>
        </is>
      </c>
      <c r="B546" s="1" t="n">
        <v>45831.51659722222</v>
      </c>
      <c r="C546" s="1" t="n">
        <v>45985</v>
      </c>
      <c r="D546" t="inlineStr">
        <is>
          <t>STOCKHOLMS LÄN</t>
        </is>
      </c>
      <c r="E546" t="inlineStr">
        <is>
          <t>NORRTÄLJE</t>
        </is>
      </c>
      <c r="G546" t="n">
        <v>4.9</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45985</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44343-2025</t>
        </is>
      </c>
      <c r="B548" s="1" t="n">
        <v>45916.43378472222</v>
      </c>
      <c r="C548" s="1" t="n">
        <v>45985</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59499-2023</t>
        </is>
      </c>
      <c r="B549" s="1" t="n">
        <v>45254</v>
      </c>
      <c r="C549" s="1" t="n">
        <v>45985</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45985</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45985</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22697-2022</t>
        </is>
      </c>
      <c r="B552" s="1" t="n">
        <v>44714.56040509259</v>
      </c>
      <c r="C552" s="1" t="n">
        <v>45985</v>
      </c>
      <c r="D552" t="inlineStr">
        <is>
          <t>STOCKHOLMS LÄN</t>
        </is>
      </c>
      <c r="E552" t="inlineStr">
        <is>
          <t>NORRTÄLJE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53000-2025</t>
        </is>
      </c>
      <c r="B553" s="1" t="n">
        <v>45957.74357638889</v>
      </c>
      <c r="C553" s="1" t="n">
        <v>45985</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52773-2025</t>
        </is>
      </c>
      <c r="B554" s="1" t="n">
        <v>45957.41457175926</v>
      </c>
      <c r="C554" s="1" t="n">
        <v>45985</v>
      </c>
      <c r="D554" t="inlineStr">
        <is>
          <t>STOCKHOLMS LÄN</t>
        </is>
      </c>
      <c r="E554" t="inlineStr">
        <is>
          <t>NORRTÄLJE</t>
        </is>
      </c>
      <c r="F554" t="inlineStr">
        <is>
          <t>Sveaskog</t>
        </is>
      </c>
      <c r="G554" t="n">
        <v>10.5</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45985</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45985</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45985</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30639-2025</t>
        </is>
      </c>
      <c r="B558" s="1" t="n">
        <v>45831.4844212963</v>
      </c>
      <c r="C558" s="1" t="n">
        <v>45985</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31170-2025</t>
        </is>
      </c>
      <c r="B559" s="1" t="n">
        <v>45832.66385416667</v>
      </c>
      <c r="C559" s="1" t="n">
        <v>45985</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52734-2025</t>
        </is>
      </c>
      <c r="B560" s="1" t="n">
        <v>45957.3710300926</v>
      </c>
      <c r="C560" s="1" t="n">
        <v>45985</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45985</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52776-2025</t>
        </is>
      </c>
      <c r="B562" s="1" t="n">
        <v>45957.41724537037</v>
      </c>
      <c r="C562" s="1" t="n">
        <v>45985</v>
      </c>
      <c r="D562" t="inlineStr">
        <is>
          <t>STOCKHOLMS LÄN</t>
        </is>
      </c>
      <c r="E562" t="inlineStr">
        <is>
          <t>NORRTÄLJE</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52777-2025</t>
        </is>
      </c>
      <c r="B563" s="1" t="n">
        <v>45957.41832175926</v>
      </c>
      <c r="C563" s="1" t="n">
        <v>45985</v>
      </c>
      <c r="D563" t="inlineStr">
        <is>
          <t>STOCKHOLMS LÄN</t>
        </is>
      </c>
      <c r="E563" t="inlineStr">
        <is>
          <t>NORRTÄLJE</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53087-2025</t>
        </is>
      </c>
      <c r="B564" s="1" t="n">
        <v>45958.41065972222</v>
      </c>
      <c r="C564" s="1" t="n">
        <v>45985</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48180-2023</t>
        </is>
      </c>
      <c r="B565" s="1" t="n">
        <v>45205</v>
      </c>
      <c r="C565" s="1" t="n">
        <v>45985</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57353-2024</t>
        </is>
      </c>
      <c r="B566" s="1" t="n">
        <v>45629.65143518519</v>
      </c>
      <c r="C566" s="1" t="n">
        <v>45985</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31874-2025</t>
        </is>
      </c>
      <c r="B567" s="1" t="n">
        <v>45834</v>
      </c>
      <c r="C567" s="1" t="n">
        <v>45985</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52729-2025</t>
        </is>
      </c>
      <c r="B568" s="1" t="n">
        <v>45957.3636574074</v>
      </c>
      <c r="C568" s="1" t="n">
        <v>45985</v>
      </c>
      <c r="D568" t="inlineStr">
        <is>
          <t>STOCKHOLMS LÄN</t>
        </is>
      </c>
      <c r="E568" t="inlineStr">
        <is>
          <t>NORRTÄLJE</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55696-2022</t>
        </is>
      </c>
      <c r="B569" s="1" t="n">
        <v>44888</v>
      </c>
      <c r="C569" s="1" t="n">
        <v>45985</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31868-2025</t>
        </is>
      </c>
      <c r="B570" s="1" t="n">
        <v>45834.6447337963</v>
      </c>
      <c r="C570" s="1" t="n">
        <v>45985</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50907-2022</t>
        </is>
      </c>
      <c r="B571" s="1" t="n">
        <v>44867.62090277778</v>
      </c>
      <c r="C571" s="1" t="n">
        <v>45985</v>
      </c>
      <c r="D571" t="inlineStr">
        <is>
          <t>STOCKHOLMS LÄN</t>
        </is>
      </c>
      <c r="E571" t="inlineStr">
        <is>
          <t>NORRTÄLJE</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6919-2025</t>
        </is>
      </c>
      <c r="B572" s="1" t="n">
        <v>45701.44372685185</v>
      </c>
      <c r="C572" s="1" t="n">
        <v>45985</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6413-2025</t>
        </is>
      </c>
      <c r="B573" s="1" t="n">
        <v>45699.46283564815</v>
      </c>
      <c r="C573" s="1" t="n">
        <v>45985</v>
      </c>
      <c r="D573" t="inlineStr">
        <is>
          <t>STOCKHOLMS LÄN</t>
        </is>
      </c>
      <c r="E573" t="inlineStr">
        <is>
          <t>NORRTÄLJE</t>
        </is>
      </c>
      <c r="G573" t="n">
        <v>3.6</v>
      </c>
      <c r="H573" t="n">
        <v>0</v>
      </c>
      <c r="I573" t="n">
        <v>0</v>
      </c>
      <c r="J573" t="n">
        <v>0</v>
      </c>
      <c r="K573" t="n">
        <v>0</v>
      </c>
      <c r="L573" t="n">
        <v>0</v>
      </c>
      <c r="M573" t="n">
        <v>0</v>
      </c>
      <c r="N573" t="n">
        <v>0</v>
      </c>
      <c r="O573" t="n">
        <v>0</v>
      </c>
      <c r="P573" t="n">
        <v>0</v>
      </c>
      <c r="Q573" t="n">
        <v>0</v>
      </c>
      <c r="R573" s="2" t="inlineStr"/>
    </row>
    <row r="574" ht="15" customHeight="1">
      <c r="A574" t="inlineStr">
        <is>
          <t>A 53362-2023</t>
        </is>
      </c>
      <c r="B574" s="1" t="n">
        <v>45223</v>
      </c>
      <c r="C574" s="1" t="n">
        <v>45985</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44333-2025</t>
        </is>
      </c>
      <c r="B575" s="1" t="n">
        <v>45916.42293981482</v>
      </c>
      <c r="C575" s="1" t="n">
        <v>45985</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52703-2025</t>
        </is>
      </c>
      <c r="B576" s="1" t="n">
        <v>45956.88643518519</v>
      </c>
      <c r="C576" s="1" t="n">
        <v>45985</v>
      </c>
      <c r="D576" t="inlineStr">
        <is>
          <t>STOCKHOLMS LÄN</t>
        </is>
      </c>
      <c r="E576" t="inlineStr">
        <is>
          <t>NORRTÄLJE</t>
        </is>
      </c>
      <c r="G576" t="n">
        <v>4.7</v>
      </c>
      <c r="H576" t="n">
        <v>0</v>
      </c>
      <c r="I576" t="n">
        <v>0</v>
      </c>
      <c r="J576" t="n">
        <v>0</v>
      </c>
      <c r="K576" t="n">
        <v>0</v>
      </c>
      <c r="L576" t="n">
        <v>0</v>
      </c>
      <c r="M576" t="n">
        <v>0</v>
      </c>
      <c r="N576" t="n">
        <v>0</v>
      </c>
      <c r="O576" t="n">
        <v>0</v>
      </c>
      <c r="P576" t="n">
        <v>0</v>
      </c>
      <c r="Q576" t="n">
        <v>0</v>
      </c>
      <c r="R576" s="2" t="inlineStr"/>
    </row>
    <row r="577" ht="15" customHeight="1">
      <c r="A577" t="inlineStr">
        <is>
          <t>A 52704-2025</t>
        </is>
      </c>
      <c r="B577" s="1" t="n">
        <v>45956.89097222222</v>
      </c>
      <c r="C577" s="1" t="n">
        <v>45985</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53115-2025</t>
        </is>
      </c>
      <c r="B578" s="1" t="n">
        <v>45958.44614583333</v>
      </c>
      <c r="C578" s="1" t="n">
        <v>45985</v>
      </c>
      <c r="D578" t="inlineStr">
        <is>
          <t>STOCKHOLMS LÄN</t>
        </is>
      </c>
      <c r="E578" t="inlineStr">
        <is>
          <t>NORRTÄLJE</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31880-2025</t>
        </is>
      </c>
      <c r="B579" s="1" t="n">
        <v>45834.65538194445</v>
      </c>
      <c r="C579" s="1" t="n">
        <v>45985</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44306-2025</t>
        </is>
      </c>
      <c r="B580" s="1" t="n">
        <v>45916.37736111111</v>
      </c>
      <c r="C580" s="1" t="n">
        <v>45985</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32283-2025</t>
        </is>
      </c>
      <c r="B581" s="1" t="n">
        <v>45835.68076388889</v>
      </c>
      <c r="C581" s="1" t="n">
        <v>45985</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53629-2025</t>
        </is>
      </c>
      <c r="B582" s="1" t="n">
        <v>45960.49570601852</v>
      </c>
      <c r="C582" s="1" t="n">
        <v>45985</v>
      </c>
      <c r="D582" t="inlineStr">
        <is>
          <t>STOCKHOLMS LÄN</t>
        </is>
      </c>
      <c r="E582" t="inlineStr">
        <is>
          <t>NORRTÄLJE</t>
        </is>
      </c>
      <c r="F582" t="inlineStr">
        <is>
          <t>Naturvårdsverket</t>
        </is>
      </c>
      <c r="G582" t="n">
        <v>7.9</v>
      </c>
      <c r="H582" t="n">
        <v>0</v>
      </c>
      <c r="I582" t="n">
        <v>0</v>
      </c>
      <c r="J582" t="n">
        <v>0</v>
      </c>
      <c r="K582" t="n">
        <v>0</v>
      </c>
      <c r="L582" t="n">
        <v>0</v>
      </c>
      <c r="M582" t="n">
        <v>0</v>
      </c>
      <c r="N582" t="n">
        <v>0</v>
      </c>
      <c r="O582" t="n">
        <v>0</v>
      </c>
      <c r="P582" t="n">
        <v>0</v>
      </c>
      <c r="Q582" t="n">
        <v>0</v>
      </c>
      <c r="R582" s="2" t="inlineStr"/>
    </row>
    <row r="583" ht="15" customHeight="1">
      <c r="A583" t="inlineStr">
        <is>
          <t>A 8433-2022</t>
        </is>
      </c>
      <c r="B583" s="1" t="n">
        <v>44611</v>
      </c>
      <c r="C583" s="1" t="n">
        <v>45985</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32122-2025</t>
        </is>
      </c>
      <c r="B584" s="1" t="n">
        <v>45835.4928125</v>
      </c>
      <c r="C584" s="1" t="n">
        <v>45985</v>
      </c>
      <c r="D584" t="inlineStr">
        <is>
          <t>STOCKHOLMS LÄN</t>
        </is>
      </c>
      <c r="E584" t="inlineStr">
        <is>
          <t>NORRTÄLJE</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10215-2023</t>
        </is>
      </c>
      <c r="B585" s="1" t="n">
        <v>44986.5887962963</v>
      </c>
      <c r="C585" s="1" t="n">
        <v>45985</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53499-2025</t>
        </is>
      </c>
      <c r="B586" s="1" t="n">
        <v>45960</v>
      </c>
      <c r="C586" s="1" t="n">
        <v>45985</v>
      </c>
      <c r="D586" t="inlineStr">
        <is>
          <t>STOCKHOLMS LÄN</t>
        </is>
      </c>
      <c r="E586" t="inlineStr">
        <is>
          <t>NORRTÄLJE</t>
        </is>
      </c>
      <c r="G586" t="n">
        <v>23.8</v>
      </c>
      <c r="H586" t="n">
        <v>0</v>
      </c>
      <c r="I586" t="n">
        <v>0</v>
      </c>
      <c r="J586" t="n">
        <v>0</v>
      </c>
      <c r="K586" t="n">
        <v>0</v>
      </c>
      <c r="L586" t="n">
        <v>0</v>
      </c>
      <c r="M586" t="n">
        <v>0</v>
      </c>
      <c r="N586" t="n">
        <v>0</v>
      </c>
      <c r="O586" t="n">
        <v>0</v>
      </c>
      <c r="P586" t="n">
        <v>0</v>
      </c>
      <c r="Q586" t="n">
        <v>0</v>
      </c>
      <c r="R586" s="2" t="inlineStr"/>
    </row>
    <row r="587" ht="15" customHeight="1">
      <c r="A587" t="inlineStr">
        <is>
          <t>A 32094-2025</t>
        </is>
      </c>
      <c r="B587" s="1" t="n">
        <v>45835.46034722222</v>
      </c>
      <c r="C587" s="1" t="n">
        <v>45985</v>
      </c>
      <c r="D587" t="inlineStr">
        <is>
          <t>STOCKHOLMS LÄN</t>
        </is>
      </c>
      <c r="E587" t="inlineStr">
        <is>
          <t>NORRTÄLJE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32016-2025</t>
        </is>
      </c>
      <c r="B588" s="1" t="n">
        <v>45835</v>
      </c>
      <c r="C588" s="1" t="n">
        <v>45985</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32396-2025</t>
        </is>
      </c>
      <c r="B589" s="1" t="n">
        <v>45837</v>
      </c>
      <c r="C589" s="1" t="n">
        <v>45985</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32397-2025</t>
        </is>
      </c>
      <c r="B590" s="1" t="n">
        <v>45837.94081018519</v>
      </c>
      <c r="C590" s="1" t="n">
        <v>45985</v>
      </c>
      <c r="D590" t="inlineStr">
        <is>
          <t>STOCKHOLMS LÄN</t>
        </is>
      </c>
      <c r="E590" t="inlineStr">
        <is>
          <t>NORRTÄLJE</t>
        </is>
      </c>
      <c r="G590" t="n">
        <v>5.9</v>
      </c>
      <c r="H590" t="n">
        <v>0</v>
      </c>
      <c r="I590" t="n">
        <v>0</v>
      </c>
      <c r="J590" t="n">
        <v>0</v>
      </c>
      <c r="K590" t="n">
        <v>0</v>
      </c>
      <c r="L590" t="n">
        <v>0</v>
      </c>
      <c r="M590" t="n">
        <v>0</v>
      </c>
      <c r="N590" t="n">
        <v>0</v>
      </c>
      <c r="O590" t="n">
        <v>0</v>
      </c>
      <c r="P590" t="n">
        <v>0</v>
      </c>
      <c r="Q590" t="n">
        <v>0</v>
      </c>
      <c r="R590" s="2" t="inlineStr"/>
    </row>
    <row r="591" ht="15" customHeight="1">
      <c r="A591" t="inlineStr">
        <is>
          <t>A 32480-2025</t>
        </is>
      </c>
      <c r="B591" s="1" t="n">
        <v>45838.43261574074</v>
      </c>
      <c r="C591" s="1" t="n">
        <v>45985</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44937-2025</t>
        </is>
      </c>
      <c r="B592" s="1" t="n">
        <v>45918</v>
      </c>
      <c r="C592" s="1" t="n">
        <v>45985</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53747-2025</t>
        </is>
      </c>
      <c r="B593" s="1" t="n">
        <v>45960.65415509259</v>
      </c>
      <c r="C593" s="1" t="n">
        <v>45985</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14127-2025</t>
        </is>
      </c>
      <c r="B594" s="1" t="n">
        <v>45740.47055555556</v>
      </c>
      <c r="C594" s="1" t="n">
        <v>45985</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53299-2025</t>
        </is>
      </c>
      <c r="B595" s="1" t="n">
        <v>45959.31901620371</v>
      </c>
      <c r="C595" s="1" t="n">
        <v>45985</v>
      </c>
      <c r="D595" t="inlineStr">
        <is>
          <t>STOCKHOLMS LÄN</t>
        </is>
      </c>
      <c r="E595" t="inlineStr">
        <is>
          <t>NORRTÄLJE</t>
        </is>
      </c>
      <c r="G595" t="n">
        <v>4.8</v>
      </c>
      <c r="H595" t="n">
        <v>0</v>
      </c>
      <c r="I595" t="n">
        <v>0</v>
      </c>
      <c r="J595" t="n">
        <v>0</v>
      </c>
      <c r="K595" t="n">
        <v>0</v>
      </c>
      <c r="L595" t="n">
        <v>0</v>
      </c>
      <c r="M595" t="n">
        <v>0</v>
      </c>
      <c r="N595" t="n">
        <v>0</v>
      </c>
      <c r="O595" t="n">
        <v>0</v>
      </c>
      <c r="P595" t="n">
        <v>0</v>
      </c>
      <c r="Q595" t="n">
        <v>0</v>
      </c>
      <c r="R595" s="2" t="inlineStr"/>
    </row>
    <row r="596" ht="15" customHeight="1">
      <c r="A596" t="inlineStr">
        <is>
          <t>A 32395-2025</t>
        </is>
      </c>
      <c r="B596" s="1" t="n">
        <v>45837.93730324074</v>
      </c>
      <c r="C596" s="1" t="n">
        <v>45985</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31559-2022</t>
        </is>
      </c>
      <c r="B597" s="1" t="n">
        <v>44775</v>
      </c>
      <c r="C597" s="1" t="n">
        <v>45985</v>
      </c>
      <c r="D597" t="inlineStr">
        <is>
          <t>STOCKHOLMS LÄN</t>
        </is>
      </c>
      <c r="E597" t="inlineStr">
        <is>
          <t>NORRTÄLJE</t>
        </is>
      </c>
      <c r="G597" t="n">
        <v>5.6</v>
      </c>
      <c r="H597" t="n">
        <v>0</v>
      </c>
      <c r="I597" t="n">
        <v>0</v>
      </c>
      <c r="J597" t="n">
        <v>0</v>
      </c>
      <c r="K597" t="n">
        <v>0</v>
      </c>
      <c r="L597" t="n">
        <v>0</v>
      </c>
      <c r="M597" t="n">
        <v>0</v>
      </c>
      <c r="N597" t="n">
        <v>0</v>
      </c>
      <c r="O597" t="n">
        <v>0</v>
      </c>
      <c r="P597" t="n">
        <v>0</v>
      </c>
      <c r="Q597" t="n">
        <v>0</v>
      </c>
      <c r="R597" s="2" t="inlineStr"/>
    </row>
    <row r="598" ht="15" customHeight="1">
      <c r="A598" t="inlineStr">
        <is>
          <t>A 52001-2023</t>
        </is>
      </c>
      <c r="B598" s="1" t="n">
        <v>45223</v>
      </c>
      <c r="C598" s="1" t="n">
        <v>45985</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33211-2025</t>
        </is>
      </c>
      <c r="B599" s="1" t="n">
        <v>45840.62755787037</v>
      </c>
      <c r="C599" s="1" t="n">
        <v>45985</v>
      </c>
      <c r="D599" t="inlineStr">
        <is>
          <t>STOCKHOLMS LÄN</t>
        </is>
      </c>
      <c r="E599" t="inlineStr">
        <is>
          <t>NORRTÄLJE</t>
        </is>
      </c>
      <c r="G599" t="n">
        <v>5.1</v>
      </c>
      <c r="H599" t="n">
        <v>0</v>
      </c>
      <c r="I599" t="n">
        <v>0</v>
      </c>
      <c r="J599" t="n">
        <v>0</v>
      </c>
      <c r="K599" t="n">
        <v>0</v>
      </c>
      <c r="L599" t="n">
        <v>0</v>
      </c>
      <c r="M599" t="n">
        <v>0</v>
      </c>
      <c r="N599" t="n">
        <v>0</v>
      </c>
      <c r="O599" t="n">
        <v>0</v>
      </c>
      <c r="P599" t="n">
        <v>0</v>
      </c>
      <c r="Q599" t="n">
        <v>0</v>
      </c>
      <c r="R599" s="2" t="inlineStr"/>
    </row>
    <row r="600" ht="15" customHeight="1">
      <c r="A600" t="inlineStr">
        <is>
          <t>A 32903-2025</t>
        </is>
      </c>
      <c r="B600" s="1" t="n">
        <v>45839.62398148148</v>
      </c>
      <c r="C600" s="1" t="n">
        <v>45985</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33265-2025</t>
        </is>
      </c>
      <c r="B601" s="1" t="n">
        <v>45840.67829861111</v>
      </c>
      <c r="C601" s="1" t="n">
        <v>45985</v>
      </c>
      <c r="D601" t="inlineStr">
        <is>
          <t>STOCKHOLMS LÄN</t>
        </is>
      </c>
      <c r="E601" t="inlineStr">
        <is>
          <t>NORRTÄLJE</t>
        </is>
      </c>
      <c r="G601" t="n">
        <v>5.5</v>
      </c>
      <c r="H601" t="n">
        <v>0</v>
      </c>
      <c r="I601" t="n">
        <v>0</v>
      </c>
      <c r="J601" t="n">
        <v>0</v>
      </c>
      <c r="K601" t="n">
        <v>0</v>
      </c>
      <c r="L601" t="n">
        <v>0</v>
      </c>
      <c r="M601" t="n">
        <v>0</v>
      </c>
      <c r="N601" t="n">
        <v>0</v>
      </c>
      <c r="O601" t="n">
        <v>0</v>
      </c>
      <c r="P601" t="n">
        <v>0</v>
      </c>
      <c r="Q601" t="n">
        <v>0</v>
      </c>
      <c r="R601" s="2" t="inlineStr"/>
    </row>
    <row r="602" ht="15" customHeight="1">
      <c r="A602" t="inlineStr">
        <is>
          <t>A 32872-2025</t>
        </is>
      </c>
      <c r="B602" s="1" t="n">
        <v>45839</v>
      </c>
      <c r="C602" s="1" t="n">
        <v>45985</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22456-2023</t>
        </is>
      </c>
      <c r="B603" s="1" t="n">
        <v>45070</v>
      </c>
      <c r="C603" s="1" t="n">
        <v>45985</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22359-2025</t>
        </is>
      </c>
      <c r="B604" s="1" t="n">
        <v>45786</v>
      </c>
      <c r="C604" s="1" t="n">
        <v>45985</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33702-2025</t>
        </is>
      </c>
      <c r="B605" s="1" t="n">
        <v>45841.74596064815</v>
      </c>
      <c r="C605" s="1" t="n">
        <v>45985</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33336-2025</t>
        </is>
      </c>
      <c r="B606" s="1" t="n">
        <v>45841.35611111111</v>
      </c>
      <c r="C606" s="1" t="n">
        <v>45985</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19580-2022</t>
        </is>
      </c>
      <c r="B607" s="1" t="n">
        <v>44693</v>
      </c>
      <c r="C607" s="1" t="n">
        <v>45985</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33552-2025</t>
        </is>
      </c>
      <c r="B608" s="1" t="n">
        <v>45841.5737962963</v>
      </c>
      <c r="C608" s="1" t="n">
        <v>45985</v>
      </c>
      <c r="D608" t="inlineStr">
        <is>
          <t>STOCKHOLMS LÄN</t>
        </is>
      </c>
      <c r="E608" t="inlineStr">
        <is>
          <t>NORRTÄLJE</t>
        </is>
      </c>
      <c r="G608" t="n">
        <v>8.9</v>
      </c>
      <c r="H608" t="n">
        <v>0</v>
      </c>
      <c r="I608" t="n">
        <v>0</v>
      </c>
      <c r="J608" t="n">
        <v>0</v>
      </c>
      <c r="K608" t="n">
        <v>0</v>
      </c>
      <c r="L608" t="n">
        <v>0</v>
      </c>
      <c r="M608" t="n">
        <v>0</v>
      </c>
      <c r="N608" t="n">
        <v>0</v>
      </c>
      <c r="O608" t="n">
        <v>0</v>
      </c>
      <c r="P608" t="n">
        <v>0</v>
      </c>
      <c r="Q608" t="n">
        <v>0</v>
      </c>
      <c r="R608" s="2" t="inlineStr"/>
    </row>
    <row r="609" ht="15" customHeight="1">
      <c r="A609" t="inlineStr">
        <is>
          <t>A 5823-2023</t>
        </is>
      </c>
      <c r="B609" s="1" t="n">
        <v>44963</v>
      </c>
      <c r="C609" s="1" t="n">
        <v>45985</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30731-2023</t>
        </is>
      </c>
      <c r="B610" s="1" t="n">
        <v>45112</v>
      </c>
      <c r="C610" s="1" t="n">
        <v>45985</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33824-2025</t>
        </is>
      </c>
      <c r="B611" s="1" t="n">
        <v>45842.46885416667</v>
      </c>
      <c r="C611" s="1" t="n">
        <v>45985</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11988-2021</t>
        </is>
      </c>
      <c r="B612" s="1" t="n">
        <v>44266</v>
      </c>
      <c r="C612" s="1" t="n">
        <v>45985</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12132-2021</t>
        </is>
      </c>
      <c r="B613" s="1" t="n">
        <v>44266</v>
      </c>
      <c r="C613" s="1" t="n">
        <v>45985</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46073-2024</t>
        </is>
      </c>
      <c r="B614" s="1" t="n">
        <v>45581</v>
      </c>
      <c r="C614" s="1" t="n">
        <v>45985</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51653-2022</t>
        </is>
      </c>
      <c r="B615" s="1" t="n">
        <v>44867</v>
      </c>
      <c r="C615" s="1" t="n">
        <v>45985</v>
      </c>
      <c r="D615" t="inlineStr">
        <is>
          <t>STOCKHOLMS LÄN</t>
        </is>
      </c>
      <c r="E615" t="inlineStr">
        <is>
          <t>NORRTÄLJE</t>
        </is>
      </c>
      <c r="G615" t="n">
        <v>6.6</v>
      </c>
      <c r="H615" t="n">
        <v>0</v>
      </c>
      <c r="I615" t="n">
        <v>0</v>
      </c>
      <c r="J615" t="n">
        <v>0</v>
      </c>
      <c r="K615" t="n">
        <v>0</v>
      </c>
      <c r="L615" t="n">
        <v>0</v>
      </c>
      <c r="M615" t="n">
        <v>0</v>
      </c>
      <c r="N615" t="n">
        <v>0</v>
      </c>
      <c r="O615" t="n">
        <v>0</v>
      </c>
      <c r="P615" t="n">
        <v>0</v>
      </c>
      <c r="Q615" t="n">
        <v>0</v>
      </c>
      <c r="R615" s="2" t="inlineStr"/>
    </row>
    <row r="616" ht="15" customHeight="1">
      <c r="A616" t="inlineStr">
        <is>
          <t>A 36689-2023</t>
        </is>
      </c>
      <c r="B616" s="1" t="n">
        <v>45152</v>
      </c>
      <c r="C616" s="1" t="n">
        <v>45985</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34139-2025</t>
        </is>
      </c>
      <c r="B617" s="1" t="n">
        <v>45845</v>
      </c>
      <c r="C617" s="1" t="n">
        <v>45985</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32103-2022</t>
        </is>
      </c>
      <c r="B618" s="1" t="n">
        <v>44778</v>
      </c>
      <c r="C618" s="1" t="n">
        <v>45985</v>
      </c>
      <c r="D618" t="inlineStr">
        <is>
          <t>STOCKHOLMS LÄN</t>
        </is>
      </c>
      <c r="E618" t="inlineStr">
        <is>
          <t>NORRTÄLJE</t>
        </is>
      </c>
      <c r="G618" t="n">
        <v>3.4</v>
      </c>
      <c r="H618" t="n">
        <v>0</v>
      </c>
      <c r="I618" t="n">
        <v>0</v>
      </c>
      <c r="J618" t="n">
        <v>0</v>
      </c>
      <c r="K618" t="n">
        <v>0</v>
      </c>
      <c r="L618" t="n">
        <v>0</v>
      </c>
      <c r="M618" t="n">
        <v>0</v>
      </c>
      <c r="N618" t="n">
        <v>0</v>
      </c>
      <c r="O618" t="n">
        <v>0</v>
      </c>
      <c r="P618" t="n">
        <v>0</v>
      </c>
      <c r="Q618" t="n">
        <v>0</v>
      </c>
      <c r="R618" s="2" t="inlineStr"/>
    </row>
    <row r="619" ht="15" customHeight="1">
      <c r="A619" t="inlineStr">
        <is>
          <t>A 55952-2024</t>
        </is>
      </c>
      <c r="B619" s="1" t="n">
        <v>45623.62563657408</v>
      </c>
      <c r="C619" s="1" t="n">
        <v>45985</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34006-2025</t>
        </is>
      </c>
      <c r="B620" s="1" t="n">
        <v>45844.62609953704</v>
      </c>
      <c r="C620" s="1" t="n">
        <v>45985</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23070-2023</t>
        </is>
      </c>
      <c r="B621" s="1" t="n">
        <v>45075</v>
      </c>
      <c r="C621" s="1" t="n">
        <v>45985</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34010-2025</t>
        </is>
      </c>
      <c r="B622" s="1" t="n">
        <v>45844.91234953704</v>
      </c>
      <c r="C622" s="1" t="n">
        <v>45985</v>
      </c>
      <c r="D622" t="inlineStr">
        <is>
          <t>STOCKHOLMS LÄN</t>
        </is>
      </c>
      <c r="E622" t="inlineStr">
        <is>
          <t>NORRTÄLJE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8792-2025</t>
        </is>
      </c>
      <c r="B623" s="1" t="n">
        <v>45712</v>
      </c>
      <c r="C623" s="1" t="n">
        <v>45985</v>
      </c>
      <c r="D623" t="inlineStr">
        <is>
          <t>STOCKHOLMS LÄN</t>
        </is>
      </c>
      <c r="E623" t="inlineStr">
        <is>
          <t>NORRTÄLJE</t>
        </is>
      </c>
      <c r="F623" t="inlineStr">
        <is>
          <t>Övriga Aktiebolag</t>
        </is>
      </c>
      <c r="G623" t="n">
        <v>6.6</v>
      </c>
      <c r="H623" t="n">
        <v>0</v>
      </c>
      <c r="I623" t="n">
        <v>0</v>
      </c>
      <c r="J623" t="n">
        <v>0</v>
      </c>
      <c r="K623" t="n">
        <v>0</v>
      </c>
      <c r="L623" t="n">
        <v>0</v>
      </c>
      <c r="M623" t="n">
        <v>0</v>
      </c>
      <c r="N623" t="n">
        <v>0</v>
      </c>
      <c r="O623" t="n">
        <v>0</v>
      </c>
      <c r="P623" t="n">
        <v>0</v>
      </c>
      <c r="Q623" t="n">
        <v>0</v>
      </c>
      <c r="R623" s="2" t="inlineStr"/>
    </row>
    <row r="624" ht="15" customHeight="1">
      <c r="A624" t="inlineStr">
        <is>
          <t>A 7571-2024</t>
        </is>
      </c>
      <c r="B624" s="1" t="n">
        <v>45348.46300925926</v>
      </c>
      <c r="C624" s="1" t="n">
        <v>45985</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39610-2025</t>
        </is>
      </c>
      <c r="B625" s="1" t="n">
        <v>45890.56001157407</v>
      </c>
      <c r="C625" s="1" t="n">
        <v>45985</v>
      </c>
      <c r="D625" t="inlineStr">
        <is>
          <t>STOCKHOLMS LÄN</t>
        </is>
      </c>
      <c r="E625" t="inlineStr">
        <is>
          <t>NORRTÄLJE</t>
        </is>
      </c>
      <c r="G625" t="n">
        <v>28.6</v>
      </c>
      <c r="H625" t="n">
        <v>0</v>
      </c>
      <c r="I625" t="n">
        <v>0</v>
      </c>
      <c r="J625" t="n">
        <v>0</v>
      </c>
      <c r="K625" t="n">
        <v>0</v>
      </c>
      <c r="L625" t="n">
        <v>0</v>
      </c>
      <c r="M625" t="n">
        <v>0</v>
      </c>
      <c r="N625" t="n">
        <v>0</v>
      </c>
      <c r="O625" t="n">
        <v>0</v>
      </c>
      <c r="P625" t="n">
        <v>0</v>
      </c>
      <c r="Q625" t="n">
        <v>0</v>
      </c>
      <c r="R625" s="2" t="inlineStr"/>
    </row>
    <row r="626" ht="15" customHeight="1">
      <c r="A626" t="inlineStr">
        <is>
          <t>A 36269-2022</t>
        </is>
      </c>
      <c r="B626" s="1" t="n">
        <v>44803</v>
      </c>
      <c r="C626" s="1" t="n">
        <v>45985</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5665-2025</t>
        </is>
      </c>
      <c r="B627" s="1" t="n">
        <v>45693</v>
      </c>
      <c r="C627" s="1" t="n">
        <v>45985</v>
      </c>
      <c r="D627" t="inlineStr">
        <is>
          <t>STOCKHOLMS LÄN</t>
        </is>
      </c>
      <c r="E627" t="inlineStr">
        <is>
          <t>NORRTÄLJE</t>
        </is>
      </c>
      <c r="G627" t="n">
        <v>4</v>
      </c>
      <c r="H627" t="n">
        <v>0</v>
      </c>
      <c r="I627" t="n">
        <v>0</v>
      </c>
      <c r="J627" t="n">
        <v>0</v>
      </c>
      <c r="K627" t="n">
        <v>0</v>
      </c>
      <c r="L627" t="n">
        <v>0</v>
      </c>
      <c r="M627" t="n">
        <v>0</v>
      </c>
      <c r="N627" t="n">
        <v>0</v>
      </c>
      <c r="O627" t="n">
        <v>0</v>
      </c>
      <c r="P627" t="n">
        <v>0</v>
      </c>
      <c r="Q627" t="n">
        <v>0</v>
      </c>
      <c r="R627" s="2" t="inlineStr"/>
    </row>
    <row r="628" ht="15" customHeight="1">
      <c r="A628" t="inlineStr">
        <is>
          <t>A 12407-2025</t>
        </is>
      </c>
      <c r="B628" s="1" t="n">
        <v>45730.42851851852</v>
      </c>
      <c r="C628" s="1" t="n">
        <v>45985</v>
      </c>
      <c r="D628" t="inlineStr">
        <is>
          <t>STOCKHOLMS LÄN</t>
        </is>
      </c>
      <c r="E628" t="inlineStr">
        <is>
          <t>NORRTÄLJE</t>
        </is>
      </c>
      <c r="F628" t="inlineStr">
        <is>
          <t>Holmen skog AB</t>
        </is>
      </c>
      <c r="G628" t="n">
        <v>2.6</v>
      </c>
      <c r="H628" t="n">
        <v>0</v>
      </c>
      <c r="I628" t="n">
        <v>0</v>
      </c>
      <c r="J628" t="n">
        <v>0</v>
      </c>
      <c r="K628" t="n">
        <v>0</v>
      </c>
      <c r="L628" t="n">
        <v>0</v>
      </c>
      <c r="M628" t="n">
        <v>0</v>
      </c>
      <c r="N628" t="n">
        <v>0</v>
      </c>
      <c r="O628" t="n">
        <v>0</v>
      </c>
      <c r="P628" t="n">
        <v>0</v>
      </c>
      <c r="Q628" t="n">
        <v>0</v>
      </c>
      <c r="R628" s="2" t="inlineStr"/>
    </row>
    <row r="629" ht="15" customHeight="1">
      <c r="A629" t="inlineStr">
        <is>
          <t>A 45697-2025</t>
        </is>
      </c>
      <c r="B629" s="1" t="n">
        <v>45923.39877314815</v>
      </c>
      <c r="C629" s="1" t="n">
        <v>45985</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26636-2023</t>
        </is>
      </c>
      <c r="B630" s="1" t="n">
        <v>45092</v>
      </c>
      <c r="C630" s="1" t="n">
        <v>45985</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26637-2023</t>
        </is>
      </c>
      <c r="B631" s="1" t="n">
        <v>45092</v>
      </c>
      <c r="C631" s="1" t="n">
        <v>45985</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23266-2023</t>
        </is>
      </c>
      <c r="B632" s="1" t="n">
        <v>45075.90817129629</v>
      </c>
      <c r="C632" s="1" t="n">
        <v>45985</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35161-2022</t>
        </is>
      </c>
      <c r="B633" s="1" t="n">
        <v>44797</v>
      </c>
      <c r="C633" s="1" t="n">
        <v>45985</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35110-2025</t>
        </is>
      </c>
      <c r="B634" s="1" t="n">
        <v>45852.58030092593</v>
      </c>
      <c r="C634" s="1" t="n">
        <v>45985</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35256-2025</t>
        </is>
      </c>
      <c r="B635" s="1" t="n">
        <v>45853</v>
      </c>
      <c r="C635" s="1" t="n">
        <v>45985</v>
      </c>
      <c r="D635" t="inlineStr">
        <is>
          <t>STOCKHOLMS LÄN</t>
        </is>
      </c>
      <c r="E635" t="inlineStr">
        <is>
          <t>NORRTÄLJE</t>
        </is>
      </c>
      <c r="G635" t="n">
        <v>6.4</v>
      </c>
      <c r="H635" t="n">
        <v>0</v>
      </c>
      <c r="I635" t="n">
        <v>0</v>
      </c>
      <c r="J635" t="n">
        <v>0</v>
      </c>
      <c r="K635" t="n">
        <v>0</v>
      </c>
      <c r="L635" t="n">
        <v>0</v>
      </c>
      <c r="M635" t="n">
        <v>0</v>
      </c>
      <c r="N635" t="n">
        <v>0</v>
      </c>
      <c r="O635" t="n">
        <v>0</v>
      </c>
      <c r="P635" t="n">
        <v>0</v>
      </c>
      <c r="Q635" t="n">
        <v>0</v>
      </c>
      <c r="R635" s="2" t="inlineStr"/>
    </row>
    <row r="636" ht="15" customHeight="1">
      <c r="A636" t="inlineStr">
        <is>
          <t>A 35254-2025</t>
        </is>
      </c>
      <c r="B636" s="1" t="n">
        <v>45853</v>
      </c>
      <c r="C636" s="1" t="n">
        <v>45985</v>
      </c>
      <c r="D636" t="inlineStr">
        <is>
          <t>STOCKHOLMS LÄN</t>
        </is>
      </c>
      <c r="E636" t="inlineStr">
        <is>
          <t>NORRTÄLJE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7903-2021</t>
        </is>
      </c>
      <c r="B637" s="1" t="n">
        <v>44243.33587962963</v>
      </c>
      <c r="C637" s="1" t="n">
        <v>45985</v>
      </c>
      <c r="D637" t="inlineStr">
        <is>
          <t>STOCKHOLMS LÄN</t>
        </is>
      </c>
      <c r="E637" t="inlineStr">
        <is>
          <t>NORRTÄLJE</t>
        </is>
      </c>
      <c r="G637" t="n">
        <v>3.5</v>
      </c>
      <c r="H637" t="n">
        <v>0</v>
      </c>
      <c r="I637" t="n">
        <v>0</v>
      </c>
      <c r="J637" t="n">
        <v>0</v>
      </c>
      <c r="K637" t="n">
        <v>0</v>
      </c>
      <c r="L637" t="n">
        <v>0</v>
      </c>
      <c r="M637" t="n">
        <v>0</v>
      </c>
      <c r="N637" t="n">
        <v>0</v>
      </c>
      <c r="O637" t="n">
        <v>0</v>
      </c>
      <c r="P637" t="n">
        <v>0</v>
      </c>
      <c r="Q637" t="n">
        <v>0</v>
      </c>
      <c r="R637" s="2" t="inlineStr"/>
    </row>
    <row r="638" ht="15" customHeight="1">
      <c r="A638" t="inlineStr">
        <is>
          <t>A 58863-2024</t>
        </is>
      </c>
      <c r="B638" s="1" t="n">
        <v>45636.41572916666</v>
      </c>
      <c r="C638" s="1" t="n">
        <v>45985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35479-2025</t>
        </is>
      </c>
      <c r="B639" s="1" t="n">
        <v>45855.69387731481</v>
      </c>
      <c r="C639" s="1" t="n">
        <v>45985</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15447-2023</t>
        </is>
      </c>
      <c r="B640" s="1" t="n">
        <v>45020</v>
      </c>
      <c r="C640" s="1" t="n">
        <v>45985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34391-2023</t>
        </is>
      </c>
      <c r="B641" s="1" t="n">
        <v>45139.51457175926</v>
      </c>
      <c r="C641" s="1" t="n">
        <v>45985</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35451-2025</t>
        </is>
      </c>
      <c r="B642" s="1" t="n">
        <v>45855.57033564815</v>
      </c>
      <c r="C642" s="1" t="n">
        <v>45985</v>
      </c>
      <c r="D642" t="inlineStr">
        <is>
          <t>STOCKHOLMS LÄN</t>
        </is>
      </c>
      <c r="E642" t="inlineStr">
        <is>
          <t>NORRTÄLJE</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35478-2025</t>
        </is>
      </c>
      <c r="B643" s="1" t="n">
        <v>45855.68413194444</v>
      </c>
      <c r="C643" s="1" t="n">
        <v>45985</v>
      </c>
      <c r="D643" t="inlineStr">
        <is>
          <t>STOCKHOLMS LÄN</t>
        </is>
      </c>
      <c r="E643" t="inlineStr">
        <is>
          <t>NORRTÄLJE</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53312-2024</t>
        </is>
      </c>
      <c r="B644" s="1" t="n">
        <v>45614.39627314815</v>
      </c>
      <c r="C644" s="1" t="n">
        <v>45985</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46415-2025</t>
        </is>
      </c>
      <c r="B645" s="1" t="n">
        <v>45925.58636574074</v>
      </c>
      <c r="C645" s="1" t="n">
        <v>45985</v>
      </c>
      <c r="D645" t="inlineStr">
        <is>
          <t>STOCKHOLMS LÄN</t>
        </is>
      </c>
      <c r="E645" t="inlineStr">
        <is>
          <t>NORRTÄLJE</t>
        </is>
      </c>
      <c r="G645" t="n">
        <v>3.8</v>
      </c>
      <c r="H645" t="n">
        <v>0</v>
      </c>
      <c r="I645" t="n">
        <v>0</v>
      </c>
      <c r="J645" t="n">
        <v>0</v>
      </c>
      <c r="K645" t="n">
        <v>0</v>
      </c>
      <c r="L645" t="n">
        <v>0</v>
      </c>
      <c r="M645" t="n">
        <v>0</v>
      </c>
      <c r="N645" t="n">
        <v>0</v>
      </c>
      <c r="O645" t="n">
        <v>0</v>
      </c>
      <c r="P645" t="n">
        <v>0</v>
      </c>
      <c r="Q645" t="n">
        <v>0</v>
      </c>
      <c r="R645" s="2" t="inlineStr"/>
    </row>
    <row r="646" ht="15" customHeight="1">
      <c r="A646" t="inlineStr">
        <is>
          <t>A 21158-2022</t>
        </is>
      </c>
      <c r="B646" s="1" t="n">
        <v>44704</v>
      </c>
      <c r="C646" s="1" t="n">
        <v>45985</v>
      </c>
      <c r="D646" t="inlineStr">
        <is>
          <t>STOCKHOLMS LÄN</t>
        </is>
      </c>
      <c r="E646" t="inlineStr">
        <is>
          <t>NORRTÄLJE</t>
        </is>
      </c>
      <c r="G646" t="n">
        <v>17.8</v>
      </c>
      <c r="H646" t="n">
        <v>0</v>
      </c>
      <c r="I646" t="n">
        <v>0</v>
      </c>
      <c r="J646" t="n">
        <v>0</v>
      </c>
      <c r="K646" t="n">
        <v>0</v>
      </c>
      <c r="L646" t="n">
        <v>0</v>
      </c>
      <c r="M646" t="n">
        <v>0</v>
      </c>
      <c r="N646" t="n">
        <v>0</v>
      </c>
      <c r="O646" t="n">
        <v>0</v>
      </c>
      <c r="P646" t="n">
        <v>0</v>
      </c>
      <c r="Q646" t="n">
        <v>0</v>
      </c>
      <c r="R646" s="2" t="inlineStr"/>
    </row>
    <row r="647" ht="15" customHeight="1">
      <c r="A647" t="inlineStr">
        <is>
          <t>A 15915-2023</t>
        </is>
      </c>
      <c r="B647" s="1" t="n">
        <v>45022</v>
      </c>
      <c r="C647" s="1" t="n">
        <v>45985</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58993-2022</t>
        </is>
      </c>
      <c r="B648" s="1" t="n">
        <v>44903</v>
      </c>
      <c r="C648" s="1" t="n">
        <v>45985</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39905-2023</t>
        </is>
      </c>
      <c r="B649" s="1" t="n">
        <v>45168.44489583333</v>
      </c>
      <c r="C649" s="1" t="n">
        <v>45985</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33793-2022</t>
        </is>
      </c>
      <c r="B650" s="1" t="n">
        <v>44790</v>
      </c>
      <c r="C650" s="1" t="n">
        <v>45985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54907-2025</t>
        </is>
      </c>
      <c r="B651" s="1" t="n">
        <v>45967.37137731481</v>
      </c>
      <c r="C651" s="1" t="n">
        <v>45985</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17304-2024</t>
        </is>
      </c>
      <c r="B652" s="1" t="n">
        <v>45414</v>
      </c>
      <c r="C652" s="1" t="n">
        <v>45985</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16852-2024</t>
        </is>
      </c>
      <c r="B653" s="1" t="n">
        <v>45411.54768518519</v>
      </c>
      <c r="C653" s="1" t="n">
        <v>45985</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4326-2023</t>
        </is>
      </c>
      <c r="B654" s="1" t="n">
        <v>44953.70481481482</v>
      </c>
      <c r="C654" s="1" t="n">
        <v>45985</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20698-2025</t>
        </is>
      </c>
      <c r="B655" s="1" t="n">
        <v>45776.47122685185</v>
      </c>
      <c r="C655" s="1" t="n">
        <v>45985</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33385-2024</t>
        </is>
      </c>
      <c r="B656" s="1" t="n">
        <v>45519</v>
      </c>
      <c r="C656" s="1" t="n">
        <v>45985</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29714-2023</t>
        </is>
      </c>
      <c r="B657" s="1" t="n">
        <v>45107.42538194444</v>
      </c>
      <c r="C657" s="1" t="n">
        <v>45985</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30508-2023</t>
        </is>
      </c>
      <c r="B658" s="1" t="n">
        <v>45111</v>
      </c>
      <c r="C658" s="1" t="n">
        <v>45985</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36396-2025</t>
        </is>
      </c>
      <c r="B659" s="1" t="n">
        <v>45868.62267361111</v>
      </c>
      <c r="C659" s="1" t="n">
        <v>45985</v>
      </c>
      <c r="D659" t="inlineStr">
        <is>
          <t>STOCKHOLMS LÄN</t>
        </is>
      </c>
      <c r="E659" t="inlineStr">
        <is>
          <t>NORRTÄLJE</t>
        </is>
      </c>
      <c r="G659" t="n">
        <v>4.1</v>
      </c>
      <c r="H659" t="n">
        <v>0</v>
      </c>
      <c r="I659" t="n">
        <v>0</v>
      </c>
      <c r="J659" t="n">
        <v>0</v>
      </c>
      <c r="K659" t="n">
        <v>0</v>
      </c>
      <c r="L659" t="n">
        <v>0</v>
      </c>
      <c r="M659" t="n">
        <v>0</v>
      </c>
      <c r="N659" t="n">
        <v>0</v>
      </c>
      <c r="O659" t="n">
        <v>0</v>
      </c>
      <c r="P659" t="n">
        <v>0</v>
      </c>
      <c r="Q659" t="n">
        <v>0</v>
      </c>
      <c r="R659" s="2" t="inlineStr"/>
    </row>
    <row r="660" ht="15" customHeight="1">
      <c r="A660" t="inlineStr">
        <is>
          <t>A 12031-2021</t>
        </is>
      </c>
      <c r="B660" s="1" t="n">
        <v>44266</v>
      </c>
      <c r="C660" s="1" t="n">
        <v>45985</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55599-2025</t>
        </is>
      </c>
      <c r="B661" s="1" t="n">
        <v>45971.76810185185</v>
      </c>
      <c r="C661" s="1" t="n">
        <v>45985</v>
      </c>
      <c r="D661" t="inlineStr">
        <is>
          <t>STOCKHOLMS LÄN</t>
        </is>
      </c>
      <c r="E661" t="inlineStr">
        <is>
          <t>NORRTÄLJE</t>
        </is>
      </c>
      <c r="F661" t="inlineStr">
        <is>
          <t>Holmen skog AB</t>
        </is>
      </c>
      <c r="G661" t="n">
        <v>6.4</v>
      </c>
      <c r="H661" t="n">
        <v>0</v>
      </c>
      <c r="I661" t="n">
        <v>0</v>
      </c>
      <c r="J661" t="n">
        <v>0</v>
      </c>
      <c r="K661" t="n">
        <v>0</v>
      </c>
      <c r="L661" t="n">
        <v>0</v>
      </c>
      <c r="M661" t="n">
        <v>0</v>
      </c>
      <c r="N661" t="n">
        <v>0</v>
      </c>
      <c r="O661" t="n">
        <v>0</v>
      </c>
      <c r="P661" t="n">
        <v>0</v>
      </c>
      <c r="Q661" t="n">
        <v>0</v>
      </c>
      <c r="R661" s="2" t="inlineStr"/>
    </row>
    <row r="662" ht="15" customHeight="1">
      <c r="A662" t="inlineStr">
        <is>
          <t>A 22232-2024</t>
        </is>
      </c>
      <c r="B662" s="1" t="n">
        <v>45446.4287962963</v>
      </c>
      <c r="C662" s="1" t="n">
        <v>45985</v>
      </c>
      <c r="D662" t="inlineStr">
        <is>
          <t>STOCKHOLMS LÄN</t>
        </is>
      </c>
      <c r="E662" t="inlineStr">
        <is>
          <t>NORRTÄLJE</t>
        </is>
      </c>
      <c r="G662" t="n">
        <v>12.8</v>
      </c>
      <c r="H662" t="n">
        <v>0</v>
      </c>
      <c r="I662" t="n">
        <v>0</v>
      </c>
      <c r="J662" t="n">
        <v>0</v>
      </c>
      <c r="K662" t="n">
        <v>0</v>
      </c>
      <c r="L662" t="n">
        <v>0</v>
      </c>
      <c r="M662" t="n">
        <v>0</v>
      </c>
      <c r="N662" t="n">
        <v>0</v>
      </c>
      <c r="O662" t="n">
        <v>0</v>
      </c>
      <c r="P662" t="n">
        <v>0</v>
      </c>
      <c r="Q662" t="n">
        <v>0</v>
      </c>
      <c r="R662" s="2" t="inlineStr"/>
    </row>
    <row r="663" ht="15" customHeight="1">
      <c r="A663" t="inlineStr">
        <is>
          <t>A 34444-2024</t>
        </is>
      </c>
      <c r="B663" s="1" t="n">
        <v>45525</v>
      </c>
      <c r="C663" s="1" t="n">
        <v>45985</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47460-2025</t>
        </is>
      </c>
      <c r="B664" s="1" t="n">
        <v>45930.66012731481</v>
      </c>
      <c r="C664" s="1" t="n">
        <v>45985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8296-2023</t>
        </is>
      </c>
      <c r="B665" s="1" t="n">
        <v>44974</v>
      </c>
      <c r="C665" s="1" t="n">
        <v>45985</v>
      </c>
      <c r="D665" t="inlineStr">
        <is>
          <t>STOCKHOLMS LÄN</t>
        </is>
      </c>
      <c r="E665" t="inlineStr">
        <is>
          <t>NORRTÄLJE</t>
        </is>
      </c>
      <c r="G665" t="n">
        <v>3.8</v>
      </c>
      <c r="H665" t="n">
        <v>0</v>
      </c>
      <c r="I665" t="n">
        <v>0</v>
      </c>
      <c r="J665" t="n">
        <v>0</v>
      </c>
      <c r="K665" t="n">
        <v>0</v>
      </c>
      <c r="L665" t="n">
        <v>0</v>
      </c>
      <c r="M665" t="n">
        <v>0</v>
      </c>
      <c r="N665" t="n">
        <v>0</v>
      </c>
      <c r="O665" t="n">
        <v>0</v>
      </c>
      <c r="P665" t="n">
        <v>0</v>
      </c>
      <c r="Q665" t="n">
        <v>0</v>
      </c>
      <c r="R665" s="2" t="inlineStr"/>
    </row>
    <row r="666" ht="15" customHeight="1">
      <c r="A666" t="inlineStr">
        <is>
          <t>A 31236-2022</t>
        </is>
      </c>
      <c r="B666" s="1" t="n">
        <v>44771</v>
      </c>
      <c r="C666" s="1" t="n">
        <v>45985</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46900-2025</t>
        </is>
      </c>
      <c r="B667" s="1" t="n">
        <v>45929.38712962963</v>
      </c>
      <c r="C667" s="1" t="n">
        <v>45985</v>
      </c>
      <c r="D667" t="inlineStr">
        <is>
          <t>STOCKHOLMS LÄN</t>
        </is>
      </c>
      <c r="E667" t="inlineStr">
        <is>
          <t>NORRTÄLJE</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56114-2025</t>
        </is>
      </c>
      <c r="B668" s="1" t="n">
        <v>45973.74474537037</v>
      </c>
      <c r="C668" s="1" t="n">
        <v>45985</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52593-2024</t>
        </is>
      </c>
      <c r="B669" s="1" t="n">
        <v>45609.70778935185</v>
      </c>
      <c r="C669" s="1" t="n">
        <v>45985</v>
      </c>
      <c r="D669" t="inlineStr">
        <is>
          <t>STOCKHOLMS LÄN</t>
        </is>
      </c>
      <c r="E669" t="inlineStr">
        <is>
          <t>NORRTÄLJE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52617-2024</t>
        </is>
      </c>
      <c r="B670" s="1" t="n">
        <v>45609.85146990741</v>
      </c>
      <c r="C670" s="1" t="n">
        <v>45985</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45985</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47521-2024</t>
        </is>
      </c>
      <c r="B672" s="1" t="n">
        <v>45587.62565972222</v>
      </c>
      <c r="C672" s="1" t="n">
        <v>45985</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47498-2025</t>
        </is>
      </c>
      <c r="B673" s="1" t="n">
        <v>45930.8134375</v>
      </c>
      <c r="C673" s="1" t="n">
        <v>45985</v>
      </c>
      <c r="D673" t="inlineStr">
        <is>
          <t>STOCKHOLMS LÄN</t>
        </is>
      </c>
      <c r="E673" t="inlineStr">
        <is>
          <t>NORRTÄLJE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47496-2025</t>
        </is>
      </c>
      <c r="B674" s="1" t="n">
        <v>45930.79252314815</v>
      </c>
      <c r="C674" s="1" t="n">
        <v>45985</v>
      </c>
      <c r="D674" t="inlineStr">
        <is>
          <t>STOCKHOLMS LÄN</t>
        </is>
      </c>
      <c r="E674" t="inlineStr">
        <is>
          <t>NORRTÄLJE</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47497-2025</t>
        </is>
      </c>
      <c r="B675" s="1" t="n">
        <v>45930.80217592593</v>
      </c>
      <c r="C675" s="1" t="n">
        <v>45985</v>
      </c>
      <c r="D675" t="inlineStr">
        <is>
          <t>STOCKHOLMS LÄN</t>
        </is>
      </c>
      <c r="E675" t="inlineStr">
        <is>
          <t>NORRTÄLJE</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50534-2024</t>
        </is>
      </c>
      <c r="B676" s="1" t="n">
        <v>45601.56726851852</v>
      </c>
      <c r="C676" s="1" t="n">
        <v>45985</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42094-2023</t>
        </is>
      </c>
      <c r="B677" s="1" t="n">
        <v>45177.61498842593</v>
      </c>
      <c r="C677" s="1" t="n">
        <v>45985</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58530-2024</t>
        </is>
      </c>
      <c r="B678" s="1" t="n">
        <v>45635.44788194444</v>
      </c>
      <c r="C678" s="1" t="n">
        <v>45985</v>
      </c>
      <c r="D678" t="inlineStr">
        <is>
          <t>STOCKHOLMS LÄN</t>
        </is>
      </c>
      <c r="E678" t="inlineStr">
        <is>
          <t>NORRTÄLJE</t>
        </is>
      </c>
      <c r="G678" t="n">
        <v>4.5</v>
      </c>
      <c r="H678" t="n">
        <v>0</v>
      </c>
      <c r="I678" t="n">
        <v>0</v>
      </c>
      <c r="J678" t="n">
        <v>0</v>
      </c>
      <c r="K678" t="n">
        <v>0</v>
      </c>
      <c r="L678" t="n">
        <v>0</v>
      </c>
      <c r="M678" t="n">
        <v>0</v>
      </c>
      <c r="N678" t="n">
        <v>0</v>
      </c>
      <c r="O678" t="n">
        <v>0</v>
      </c>
      <c r="P678" t="n">
        <v>0</v>
      </c>
      <c r="Q678" t="n">
        <v>0</v>
      </c>
      <c r="R678" s="2" t="inlineStr"/>
    </row>
    <row r="679" ht="15" customHeight="1">
      <c r="A679" t="inlineStr">
        <is>
          <t>A 30620-2022</t>
        </is>
      </c>
      <c r="B679" s="1" t="n">
        <v>44763.40914351852</v>
      </c>
      <c r="C679" s="1" t="n">
        <v>45985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56207-2025</t>
        </is>
      </c>
      <c r="B680" s="1" t="n">
        <v>45974.47329861111</v>
      </c>
      <c r="C680" s="1" t="n">
        <v>45985</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57602-2024</t>
        </is>
      </c>
      <c r="B681" s="1" t="n">
        <v>45630.52866898148</v>
      </c>
      <c r="C681" s="1" t="n">
        <v>45985</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45985</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11854-2025</t>
        </is>
      </c>
      <c r="B683" s="1" t="n">
        <v>45728.38924768518</v>
      </c>
      <c r="C683" s="1" t="n">
        <v>45985</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1283-2025</t>
        </is>
      </c>
      <c r="B684" s="1" t="n">
        <v>45667.49878472222</v>
      </c>
      <c r="C684" s="1" t="n">
        <v>45985</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45985</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60217-2021</t>
        </is>
      </c>
      <c r="B686" s="1" t="n">
        <v>44495.5893287037</v>
      </c>
      <c r="C686" s="1" t="n">
        <v>45985</v>
      </c>
      <c r="D686" t="inlineStr">
        <is>
          <t>STOCKHOLMS LÄN</t>
        </is>
      </c>
      <c r="E686" t="inlineStr">
        <is>
          <t>NORRTÄLJE</t>
        </is>
      </c>
      <c r="G686" t="n">
        <v>4.3</v>
      </c>
      <c r="H686" t="n">
        <v>0</v>
      </c>
      <c r="I686" t="n">
        <v>0</v>
      </c>
      <c r="J686" t="n">
        <v>0</v>
      </c>
      <c r="K686" t="n">
        <v>0</v>
      </c>
      <c r="L686" t="n">
        <v>0</v>
      </c>
      <c r="M686" t="n">
        <v>0</v>
      </c>
      <c r="N686" t="n">
        <v>0</v>
      </c>
      <c r="O686" t="n">
        <v>0</v>
      </c>
      <c r="P686" t="n">
        <v>0</v>
      </c>
      <c r="Q686" t="n">
        <v>0</v>
      </c>
      <c r="R686" s="2" t="inlineStr"/>
    </row>
    <row r="687" ht="15" customHeight="1">
      <c r="A687" t="inlineStr">
        <is>
          <t>A 46071-2024</t>
        </is>
      </c>
      <c r="B687" s="1" t="n">
        <v>45581</v>
      </c>
      <c r="C687" s="1" t="n">
        <v>45985</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48718-2025</t>
        </is>
      </c>
      <c r="B688" s="1" t="n">
        <v>45936</v>
      </c>
      <c r="C688" s="1" t="n">
        <v>45985</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45985</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45985</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28900-2022</t>
        </is>
      </c>
      <c r="B691" s="1" t="n">
        <v>44749.55258101852</v>
      </c>
      <c r="C691" s="1" t="n">
        <v>45985</v>
      </c>
      <c r="D691" t="inlineStr">
        <is>
          <t>STOCKHOLMS LÄN</t>
        </is>
      </c>
      <c r="E691" t="inlineStr">
        <is>
          <t>NORRTÄLJE</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32514-2022</t>
        </is>
      </c>
      <c r="B692" s="1" t="n">
        <v>44782</v>
      </c>
      <c r="C692" s="1" t="n">
        <v>45985</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37632-2025</t>
        </is>
      </c>
      <c r="B693" s="1" t="n">
        <v>45880.46524305556</v>
      </c>
      <c r="C693" s="1" t="n">
        <v>45985</v>
      </c>
      <c r="D693" t="inlineStr">
        <is>
          <t>STOCKHOLMS LÄN</t>
        </is>
      </c>
      <c r="E693" t="inlineStr">
        <is>
          <t>NORRTÄLJE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29841-2024</t>
        </is>
      </c>
      <c r="B694" s="1" t="n">
        <v>45485.60261574074</v>
      </c>
      <c r="C694" s="1" t="n">
        <v>45985</v>
      </c>
      <c r="D694" t="inlineStr">
        <is>
          <t>STOCKHOLMS LÄN</t>
        </is>
      </c>
      <c r="E694" t="inlineStr">
        <is>
          <t>NORRTÄLJE</t>
        </is>
      </c>
      <c r="G694" t="n">
        <v>15.9</v>
      </c>
      <c r="H694" t="n">
        <v>0</v>
      </c>
      <c r="I694" t="n">
        <v>0</v>
      </c>
      <c r="J694" t="n">
        <v>0</v>
      </c>
      <c r="K694" t="n">
        <v>0</v>
      </c>
      <c r="L694" t="n">
        <v>0</v>
      </c>
      <c r="M694" t="n">
        <v>0</v>
      </c>
      <c r="N694" t="n">
        <v>0</v>
      </c>
      <c r="O694" t="n">
        <v>0</v>
      </c>
      <c r="P694" t="n">
        <v>0</v>
      </c>
      <c r="Q694" t="n">
        <v>0</v>
      </c>
      <c r="R694" s="2" t="inlineStr"/>
    </row>
    <row r="695" ht="15" customHeight="1">
      <c r="A695" t="inlineStr">
        <is>
          <t>A 48360-2025</t>
        </is>
      </c>
      <c r="B695" s="1" t="n">
        <v>45933.66253472222</v>
      </c>
      <c r="C695" s="1" t="n">
        <v>45985</v>
      </c>
      <c r="D695" t="inlineStr">
        <is>
          <t>STOCKHOLMS LÄN</t>
        </is>
      </c>
      <c r="E695" t="inlineStr">
        <is>
          <t>NORRTÄLJE</t>
        </is>
      </c>
      <c r="G695" t="n">
        <v>4.1</v>
      </c>
      <c r="H695" t="n">
        <v>0</v>
      </c>
      <c r="I695" t="n">
        <v>0</v>
      </c>
      <c r="J695" t="n">
        <v>0</v>
      </c>
      <c r="K695" t="n">
        <v>0</v>
      </c>
      <c r="L695" t="n">
        <v>0</v>
      </c>
      <c r="M695" t="n">
        <v>0</v>
      </c>
      <c r="N695" t="n">
        <v>0</v>
      </c>
      <c r="O695" t="n">
        <v>0</v>
      </c>
      <c r="P695" t="n">
        <v>0</v>
      </c>
      <c r="Q695" t="n">
        <v>0</v>
      </c>
      <c r="R695" s="2" t="inlineStr"/>
    </row>
    <row r="696" ht="15" customHeight="1">
      <c r="A696" t="inlineStr">
        <is>
          <t>A 48370-2025</t>
        </is>
      </c>
      <c r="B696" s="1" t="n">
        <v>45933.67854166667</v>
      </c>
      <c r="C696" s="1" t="n">
        <v>45985</v>
      </c>
      <c r="D696" t="inlineStr">
        <is>
          <t>STOCKHOLMS LÄN</t>
        </is>
      </c>
      <c r="E696" t="inlineStr">
        <is>
          <t>NORRTÄLJE</t>
        </is>
      </c>
      <c r="G696" t="n">
        <v>4.5</v>
      </c>
      <c r="H696" t="n">
        <v>0</v>
      </c>
      <c r="I696" t="n">
        <v>0</v>
      </c>
      <c r="J696" t="n">
        <v>0</v>
      </c>
      <c r="K696" t="n">
        <v>0</v>
      </c>
      <c r="L696" t="n">
        <v>0</v>
      </c>
      <c r="M696" t="n">
        <v>0</v>
      </c>
      <c r="N696" t="n">
        <v>0</v>
      </c>
      <c r="O696" t="n">
        <v>0</v>
      </c>
      <c r="P696" t="n">
        <v>0</v>
      </c>
      <c r="Q696" t="n">
        <v>0</v>
      </c>
      <c r="R696" s="2" t="inlineStr"/>
    </row>
    <row r="697" ht="15" customHeight="1">
      <c r="A697" t="inlineStr">
        <is>
          <t>A 37628-2025</t>
        </is>
      </c>
      <c r="B697" s="1" t="n">
        <v>45880.46189814815</v>
      </c>
      <c r="C697" s="1" t="n">
        <v>45985</v>
      </c>
      <c r="D697" t="inlineStr">
        <is>
          <t>STOCKHOLMS LÄN</t>
        </is>
      </c>
      <c r="E697" t="inlineStr">
        <is>
          <t>NORRTÄLJE</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24350-2025</t>
        </is>
      </c>
      <c r="B698" s="1" t="n">
        <v>45797.58350694444</v>
      </c>
      <c r="C698" s="1" t="n">
        <v>45985</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48443-2025</t>
        </is>
      </c>
      <c r="B699" s="1" t="n">
        <v>45935.55326388889</v>
      </c>
      <c r="C699" s="1" t="n">
        <v>45985</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23125-2022</t>
        </is>
      </c>
      <c r="B700" s="1" t="n">
        <v>44719</v>
      </c>
      <c r="C700" s="1" t="n">
        <v>45985</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26703-2025</t>
        </is>
      </c>
      <c r="B701" s="1" t="n">
        <v>45810.45263888889</v>
      </c>
      <c r="C701" s="1" t="n">
        <v>45985</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48127-2025</t>
        </is>
      </c>
      <c r="B702" s="1" t="n">
        <v>45933.36621527778</v>
      </c>
      <c r="C702" s="1" t="n">
        <v>45985</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48364-2025</t>
        </is>
      </c>
      <c r="B703" s="1" t="n">
        <v>45933.66796296297</v>
      </c>
      <c r="C703" s="1" t="n">
        <v>45985</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9329-2023</t>
        </is>
      </c>
      <c r="B704" s="1" t="n">
        <v>44980</v>
      </c>
      <c r="C704" s="1" t="n">
        <v>45985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6855-2025</t>
        </is>
      </c>
      <c r="B705" s="1" t="n">
        <v>45700</v>
      </c>
      <c r="C705" s="1" t="n">
        <v>45985</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48179-2025</t>
        </is>
      </c>
      <c r="B706" s="1" t="n">
        <v>45933.44907407407</v>
      </c>
      <c r="C706" s="1" t="n">
        <v>45985</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13137-2024</t>
        </is>
      </c>
      <c r="B707" s="1" t="n">
        <v>45386.34175925926</v>
      </c>
      <c r="C707" s="1" t="n">
        <v>45985</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38153-2025</t>
        </is>
      </c>
      <c r="B708" s="1" t="n">
        <v>45882.59722222222</v>
      </c>
      <c r="C708" s="1" t="n">
        <v>45985</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14873-2025</t>
        </is>
      </c>
      <c r="B709" s="1" t="n">
        <v>45743.44953703704</v>
      </c>
      <c r="C709" s="1" t="n">
        <v>45985</v>
      </c>
      <c r="D709" t="inlineStr">
        <is>
          <t>STOCKHOLMS LÄN</t>
        </is>
      </c>
      <c r="E709" t="inlineStr">
        <is>
          <t>NORRTÄLJE</t>
        </is>
      </c>
      <c r="G709" t="n">
        <v>10.2</v>
      </c>
      <c r="H709" t="n">
        <v>0</v>
      </c>
      <c r="I709" t="n">
        <v>0</v>
      </c>
      <c r="J709" t="n">
        <v>0</v>
      </c>
      <c r="K709" t="n">
        <v>0</v>
      </c>
      <c r="L709" t="n">
        <v>0</v>
      </c>
      <c r="M709" t="n">
        <v>0</v>
      </c>
      <c r="N709" t="n">
        <v>0</v>
      </c>
      <c r="O709" t="n">
        <v>0</v>
      </c>
      <c r="P709" t="n">
        <v>0</v>
      </c>
      <c r="Q709" t="n">
        <v>0</v>
      </c>
      <c r="R709" s="2" t="inlineStr"/>
    </row>
    <row r="710" ht="15" customHeight="1">
      <c r="A710" t="inlineStr">
        <is>
          <t>A 8135-2025</t>
        </is>
      </c>
      <c r="B710" s="1" t="n">
        <v>45707.84997685185</v>
      </c>
      <c r="C710" s="1" t="n">
        <v>45985</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31936-2022</t>
        </is>
      </c>
      <c r="B711" s="1" t="n">
        <v>44777</v>
      </c>
      <c r="C711" s="1" t="n">
        <v>45985</v>
      </c>
      <c r="D711" t="inlineStr">
        <is>
          <t>STOCKHOLMS LÄN</t>
        </is>
      </c>
      <c r="E711" t="inlineStr">
        <is>
          <t>NORRTÄLJE</t>
        </is>
      </c>
      <c r="G711" t="n">
        <v>5.2</v>
      </c>
      <c r="H711" t="n">
        <v>0</v>
      </c>
      <c r="I711" t="n">
        <v>0</v>
      </c>
      <c r="J711" t="n">
        <v>0</v>
      </c>
      <c r="K711" t="n">
        <v>0</v>
      </c>
      <c r="L711" t="n">
        <v>0</v>
      </c>
      <c r="M711" t="n">
        <v>0</v>
      </c>
      <c r="N711" t="n">
        <v>0</v>
      </c>
      <c r="O711" t="n">
        <v>0</v>
      </c>
      <c r="P711" t="n">
        <v>0</v>
      </c>
      <c r="Q711" t="n">
        <v>0</v>
      </c>
      <c r="R711" s="2" t="inlineStr"/>
    </row>
    <row r="712" ht="15" customHeight="1">
      <c r="A712" t="inlineStr">
        <is>
          <t>A 24887-2023</t>
        </is>
      </c>
      <c r="B712" s="1" t="n">
        <v>45085</v>
      </c>
      <c r="C712" s="1" t="n">
        <v>45985</v>
      </c>
      <c r="D712" t="inlineStr">
        <is>
          <t>STOCKHOLMS LÄN</t>
        </is>
      </c>
      <c r="E712" t="inlineStr">
        <is>
          <t>NORRTÄLJE</t>
        </is>
      </c>
      <c r="G712" t="n">
        <v>13.9</v>
      </c>
      <c r="H712" t="n">
        <v>0</v>
      </c>
      <c r="I712" t="n">
        <v>0</v>
      </c>
      <c r="J712" t="n">
        <v>0</v>
      </c>
      <c r="K712" t="n">
        <v>0</v>
      </c>
      <c r="L712" t="n">
        <v>0</v>
      </c>
      <c r="M712" t="n">
        <v>0</v>
      </c>
      <c r="N712" t="n">
        <v>0</v>
      </c>
      <c r="O712" t="n">
        <v>0</v>
      </c>
      <c r="P712" t="n">
        <v>0</v>
      </c>
      <c r="Q712" t="n">
        <v>0</v>
      </c>
      <c r="R712" s="2" t="inlineStr"/>
    </row>
    <row r="713" ht="15" customHeight="1">
      <c r="A713" t="inlineStr">
        <is>
          <t>A 56428-2023</t>
        </is>
      </c>
      <c r="B713" s="1" t="n">
        <v>45243.45289351852</v>
      </c>
      <c r="C713" s="1" t="n">
        <v>45985</v>
      </c>
      <c r="D713" t="inlineStr">
        <is>
          <t>STOCKHOLMS LÄN</t>
        </is>
      </c>
      <c r="E713" t="inlineStr">
        <is>
          <t>NORRTÄLJE</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48174-2025</t>
        </is>
      </c>
      <c r="B714" s="1" t="n">
        <v>45933.44230324074</v>
      </c>
      <c r="C714" s="1" t="n">
        <v>45985</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38593-2025</t>
        </is>
      </c>
      <c r="B715" s="1" t="n">
        <v>45884.48696759259</v>
      </c>
      <c r="C715" s="1" t="n">
        <v>45985</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30338-2022</t>
        </is>
      </c>
      <c r="B716" s="1" t="n">
        <v>44760</v>
      </c>
      <c r="C716" s="1" t="n">
        <v>45985</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48593-2025</t>
        </is>
      </c>
      <c r="B717" s="1" t="n">
        <v>45936.4627662037</v>
      </c>
      <c r="C717" s="1" t="n">
        <v>45985</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18541-2023</t>
        </is>
      </c>
      <c r="B718" s="1" t="n">
        <v>45042.74291666667</v>
      </c>
      <c r="C718" s="1" t="n">
        <v>45985</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32857-2021</t>
        </is>
      </c>
      <c r="B719" s="1" t="n">
        <v>44375</v>
      </c>
      <c r="C719" s="1" t="n">
        <v>45985</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51325-2023</t>
        </is>
      </c>
      <c r="B720" s="1" t="n">
        <v>45219</v>
      </c>
      <c r="C720" s="1" t="n">
        <v>45985</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21729-2024</t>
        </is>
      </c>
      <c r="B721" s="1" t="n">
        <v>45442</v>
      </c>
      <c r="C721" s="1" t="n">
        <v>45985</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21894-2023</t>
        </is>
      </c>
      <c r="B722" s="1" t="n">
        <v>45068.51783564815</v>
      </c>
      <c r="C722" s="1" t="n">
        <v>45985</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67921-2021</t>
        </is>
      </c>
      <c r="B723" s="1" t="n">
        <v>44525</v>
      </c>
      <c r="C723" s="1" t="n">
        <v>45985</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49129-2025</t>
        </is>
      </c>
      <c r="B724" s="1" t="n">
        <v>45937.89517361111</v>
      </c>
      <c r="C724" s="1" t="n">
        <v>45985</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48780-2025</t>
        </is>
      </c>
      <c r="B725" s="1" t="n">
        <v>45937.30377314815</v>
      </c>
      <c r="C725" s="1" t="n">
        <v>45985</v>
      </c>
      <c r="D725" t="inlineStr">
        <is>
          <t>STOCKHOLMS LÄN</t>
        </is>
      </c>
      <c r="E725" t="inlineStr">
        <is>
          <t>NORRTÄLJE</t>
        </is>
      </c>
      <c r="G725" t="n">
        <v>7.7</v>
      </c>
      <c r="H725" t="n">
        <v>0</v>
      </c>
      <c r="I725" t="n">
        <v>0</v>
      </c>
      <c r="J725" t="n">
        <v>0</v>
      </c>
      <c r="K725" t="n">
        <v>0</v>
      </c>
      <c r="L725" t="n">
        <v>0</v>
      </c>
      <c r="M725" t="n">
        <v>0</v>
      </c>
      <c r="N725" t="n">
        <v>0</v>
      </c>
      <c r="O725" t="n">
        <v>0</v>
      </c>
      <c r="P725" t="n">
        <v>0</v>
      </c>
      <c r="Q725" t="n">
        <v>0</v>
      </c>
      <c r="R725" s="2" t="inlineStr"/>
    </row>
    <row r="726" ht="15" customHeight="1">
      <c r="A726" t="inlineStr">
        <is>
          <t>A 21732-2023</t>
        </is>
      </c>
      <c r="B726" s="1" t="n">
        <v>45063</v>
      </c>
      <c r="C726" s="1" t="n">
        <v>45985</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33279-2025</t>
        </is>
      </c>
      <c r="B727" s="1" t="n">
        <v>45840</v>
      </c>
      <c r="C727" s="1" t="n">
        <v>45985</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7806-2025</t>
        </is>
      </c>
      <c r="B728" s="1" t="n">
        <v>45706.61178240741</v>
      </c>
      <c r="C728" s="1" t="n">
        <v>45985</v>
      </c>
      <c r="D728" t="inlineStr">
        <is>
          <t>STOCKHOLMS LÄN</t>
        </is>
      </c>
      <c r="E728" t="inlineStr">
        <is>
          <t>NORRTÄLJE</t>
        </is>
      </c>
      <c r="F728" t="inlineStr">
        <is>
          <t>Holmen skog AB</t>
        </is>
      </c>
      <c r="G728" t="n">
        <v>3.5</v>
      </c>
      <c r="H728" t="n">
        <v>0</v>
      </c>
      <c r="I728" t="n">
        <v>0</v>
      </c>
      <c r="J728" t="n">
        <v>0</v>
      </c>
      <c r="K728" t="n">
        <v>0</v>
      </c>
      <c r="L728" t="n">
        <v>0</v>
      </c>
      <c r="M728" t="n">
        <v>0</v>
      </c>
      <c r="N728" t="n">
        <v>0</v>
      </c>
      <c r="O728" t="n">
        <v>0</v>
      </c>
      <c r="P728" t="n">
        <v>0</v>
      </c>
      <c r="Q728" t="n">
        <v>0</v>
      </c>
      <c r="R728" s="2" t="inlineStr"/>
    </row>
    <row r="729" ht="15" customHeight="1">
      <c r="A729" t="inlineStr">
        <is>
          <t>A 37444-2021</t>
        </is>
      </c>
      <c r="B729" s="1" t="n">
        <v>44398</v>
      </c>
      <c r="C729" s="1" t="n">
        <v>45985</v>
      </c>
      <c r="D729" t="inlineStr">
        <is>
          <t>STOCKHOLMS LÄN</t>
        </is>
      </c>
      <c r="E729" t="inlineStr">
        <is>
          <t>NORRTÄLJE</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45173-2023</t>
        </is>
      </c>
      <c r="B730" s="1" t="n">
        <v>45191</v>
      </c>
      <c r="C730" s="1" t="n">
        <v>45985</v>
      </c>
      <c r="D730" t="inlineStr">
        <is>
          <t>STOCKHOLMS LÄN</t>
        </is>
      </c>
      <c r="E730" t="inlineStr">
        <is>
          <t>NORRTÄLJE</t>
        </is>
      </c>
      <c r="F730" t="inlineStr">
        <is>
          <t>Sveaskog</t>
        </is>
      </c>
      <c r="G730" t="n">
        <v>3.6</v>
      </c>
      <c r="H730" t="n">
        <v>0</v>
      </c>
      <c r="I730" t="n">
        <v>0</v>
      </c>
      <c r="J730" t="n">
        <v>0</v>
      </c>
      <c r="K730" t="n">
        <v>0</v>
      </c>
      <c r="L730" t="n">
        <v>0</v>
      </c>
      <c r="M730" t="n">
        <v>0</v>
      </c>
      <c r="N730" t="n">
        <v>0</v>
      </c>
      <c r="O730" t="n">
        <v>0</v>
      </c>
      <c r="P730" t="n">
        <v>0</v>
      </c>
      <c r="Q730" t="n">
        <v>0</v>
      </c>
      <c r="R730" s="2" t="inlineStr"/>
    </row>
    <row r="731" ht="15" customHeight="1">
      <c r="A731" t="inlineStr">
        <is>
          <t>A 64137-2021</t>
        </is>
      </c>
      <c r="B731" s="1" t="n">
        <v>44510.51422453704</v>
      </c>
      <c r="C731" s="1" t="n">
        <v>45985</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38720-2022</t>
        </is>
      </c>
      <c r="B732" s="1" t="n">
        <v>44815.74539351852</v>
      </c>
      <c r="C732" s="1" t="n">
        <v>45985</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34432-2021</t>
        </is>
      </c>
      <c r="B733" s="1" t="n">
        <v>44380.77346064815</v>
      </c>
      <c r="C733" s="1" t="n">
        <v>45985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19911-2025</t>
        </is>
      </c>
      <c r="B734" s="1" t="n">
        <v>45771</v>
      </c>
      <c r="C734" s="1" t="n">
        <v>45985</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57788-2025</t>
        </is>
      </c>
      <c r="B735" s="1" t="n">
        <v>45981.5778125</v>
      </c>
      <c r="C735" s="1" t="n">
        <v>45985</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49836-2025</t>
        </is>
      </c>
      <c r="B736" s="1" t="n">
        <v>45940.46862268518</v>
      </c>
      <c r="C736" s="1" t="n">
        <v>45985</v>
      </c>
      <c r="D736" t="inlineStr">
        <is>
          <t>STOCKHOLMS LÄN</t>
        </is>
      </c>
      <c r="E736" t="inlineStr">
        <is>
          <t>NORRTÄLJE</t>
        </is>
      </c>
      <c r="G736" t="n">
        <v>3.5</v>
      </c>
      <c r="H736" t="n">
        <v>0</v>
      </c>
      <c r="I736" t="n">
        <v>0</v>
      </c>
      <c r="J736" t="n">
        <v>0</v>
      </c>
      <c r="K736" t="n">
        <v>0</v>
      </c>
      <c r="L736" t="n">
        <v>0</v>
      </c>
      <c r="M736" t="n">
        <v>0</v>
      </c>
      <c r="N736" t="n">
        <v>0</v>
      </c>
      <c r="O736" t="n">
        <v>0</v>
      </c>
      <c r="P736" t="n">
        <v>0</v>
      </c>
      <c r="Q736" t="n">
        <v>0</v>
      </c>
      <c r="R736" s="2" t="inlineStr"/>
    </row>
    <row r="737" ht="15" customHeight="1">
      <c r="A737" t="inlineStr">
        <is>
          <t>A 14130-2025</t>
        </is>
      </c>
      <c r="B737" s="1" t="n">
        <v>45740.47288194444</v>
      </c>
      <c r="C737" s="1" t="n">
        <v>45985</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12532-2025</t>
        </is>
      </c>
      <c r="B738" s="1" t="n">
        <v>45730.69143518519</v>
      </c>
      <c r="C738" s="1" t="n">
        <v>45985</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55503-2025</t>
        </is>
      </c>
      <c r="B739" s="1" t="n">
        <v>45971</v>
      </c>
      <c r="C739" s="1" t="n">
        <v>45985</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58142-2025</t>
        </is>
      </c>
      <c r="B740" s="1" t="n">
        <v>45982.63791666667</v>
      </c>
      <c r="C740" s="1" t="n">
        <v>45985</v>
      </c>
      <c r="D740" t="inlineStr">
        <is>
          <t>STOCKHOLMS LÄN</t>
        </is>
      </c>
      <c r="E740" t="inlineStr">
        <is>
          <t>NORRTÄLJE</t>
        </is>
      </c>
      <c r="G740" t="n">
        <v>3.3</v>
      </c>
      <c r="H740" t="n">
        <v>0</v>
      </c>
      <c r="I740" t="n">
        <v>0</v>
      </c>
      <c r="J740" t="n">
        <v>0</v>
      </c>
      <c r="K740" t="n">
        <v>0</v>
      </c>
      <c r="L740" t="n">
        <v>0</v>
      </c>
      <c r="M740" t="n">
        <v>0</v>
      </c>
      <c r="N740" t="n">
        <v>0</v>
      </c>
      <c r="O740" t="n">
        <v>0</v>
      </c>
      <c r="P740" t="n">
        <v>0</v>
      </c>
      <c r="Q740" t="n">
        <v>0</v>
      </c>
      <c r="R740" s="2" t="inlineStr"/>
    </row>
    <row r="741" ht="15" customHeight="1">
      <c r="A741" t="inlineStr">
        <is>
          <t>A 57953-2025</t>
        </is>
      </c>
      <c r="B741" s="1" t="n">
        <v>45982.35016203704</v>
      </c>
      <c r="C741" s="1" t="n">
        <v>45985</v>
      </c>
      <c r="D741" t="inlineStr">
        <is>
          <t>STOCKHOLMS LÄN</t>
        </is>
      </c>
      <c r="E741" t="inlineStr">
        <is>
          <t>NORRTÄLJE</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40175-2024</t>
        </is>
      </c>
      <c r="B742" s="1" t="n">
        <v>45554.55707175926</v>
      </c>
      <c r="C742" s="1" t="n">
        <v>45985</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16229-2022</t>
        </is>
      </c>
      <c r="B743" s="1" t="n">
        <v>44670.4190162037</v>
      </c>
      <c r="C743" s="1" t="n">
        <v>45985</v>
      </c>
      <c r="D743" t="inlineStr">
        <is>
          <t>STOCKHOLMS LÄN</t>
        </is>
      </c>
      <c r="E743" t="inlineStr">
        <is>
          <t>NORRTÄLJE</t>
        </is>
      </c>
      <c r="G743" t="n">
        <v>7.4</v>
      </c>
      <c r="H743" t="n">
        <v>0</v>
      </c>
      <c r="I743" t="n">
        <v>0</v>
      </c>
      <c r="J743" t="n">
        <v>0</v>
      </c>
      <c r="K743" t="n">
        <v>0</v>
      </c>
      <c r="L743" t="n">
        <v>0</v>
      </c>
      <c r="M743" t="n">
        <v>0</v>
      </c>
      <c r="N743" t="n">
        <v>0</v>
      </c>
      <c r="O743" t="n">
        <v>0</v>
      </c>
      <c r="P743" t="n">
        <v>0</v>
      </c>
      <c r="Q743" t="n">
        <v>0</v>
      </c>
      <c r="R743" s="2" t="inlineStr"/>
    </row>
    <row r="744" ht="15" customHeight="1">
      <c r="A744" t="inlineStr">
        <is>
          <t>A 46914-2022</t>
        </is>
      </c>
      <c r="B744" s="1" t="n">
        <v>44851</v>
      </c>
      <c r="C744" s="1" t="n">
        <v>45985</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20244-2025</t>
        </is>
      </c>
      <c r="B745" s="1" t="n">
        <v>45772.71221064815</v>
      </c>
      <c r="C745" s="1" t="n">
        <v>45985</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50143-2023</t>
        </is>
      </c>
      <c r="B746" s="1" t="n">
        <v>45215</v>
      </c>
      <c r="C746" s="1" t="n">
        <v>45985</v>
      </c>
      <c r="D746" t="inlineStr">
        <is>
          <t>STOCKHOLMS LÄN</t>
        </is>
      </c>
      <c r="E746" t="inlineStr">
        <is>
          <t>NORRTÄLJE</t>
        </is>
      </c>
      <c r="G746" t="n">
        <v>10.3</v>
      </c>
      <c r="H746" t="n">
        <v>0</v>
      </c>
      <c r="I746" t="n">
        <v>0</v>
      </c>
      <c r="J746" t="n">
        <v>0</v>
      </c>
      <c r="K746" t="n">
        <v>0</v>
      </c>
      <c r="L746" t="n">
        <v>0</v>
      </c>
      <c r="M746" t="n">
        <v>0</v>
      </c>
      <c r="N746" t="n">
        <v>0</v>
      </c>
      <c r="O746" t="n">
        <v>0</v>
      </c>
      <c r="P746" t="n">
        <v>0</v>
      </c>
      <c r="Q746" t="n">
        <v>0</v>
      </c>
      <c r="R746" s="2" t="inlineStr"/>
    </row>
    <row r="747" ht="15" customHeight="1">
      <c r="A747" t="inlineStr">
        <is>
          <t>A 20015-2023</t>
        </is>
      </c>
      <c r="B747" s="1" t="n">
        <v>45054</v>
      </c>
      <c r="C747" s="1" t="n">
        <v>45985</v>
      </c>
      <c r="D747" t="inlineStr">
        <is>
          <t>STOCKHOLMS LÄN</t>
        </is>
      </c>
      <c r="E747" t="inlineStr">
        <is>
          <t>NORRTÄLJE</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5027-2025</t>
        </is>
      </c>
      <c r="B748" s="1" t="n">
        <v>45691.41101851852</v>
      </c>
      <c r="C748" s="1" t="n">
        <v>45985</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8315-2025</t>
        </is>
      </c>
      <c r="B749" s="1" t="n">
        <v>45708.61761574074</v>
      </c>
      <c r="C749" s="1" t="n">
        <v>45985</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12251-2025</t>
        </is>
      </c>
      <c r="B750" s="1" t="n">
        <v>45729.60859953704</v>
      </c>
      <c r="C750" s="1" t="n">
        <v>45985</v>
      </c>
      <c r="D750" t="inlineStr">
        <is>
          <t>STOCKHOLMS LÄN</t>
        </is>
      </c>
      <c r="E750" t="inlineStr">
        <is>
          <t>NORRTÄLJE</t>
        </is>
      </c>
      <c r="F750" t="inlineStr">
        <is>
          <t>Holmen skog AB</t>
        </is>
      </c>
      <c r="G750" t="n">
        <v>5.9</v>
      </c>
      <c r="H750" t="n">
        <v>0</v>
      </c>
      <c r="I750" t="n">
        <v>0</v>
      </c>
      <c r="J750" t="n">
        <v>0</v>
      </c>
      <c r="K750" t="n">
        <v>0</v>
      </c>
      <c r="L750" t="n">
        <v>0</v>
      </c>
      <c r="M750" t="n">
        <v>0</v>
      </c>
      <c r="N750" t="n">
        <v>0</v>
      </c>
      <c r="O750" t="n">
        <v>0</v>
      </c>
      <c r="P750" t="n">
        <v>0</v>
      </c>
      <c r="Q750" t="n">
        <v>0</v>
      </c>
      <c r="R750" s="2" t="inlineStr"/>
    </row>
    <row r="751" ht="15" customHeight="1">
      <c r="A751" t="inlineStr">
        <is>
          <t>A 54776-2023</t>
        </is>
      </c>
      <c r="B751" s="1" t="n">
        <v>45236.46369212963</v>
      </c>
      <c r="C751" s="1" t="n">
        <v>45985</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20144-2023</t>
        </is>
      </c>
      <c r="B752" s="1" t="n">
        <v>45055.43509259259</v>
      </c>
      <c r="C752" s="1" t="n">
        <v>45985</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13314-2025</t>
        </is>
      </c>
      <c r="B753" s="1" t="n">
        <v>45735.59287037037</v>
      </c>
      <c r="C753" s="1" t="n">
        <v>45985</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23056-2023</t>
        </is>
      </c>
      <c r="B754" s="1" t="n">
        <v>45075</v>
      </c>
      <c r="C754" s="1" t="n">
        <v>45985</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13172-2025</t>
        </is>
      </c>
      <c r="B755" s="1" t="n">
        <v>45735.36873842592</v>
      </c>
      <c r="C755" s="1" t="n">
        <v>45985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45985</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45985</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73307-2021</t>
        </is>
      </c>
      <c r="B758" s="1" t="n">
        <v>44549</v>
      </c>
      <c r="C758" s="1" t="n">
        <v>45985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21731-2023</t>
        </is>
      </c>
      <c r="B759" s="1" t="n">
        <v>45063</v>
      </c>
      <c r="C759" s="1" t="n">
        <v>45985</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21745-2023</t>
        </is>
      </c>
      <c r="B760" s="1" t="n">
        <v>45065.55917824074</v>
      </c>
      <c r="C760" s="1" t="n">
        <v>45985</v>
      </c>
      <c r="D760" t="inlineStr">
        <is>
          <t>STOCKHOLMS LÄN</t>
        </is>
      </c>
      <c r="E760" t="inlineStr">
        <is>
          <t>NORRTÄLJE</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30221-2024</t>
        </is>
      </c>
      <c r="B761" s="1" t="n">
        <v>45490.45342592592</v>
      </c>
      <c r="C761" s="1" t="n">
        <v>45985</v>
      </c>
      <c r="D761" t="inlineStr">
        <is>
          <t>STOCKHOLMS LÄN</t>
        </is>
      </c>
      <c r="E761" t="inlineStr">
        <is>
          <t>NORRTÄLJE</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26365-2024</t>
        </is>
      </c>
      <c r="B762" s="1" t="n">
        <v>45469</v>
      </c>
      <c r="C762" s="1" t="n">
        <v>45985</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45985</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48798-2021</t>
        </is>
      </c>
      <c r="B764" s="1" t="n">
        <v>44452</v>
      </c>
      <c r="C764" s="1" t="n">
        <v>45985</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30283-2022</t>
        </is>
      </c>
      <c r="B765" s="1" t="n">
        <v>44760</v>
      </c>
      <c r="C765" s="1" t="n">
        <v>45985</v>
      </c>
      <c r="D765" t="inlineStr">
        <is>
          <t>STOCKHOLMS LÄN</t>
        </is>
      </c>
      <c r="E765" t="inlineStr">
        <is>
          <t>NORRTÄLJE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30290-2022</t>
        </is>
      </c>
      <c r="B766" s="1" t="n">
        <v>44760</v>
      </c>
      <c r="C766" s="1" t="n">
        <v>45985</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38985-2022</t>
        </is>
      </c>
      <c r="B767" s="1" t="n">
        <v>44816</v>
      </c>
      <c r="C767" s="1" t="n">
        <v>45985</v>
      </c>
      <c r="D767" t="inlineStr">
        <is>
          <t>STOCKHOLMS LÄN</t>
        </is>
      </c>
      <c r="E767" t="inlineStr">
        <is>
          <t>NORRTÄLJE</t>
        </is>
      </c>
      <c r="G767" t="n">
        <v>10.1</v>
      </c>
      <c r="H767" t="n">
        <v>0</v>
      </c>
      <c r="I767" t="n">
        <v>0</v>
      </c>
      <c r="J767" t="n">
        <v>0</v>
      </c>
      <c r="K767" t="n">
        <v>0</v>
      </c>
      <c r="L767" t="n">
        <v>0</v>
      </c>
      <c r="M767" t="n">
        <v>0</v>
      </c>
      <c r="N767" t="n">
        <v>0</v>
      </c>
      <c r="O767" t="n">
        <v>0</v>
      </c>
      <c r="P767" t="n">
        <v>0</v>
      </c>
      <c r="Q767" t="n">
        <v>0</v>
      </c>
      <c r="R767" s="2" t="inlineStr"/>
    </row>
    <row r="768" ht="15" customHeight="1">
      <c r="A768" t="inlineStr">
        <is>
          <t>A 25625-2023</t>
        </is>
      </c>
      <c r="B768" s="1" t="n">
        <v>45089</v>
      </c>
      <c r="C768" s="1" t="n">
        <v>45985</v>
      </c>
      <c r="D768" t="inlineStr">
        <is>
          <t>STOCKHOLMS LÄN</t>
        </is>
      </c>
      <c r="E768" t="inlineStr">
        <is>
          <t>NORRTÄLJE</t>
        </is>
      </c>
      <c r="G768" t="n">
        <v>5.5</v>
      </c>
      <c r="H768" t="n">
        <v>0</v>
      </c>
      <c r="I768" t="n">
        <v>0</v>
      </c>
      <c r="J768" t="n">
        <v>0</v>
      </c>
      <c r="K768" t="n">
        <v>0</v>
      </c>
      <c r="L768" t="n">
        <v>0</v>
      </c>
      <c r="M768" t="n">
        <v>0</v>
      </c>
      <c r="N768" t="n">
        <v>0</v>
      </c>
      <c r="O768" t="n">
        <v>0</v>
      </c>
      <c r="P768" t="n">
        <v>0</v>
      </c>
      <c r="Q768" t="n">
        <v>0</v>
      </c>
      <c r="R768" s="2" t="inlineStr"/>
    </row>
    <row r="769" ht="15" customHeight="1">
      <c r="A769" t="inlineStr">
        <is>
          <t>A 14132-2025</t>
        </is>
      </c>
      <c r="B769" s="1" t="n">
        <v>45740.47550925926</v>
      </c>
      <c r="C769" s="1" t="n">
        <v>45985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14133-2025</t>
        </is>
      </c>
      <c r="B770" s="1" t="n">
        <v>45740.47724537037</v>
      </c>
      <c r="C770" s="1" t="n">
        <v>45985</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7186-2024</t>
        </is>
      </c>
      <c r="B771" s="1" t="n">
        <v>45344</v>
      </c>
      <c r="C771" s="1" t="n">
        <v>45985</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39202-2024</t>
        </is>
      </c>
      <c r="B772" s="1" t="n">
        <v>45548.72306712963</v>
      </c>
      <c r="C772" s="1" t="n">
        <v>45985</v>
      </c>
      <c r="D772" t="inlineStr">
        <is>
          <t>STOCKHOLMS LÄN</t>
        </is>
      </c>
      <c r="E772" t="inlineStr">
        <is>
          <t>NORRTÄLJE</t>
        </is>
      </c>
      <c r="G772" t="n">
        <v>1.9</v>
      </c>
      <c r="H772" t="n">
        <v>0</v>
      </c>
      <c r="I772" t="n">
        <v>0</v>
      </c>
      <c r="J772" t="n">
        <v>0</v>
      </c>
      <c r="K772" t="n">
        <v>0</v>
      </c>
      <c r="L772" t="n">
        <v>0</v>
      </c>
      <c r="M772" t="n">
        <v>0</v>
      </c>
      <c r="N772" t="n">
        <v>0</v>
      </c>
      <c r="O772" t="n">
        <v>0</v>
      </c>
      <c r="P772" t="n">
        <v>0</v>
      </c>
      <c r="Q772" t="n">
        <v>0</v>
      </c>
      <c r="R772" s="2" t="inlineStr"/>
    </row>
    <row r="773" ht="15" customHeight="1">
      <c r="A773" t="inlineStr">
        <is>
          <t>A 53792-2023</t>
        </is>
      </c>
      <c r="B773" s="1" t="n">
        <v>45231.34144675926</v>
      </c>
      <c r="C773" s="1" t="n">
        <v>45985</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28816-2023</t>
        </is>
      </c>
      <c r="B774" s="1" t="n">
        <v>45104</v>
      </c>
      <c r="C774" s="1" t="n">
        <v>45985</v>
      </c>
      <c r="D774" t="inlineStr">
        <is>
          <t>STOCKHOLMS LÄN</t>
        </is>
      </c>
      <c r="E774" t="inlineStr">
        <is>
          <t>NORRTÄLJE</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11280-2023</t>
        </is>
      </c>
      <c r="B775" s="1" t="n">
        <v>44992</v>
      </c>
      <c r="C775" s="1" t="n">
        <v>45985</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57442-2021</t>
        </is>
      </c>
      <c r="B776" s="1" t="n">
        <v>44483</v>
      </c>
      <c r="C776" s="1" t="n">
        <v>45985</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19952-2023</t>
        </is>
      </c>
      <c r="B777" s="1" t="n">
        <v>45054.54091435186</v>
      </c>
      <c r="C777" s="1" t="n">
        <v>45985</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19994-2023</t>
        </is>
      </c>
      <c r="B778" s="1" t="n">
        <v>45054</v>
      </c>
      <c r="C778" s="1" t="n">
        <v>45985</v>
      </c>
      <c r="D778" t="inlineStr">
        <is>
          <t>STOCKHOLMS LÄN</t>
        </is>
      </c>
      <c r="E778" t="inlineStr">
        <is>
          <t>NORRTÄLJE</t>
        </is>
      </c>
      <c r="G778" t="n">
        <v>4.3</v>
      </c>
      <c r="H778" t="n">
        <v>0</v>
      </c>
      <c r="I778" t="n">
        <v>0</v>
      </c>
      <c r="J778" t="n">
        <v>0</v>
      </c>
      <c r="K778" t="n">
        <v>0</v>
      </c>
      <c r="L778" t="n">
        <v>0</v>
      </c>
      <c r="M778" t="n">
        <v>0</v>
      </c>
      <c r="N778" t="n">
        <v>0</v>
      </c>
      <c r="O778" t="n">
        <v>0</v>
      </c>
      <c r="P778" t="n">
        <v>0</v>
      </c>
      <c r="Q778" t="n">
        <v>0</v>
      </c>
      <c r="R778" s="2" t="inlineStr"/>
    </row>
    <row r="779" ht="15" customHeight="1">
      <c r="A779" t="inlineStr">
        <is>
          <t>A 29003-2023</t>
        </is>
      </c>
      <c r="B779" s="1" t="n">
        <v>45104</v>
      </c>
      <c r="C779" s="1" t="n">
        <v>45985</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45985</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5950-2021</t>
        </is>
      </c>
      <c r="B781" s="1" t="n">
        <v>44231</v>
      </c>
      <c r="C781" s="1" t="n">
        <v>45985</v>
      </c>
      <c r="D781" t="inlineStr">
        <is>
          <t>STOCKHOLMS LÄN</t>
        </is>
      </c>
      <c r="E781" t="inlineStr">
        <is>
          <t>NORRTÄLJE</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45985</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3383-2023</t>
        </is>
      </c>
      <c r="B783" s="1" t="n">
        <v>44949</v>
      </c>
      <c r="C783" s="1" t="n">
        <v>45985</v>
      </c>
      <c r="D783" t="inlineStr">
        <is>
          <t>STOCKHOLMS LÄN</t>
        </is>
      </c>
      <c r="E783" t="inlineStr">
        <is>
          <t>NORRTÄLJE</t>
        </is>
      </c>
      <c r="G783" t="n">
        <v>14.6</v>
      </c>
      <c r="H783" t="n">
        <v>0</v>
      </c>
      <c r="I783" t="n">
        <v>0</v>
      </c>
      <c r="J783" t="n">
        <v>0</v>
      </c>
      <c r="K783" t="n">
        <v>0</v>
      </c>
      <c r="L783" t="n">
        <v>0</v>
      </c>
      <c r="M783" t="n">
        <v>0</v>
      </c>
      <c r="N783" t="n">
        <v>0</v>
      </c>
      <c r="O783" t="n">
        <v>0</v>
      </c>
      <c r="P783" t="n">
        <v>0</v>
      </c>
      <c r="Q783" t="n">
        <v>0</v>
      </c>
      <c r="R783" s="2" t="inlineStr"/>
    </row>
    <row r="784" ht="15" customHeight="1">
      <c r="A784" t="inlineStr">
        <is>
          <t>A 4316-2023</t>
        </is>
      </c>
      <c r="B784" s="1" t="n">
        <v>44953.67443287037</v>
      </c>
      <c r="C784" s="1" t="n">
        <v>45985</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5839-2023</t>
        </is>
      </c>
      <c r="B785" s="1" t="n">
        <v>44963</v>
      </c>
      <c r="C785" s="1" t="n">
        <v>45985</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5804-2025</t>
        </is>
      </c>
      <c r="B786" s="1" t="n">
        <v>45694.68207175926</v>
      </c>
      <c r="C786" s="1" t="n">
        <v>45985</v>
      </c>
      <c r="D786" t="inlineStr">
        <is>
          <t>STOCKHOLMS LÄN</t>
        </is>
      </c>
      <c r="E786" t="inlineStr">
        <is>
          <t>NORRTÄLJE</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24705-2023</t>
        </is>
      </c>
      <c r="B787" s="1" t="n">
        <v>45084.54459490741</v>
      </c>
      <c r="C787" s="1" t="n">
        <v>45985</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54358-2022</t>
        </is>
      </c>
      <c r="B788" s="1" t="n">
        <v>44882</v>
      </c>
      <c r="C788" s="1" t="n">
        <v>45985</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23749-2024</t>
        </is>
      </c>
      <c r="B789" s="1" t="n">
        <v>45455.33037037037</v>
      </c>
      <c r="C789" s="1" t="n">
        <v>45985</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35698-2023</t>
        </is>
      </c>
      <c r="B790" s="1" t="n">
        <v>45147</v>
      </c>
      <c r="C790" s="1" t="n">
        <v>45985</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73992-2021</t>
        </is>
      </c>
      <c r="B791" s="1" t="n">
        <v>44556</v>
      </c>
      <c r="C791" s="1" t="n">
        <v>45985</v>
      </c>
      <c r="D791" t="inlineStr">
        <is>
          <t>STOCKHOLMS LÄN</t>
        </is>
      </c>
      <c r="E791" t="inlineStr">
        <is>
          <t>NORRTÄLJE</t>
        </is>
      </c>
      <c r="G791" t="n">
        <v>12.5</v>
      </c>
      <c r="H791" t="n">
        <v>0</v>
      </c>
      <c r="I791" t="n">
        <v>0</v>
      </c>
      <c r="J791" t="n">
        <v>0</v>
      </c>
      <c r="K791" t="n">
        <v>0</v>
      </c>
      <c r="L791" t="n">
        <v>0</v>
      </c>
      <c r="M791" t="n">
        <v>0</v>
      </c>
      <c r="N791" t="n">
        <v>0</v>
      </c>
      <c r="O791" t="n">
        <v>0</v>
      </c>
      <c r="P791" t="n">
        <v>0</v>
      </c>
      <c r="Q791" t="n">
        <v>0</v>
      </c>
      <c r="R791" s="2" t="inlineStr"/>
    </row>
    <row r="792" ht="15" customHeight="1">
      <c r="A792" t="inlineStr">
        <is>
          <t>A 21329-2022</t>
        </is>
      </c>
      <c r="B792" s="1" t="n">
        <v>44705.60626157407</v>
      </c>
      <c r="C792" s="1" t="n">
        <v>45985</v>
      </c>
      <c r="D792" t="inlineStr">
        <is>
          <t>STOCKHOLMS LÄN</t>
        </is>
      </c>
      <c r="E792" t="inlineStr">
        <is>
          <t>NORRTÄLJE</t>
        </is>
      </c>
      <c r="G792" t="n">
        <v>4.1</v>
      </c>
      <c r="H792" t="n">
        <v>0</v>
      </c>
      <c r="I792" t="n">
        <v>0</v>
      </c>
      <c r="J792" t="n">
        <v>0</v>
      </c>
      <c r="K792" t="n">
        <v>0</v>
      </c>
      <c r="L792" t="n">
        <v>0</v>
      </c>
      <c r="M792" t="n">
        <v>0</v>
      </c>
      <c r="N792" t="n">
        <v>0</v>
      </c>
      <c r="O792" t="n">
        <v>0</v>
      </c>
      <c r="P792" t="n">
        <v>0</v>
      </c>
      <c r="Q792" t="n">
        <v>0</v>
      </c>
      <c r="R792" s="2" t="inlineStr"/>
    </row>
    <row r="793" ht="15" customHeight="1">
      <c r="A793" t="inlineStr">
        <is>
          <t>A 54276-2021</t>
        </is>
      </c>
      <c r="B793" s="1" t="n">
        <v>44470</v>
      </c>
      <c r="C793" s="1" t="n">
        <v>45985</v>
      </c>
      <c r="D793" t="inlineStr">
        <is>
          <t>STOCKHOLMS LÄN</t>
        </is>
      </c>
      <c r="E793" t="inlineStr">
        <is>
          <t>NORRTÄLJE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10090-2022</t>
        </is>
      </c>
      <c r="B794" s="1" t="n">
        <v>44621</v>
      </c>
      <c r="C794" s="1" t="n">
        <v>45985</v>
      </c>
      <c r="D794" t="inlineStr">
        <is>
          <t>STOCKHOLMS LÄN</t>
        </is>
      </c>
      <c r="E794" t="inlineStr">
        <is>
          <t>NORRTÄLJE</t>
        </is>
      </c>
      <c r="G794" t="n">
        <v>5.2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45985</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51116-2022</t>
        </is>
      </c>
      <c r="B796" s="1" t="n">
        <v>44868.45741898148</v>
      </c>
      <c r="C796" s="1" t="n">
        <v>45985</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29972-2024</t>
        </is>
      </c>
      <c r="B797" s="1" t="n">
        <v>45485</v>
      </c>
      <c r="C797" s="1" t="n">
        <v>45985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28809-2023</t>
        </is>
      </c>
      <c r="B798" s="1" t="n">
        <v>45104</v>
      </c>
      <c r="C798" s="1" t="n">
        <v>45985</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28813-2023</t>
        </is>
      </c>
      <c r="B799" s="1" t="n">
        <v>45104</v>
      </c>
      <c r="C799" s="1" t="n">
        <v>45985</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19131-2025</t>
        </is>
      </c>
      <c r="B800" s="1" t="n">
        <v>45769</v>
      </c>
      <c r="C800" s="1" t="n">
        <v>45985</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11929-2024</t>
        </is>
      </c>
      <c r="B801" s="1" t="n">
        <v>45376.64532407407</v>
      </c>
      <c r="C801" s="1" t="n">
        <v>45985</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64145-2021</t>
        </is>
      </c>
      <c r="B802" s="1" t="n">
        <v>44510</v>
      </c>
      <c r="C802" s="1" t="n">
        <v>45985</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45451-2024</t>
        </is>
      </c>
      <c r="B803" s="1" t="n">
        <v>45576</v>
      </c>
      <c r="C803" s="1" t="n">
        <v>45985</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17843-2024</t>
        </is>
      </c>
      <c r="B804" s="1" t="n">
        <v>45418</v>
      </c>
      <c r="C804" s="1" t="n">
        <v>45985</v>
      </c>
      <c r="D804" t="inlineStr">
        <is>
          <t>STOCKHOLMS LÄN</t>
        </is>
      </c>
      <c r="E804" t="inlineStr">
        <is>
          <t>NORRTÄLJE</t>
        </is>
      </c>
      <c r="G804" t="n">
        <v>5.4</v>
      </c>
      <c r="H804" t="n">
        <v>0</v>
      </c>
      <c r="I804" t="n">
        <v>0</v>
      </c>
      <c r="J804" t="n">
        <v>0</v>
      </c>
      <c r="K804" t="n">
        <v>0</v>
      </c>
      <c r="L804" t="n">
        <v>0</v>
      </c>
      <c r="M804" t="n">
        <v>0</v>
      </c>
      <c r="N804" t="n">
        <v>0</v>
      </c>
      <c r="O804" t="n">
        <v>0</v>
      </c>
      <c r="P804" t="n">
        <v>0</v>
      </c>
      <c r="Q804" t="n">
        <v>0</v>
      </c>
      <c r="R804" s="2" t="inlineStr"/>
    </row>
    <row r="805" ht="15" customHeight="1">
      <c r="A805" t="inlineStr">
        <is>
          <t>A 12890-2024</t>
        </is>
      </c>
      <c r="B805" s="1" t="n">
        <v>45385.36243055556</v>
      </c>
      <c r="C805" s="1" t="n">
        <v>45985</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36430-2024</t>
        </is>
      </c>
      <c r="B806" s="1" t="n">
        <v>45536</v>
      </c>
      <c r="C806" s="1" t="n">
        <v>45985</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41172-2023</t>
        </is>
      </c>
      <c r="B807" s="1" t="n">
        <v>45170</v>
      </c>
      <c r="C807" s="1" t="n">
        <v>45985</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67921-2021</t>
        </is>
      </c>
      <c r="B808" s="1" t="n">
        <v>44525</v>
      </c>
      <c r="C808" s="1" t="n">
        <v>45985</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72704-2021</t>
        </is>
      </c>
      <c r="B809" s="1" t="n">
        <v>44546</v>
      </c>
      <c r="C809" s="1" t="n">
        <v>45985</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65499-2021</t>
        </is>
      </c>
      <c r="B810" s="1" t="n">
        <v>44516</v>
      </c>
      <c r="C810" s="1" t="n">
        <v>45985</v>
      </c>
      <c r="D810" t="inlineStr">
        <is>
          <t>STOCKHOLMS LÄN</t>
        </is>
      </c>
      <c r="E810" t="inlineStr">
        <is>
          <t>NORRTÄLJE</t>
        </is>
      </c>
      <c r="F810" t="inlineStr">
        <is>
          <t>Kommuner</t>
        </is>
      </c>
      <c r="G810" t="n">
        <v>5.2</v>
      </c>
      <c r="H810" t="n">
        <v>0</v>
      </c>
      <c r="I810" t="n">
        <v>0</v>
      </c>
      <c r="J810" t="n">
        <v>0</v>
      </c>
      <c r="K810" t="n">
        <v>0</v>
      </c>
      <c r="L810" t="n">
        <v>0</v>
      </c>
      <c r="M810" t="n">
        <v>0</v>
      </c>
      <c r="N810" t="n">
        <v>0</v>
      </c>
      <c r="O810" t="n">
        <v>0</v>
      </c>
      <c r="P810" t="n">
        <v>0</v>
      </c>
      <c r="Q810" t="n">
        <v>0</v>
      </c>
      <c r="R810" s="2" t="inlineStr"/>
    </row>
    <row r="811" ht="15" customHeight="1">
      <c r="A811" t="inlineStr">
        <is>
          <t>A 65511-2021</t>
        </is>
      </c>
      <c r="B811" s="1" t="n">
        <v>44516.40674768519</v>
      </c>
      <c r="C811" s="1" t="n">
        <v>45985</v>
      </c>
      <c r="D811" t="inlineStr">
        <is>
          <t>STOCKHOLMS LÄN</t>
        </is>
      </c>
      <c r="E811" t="inlineStr">
        <is>
          <t>NORRTÄLJE</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26113-2024</t>
        </is>
      </c>
      <c r="B812" s="1" t="n">
        <v>45468.45541666666</v>
      </c>
      <c r="C812" s="1" t="n">
        <v>45985</v>
      </c>
      <c r="D812" t="inlineStr">
        <is>
          <t>STOCKHOLMS LÄN</t>
        </is>
      </c>
      <c r="E812" t="inlineStr">
        <is>
          <t>NORRTÄLJE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26116-2024</t>
        </is>
      </c>
      <c r="B813" s="1" t="n">
        <v>45468.45747685185</v>
      </c>
      <c r="C813" s="1" t="n">
        <v>45985</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52686-2024</t>
        </is>
      </c>
      <c r="B814" s="1" t="n">
        <v>45610.39271990741</v>
      </c>
      <c r="C814" s="1" t="n">
        <v>45985</v>
      </c>
      <c r="D814" t="inlineStr">
        <is>
          <t>STOCKHOLMS LÄN</t>
        </is>
      </c>
      <c r="E814" t="inlineStr">
        <is>
          <t>NORRTÄLJE</t>
        </is>
      </c>
      <c r="G814" t="n">
        <v>5.7</v>
      </c>
      <c r="H814" t="n">
        <v>0</v>
      </c>
      <c r="I814" t="n">
        <v>0</v>
      </c>
      <c r="J814" t="n">
        <v>0</v>
      </c>
      <c r="K814" t="n">
        <v>0</v>
      </c>
      <c r="L814" t="n">
        <v>0</v>
      </c>
      <c r="M814" t="n">
        <v>0</v>
      </c>
      <c r="N814" t="n">
        <v>0</v>
      </c>
      <c r="O814" t="n">
        <v>0</v>
      </c>
      <c r="P814" t="n">
        <v>0</v>
      </c>
      <c r="Q814" t="n">
        <v>0</v>
      </c>
      <c r="R814" s="2" t="inlineStr"/>
    </row>
    <row r="815" ht="15" customHeight="1">
      <c r="A815" t="inlineStr">
        <is>
          <t>A 31105-2022</t>
        </is>
      </c>
      <c r="B815" s="1" t="n">
        <v>44769.66039351852</v>
      </c>
      <c r="C815" s="1" t="n">
        <v>45985</v>
      </c>
      <c r="D815" t="inlineStr">
        <is>
          <t>STOCKHOLMS LÄN</t>
        </is>
      </c>
      <c r="E815" t="inlineStr">
        <is>
          <t>NORRTÄLJE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62644-2023</t>
        </is>
      </c>
      <c r="B816" s="1" t="n">
        <v>45271</v>
      </c>
      <c r="C816" s="1" t="n">
        <v>45985</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60185-2024</t>
        </is>
      </c>
      <c r="B817" s="1" t="n">
        <v>45642.64634259259</v>
      </c>
      <c r="C817" s="1" t="n">
        <v>45985</v>
      </c>
      <c r="D817" t="inlineStr">
        <is>
          <t>STOCKHOLMS LÄN</t>
        </is>
      </c>
      <c r="E817" t="inlineStr">
        <is>
          <t>NORRTÄLJE</t>
        </is>
      </c>
      <c r="G817" t="n">
        <v>0.3</v>
      </c>
      <c r="H817" t="n">
        <v>0</v>
      </c>
      <c r="I817" t="n">
        <v>0</v>
      </c>
      <c r="J817" t="n">
        <v>0</v>
      </c>
      <c r="K817" t="n">
        <v>0</v>
      </c>
      <c r="L817" t="n">
        <v>0</v>
      </c>
      <c r="M817" t="n">
        <v>0</v>
      </c>
      <c r="N817" t="n">
        <v>0</v>
      </c>
      <c r="O817" t="n">
        <v>0</v>
      </c>
      <c r="P817" t="n">
        <v>0</v>
      </c>
      <c r="Q817" t="n">
        <v>0</v>
      </c>
      <c r="R817" s="2" t="inlineStr"/>
    </row>
    <row r="818" ht="15" customHeight="1">
      <c r="A818" t="inlineStr">
        <is>
          <t>A 60765-2023</t>
        </is>
      </c>
      <c r="B818" s="1" t="n">
        <v>45260</v>
      </c>
      <c r="C818" s="1" t="n">
        <v>45985</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45985</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22832-2021</t>
        </is>
      </c>
      <c r="B820" s="1" t="n">
        <v>44325</v>
      </c>
      <c r="C820" s="1" t="n">
        <v>45985</v>
      </c>
      <c r="D820" t="inlineStr">
        <is>
          <t>STOCKHOLMS LÄN</t>
        </is>
      </c>
      <c r="E820" t="inlineStr">
        <is>
          <t>NORRTÄLJE</t>
        </is>
      </c>
      <c r="G820" t="n">
        <v>6.8</v>
      </c>
      <c r="H820" t="n">
        <v>0</v>
      </c>
      <c r="I820" t="n">
        <v>0</v>
      </c>
      <c r="J820" t="n">
        <v>0</v>
      </c>
      <c r="K820" t="n">
        <v>0</v>
      </c>
      <c r="L820" t="n">
        <v>0</v>
      </c>
      <c r="M820" t="n">
        <v>0</v>
      </c>
      <c r="N820" t="n">
        <v>0</v>
      </c>
      <c r="O820" t="n">
        <v>0</v>
      </c>
      <c r="P820" t="n">
        <v>0</v>
      </c>
      <c r="Q820" t="n">
        <v>0</v>
      </c>
      <c r="R820" s="2" t="inlineStr"/>
    </row>
    <row r="821" ht="15" customHeight="1">
      <c r="A821" t="inlineStr">
        <is>
          <t>A 51315-2021</t>
        </is>
      </c>
      <c r="B821" s="1" t="n">
        <v>44461</v>
      </c>
      <c r="C821" s="1" t="n">
        <v>45985</v>
      </c>
      <c r="D821" t="inlineStr">
        <is>
          <t>STOCKHOLMS LÄN</t>
        </is>
      </c>
      <c r="E821" t="inlineStr">
        <is>
          <t>NORRTÄLJE</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22008-2024</t>
        </is>
      </c>
      <c r="B822" s="1" t="n">
        <v>45443</v>
      </c>
      <c r="C822" s="1" t="n">
        <v>45985</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58277-2023</t>
        </is>
      </c>
      <c r="B823" s="1" t="n">
        <v>45245</v>
      </c>
      <c r="C823" s="1" t="n">
        <v>45985</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45985</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4322-2023</t>
        </is>
      </c>
      <c r="B825" s="1" t="n">
        <v>44953.69298611111</v>
      </c>
      <c r="C825" s="1" t="n">
        <v>45985</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35916-2024</t>
        </is>
      </c>
      <c r="B826" s="1" t="n">
        <v>45533</v>
      </c>
      <c r="C826" s="1" t="n">
        <v>45985</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38889-2024</t>
        </is>
      </c>
      <c r="B827" s="1" t="n">
        <v>45547</v>
      </c>
      <c r="C827" s="1" t="n">
        <v>45985</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3299-2022</t>
        </is>
      </c>
      <c r="B828" s="1" t="n">
        <v>44584.91001157407</v>
      </c>
      <c r="C828" s="1" t="n">
        <v>45985</v>
      </c>
      <c r="D828" t="inlineStr">
        <is>
          <t>STOCKHOLMS LÄN</t>
        </is>
      </c>
      <c r="E828" t="inlineStr">
        <is>
          <t>NORRTÄLJE</t>
        </is>
      </c>
      <c r="G828" t="n">
        <v>2.7</v>
      </c>
      <c r="H828" t="n">
        <v>0</v>
      </c>
      <c r="I828" t="n">
        <v>0</v>
      </c>
      <c r="J828" t="n">
        <v>0</v>
      </c>
      <c r="K828" t="n">
        <v>0</v>
      </c>
      <c r="L828" t="n">
        <v>0</v>
      </c>
      <c r="M828" t="n">
        <v>0</v>
      </c>
      <c r="N828" t="n">
        <v>0</v>
      </c>
      <c r="O828" t="n">
        <v>0</v>
      </c>
      <c r="P828" t="n">
        <v>0</v>
      </c>
      <c r="Q828" t="n">
        <v>0</v>
      </c>
      <c r="R828" s="2" t="inlineStr"/>
    </row>
    <row r="829" ht="15" customHeight="1">
      <c r="A829" t="inlineStr">
        <is>
          <t>A 42075-2023</t>
        </is>
      </c>
      <c r="B829" s="1" t="n">
        <v>45177</v>
      </c>
      <c r="C829" s="1" t="n">
        <v>45985</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45985</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50154-2024</t>
        </is>
      </c>
      <c r="B831" s="1" t="n">
        <v>45600.4558912037</v>
      </c>
      <c r="C831" s="1" t="n">
        <v>45985</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37273-2024</t>
        </is>
      </c>
      <c r="B832" s="1" t="n">
        <v>45540</v>
      </c>
      <c r="C832" s="1" t="n">
        <v>45985</v>
      </c>
      <c r="D832" t="inlineStr">
        <is>
          <t>STOCKHOLMS LÄN</t>
        </is>
      </c>
      <c r="E832" t="inlineStr">
        <is>
          <t>NORRTÄLJE</t>
        </is>
      </c>
      <c r="F832" t="inlineStr">
        <is>
          <t>Sveaskog</t>
        </is>
      </c>
      <c r="G832" t="n">
        <v>12.5</v>
      </c>
      <c r="H832" t="n">
        <v>0</v>
      </c>
      <c r="I832" t="n">
        <v>0</v>
      </c>
      <c r="J832" t="n">
        <v>0</v>
      </c>
      <c r="K832" t="n">
        <v>0</v>
      </c>
      <c r="L832" t="n">
        <v>0</v>
      </c>
      <c r="M832" t="n">
        <v>0</v>
      </c>
      <c r="N832" t="n">
        <v>0</v>
      </c>
      <c r="O832" t="n">
        <v>0</v>
      </c>
      <c r="P832" t="n">
        <v>0</v>
      </c>
      <c r="Q832" t="n">
        <v>0</v>
      </c>
      <c r="R832" s="2" t="inlineStr"/>
    </row>
    <row r="833" ht="15" customHeight="1">
      <c r="A833" t="inlineStr">
        <is>
          <t>A 34773-2022</t>
        </is>
      </c>
      <c r="B833" s="1" t="n">
        <v>44795</v>
      </c>
      <c r="C833" s="1" t="n">
        <v>45985</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23263-2023</t>
        </is>
      </c>
      <c r="B834" s="1" t="n">
        <v>45075</v>
      </c>
      <c r="C834" s="1" t="n">
        <v>45985</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23264-2023</t>
        </is>
      </c>
      <c r="B835" s="1" t="n">
        <v>45075</v>
      </c>
      <c r="C835" s="1" t="n">
        <v>45985</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23267-2023</t>
        </is>
      </c>
      <c r="B836" s="1" t="n">
        <v>45075.90934027778</v>
      </c>
      <c r="C836" s="1" t="n">
        <v>45985</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45985</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47758-2023</t>
        </is>
      </c>
      <c r="B838" s="1" t="n">
        <v>45203.83891203703</v>
      </c>
      <c r="C838" s="1" t="n">
        <v>45985</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48151-2024</t>
        </is>
      </c>
      <c r="B839" s="1" t="n">
        <v>45589.68289351852</v>
      </c>
      <c r="C839" s="1" t="n">
        <v>45985</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5831-2022</t>
        </is>
      </c>
      <c r="B840" s="1" t="n">
        <v>44596</v>
      </c>
      <c r="C840" s="1" t="n">
        <v>45985</v>
      </c>
      <c r="D840" t="inlineStr">
        <is>
          <t>STOCKHOLMS LÄN</t>
        </is>
      </c>
      <c r="E840" t="inlineStr">
        <is>
          <t>NORRTÄLJE</t>
        </is>
      </c>
      <c r="G840" t="n">
        <v>4.8</v>
      </c>
      <c r="H840" t="n">
        <v>0</v>
      </c>
      <c r="I840" t="n">
        <v>0</v>
      </c>
      <c r="J840" t="n">
        <v>0</v>
      </c>
      <c r="K840" t="n">
        <v>0</v>
      </c>
      <c r="L840" t="n">
        <v>0</v>
      </c>
      <c r="M840" t="n">
        <v>0</v>
      </c>
      <c r="N840" t="n">
        <v>0</v>
      </c>
      <c r="O840" t="n">
        <v>0</v>
      </c>
      <c r="P840" t="n">
        <v>0</v>
      </c>
      <c r="Q840" t="n">
        <v>0</v>
      </c>
      <c r="R840" s="2" t="inlineStr"/>
    </row>
    <row r="841" ht="15" customHeight="1">
      <c r="A841" t="inlineStr">
        <is>
          <t>A 58853-2024</t>
        </is>
      </c>
      <c r="B841" s="1" t="n">
        <v>45636.38974537037</v>
      </c>
      <c r="C841" s="1" t="n">
        <v>45985</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59712-2024</t>
        </is>
      </c>
      <c r="B842" s="1" t="n">
        <v>45639.45166666667</v>
      </c>
      <c r="C842" s="1" t="n">
        <v>45985</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59721-2024</t>
        </is>
      </c>
      <c r="B843" s="1" t="n">
        <v>45639.47385416667</v>
      </c>
      <c r="C843" s="1" t="n">
        <v>45985</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60884-2024</t>
        </is>
      </c>
      <c r="B844" s="1" t="n">
        <v>45644.90815972222</v>
      </c>
      <c r="C844" s="1" t="n">
        <v>45985</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23150-2024</t>
        </is>
      </c>
      <c r="B845" s="1" t="n">
        <v>45450.64643518518</v>
      </c>
      <c r="C845" s="1" t="n">
        <v>45985</v>
      </c>
      <c r="D845" t="inlineStr">
        <is>
          <t>STOCKHOLMS LÄN</t>
        </is>
      </c>
      <c r="E845" t="inlineStr">
        <is>
          <t>NORRTÄLJE</t>
        </is>
      </c>
      <c r="F845" t="inlineStr">
        <is>
          <t>Kommuner</t>
        </is>
      </c>
      <c r="G845" t="n">
        <v>2.7</v>
      </c>
      <c r="H845" t="n">
        <v>0</v>
      </c>
      <c r="I845" t="n">
        <v>0</v>
      </c>
      <c r="J845" t="n">
        <v>0</v>
      </c>
      <c r="K845" t="n">
        <v>0</v>
      </c>
      <c r="L845" t="n">
        <v>0</v>
      </c>
      <c r="M845" t="n">
        <v>0</v>
      </c>
      <c r="N845" t="n">
        <v>0</v>
      </c>
      <c r="O845" t="n">
        <v>0</v>
      </c>
      <c r="P845" t="n">
        <v>0</v>
      </c>
      <c r="Q845" t="n">
        <v>0</v>
      </c>
      <c r="R845" s="2" t="inlineStr"/>
    </row>
    <row r="846" ht="15" customHeight="1">
      <c r="A846" t="inlineStr">
        <is>
          <t>A 59878-2024</t>
        </is>
      </c>
      <c r="B846" s="1" t="n">
        <v>45640.60240740741</v>
      </c>
      <c r="C846" s="1" t="n">
        <v>45985</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50182-2024</t>
        </is>
      </c>
      <c r="B847" s="1" t="n">
        <v>45600.47275462963</v>
      </c>
      <c r="C847" s="1" t="n">
        <v>45985</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2549-2022</t>
        </is>
      </c>
      <c r="B848" s="1" t="n">
        <v>44580</v>
      </c>
      <c r="C848" s="1" t="n">
        <v>45985</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31140-2023</t>
        </is>
      </c>
      <c r="B849" s="1" t="n">
        <v>45113</v>
      </c>
      <c r="C849" s="1" t="n">
        <v>45985</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31149-2023</t>
        </is>
      </c>
      <c r="B850" s="1" t="n">
        <v>45113</v>
      </c>
      <c r="C850" s="1" t="n">
        <v>45985</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16835-2022</t>
        </is>
      </c>
      <c r="B851" s="1" t="n">
        <v>44673</v>
      </c>
      <c r="C851" s="1" t="n">
        <v>45985</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13701-2022</t>
        </is>
      </c>
      <c r="B852" s="1" t="n">
        <v>44648</v>
      </c>
      <c r="C852" s="1" t="n">
        <v>45985</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13089-2022</t>
        </is>
      </c>
      <c r="B853" s="1" t="n">
        <v>44643</v>
      </c>
      <c r="C853" s="1" t="n">
        <v>45985</v>
      </c>
      <c r="D853" t="inlineStr">
        <is>
          <t>STOCKHOLMS LÄN</t>
        </is>
      </c>
      <c r="E853" t="inlineStr">
        <is>
          <t>NORRTÄLJE</t>
        </is>
      </c>
      <c r="G853" t="n">
        <v>4.5</v>
      </c>
      <c r="H853" t="n">
        <v>0</v>
      </c>
      <c r="I853" t="n">
        <v>0</v>
      </c>
      <c r="J853" t="n">
        <v>0</v>
      </c>
      <c r="K853" t="n">
        <v>0</v>
      </c>
      <c r="L853" t="n">
        <v>0</v>
      </c>
      <c r="M853" t="n">
        <v>0</v>
      </c>
      <c r="N853" t="n">
        <v>0</v>
      </c>
      <c r="O853" t="n">
        <v>0</v>
      </c>
      <c r="P853" t="n">
        <v>0</v>
      </c>
      <c r="Q853" t="n">
        <v>0</v>
      </c>
      <c r="R853" s="2" t="inlineStr"/>
    </row>
    <row r="854" ht="15" customHeight="1">
      <c r="A854" t="inlineStr">
        <is>
          <t>A 38759-2022</t>
        </is>
      </c>
      <c r="B854" s="1" t="n">
        <v>44816</v>
      </c>
      <c r="C854" s="1" t="n">
        <v>45985</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23998-2024</t>
        </is>
      </c>
      <c r="B855" s="1" t="n">
        <v>45456</v>
      </c>
      <c r="C855" s="1" t="n">
        <v>45985</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54504-2024</t>
        </is>
      </c>
      <c r="B856" s="1" t="n">
        <v>45617.58453703704</v>
      </c>
      <c r="C856" s="1" t="n">
        <v>45985</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32595-2023</t>
        </is>
      </c>
      <c r="B857" s="1" t="n">
        <v>45121</v>
      </c>
      <c r="C857" s="1" t="n">
        <v>45985</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11332-2025</t>
        </is>
      </c>
      <c r="B858" s="1" t="n">
        <v>45726.48152777777</v>
      </c>
      <c r="C858" s="1" t="n">
        <v>45985</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13718-2022</t>
        </is>
      </c>
      <c r="B859" s="1" t="n">
        <v>44649</v>
      </c>
      <c r="C859" s="1" t="n">
        <v>45985</v>
      </c>
      <c r="D859" t="inlineStr">
        <is>
          <t>STOCKHOLMS LÄN</t>
        </is>
      </c>
      <c r="E859" t="inlineStr">
        <is>
          <t>NORRTÄLJE</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54259-2023</t>
        </is>
      </c>
      <c r="B860" s="1" t="n">
        <v>45232</v>
      </c>
      <c r="C860" s="1" t="n">
        <v>45985</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13171-2025</t>
        </is>
      </c>
      <c r="B861" s="1" t="n">
        <v>45735.36594907408</v>
      </c>
      <c r="C861" s="1" t="n">
        <v>45985</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12299-2025</t>
        </is>
      </c>
      <c r="B862" s="1" t="n">
        <v>45729.71065972222</v>
      </c>
      <c r="C862" s="1" t="n">
        <v>45985</v>
      </c>
      <c r="D862" t="inlineStr">
        <is>
          <t>STOCKHOLMS LÄN</t>
        </is>
      </c>
      <c r="E862" t="inlineStr">
        <is>
          <t>NORRTÄLJE</t>
        </is>
      </c>
      <c r="F862" t="inlineStr">
        <is>
          <t>Holmen skog AB</t>
        </is>
      </c>
      <c r="G862" t="n">
        <v>6.9</v>
      </c>
      <c r="H862" t="n">
        <v>0</v>
      </c>
      <c r="I862" t="n">
        <v>0</v>
      </c>
      <c r="J862" t="n">
        <v>0</v>
      </c>
      <c r="K862" t="n">
        <v>0</v>
      </c>
      <c r="L862" t="n">
        <v>0</v>
      </c>
      <c r="M862" t="n">
        <v>0</v>
      </c>
      <c r="N862" t="n">
        <v>0</v>
      </c>
      <c r="O862" t="n">
        <v>0</v>
      </c>
      <c r="P862" t="n">
        <v>0</v>
      </c>
      <c r="Q862" t="n">
        <v>0</v>
      </c>
      <c r="R862" s="2" t="inlineStr"/>
    </row>
    <row r="863" ht="15" customHeight="1">
      <c r="A863" t="inlineStr">
        <is>
          <t>A 11900-2024</t>
        </is>
      </c>
      <c r="B863" s="1" t="n">
        <v>45376.55484953704</v>
      </c>
      <c r="C863" s="1" t="n">
        <v>45985</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45985</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13276-2022</t>
        </is>
      </c>
      <c r="B865" s="1" t="n">
        <v>44644</v>
      </c>
      <c r="C865" s="1" t="n">
        <v>45985</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11900-2022</t>
        </is>
      </c>
      <c r="B866" s="1" t="n">
        <v>44635</v>
      </c>
      <c r="C866" s="1" t="n">
        <v>45985</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45985</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4580-2025</t>
        </is>
      </c>
      <c r="B868" s="1" t="n">
        <v>45687.5038425926</v>
      </c>
      <c r="C868" s="1" t="n">
        <v>45985</v>
      </c>
      <c r="D868" t="inlineStr">
        <is>
          <t>STOCKHOLMS LÄN</t>
        </is>
      </c>
      <c r="E868" t="inlineStr">
        <is>
          <t>NORRTÄLJE</t>
        </is>
      </c>
      <c r="F868" t="inlineStr">
        <is>
          <t>Holmen skog AB</t>
        </is>
      </c>
      <c r="G868" t="n">
        <v>4.8</v>
      </c>
      <c r="H868" t="n">
        <v>0</v>
      </c>
      <c r="I868" t="n">
        <v>0</v>
      </c>
      <c r="J868" t="n">
        <v>0</v>
      </c>
      <c r="K868" t="n">
        <v>0</v>
      </c>
      <c r="L868" t="n">
        <v>0</v>
      </c>
      <c r="M868" t="n">
        <v>0</v>
      </c>
      <c r="N868" t="n">
        <v>0</v>
      </c>
      <c r="O868" t="n">
        <v>0</v>
      </c>
      <c r="P868" t="n">
        <v>0</v>
      </c>
      <c r="Q868" t="n">
        <v>0</v>
      </c>
      <c r="R868" s="2" t="inlineStr"/>
    </row>
    <row r="869" ht="15" customHeight="1">
      <c r="A869" t="inlineStr">
        <is>
          <t>A 16202-2022</t>
        </is>
      </c>
      <c r="B869" s="1" t="n">
        <v>44670</v>
      </c>
      <c r="C869" s="1" t="n">
        <v>45985</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6003-2025</t>
        </is>
      </c>
      <c r="B870" s="1" t="n">
        <v>45695.57881944445</v>
      </c>
      <c r="C870" s="1" t="n">
        <v>45985</v>
      </c>
      <c r="D870" t="inlineStr">
        <is>
          <t>STOCKHOLMS LÄN</t>
        </is>
      </c>
      <c r="E870" t="inlineStr">
        <is>
          <t>NORRTÄLJE</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52321-2024</t>
        </is>
      </c>
      <c r="B871" s="1" t="n">
        <v>45608</v>
      </c>
      <c r="C871" s="1" t="n">
        <v>45985</v>
      </c>
      <c r="D871" t="inlineStr">
        <is>
          <t>STOCKHOLMS LÄN</t>
        </is>
      </c>
      <c r="E871" t="inlineStr">
        <is>
          <t>NORRTÄLJE</t>
        </is>
      </c>
      <c r="G871" t="n">
        <v>18.1</v>
      </c>
      <c r="H871" t="n">
        <v>0</v>
      </c>
      <c r="I871" t="n">
        <v>0</v>
      </c>
      <c r="J871" t="n">
        <v>0</v>
      </c>
      <c r="K871" t="n">
        <v>0</v>
      </c>
      <c r="L871" t="n">
        <v>0</v>
      </c>
      <c r="M871" t="n">
        <v>0</v>
      </c>
      <c r="N871" t="n">
        <v>0</v>
      </c>
      <c r="O871" t="n">
        <v>0</v>
      </c>
      <c r="P871" t="n">
        <v>0</v>
      </c>
      <c r="Q871" t="n">
        <v>0</v>
      </c>
      <c r="R871" s="2" t="inlineStr"/>
    </row>
    <row r="872" ht="15" customHeight="1">
      <c r="A872" t="inlineStr">
        <is>
          <t>A 54558-2024</t>
        </is>
      </c>
      <c r="B872" s="1" t="n">
        <v>45617.62358796296</v>
      </c>
      <c r="C872" s="1" t="n">
        <v>45985</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22157-2023</t>
        </is>
      </c>
      <c r="B873" s="1" t="n">
        <v>45069</v>
      </c>
      <c r="C873" s="1" t="n">
        <v>45985</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c r="U873">
        <f>HYPERLINK("https://klasma.github.io/Logging_0188/knärot/A 22157-2023 karta knärot.png", "A 22157-2023")</f>
        <v/>
      </c>
      <c r="V873">
        <f>HYPERLINK("https://klasma.github.io/Logging_0188/klagomål/A 22157-2023 FSC-klagomål.docx", "A 22157-2023")</f>
        <v/>
      </c>
      <c r="W873">
        <f>HYPERLINK("https://klasma.github.io/Logging_0188/klagomålsmail/A 22157-2023 FSC-klagomål mail.docx", "A 22157-2023")</f>
        <v/>
      </c>
      <c r="X873">
        <f>HYPERLINK("https://klasma.github.io/Logging_0188/tillsyn/A 22157-2023 tillsynsbegäran.docx", "A 22157-2023")</f>
        <v/>
      </c>
      <c r="Y873">
        <f>HYPERLINK("https://klasma.github.io/Logging_0188/tillsynsmail/A 22157-2023 tillsynsbegäran mail.docx", "A 22157-2023")</f>
        <v/>
      </c>
    </row>
    <row r="874" ht="15" customHeight="1">
      <c r="A874" t="inlineStr">
        <is>
          <t>A 48633-2023</t>
        </is>
      </c>
      <c r="B874" s="1" t="n">
        <v>45208.58004629629</v>
      </c>
      <c r="C874" s="1" t="n">
        <v>45985</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47419-2023</t>
        </is>
      </c>
      <c r="B875" s="1" t="n">
        <v>45202.65660879629</v>
      </c>
      <c r="C875" s="1" t="n">
        <v>45985</v>
      </c>
      <c r="D875" t="inlineStr">
        <is>
          <t>STOCKHOLMS LÄN</t>
        </is>
      </c>
      <c r="E875" t="inlineStr">
        <is>
          <t>NORRTÄLJE</t>
        </is>
      </c>
      <c r="G875" t="n">
        <v>11.4</v>
      </c>
      <c r="H875" t="n">
        <v>0</v>
      </c>
      <c r="I875" t="n">
        <v>0</v>
      </c>
      <c r="J875" t="n">
        <v>0</v>
      </c>
      <c r="K875" t="n">
        <v>0</v>
      </c>
      <c r="L875" t="n">
        <v>0</v>
      </c>
      <c r="M875" t="n">
        <v>0</v>
      </c>
      <c r="N875" t="n">
        <v>0</v>
      </c>
      <c r="O875" t="n">
        <v>0</v>
      </c>
      <c r="P875" t="n">
        <v>0</v>
      </c>
      <c r="Q875" t="n">
        <v>0</v>
      </c>
      <c r="R875" s="2" t="inlineStr"/>
    </row>
    <row r="876" ht="15" customHeight="1">
      <c r="A876" t="inlineStr">
        <is>
          <t>A 652-2025</t>
        </is>
      </c>
      <c r="B876" s="1" t="n">
        <v>45664</v>
      </c>
      <c r="C876" s="1" t="n">
        <v>45985</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10653-2022</t>
        </is>
      </c>
      <c r="B877" s="1" t="n">
        <v>44624.59434027778</v>
      </c>
      <c r="C877" s="1" t="n">
        <v>45985</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35695-2023</t>
        </is>
      </c>
      <c r="B878" s="1" t="n">
        <v>45147.65407407407</v>
      </c>
      <c r="C878" s="1" t="n">
        <v>45985</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18665-2022</t>
        </is>
      </c>
      <c r="B879" s="1" t="n">
        <v>44687</v>
      </c>
      <c r="C879" s="1" t="n">
        <v>45985</v>
      </c>
      <c r="D879" t="inlineStr">
        <is>
          <t>STOCKHOLMS LÄN</t>
        </is>
      </c>
      <c r="E879" t="inlineStr">
        <is>
          <t>NORRTÄLJE</t>
        </is>
      </c>
      <c r="F879" t="inlineStr">
        <is>
          <t>Kyrkan</t>
        </is>
      </c>
      <c r="G879" t="n">
        <v>1.1</v>
      </c>
      <c r="H879" t="n">
        <v>0</v>
      </c>
      <c r="I879" t="n">
        <v>0</v>
      </c>
      <c r="J879" t="n">
        <v>0</v>
      </c>
      <c r="K879" t="n">
        <v>0</v>
      </c>
      <c r="L879" t="n">
        <v>0</v>
      </c>
      <c r="M879" t="n">
        <v>0</v>
      </c>
      <c r="N879" t="n">
        <v>0</v>
      </c>
      <c r="O879" t="n">
        <v>0</v>
      </c>
      <c r="P879" t="n">
        <v>0</v>
      </c>
      <c r="Q879" t="n">
        <v>0</v>
      </c>
      <c r="R879" s="2" t="inlineStr"/>
    </row>
    <row r="880" ht="15" customHeight="1">
      <c r="A880" t="inlineStr">
        <is>
          <t>A 17574-2025</t>
        </is>
      </c>
      <c r="B880" s="1" t="n">
        <v>45757.65178240741</v>
      </c>
      <c r="C880" s="1" t="n">
        <v>45985</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20370-2025</t>
        </is>
      </c>
      <c r="B881" s="1" t="n">
        <v>45775.41451388889</v>
      </c>
      <c r="C881" s="1" t="n">
        <v>45985</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19982-2022</t>
        </is>
      </c>
      <c r="B882" s="1" t="n">
        <v>44697</v>
      </c>
      <c r="C882" s="1" t="n">
        <v>45985</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35438-2023</t>
        </is>
      </c>
      <c r="B883" s="1" t="n">
        <v>45146</v>
      </c>
      <c r="C883" s="1" t="n">
        <v>45985</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33878-2024</t>
        </is>
      </c>
      <c r="B884" s="1" t="n">
        <v>45522.44414351852</v>
      </c>
      <c r="C884" s="1" t="n">
        <v>45985</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4183-2025</t>
        </is>
      </c>
      <c r="B885" s="1" t="n">
        <v>45685.44592592592</v>
      </c>
      <c r="C885" s="1" t="n">
        <v>45985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17556-2025</t>
        </is>
      </c>
      <c r="B886" s="1" t="n">
        <v>45757.62482638889</v>
      </c>
      <c r="C886" s="1" t="n">
        <v>45985</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41335-2023</t>
        </is>
      </c>
      <c r="B887" s="1" t="n">
        <v>45174.68702546296</v>
      </c>
      <c r="C887" s="1" t="n">
        <v>45985</v>
      </c>
      <c r="D887" t="inlineStr">
        <is>
          <t>STOCKHOLMS LÄN</t>
        </is>
      </c>
      <c r="E887" t="inlineStr">
        <is>
          <t>NORRTÄLJE</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4484-2025</t>
        </is>
      </c>
      <c r="B888" s="1" t="n">
        <v>45686.65545138889</v>
      </c>
      <c r="C888" s="1" t="n">
        <v>45985</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8419-2025</t>
        </is>
      </c>
      <c r="B889" s="1" t="n">
        <v>45709.40231481481</v>
      </c>
      <c r="C889" s="1" t="n">
        <v>45985</v>
      </c>
      <c r="D889" t="inlineStr">
        <is>
          <t>STOCKHOLMS LÄN</t>
        </is>
      </c>
      <c r="E889" t="inlineStr">
        <is>
          <t>NORRTÄLJE</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21480-2022</t>
        </is>
      </c>
      <c r="B890" s="1" t="n">
        <v>44704</v>
      </c>
      <c r="C890" s="1" t="n">
        <v>45985</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1654-2025</t>
        </is>
      </c>
      <c r="B891" s="1" t="n">
        <v>45670.65921296296</v>
      </c>
      <c r="C891" s="1" t="n">
        <v>45985</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48686-2023</t>
        </is>
      </c>
      <c r="B892" s="1" t="n">
        <v>45208</v>
      </c>
      <c r="C892" s="1" t="n">
        <v>45985</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48691-2023</t>
        </is>
      </c>
      <c r="B893" s="1" t="n">
        <v>45208</v>
      </c>
      <c r="C893" s="1" t="n">
        <v>45985</v>
      </c>
      <c r="D893" t="inlineStr">
        <is>
          <t>STOCKHOLMS LÄN</t>
        </is>
      </c>
      <c r="E893" t="inlineStr">
        <is>
          <t>NORRTÄLJE</t>
        </is>
      </c>
      <c r="G893" t="n">
        <v>5.8</v>
      </c>
      <c r="H893" t="n">
        <v>0</v>
      </c>
      <c r="I893" t="n">
        <v>0</v>
      </c>
      <c r="J893" t="n">
        <v>0</v>
      </c>
      <c r="K893" t="n">
        <v>0</v>
      </c>
      <c r="L893" t="n">
        <v>0</v>
      </c>
      <c r="M893" t="n">
        <v>0</v>
      </c>
      <c r="N893" t="n">
        <v>0</v>
      </c>
      <c r="O893" t="n">
        <v>0</v>
      </c>
      <c r="P893" t="n">
        <v>0</v>
      </c>
      <c r="Q893" t="n">
        <v>0</v>
      </c>
      <c r="R893" s="2" t="inlineStr"/>
    </row>
    <row r="894" ht="15" customHeight="1">
      <c r="A894" t="inlineStr">
        <is>
          <t>A 55243-2023</t>
        </is>
      </c>
      <c r="B894" s="1" t="n">
        <v>45237</v>
      </c>
      <c r="C894" s="1" t="n">
        <v>45985</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35210-2023</t>
        </is>
      </c>
      <c r="B895" s="1" t="n">
        <v>45145.63584490741</v>
      </c>
      <c r="C895" s="1" t="n">
        <v>45985</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6678-2025</t>
        </is>
      </c>
      <c r="B896" s="1" t="n">
        <v>45700</v>
      </c>
      <c r="C896" s="1" t="n">
        <v>45985</v>
      </c>
      <c r="D896" t="inlineStr">
        <is>
          <t>STOCKHOLMS LÄN</t>
        </is>
      </c>
      <c r="E896" t="inlineStr">
        <is>
          <t>NORRTÄLJE</t>
        </is>
      </c>
      <c r="F896" t="inlineStr">
        <is>
          <t>Övriga Aktiebolag</t>
        </is>
      </c>
      <c r="G896" t="n">
        <v>6.6</v>
      </c>
      <c r="H896" t="n">
        <v>0</v>
      </c>
      <c r="I896" t="n">
        <v>0</v>
      </c>
      <c r="J896" t="n">
        <v>0</v>
      </c>
      <c r="K896" t="n">
        <v>0</v>
      </c>
      <c r="L896" t="n">
        <v>0</v>
      </c>
      <c r="M896" t="n">
        <v>0</v>
      </c>
      <c r="N896" t="n">
        <v>0</v>
      </c>
      <c r="O896" t="n">
        <v>0</v>
      </c>
      <c r="P896" t="n">
        <v>0</v>
      </c>
      <c r="Q896" t="n">
        <v>0</v>
      </c>
      <c r="R896" s="2" t="inlineStr"/>
    </row>
    <row r="897" ht="15" customHeight="1">
      <c r="A897" t="inlineStr">
        <is>
          <t>A 17612-2022</t>
        </is>
      </c>
      <c r="B897" s="1" t="n">
        <v>44680</v>
      </c>
      <c r="C897" s="1" t="n">
        <v>45985</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58297-2023</t>
        </is>
      </c>
      <c r="B898" s="1" t="n">
        <v>45245</v>
      </c>
      <c r="C898" s="1" t="n">
        <v>45985</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21726-2022</t>
        </is>
      </c>
      <c r="B899" s="1" t="n">
        <v>44708</v>
      </c>
      <c r="C899" s="1" t="n">
        <v>45985</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21739-2022</t>
        </is>
      </c>
      <c r="B900" s="1" t="n">
        <v>44708.36708333333</v>
      </c>
      <c r="C900" s="1" t="n">
        <v>45985</v>
      </c>
      <c r="D900" t="inlineStr">
        <is>
          <t>STOCKHOLMS LÄN</t>
        </is>
      </c>
      <c r="E900" t="inlineStr">
        <is>
          <t>NORRTÄLJE</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44746.58530092592</v>
      </c>
      <c r="C901" s="1" t="n">
        <v>45985</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3283-2025</t>
        </is>
      </c>
      <c r="B902" s="1" t="n">
        <v>45679</v>
      </c>
      <c r="C902" s="1" t="n">
        <v>45985</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18092-2022</t>
        </is>
      </c>
      <c r="B903" s="1" t="n">
        <v>44684</v>
      </c>
      <c r="C903" s="1" t="n">
        <v>45985</v>
      </c>
      <c r="D903" t="inlineStr">
        <is>
          <t>STOCKHOLMS LÄN</t>
        </is>
      </c>
      <c r="E903" t="inlineStr">
        <is>
          <t>NORRTÄLJE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33295-2023</t>
        </is>
      </c>
      <c r="B904" s="1" t="n">
        <v>45127.69371527778</v>
      </c>
      <c r="C904" s="1" t="n">
        <v>45985</v>
      </c>
      <c r="D904" t="inlineStr">
        <is>
          <t>STOCKHOLMS LÄN</t>
        </is>
      </c>
      <c r="E904" t="inlineStr">
        <is>
          <t>NORRTÄLJE</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58404-2023</t>
        </is>
      </c>
      <c r="B905" s="1" t="n">
        <v>45245</v>
      </c>
      <c r="C905" s="1" t="n">
        <v>45985</v>
      </c>
      <c r="D905" t="inlineStr">
        <is>
          <t>STOCKHOLMS LÄN</t>
        </is>
      </c>
      <c r="E905" t="inlineStr">
        <is>
          <t>NORRTÄLJE</t>
        </is>
      </c>
      <c r="G905" t="n">
        <v>53.5</v>
      </c>
      <c r="H905" t="n">
        <v>0</v>
      </c>
      <c r="I905" t="n">
        <v>0</v>
      </c>
      <c r="J905" t="n">
        <v>0</v>
      </c>
      <c r="K905" t="n">
        <v>0</v>
      </c>
      <c r="L905" t="n">
        <v>0</v>
      </c>
      <c r="M905" t="n">
        <v>0</v>
      </c>
      <c r="N905" t="n">
        <v>0</v>
      </c>
      <c r="O905" t="n">
        <v>0</v>
      </c>
      <c r="P905" t="n">
        <v>0</v>
      </c>
      <c r="Q905" t="n">
        <v>0</v>
      </c>
      <c r="R905" s="2" t="inlineStr"/>
    </row>
    <row r="906" ht="15" customHeight="1">
      <c r="A906" t="inlineStr">
        <is>
          <t>A 27885-2022</t>
        </is>
      </c>
      <c r="B906" s="1" t="n">
        <v>44743.67418981482</v>
      </c>
      <c r="C906" s="1" t="n">
        <v>45985</v>
      </c>
      <c r="D906" t="inlineStr">
        <is>
          <t>STOCKHOLMS LÄN</t>
        </is>
      </c>
      <c r="E906" t="inlineStr">
        <is>
          <t>NORRTÄLJE</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25525-2022</t>
        </is>
      </c>
      <c r="B907" s="1" t="n">
        <v>44732</v>
      </c>
      <c r="C907" s="1" t="n">
        <v>45985</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48722-2023</t>
        </is>
      </c>
      <c r="B908" s="1" t="n">
        <v>45208.70996527778</v>
      </c>
      <c r="C908" s="1" t="n">
        <v>45985</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67393-2020</t>
        </is>
      </c>
      <c r="B909" s="1" t="n">
        <v>44181</v>
      </c>
      <c r="C909" s="1" t="n">
        <v>45985</v>
      </c>
      <c r="D909" t="inlineStr">
        <is>
          <t>STOCKHOLMS LÄN</t>
        </is>
      </c>
      <c r="E909" t="inlineStr">
        <is>
          <t>NORRTÄLJE</t>
        </is>
      </c>
      <c r="G909" t="n">
        <v>5.5</v>
      </c>
      <c r="H909" t="n">
        <v>0</v>
      </c>
      <c r="I909" t="n">
        <v>0</v>
      </c>
      <c r="J909" t="n">
        <v>0</v>
      </c>
      <c r="K909" t="n">
        <v>0</v>
      </c>
      <c r="L909" t="n">
        <v>0</v>
      </c>
      <c r="M909" t="n">
        <v>0</v>
      </c>
      <c r="N909" t="n">
        <v>0</v>
      </c>
      <c r="O909" t="n">
        <v>0</v>
      </c>
      <c r="P909" t="n">
        <v>0</v>
      </c>
      <c r="Q909" t="n">
        <v>0</v>
      </c>
      <c r="R909" s="2" t="inlineStr"/>
    </row>
    <row r="910" ht="15" customHeight="1">
      <c r="A910" t="inlineStr">
        <is>
          <t>A 23801-2022</t>
        </is>
      </c>
      <c r="B910" s="1" t="n">
        <v>44722</v>
      </c>
      <c r="C910" s="1" t="n">
        <v>45985</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33353-2023</t>
        </is>
      </c>
      <c r="B911" s="1" t="n">
        <v>45128</v>
      </c>
      <c r="C911" s="1" t="n">
        <v>45985</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35708-2022</t>
        </is>
      </c>
      <c r="B912" s="1" t="n">
        <v>44799.65013888889</v>
      </c>
      <c r="C912" s="1" t="n">
        <v>45985</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3426-2025</t>
        </is>
      </c>
      <c r="B913" s="1" t="n">
        <v>45680.42665509259</v>
      </c>
      <c r="C913" s="1" t="n">
        <v>45985</v>
      </c>
      <c r="D913" t="inlineStr">
        <is>
          <t>STOCKHOLMS LÄN</t>
        </is>
      </c>
      <c r="E913" t="inlineStr">
        <is>
          <t>NORRTÄLJE</t>
        </is>
      </c>
      <c r="G913" t="n">
        <v>3.2</v>
      </c>
      <c r="H913" t="n">
        <v>0</v>
      </c>
      <c r="I913" t="n">
        <v>0</v>
      </c>
      <c r="J913" t="n">
        <v>0</v>
      </c>
      <c r="K913" t="n">
        <v>0</v>
      </c>
      <c r="L913" t="n">
        <v>0</v>
      </c>
      <c r="M913" t="n">
        <v>0</v>
      </c>
      <c r="N913" t="n">
        <v>0</v>
      </c>
      <c r="O913" t="n">
        <v>0</v>
      </c>
      <c r="P913" t="n">
        <v>0</v>
      </c>
      <c r="Q913" t="n">
        <v>0</v>
      </c>
      <c r="R913" s="2" t="inlineStr"/>
    </row>
    <row r="914" ht="15" customHeight="1">
      <c r="A914" t="inlineStr">
        <is>
          <t>A 9-2024</t>
        </is>
      </c>
      <c r="B914" s="1" t="n">
        <v>45293</v>
      </c>
      <c r="C914" s="1" t="n">
        <v>45985</v>
      </c>
      <c r="D914" t="inlineStr">
        <is>
          <t>STOCKHOLMS LÄN</t>
        </is>
      </c>
      <c r="E914" t="inlineStr">
        <is>
          <t>NORRTÄLJE</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51312-2023</t>
        </is>
      </c>
      <c r="B915" s="1" t="n">
        <v>45219.56697916667</v>
      </c>
      <c r="C915" s="1" t="n">
        <v>45985</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11849-2025</t>
        </is>
      </c>
      <c r="B916" s="1" t="n">
        <v>45728.38409722222</v>
      </c>
      <c r="C916" s="1" t="n">
        <v>45985</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44813.59915509259</v>
      </c>
      <c r="C917" s="1" t="n">
        <v>45985</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22816-2021</t>
        </is>
      </c>
      <c r="B918" s="1" t="n">
        <v>44325</v>
      </c>
      <c r="C918" s="1" t="n">
        <v>45985</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59468-2023</t>
        </is>
      </c>
      <c r="B919" s="1" t="n">
        <v>45254.41509259259</v>
      </c>
      <c r="C919" s="1" t="n">
        <v>45985</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18846-2022</t>
        </is>
      </c>
      <c r="B920" s="1" t="n">
        <v>44690</v>
      </c>
      <c r="C920" s="1" t="n">
        <v>45985</v>
      </c>
      <c r="D920" t="inlineStr">
        <is>
          <t>STOCKHOLMS LÄN</t>
        </is>
      </c>
      <c r="E920" t="inlineStr">
        <is>
          <t>NORRTÄLJE</t>
        </is>
      </c>
      <c r="G920" t="n">
        <v>7</v>
      </c>
      <c r="H920" t="n">
        <v>0</v>
      </c>
      <c r="I920" t="n">
        <v>0</v>
      </c>
      <c r="J920" t="n">
        <v>0</v>
      </c>
      <c r="K920" t="n">
        <v>0</v>
      </c>
      <c r="L920" t="n">
        <v>0</v>
      </c>
      <c r="M920" t="n">
        <v>0</v>
      </c>
      <c r="N920" t="n">
        <v>0</v>
      </c>
      <c r="O920" t="n">
        <v>0</v>
      </c>
      <c r="P920" t="n">
        <v>0</v>
      </c>
      <c r="Q920" t="n">
        <v>0</v>
      </c>
      <c r="R920" s="2" t="inlineStr"/>
    </row>
    <row r="921" ht="15" customHeight="1">
      <c r="A921" t="inlineStr">
        <is>
          <t>A 12535-2025</t>
        </is>
      </c>
      <c r="B921" s="1" t="n">
        <v>45730.69502314815</v>
      </c>
      <c r="C921" s="1" t="n">
        <v>45985</v>
      </c>
      <c r="D921" t="inlineStr">
        <is>
          <t>STOCKHOLMS LÄN</t>
        </is>
      </c>
      <c r="E921" t="inlineStr">
        <is>
          <t>NORRTÄLJE</t>
        </is>
      </c>
      <c r="G921" t="n">
        <v>7.1</v>
      </c>
      <c r="H921" t="n">
        <v>0</v>
      </c>
      <c r="I921" t="n">
        <v>0</v>
      </c>
      <c r="J921" t="n">
        <v>0</v>
      </c>
      <c r="K921" t="n">
        <v>0</v>
      </c>
      <c r="L921" t="n">
        <v>0</v>
      </c>
      <c r="M921" t="n">
        <v>0</v>
      </c>
      <c r="N921" t="n">
        <v>0</v>
      </c>
      <c r="O921" t="n">
        <v>0</v>
      </c>
      <c r="P921" t="n">
        <v>0</v>
      </c>
      <c r="Q921" t="n">
        <v>0</v>
      </c>
      <c r="R921" s="2" t="inlineStr"/>
    </row>
    <row r="922" ht="15" customHeight="1">
      <c r="A922" t="inlineStr">
        <is>
          <t>A 574-2023</t>
        </is>
      </c>
      <c r="B922" s="1" t="n">
        <v>44925</v>
      </c>
      <c r="C922" s="1" t="n">
        <v>45985</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37010-2022</t>
        </is>
      </c>
      <c r="B923" s="1" t="n">
        <v>44806.41576388889</v>
      </c>
      <c r="C923" s="1" t="n">
        <v>45985</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45985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33149-2022</t>
        </is>
      </c>
      <c r="B925" s="1" t="n">
        <v>44785</v>
      </c>
      <c r="C925" s="1" t="n">
        <v>45985</v>
      </c>
      <c r="D925" t="inlineStr">
        <is>
          <t>STOCKHOLMS LÄN</t>
        </is>
      </c>
      <c r="E925" t="inlineStr">
        <is>
          <t>NORRTÄLJE</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14559-2024</t>
        </is>
      </c>
      <c r="B926" s="1" t="n">
        <v>45394.72869212963</v>
      </c>
      <c r="C926" s="1" t="n">
        <v>45985</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11-2024</t>
        </is>
      </c>
      <c r="B927" s="1" t="n">
        <v>45293</v>
      </c>
      <c r="C927" s="1" t="n">
        <v>45985</v>
      </c>
      <c r="D927" t="inlineStr">
        <is>
          <t>STOCKHOLMS LÄN</t>
        </is>
      </c>
      <c r="E927" t="inlineStr">
        <is>
          <t>NORRTÄLJE</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15256-2023</t>
        </is>
      </c>
      <c r="B928" s="1" t="n">
        <v>45019.3959837963</v>
      </c>
      <c r="C928" s="1" t="n">
        <v>45985</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7413-2024</t>
        </is>
      </c>
      <c r="B929" s="1" t="n">
        <v>45345.6059837963</v>
      </c>
      <c r="C929" s="1" t="n">
        <v>45985</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58040-2024</t>
        </is>
      </c>
      <c r="B930" s="1" t="n">
        <v>45631.73952546297</v>
      </c>
      <c r="C930" s="1" t="n">
        <v>45985</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58041-2024</t>
        </is>
      </c>
      <c r="B931" s="1" t="n">
        <v>45631.74673611111</v>
      </c>
      <c r="C931" s="1" t="n">
        <v>45985</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31057-2022</t>
        </is>
      </c>
      <c r="B932" s="1" t="n">
        <v>44769</v>
      </c>
      <c r="C932" s="1" t="n">
        <v>45985</v>
      </c>
      <c r="D932" t="inlineStr">
        <is>
          <t>STOCKHOLMS LÄN</t>
        </is>
      </c>
      <c r="E932" t="inlineStr">
        <is>
          <t>NORRTÄLJE</t>
        </is>
      </c>
      <c r="G932" t="n">
        <v>6.5</v>
      </c>
      <c r="H932" t="n">
        <v>0</v>
      </c>
      <c r="I932" t="n">
        <v>0</v>
      </c>
      <c r="J932" t="n">
        <v>0</v>
      </c>
      <c r="K932" t="n">
        <v>0</v>
      </c>
      <c r="L932" t="n">
        <v>0</v>
      </c>
      <c r="M932" t="n">
        <v>0</v>
      </c>
      <c r="N932" t="n">
        <v>0</v>
      </c>
      <c r="O932" t="n">
        <v>0</v>
      </c>
      <c r="P932" t="n">
        <v>0</v>
      </c>
      <c r="Q932" t="n">
        <v>0</v>
      </c>
      <c r="R932" s="2" t="inlineStr"/>
    </row>
    <row r="933" ht="15" customHeight="1">
      <c r="A933" t="inlineStr">
        <is>
          <t>A 3143-2021</t>
        </is>
      </c>
      <c r="B933" s="1" t="n">
        <v>44217.40149305556</v>
      </c>
      <c r="C933" s="1" t="n">
        <v>45985</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25619-2022</t>
        </is>
      </c>
      <c r="B934" s="1" t="n">
        <v>44732</v>
      </c>
      <c r="C934" s="1" t="n">
        <v>45985</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15422-2024</t>
        </is>
      </c>
      <c r="B935" s="1" t="n">
        <v>45401.3653125</v>
      </c>
      <c r="C935" s="1" t="n">
        <v>45985</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48716-2023</t>
        </is>
      </c>
      <c r="B936" s="1" t="n">
        <v>45208.69671296296</v>
      </c>
      <c r="C936" s="1" t="n">
        <v>45985</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55369-2023</t>
        </is>
      </c>
      <c r="B937" s="1" t="n">
        <v>45238</v>
      </c>
      <c r="C937" s="1" t="n">
        <v>45985</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20121-2022</t>
        </is>
      </c>
      <c r="B938" s="1" t="n">
        <v>44698</v>
      </c>
      <c r="C938" s="1" t="n">
        <v>45985</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26407-2024</t>
        </is>
      </c>
      <c r="B939" s="1" t="n">
        <v>45469</v>
      </c>
      <c r="C939" s="1" t="n">
        <v>45985</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10098-2022</t>
        </is>
      </c>
      <c r="B940" s="1" t="n">
        <v>44621</v>
      </c>
      <c r="C940" s="1" t="n">
        <v>45985</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49700-2023</t>
        </is>
      </c>
      <c r="B941" s="1" t="n">
        <v>45212</v>
      </c>
      <c r="C941" s="1" t="n">
        <v>45985</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59875-2024</t>
        </is>
      </c>
      <c r="B942" s="1" t="n">
        <v>45640.58716435185</v>
      </c>
      <c r="C942" s="1" t="n">
        <v>45985</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45220-2024</t>
        </is>
      </c>
      <c r="B943" s="1" t="n">
        <v>45575</v>
      </c>
      <c r="C943" s="1" t="n">
        <v>45985</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4658-2024</t>
        </is>
      </c>
      <c r="B944" s="1" t="n">
        <v>45328.46336805556</v>
      </c>
      <c r="C944" s="1" t="n">
        <v>45985</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48145-2024</t>
        </is>
      </c>
      <c r="B945" s="1" t="n">
        <v>45589.6756712963</v>
      </c>
      <c r="C945" s="1" t="n">
        <v>45985</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45985</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45985</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35532-2024</t>
        </is>
      </c>
      <c r="B948" s="1" t="n">
        <v>45531</v>
      </c>
      <c r="C948" s="1" t="n">
        <v>45985</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21291-2021</t>
        </is>
      </c>
      <c r="B949" s="1" t="n">
        <v>44319</v>
      </c>
      <c r="C949" s="1" t="n">
        <v>45985</v>
      </c>
      <c r="D949" t="inlineStr">
        <is>
          <t>STOCKHOLMS LÄN</t>
        </is>
      </c>
      <c r="E949" t="inlineStr">
        <is>
          <t>NORRTÄLJE</t>
        </is>
      </c>
      <c r="G949" t="n">
        <v>12.7</v>
      </c>
      <c r="H949" t="n">
        <v>0</v>
      </c>
      <c r="I949" t="n">
        <v>0</v>
      </c>
      <c r="J949" t="n">
        <v>0</v>
      </c>
      <c r="K949" t="n">
        <v>0</v>
      </c>
      <c r="L949" t="n">
        <v>0</v>
      </c>
      <c r="M949" t="n">
        <v>0</v>
      </c>
      <c r="N949" t="n">
        <v>0</v>
      </c>
      <c r="O949" t="n">
        <v>0</v>
      </c>
      <c r="P949" t="n">
        <v>0</v>
      </c>
      <c r="Q949" t="n">
        <v>0</v>
      </c>
      <c r="R949" s="2" t="inlineStr"/>
    </row>
    <row r="950" ht="15" customHeight="1">
      <c r="A950" t="inlineStr">
        <is>
          <t>A 19118-2022</t>
        </is>
      </c>
      <c r="B950" s="1" t="n">
        <v>44691.5652662037</v>
      </c>
      <c r="C950" s="1" t="n">
        <v>45985</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22421-2021</t>
        </is>
      </c>
      <c r="B951" s="1" t="n">
        <v>44326</v>
      </c>
      <c r="C951" s="1" t="n">
        <v>45985</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59893-2022</t>
        </is>
      </c>
      <c r="B952" s="1" t="n">
        <v>44908.77368055555</v>
      </c>
      <c r="C952" s="1" t="n">
        <v>45985</v>
      </c>
      <c r="D952" t="inlineStr">
        <is>
          <t>STOCKHOLMS LÄN</t>
        </is>
      </c>
      <c r="E952" t="inlineStr">
        <is>
          <t>NORRTÄLJE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9469-2021</t>
        </is>
      </c>
      <c r="B953" s="1" t="n">
        <v>44251</v>
      </c>
      <c r="C953" s="1" t="n">
        <v>45985</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33226-2024</t>
        </is>
      </c>
      <c r="B954" s="1" t="n">
        <v>45518</v>
      </c>
      <c r="C954" s="1" t="n">
        <v>45985</v>
      </c>
      <c r="D954" t="inlineStr">
        <is>
          <t>STOCKHOLMS LÄN</t>
        </is>
      </c>
      <c r="E954" t="inlineStr">
        <is>
          <t>NORRTÄLJE</t>
        </is>
      </c>
      <c r="G954" t="n">
        <v>13.8</v>
      </c>
      <c r="H954" t="n">
        <v>0</v>
      </c>
      <c r="I954" t="n">
        <v>0</v>
      </c>
      <c r="J954" t="n">
        <v>0</v>
      </c>
      <c r="K954" t="n">
        <v>0</v>
      </c>
      <c r="L954" t="n">
        <v>0</v>
      </c>
      <c r="M954" t="n">
        <v>0</v>
      </c>
      <c r="N954" t="n">
        <v>0</v>
      </c>
      <c r="O954" t="n">
        <v>0</v>
      </c>
      <c r="P954" t="n">
        <v>0</v>
      </c>
      <c r="Q954" t="n">
        <v>0</v>
      </c>
      <c r="R954" s="2" t="inlineStr"/>
    </row>
    <row r="955" ht="15" customHeight="1">
      <c r="A955" t="inlineStr">
        <is>
          <t>A 16980-2023</t>
        </is>
      </c>
      <c r="B955" s="1" t="n">
        <v>45033</v>
      </c>
      <c r="C955" s="1" t="n">
        <v>45985</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31107-2022</t>
        </is>
      </c>
      <c r="B956" s="1" t="n">
        <v>44769.66864583334</v>
      </c>
      <c r="C956" s="1" t="n">
        <v>45985</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18539-2021</t>
        </is>
      </c>
      <c r="B957" s="1" t="n">
        <v>44306</v>
      </c>
      <c r="C957" s="1" t="n">
        <v>45985</v>
      </c>
      <c r="D957" t="inlineStr">
        <is>
          <t>STOCKHOLMS LÄN</t>
        </is>
      </c>
      <c r="E957" t="inlineStr">
        <is>
          <t>NORRTÄLJE</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43170-2023</t>
        </is>
      </c>
      <c r="B958" s="1" t="n">
        <v>45183</v>
      </c>
      <c r="C958" s="1" t="n">
        <v>45985</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47626-2022</t>
        </is>
      </c>
      <c r="B959" s="1" t="n">
        <v>44854</v>
      </c>
      <c r="C959" s="1" t="n">
        <v>45985</v>
      </c>
      <c r="D959" t="inlineStr">
        <is>
          <t>STOCKHOLMS LÄN</t>
        </is>
      </c>
      <c r="E959" t="inlineStr">
        <is>
          <t>NORRTÄLJE</t>
        </is>
      </c>
      <c r="G959" t="n">
        <v>2</v>
      </c>
      <c r="H959" t="n">
        <v>0</v>
      </c>
      <c r="I959" t="n">
        <v>0</v>
      </c>
      <c r="J959" t="n">
        <v>0</v>
      </c>
      <c r="K959" t="n">
        <v>0</v>
      </c>
      <c r="L959" t="n">
        <v>0</v>
      </c>
      <c r="M959" t="n">
        <v>0</v>
      </c>
      <c r="N959" t="n">
        <v>0</v>
      </c>
      <c r="O959" t="n">
        <v>0</v>
      </c>
      <c r="P959" t="n">
        <v>0</v>
      </c>
      <c r="Q959" t="n">
        <v>0</v>
      </c>
      <c r="R959" s="2" t="inlineStr"/>
    </row>
    <row r="960" ht="15" customHeight="1">
      <c r="A960" t="inlineStr">
        <is>
          <t>A 32101-2022</t>
        </is>
      </c>
      <c r="B960" s="1" t="n">
        <v>44778.69210648148</v>
      </c>
      <c r="C960" s="1" t="n">
        <v>45985</v>
      </c>
      <c r="D960" t="inlineStr">
        <is>
          <t>STOCKHOLMS LÄN</t>
        </is>
      </c>
      <c r="E960" t="inlineStr">
        <is>
          <t>NORRTÄLJE</t>
        </is>
      </c>
      <c r="G960" t="n">
        <v>4.4</v>
      </c>
      <c r="H960" t="n">
        <v>0</v>
      </c>
      <c r="I960" t="n">
        <v>0</v>
      </c>
      <c r="J960" t="n">
        <v>0</v>
      </c>
      <c r="K960" t="n">
        <v>0</v>
      </c>
      <c r="L960" t="n">
        <v>0</v>
      </c>
      <c r="M960" t="n">
        <v>0</v>
      </c>
      <c r="N960" t="n">
        <v>0</v>
      </c>
      <c r="O960" t="n">
        <v>0</v>
      </c>
      <c r="P960" t="n">
        <v>0</v>
      </c>
      <c r="Q960" t="n">
        <v>0</v>
      </c>
      <c r="R960" s="2" t="inlineStr"/>
    </row>
    <row r="961" ht="15" customHeight="1">
      <c r="A961" t="inlineStr">
        <is>
          <t>A 28365-2022</t>
        </is>
      </c>
      <c r="B961" s="1" t="n">
        <v>44747</v>
      </c>
      <c r="C961" s="1" t="n">
        <v>45985</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45985</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5645-2023</t>
        </is>
      </c>
      <c r="B963" s="1" t="n">
        <v>44960.60469907407</v>
      </c>
      <c r="C963" s="1" t="n">
        <v>45985</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17775-2022</t>
        </is>
      </c>
      <c r="B964" s="1" t="n">
        <v>44682.78430555556</v>
      </c>
      <c r="C964" s="1" t="n">
        <v>45985</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9703-2021</t>
        </is>
      </c>
      <c r="B965" s="1" t="n">
        <v>44252</v>
      </c>
      <c r="C965" s="1" t="n">
        <v>45985</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47481-2024</t>
        </is>
      </c>
      <c r="B966" s="1" t="n">
        <v>45587</v>
      </c>
      <c r="C966" s="1" t="n">
        <v>45985</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24933-2023</t>
        </is>
      </c>
      <c r="B967" s="1" t="n">
        <v>45085.5309375</v>
      </c>
      <c r="C967" s="1" t="n">
        <v>45985</v>
      </c>
      <c r="D967" t="inlineStr">
        <is>
          <t>STOCKHOLMS LÄN</t>
        </is>
      </c>
      <c r="E967" t="inlineStr">
        <is>
          <t>NORRTÄLJE</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11062-2024</t>
        </is>
      </c>
      <c r="B968" s="1" t="n">
        <v>45370</v>
      </c>
      <c r="C968" s="1" t="n">
        <v>45985</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576-2023</t>
        </is>
      </c>
      <c r="B969" s="1" t="n">
        <v>44925</v>
      </c>
      <c r="C969" s="1" t="n">
        <v>45985</v>
      </c>
      <c r="D969" t="inlineStr">
        <is>
          <t>STOCKHOLMS LÄN</t>
        </is>
      </c>
      <c r="E969" t="inlineStr">
        <is>
          <t>NORRTÄLJE</t>
        </is>
      </c>
      <c r="G969" t="n">
        <v>7.2</v>
      </c>
      <c r="H969" t="n">
        <v>0</v>
      </c>
      <c r="I969" t="n">
        <v>0</v>
      </c>
      <c r="J969" t="n">
        <v>0</v>
      </c>
      <c r="K969" t="n">
        <v>0</v>
      </c>
      <c r="L969" t="n">
        <v>0</v>
      </c>
      <c r="M969" t="n">
        <v>0</v>
      </c>
      <c r="N969" t="n">
        <v>0</v>
      </c>
      <c r="O969" t="n">
        <v>0</v>
      </c>
      <c r="P969" t="n">
        <v>0</v>
      </c>
      <c r="Q969" t="n">
        <v>0</v>
      </c>
      <c r="R969" s="2" t="inlineStr"/>
    </row>
    <row r="970" ht="15" customHeight="1">
      <c r="A970" t="inlineStr">
        <is>
          <t>A 12908-2025</t>
        </is>
      </c>
      <c r="B970" s="1" t="n">
        <v>45733.82105324074</v>
      </c>
      <c r="C970" s="1" t="n">
        <v>45985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68361-2021</t>
        </is>
      </c>
      <c r="B971" s="1" t="n">
        <v>44528.91494212963</v>
      </c>
      <c r="C971" s="1" t="n">
        <v>45985</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50469-2022</t>
        </is>
      </c>
      <c r="B972" s="1" t="n">
        <v>44866.49827546296</v>
      </c>
      <c r="C972" s="1" t="n">
        <v>45985</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41976-2024</t>
        </is>
      </c>
      <c r="B973" s="1" t="n">
        <v>45561.62141203704</v>
      </c>
      <c r="C973" s="1" t="n">
        <v>45985</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62206-2022</t>
        </is>
      </c>
      <c r="B974" s="1" t="n">
        <v>44922</v>
      </c>
      <c r="C974" s="1" t="n">
        <v>45985</v>
      </c>
      <c r="D974" t="inlineStr">
        <is>
          <t>STOCKHOLMS LÄN</t>
        </is>
      </c>
      <c r="E974" t="inlineStr">
        <is>
          <t>NORRTÄLJE</t>
        </is>
      </c>
      <c r="G974" t="n">
        <v>2.9</v>
      </c>
      <c r="H974" t="n">
        <v>0</v>
      </c>
      <c r="I974" t="n">
        <v>0</v>
      </c>
      <c r="J974" t="n">
        <v>0</v>
      </c>
      <c r="K974" t="n">
        <v>0</v>
      </c>
      <c r="L974" t="n">
        <v>0</v>
      </c>
      <c r="M974" t="n">
        <v>0</v>
      </c>
      <c r="N974" t="n">
        <v>0</v>
      </c>
      <c r="O974" t="n">
        <v>0</v>
      </c>
      <c r="P974" t="n">
        <v>0</v>
      </c>
      <c r="Q974" t="n">
        <v>0</v>
      </c>
      <c r="R974" s="2" t="inlineStr"/>
    </row>
    <row r="975" ht="15" customHeight="1">
      <c r="A975" t="inlineStr">
        <is>
          <t>A 30886-2022</t>
        </is>
      </c>
      <c r="B975" s="1" t="n">
        <v>44767.60601851852</v>
      </c>
      <c r="C975" s="1" t="n">
        <v>45985</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58989-2021</t>
        </is>
      </c>
      <c r="B976" s="1" t="n">
        <v>44490.02482638889</v>
      </c>
      <c r="C976" s="1" t="n">
        <v>45985</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58990-2021</t>
        </is>
      </c>
      <c r="B977" s="1" t="n">
        <v>44490.03621527777</v>
      </c>
      <c r="C977" s="1" t="n">
        <v>45985</v>
      </c>
      <c r="D977" t="inlineStr">
        <is>
          <t>STOCKHOLMS LÄN</t>
        </is>
      </c>
      <c r="E977" t="inlineStr">
        <is>
          <t>NORRTÄLJE</t>
        </is>
      </c>
      <c r="G977" t="n">
        <v>4.2</v>
      </c>
      <c r="H977" t="n">
        <v>0</v>
      </c>
      <c r="I977" t="n">
        <v>0</v>
      </c>
      <c r="J977" t="n">
        <v>0</v>
      </c>
      <c r="K977" t="n">
        <v>0</v>
      </c>
      <c r="L977" t="n">
        <v>0</v>
      </c>
      <c r="M977" t="n">
        <v>0</v>
      </c>
      <c r="N977" t="n">
        <v>0</v>
      </c>
      <c r="O977" t="n">
        <v>0</v>
      </c>
      <c r="P977" t="n">
        <v>0</v>
      </c>
      <c r="Q977" t="n">
        <v>0</v>
      </c>
      <c r="R977" s="2" t="inlineStr"/>
    </row>
    <row r="978" ht="15" customHeight="1">
      <c r="A978" t="inlineStr">
        <is>
          <t>A 11940-2023</t>
        </is>
      </c>
      <c r="B978" s="1" t="n">
        <v>44995</v>
      </c>
      <c r="C978" s="1" t="n">
        <v>45985</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29266-2022</t>
        </is>
      </c>
      <c r="B979" s="1" t="n">
        <v>44750.66068287037</v>
      </c>
      <c r="C979" s="1" t="n">
        <v>45985</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29278-2022</t>
        </is>
      </c>
      <c r="B980" s="1" t="n">
        <v>44750</v>
      </c>
      <c r="C980" s="1" t="n">
        <v>45985</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6401-2024</t>
        </is>
      </c>
      <c r="B981" s="1" t="n">
        <v>45338</v>
      </c>
      <c r="C981" s="1" t="n">
        <v>45985</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24501-2023</t>
        </is>
      </c>
      <c r="B982" s="1" t="n">
        <v>45082</v>
      </c>
      <c r="C982" s="1" t="n">
        <v>45985</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24520-2023</t>
        </is>
      </c>
      <c r="B983" s="1" t="n">
        <v>45082.68922453704</v>
      </c>
      <c r="C983" s="1" t="n">
        <v>45985</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31281-2022</t>
        </is>
      </c>
      <c r="B984" s="1" t="n">
        <v>44771</v>
      </c>
      <c r="C984" s="1" t="n">
        <v>45985</v>
      </c>
      <c r="D984" t="inlineStr">
        <is>
          <t>STOCKHOLMS LÄN</t>
        </is>
      </c>
      <c r="E984" t="inlineStr">
        <is>
          <t>NORRTÄLJE</t>
        </is>
      </c>
      <c r="F984" t="inlineStr">
        <is>
          <t>Holmen skog AB</t>
        </is>
      </c>
      <c r="G984" t="n">
        <v>5.2</v>
      </c>
      <c r="H984" t="n">
        <v>0</v>
      </c>
      <c r="I984" t="n">
        <v>0</v>
      </c>
      <c r="J984" t="n">
        <v>0</v>
      </c>
      <c r="K984" t="n">
        <v>0</v>
      </c>
      <c r="L984" t="n">
        <v>0</v>
      </c>
      <c r="M984" t="n">
        <v>0</v>
      </c>
      <c r="N984" t="n">
        <v>0</v>
      </c>
      <c r="O984" t="n">
        <v>0</v>
      </c>
      <c r="P984" t="n">
        <v>0</v>
      </c>
      <c r="Q984" t="n">
        <v>0</v>
      </c>
      <c r="R984" s="2" t="inlineStr"/>
    </row>
    <row r="985" ht="15" customHeight="1">
      <c r="A985" t="inlineStr">
        <is>
          <t>A 38612-2022</t>
        </is>
      </c>
      <c r="B985" s="1" t="n">
        <v>44813</v>
      </c>
      <c r="C985" s="1" t="n">
        <v>45985</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33040-2021</t>
        </is>
      </c>
      <c r="B986" s="1" t="n">
        <v>44376.50728009259</v>
      </c>
      <c r="C986" s="1" t="n">
        <v>45985</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26117-2024</t>
        </is>
      </c>
      <c r="B987" s="1" t="n">
        <v>45468.45877314815</v>
      </c>
      <c r="C987" s="1" t="n">
        <v>45985</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61113-2023</t>
        </is>
      </c>
      <c r="B988" s="1" t="n">
        <v>45261</v>
      </c>
      <c r="C988" s="1" t="n">
        <v>45985</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60822-2023</t>
        </is>
      </c>
      <c r="B989" s="1" t="n">
        <v>45259</v>
      </c>
      <c r="C989" s="1" t="n">
        <v>45985</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59310-2023</t>
        </is>
      </c>
      <c r="B990" s="1" t="n">
        <v>45253.61146990741</v>
      </c>
      <c r="C990" s="1" t="n">
        <v>45985</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20343-2024</t>
        </is>
      </c>
      <c r="B991" s="1" t="n">
        <v>45435.43466435185</v>
      </c>
      <c r="C991" s="1" t="n">
        <v>45985</v>
      </c>
      <c r="D991" t="inlineStr">
        <is>
          <t>STOCKHOLMS LÄN</t>
        </is>
      </c>
      <c r="E991" t="inlineStr">
        <is>
          <t>NORRTÄLJE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20345-2024</t>
        </is>
      </c>
      <c r="B992" s="1" t="n">
        <v>45435.43820601852</v>
      </c>
      <c r="C992" s="1" t="n">
        <v>45985</v>
      </c>
      <c r="D992" t="inlineStr">
        <is>
          <t>STOCKHOLMS LÄN</t>
        </is>
      </c>
      <c r="E992" t="inlineStr">
        <is>
          <t>NORRTÄLJE</t>
        </is>
      </c>
      <c r="G992" t="n">
        <v>3.8</v>
      </c>
      <c r="H992" t="n">
        <v>0</v>
      </c>
      <c r="I992" t="n">
        <v>0</v>
      </c>
      <c r="J992" t="n">
        <v>0</v>
      </c>
      <c r="K992" t="n">
        <v>0</v>
      </c>
      <c r="L992" t="n">
        <v>0</v>
      </c>
      <c r="M992" t="n">
        <v>0</v>
      </c>
      <c r="N992" t="n">
        <v>0</v>
      </c>
      <c r="O992" t="n">
        <v>0</v>
      </c>
      <c r="P992" t="n">
        <v>0</v>
      </c>
      <c r="Q992" t="n">
        <v>0</v>
      </c>
      <c r="R992" s="2" t="inlineStr"/>
    </row>
    <row r="993" ht="15" customHeight="1">
      <c r="A993" t="inlineStr">
        <is>
          <t>A 55010-2024</t>
        </is>
      </c>
      <c r="B993" s="1" t="n">
        <v>45621.34425925926</v>
      </c>
      <c r="C993" s="1" t="n">
        <v>45985</v>
      </c>
      <c r="D993" t="inlineStr">
        <is>
          <t>STOCKHOLMS LÄN</t>
        </is>
      </c>
      <c r="E993" t="inlineStr">
        <is>
          <t>NORRTÄLJE</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55018-2024</t>
        </is>
      </c>
      <c r="B994" s="1" t="n">
        <v>45621.35712962963</v>
      </c>
      <c r="C994" s="1" t="n">
        <v>45985</v>
      </c>
      <c r="D994" t="inlineStr">
        <is>
          <t>STOCKHOLMS LÄN</t>
        </is>
      </c>
      <c r="E994" t="inlineStr">
        <is>
          <t>NORRTÄLJE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45985</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20336-2024</t>
        </is>
      </c>
      <c r="B996" s="1" t="n">
        <v>45435.43123842592</v>
      </c>
      <c r="C996" s="1" t="n">
        <v>45985</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64899-2023</t>
        </is>
      </c>
      <c r="B997" s="1" t="n">
        <v>45282</v>
      </c>
      <c r="C997" s="1" t="n">
        <v>45985</v>
      </c>
      <c r="D997" t="inlineStr">
        <is>
          <t>STOCKHOLMS LÄN</t>
        </is>
      </c>
      <c r="E997" t="inlineStr">
        <is>
          <t>NORRTÄLJE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1847-2023</t>
        </is>
      </c>
      <c r="B998" s="1" t="n">
        <v>44938</v>
      </c>
      <c r="C998" s="1" t="n">
        <v>45985</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11122-2021</t>
        </is>
      </c>
      <c r="B999" s="1" t="n">
        <v>44260</v>
      </c>
      <c r="C999" s="1" t="n">
        <v>45985</v>
      </c>
      <c r="D999" t="inlineStr">
        <is>
          <t>STOCKHOLMS LÄN</t>
        </is>
      </c>
      <c r="E999" t="inlineStr">
        <is>
          <t>NORRTÄLJE</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29362-2022</t>
        </is>
      </c>
      <c r="B1000" s="1" t="n">
        <v>44753</v>
      </c>
      <c r="C1000" s="1" t="n">
        <v>45985</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20291-2022</t>
        </is>
      </c>
      <c r="B1001" s="1" t="n">
        <v>44698</v>
      </c>
      <c r="C1001" s="1" t="n">
        <v>45985</v>
      </c>
      <c r="D1001" t="inlineStr">
        <is>
          <t>STOCKHOLMS LÄN</t>
        </is>
      </c>
      <c r="E1001" t="inlineStr">
        <is>
          <t>NORRTÄLJE</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12302-2025</t>
        </is>
      </c>
      <c r="B1002" s="1" t="n">
        <v>45729.72851851852</v>
      </c>
      <c r="C1002" s="1" t="n">
        <v>45985</v>
      </c>
      <c r="D1002" t="inlineStr">
        <is>
          <t>STOCKHOLMS LÄN</t>
        </is>
      </c>
      <c r="E1002" t="inlineStr">
        <is>
          <t>NORRTÄLJE</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31926-2022</t>
        </is>
      </c>
      <c r="B1003" s="1" t="n">
        <v>44777</v>
      </c>
      <c r="C1003" s="1" t="n">
        <v>45985</v>
      </c>
      <c r="D1003" t="inlineStr">
        <is>
          <t>STOCKHOLMS LÄN</t>
        </is>
      </c>
      <c r="E1003" t="inlineStr">
        <is>
          <t>NORRTÄLJE</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1425-2025</t>
        </is>
      </c>
      <c r="B1004" s="1" t="n">
        <v>45668.67446759259</v>
      </c>
      <c r="C1004" s="1" t="n">
        <v>45985</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1453-2025</t>
        </is>
      </c>
      <c r="B1005" s="1" t="n">
        <v>45670.3079050926</v>
      </c>
      <c r="C1005" s="1" t="n">
        <v>45985</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3386-2021</t>
        </is>
      </c>
      <c r="B1006" s="1" t="n">
        <v>44218</v>
      </c>
      <c r="C1006" s="1" t="n">
        <v>45985</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13860-2023</t>
        </is>
      </c>
      <c r="B1007" s="1" t="n">
        <v>45007</v>
      </c>
      <c r="C1007" s="1" t="n">
        <v>45985</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6070-2022</t>
        </is>
      </c>
      <c r="B1008" s="1" t="n">
        <v>44599.58428240741</v>
      </c>
      <c r="C1008" s="1" t="n">
        <v>45985</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9130-2025</t>
        </is>
      </c>
      <c r="B1009" s="1" t="n">
        <v>45713.92623842593</v>
      </c>
      <c r="C1009" s="1" t="n">
        <v>45985</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27828-2022</t>
        </is>
      </c>
      <c r="B1010" s="1" t="n">
        <v>44743.59765046297</v>
      </c>
      <c r="C1010" s="1" t="n">
        <v>45985</v>
      </c>
      <c r="D1010" t="inlineStr">
        <is>
          <t>STOCKHOLMS LÄN</t>
        </is>
      </c>
      <c r="E1010" t="inlineStr">
        <is>
          <t>NORRTÄLJE</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59873-2024</t>
        </is>
      </c>
      <c r="B1011" s="1" t="n">
        <v>45640.57305555556</v>
      </c>
      <c r="C1011" s="1" t="n">
        <v>45985</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22412-2021</t>
        </is>
      </c>
      <c r="B1012" s="1" t="n">
        <v>44326.61967592593</v>
      </c>
      <c r="C1012" s="1" t="n">
        <v>45985</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48161-2022</t>
        </is>
      </c>
      <c r="B1013" s="1" t="n">
        <v>44858</v>
      </c>
      <c r="C1013" s="1" t="n">
        <v>45985</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43150-2023</t>
        </is>
      </c>
      <c r="B1014" s="1" t="n">
        <v>45183</v>
      </c>
      <c r="C1014" s="1" t="n">
        <v>45985</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59534-2024</t>
        </is>
      </c>
      <c r="B1015" s="1" t="n">
        <v>45638.5987037037</v>
      </c>
      <c r="C1015" s="1" t="n">
        <v>45985</v>
      </c>
      <c r="D1015" t="inlineStr">
        <is>
          <t>STOCKHOLMS LÄN</t>
        </is>
      </c>
      <c r="E1015" t="inlineStr">
        <is>
          <t>NORRTÄLJE</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23307-2024</t>
        </is>
      </c>
      <c r="B1016" s="1" t="n">
        <v>45453</v>
      </c>
      <c r="C1016" s="1" t="n">
        <v>45985</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19450-2025</t>
        </is>
      </c>
      <c r="B1017" s="1" t="n">
        <v>45770</v>
      </c>
      <c r="C1017" s="1" t="n">
        <v>45985</v>
      </c>
      <c r="D1017" t="inlineStr">
        <is>
          <t>STOCKHOLMS LÄN</t>
        </is>
      </c>
      <c r="E1017" t="inlineStr">
        <is>
          <t>NORRTÄLJE</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2281-2024</t>
        </is>
      </c>
      <c r="B1018" s="1" t="n">
        <v>45310.40628472222</v>
      </c>
      <c r="C1018" s="1" t="n">
        <v>45985</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2287-2024</t>
        </is>
      </c>
      <c r="B1019" s="1" t="n">
        <v>45310</v>
      </c>
      <c r="C1019" s="1" t="n">
        <v>45985</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20618-2022</t>
        </is>
      </c>
      <c r="B1020" s="1" t="n">
        <v>44700.50659722222</v>
      </c>
      <c r="C1020" s="1" t="n">
        <v>45985</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59504-2023</t>
        </is>
      </c>
      <c r="B1021" s="1" t="n">
        <v>45254</v>
      </c>
      <c r="C1021" s="1" t="n">
        <v>45985</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25656-2023</t>
        </is>
      </c>
      <c r="B1022" s="1" t="n">
        <v>45089</v>
      </c>
      <c r="C1022" s="1" t="n">
        <v>45985</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38049-2023</t>
        </is>
      </c>
      <c r="B1023" s="1" t="n">
        <v>45159</v>
      </c>
      <c r="C1023" s="1" t="n">
        <v>45985</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3966-2024</t>
        </is>
      </c>
      <c r="B1024" s="1" t="n">
        <v>45322</v>
      </c>
      <c r="C1024" s="1" t="n">
        <v>45985</v>
      </c>
      <c r="D1024" t="inlineStr">
        <is>
          <t>STOCKHOLMS LÄN</t>
        </is>
      </c>
      <c r="E1024" t="inlineStr">
        <is>
          <t>NORRTÄLJE</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17348-2024</t>
        </is>
      </c>
      <c r="B1025" s="1" t="n">
        <v>45414.58650462963</v>
      </c>
      <c r="C1025" s="1" t="n">
        <v>45985</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38591-2023</t>
        </is>
      </c>
      <c r="B1026" s="1" t="n">
        <v>45162</v>
      </c>
      <c r="C1026" s="1" t="n">
        <v>45985</v>
      </c>
      <c r="D1026" t="inlineStr">
        <is>
          <t>STOCKHOLMS LÄN</t>
        </is>
      </c>
      <c r="E1026" t="inlineStr">
        <is>
          <t>NORRTÄLJE</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3273-2025</t>
        </is>
      </c>
      <c r="B1027" s="1" t="n">
        <v>45679</v>
      </c>
      <c r="C1027" s="1" t="n">
        <v>45985</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34461-2023</t>
        </is>
      </c>
      <c r="B1028" s="1" t="n">
        <v>45139</v>
      </c>
      <c r="C1028" s="1" t="n">
        <v>45985</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15217-2023</t>
        </is>
      </c>
      <c r="B1029" s="1" t="n">
        <v>45019.28847222222</v>
      </c>
      <c r="C1029" s="1" t="n">
        <v>45985</v>
      </c>
      <c r="D1029" t="inlineStr">
        <is>
          <t>STOCKHOLMS LÄN</t>
        </is>
      </c>
      <c r="E1029" t="inlineStr">
        <is>
          <t>NORRTÄLJE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24522-2023</t>
        </is>
      </c>
      <c r="B1030" s="1" t="n">
        <v>45082.69179398148</v>
      </c>
      <c r="C1030" s="1" t="n">
        <v>45985</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29176-2024</t>
        </is>
      </c>
      <c r="B1031" s="1" t="n">
        <v>45482.53388888889</v>
      </c>
      <c r="C1031" s="1" t="n">
        <v>45985</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4596-2023</t>
        </is>
      </c>
      <c r="B1032" s="1" t="n">
        <v>44956</v>
      </c>
      <c r="C1032" s="1" t="n">
        <v>45985</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4438-2023</t>
        </is>
      </c>
      <c r="B1033" s="1" t="n">
        <v>44956</v>
      </c>
      <c r="C1033" s="1" t="n">
        <v>45985</v>
      </c>
      <c r="D1033" t="inlineStr">
        <is>
          <t>STOCKHOLMS LÄN</t>
        </is>
      </c>
      <c r="E1033" t="inlineStr">
        <is>
          <t>NORRTÄLJE</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24727-2023</t>
        </is>
      </c>
      <c r="B1034" s="1" t="n">
        <v>45084.57695601852</v>
      </c>
      <c r="C1034" s="1" t="n">
        <v>45985</v>
      </c>
      <c r="D1034" t="inlineStr">
        <is>
          <t>STOCKHOLMS LÄN</t>
        </is>
      </c>
      <c r="E1034" t="inlineStr">
        <is>
          <t>NORRTÄLJE</t>
        </is>
      </c>
      <c r="F1034" t="inlineStr">
        <is>
          <t>Holmen skog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59904-2023</t>
        </is>
      </c>
      <c r="B1035" s="1" t="n">
        <v>45257</v>
      </c>
      <c r="C1035" s="1" t="n">
        <v>45985</v>
      </c>
      <c r="D1035" t="inlineStr">
        <is>
          <t>STOCKHOLMS LÄN</t>
        </is>
      </c>
      <c r="E1035" t="inlineStr">
        <is>
          <t>NORRTÄLJE</t>
        </is>
      </c>
      <c r="G1035" t="n">
        <v>17.4</v>
      </c>
      <c r="H1035" t="n">
        <v>0</v>
      </c>
      <c r="I1035" t="n">
        <v>0</v>
      </c>
      <c r="J1035" t="n">
        <v>0</v>
      </c>
      <c r="K1035" t="n">
        <v>0</v>
      </c>
      <c r="L1035" t="n">
        <v>0</v>
      </c>
      <c r="M1035" t="n">
        <v>0</v>
      </c>
      <c r="N1035" t="n">
        <v>0</v>
      </c>
      <c r="O1035" t="n">
        <v>0</v>
      </c>
      <c r="P1035" t="n">
        <v>0</v>
      </c>
      <c r="Q1035" t="n">
        <v>0</v>
      </c>
      <c r="R1035" s="2" t="inlineStr"/>
    </row>
    <row r="1036" ht="15" customHeight="1">
      <c r="A1036" t="inlineStr">
        <is>
          <t>A 36308-2022</t>
        </is>
      </c>
      <c r="B1036" s="1" t="n">
        <v>44803</v>
      </c>
      <c r="C1036" s="1" t="n">
        <v>45985</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18787-2022</t>
        </is>
      </c>
      <c r="B1037" s="1" t="n">
        <v>44687</v>
      </c>
      <c r="C1037" s="1" t="n">
        <v>45985</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50108-2021</t>
        </is>
      </c>
      <c r="B1038" s="1" t="n">
        <v>44456</v>
      </c>
      <c r="C1038" s="1" t="n">
        <v>45985</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25621-2022</t>
        </is>
      </c>
      <c r="B1039" s="1" t="n">
        <v>44732</v>
      </c>
      <c r="C1039" s="1" t="n">
        <v>45985</v>
      </c>
      <c r="D1039" t="inlineStr">
        <is>
          <t>STOCKHOLMS LÄN</t>
        </is>
      </c>
      <c r="E1039" t="inlineStr">
        <is>
          <t>NORRTÄLJE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20304-2023</t>
        </is>
      </c>
      <c r="B1040" s="1" t="n">
        <v>45056</v>
      </c>
      <c r="C1040" s="1" t="n">
        <v>45985</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35235-2024</t>
        </is>
      </c>
      <c r="B1041" s="1" t="n">
        <v>45530</v>
      </c>
      <c r="C1041" s="1" t="n">
        <v>45985</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51061-2023</t>
        </is>
      </c>
      <c r="B1042" s="1" t="n">
        <v>45218.65849537037</v>
      </c>
      <c r="C1042" s="1" t="n">
        <v>45985</v>
      </c>
      <c r="D1042" t="inlineStr">
        <is>
          <t>STOCKHOLMS LÄN</t>
        </is>
      </c>
      <c r="E1042" t="inlineStr">
        <is>
          <t>NORRTÄLJE</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39213-2022</t>
        </is>
      </c>
      <c r="B1043" s="1" t="n">
        <v>44817.56120370371</v>
      </c>
      <c r="C1043" s="1" t="n">
        <v>45985</v>
      </c>
      <c r="D1043" t="inlineStr">
        <is>
          <t>STOCKHOLMS LÄN</t>
        </is>
      </c>
      <c r="E1043" t="inlineStr">
        <is>
          <t>NORRTÄLJE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36246-2021</t>
        </is>
      </c>
      <c r="B1044" s="1" t="n">
        <v>44390</v>
      </c>
      <c r="C1044" s="1" t="n">
        <v>45985</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15905-2023</t>
        </is>
      </c>
      <c r="B1045" s="1" t="n">
        <v>45022</v>
      </c>
      <c r="C1045" s="1" t="n">
        <v>45985</v>
      </c>
      <c r="D1045" t="inlineStr">
        <is>
          <t>STOCKHOLMS LÄN</t>
        </is>
      </c>
      <c r="E1045" t="inlineStr">
        <is>
          <t>NORRTÄLJE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11041-2025</t>
        </is>
      </c>
      <c r="B1046" s="1" t="n">
        <v>45723</v>
      </c>
      <c r="C1046" s="1" t="n">
        <v>45985</v>
      </c>
      <c r="D1046" t="inlineStr">
        <is>
          <t>STOCKHOLMS LÄN</t>
        </is>
      </c>
      <c r="E1046" t="inlineStr">
        <is>
          <t>NORRTÄLJE</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44917-2022</t>
        </is>
      </c>
      <c r="B1047" s="1" t="n">
        <v>44841.52804398148</v>
      </c>
      <c r="C1047" s="1" t="n">
        <v>45985</v>
      </c>
      <c r="D1047" t="inlineStr">
        <is>
          <t>STOCKHOLMS LÄN</t>
        </is>
      </c>
      <c r="E1047" t="inlineStr">
        <is>
          <t>NORRTÄLJE</t>
        </is>
      </c>
      <c r="F1047" t="inlineStr">
        <is>
          <t>Holmen skog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33173-2024</t>
        </is>
      </c>
      <c r="B1048" s="1" t="n">
        <v>45518</v>
      </c>
      <c r="C1048" s="1" t="n">
        <v>45985</v>
      </c>
      <c r="D1048" t="inlineStr">
        <is>
          <t>STOCKHOLMS LÄN</t>
        </is>
      </c>
      <c r="E1048" t="inlineStr">
        <is>
          <t>NORRTÄLJE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17551-2025</t>
        </is>
      </c>
      <c r="B1049" s="1" t="n">
        <v>45757.61421296297</v>
      </c>
      <c r="C1049" s="1" t="n">
        <v>45985</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10678-2025</t>
        </is>
      </c>
      <c r="B1050" s="1" t="n">
        <v>45721.89123842592</v>
      </c>
      <c r="C1050" s="1" t="n">
        <v>45985</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8370-2025</t>
        </is>
      </c>
      <c r="B1051" s="1" t="n">
        <v>45708</v>
      </c>
      <c r="C1051" s="1" t="n">
        <v>45985</v>
      </c>
      <c r="D1051" t="inlineStr">
        <is>
          <t>STOCKHOLMS LÄN</t>
        </is>
      </c>
      <c r="E1051" t="inlineStr">
        <is>
          <t>NORRTÄLJE</t>
        </is>
      </c>
      <c r="F1051" t="inlineStr">
        <is>
          <t>Övriga Aktiebolag</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951-2023</t>
        </is>
      </c>
      <c r="B1052" s="1" t="n">
        <v>44934</v>
      </c>
      <c r="C1052" s="1" t="n">
        <v>45985</v>
      </c>
      <c r="D1052" t="inlineStr">
        <is>
          <t>STOCKHOLMS LÄN</t>
        </is>
      </c>
      <c r="E1052" t="inlineStr">
        <is>
          <t>NORRTÄLJE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32100-2022</t>
        </is>
      </c>
      <c r="B1053" s="1" t="n">
        <v>44778</v>
      </c>
      <c r="C1053" s="1" t="n">
        <v>45985</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2888-2022</t>
        </is>
      </c>
      <c r="B1054" s="1" t="n">
        <v>44581</v>
      </c>
      <c r="C1054" s="1" t="n">
        <v>45985</v>
      </c>
      <c r="D1054" t="inlineStr">
        <is>
          <t>STOCKHOLMS LÄN</t>
        </is>
      </c>
      <c r="E1054" t="inlineStr">
        <is>
          <t>NORRTÄLJE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11902-2024</t>
        </is>
      </c>
      <c r="B1055" s="1" t="n">
        <v>45376.55704861111</v>
      </c>
      <c r="C1055" s="1" t="n">
        <v>45985</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13-2024</t>
        </is>
      </c>
      <c r="B1056" s="1" t="n">
        <v>45293.37263888889</v>
      </c>
      <c r="C1056" s="1" t="n">
        <v>45985</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58260-2023</t>
        </is>
      </c>
      <c r="B1057" s="1" t="n">
        <v>45245</v>
      </c>
      <c r="C1057" s="1" t="n">
        <v>45985</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58261-2023</t>
        </is>
      </c>
      <c r="B1058" s="1" t="n">
        <v>45245</v>
      </c>
      <c r="C1058" s="1" t="n">
        <v>45985</v>
      </c>
      <c r="D1058" t="inlineStr">
        <is>
          <t>STOCKHOLMS LÄN</t>
        </is>
      </c>
      <c r="E1058" t="inlineStr">
        <is>
          <t>NORRTÄLJE</t>
        </is>
      </c>
      <c r="G1058" t="n">
        <v>53.5</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44956.65920138889</v>
      </c>
      <c r="C1059" s="1" t="n">
        <v>45985</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44931.65626157408</v>
      </c>
      <c r="C1060" s="1" t="n">
        <v>45985</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24575-2024</t>
        </is>
      </c>
      <c r="B1061" s="1" t="n">
        <v>45460.45523148148</v>
      </c>
      <c r="C1061" s="1" t="n">
        <v>45985</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19-2024</t>
        </is>
      </c>
      <c r="B1062" s="1" t="n">
        <v>45293</v>
      </c>
      <c r="C1062" s="1" t="n">
        <v>45985</v>
      </c>
      <c r="D1062" t="inlineStr">
        <is>
          <t>STOCKHOLMS LÄN</t>
        </is>
      </c>
      <c r="E1062" t="inlineStr">
        <is>
          <t>NORRTÄLJE</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11333-2025</t>
        </is>
      </c>
      <c r="B1063" s="1" t="n">
        <v>45726.48377314815</v>
      </c>
      <c r="C1063" s="1" t="n">
        <v>45985</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21529-2021</t>
        </is>
      </c>
      <c r="B1064" s="1" t="n">
        <v>44321</v>
      </c>
      <c r="C1064" s="1" t="n">
        <v>45985</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31827-2023</t>
        </is>
      </c>
      <c r="B1065" s="1" t="n">
        <v>45118</v>
      </c>
      <c r="C1065" s="1" t="n">
        <v>45985</v>
      </c>
      <c r="D1065" t="inlineStr">
        <is>
          <t>STOCKHOLMS LÄN</t>
        </is>
      </c>
      <c r="E1065" t="inlineStr">
        <is>
          <t>NORRTÄLJE</t>
        </is>
      </c>
      <c r="F1065" t="inlineStr">
        <is>
          <t>Kyrkan</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10973-2025</t>
        </is>
      </c>
      <c r="B1066" s="1" t="n">
        <v>45723</v>
      </c>
      <c r="C1066" s="1" t="n">
        <v>45985</v>
      </c>
      <c r="D1066" t="inlineStr">
        <is>
          <t>STOCKHOLMS LÄN</t>
        </is>
      </c>
      <c r="E1066" t="inlineStr">
        <is>
          <t>NORRTÄLJE</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54496-2024</t>
        </is>
      </c>
      <c r="B1067" s="1" t="n">
        <v>45617.57439814815</v>
      </c>
      <c r="C1067" s="1" t="n">
        <v>45985</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7796-2025</t>
        </is>
      </c>
      <c r="B1068" s="1" t="n">
        <v>45706.60130787037</v>
      </c>
      <c r="C1068" s="1" t="n">
        <v>45985</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59767-2022</t>
        </is>
      </c>
      <c r="B1069" s="1" t="n">
        <v>44900</v>
      </c>
      <c r="C1069" s="1" t="n">
        <v>45985</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22756-2022</t>
        </is>
      </c>
      <c r="B1070" s="1" t="n">
        <v>44714.92253472222</v>
      </c>
      <c r="C1070" s="1" t="n">
        <v>45985</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58311-2023</t>
        </is>
      </c>
      <c r="B1071" s="1" t="n">
        <v>45245</v>
      </c>
      <c r="C1071" s="1" t="n">
        <v>45985</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8739-2024</t>
        </is>
      </c>
      <c r="B1072" s="1" t="n">
        <v>45356.47784722222</v>
      </c>
      <c r="C1072" s="1" t="n">
        <v>45985</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26640-2023</t>
        </is>
      </c>
      <c r="B1073" s="1" t="n">
        <v>45092</v>
      </c>
      <c r="C1073" s="1" t="n">
        <v>45985</v>
      </c>
      <c r="D1073" t="inlineStr">
        <is>
          <t>STOCKHOLMS LÄN</t>
        </is>
      </c>
      <c r="E1073" t="inlineStr">
        <is>
          <t>NORRTÄLJE</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62765-2022</t>
        </is>
      </c>
      <c r="B1074" s="1" t="n">
        <v>44637</v>
      </c>
      <c r="C1074" s="1" t="n">
        <v>45985</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38990-2022</t>
        </is>
      </c>
      <c r="B1075" s="1" t="n">
        <v>44816</v>
      </c>
      <c r="C1075" s="1" t="n">
        <v>45985</v>
      </c>
      <c r="D1075" t="inlineStr">
        <is>
          <t>STOCKHOLMS LÄN</t>
        </is>
      </c>
      <c r="E1075" t="inlineStr">
        <is>
          <t>NORRTÄLJE</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17545-2025</t>
        </is>
      </c>
      <c r="B1076" s="1" t="n">
        <v>45757.60658564815</v>
      </c>
      <c r="C1076" s="1" t="n">
        <v>45985</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17956-2025</t>
        </is>
      </c>
      <c r="B1077" s="1" t="n">
        <v>45760.91174768518</v>
      </c>
      <c r="C1077" s="1" t="n">
        <v>45985</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23265-2023</t>
        </is>
      </c>
      <c r="B1078" s="1" t="n">
        <v>45075.90703703704</v>
      </c>
      <c r="C1078" s="1" t="n">
        <v>45985</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30268-2024</t>
        </is>
      </c>
      <c r="B1079" s="1" t="n">
        <v>45490.60572916667</v>
      </c>
      <c r="C1079" s="1" t="n">
        <v>45985</v>
      </c>
      <c r="D1079" t="inlineStr">
        <is>
          <t>STOCKHOLMS LÄN</t>
        </is>
      </c>
      <c r="E1079" t="inlineStr">
        <is>
          <t>NORRTÄLJE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59535-2024</t>
        </is>
      </c>
      <c r="B1080" s="1" t="n">
        <v>45638.59979166667</v>
      </c>
      <c r="C1080" s="1" t="n">
        <v>45985</v>
      </c>
      <c r="D1080" t="inlineStr">
        <is>
          <t>STOCKHOLMS LÄN</t>
        </is>
      </c>
      <c r="E1080" t="inlineStr">
        <is>
          <t>NORRTÄLJE</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9246-2024</t>
        </is>
      </c>
      <c r="B1081" s="1" t="n">
        <v>45357</v>
      </c>
      <c r="C1081" s="1" t="n">
        <v>45985</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20852-2023</t>
        </is>
      </c>
      <c r="B1082" s="1" t="n">
        <v>45058.78607638889</v>
      </c>
      <c r="C1082" s="1" t="n">
        <v>45985</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50355-2024</t>
        </is>
      </c>
      <c r="B1083" s="1" t="n">
        <v>45600.86128472222</v>
      </c>
      <c r="C1083" s="1" t="n">
        <v>45985</v>
      </c>
      <c r="D1083" t="inlineStr">
        <is>
          <t>STOCKHOLMS LÄN</t>
        </is>
      </c>
      <c r="E1083" t="inlineStr">
        <is>
          <t>NORRTÄLJE</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60694-2024</t>
        </is>
      </c>
      <c r="B1084" s="1" t="n">
        <v>45644.47878472223</v>
      </c>
      <c r="C1084" s="1" t="n">
        <v>45985</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25094-2023</t>
        </is>
      </c>
      <c r="B1085" s="1" t="n">
        <v>45086.3629050926</v>
      </c>
      <c r="C1085" s="1" t="n">
        <v>45985</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59276-2023</t>
        </is>
      </c>
      <c r="B1086" s="1" t="n">
        <v>45253.55641203704</v>
      </c>
      <c r="C1086" s="1" t="n">
        <v>45985</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13767-2025</t>
        </is>
      </c>
      <c r="B1087" s="1" t="n">
        <v>45737.43347222222</v>
      </c>
      <c r="C1087" s="1" t="n">
        <v>45985</v>
      </c>
      <c r="D1087" t="inlineStr">
        <is>
          <t>STOCKHOLMS LÄN</t>
        </is>
      </c>
      <c r="E1087" t="inlineStr">
        <is>
          <t>NORRTÄLJE</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41587-2023</t>
        </is>
      </c>
      <c r="B1088" s="1" t="n">
        <v>45175</v>
      </c>
      <c r="C1088" s="1" t="n">
        <v>45985</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27381-2024</t>
        </is>
      </c>
      <c r="B1089" s="1" t="n">
        <v>45473.94501157408</v>
      </c>
      <c r="C1089" s="1" t="n">
        <v>45985</v>
      </c>
      <c r="D1089" t="inlineStr">
        <is>
          <t>STOCKHOLMS LÄN</t>
        </is>
      </c>
      <c r="E1089" t="inlineStr">
        <is>
          <t>NORRTÄLJE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60529-2023</t>
        </is>
      </c>
      <c r="B1090" s="1" t="n">
        <v>45259</v>
      </c>
      <c r="C1090" s="1" t="n">
        <v>45985</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59326-2023</t>
        </is>
      </c>
      <c r="B1091" s="1" t="n">
        <v>45253.63089120371</v>
      </c>
      <c r="C1091" s="1" t="n">
        <v>45985</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20790-2025</t>
        </is>
      </c>
      <c r="B1092" s="1" t="n">
        <v>45776.62563657408</v>
      </c>
      <c r="C1092" s="1" t="n">
        <v>45985</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3152-2024</t>
        </is>
      </c>
      <c r="B1093" s="1" t="n">
        <v>45316.60306712963</v>
      </c>
      <c r="C1093" s="1" t="n">
        <v>45985</v>
      </c>
      <c r="D1093" t="inlineStr">
        <is>
          <t>STOCKHOLMS LÄN</t>
        </is>
      </c>
      <c r="E1093" t="inlineStr">
        <is>
          <t>NORRTÄLJE</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20699-2025</t>
        </is>
      </c>
      <c r="B1094" s="1" t="n">
        <v>45776.47346064815</v>
      </c>
      <c r="C1094" s="1" t="n">
        <v>45985</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20779-2025</t>
        </is>
      </c>
      <c r="B1095" s="1" t="n">
        <v>45776.59871527777</v>
      </c>
      <c r="C1095" s="1" t="n">
        <v>45985</v>
      </c>
      <c r="D1095" t="inlineStr">
        <is>
          <t>STOCKHOLMS LÄN</t>
        </is>
      </c>
      <c r="E1095" t="inlineStr">
        <is>
          <t>NORRTÄLJE</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44836-2023</t>
        </is>
      </c>
      <c r="B1096" s="1" t="n">
        <v>45190.55609953704</v>
      </c>
      <c r="C1096" s="1" t="n">
        <v>45985</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21771-2025</t>
        </is>
      </c>
      <c r="B1097" s="1" t="n">
        <v>45783</v>
      </c>
      <c r="C1097" s="1" t="n">
        <v>45985</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21778-2025</t>
        </is>
      </c>
      <c r="B1098" s="1" t="n">
        <v>45783.66429398148</v>
      </c>
      <c r="C1098" s="1" t="n">
        <v>45985</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12902-2024</t>
        </is>
      </c>
      <c r="B1099" s="1" t="n">
        <v>45385.38146990741</v>
      </c>
      <c r="C1099" s="1" t="n">
        <v>45985</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c r="A1100" t="inlineStr">
        <is>
          <t>A 39237-2024</t>
        </is>
      </c>
      <c r="B1100" s="1" t="n">
        <v>45549</v>
      </c>
      <c r="C1100" s="1" t="n">
        <v>45985</v>
      </c>
      <c r="D1100" t="inlineStr">
        <is>
          <t>STOCKHOLMS LÄN</t>
        </is>
      </c>
      <c r="E1100" t="inlineStr">
        <is>
          <t>NORRTÄLJE</t>
        </is>
      </c>
      <c r="G1100" t="n">
        <v>13.3</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2025-11-24T10:20:18Z</dcterms:created>
  <dcterms:modified xmlns:dcterms="http://purl.org/dc/terms/" xmlns:xsi="http://www.w3.org/2001/XMLSchema-instance" xsi:type="dcterms:W3CDTF">2025-11-24T10:20:19Z</dcterms:modified>
</cp:coreProperties>
</file>